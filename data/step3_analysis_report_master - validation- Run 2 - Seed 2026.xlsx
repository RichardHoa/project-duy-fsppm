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fuveduvn-my.sharepoint.com/personal/mpp26_duypham_student_fulbright_edu_vn/Documents/FSMPP/18. Thesis/Final Data/"/>
    </mc:Choice>
  </mc:AlternateContent>
  <xr:revisionPtr revIDLastSave="2304" documentId="13_ncr:1_{8DA829A7-D392-410C-B92C-4D9E531A3674}" xr6:coauthVersionLast="47" xr6:coauthVersionMax="47" xr10:uidLastSave="{8BE51810-0E92-41F6-87AF-67D8438AD5D9}"/>
  <bookViews>
    <workbookView xWindow="-98" yWindow="-98" windowWidth="21795" windowHeight="13875" firstSheet="2" activeTab="4" xr2:uid="{00000000-000D-0000-FFFF-FFFF00000000}"/>
  </bookViews>
  <sheets>
    <sheet name="step3_validation" sheetId="18" r:id="rId1"/>
    <sheet name="survey_responses" sheetId="16" r:id="rId2"/>
    <sheet name="step3_combined_data" sheetId="12" r:id="rId3"/>
    <sheet name="AIx" sheetId="21" r:id="rId4"/>
    <sheet name="Insights" sheetId="22" r:id="rId5"/>
    <sheet name="EMD" sheetId="19" r:id="rId6"/>
    <sheet name="SUMMARY_REPORT" sheetId="10" r:id="rId7"/>
    <sheet name="CM_REPORT" sheetId="11" r:id="rId8"/>
    <sheet name="CM_ENF1" sheetId="1" r:id="rId9"/>
    <sheet name="CM_ENF2" sheetId="2" r:id="rId10"/>
    <sheet name="CM_FAC1" sheetId="3" r:id="rId11"/>
    <sheet name="CM_FAC2" sheetId="4" r:id="rId12"/>
    <sheet name="CM_TRU1" sheetId="5" r:id="rId13"/>
    <sheet name="CM_TRU2" sheetId="6" r:id="rId14"/>
    <sheet name="CM_TRU3" sheetId="7" r:id="rId15"/>
    <sheet name="CM_TRU4" sheetId="8" r:id="rId16"/>
    <sheet name="CM_OUT1" sheetId="9" r:id="rId17"/>
  </sheets>
  <definedNames>
    <definedName name="ExternalData_1" localSheetId="1" hidden="1">survey_responses!$A$1:$Q$404</definedName>
    <definedName name="ExternalData_3" localSheetId="0" hidden="1">step3_validation!$A$1:$AS$404</definedName>
  </definedNames>
  <calcPr calcId="191029"/>
  <pivotCaches>
    <pivotCache cacheId="23"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1" i="22" l="1"/>
  <c r="C71" i="22"/>
  <c r="B71" i="22"/>
  <c r="D70" i="22"/>
  <c r="C70" i="22"/>
  <c r="B70" i="22"/>
  <c r="D69" i="22"/>
  <c r="C69" i="22"/>
  <c r="B69" i="22"/>
  <c r="D68" i="22"/>
  <c r="C68" i="22"/>
  <c r="B68" i="22"/>
  <c r="D67" i="22"/>
  <c r="C67" i="22"/>
  <c r="B67" i="22"/>
  <c r="D66" i="22"/>
  <c r="C66" i="22"/>
  <c r="B66" i="22"/>
  <c r="D65" i="22"/>
  <c r="E65" i="22" s="1"/>
  <c r="C65" i="22"/>
  <c r="B65" i="22"/>
  <c r="D64" i="22"/>
  <c r="C64" i="22"/>
  <c r="B64" i="22"/>
  <c r="E64" i="22" s="1"/>
  <c r="D61" i="22"/>
  <c r="C61" i="22"/>
  <c r="B61" i="22"/>
  <c r="D60" i="22"/>
  <c r="C60" i="22"/>
  <c r="B60" i="22"/>
  <c r="D59" i="22"/>
  <c r="C59" i="22"/>
  <c r="B59" i="22"/>
  <c r="D58" i="22"/>
  <c r="C58" i="22"/>
  <c r="B58" i="22"/>
  <c r="D57" i="22"/>
  <c r="C57" i="22"/>
  <c r="B57" i="22"/>
  <c r="D56" i="22"/>
  <c r="C56" i="22"/>
  <c r="B56" i="22"/>
  <c r="D55" i="22"/>
  <c r="C55" i="22"/>
  <c r="B55" i="22"/>
  <c r="D54" i="22"/>
  <c r="C54" i="22"/>
  <c r="B54" i="22"/>
  <c r="D79" i="22"/>
  <c r="C79" i="22"/>
  <c r="B79" i="22"/>
  <c r="D78" i="22"/>
  <c r="C78" i="22"/>
  <c r="B78" i="22"/>
  <c r="D77" i="22"/>
  <c r="C77" i="22"/>
  <c r="B77" i="22"/>
  <c r="D76" i="22"/>
  <c r="E76" i="22" s="1"/>
  <c r="C76" i="22"/>
  <c r="B76" i="22"/>
  <c r="D75" i="22"/>
  <c r="C75" i="22"/>
  <c r="B75" i="22"/>
  <c r="E75" i="22" s="1"/>
  <c r="D74" i="22"/>
  <c r="C74" i="22"/>
  <c r="B74" i="22"/>
  <c r="E74" i="22" s="1"/>
  <c r="H74" i="22" s="1"/>
  <c r="D51" i="22"/>
  <c r="C51" i="22"/>
  <c r="B51" i="22"/>
  <c r="D50" i="22"/>
  <c r="C50" i="22"/>
  <c r="B50" i="22"/>
  <c r="D49" i="22"/>
  <c r="C49" i="22"/>
  <c r="B49" i="22"/>
  <c r="E49" i="22" s="1"/>
  <c r="H49" i="22" s="1"/>
  <c r="D48" i="22"/>
  <c r="C48" i="22"/>
  <c r="B48" i="22"/>
  <c r="D47" i="22"/>
  <c r="C47" i="22"/>
  <c r="B47" i="22"/>
  <c r="D46" i="22"/>
  <c r="C46" i="22"/>
  <c r="B46" i="22"/>
  <c r="E50" i="22"/>
  <c r="D43" i="22"/>
  <c r="C43" i="22"/>
  <c r="B43" i="22"/>
  <c r="D42" i="22"/>
  <c r="C42" i="22"/>
  <c r="B42" i="22"/>
  <c r="D41" i="22"/>
  <c r="C41" i="22"/>
  <c r="B41" i="22"/>
  <c r="E41" i="22" s="1"/>
  <c r="D40" i="22"/>
  <c r="C40" i="22"/>
  <c r="B40" i="22"/>
  <c r="D39" i="22"/>
  <c r="C39" i="22"/>
  <c r="B39" i="22"/>
  <c r="E39" i="22" s="1"/>
  <c r="D38" i="22"/>
  <c r="C38" i="22"/>
  <c r="B38" i="22"/>
  <c r="E38" i="22" s="1"/>
  <c r="D35" i="22"/>
  <c r="E35" i="22" s="1"/>
  <c r="H35" i="22" s="1"/>
  <c r="C35" i="22"/>
  <c r="B35" i="22"/>
  <c r="D34" i="22"/>
  <c r="C34" i="22"/>
  <c r="B34" i="22"/>
  <c r="D33" i="22"/>
  <c r="C33" i="22"/>
  <c r="B33" i="22"/>
  <c r="D32" i="22"/>
  <c r="C32" i="22"/>
  <c r="B32" i="22"/>
  <c r="D31" i="22"/>
  <c r="C31" i="22"/>
  <c r="B31" i="22"/>
  <c r="D30" i="22"/>
  <c r="C30" i="22"/>
  <c r="E30" i="22" s="1"/>
  <c r="B30" i="22"/>
  <c r="D27" i="22"/>
  <c r="C27" i="22"/>
  <c r="B27" i="22"/>
  <c r="D26" i="22"/>
  <c r="C26" i="22"/>
  <c r="B26" i="22"/>
  <c r="D25" i="22"/>
  <c r="C25" i="22"/>
  <c r="B25" i="22"/>
  <c r="E25" i="22" s="1"/>
  <c r="D24" i="22"/>
  <c r="C24" i="22"/>
  <c r="B24" i="22"/>
  <c r="D23" i="22"/>
  <c r="C23" i="22"/>
  <c r="B23" i="22"/>
  <c r="E23" i="22" s="1"/>
  <c r="I23" i="22" s="1"/>
  <c r="D22" i="22"/>
  <c r="C22" i="22"/>
  <c r="B22" i="22"/>
  <c r="E24" i="22"/>
  <c r="H24" i="22" s="1"/>
  <c r="D19" i="22"/>
  <c r="C19" i="22"/>
  <c r="B19" i="22"/>
  <c r="D18" i="22"/>
  <c r="C18" i="22"/>
  <c r="B18" i="22"/>
  <c r="D17" i="22"/>
  <c r="C17" i="22"/>
  <c r="B17" i="22"/>
  <c r="D16" i="22"/>
  <c r="C16" i="22"/>
  <c r="B16" i="22"/>
  <c r="D15" i="22"/>
  <c r="C15" i="22"/>
  <c r="B15" i="22"/>
  <c r="D14" i="22"/>
  <c r="C14" i="22"/>
  <c r="B14" i="22"/>
  <c r="D11" i="22"/>
  <c r="C11" i="22"/>
  <c r="B11" i="22"/>
  <c r="D10" i="22"/>
  <c r="C10" i="22"/>
  <c r="B10" i="22"/>
  <c r="D7" i="22"/>
  <c r="C7" i="22"/>
  <c r="B7" i="22"/>
  <c r="D6" i="22"/>
  <c r="C6" i="22"/>
  <c r="B6" i="22"/>
  <c r="D3" i="22"/>
  <c r="C3" i="22"/>
  <c r="B3" i="22"/>
  <c r="D2" i="22"/>
  <c r="C2" i="22"/>
  <c r="B2" i="22"/>
  <c r="E71" i="22"/>
  <c r="H71" i="22" s="1"/>
  <c r="E70" i="22"/>
  <c r="E51" i="22"/>
  <c r="E26" i="22"/>
  <c r="BD3" i="21"/>
  <c r="BD4" i="21"/>
  <c r="BD5" i="21"/>
  <c r="BD6" i="21"/>
  <c r="BD7" i="21"/>
  <c r="BD8" i="21"/>
  <c r="BD9" i="21"/>
  <c r="BD10" i="21"/>
  <c r="BD11" i="21"/>
  <c r="BD12" i="21"/>
  <c r="BD13" i="21"/>
  <c r="BD14" i="21"/>
  <c r="BD15" i="21"/>
  <c r="BD16" i="21"/>
  <c r="BD17" i="21"/>
  <c r="BD18" i="21"/>
  <c r="BD19" i="21"/>
  <c r="BD20" i="21"/>
  <c r="BD21" i="21"/>
  <c r="BD22" i="21"/>
  <c r="BD23" i="21"/>
  <c r="BD24" i="21"/>
  <c r="BD25" i="21"/>
  <c r="BD26" i="21"/>
  <c r="BD27" i="21"/>
  <c r="BD28" i="21"/>
  <c r="BD29" i="21"/>
  <c r="BD30" i="21"/>
  <c r="BD31" i="21"/>
  <c r="BD32" i="21"/>
  <c r="BD33" i="21"/>
  <c r="BD34" i="21"/>
  <c r="BD35" i="21"/>
  <c r="BD36" i="21"/>
  <c r="BD37" i="21"/>
  <c r="BD38" i="21"/>
  <c r="BD39" i="21"/>
  <c r="BD40" i="21"/>
  <c r="BD41" i="21"/>
  <c r="BD42" i="21"/>
  <c r="BD43" i="21"/>
  <c r="BD44" i="21"/>
  <c r="BD45" i="21"/>
  <c r="BD46" i="21"/>
  <c r="BD47" i="21"/>
  <c r="BD48" i="21"/>
  <c r="BD49" i="21"/>
  <c r="BD50" i="21"/>
  <c r="BD51" i="21"/>
  <c r="BD52" i="21"/>
  <c r="BD53" i="21"/>
  <c r="BD54" i="21"/>
  <c r="BD55" i="21"/>
  <c r="BD56" i="21"/>
  <c r="BD57" i="21"/>
  <c r="BD58" i="21"/>
  <c r="BD59" i="21"/>
  <c r="BD60" i="21"/>
  <c r="BD61" i="21"/>
  <c r="BD62" i="21"/>
  <c r="BD63" i="21"/>
  <c r="BD64" i="21"/>
  <c r="BD65" i="21"/>
  <c r="BD66" i="21"/>
  <c r="BD67" i="21"/>
  <c r="BD68" i="21"/>
  <c r="BD69" i="21"/>
  <c r="BD70" i="21"/>
  <c r="BD71" i="21"/>
  <c r="BD72" i="21"/>
  <c r="BD73" i="21"/>
  <c r="BD74" i="21"/>
  <c r="BD75" i="21"/>
  <c r="BD76" i="21"/>
  <c r="BD77" i="21"/>
  <c r="BD78" i="21"/>
  <c r="BD79" i="21"/>
  <c r="BD80" i="21"/>
  <c r="BD81" i="21"/>
  <c r="BD82" i="21"/>
  <c r="BD83" i="21"/>
  <c r="BD84" i="21"/>
  <c r="BD85" i="21"/>
  <c r="BD86" i="21"/>
  <c r="BD87" i="21"/>
  <c r="BD88" i="21"/>
  <c r="BD89" i="21"/>
  <c r="BD90" i="21"/>
  <c r="BD91" i="21"/>
  <c r="BD92" i="21"/>
  <c r="BD93" i="21"/>
  <c r="BD94" i="21"/>
  <c r="BD95" i="21"/>
  <c r="BD96" i="21"/>
  <c r="BD97" i="21"/>
  <c r="BD98" i="21"/>
  <c r="BD99" i="21"/>
  <c r="BD100" i="21"/>
  <c r="BD101" i="21"/>
  <c r="BD102" i="21"/>
  <c r="BD103" i="21"/>
  <c r="BD104" i="21"/>
  <c r="BD105" i="21"/>
  <c r="BD106" i="21"/>
  <c r="BD107" i="21"/>
  <c r="BD108" i="21"/>
  <c r="BD109" i="21"/>
  <c r="BD110" i="21"/>
  <c r="BD111" i="21"/>
  <c r="BD112" i="21"/>
  <c r="BD113" i="21"/>
  <c r="BD114" i="21"/>
  <c r="BD115" i="21"/>
  <c r="BD116" i="21"/>
  <c r="BD117" i="21"/>
  <c r="BD118" i="21"/>
  <c r="BD119" i="21"/>
  <c r="BD120" i="21"/>
  <c r="BD121" i="21"/>
  <c r="BD122" i="21"/>
  <c r="BD123" i="21"/>
  <c r="BD124" i="21"/>
  <c r="BD125" i="21"/>
  <c r="BD126" i="21"/>
  <c r="BD127" i="21"/>
  <c r="BD128" i="21"/>
  <c r="BD129" i="21"/>
  <c r="BD130" i="21"/>
  <c r="BD131" i="21"/>
  <c r="BD132" i="21"/>
  <c r="BD133" i="21"/>
  <c r="BD134" i="21"/>
  <c r="BD135" i="21"/>
  <c r="BD136" i="21"/>
  <c r="BD137" i="21"/>
  <c r="BD138" i="21"/>
  <c r="BD139" i="21"/>
  <c r="BD140" i="21"/>
  <c r="BD141" i="21"/>
  <c r="BD142" i="21"/>
  <c r="BD143" i="21"/>
  <c r="BD144" i="21"/>
  <c r="BD145" i="21"/>
  <c r="BD146" i="21"/>
  <c r="BD147" i="21"/>
  <c r="BD148" i="21"/>
  <c r="BD149" i="21"/>
  <c r="BD150" i="21"/>
  <c r="BD151" i="21"/>
  <c r="BD152" i="21"/>
  <c r="BD153" i="21"/>
  <c r="BD154" i="21"/>
  <c r="BD155" i="21"/>
  <c r="BD156" i="21"/>
  <c r="BD157" i="21"/>
  <c r="BD158" i="21"/>
  <c r="BD159" i="21"/>
  <c r="BD160" i="21"/>
  <c r="BD161" i="21"/>
  <c r="BD162" i="21"/>
  <c r="BD163" i="21"/>
  <c r="BD164" i="21"/>
  <c r="BD165" i="21"/>
  <c r="BD166" i="21"/>
  <c r="BD167" i="21"/>
  <c r="BD168" i="21"/>
  <c r="BD169" i="21"/>
  <c r="BD170" i="21"/>
  <c r="BD171" i="21"/>
  <c r="BD172" i="21"/>
  <c r="BD173" i="21"/>
  <c r="BD174" i="21"/>
  <c r="BD175" i="21"/>
  <c r="BD176" i="21"/>
  <c r="BD177" i="21"/>
  <c r="BD178" i="21"/>
  <c r="BD179" i="21"/>
  <c r="BD180" i="21"/>
  <c r="BD181" i="21"/>
  <c r="BD182" i="21"/>
  <c r="BD183" i="21"/>
  <c r="BD184" i="21"/>
  <c r="BD185" i="21"/>
  <c r="BD186" i="21"/>
  <c r="BD187" i="21"/>
  <c r="BD188" i="21"/>
  <c r="BD189" i="21"/>
  <c r="BD190" i="21"/>
  <c r="BD191" i="21"/>
  <c r="BD192" i="21"/>
  <c r="BD193" i="21"/>
  <c r="BD194" i="21"/>
  <c r="BD195" i="21"/>
  <c r="BD196" i="21"/>
  <c r="BD197" i="21"/>
  <c r="BD198" i="21"/>
  <c r="BD199" i="21"/>
  <c r="BD200" i="21"/>
  <c r="BD201" i="21"/>
  <c r="BD202" i="21"/>
  <c r="BD203" i="21"/>
  <c r="BD204" i="21"/>
  <c r="BD205" i="21"/>
  <c r="BD206" i="21"/>
  <c r="BD207" i="21"/>
  <c r="BD208" i="21"/>
  <c r="BD209" i="21"/>
  <c r="BD210" i="21"/>
  <c r="BD211" i="21"/>
  <c r="BD212" i="21"/>
  <c r="BD213" i="21"/>
  <c r="BD214" i="21"/>
  <c r="BD215" i="21"/>
  <c r="BD216" i="21"/>
  <c r="BD217" i="21"/>
  <c r="BD218" i="21"/>
  <c r="BD219" i="21"/>
  <c r="BD220" i="21"/>
  <c r="BD221" i="21"/>
  <c r="BD222" i="21"/>
  <c r="BD223" i="21"/>
  <c r="BD224" i="21"/>
  <c r="BD225" i="21"/>
  <c r="BD226" i="21"/>
  <c r="BD227" i="21"/>
  <c r="BD228" i="21"/>
  <c r="BD229" i="21"/>
  <c r="BD230" i="21"/>
  <c r="BD231" i="21"/>
  <c r="BD232" i="21"/>
  <c r="BD233" i="21"/>
  <c r="BD234" i="21"/>
  <c r="BD235" i="21"/>
  <c r="BD236" i="21"/>
  <c r="BD237" i="21"/>
  <c r="BD238" i="21"/>
  <c r="BD239" i="21"/>
  <c r="BD240" i="21"/>
  <c r="BD241" i="21"/>
  <c r="BD242" i="21"/>
  <c r="BD243" i="21"/>
  <c r="BD244" i="21"/>
  <c r="BD245" i="21"/>
  <c r="BD246" i="21"/>
  <c r="BD247" i="21"/>
  <c r="BD248" i="21"/>
  <c r="BD249" i="21"/>
  <c r="BD250" i="21"/>
  <c r="BD251" i="21"/>
  <c r="BD252" i="21"/>
  <c r="BD253" i="21"/>
  <c r="BD254" i="21"/>
  <c r="BD255" i="21"/>
  <c r="BD256" i="21"/>
  <c r="BD257" i="21"/>
  <c r="BD258" i="21"/>
  <c r="BD259" i="21"/>
  <c r="BD260" i="21"/>
  <c r="BD261" i="21"/>
  <c r="BD262" i="21"/>
  <c r="BD263" i="21"/>
  <c r="BD264" i="21"/>
  <c r="BD265" i="21"/>
  <c r="BD266" i="21"/>
  <c r="BD267" i="21"/>
  <c r="BD268" i="21"/>
  <c r="BD269" i="21"/>
  <c r="BD270" i="21"/>
  <c r="BD271" i="21"/>
  <c r="BD272" i="21"/>
  <c r="BD273" i="21"/>
  <c r="BD274" i="21"/>
  <c r="BD275" i="21"/>
  <c r="BD276" i="21"/>
  <c r="BD277" i="21"/>
  <c r="BD278" i="21"/>
  <c r="BD279" i="21"/>
  <c r="BD280" i="21"/>
  <c r="BD281" i="21"/>
  <c r="BD282" i="21"/>
  <c r="BD283" i="21"/>
  <c r="BD284" i="21"/>
  <c r="BD285" i="21"/>
  <c r="BD286" i="21"/>
  <c r="BD287" i="21"/>
  <c r="BD288" i="21"/>
  <c r="BD289" i="21"/>
  <c r="BD290" i="21"/>
  <c r="BD291" i="21"/>
  <c r="BD292" i="21"/>
  <c r="BD293" i="21"/>
  <c r="BD294" i="21"/>
  <c r="BD295" i="21"/>
  <c r="BD296" i="21"/>
  <c r="BD297" i="21"/>
  <c r="BD298" i="21"/>
  <c r="BD299" i="21"/>
  <c r="BD300" i="21"/>
  <c r="BD301" i="21"/>
  <c r="BD302" i="21"/>
  <c r="BD303" i="21"/>
  <c r="BD304" i="21"/>
  <c r="BD305" i="21"/>
  <c r="BD306" i="21"/>
  <c r="BD307" i="21"/>
  <c r="BD308" i="21"/>
  <c r="BD309" i="21"/>
  <c r="BD310" i="21"/>
  <c r="BD311" i="21"/>
  <c r="BD312" i="21"/>
  <c r="BD313" i="21"/>
  <c r="BD314" i="21"/>
  <c r="BD315" i="21"/>
  <c r="BD316" i="21"/>
  <c r="BD317" i="21"/>
  <c r="BD318" i="21"/>
  <c r="BD319" i="21"/>
  <c r="BD320" i="21"/>
  <c r="BD321" i="21"/>
  <c r="BD322" i="21"/>
  <c r="BD323" i="21"/>
  <c r="BD324" i="21"/>
  <c r="BD325" i="21"/>
  <c r="BD326" i="21"/>
  <c r="BD327" i="21"/>
  <c r="BD328" i="21"/>
  <c r="BD329" i="21"/>
  <c r="BD330" i="21"/>
  <c r="BD331" i="21"/>
  <c r="BD332" i="21"/>
  <c r="BD333" i="21"/>
  <c r="BD334" i="21"/>
  <c r="BD335" i="21"/>
  <c r="BD336" i="21"/>
  <c r="BD337" i="21"/>
  <c r="BD338" i="21"/>
  <c r="BD339" i="21"/>
  <c r="BD340" i="21"/>
  <c r="BD341" i="21"/>
  <c r="BD342" i="21"/>
  <c r="BD343" i="21"/>
  <c r="BD344" i="21"/>
  <c r="BD345" i="21"/>
  <c r="BD346" i="21"/>
  <c r="BD347" i="21"/>
  <c r="BD348" i="21"/>
  <c r="BD349" i="21"/>
  <c r="BD350" i="21"/>
  <c r="BD351" i="21"/>
  <c r="BD352" i="21"/>
  <c r="BD353" i="21"/>
  <c r="BD354" i="21"/>
  <c r="BD355" i="21"/>
  <c r="BD356" i="21"/>
  <c r="BD357" i="21"/>
  <c r="BD358" i="21"/>
  <c r="BD359" i="21"/>
  <c r="BD360" i="21"/>
  <c r="BD361" i="21"/>
  <c r="BD362" i="21"/>
  <c r="BD363" i="21"/>
  <c r="BD364" i="21"/>
  <c r="BD365" i="21"/>
  <c r="BD366" i="21"/>
  <c r="BD367" i="21"/>
  <c r="BD368" i="21"/>
  <c r="BD369" i="21"/>
  <c r="BD370" i="21"/>
  <c r="BD371" i="21"/>
  <c r="BD372" i="21"/>
  <c r="BD373" i="21"/>
  <c r="BD374" i="21"/>
  <c r="BD375" i="21"/>
  <c r="BD376" i="21"/>
  <c r="BD377" i="21"/>
  <c r="BD378" i="21"/>
  <c r="BD379" i="21"/>
  <c r="BD380" i="21"/>
  <c r="BD381" i="21"/>
  <c r="BD382" i="21"/>
  <c r="BD383" i="21"/>
  <c r="BD384" i="21"/>
  <c r="BD385" i="21"/>
  <c r="BD386" i="21"/>
  <c r="BD387" i="21"/>
  <c r="BD388" i="21"/>
  <c r="BD389" i="21"/>
  <c r="BD390" i="21"/>
  <c r="BD391" i="21"/>
  <c r="BD392" i="21"/>
  <c r="BD393" i="21"/>
  <c r="BD394" i="21"/>
  <c r="BD395" i="21"/>
  <c r="BD396" i="21"/>
  <c r="BD397" i="21"/>
  <c r="BD398" i="21"/>
  <c r="BD399" i="21"/>
  <c r="BD400" i="21"/>
  <c r="BD401" i="21"/>
  <c r="BD402" i="21"/>
  <c r="BD403" i="21"/>
  <c r="BD404" i="21"/>
  <c r="BD2" i="21"/>
  <c r="BC3" i="21"/>
  <c r="BC4" i="21"/>
  <c r="BC5" i="21"/>
  <c r="BC6" i="21"/>
  <c r="BC7" i="21"/>
  <c r="BC8" i="21"/>
  <c r="BC9" i="21"/>
  <c r="BC10" i="21"/>
  <c r="BC11" i="21"/>
  <c r="BC12" i="21"/>
  <c r="BC13" i="21"/>
  <c r="BC14" i="21"/>
  <c r="BC15" i="21"/>
  <c r="BC16" i="21"/>
  <c r="BC17" i="21"/>
  <c r="BC18" i="21"/>
  <c r="BC19" i="21"/>
  <c r="BC20" i="21"/>
  <c r="BC21" i="21"/>
  <c r="BC22" i="21"/>
  <c r="BC23" i="21"/>
  <c r="BC24" i="21"/>
  <c r="BC25" i="21"/>
  <c r="BC26" i="21"/>
  <c r="BC27" i="21"/>
  <c r="BC28" i="21"/>
  <c r="BC29" i="21"/>
  <c r="BC30" i="21"/>
  <c r="BC31" i="21"/>
  <c r="BC32" i="21"/>
  <c r="BC33" i="21"/>
  <c r="BC34" i="21"/>
  <c r="BC35" i="21"/>
  <c r="BC36" i="21"/>
  <c r="BC37" i="21"/>
  <c r="BC38" i="21"/>
  <c r="BC39" i="21"/>
  <c r="BC40" i="21"/>
  <c r="BC41" i="21"/>
  <c r="BC42" i="21"/>
  <c r="BC43" i="21"/>
  <c r="BC44" i="21"/>
  <c r="BC45" i="21"/>
  <c r="BC46" i="21"/>
  <c r="BC47" i="21"/>
  <c r="BC48" i="21"/>
  <c r="BC49" i="21"/>
  <c r="BC50" i="21"/>
  <c r="BC51" i="21"/>
  <c r="BC52" i="21"/>
  <c r="BC53" i="21"/>
  <c r="BC54" i="21"/>
  <c r="BC55" i="21"/>
  <c r="BC56" i="21"/>
  <c r="BC57" i="21"/>
  <c r="BC58" i="21"/>
  <c r="BC59" i="21"/>
  <c r="BC60" i="21"/>
  <c r="BC61" i="21"/>
  <c r="BC62" i="21"/>
  <c r="BC63" i="21"/>
  <c r="BC64" i="21"/>
  <c r="BC65" i="21"/>
  <c r="BC66" i="21"/>
  <c r="BC67" i="21"/>
  <c r="BC68" i="21"/>
  <c r="BC69" i="21"/>
  <c r="BC70" i="21"/>
  <c r="BC71" i="21"/>
  <c r="BC72" i="21"/>
  <c r="BC73" i="21"/>
  <c r="BC74" i="21"/>
  <c r="BC75" i="21"/>
  <c r="BC76" i="21"/>
  <c r="BC77" i="21"/>
  <c r="BC78" i="21"/>
  <c r="BC79" i="21"/>
  <c r="BC80" i="21"/>
  <c r="BC81" i="21"/>
  <c r="BC82" i="21"/>
  <c r="BC83" i="21"/>
  <c r="BC84" i="21"/>
  <c r="BC85" i="21"/>
  <c r="BC86" i="21"/>
  <c r="BC87" i="21"/>
  <c r="BC88" i="21"/>
  <c r="BC89" i="21"/>
  <c r="BC90" i="21"/>
  <c r="BC91" i="21"/>
  <c r="BC92" i="21"/>
  <c r="BC93" i="21"/>
  <c r="BC94" i="21"/>
  <c r="BC95" i="21"/>
  <c r="BC96" i="21"/>
  <c r="BC97" i="21"/>
  <c r="BC98" i="21"/>
  <c r="BC99" i="21"/>
  <c r="BC100" i="21"/>
  <c r="BC101" i="21"/>
  <c r="BC102" i="21"/>
  <c r="BC103" i="21"/>
  <c r="BC104" i="21"/>
  <c r="BC105" i="21"/>
  <c r="BC106" i="21"/>
  <c r="BC107" i="21"/>
  <c r="BC108" i="21"/>
  <c r="BC109" i="21"/>
  <c r="BC110" i="21"/>
  <c r="BC111" i="21"/>
  <c r="BC112" i="21"/>
  <c r="BC113" i="21"/>
  <c r="BC114" i="21"/>
  <c r="BC115" i="21"/>
  <c r="BC116" i="21"/>
  <c r="BC117" i="21"/>
  <c r="BC118" i="21"/>
  <c r="BC119" i="21"/>
  <c r="BC120" i="21"/>
  <c r="BC121" i="21"/>
  <c r="BC122" i="21"/>
  <c r="BC123" i="21"/>
  <c r="BC124" i="21"/>
  <c r="BC125" i="21"/>
  <c r="BC126" i="21"/>
  <c r="BC127" i="21"/>
  <c r="BC128" i="21"/>
  <c r="BC129" i="21"/>
  <c r="BC130" i="21"/>
  <c r="BC131" i="21"/>
  <c r="BC132" i="21"/>
  <c r="BC133" i="21"/>
  <c r="BC134" i="21"/>
  <c r="BC135" i="21"/>
  <c r="BC136" i="21"/>
  <c r="BC137" i="21"/>
  <c r="BC138" i="21"/>
  <c r="BC139" i="21"/>
  <c r="BC140" i="21"/>
  <c r="BC141" i="21"/>
  <c r="BC142" i="21"/>
  <c r="BC143" i="21"/>
  <c r="BC144" i="21"/>
  <c r="BC145" i="21"/>
  <c r="BC146" i="21"/>
  <c r="BC147" i="21"/>
  <c r="BC148" i="21"/>
  <c r="BC149" i="21"/>
  <c r="BC150" i="21"/>
  <c r="BC151" i="21"/>
  <c r="BC152" i="21"/>
  <c r="BC153" i="21"/>
  <c r="BC154" i="21"/>
  <c r="BC155" i="21"/>
  <c r="BC156" i="21"/>
  <c r="BC157" i="21"/>
  <c r="BC158" i="21"/>
  <c r="BC159" i="21"/>
  <c r="BC160" i="21"/>
  <c r="BC161" i="21"/>
  <c r="BC162" i="21"/>
  <c r="BC163" i="21"/>
  <c r="BC164" i="21"/>
  <c r="BC165" i="21"/>
  <c r="BC166" i="21"/>
  <c r="BC167" i="21"/>
  <c r="BC168" i="21"/>
  <c r="BC169" i="21"/>
  <c r="BC170" i="21"/>
  <c r="BC171" i="21"/>
  <c r="BC172" i="21"/>
  <c r="BC173" i="21"/>
  <c r="BC174" i="21"/>
  <c r="BC175" i="21"/>
  <c r="BC176" i="21"/>
  <c r="BC177" i="21"/>
  <c r="BC178" i="21"/>
  <c r="BC179" i="21"/>
  <c r="BC180" i="21"/>
  <c r="BC181" i="21"/>
  <c r="BC182" i="21"/>
  <c r="BC183" i="21"/>
  <c r="BC184" i="21"/>
  <c r="BC185" i="21"/>
  <c r="BC186" i="21"/>
  <c r="BC187" i="21"/>
  <c r="BC188" i="21"/>
  <c r="BC189" i="21"/>
  <c r="BC190" i="21"/>
  <c r="BC191" i="21"/>
  <c r="BC192" i="21"/>
  <c r="BC193" i="21"/>
  <c r="BC194" i="21"/>
  <c r="BC195" i="21"/>
  <c r="BC196" i="21"/>
  <c r="BC197" i="21"/>
  <c r="BC198" i="21"/>
  <c r="BC199" i="21"/>
  <c r="BC200" i="21"/>
  <c r="BC201" i="21"/>
  <c r="BC202" i="21"/>
  <c r="BC203" i="21"/>
  <c r="BC204" i="21"/>
  <c r="BC205" i="21"/>
  <c r="BC206" i="21"/>
  <c r="BC207" i="21"/>
  <c r="BC208" i="21"/>
  <c r="BC209" i="21"/>
  <c r="BC210" i="21"/>
  <c r="BC211" i="21"/>
  <c r="BC212" i="21"/>
  <c r="BC213" i="21"/>
  <c r="BC214" i="21"/>
  <c r="BC215" i="21"/>
  <c r="BC216" i="21"/>
  <c r="BC217" i="21"/>
  <c r="BC218" i="21"/>
  <c r="BC219" i="21"/>
  <c r="BC220" i="21"/>
  <c r="BC221" i="21"/>
  <c r="BC222" i="21"/>
  <c r="BC223" i="21"/>
  <c r="BC224" i="21"/>
  <c r="BC225" i="21"/>
  <c r="BC226" i="21"/>
  <c r="BC227" i="21"/>
  <c r="BC228" i="21"/>
  <c r="BC229" i="21"/>
  <c r="BC230" i="21"/>
  <c r="BC231" i="21"/>
  <c r="BC232" i="21"/>
  <c r="BC233" i="21"/>
  <c r="BC234" i="21"/>
  <c r="BC235" i="21"/>
  <c r="BC236" i="21"/>
  <c r="BC237" i="21"/>
  <c r="BC238" i="21"/>
  <c r="BC239" i="21"/>
  <c r="BC240" i="21"/>
  <c r="BC241" i="21"/>
  <c r="BC242" i="21"/>
  <c r="BC243" i="21"/>
  <c r="BC244" i="21"/>
  <c r="BC245" i="21"/>
  <c r="BC246" i="21"/>
  <c r="BC247" i="21"/>
  <c r="BC248" i="21"/>
  <c r="BC249" i="21"/>
  <c r="BC250" i="21"/>
  <c r="BC251" i="21"/>
  <c r="BC252" i="21"/>
  <c r="BC253" i="21"/>
  <c r="BC254" i="21"/>
  <c r="BC255" i="21"/>
  <c r="BC256" i="21"/>
  <c r="BC257" i="21"/>
  <c r="BC258" i="21"/>
  <c r="BC259" i="21"/>
  <c r="BC260" i="21"/>
  <c r="BC261" i="21"/>
  <c r="BC262" i="21"/>
  <c r="BC263" i="21"/>
  <c r="BC264" i="21"/>
  <c r="BC265" i="21"/>
  <c r="BC266" i="21"/>
  <c r="BC267" i="21"/>
  <c r="BC268" i="21"/>
  <c r="BC269" i="21"/>
  <c r="BC270" i="21"/>
  <c r="BC271" i="21"/>
  <c r="BC272" i="21"/>
  <c r="BC273" i="21"/>
  <c r="BC274" i="21"/>
  <c r="BC275" i="21"/>
  <c r="BC276" i="21"/>
  <c r="BC277" i="21"/>
  <c r="BC278" i="21"/>
  <c r="BC279" i="21"/>
  <c r="BC280" i="21"/>
  <c r="BC281" i="21"/>
  <c r="BC282" i="21"/>
  <c r="BC283" i="21"/>
  <c r="BC284" i="21"/>
  <c r="BC285" i="21"/>
  <c r="BC286" i="21"/>
  <c r="BC287" i="21"/>
  <c r="BC288" i="21"/>
  <c r="BC289" i="21"/>
  <c r="BC290" i="21"/>
  <c r="BC291" i="21"/>
  <c r="BC292" i="21"/>
  <c r="BC293" i="21"/>
  <c r="BC294" i="21"/>
  <c r="BC295" i="21"/>
  <c r="BC296" i="21"/>
  <c r="BC297" i="21"/>
  <c r="BC298" i="21"/>
  <c r="BC299" i="21"/>
  <c r="BC300" i="21"/>
  <c r="BC301" i="21"/>
  <c r="BC302" i="21"/>
  <c r="BC303" i="21"/>
  <c r="BC304" i="21"/>
  <c r="BC305" i="21"/>
  <c r="BC306" i="21"/>
  <c r="BC307" i="21"/>
  <c r="BC308" i="21"/>
  <c r="BC309" i="21"/>
  <c r="BC310" i="21"/>
  <c r="BC311" i="21"/>
  <c r="BC312" i="21"/>
  <c r="BC313" i="21"/>
  <c r="BC314" i="21"/>
  <c r="BC315" i="21"/>
  <c r="BC316" i="21"/>
  <c r="BC317" i="21"/>
  <c r="BC318" i="21"/>
  <c r="BC319" i="21"/>
  <c r="BC320" i="21"/>
  <c r="BC321" i="21"/>
  <c r="BC322" i="21"/>
  <c r="BC323" i="21"/>
  <c r="BC324" i="21"/>
  <c r="BC325" i="21"/>
  <c r="BC326" i="21"/>
  <c r="BC327" i="21"/>
  <c r="BC328" i="21"/>
  <c r="BC329" i="21"/>
  <c r="BC330" i="21"/>
  <c r="BC331" i="21"/>
  <c r="BC332" i="21"/>
  <c r="BC333" i="21"/>
  <c r="BC334" i="21"/>
  <c r="BC335" i="21"/>
  <c r="BC336" i="21"/>
  <c r="BC337" i="21"/>
  <c r="BC338" i="21"/>
  <c r="BC339" i="21"/>
  <c r="BC340" i="21"/>
  <c r="BC341" i="21"/>
  <c r="BC342" i="21"/>
  <c r="BC343" i="21"/>
  <c r="BC344" i="21"/>
  <c r="BC345" i="21"/>
  <c r="BC346" i="21"/>
  <c r="BC347" i="21"/>
  <c r="BC348" i="21"/>
  <c r="BC349" i="21"/>
  <c r="BC350" i="21"/>
  <c r="BC351" i="21"/>
  <c r="BC352" i="21"/>
  <c r="BC353" i="21"/>
  <c r="BC354" i="21"/>
  <c r="BC355" i="21"/>
  <c r="BC356" i="21"/>
  <c r="BC357" i="21"/>
  <c r="BC358" i="21"/>
  <c r="BC359" i="21"/>
  <c r="BC360" i="21"/>
  <c r="BC361" i="21"/>
  <c r="BC362" i="21"/>
  <c r="BC363" i="21"/>
  <c r="BC364" i="21"/>
  <c r="BC365" i="21"/>
  <c r="BC366" i="21"/>
  <c r="BC367" i="21"/>
  <c r="BC368" i="21"/>
  <c r="BC369" i="21"/>
  <c r="BC370" i="21"/>
  <c r="BC371" i="21"/>
  <c r="BC372" i="21"/>
  <c r="BC373" i="21"/>
  <c r="BC374" i="21"/>
  <c r="BC375" i="21"/>
  <c r="BC376" i="21"/>
  <c r="BC377" i="21"/>
  <c r="BC378" i="21"/>
  <c r="BC379" i="21"/>
  <c r="BC380" i="21"/>
  <c r="BC381" i="21"/>
  <c r="BC382" i="21"/>
  <c r="BC383" i="21"/>
  <c r="BC384" i="21"/>
  <c r="BC385" i="21"/>
  <c r="BC386" i="21"/>
  <c r="BC387" i="21"/>
  <c r="BC388" i="21"/>
  <c r="BC389" i="21"/>
  <c r="BC390" i="21"/>
  <c r="BC391" i="21"/>
  <c r="BC392" i="21"/>
  <c r="BC393" i="21"/>
  <c r="BC394" i="21"/>
  <c r="BC395" i="21"/>
  <c r="BC396" i="21"/>
  <c r="BC397" i="21"/>
  <c r="BC398" i="21"/>
  <c r="BC399" i="21"/>
  <c r="BC400" i="21"/>
  <c r="BC401" i="21"/>
  <c r="BC402" i="21"/>
  <c r="BC403" i="21"/>
  <c r="BC404" i="21"/>
  <c r="BC2" i="21"/>
  <c r="E214" i="19"/>
  <c r="E47" i="19"/>
  <c r="E352" i="19"/>
  <c r="E304" i="19"/>
  <c r="E215" i="19"/>
  <c r="E31" i="19"/>
  <c r="E2" i="19"/>
  <c r="E353" i="19"/>
  <c r="E354" i="19"/>
  <c r="E21" i="19"/>
  <c r="E216" i="19"/>
  <c r="E132" i="19"/>
  <c r="E355" i="19"/>
  <c r="E305" i="19"/>
  <c r="E217" i="19"/>
  <c r="E133" i="19"/>
  <c r="E218" i="19"/>
  <c r="E356" i="19"/>
  <c r="E306" i="19"/>
  <c r="E357" i="19"/>
  <c r="E219" i="19"/>
  <c r="E48" i="19"/>
  <c r="E220" i="19"/>
  <c r="E134" i="19"/>
  <c r="E358" i="19"/>
  <c r="E3" i="19"/>
  <c r="E4" i="19"/>
  <c r="E359" i="19"/>
  <c r="E360" i="19"/>
  <c r="E135" i="19"/>
  <c r="E49" i="19"/>
  <c r="E307" i="19"/>
  <c r="E361" i="19"/>
  <c r="E362" i="19"/>
  <c r="E308" i="19"/>
  <c r="E363" i="19"/>
  <c r="E221" i="19"/>
  <c r="E364" i="19"/>
  <c r="E222" i="19"/>
  <c r="E223" i="19"/>
  <c r="E365" i="19"/>
  <c r="E92" i="19"/>
  <c r="E224" i="19"/>
  <c r="E366" i="19"/>
  <c r="E5" i="19"/>
  <c r="E225" i="19"/>
  <c r="E367" i="19"/>
  <c r="E226" i="19"/>
  <c r="E368" i="19"/>
  <c r="E369" i="19"/>
  <c r="E370" i="19"/>
  <c r="E371" i="19"/>
  <c r="E136" i="19"/>
  <c r="E309" i="19"/>
  <c r="E372" i="19"/>
  <c r="E373" i="19"/>
  <c r="E50" i="19"/>
  <c r="E310" i="19"/>
  <c r="E51" i="19"/>
  <c r="E311" i="19"/>
  <c r="E312" i="19"/>
  <c r="E313" i="19"/>
  <c r="E374" i="19"/>
  <c r="E375" i="19"/>
  <c r="E52" i="19"/>
  <c r="E53" i="19"/>
  <c r="E22" i="19"/>
  <c r="E137" i="19"/>
  <c r="E93" i="19"/>
  <c r="E23" i="19"/>
  <c r="E227" i="19"/>
  <c r="E54" i="19"/>
  <c r="E376" i="19"/>
  <c r="E314" i="19"/>
  <c r="E55" i="19"/>
  <c r="E228" i="19"/>
  <c r="E138" i="19"/>
  <c r="E16" i="19"/>
  <c r="E229" i="19"/>
  <c r="E139" i="19"/>
  <c r="E315" i="19"/>
  <c r="E230" i="19"/>
  <c r="E140" i="19"/>
  <c r="E316" i="19"/>
  <c r="E56" i="19"/>
  <c r="E317" i="19"/>
  <c r="E377" i="19"/>
  <c r="E318" i="19"/>
  <c r="E378" i="19"/>
  <c r="E319" i="19"/>
  <c r="E379" i="19"/>
  <c r="E231" i="19"/>
  <c r="E141" i="19"/>
  <c r="E94" i="19"/>
  <c r="E142" i="19"/>
  <c r="E95" i="19"/>
  <c r="E232" i="19"/>
  <c r="E96" i="19"/>
  <c r="E233" i="19"/>
  <c r="E234" i="19"/>
  <c r="E57" i="19"/>
  <c r="E235" i="19"/>
  <c r="E143" i="19"/>
  <c r="E380" i="19"/>
  <c r="E58" i="19"/>
  <c r="E144" i="19"/>
  <c r="E381" i="19"/>
  <c r="E382" i="19"/>
  <c r="E97" i="19"/>
  <c r="E236" i="19"/>
  <c r="E237" i="19"/>
  <c r="E6" i="19"/>
  <c r="E383" i="19"/>
  <c r="E7" i="19"/>
  <c r="E320" i="19"/>
  <c r="E321" i="19"/>
  <c r="E8" i="19"/>
  <c r="E238" i="19"/>
  <c r="E98" i="19"/>
  <c r="E9" i="19"/>
  <c r="E32" i="19"/>
  <c r="E145" i="19"/>
  <c r="E322" i="19"/>
  <c r="E384" i="19"/>
  <c r="E239" i="19"/>
  <c r="E10" i="19"/>
  <c r="E99" i="19"/>
  <c r="E100" i="19"/>
  <c r="E59" i="19"/>
  <c r="E323" i="19"/>
  <c r="E324" i="19"/>
  <c r="E60" i="19"/>
  <c r="E325" i="19"/>
  <c r="E61" i="19"/>
  <c r="E240" i="19"/>
  <c r="E241" i="19"/>
  <c r="E326" i="19"/>
  <c r="E33" i="19"/>
  <c r="E327" i="19"/>
  <c r="E146" i="19"/>
  <c r="E101" i="19"/>
  <c r="E11" i="19"/>
  <c r="E328" i="19"/>
  <c r="E385" i="19"/>
  <c r="E242" i="19"/>
  <c r="E147" i="19"/>
  <c r="E102" i="19"/>
  <c r="E386" i="19"/>
  <c r="E387" i="19"/>
  <c r="E243" i="19"/>
  <c r="E388" i="19"/>
  <c r="E148" i="19"/>
  <c r="E244" i="19"/>
  <c r="E389" i="19"/>
  <c r="E390" i="19"/>
  <c r="E391" i="19"/>
  <c r="E245" i="19"/>
  <c r="E149" i="19"/>
  <c r="E329" i="19"/>
  <c r="E62" i="19"/>
  <c r="E246" i="19"/>
  <c r="E392" i="19"/>
  <c r="E330" i="19"/>
  <c r="E63" i="19"/>
  <c r="E247" i="19"/>
  <c r="E248" i="19"/>
  <c r="E150" i="19"/>
  <c r="E249" i="19"/>
  <c r="E250" i="19"/>
  <c r="E151" i="19"/>
  <c r="E251" i="19"/>
  <c r="E64" i="19"/>
  <c r="E103" i="19"/>
  <c r="E65" i="19"/>
  <c r="E34" i="19"/>
  <c r="E35" i="19"/>
  <c r="E152" i="19"/>
  <c r="E153" i="19"/>
  <c r="E66" i="19"/>
  <c r="E154" i="19"/>
  <c r="E252" i="19"/>
  <c r="E67" i="19"/>
  <c r="E104" i="19"/>
  <c r="E155" i="19"/>
  <c r="E156" i="19"/>
  <c r="E157" i="19"/>
  <c r="E68" i="19"/>
  <c r="E253" i="19"/>
  <c r="E158" i="19"/>
  <c r="E159" i="19"/>
  <c r="E254" i="19"/>
  <c r="E12" i="19"/>
  <c r="E393" i="19"/>
  <c r="E331" i="19"/>
  <c r="E332" i="19"/>
  <c r="E394" i="19"/>
  <c r="E69" i="19"/>
  <c r="E255" i="19"/>
  <c r="E36" i="19"/>
  <c r="E70" i="19"/>
  <c r="E256" i="19"/>
  <c r="E71" i="19"/>
  <c r="E160" i="19"/>
  <c r="E13" i="19"/>
  <c r="E257" i="19"/>
  <c r="E24" i="19"/>
  <c r="E258" i="19"/>
  <c r="E105" i="19"/>
  <c r="E161" i="19"/>
  <c r="E162" i="19"/>
  <c r="E72" i="19"/>
  <c r="E259" i="19"/>
  <c r="E333" i="19"/>
  <c r="E73" i="19"/>
  <c r="E163" i="19"/>
  <c r="E74" i="19"/>
  <c r="E164" i="19"/>
  <c r="E260" i="19"/>
  <c r="E395" i="19"/>
  <c r="E37" i="19"/>
  <c r="E75" i="19"/>
  <c r="E106" i="19"/>
  <c r="E165" i="19"/>
  <c r="E107" i="19"/>
  <c r="E166" i="19"/>
  <c r="E108" i="19"/>
  <c r="E334" i="19"/>
  <c r="E109" i="19"/>
  <c r="E76" i="19"/>
  <c r="E261" i="19"/>
  <c r="E110" i="19"/>
  <c r="E262" i="19"/>
  <c r="E38" i="19"/>
  <c r="E111" i="19"/>
  <c r="E167" i="19"/>
  <c r="E396" i="19"/>
  <c r="E397" i="19"/>
  <c r="E112" i="19"/>
  <c r="E263" i="19"/>
  <c r="E113" i="19"/>
  <c r="E77" i="19"/>
  <c r="E114" i="19"/>
  <c r="E115" i="19"/>
  <c r="E39" i="19"/>
  <c r="E168" i="19"/>
  <c r="E264" i="19"/>
  <c r="E169" i="19"/>
  <c r="E335" i="19"/>
  <c r="E116" i="19"/>
  <c r="E265" i="19"/>
  <c r="E117" i="19"/>
  <c r="E266" i="19"/>
  <c r="E25" i="19"/>
  <c r="E118" i="19"/>
  <c r="E267" i="19"/>
  <c r="E268" i="19"/>
  <c r="E170" i="19"/>
  <c r="E14" i="19"/>
  <c r="E119" i="19"/>
  <c r="E171" i="19"/>
  <c r="E336" i="19"/>
  <c r="E269" i="19"/>
  <c r="E172" i="19"/>
  <c r="E78" i="19"/>
  <c r="E120" i="19"/>
  <c r="E173" i="19"/>
  <c r="E174" i="19"/>
  <c r="E79" i="19"/>
  <c r="E270" i="19"/>
  <c r="E175" i="19"/>
  <c r="E271" i="19"/>
  <c r="E26" i="19"/>
  <c r="E121" i="19"/>
  <c r="E337" i="19"/>
  <c r="E122" i="19"/>
  <c r="E272" i="19"/>
  <c r="E176" i="19"/>
  <c r="E177" i="19"/>
  <c r="E40" i="19"/>
  <c r="E178" i="19"/>
  <c r="E273" i="19"/>
  <c r="E80" i="19"/>
  <c r="E179" i="19"/>
  <c r="E180" i="19"/>
  <c r="E41" i="19"/>
  <c r="E398" i="19"/>
  <c r="E274" i="19"/>
  <c r="E181" i="19"/>
  <c r="E275" i="19"/>
  <c r="E338" i="19"/>
  <c r="E123" i="19"/>
  <c r="E276" i="19"/>
  <c r="E124" i="19"/>
  <c r="E339" i="19"/>
  <c r="E182" i="19"/>
  <c r="E399" i="19"/>
  <c r="E81" i="19"/>
  <c r="E400" i="19"/>
  <c r="E340" i="19"/>
  <c r="E183" i="19"/>
  <c r="E184" i="19"/>
  <c r="E401" i="19"/>
  <c r="E402" i="19"/>
  <c r="E341" i="19"/>
  <c r="E277" i="19"/>
  <c r="E17" i="19"/>
  <c r="E278" i="19"/>
  <c r="E403" i="19"/>
  <c r="E185" i="19"/>
  <c r="E82" i="19"/>
  <c r="E342" i="19"/>
  <c r="E125" i="19"/>
  <c r="E279" i="19"/>
  <c r="E83" i="19"/>
  <c r="E280" i="19"/>
  <c r="E186" i="19"/>
  <c r="E42" i="19"/>
  <c r="E281" i="19"/>
  <c r="E187" i="19"/>
  <c r="E282" i="19"/>
  <c r="E84" i="19"/>
  <c r="E188" i="19"/>
  <c r="E189" i="19"/>
  <c r="E18" i="19"/>
  <c r="E343" i="19"/>
  <c r="E190" i="19"/>
  <c r="E283" i="19"/>
  <c r="E191" i="19"/>
  <c r="E27" i="19"/>
  <c r="E43" i="19"/>
  <c r="E192" i="19"/>
  <c r="E126" i="19"/>
  <c r="E19" i="19"/>
  <c r="E193" i="19"/>
  <c r="E85" i="19"/>
  <c r="E284" i="19"/>
  <c r="E285" i="19"/>
  <c r="E194" i="19"/>
  <c r="E286" i="19"/>
  <c r="E287" i="19"/>
  <c r="E86" i="19"/>
  <c r="E195" i="19"/>
  <c r="E196" i="19"/>
  <c r="E197" i="19"/>
  <c r="E288" i="19"/>
  <c r="E289" i="19"/>
  <c r="E290" i="19"/>
  <c r="E44" i="19"/>
  <c r="E198" i="19"/>
  <c r="E291" i="19"/>
  <c r="E127" i="19"/>
  <c r="E199" i="19"/>
  <c r="E344" i="19"/>
  <c r="E292" i="19"/>
  <c r="E200" i="19"/>
  <c r="E345" i="19"/>
  <c r="E201" i="19"/>
  <c r="E87" i="19"/>
  <c r="E293" i="19"/>
  <c r="E202" i="19"/>
  <c r="E28" i="19"/>
  <c r="E294" i="19"/>
  <c r="E88" i="19"/>
  <c r="E346" i="19"/>
  <c r="E295" i="19"/>
  <c r="E347" i="19"/>
  <c r="E203" i="19"/>
  <c r="E128" i="19"/>
  <c r="E204" i="19"/>
  <c r="E45" i="19"/>
  <c r="E129" i="19"/>
  <c r="E296" i="19"/>
  <c r="E130" i="19"/>
  <c r="E297" i="19"/>
  <c r="E131" i="19"/>
  <c r="E298" i="19"/>
  <c r="E205" i="19"/>
  <c r="E299" i="19"/>
  <c r="E300" i="19"/>
  <c r="E348" i="19"/>
  <c r="E89" i="19"/>
  <c r="E15" i="19"/>
  <c r="E206" i="19"/>
  <c r="E29" i="19"/>
  <c r="E301" i="19"/>
  <c r="E90" i="19"/>
  <c r="E207" i="19"/>
  <c r="E302" i="19"/>
  <c r="E404" i="19"/>
  <c r="E91" i="19"/>
  <c r="E30" i="19"/>
  <c r="E208" i="19"/>
  <c r="E349" i="19"/>
  <c r="E209" i="19"/>
  <c r="E20" i="19"/>
  <c r="E303" i="19"/>
  <c r="E350" i="19"/>
  <c r="E210" i="19"/>
  <c r="E351" i="19"/>
  <c r="E46" i="19"/>
  <c r="E211" i="19"/>
  <c r="E212" i="19"/>
  <c r="E213" i="19"/>
  <c r="B237" i="19"/>
  <c r="B96" i="19"/>
  <c r="B350" i="19"/>
  <c r="B316" i="19"/>
  <c r="B238" i="19"/>
  <c r="B57" i="19"/>
  <c r="B2" i="19"/>
  <c r="B351" i="19"/>
  <c r="B159" i="19"/>
  <c r="B352" i="19"/>
  <c r="B58" i="19"/>
  <c r="B239" i="19"/>
  <c r="B353" i="19"/>
  <c r="B160" i="19"/>
  <c r="B240" i="19"/>
  <c r="B97" i="19"/>
  <c r="B98" i="19"/>
  <c r="B354" i="19"/>
  <c r="B317" i="19"/>
  <c r="B355" i="19"/>
  <c r="B241" i="19"/>
  <c r="B59" i="19"/>
  <c r="B318" i="19"/>
  <c r="B99" i="19"/>
  <c r="B356" i="19"/>
  <c r="B3" i="19"/>
  <c r="B4" i="19"/>
  <c r="B357" i="19"/>
  <c r="B358" i="19"/>
  <c r="B359" i="19"/>
  <c r="B60" i="19"/>
  <c r="B242" i="19"/>
  <c r="B360" i="19"/>
  <c r="B361" i="19"/>
  <c r="B362" i="19"/>
  <c r="B363" i="19"/>
  <c r="B243" i="19"/>
  <c r="B364" i="19"/>
  <c r="B244" i="19"/>
  <c r="B319" i="19"/>
  <c r="B365" i="19"/>
  <c r="B100" i="19"/>
  <c r="B245" i="19"/>
  <c r="B366" i="19"/>
  <c r="B5" i="19"/>
  <c r="B246" i="19"/>
  <c r="B367" i="19"/>
  <c r="B247" i="19"/>
  <c r="B368" i="19"/>
  <c r="B369" i="19"/>
  <c r="B370" i="19"/>
  <c r="B371" i="19"/>
  <c r="B248" i="19"/>
  <c r="B372" i="19"/>
  <c r="B373" i="19"/>
  <c r="B374" i="19"/>
  <c r="B61" i="19"/>
  <c r="B320" i="19"/>
  <c r="B62" i="19"/>
  <c r="B249" i="19"/>
  <c r="B321" i="19"/>
  <c r="B322" i="19"/>
  <c r="B323" i="19"/>
  <c r="B375" i="19"/>
  <c r="B161" i="19"/>
  <c r="B63" i="19"/>
  <c r="B30" i="19"/>
  <c r="B162" i="19"/>
  <c r="B101" i="19"/>
  <c r="B22" i="19"/>
  <c r="B250" i="19"/>
  <c r="B64" i="19"/>
  <c r="B65" i="19"/>
  <c r="B251" i="19"/>
  <c r="B66" i="19"/>
  <c r="B252" i="19"/>
  <c r="B253" i="19"/>
  <c r="B102" i="19"/>
  <c r="B254" i="19"/>
  <c r="B163" i="19"/>
  <c r="B255" i="19"/>
  <c r="B376" i="19"/>
  <c r="B103" i="19"/>
  <c r="B324" i="19"/>
  <c r="B67" i="19"/>
  <c r="B377" i="19"/>
  <c r="B378" i="19"/>
  <c r="B379" i="19"/>
  <c r="B104" i="19"/>
  <c r="B380" i="19"/>
  <c r="B381" i="19"/>
  <c r="B68" i="19"/>
  <c r="B325" i="19"/>
  <c r="B31" i="19"/>
  <c r="B256" i="19"/>
  <c r="B105" i="19"/>
  <c r="B257" i="19"/>
  <c r="B106" i="19"/>
  <c r="B258" i="19"/>
  <c r="B259" i="19"/>
  <c r="B69" i="19"/>
  <c r="B260" i="19"/>
  <c r="B107" i="19"/>
  <c r="B326" i="19"/>
  <c r="B382" i="19"/>
  <c r="B164" i="19"/>
  <c r="B70" i="19"/>
  <c r="B383" i="19"/>
  <c r="B165" i="19"/>
  <c r="B261" i="19"/>
  <c r="B166" i="19"/>
  <c r="B6" i="19"/>
  <c r="B384" i="19"/>
  <c r="B7" i="19"/>
  <c r="B327" i="19"/>
  <c r="B262" i="19"/>
  <c r="B32" i="19"/>
  <c r="B263" i="19"/>
  <c r="B108" i="19"/>
  <c r="B8" i="19"/>
  <c r="B33" i="19"/>
  <c r="B167" i="19"/>
  <c r="B385" i="19"/>
  <c r="B386" i="19"/>
  <c r="B264" i="19"/>
  <c r="B9" i="19"/>
  <c r="B109" i="19"/>
  <c r="B110" i="19"/>
  <c r="B71" i="19"/>
  <c r="B265" i="19"/>
  <c r="B328" i="19"/>
  <c r="B72" i="19"/>
  <c r="B329" i="19"/>
  <c r="B73" i="19"/>
  <c r="B266" i="19"/>
  <c r="B267" i="19"/>
  <c r="B268" i="19"/>
  <c r="B74" i="19"/>
  <c r="B387" i="19"/>
  <c r="B269" i="19"/>
  <c r="B75" i="19"/>
  <c r="B10" i="19"/>
  <c r="B330" i="19"/>
  <c r="B388" i="19"/>
  <c r="B270" i="19"/>
  <c r="B168" i="19"/>
  <c r="B111" i="19"/>
  <c r="B389" i="19"/>
  <c r="B169" i="19"/>
  <c r="B271" i="19"/>
  <c r="B390" i="19"/>
  <c r="B170" i="19"/>
  <c r="B171" i="19"/>
  <c r="B391" i="19"/>
  <c r="B392" i="19"/>
  <c r="B393" i="19"/>
  <c r="B172" i="19"/>
  <c r="B13" i="19"/>
  <c r="B331" i="19"/>
  <c r="B173" i="19"/>
  <c r="B23" i="19"/>
  <c r="B394" i="19"/>
  <c r="B272" i="19"/>
  <c r="B76" i="19"/>
  <c r="B395" i="19"/>
  <c r="B77" i="19"/>
  <c r="B174" i="19"/>
  <c r="B273" i="19"/>
  <c r="B78" i="19"/>
  <c r="B112" i="19"/>
  <c r="B274" i="19"/>
  <c r="B79" i="19"/>
  <c r="B113" i="19"/>
  <c r="B34" i="19"/>
  <c r="B14" i="19"/>
  <c r="B35" i="19"/>
  <c r="B114" i="19"/>
  <c r="B175" i="19"/>
  <c r="B80" i="19"/>
  <c r="B115" i="19"/>
  <c r="B275" i="19"/>
  <c r="B15" i="19"/>
  <c r="B116" i="19"/>
  <c r="B176" i="19"/>
  <c r="B177" i="19"/>
  <c r="B117" i="19"/>
  <c r="B81" i="19"/>
  <c r="B276" i="19"/>
  <c r="B178" i="19"/>
  <c r="B179" i="19"/>
  <c r="B277" i="19"/>
  <c r="B11" i="19"/>
  <c r="B396" i="19"/>
  <c r="B332" i="19"/>
  <c r="B333" i="19"/>
  <c r="B334" i="19"/>
  <c r="B82" i="19"/>
  <c r="B335" i="19"/>
  <c r="B36" i="19"/>
  <c r="B83" i="19"/>
  <c r="B118" i="19"/>
  <c r="B84" i="19"/>
  <c r="B180" i="19"/>
  <c r="B24" i="19"/>
  <c r="B278" i="19"/>
  <c r="B37" i="19"/>
  <c r="B181" i="19"/>
  <c r="B119" i="19"/>
  <c r="B182" i="19"/>
  <c r="B183" i="19"/>
  <c r="B85" i="19"/>
  <c r="B184" i="19"/>
  <c r="B336" i="19"/>
  <c r="B86" i="19"/>
  <c r="B120" i="19"/>
  <c r="B87" i="19"/>
  <c r="B121" i="19"/>
  <c r="B185" i="19"/>
  <c r="B397" i="19"/>
  <c r="B38" i="19"/>
  <c r="B39" i="19"/>
  <c r="B122" i="19"/>
  <c r="B186" i="19"/>
  <c r="B123" i="19"/>
  <c r="B187" i="19"/>
  <c r="B124" i="19"/>
  <c r="B279" i="19"/>
  <c r="B125" i="19"/>
  <c r="B40" i="19"/>
  <c r="B280" i="19"/>
  <c r="B126" i="19"/>
  <c r="B281" i="19"/>
  <c r="B41" i="19"/>
  <c r="B127" i="19"/>
  <c r="B188" i="19"/>
  <c r="B398" i="19"/>
  <c r="B282" i="19"/>
  <c r="B128" i="19"/>
  <c r="B283" i="19"/>
  <c r="B189" i="19"/>
  <c r="B129" i="19"/>
  <c r="B130" i="19"/>
  <c r="B190" i="19"/>
  <c r="B42" i="19"/>
  <c r="B131" i="19"/>
  <c r="B284" i="19"/>
  <c r="B191" i="19"/>
  <c r="B337" i="19"/>
  <c r="B192" i="19"/>
  <c r="B285" i="19"/>
  <c r="B132" i="19"/>
  <c r="B286" i="19"/>
  <c r="B43" i="19"/>
  <c r="B133" i="19"/>
  <c r="B287" i="19"/>
  <c r="B193" i="19"/>
  <c r="B134" i="19"/>
  <c r="B16" i="19"/>
  <c r="B135" i="19"/>
  <c r="B136" i="19"/>
  <c r="B338" i="19"/>
  <c r="B288" i="19"/>
  <c r="B194" i="19"/>
  <c r="B137" i="19"/>
  <c r="B195" i="19"/>
  <c r="B138" i="19"/>
  <c r="B196" i="19"/>
  <c r="B44" i="19"/>
  <c r="B289" i="19"/>
  <c r="B197" i="19"/>
  <c r="B198" i="19"/>
  <c r="B25" i="19"/>
  <c r="B139" i="19"/>
  <c r="B290" i="19"/>
  <c r="B140" i="19"/>
  <c r="B291" i="19"/>
  <c r="B141" i="19"/>
  <c r="B142" i="19"/>
  <c r="B45" i="19"/>
  <c r="B143" i="19"/>
  <c r="B292" i="19"/>
  <c r="B88" i="19"/>
  <c r="B199" i="19"/>
  <c r="B200" i="19"/>
  <c r="B46" i="19"/>
  <c r="B399" i="19"/>
  <c r="B293" i="19"/>
  <c r="B201" i="19"/>
  <c r="B294" i="19"/>
  <c r="B339" i="19"/>
  <c r="B144" i="19"/>
  <c r="B295" i="19"/>
  <c r="B145" i="19"/>
  <c r="B296" i="19"/>
  <c r="B202" i="19"/>
  <c r="B89" i="19"/>
  <c r="B90" i="19"/>
  <c r="B400" i="19"/>
  <c r="B340" i="19"/>
  <c r="B297" i="19"/>
  <c r="B203" i="19"/>
  <c r="B146" i="19"/>
  <c r="B401" i="19"/>
  <c r="B204" i="19"/>
  <c r="B26" i="19"/>
  <c r="B17" i="19"/>
  <c r="B402" i="19"/>
  <c r="B403" i="19"/>
  <c r="B205" i="19"/>
  <c r="B147" i="19"/>
  <c r="B298" i="19"/>
  <c r="B148" i="19"/>
  <c r="B206" i="19"/>
  <c r="B47" i="19"/>
  <c r="B149" i="19"/>
  <c r="B207" i="19"/>
  <c r="B48" i="19"/>
  <c r="B299" i="19"/>
  <c r="B91" i="19"/>
  <c r="B300" i="19"/>
  <c r="B92" i="19"/>
  <c r="B208" i="19"/>
  <c r="B209" i="19"/>
  <c r="B18" i="19"/>
  <c r="B301" i="19"/>
  <c r="B210" i="19"/>
  <c r="B211" i="19"/>
  <c r="B212" i="19"/>
  <c r="B27" i="19"/>
  <c r="B49" i="19"/>
  <c r="B213" i="19"/>
  <c r="B150" i="19"/>
  <c r="B19" i="19"/>
  <c r="B214" i="19"/>
  <c r="B50" i="19"/>
  <c r="B215" i="19"/>
  <c r="B302" i="19"/>
  <c r="B216" i="19"/>
  <c r="B217" i="19"/>
  <c r="B303" i="19"/>
  <c r="B93" i="19"/>
  <c r="B218" i="19"/>
  <c r="B219" i="19"/>
  <c r="B220" i="19"/>
  <c r="B341" i="19"/>
  <c r="B304" i="19"/>
  <c r="B305" i="19"/>
  <c r="B51" i="19"/>
  <c r="B221" i="19"/>
  <c r="B306" i="19"/>
  <c r="B151" i="19"/>
  <c r="B222" i="19"/>
  <c r="B342" i="19"/>
  <c r="B223" i="19"/>
  <c r="B224" i="19"/>
  <c r="B343" i="19"/>
  <c r="B225" i="19"/>
  <c r="B52" i="19"/>
  <c r="B344" i="19"/>
  <c r="B226" i="19"/>
  <c r="B28" i="19"/>
  <c r="B307" i="19"/>
  <c r="B53" i="19"/>
  <c r="B345" i="19"/>
  <c r="B227" i="19"/>
  <c r="B308" i="19"/>
  <c r="B228" i="19"/>
  <c r="B152" i="19"/>
  <c r="B153" i="19"/>
  <c r="B54" i="19"/>
  <c r="B154" i="19"/>
  <c r="B309" i="19"/>
  <c r="B155" i="19"/>
  <c r="B310" i="19"/>
  <c r="B156" i="19"/>
  <c r="B229" i="19"/>
  <c r="B157" i="19"/>
  <c r="B311" i="19"/>
  <c r="B312" i="19"/>
  <c r="B346" i="19"/>
  <c r="B94" i="19"/>
  <c r="B12" i="19"/>
  <c r="B230" i="19"/>
  <c r="B29" i="19"/>
  <c r="B313" i="19"/>
  <c r="B95" i="19"/>
  <c r="B231" i="19"/>
  <c r="B158" i="19"/>
  <c r="B404" i="19"/>
  <c r="B55" i="19"/>
  <c r="B20" i="19"/>
  <c r="B232" i="19"/>
  <c r="B347" i="19"/>
  <c r="B233" i="19"/>
  <c r="B21" i="19"/>
  <c r="B314" i="19"/>
  <c r="B348" i="19"/>
  <c r="B234" i="19"/>
  <c r="B315" i="19"/>
  <c r="B56" i="19"/>
  <c r="B235" i="19"/>
  <c r="B236" i="19"/>
  <c r="B349" i="19"/>
  <c r="A7" i="12"/>
  <c r="B7" i="12"/>
  <c r="C7" i="12"/>
  <c r="D7" i="12"/>
  <c r="E7" i="12"/>
  <c r="F7" i="12"/>
  <c r="G7" i="12"/>
  <c r="H7" i="12"/>
  <c r="I7" i="12"/>
  <c r="J7" i="12"/>
  <c r="K7" i="12"/>
  <c r="L7" i="12"/>
  <c r="M7" i="12"/>
  <c r="N7" i="12"/>
  <c r="O7" i="12"/>
  <c r="P7" i="12"/>
  <c r="Q7" i="12"/>
  <c r="R7" i="12" s="1"/>
  <c r="S7" i="12"/>
  <c r="T7" i="12" s="1"/>
  <c r="U7" i="12"/>
  <c r="V7" i="12"/>
  <c r="Z7" i="12" s="1"/>
  <c r="X7" i="12"/>
  <c r="Y7" i="12"/>
  <c r="AA7" i="12"/>
  <c r="AB7" i="12" s="1"/>
  <c r="AC7" i="12"/>
  <c r="AD7" i="12" s="1"/>
  <c r="AE7" i="12"/>
  <c r="AF7" i="12"/>
  <c r="AG7" i="12" s="1"/>
  <c r="AH7" i="12"/>
  <c r="AI7" i="12" s="1"/>
  <c r="AK7" i="12"/>
  <c r="AL7" i="12" s="1"/>
  <c r="AM7" i="12"/>
  <c r="AN7" i="12" s="1"/>
  <c r="AP7" i="12"/>
  <c r="AQ7" i="12" s="1"/>
  <c r="AR7" i="12"/>
  <c r="AS7" i="12"/>
  <c r="AU7" i="12"/>
  <c r="AV7" i="12" s="1"/>
  <c r="AW7" i="12"/>
  <c r="AX7" i="12" s="1"/>
  <c r="AZ7" i="12"/>
  <c r="BA7" i="12"/>
  <c r="BB7" i="12"/>
  <c r="BD7" i="12" s="1"/>
  <c r="BC7" i="12"/>
  <c r="BE7" i="12"/>
  <c r="BF7" i="12" s="1"/>
  <c r="BG7" i="12"/>
  <c r="BH7" i="12"/>
  <c r="BH405" i="21"/>
  <c r="E61" i="22" l="1"/>
  <c r="E60" i="22"/>
  <c r="H60" i="22" s="1"/>
  <c r="E55" i="22"/>
  <c r="H55" i="22" s="1"/>
  <c r="E15" i="22"/>
  <c r="H15" i="22" s="1"/>
  <c r="E14" i="22"/>
  <c r="I14" i="22" s="1"/>
  <c r="E11" i="22"/>
  <c r="E10" i="22"/>
  <c r="E9" i="22" s="1"/>
  <c r="E7" i="22"/>
  <c r="H7" i="22" s="1"/>
  <c r="H23" i="22"/>
  <c r="I35" i="22"/>
  <c r="I49" i="22"/>
  <c r="I71" i="22"/>
  <c r="J49" i="22"/>
  <c r="E54" i="22"/>
  <c r="H54" i="22" s="1"/>
  <c r="J71" i="22"/>
  <c r="E40" i="22"/>
  <c r="J40" i="22" s="1"/>
  <c r="I24" i="22"/>
  <c r="I38" i="22"/>
  <c r="J35" i="22"/>
  <c r="J24" i="22"/>
  <c r="J38" i="22"/>
  <c r="J60" i="22"/>
  <c r="I15" i="22"/>
  <c r="J51" i="22"/>
  <c r="I51" i="22"/>
  <c r="J25" i="22"/>
  <c r="J39" i="22"/>
  <c r="J61" i="22"/>
  <c r="H75" i="22"/>
  <c r="I75" i="22"/>
  <c r="J75" i="22"/>
  <c r="H30" i="22"/>
  <c r="J30" i="22"/>
  <c r="I30" i="22"/>
  <c r="J11" i="22"/>
  <c r="J26" i="22"/>
  <c r="I26" i="22"/>
  <c r="I64" i="22"/>
  <c r="J64" i="22"/>
  <c r="H64" i="22"/>
  <c r="I76" i="22"/>
  <c r="J76" i="22"/>
  <c r="I61" i="22"/>
  <c r="H61" i="22"/>
  <c r="H14" i="22"/>
  <c r="I40" i="22"/>
  <c r="H40" i="22"/>
  <c r="I50" i="22"/>
  <c r="H50" i="22"/>
  <c r="H39" i="22"/>
  <c r="I39" i="22"/>
  <c r="H70" i="22"/>
  <c r="I25" i="22"/>
  <c r="H25" i="22"/>
  <c r="H11" i="22"/>
  <c r="I11" i="22"/>
  <c r="H41" i="22"/>
  <c r="J41" i="22"/>
  <c r="I41" i="22"/>
  <c r="J50" i="22"/>
  <c r="J65" i="22"/>
  <c r="H65" i="22"/>
  <c r="I65" i="22"/>
  <c r="I70" i="22"/>
  <c r="H26" i="22"/>
  <c r="H51" i="22"/>
  <c r="H76" i="22"/>
  <c r="E48" i="22"/>
  <c r="J48" i="22" s="1"/>
  <c r="E2" i="22"/>
  <c r="I2" i="22" s="1"/>
  <c r="E19" i="22"/>
  <c r="I19" i="22" s="1"/>
  <c r="E22" i="22"/>
  <c r="J22" i="22" s="1"/>
  <c r="E33" i="22"/>
  <c r="I33" i="22" s="1"/>
  <c r="E47" i="22"/>
  <c r="H47" i="22" s="1"/>
  <c r="E58" i="22"/>
  <c r="J58" i="22" s="1"/>
  <c r="E69" i="22"/>
  <c r="H69" i="22" s="1"/>
  <c r="I74" i="22"/>
  <c r="E34" i="22"/>
  <c r="I34" i="22" s="1"/>
  <c r="H38" i="22"/>
  <c r="E18" i="22"/>
  <c r="H18" i="22" s="1"/>
  <c r="E32" i="22"/>
  <c r="J32" i="22" s="1"/>
  <c r="E43" i="22"/>
  <c r="J43" i="22" s="1"/>
  <c r="E46" i="22"/>
  <c r="E57" i="22"/>
  <c r="J57" i="22" s="1"/>
  <c r="E68" i="22"/>
  <c r="J68" i="22" s="1"/>
  <c r="J74" i="22"/>
  <c r="E79" i="22"/>
  <c r="I79" i="22" s="1"/>
  <c r="E3" i="22"/>
  <c r="J3" i="22" s="1"/>
  <c r="E6" i="22"/>
  <c r="E59" i="22"/>
  <c r="J59" i="22" s="1"/>
  <c r="E17" i="22"/>
  <c r="J17" i="22" s="1"/>
  <c r="J23" i="22"/>
  <c r="E31" i="22"/>
  <c r="E42" i="22"/>
  <c r="E56" i="22"/>
  <c r="E67" i="22"/>
  <c r="J67" i="22" s="1"/>
  <c r="J70" i="22"/>
  <c r="E78" i="22"/>
  <c r="J78" i="22" s="1"/>
  <c r="E16" i="22"/>
  <c r="J16" i="22" s="1"/>
  <c r="E27" i="22"/>
  <c r="H27" i="22" s="1"/>
  <c r="E66" i="22"/>
  <c r="E77" i="22"/>
  <c r="J77" i="22" s="1"/>
  <c r="AJ7" i="12"/>
  <c r="AT7" i="12"/>
  <c r="W7" i="12"/>
  <c r="AO7" i="12"/>
  <c r="BI7" i="12"/>
  <c r="AY7" i="12"/>
  <c r="AY3" i="21"/>
  <c r="AY4" i="21"/>
  <c r="AZ4" i="21" s="1"/>
  <c r="AY5" i="21"/>
  <c r="AZ5" i="21" s="1"/>
  <c r="AY6" i="21"/>
  <c r="AZ6" i="21" s="1"/>
  <c r="AY7" i="21"/>
  <c r="AZ7" i="21" s="1"/>
  <c r="AY8" i="21"/>
  <c r="AZ8" i="21" s="1"/>
  <c r="AY9" i="21"/>
  <c r="AZ9" i="21" s="1"/>
  <c r="AY10" i="21"/>
  <c r="AZ10" i="21" s="1"/>
  <c r="AY11" i="21"/>
  <c r="AY12" i="21"/>
  <c r="AZ12" i="21" s="1"/>
  <c r="AY13" i="21"/>
  <c r="AZ13" i="21" s="1"/>
  <c r="AY14" i="21"/>
  <c r="AZ14" i="21" s="1"/>
  <c r="AY15" i="21"/>
  <c r="AZ15" i="21" s="1"/>
  <c r="AY16" i="21"/>
  <c r="AZ16" i="21" s="1"/>
  <c r="AY17" i="21"/>
  <c r="AZ17" i="21" s="1"/>
  <c r="AY18" i="21"/>
  <c r="AZ18" i="21" s="1"/>
  <c r="AY19" i="21"/>
  <c r="AZ19" i="21" s="1"/>
  <c r="AY20" i="21"/>
  <c r="AZ20" i="21" s="1"/>
  <c r="AY21" i="21"/>
  <c r="AZ21" i="21" s="1"/>
  <c r="AY22" i="21"/>
  <c r="AZ22" i="21" s="1"/>
  <c r="AY23" i="21"/>
  <c r="AZ23" i="21" s="1"/>
  <c r="AY24" i="21"/>
  <c r="AZ24" i="21" s="1"/>
  <c r="AY25" i="21"/>
  <c r="AZ25" i="21" s="1"/>
  <c r="AY26" i="21"/>
  <c r="AZ26" i="21" s="1"/>
  <c r="AY27" i="21"/>
  <c r="AY28" i="21"/>
  <c r="AY29" i="21"/>
  <c r="AZ29" i="21" s="1"/>
  <c r="AY30" i="21"/>
  <c r="AZ30" i="21" s="1"/>
  <c r="AY31" i="21"/>
  <c r="AZ31" i="21" s="1"/>
  <c r="AY32" i="21"/>
  <c r="AZ32" i="21" s="1"/>
  <c r="AY33" i="21"/>
  <c r="AZ33" i="21" s="1"/>
  <c r="AY34" i="21"/>
  <c r="AZ34" i="21" s="1"/>
  <c r="AY35" i="21"/>
  <c r="AY36" i="21"/>
  <c r="AZ36" i="21" s="1"/>
  <c r="AY37" i="21"/>
  <c r="AZ37" i="21" s="1"/>
  <c r="AY38" i="21"/>
  <c r="AZ38" i="21" s="1"/>
  <c r="AY39" i="21"/>
  <c r="AZ39" i="21" s="1"/>
  <c r="AY40" i="21"/>
  <c r="AZ40" i="21" s="1"/>
  <c r="AY41" i="21"/>
  <c r="AZ41" i="21" s="1"/>
  <c r="AY42" i="21"/>
  <c r="AZ42" i="21" s="1"/>
  <c r="AY43" i="21"/>
  <c r="AZ43" i="21" s="1"/>
  <c r="AY44" i="21"/>
  <c r="AZ44" i="21" s="1"/>
  <c r="AY45" i="21"/>
  <c r="AZ45" i="21" s="1"/>
  <c r="AY46" i="21"/>
  <c r="AZ46" i="21" s="1"/>
  <c r="AY47" i="21"/>
  <c r="AY48" i="21"/>
  <c r="AZ48" i="21" s="1"/>
  <c r="AY49" i="21"/>
  <c r="AZ49" i="21" s="1"/>
  <c r="AY50" i="21"/>
  <c r="AZ50" i="21" s="1"/>
  <c r="AY51" i="21"/>
  <c r="AZ51" i="21" s="1"/>
  <c r="AY52" i="21"/>
  <c r="AZ52" i="21" s="1"/>
  <c r="AY53" i="21"/>
  <c r="AZ53" i="21" s="1"/>
  <c r="AY54" i="21"/>
  <c r="AZ54" i="21" s="1"/>
  <c r="AY55" i="21"/>
  <c r="AZ55" i="21" s="1"/>
  <c r="AY56" i="21"/>
  <c r="AZ56" i="21" s="1"/>
  <c r="AY57" i="21"/>
  <c r="AZ57" i="21" s="1"/>
  <c r="AY58" i="21"/>
  <c r="AZ58" i="21" s="1"/>
  <c r="AY59" i="21"/>
  <c r="AZ59" i="21" s="1"/>
  <c r="AY60" i="21"/>
  <c r="AZ60" i="21" s="1"/>
  <c r="AY61" i="21"/>
  <c r="AZ61" i="21" s="1"/>
  <c r="AY62" i="21"/>
  <c r="AZ62" i="21" s="1"/>
  <c r="AY63" i="21"/>
  <c r="AZ63" i="21" s="1"/>
  <c r="AY64" i="21"/>
  <c r="AZ64" i="21" s="1"/>
  <c r="AY65" i="21"/>
  <c r="AZ65" i="21" s="1"/>
  <c r="AY66" i="21"/>
  <c r="AZ66" i="21" s="1"/>
  <c r="AY67" i="21"/>
  <c r="AZ67" i="21" s="1"/>
  <c r="AY68" i="21"/>
  <c r="AZ68" i="21" s="1"/>
  <c r="AY69" i="21"/>
  <c r="AZ69" i="21" s="1"/>
  <c r="AY70" i="21"/>
  <c r="AZ70" i="21" s="1"/>
  <c r="AY71" i="21"/>
  <c r="AZ71" i="21" s="1"/>
  <c r="AY72" i="21"/>
  <c r="AZ72" i="21" s="1"/>
  <c r="AY73" i="21"/>
  <c r="AZ73" i="21" s="1"/>
  <c r="AY74" i="21"/>
  <c r="AZ74" i="21" s="1"/>
  <c r="AY75" i="21"/>
  <c r="AZ75" i="21" s="1"/>
  <c r="AY76" i="21"/>
  <c r="AZ76" i="21" s="1"/>
  <c r="AY77" i="21"/>
  <c r="AZ77" i="21" s="1"/>
  <c r="AY78" i="21"/>
  <c r="AZ78" i="21" s="1"/>
  <c r="AY79" i="21"/>
  <c r="AY80" i="21"/>
  <c r="AZ80" i="21" s="1"/>
  <c r="AY81" i="21"/>
  <c r="AZ81" i="21" s="1"/>
  <c r="AY82" i="21"/>
  <c r="AZ82" i="21" s="1"/>
  <c r="AY83" i="21"/>
  <c r="AY84" i="21"/>
  <c r="AZ84" i="21" s="1"/>
  <c r="AY85" i="21"/>
  <c r="AZ85" i="21" s="1"/>
  <c r="AY86" i="21"/>
  <c r="AZ86" i="21" s="1"/>
  <c r="AY87" i="21"/>
  <c r="AZ87" i="21" s="1"/>
  <c r="AY88" i="21"/>
  <c r="AZ88" i="21" s="1"/>
  <c r="AY89" i="21"/>
  <c r="AZ89" i="21" s="1"/>
  <c r="AY90" i="21"/>
  <c r="AZ90" i="21" s="1"/>
  <c r="AY91" i="21"/>
  <c r="AY92" i="21"/>
  <c r="AZ92" i="21" s="1"/>
  <c r="AY93" i="21"/>
  <c r="AZ93" i="21" s="1"/>
  <c r="AY94" i="21"/>
  <c r="AZ94" i="21" s="1"/>
  <c r="AY95" i="21"/>
  <c r="AY96" i="21"/>
  <c r="AZ96" i="21" s="1"/>
  <c r="AY97" i="21"/>
  <c r="AZ97" i="21" s="1"/>
  <c r="AY98" i="21"/>
  <c r="AY99" i="21"/>
  <c r="AY100" i="21"/>
  <c r="AZ100" i="21" s="1"/>
  <c r="AY101" i="21"/>
  <c r="AZ101" i="21" s="1"/>
  <c r="AY102" i="21"/>
  <c r="AZ102" i="21" s="1"/>
  <c r="AY103" i="21"/>
  <c r="AZ103" i="21" s="1"/>
  <c r="AY104" i="21"/>
  <c r="AZ104" i="21" s="1"/>
  <c r="AY105" i="21"/>
  <c r="AZ105" i="21" s="1"/>
  <c r="AY106" i="21"/>
  <c r="AZ106" i="21" s="1"/>
  <c r="AY107" i="21"/>
  <c r="AZ107" i="21" s="1"/>
  <c r="AY108" i="21"/>
  <c r="AZ108" i="21" s="1"/>
  <c r="AY109" i="21"/>
  <c r="AZ109" i="21" s="1"/>
  <c r="AY110" i="21"/>
  <c r="AZ110" i="21" s="1"/>
  <c r="AY111" i="21"/>
  <c r="AZ111" i="21" s="1"/>
  <c r="AY112" i="21"/>
  <c r="AZ112" i="21" s="1"/>
  <c r="AY113" i="21"/>
  <c r="AZ113" i="21" s="1"/>
  <c r="AY114" i="21"/>
  <c r="AY115" i="21"/>
  <c r="AZ115" i="21" s="1"/>
  <c r="AY116" i="21"/>
  <c r="AZ116" i="21" s="1"/>
  <c r="AY117" i="21"/>
  <c r="AZ117" i="21" s="1"/>
  <c r="AY118" i="21"/>
  <c r="AZ118" i="21" s="1"/>
  <c r="AY119" i="21"/>
  <c r="AZ119" i="21" s="1"/>
  <c r="AY120" i="21"/>
  <c r="AZ120" i="21" s="1"/>
  <c r="AY121" i="21"/>
  <c r="AZ121" i="21" s="1"/>
  <c r="AY122" i="21"/>
  <c r="AY123" i="21"/>
  <c r="AZ123" i="21" s="1"/>
  <c r="AY124" i="21"/>
  <c r="AZ124" i="21" s="1"/>
  <c r="AY125" i="21"/>
  <c r="AZ125" i="21" s="1"/>
  <c r="AY126" i="21"/>
  <c r="AZ126" i="21" s="1"/>
  <c r="AY127" i="21"/>
  <c r="AZ127" i="21" s="1"/>
  <c r="AY128" i="21"/>
  <c r="AZ128" i="21" s="1"/>
  <c r="AY129" i="21"/>
  <c r="AZ129" i="21" s="1"/>
  <c r="AY130" i="21"/>
  <c r="AZ130" i="21" s="1"/>
  <c r="AY131" i="21"/>
  <c r="AZ131" i="21" s="1"/>
  <c r="AY132" i="21"/>
  <c r="AZ132" i="21" s="1"/>
  <c r="AY133" i="21"/>
  <c r="AZ133" i="21" s="1"/>
  <c r="AY134" i="21"/>
  <c r="AZ134" i="21" s="1"/>
  <c r="AY135" i="21"/>
  <c r="AZ135" i="21" s="1"/>
  <c r="AY136" i="21"/>
  <c r="AZ136" i="21" s="1"/>
  <c r="AY137" i="21"/>
  <c r="AZ137" i="21" s="1"/>
  <c r="AY138" i="21"/>
  <c r="AZ138" i="21" s="1"/>
  <c r="AY139" i="21"/>
  <c r="AY140" i="21"/>
  <c r="AZ140" i="21" s="1"/>
  <c r="AY141" i="21"/>
  <c r="AZ141" i="21" s="1"/>
  <c r="AY142" i="21"/>
  <c r="AZ142" i="21" s="1"/>
  <c r="AY143" i="21"/>
  <c r="AZ143" i="21" s="1"/>
  <c r="AY144" i="21"/>
  <c r="AZ144" i="21" s="1"/>
  <c r="AY145" i="21"/>
  <c r="AZ145" i="21" s="1"/>
  <c r="AY146" i="21"/>
  <c r="AZ146" i="21" s="1"/>
  <c r="AY147" i="21"/>
  <c r="AY148" i="21"/>
  <c r="AZ148" i="21" s="1"/>
  <c r="AY149" i="21"/>
  <c r="AZ149" i="21" s="1"/>
  <c r="AY150" i="21"/>
  <c r="AZ150" i="21" s="1"/>
  <c r="AY151" i="21"/>
  <c r="AZ151" i="21" s="1"/>
  <c r="AY152" i="21"/>
  <c r="AZ152" i="21" s="1"/>
  <c r="AY153" i="21"/>
  <c r="AZ153" i="21" s="1"/>
  <c r="AY154" i="21"/>
  <c r="AZ154" i="21" s="1"/>
  <c r="AY155" i="21"/>
  <c r="AY156" i="21"/>
  <c r="AZ156" i="21" s="1"/>
  <c r="AY157" i="21"/>
  <c r="AZ157" i="21" s="1"/>
  <c r="AY158" i="21"/>
  <c r="AZ158" i="21" s="1"/>
  <c r="AY159" i="21"/>
  <c r="AZ159" i="21" s="1"/>
  <c r="AY160" i="21"/>
  <c r="AZ160" i="21" s="1"/>
  <c r="AY161" i="21"/>
  <c r="AY162" i="21"/>
  <c r="AZ162" i="21" s="1"/>
  <c r="AY163" i="21"/>
  <c r="AY164" i="21"/>
  <c r="AZ164" i="21" s="1"/>
  <c r="AY165" i="21"/>
  <c r="AZ165" i="21" s="1"/>
  <c r="AY166" i="21"/>
  <c r="AZ166" i="21" s="1"/>
  <c r="AY167" i="21"/>
  <c r="AZ167" i="21" s="1"/>
  <c r="AY168" i="21"/>
  <c r="AZ168" i="21" s="1"/>
  <c r="AY169" i="21"/>
  <c r="AZ169" i="21" s="1"/>
  <c r="AY170" i="21"/>
  <c r="AZ170" i="21" s="1"/>
  <c r="AY171" i="21"/>
  <c r="AZ171" i="21" s="1"/>
  <c r="AY172" i="21"/>
  <c r="AZ172" i="21" s="1"/>
  <c r="AY173" i="21"/>
  <c r="AZ173" i="21" s="1"/>
  <c r="AY174" i="21"/>
  <c r="AZ174" i="21" s="1"/>
  <c r="AY175" i="21"/>
  <c r="AZ175" i="21" s="1"/>
  <c r="AY176" i="21"/>
  <c r="AZ176" i="21" s="1"/>
  <c r="AY177" i="21"/>
  <c r="AZ177" i="21" s="1"/>
  <c r="AY178" i="21"/>
  <c r="AZ178" i="21" s="1"/>
  <c r="AY179" i="21"/>
  <c r="AZ179" i="21" s="1"/>
  <c r="AY180" i="21"/>
  <c r="AZ180" i="21" s="1"/>
  <c r="AY181" i="21"/>
  <c r="AZ181" i="21" s="1"/>
  <c r="AY182" i="21"/>
  <c r="AZ182" i="21" s="1"/>
  <c r="AY183" i="21"/>
  <c r="AZ183" i="21" s="1"/>
  <c r="AY184" i="21"/>
  <c r="AZ184" i="21" s="1"/>
  <c r="AY185" i="21"/>
  <c r="AZ185" i="21" s="1"/>
  <c r="AY186" i="21"/>
  <c r="AZ186" i="21" s="1"/>
  <c r="AY187" i="21"/>
  <c r="AZ187" i="21" s="1"/>
  <c r="AY188" i="21"/>
  <c r="AZ188" i="21" s="1"/>
  <c r="AY189" i="21"/>
  <c r="AZ189" i="21" s="1"/>
  <c r="AY190" i="21"/>
  <c r="AZ190" i="21" s="1"/>
  <c r="AY191" i="21"/>
  <c r="AZ191" i="21" s="1"/>
  <c r="AY192" i="21"/>
  <c r="AZ192" i="21" s="1"/>
  <c r="AY193" i="21"/>
  <c r="AZ193" i="21" s="1"/>
  <c r="AY194" i="21"/>
  <c r="AZ194" i="21" s="1"/>
  <c r="AY195" i="21"/>
  <c r="AZ195" i="21" s="1"/>
  <c r="AY196" i="21"/>
  <c r="AY197" i="21"/>
  <c r="AZ197" i="21" s="1"/>
  <c r="AY198" i="21"/>
  <c r="AZ198" i="21" s="1"/>
  <c r="AY199" i="21"/>
  <c r="AZ199" i="21" s="1"/>
  <c r="AY200" i="21"/>
  <c r="AZ200" i="21" s="1"/>
  <c r="AY201" i="21"/>
  <c r="AZ201" i="21" s="1"/>
  <c r="AY202" i="21"/>
  <c r="AY203" i="21"/>
  <c r="AZ203" i="21" s="1"/>
  <c r="AY204" i="21"/>
  <c r="AZ204" i="21" s="1"/>
  <c r="AY205" i="21"/>
  <c r="AZ205" i="21" s="1"/>
  <c r="AY206" i="21"/>
  <c r="AZ206" i="21" s="1"/>
  <c r="AY207" i="21"/>
  <c r="AY208" i="21"/>
  <c r="AZ208" i="21" s="1"/>
  <c r="AY209" i="21"/>
  <c r="AZ209" i="21" s="1"/>
  <c r="AY210" i="21"/>
  <c r="AZ210" i="21" s="1"/>
  <c r="AY211" i="21"/>
  <c r="AY212" i="21"/>
  <c r="AZ212" i="21" s="1"/>
  <c r="AY213" i="21"/>
  <c r="AZ213" i="21" s="1"/>
  <c r="AY214" i="21"/>
  <c r="AZ214" i="21" s="1"/>
  <c r="AY215" i="21"/>
  <c r="AZ215" i="21" s="1"/>
  <c r="AY216" i="21"/>
  <c r="AZ216" i="21" s="1"/>
  <c r="AY217" i="21"/>
  <c r="AZ217" i="21" s="1"/>
  <c r="AY218" i="21"/>
  <c r="AZ218" i="21" s="1"/>
  <c r="AY219" i="21"/>
  <c r="AY220" i="21"/>
  <c r="AZ220" i="21" s="1"/>
  <c r="AY221" i="21"/>
  <c r="AZ221" i="21" s="1"/>
  <c r="AY222" i="21"/>
  <c r="AZ222" i="21" s="1"/>
  <c r="AY223" i="21"/>
  <c r="AZ223" i="21" s="1"/>
  <c r="AY224" i="21"/>
  <c r="AZ224" i="21" s="1"/>
  <c r="AY225" i="21"/>
  <c r="AZ225" i="21" s="1"/>
  <c r="AY226" i="21"/>
  <c r="AZ226" i="21" s="1"/>
  <c r="AY227" i="21"/>
  <c r="AY228" i="21"/>
  <c r="AZ228" i="21" s="1"/>
  <c r="AY229" i="21"/>
  <c r="AZ229" i="21" s="1"/>
  <c r="AY230" i="21"/>
  <c r="AZ230" i="21" s="1"/>
  <c r="AY231" i="21"/>
  <c r="AZ231" i="21" s="1"/>
  <c r="AY232" i="21"/>
  <c r="AZ232" i="21" s="1"/>
  <c r="AY233" i="21"/>
  <c r="AZ233" i="21" s="1"/>
  <c r="AY234" i="21"/>
  <c r="AZ234" i="21" s="1"/>
  <c r="AY235" i="21"/>
  <c r="AZ235" i="21" s="1"/>
  <c r="AY236" i="21"/>
  <c r="AZ236" i="21" s="1"/>
  <c r="AY237" i="21"/>
  <c r="AZ237" i="21" s="1"/>
  <c r="AY238" i="21"/>
  <c r="AZ238" i="21" s="1"/>
  <c r="AY239" i="21"/>
  <c r="AZ239" i="21" s="1"/>
  <c r="AY240" i="21"/>
  <c r="AZ240" i="21" s="1"/>
  <c r="AY241" i="21"/>
  <c r="AZ241" i="21" s="1"/>
  <c r="AY242" i="21"/>
  <c r="AZ242" i="21" s="1"/>
  <c r="AY243" i="21"/>
  <c r="AZ243" i="21" s="1"/>
  <c r="AY244" i="21"/>
  <c r="AZ244" i="21" s="1"/>
  <c r="AY245" i="21"/>
  <c r="AZ245" i="21" s="1"/>
  <c r="AY246" i="21"/>
  <c r="AZ246" i="21" s="1"/>
  <c r="AY247" i="21"/>
  <c r="AZ247" i="21" s="1"/>
  <c r="AY248" i="21"/>
  <c r="AZ248" i="21" s="1"/>
  <c r="AY249" i="21"/>
  <c r="AZ249" i="21" s="1"/>
  <c r="AY250" i="21"/>
  <c r="AY251" i="21"/>
  <c r="AZ251" i="21" s="1"/>
  <c r="AY252" i="21"/>
  <c r="AZ252" i="21" s="1"/>
  <c r="AY253" i="21"/>
  <c r="AZ253" i="21" s="1"/>
  <c r="AY254" i="21"/>
  <c r="AZ254" i="21" s="1"/>
  <c r="AY255" i="21"/>
  <c r="AY256" i="21"/>
  <c r="AZ256" i="21" s="1"/>
  <c r="AY257" i="21"/>
  <c r="AZ257" i="21" s="1"/>
  <c r="AY258" i="21"/>
  <c r="AZ258" i="21" s="1"/>
  <c r="AY259" i="21"/>
  <c r="AZ259" i="21" s="1"/>
  <c r="AY260" i="21"/>
  <c r="AZ260" i="21" s="1"/>
  <c r="AY261" i="21"/>
  <c r="AZ261" i="21" s="1"/>
  <c r="AY262" i="21"/>
  <c r="AZ262" i="21" s="1"/>
  <c r="AY263" i="21"/>
  <c r="AY264" i="21"/>
  <c r="AZ264" i="21" s="1"/>
  <c r="AY265" i="21"/>
  <c r="AZ265" i="21" s="1"/>
  <c r="AY266" i="21"/>
  <c r="AY267" i="21"/>
  <c r="AY268" i="21"/>
  <c r="AZ268" i="21" s="1"/>
  <c r="AY269" i="21"/>
  <c r="AZ269" i="21" s="1"/>
  <c r="AY270" i="21"/>
  <c r="AZ270" i="21" s="1"/>
  <c r="AY271" i="21"/>
  <c r="AZ271" i="21" s="1"/>
  <c r="AY272" i="21"/>
  <c r="AZ272" i="21" s="1"/>
  <c r="AY273" i="21"/>
  <c r="AZ273" i="21" s="1"/>
  <c r="AY274" i="21"/>
  <c r="AZ274" i="21" s="1"/>
  <c r="AY275" i="21"/>
  <c r="AY276" i="21"/>
  <c r="AZ276" i="21" s="1"/>
  <c r="AY277" i="21"/>
  <c r="AZ277" i="21" s="1"/>
  <c r="AY278" i="21"/>
  <c r="AZ278" i="21" s="1"/>
  <c r="AY279" i="21"/>
  <c r="AZ279" i="21" s="1"/>
  <c r="AY280" i="21"/>
  <c r="AZ280" i="21" s="1"/>
  <c r="AY281" i="21"/>
  <c r="AZ281" i="21" s="1"/>
  <c r="AY282" i="21"/>
  <c r="AZ282" i="21" s="1"/>
  <c r="AY283" i="21"/>
  <c r="AY284" i="21"/>
  <c r="AZ284" i="21" s="1"/>
  <c r="AY285" i="21"/>
  <c r="AZ285" i="21" s="1"/>
  <c r="AY286" i="21"/>
  <c r="AZ286" i="21" s="1"/>
  <c r="AY287" i="21"/>
  <c r="AZ287" i="21" s="1"/>
  <c r="AY288" i="21"/>
  <c r="AZ288" i="21" s="1"/>
  <c r="AY289" i="21"/>
  <c r="AZ289" i="21" s="1"/>
  <c r="AY290" i="21"/>
  <c r="AZ290" i="21" s="1"/>
  <c r="AY291" i="21"/>
  <c r="AY292" i="21"/>
  <c r="AZ292" i="21" s="1"/>
  <c r="AY293" i="21"/>
  <c r="AZ293" i="21" s="1"/>
  <c r="AY294" i="21"/>
  <c r="AZ294" i="21" s="1"/>
  <c r="AY295" i="21"/>
  <c r="AY296" i="21"/>
  <c r="AZ296" i="21" s="1"/>
  <c r="AY297" i="21"/>
  <c r="AZ297" i="21" s="1"/>
  <c r="AY298" i="21"/>
  <c r="AZ298" i="21" s="1"/>
  <c r="AY299" i="21"/>
  <c r="AZ299" i="21" s="1"/>
  <c r="AY300" i="21"/>
  <c r="AZ300" i="21" s="1"/>
  <c r="AY301" i="21"/>
  <c r="AZ301" i="21" s="1"/>
  <c r="AY302" i="21"/>
  <c r="AZ302" i="21" s="1"/>
  <c r="AY303" i="21"/>
  <c r="AZ303" i="21" s="1"/>
  <c r="AY304" i="21"/>
  <c r="AZ304" i="21" s="1"/>
  <c r="AY305" i="21"/>
  <c r="AZ305" i="21" s="1"/>
  <c r="AY306" i="21"/>
  <c r="AZ306" i="21" s="1"/>
  <c r="AY307" i="21"/>
  <c r="AZ307" i="21" s="1"/>
  <c r="AY308" i="21"/>
  <c r="AZ308" i="21" s="1"/>
  <c r="AY309" i="21"/>
  <c r="AZ309" i="21" s="1"/>
  <c r="AY310" i="21"/>
  <c r="AZ310" i="21" s="1"/>
  <c r="AY311" i="21"/>
  <c r="AZ311" i="21" s="1"/>
  <c r="AY312" i="21"/>
  <c r="AZ312" i="21" s="1"/>
  <c r="AY313" i="21"/>
  <c r="AZ313" i="21" s="1"/>
  <c r="AY314" i="21"/>
  <c r="AZ314" i="21" s="1"/>
  <c r="AY315" i="21"/>
  <c r="AZ315" i="21" s="1"/>
  <c r="AY316" i="21"/>
  <c r="AZ316" i="21" s="1"/>
  <c r="AY317" i="21"/>
  <c r="AZ317" i="21" s="1"/>
  <c r="AY318" i="21"/>
  <c r="AZ318" i="21" s="1"/>
  <c r="AY319" i="21"/>
  <c r="AZ319" i="21" s="1"/>
  <c r="AY320" i="21"/>
  <c r="AZ320" i="21" s="1"/>
  <c r="AY321" i="21"/>
  <c r="AZ321" i="21" s="1"/>
  <c r="AY322" i="21"/>
  <c r="AZ322" i="21" s="1"/>
  <c r="AY323" i="21"/>
  <c r="AZ323" i="21" s="1"/>
  <c r="AY324" i="21"/>
  <c r="AZ324" i="21" s="1"/>
  <c r="AY325" i="21"/>
  <c r="AZ325" i="21" s="1"/>
  <c r="AY326" i="21"/>
  <c r="AZ326" i="21" s="1"/>
  <c r="AY327" i="21"/>
  <c r="AZ327" i="21" s="1"/>
  <c r="AY328" i="21"/>
  <c r="AZ328" i="21" s="1"/>
  <c r="AY329" i="21"/>
  <c r="AZ329" i="21" s="1"/>
  <c r="AY330" i="21"/>
  <c r="AZ330" i="21" s="1"/>
  <c r="AY331" i="21"/>
  <c r="AZ331" i="21" s="1"/>
  <c r="AY332" i="21"/>
  <c r="AZ332" i="21" s="1"/>
  <c r="AY333" i="21"/>
  <c r="AZ333" i="21" s="1"/>
  <c r="AY334" i="21"/>
  <c r="AZ334" i="21" s="1"/>
  <c r="AY335" i="21"/>
  <c r="AZ335" i="21" s="1"/>
  <c r="AY336" i="21"/>
  <c r="AZ336" i="21" s="1"/>
  <c r="AY337" i="21"/>
  <c r="AZ337" i="21" s="1"/>
  <c r="AY338" i="21"/>
  <c r="AZ338" i="21" s="1"/>
  <c r="AY339" i="21"/>
  <c r="AY340" i="21"/>
  <c r="AZ340" i="21" s="1"/>
  <c r="AY341" i="21"/>
  <c r="AZ341" i="21" s="1"/>
  <c r="AY342" i="21"/>
  <c r="AZ342" i="21" s="1"/>
  <c r="AY343" i="21"/>
  <c r="AZ343" i="21" s="1"/>
  <c r="AY344" i="21"/>
  <c r="AZ344" i="21" s="1"/>
  <c r="AY345" i="21"/>
  <c r="AZ345" i="21" s="1"/>
  <c r="AY346" i="21"/>
  <c r="AZ346" i="21" s="1"/>
  <c r="AY347" i="21"/>
  <c r="AY348" i="21"/>
  <c r="AZ348" i="21" s="1"/>
  <c r="AY349" i="21"/>
  <c r="AZ349" i="21" s="1"/>
  <c r="AY350" i="21"/>
  <c r="AZ350" i="21" s="1"/>
  <c r="AY351" i="21"/>
  <c r="AZ351" i="21" s="1"/>
  <c r="AY352" i="21"/>
  <c r="AZ352" i="21" s="1"/>
  <c r="AY353" i="21"/>
  <c r="AZ353" i="21" s="1"/>
  <c r="AY354" i="21"/>
  <c r="AY355" i="21"/>
  <c r="AZ355" i="21" s="1"/>
  <c r="AY356" i="21"/>
  <c r="AZ356" i="21" s="1"/>
  <c r="AY357" i="21"/>
  <c r="AZ357" i="21" s="1"/>
  <c r="AY358" i="21"/>
  <c r="AZ358" i="21" s="1"/>
  <c r="AY359" i="21"/>
  <c r="AZ359" i="21" s="1"/>
  <c r="AY360" i="21"/>
  <c r="AZ360" i="21" s="1"/>
  <c r="AY361" i="21"/>
  <c r="AY362" i="21"/>
  <c r="AZ362" i="21" s="1"/>
  <c r="AY363" i="21"/>
  <c r="AZ363" i="21" s="1"/>
  <c r="AY364" i="21"/>
  <c r="AZ364" i="21" s="1"/>
  <c r="AY365" i="21"/>
  <c r="AZ365" i="21" s="1"/>
  <c r="AY366" i="21"/>
  <c r="AZ366" i="21" s="1"/>
  <c r="AY367" i="21"/>
  <c r="AZ367" i="21" s="1"/>
  <c r="AY368" i="21"/>
  <c r="AZ368" i="21" s="1"/>
  <c r="AY369" i="21"/>
  <c r="AZ369" i="21" s="1"/>
  <c r="AY370" i="21"/>
  <c r="AZ370" i="21" s="1"/>
  <c r="AY371" i="21"/>
  <c r="AZ371" i="21" s="1"/>
  <c r="AY372" i="21"/>
  <c r="AZ372" i="21" s="1"/>
  <c r="AY373" i="21"/>
  <c r="AZ373" i="21" s="1"/>
  <c r="AY374" i="21"/>
  <c r="AZ374" i="21" s="1"/>
  <c r="AY375" i="21"/>
  <c r="AY376" i="21"/>
  <c r="AZ376" i="21" s="1"/>
  <c r="AY377" i="21"/>
  <c r="AZ377" i="21" s="1"/>
  <c r="AY378" i="21"/>
  <c r="AZ378" i="21" s="1"/>
  <c r="AY379" i="21"/>
  <c r="AZ379" i="21" s="1"/>
  <c r="AY380" i="21"/>
  <c r="AZ380" i="21" s="1"/>
  <c r="AY381" i="21"/>
  <c r="AZ381" i="21" s="1"/>
  <c r="AY382" i="21"/>
  <c r="AZ382" i="21" s="1"/>
  <c r="AY383" i="21"/>
  <c r="AZ383" i="21" s="1"/>
  <c r="AY384" i="21"/>
  <c r="AZ384" i="21" s="1"/>
  <c r="AY385" i="21"/>
  <c r="AZ385" i="21" s="1"/>
  <c r="AY386" i="21"/>
  <c r="AZ386" i="21" s="1"/>
  <c r="AY387" i="21"/>
  <c r="AZ387" i="21" s="1"/>
  <c r="AY388" i="21"/>
  <c r="AZ388" i="21" s="1"/>
  <c r="AY389" i="21"/>
  <c r="AZ389" i="21" s="1"/>
  <c r="AY390" i="21"/>
  <c r="AZ390" i="21" s="1"/>
  <c r="AY391" i="21"/>
  <c r="AZ391" i="21" s="1"/>
  <c r="AY392" i="21"/>
  <c r="AZ392" i="21" s="1"/>
  <c r="AY393" i="21"/>
  <c r="AZ393" i="21" s="1"/>
  <c r="AY394" i="21"/>
  <c r="AZ394" i="21" s="1"/>
  <c r="AY395" i="21"/>
  <c r="AZ395" i="21" s="1"/>
  <c r="AY396" i="21"/>
  <c r="AZ396" i="21" s="1"/>
  <c r="AY397" i="21"/>
  <c r="AZ397" i="21" s="1"/>
  <c r="AY398" i="21"/>
  <c r="AZ398" i="21" s="1"/>
  <c r="AY399" i="21"/>
  <c r="AZ399" i="21" s="1"/>
  <c r="AY400" i="21"/>
  <c r="AZ400" i="21" s="1"/>
  <c r="AY401" i="21"/>
  <c r="AZ401" i="21" s="1"/>
  <c r="AY402" i="21"/>
  <c r="AZ402" i="21" s="1"/>
  <c r="AY403" i="21"/>
  <c r="AZ403" i="21" s="1"/>
  <c r="AY404" i="21"/>
  <c r="AZ404" i="21" s="1"/>
  <c r="AZ161" i="21"/>
  <c r="AZ3" i="21"/>
  <c r="AZ11" i="21"/>
  <c r="AZ27" i="21"/>
  <c r="AZ28" i="21"/>
  <c r="AZ35" i="21"/>
  <c r="AZ83" i="21"/>
  <c r="AZ91" i="21"/>
  <c r="AZ99" i="21"/>
  <c r="AZ139" i="21"/>
  <c r="AZ147" i="21"/>
  <c r="AZ155" i="21"/>
  <c r="AZ163" i="21"/>
  <c r="AZ196" i="21"/>
  <c r="AZ211" i="21"/>
  <c r="AZ219" i="21"/>
  <c r="AZ227" i="21"/>
  <c r="AZ255" i="21"/>
  <c r="AZ267" i="21"/>
  <c r="AZ275" i="21"/>
  <c r="AZ283" i="21"/>
  <c r="AZ291" i="21"/>
  <c r="AZ339" i="21"/>
  <c r="AZ347" i="21"/>
  <c r="BG404" i="21"/>
  <c r="BE404" i="21"/>
  <c r="BF404" i="21" s="1"/>
  <c r="AW404" i="21"/>
  <c r="AX404" i="21" s="1"/>
  <c r="AU404" i="21"/>
  <c r="AV404" i="21" s="1"/>
  <c r="AS404" i="21"/>
  <c r="AT404" i="21" s="1"/>
  <c r="AQ404" i="21"/>
  <c r="AR404" i="21" s="1"/>
  <c r="AO404" i="21"/>
  <c r="AM404" i="21"/>
  <c r="AK404" i="21"/>
  <c r="AL404" i="21" s="1"/>
  <c r="AG404" i="21"/>
  <c r="AH404" i="21" s="1"/>
  <c r="AE404" i="21"/>
  <c r="AF404" i="21" s="1"/>
  <c r="AC404" i="21"/>
  <c r="AA404" i="21"/>
  <c r="AB404" i="21" s="1"/>
  <c r="W404" i="21"/>
  <c r="X404" i="21" s="1"/>
  <c r="U404" i="21"/>
  <c r="V404" i="21" s="1"/>
  <c r="S404" i="21"/>
  <c r="T404" i="21" s="1"/>
  <c r="Q404" i="21"/>
  <c r="R404" i="21" s="1"/>
  <c r="Y404" i="21" s="1"/>
  <c r="P404" i="21"/>
  <c r="O404" i="21"/>
  <c r="N404" i="21"/>
  <c r="M404" i="21"/>
  <c r="L404" i="21"/>
  <c r="K404" i="21"/>
  <c r="J404" i="21"/>
  <c r="I404" i="21"/>
  <c r="H404" i="21"/>
  <c r="G404" i="21"/>
  <c r="F404" i="21"/>
  <c r="E404" i="21"/>
  <c r="D404" i="21"/>
  <c r="C404" i="21"/>
  <c r="B404" i="21"/>
  <c r="A404" i="21"/>
  <c r="BG403" i="21"/>
  <c r="BH403" i="21" s="1"/>
  <c r="BE403" i="21"/>
  <c r="BF403" i="21" s="1"/>
  <c r="AW403" i="21"/>
  <c r="AU403" i="21"/>
  <c r="AV403" i="21" s="1"/>
  <c r="AS403" i="21"/>
  <c r="AT403" i="21" s="1"/>
  <c r="AQ403" i="21"/>
  <c r="AO403" i="21"/>
  <c r="AP403" i="21" s="1"/>
  <c r="AM403" i="21"/>
  <c r="AN403" i="21" s="1"/>
  <c r="AK403" i="21"/>
  <c r="AL403" i="21" s="1"/>
  <c r="AG403" i="21"/>
  <c r="AE403" i="21"/>
  <c r="AF403" i="21" s="1"/>
  <c r="AC403" i="21"/>
  <c r="AD403" i="21" s="1"/>
  <c r="AA403" i="21"/>
  <c r="AB403" i="21" s="1"/>
  <c r="W403" i="21"/>
  <c r="X403" i="21" s="1"/>
  <c r="U403" i="21"/>
  <c r="V403" i="21" s="1"/>
  <c r="S403" i="21"/>
  <c r="Q403" i="21"/>
  <c r="R403" i="21" s="1"/>
  <c r="P403" i="21"/>
  <c r="O403" i="21"/>
  <c r="N403" i="21"/>
  <c r="M403" i="21"/>
  <c r="L403" i="21"/>
  <c r="K403" i="21"/>
  <c r="J403" i="21"/>
  <c r="I403" i="21"/>
  <c r="H403" i="21"/>
  <c r="G403" i="21"/>
  <c r="F403" i="21"/>
  <c r="E403" i="21"/>
  <c r="D403" i="21"/>
  <c r="C403" i="21"/>
  <c r="B403" i="21"/>
  <c r="A403" i="21"/>
  <c r="BG402" i="21"/>
  <c r="BH402" i="21" s="1"/>
  <c r="BE402" i="21"/>
  <c r="BF402" i="21" s="1"/>
  <c r="AW402" i="21"/>
  <c r="AX402" i="21" s="1"/>
  <c r="AU402" i="21"/>
  <c r="AV402" i="21" s="1"/>
  <c r="AS402" i="21"/>
  <c r="AT402" i="21" s="1"/>
  <c r="AQ402" i="21"/>
  <c r="AR402" i="21" s="1"/>
  <c r="AO402" i="21"/>
  <c r="AP402" i="21" s="1"/>
  <c r="AM402" i="21"/>
  <c r="AK402" i="21"/>
  <c r="AL402" i="21" s="1"/>
  <c r="AG402" i="21"/>
  <c r="AH402" i="21" s="1"/>
  <c r="AE402" i="21"/>
  <c r="AF402" i="21" s="1"/>
  <c r="AC402" i="21"/>
  <c r="AD402" i="21" s="1"/>
  <c r="AA402" i="21"/>
  <c r="W402" i="21"/>
  <c r="X402" i="21" s="1"/>
  <c r="U402" i="21"/>
  <c r="V402" i="21" s="1"/>
  <c r="S402" i="21"/>
  <c r="T402" i="21" s="1"/>
  <c r="Q402" i="21"/>
  <c r="R402" i="21" s="1"/>
  <c r="P402" i="21"/>
  <c r="O402" i="21"/>
  <c r="N402" i="21"/>
  <c r="M402" i="21"/>
  <c r="L402" i="21"/>
  <c r="K402" i="21"/>
  <c r="J402" i="21"/>
  <c r="I402" i="21"/>
  <c r="H402" i="21"/>
  <c r="G402" i="21"/>
  <c r="F402" i="21"/>
  <c r="E402" i="21"/>
  <c r="D402" i="21"/>
  <c r="C402" i="21"/>
  <c r="B402" i="21"/>
  <c r="A402" i="21"/>
  <c r="BG401" i="21"/>
  <c r="BH401" i="21" s="1"/>
  <c r="BE401" i="21"/>
  <c r="BF401" i="21" s="1"/>
  <c r="AW401" i="21"/>
  <c r="AX401" i="21" s="1"/>
  <c r="AU401" i="21"/>
  <c r="AV401" i="21" s="1"/>
  <c r="AS401" i="21"/>
  <c r="AT401" i="21" s="1"/>
  <c r="AQ401" i="21"/>
  <c r="AO401" i="21"/>
  <c r="AP401" i="21" s="1"/>
  <c r="AM401" i="21"/>
  <c r="AN401" i="21" s="1"/>
  <c r="AK401" i="21"/>
  <c r="AL401" i="21" s="1"/>
  <c r="AG401" i="21"/>
  <c r="AH401" i="21" s="1"/>
  <c r="AE401" i="21"/>
  <c r="AF401" i="21" s="1"/>
  <c r="AC401" i="21"/>
  <c r="AD401" i="21" s="1"/>
  <c r="AA401" i="21"/>
  <c r="AB401" i="21" s="1"/>
  <c r="W401" i="21"/>
  <c r="X401" i="21" s="1"/>
  <c r="U401" i="21"/>
  <c r="S401" i="21"/>
  <c r="T401" i="21" s="1"/>
  <c r="Q401" i="21"/>
  <c r="R401" i="21" s="1"/>
  <c r="P401" i="21"/>
  <c r="O401" i="21"/>
  <c r="N401" i="21"/>
  <c r="M401" i="21"/>
  <c r="L401" i="21"/>
  <c r="K401" i="21"/>
  <c r="J401" i="21"/>
  <c r="I401" i="21"/>
  <c r="H401" i="21"/>
  <c r="G401" i="21"/>
  <c r="F401" i="21"/>
  <c r="E401" i="21"/>
  <c r="D401" i="21"/>
  <c r="C401" i="21"/>
  <c r="B401" i="21"/>
  <c r="A401" i="21"/>
  <c r="BG400" i="21"/>
  <c r="BE400" i="21"/>
  <c r="BF400" i="21" s="1"/>
  <c r="AW400" i="21"/>
  <c r="AX400" i="21" s="1"/>
  <c r="AU400" i="21"/>
  <c r="AS400" i="21"/>
  <c r="AT400" i="21" s="1"/>
  <c r="AQ400" i="21"/>
  <c r="AR400" i="21" s="1"/>
  <c r="AO400" i="21"/>
  <c r="AP400" i="21" s="1"/>
  <c r="AM400" i="21"/>
  <c r="AN400" i="21" s="1"/>
  <c r="AK400" i="21"/>
  <c r="AL400" i="21" s="1"/>
  <c r="AG400" i="21"/>
  <c r="AE400" i="21"/>
  <c r="AF400" i="21" s="1"/>
  <c r="AC400" i="21"/>
  <c r="AD400" i="21" s="1"/>
  <c r="AA400" i="21"/>
  <c r="W400" i="21"/>
  <c r="X400" i="21" s="1"/>
  <c r="U400" i="21"/>
  <c r="V400" i="21" s="1"/>
  <c r="S400" i="21"/>
  <c r="Q400" i="21"/>
  <c r="R400" i="21" s="1"/>
  <c r="P400" i="21"/>
  <c r="O400" i="21"/>
  <c r="N400" i="21"/>
  <c r="M400" i="21"/>
  <c r="L400" i="21"/>
  <c r="K400" i="21"/>
  <c r="J400" i="21"/>
  <c r="I400" i="21"/>
  <c r="H400" i="21"/>
  <c r="G400" i="21"/>
  <c r="F400" i="21"/>
  <c r="E400" i="21"/>
  <c r="D400" i="21"/>
  <c r="C400" i="21"/>
  <c r="B400" i="21"/>
  <c r="A400" i="21"/>
  <c r="BG399" i="21"/>
  <c r="BH399" i="21" s="1"/>
  <c r="BE399" i="21"/>
  <c r="BF399" i="21" s="1"/>
  <c r="AW399" i="21"/>
  <c r="AX399" i="21" s="1"/>
  <c r="AU399" i="21"/>
  <c r="AV399" i="21" s="1"/>
  <c r="AS399" i="21"/>
  <c r="AT399" i="21" s="1"/>
  <c r="AQ399" i="21"/>
  <c r="AO399" i="21"/>
  <c r="AP399" i="21" s="1"/>
  <c r="AM399" i="21"/>
  <c r="AN399" i="21" s="1"/>
  <c r="AK399" i="21"/>
  <c r="AL399" i="21" s="1"/>
  <c r="AG399" i="21"/>
  <c r="AH399" i="21" s="1"/>
  <c r="AE399" i="21"/>
  <c r="AC399" i="21"/>
  <c r="AA399" i="21"/>
  <c r="AB399" i="21" s="1"/>
  <c r="W399" i="21"/>
  <c r="U399" i="21"/>
  <c r="V399" i="21" s="1"/>
  <c r="S399" i="21"/>
  <c r="T399" i="21" s="1"/>
  <c r="Q399" i="21"/>
  <c r="R399" i="21" s="1"/>
  <c r="P399" i="21"/>
  <c r="O399" i="21"/>
  <c r="N399" i="21"/>
  <c r="M399" i="21"/>
  <c r="L399" i="21"/>
  <c r="K399" i="21"/>
  <c r="J399" i="21"/>
  <c r="I399" i="21"/>
  <c r="H399" i="21"/>
  <c r="G399" i="21"/>
  <c r="F399" i="21"/>
  <c r="E399" i="21"/>
  <c r="D399" i="21"/>
  <c r="C399" i="21"/>
  <c r="B399" i="21"/>
  <c r="A399" i="21"/>
  <c r="BG398" i="21"/>
  <c r="BE398" i="21"/>
  <c r="BF398" i="21" s="1"/>
  <c r="AW398" i="21"/>
  <c r="AX398" i="21" s="1"/>
  <c r="AU398" i="21"/>
  <c r="AV398" i="21" s="1"/>
  <c r="AS398" i="21"/>
  <c r="AT398" i="21" s="1"/>
  <c r="AQ398" i="21"/>
  <c r="AR398" i="21" s="1"/>
  <c r="AO398" i="21"/>
  <c r="AP398" i="21" s="1"/>
  <c r="AM398" i="21"/>
  <c r="AN398" i="21" s="1"/>
  <c r="AK398" i="21"/>
  <c r="AG398" i="21"/>
  <c r="AH398" i="21" s="1"/>
  <c r="AE398" i="21"/>
  <c r="AF398" i="21" s="1"/>
  <c r="AC398" i="21"/>
  <c r="AA398" i="21"/>
  <c r="AB398" i="21" s="1"/>
  <c r="W398" i="21"/>
  <c r="X398" i="21" s="1"/>
  <c r="U398" i="21"/>
  <c r="V398" i="21" s="1"/>
  <c r="S398" i="21"/>
  <c r="Q398" i="21"/>
  <c r="R398" i="21" s="1"/>
  <c r="P398" i="21"/>
  <c r="O398" i="21"/>
  <c r="N398" i="21"/>
  <c r="M398" i="21"/>
  <c r="L398" i="21"/>
  <c r="K398" i="21"/>
  <c r="J398" i="21"/>
  <c r="I398" i="21"/>
  <c r="H398" i="21"/>
  <c r="G398" i="21"/>
  <c r="F398" i="21"/>
  <c r="E398" i="21"/>
  <c r="D398" i="21"/>
  <c r="C398" i="21"/>
  <c r="B398" i="21"/>
  <c r="A398" i="21"/>
  <c r="BG397" i="21"/>
  <c r="BH397" i="21" s="1"/>
  <c r="BE397" i="21"/>
  <c r="BF397" i="21" s="1"/>
  <c r="AW397" i="21"/>
  <c r="AX397" i="21" s="1"/>
  <c r="AU397" i="21"/>
  <c r="AV397" i="21" s="1"/>
  <c r="AS397" i="21"/>
  <c r="AT397" i="21" s="1"/>
  <c r="AQ397" i="21"/>
  <c r="AR397" i="21" s="1"/>
  <c r="AO397" i="21"/>
  <c r="AM397" i="21"/>
  <c r="AN397" i="21" s="1"/>
  <c r="AK397" i="21"/>
  <c r="AL397" i="21" s="1"/>
  <c r="AG397" i="21"/>
  <c r="AE397" i="21"/>
  <c r="AF397" i="21" s="1"/>
  <c r="AC397" i="21"/>
  <c r="AD397" i="21" s="1"/>
  <c r="AA397" i="21"/>
  <c r="AB397" i="21" s="1"/>
  <c r="W397" i="21"/>
  <c r="U397" i="21"/>
  <c r="V397" i="21" s="1"/>
  <c r="S397" i="21"/>
  <c r="T397" i="21" s="1"/>
  <c r="Q397" i="21"/>
  <c r="R397" i="21" s="1"/>
  <c r="P397" i="21"/>
  <c r="O397" i="21"/>
  <c r="N397" i="21"/>
  <c r="M397" i="21"/>
  <c r="L397" i="21"/>
  <c r="K397" i="21"/>
  <c r="J397" i="21"/>
  <c r="I397" i="21"/>
  <c r="H397" i="21"/>
  <c r="G397" i="21"/>
  <c r="F397" i="21"/>
  <c r="E397" i="21"/>
  <c r="D397" i="21"/>
  <c r="C397" i="21"/>
  <c r="B397" i="21"/>
  <c r="A397" i="21"/>
  <c r="BG396" i="21"/>
  <c r="BH396" i="21" s="1"/>
  <c r="BE396" i="21"/>
  <c r="AW396" i="21"/>
  <c r="AX396" i="21" s="1"/>
  <c r="AU396" i="21"/>
  <c r="AV396" i="21" s="1"/>
  <c r="AS396" i="21"/>
  <c r="AQ396" i="21"/>
  <c r="AR396" i="21" s="1"/>
  <c r="AO396" i="21"/>
  <c r="AP396" i="21" s="1"/>
  <c r="AM396" i="21"/>
  <c r="AK396" i="21"/>
  <c r="AL396" i="21" s="1"/>
  <c r="AG396" i="21"/>
  <c r="AH396" i="21" s="1"/>
  <c r="AE396" i="21"/>
  <c r="AF396" i="21" s="1"/>
  <c r="AC396" i="21"/>
  <c r="AA396" i="21"/>
  <c r="AB396" i="21" s="1"/>
  <c r="W396" i="21"/>
  <c r="X396" i="21" s="1"/>
  <c r="U396" i="21"/>
  <c r="V396" i="21" s="1"/>
  <c r="S396" i="21"/>
  <c r="T396" i="21" s="1"/>
  <c r="Q396" i="21"/>
  <c r="R396" i="21" s="1"/>
  <c r="P396" i="21"/>
  <c r="O396" i="21"/>
  <c r="N396" i="21"/>
  <c r="M396" i="21"/>
  <c r="L396" i="21"/>
  <c r="K396" i="21"/>
  <c r="J396" i="21"/>
  <c r="I396" i="21"/>
  <c r="H396" i="21"/>
  <c r="G396" i="21"/>
  <c r="F396" i="21"/>
  <c r="E396" i="21"/>
  <c r="D396" i="21"/>
  <c r="C396" i="21"/>
  <c r="B396" i="21"/>
  <c r="A396" i="21"/>
  <c r="BG395" i="21"/>
  <c r="BH395" i="21" s="1"/>
  <c r="BE395" i="21"/>
  <c r="BF395" i="21" s="1"/>
  <c r="AW395" i="21"/>
  <c r="AU395" i="21"/>
  <c r="AV395" i="21" s="1"/>
  <c r="AS395" i="21"/>
  <c r="AT395" i="21" s="1"/>
  <c r="AQ395" i="21"/>
  <c r="AO395" i="21"/>
  <c r="AP395" i="21" s="1"/>
  <c r="AM395" i="21"/>
  <c r="AN395" i="21" s="1"/>
  <c r="AK395" i="21"/>
  <c r="AL395" i="21" s="1"/>
  <c r="AG395" i="21"/>
  <c r="AE395" i="21"/>
  <c r="AF395" i="21" s="1"/>
  <c r="AC395" i="21"/>
  <c r="AD395" i="21" s="1"/>
  <c r="AA395" i="21"/>
  <c r="AB395" i="21" s="1"/>
  <c r="W395" i="21"/>
  <c r="X395" i="21" s="1"/>
  <c r="U395" i="21"/>
  <c r="V395" i="21" s="1"/>
  <c r="S395" i="21"/>
  <c r="T395" i="21" s="1"/>
  <c r="Z395" i="21" s="1"/>
  <c r="Q395" i="21"/>
  <c r="R395" i="21" s="1"/>
  <c r="P395" i="21"/>
  <c r="O395" i="21"/>
  <c r="N395" i="21"/>
  <c r="M395" i="21"/>
  <c r="L395" i="21"/>
  <c r="K395" i="21"/>
  <c r="J395" i="21"/>
  <c r="I395" i="21"/>
  <c r="H395" i="21"/>
  <c r="G395" i="21"/>
  <c r="F395" i="21"/>
  <c r="E395" i="21"/>
  <c r="D395" i="21"/>
  <c r="C395" i="21"/>
  <c r="B395" i="21"/>
  <c r="A395" i="21"/>
  <c r="BG394" i="21"/>
  <c r="BH394" i="21" s="1"/>
  <c r="BE394" i="21"/>
  <c r="AW394" i="21"/>
  <c r="AX394" i="21" s="1"/>
  <c r="AU394" i="21"/>
  <c r="AS394" i="21"/>
  <c r="AT394" i="21" s="1"/>
  <c r="AQ394" i="21"/>
  <c r="AR394" i="21" s="1"/>
  <c r="AO394" i="21"/>
  <c r="AP394" i="21" s="1"/>
  <c r="AM394" i="21"/>
  <c r="AN394" i="21" s="1"/>
  <c r="AK394" i="21"/>
  <c r="AL394" i="21" s="1"/>
  <c r="AG394" i="21"/>
  <c r="AH394" i="21" s="1"/>
  <c r="AE394" i="21"/>
  <c r="AF394" i="21" s="1"/>
  <c r="AC394" i="21"/>
  <c r="AD394" i="21" s="1"/>
  <c r="AA394" i="21"/>
  <c r="AB394" i="21" s="1"/>
  <c r="W394" i="21"/>
  <c r="X394" i="21" s="1"/>
  <c r="U394" i="21"/>
  <c r="S394" i="21"/>
  <c r="T394" i="21" s="1"/>
  <c r="Q394" i="21"/>
  <c r="R394" i="21" s="1"/>
  <c r="P394" i="21"/>
  <c r="O394" i="21"/>
  <c r="N394" i="21"/>
  <c r="M394" i="21"/>
  <c r="L394" i="21"/>
  <c r="K394" i="21"/>
  <c r="J394" i="21"/>
  <c r="I394" i="21"/>
  <c r="H394" i="21"/>
  <c r="G394" i="21"/>
  <c r="F394" i="21"/>
  <c r="E394" i="21"/>
  <c r="D394" i="21"/>
  <c r="C394" i="21"/>
  <c r="B394" i="21"/>
  <c r="A394" i="21"/>
  <c r="BG393" i="21"/>
  <c r="BH393" i="21" s="1"/>
  <c r="BE393" i="21"/>
  <c r="BF393" i="21" s="1"/>
  <c r="AW393" i="21"/>
  <c r="AX393" i="21" s="1"/>
  <c r="AU393" i="21"/>
  <c r="AV393" i="21" s="1"/>
  <c r="AS393" i="21"/>
  <c r="AT393" i="21" s="1"/>
  <c r="AQ393" i="21"/>
  <c r="AO393" i="21"/>
  <c r="AP393" i="21" s="1"/>
  <c r="AM393" i="21"/>
  <c r="AN393" i="21" s="1"/>
  <c r="AK393" i="21"/>
  <c r="AL393" i="21" s="1"/>
  <c r="AG393" i="21"/>
  <c r="AH393" i="21" s="1"/>
  <c r="AE393" i="21"/>
  <c r="AF393" i="21" s="1"/>
  <c r="AC393" i="21"/>
  <c r="AD393" i="21" s="1"/>
  <c r="AA393" i="21"/>
  <c r="AB393" i="21" s="1"/>
  <c r="W393" i="21"/>
  <c r="X393" i="21" s="1"/>
  <c r="U393" i="21"/>
  <c r="S393" i="21"/>
  <c r="T393" i="21" s="1"/>
  <c r="Q393" i="21"/>
  <c r="R393" i="21" s="1"/>
  <c r="P393" i="21"/>
  <c r="O393" i="21"/>
  <c r="N393" i="21"/>
  <c r="M393" i="21"/>
  <c r="L393" i="21"/>
  <c r="K393" i="21"/>
  <c r="J393" i="21"/>
  <c r="I393" i="21"/>
  <c r="H393" i="21"/>
  <c r="G393" i="21"/>
  <c r="F393" i="21"/>
  <c r="E393" i="21"/>
  <c r="D393" i="21"/>
  <c r="C393" i="21"/>
  <c r="B393" i="21"/>
  <c r="A393" i="21"/>
  <c r="BG392" i="21"/>
  <c r="BH392" i="21" s="1"/>
  <c r="BE392" i="21"/>
  <c r="BF392" i="21" s="1"/>
  <c r="AW392" i="21"/>
  <c r="AX392" i="21" s="1"/>
  <c r="AU392" i="21"/>
  <c r="AV392" i="21" s="1"/>
  <c r="AS392" i="21"/>
  <c r="AT392" i="21" s="1"/>
  <c r="AQ392" i="21"/>
  <c r="AR392" i="21" s="1"/>
  <c r="AO392" i="21"/>
  <c r="AP392" i="21" s="1"/>
  <c r="AM392" i="21"/>
  <c r="AN392" i="21" s="1"/>
  <c r="AK392" i="21"/>
  <c r="AL392" i="21" s="1"/>
  <c r="AG392" i="21"/>
  <c r="AH392" i="21" s="1"/>
  <c r="AE392" i="21"/>
  <c r="AF392" i="21" s="1"/>
  <c r="AC392" i="21"/>
  <c r="AD392" i="21" s="1"/>
  <c r="AA392" i="21"/>
  <c r="W392" i="21"/>
  <c r="X392" i="21" s="1"/>
  <c r="U392" i="21"/>
  <c r="V392" i="21" s="1"/>
  <c r="S392" i="21"/>
  <c r="T392" i="21" s="1"/>
  <c r="Q392" i="21"/>
  <c r="R392" i="21" s="1"/>
  <c r="P392" i="21"/>
  <c r="O392" i="21"/>
  <c r="N392" i="21"/>
  <c r="M392" i="21"/>
  <c r="L392" i="21"/>
  <c r="K392" i="21"/>
  <c r="J392" i="21"/>
  <c r="I392" i="21"/>
  <c r="H392" i="21"/>
  <c r="G392" i="21"/>
  <c r="F392" i="21"/>
  <c r="E392" i="21"/>
  <c r="D392" i="21"/>
  <c r="C392" i="21"/>
  <c r="B392" i="21"/>
  <c r="A392" i="21"/>
  <c r="BG391" i="21"/>
  <c r="BH391" i="21" s="1"/>
  <c r="BE391" i="21"/>
  <c r="BF391" i="21" s="1"/>
  <c r="AW391" i="21"/>
  <c r="AU391" i="21"/>
  <c r="AV391" i="21" s="1"/>
  <c r="AS391" i="21"/>
  <c r="AT391" i="21" s="1"/>
  <c r="AQ391" i="21"/>
  <c r="AR391" i="21" s="1"/>
  <c r="AO391" i="21"/>
  <c r="AP391" i="21" s="1"/>
  <c r="AM391" i="21"/>
  <c r="AK391" i="21"/>
  <c r="AL391" i="21" s="1"/>
  <c r="AG391" i="21"/>
  <c r="AH391" i="21" s="1"/>
  <c r="AE391" i="21"/>
  <c r="AC391" i="21"/>
  <c r="AD391" i="21" s="1"/>
  <c r="AJ391" i="21" s="1"/>
  <c r="AA391" i="21"/>
  <c r="AB391" i="21" s="1"/>
  <c r="W391" i="21"/>
  <c r="U391" i="21"/>
  <c r="V391" i="21" s="1"/>
  <c r="S391" i="21"/>
  <c r="T391" i="21" s="1"/>
  <c r="Q391" i="21"/>
  <c r="R391" i="21" s="1"/>
  <c r="P391" i="21"/>
  <c r="O391" i="21"/>
  <c r="N391" i="21"/>
  <c r="M391" i="21"/>
  <c r="L391" i="21"/>
  <c r="K391" i="21"/>
  <c r="J391" i="21"/>
  <c r="I391" i="21"/>
  <c r="H391" i="21"/>
  <c r="G391" i="21"/>
  <c r="F391" i="21"/>
  <c r="E391" i="21"/>
  <c r="D391" i="21"/>
  <c r="C391" i="21"/>
  <c r="B391" i="21"/>
  <c r="A391" i="21"/>
  <c r="BG390" i="21"/>
  <c r="BH390" i="21" s="1"/>
  <c r="BE390" i="21"/>
  <c r="BF390" i="21" s="1"/>
  <c r="AW390" i="21"/>
  <c r="AX390" i="21" s="1"/>
  <c r="AU390" i="21"/>
  <c r="AV390" i="21" s="1"/>
  <c r="AS390" i="21"/>
  <c r="AQ390" i="21"/>
  <c r="AR390" i="21" s="1"/>
  <c r="AO390" i="21"/>
  <c r="AP390" i="21" s="1"/>
  <c r="AM390" i="21"/>
  <c r="AN390" i="21" s="1"/>
  <c r="AK390" i="21"/>
  <c r="AL390" i="21" s="1"/>
  <c r="AG390" i="21"/>
  <c r="AH390" i="21" s="1"/>
  <c r="AE390" i="21"/>
  <c r="AF390" i="21" s="1"/>
  <c r="AC390" i="21"/>
  <c r="AD390" i="21" s="1"/>
  <c r="AA390" i="21"/>
  <c r="AB390" i="21" s="1"/>
  <c r="W390" i="21"/>
  <c r="X390" i="21" s="1"/>
  <c r="U390" i="21"/>
  <c r="V390" i="21" s="1"/>
  <c r="S390" i="21"/>
  <c r="T390" i="21" s="1"/>
  <c r="Q390" i="21"/>
  <c r="R390" i="21" s="1"/>
  <c r="P390" i="21"/>
  <c r="O390" i="21"/>
  <c r="N390" i="21"/>
  <c r="M390" i="21"/>
  <c r="L390" i="21"/>
  <c r="K390" i="21"/>
  <c r="J390" i="21"/>
  <c r="I390" i="21"/>
  <c r="H390" i="21"/>
  <c r="G390" i="21"/>
  <c r="F390" i="21"/>
  <c r="E390" i="21"/>
  <c r="D390" i="21"/>
  <c r="C390" i="21"/>
  <c r="B390" i="21"/>
  <c r="A390" i="21"/>
  <c r="BG389" i="21"/>
  <c r="BH389" i="21" s="1"/>
  <c r="BE389" i="21"/>
  <c r="BF389" i="21" s="1"/>
  <c r="AW389" i="21"/>
  <c r="AX389" i="21" s="1"/>
  <c r="AU389" i="21"/>
  <c r="AS389" i="21"/>
  <c r="AT389" i="21" s="1"/>
  <c r="AQ389" i="21"/>
  <c r="AR389" i="21" s="1"/>
  <c r="AO389" i="21"/>
  <c r="AP389" i="21" s="1"/>
  <c r="AM389" i="21"/>
  <c r="AN389" i="21" s="1"/>
  <c r="AK389" i="21"/>
  <c r="AL389" i="21" s="1"/>
  <c r="AG389" i="21"/>
  <c r="AH389" i="21" s="1"/>
  <c r="AE389" i="21"/>
  <c r="AF389" i="21" s="1"/>
  <c r="AC389" i="21"/>
  <c r="AA389" i="21"/>
  <c r="AB389" i="21" s="1"/>
  <c r="W389" i="21"/>
  <c r="X389" i="21" s="1"/>
  <c r="U389" i="21"/>
  <c r="V389" i="21" s="1"/>
  <c r="S389" i="21"/>
  <c r="T389" i="21" s="1"/>
  <c r="Q389" i="21"/>
  <c r="R389" i="21" s="1"/>
  <c r="P389" i="21"/>
  <c r="O389" i="21"/>
  <c r="N389" i="21"/>
  <c r="M389" i="21"/>
  <c r="L389" i="21"/>
  <c r="K389" i="21"/>
  <c r="J389" i="21"/>
  <c r="I389" i="21"/>
  <c r="H389" i="21"/>
  <c r="G389" i="21"/>
  <c r="F389" i="21"/>
  <c r="E389" i="21"/>
  <c r="D389" i="21"/>
  <c r="C389" i="21"/>
  <c r="B389" i="21"/>
  <c r="A389" i="21"/>
  <c r="BG388" i="21"/>
  <c r="BH388" i="21" s="1"/>
  <c r="BE388" i="21"/>
  <c r="BF388" i="21" s="1"/>
  <c r="AW388" i="21"/>
  <c r="AX388" i="21" s="1"/>
  <c r="AU388" i="21"/>
  <c r="AV388" i="21" s="1"/>
  <c r="AS388" i="21"/>
  <c r="AT388" i="21" s="1"/>
  <c r="AQ388" i="21"/>
  <c r="AO388" i="21"/>
  <c r="AP388" i="21" s="1"/>
  <c r="AM388" i="21"/>
  <c r="AN388" i="21" s="1"/>
  <c r="AK388" i="21"/>
  <c r="AL388" i="21" s="1"/>
  <c r="AG388" i="21"/>
  <c r="AE388" i="21"/>
  <c r="AF388" i="21" s="1"/>
  <c r="AC388" i="21"/>
  <c r="AD388" i="21" s="1"/>
  <c r="AA388" i="21"/>
  <c r="AB388" i="21" s="1"/>
  <c r="W388" i="21"/>
  <c r="X388" i="21" s="1"/>
  <c r="U388" i="21"/>
  <c r="V388" i="21" s="1"/>
  <c r="S388" i="21"/>
  <c r="T388" i="21" s="1"/>
  <c r="Q388" i="21"/>
  <c r="R388" i="21" s="1"/>
  <c r="Y388" i="21" s="1"/>
  <c r="P388" i="21"/>
  <c r="O388" i="21"/>
  <c r="N388" i="21"/>
  <c r="M388" i="21"/>
  <c r="L388" i="21"/>
  <c r="K388" i="21"/>
  <c r="J388" i="21"/>
  <c r="I388" i="21"/>
  <c r="H388" i="21"/>
  <c r="G388" i="21"/>
  <c r="F388" i="21"/>
  <c r="E388" i="21"/>
  <c r="D388" i="21"/>
  <c r="C388" i="21"/>
  <c r="B388" i="21"/>
  <c r="A388" i="21"/>
  <c r="BG387" i="21"/>
  <c r="BH387" i="21" s="1"/>
  <c r="BE387" i="21"/>
  <c r="BF387" i="21" s="1"/>
  <c r="AW387" i="21"/>
  <c r="AX387" i="21" s="1"/>
  <c r="AU387" i="21"/>
  <c r="AV387" i="21" s="1"/>
  <c r="AS387" i="21"/>
  <c r="AT387" i="21" s="1"/>
  <c r="AQ387" i="21"/>
  <c r="AO387" i="21"/>
  <c r="AP387" i="21" s="1"/>
  <c r="AM387" i="21"/>
  <c r="AN387" i="21" s="1"/>
  <c r="AK387" i="21"/>
  <c r="AL387" i="21" s="1"/>
  <c r="AG387" i="21"/>
  <c r="AE387" i="21"/>
  <c r="AF387" i="21" s="1"/>
  <c r="AC387" i="21"/>
  <c r="AD387" i="21" s="1"/>
  <c r="AA387" i="21"/>
  <c r="AB387" i="21" s="1"/>
  <c r="W387" i="21"/>
  <c r="X387" i="21" s="1"/>
  <c r="U387" i="21"/>
  <c r="V387" i="21" s="1"/>
  <c r="S387" i="21"/>
  <c r="Q387" i="21"/>
  <c r="R387" i="21" s="1"/>
  <c r="P387" i="21"/>
  <c r="O387" i="21"/>
  <c r="N387" i="21"/>
  <c r="M387" i="21"/>
  <c r="L387" i="21"/>
  <c r="K387" i="21"/>
  <c r="J387" i="21"/>
  <c r="I387" i="21"/>
  <c r="H387" i="21"/>
  <c r="G387" i="21"/>
  <c r="F387" i="21"/>
  <c r="E387" i="21"/>
  <c r="D387" i="21"/>
  <c r="C387" i="21"/>
  <c r="B387" i="21"/>
  <c r="A387" i="21"/>
  <c r="BG386" i="21"/>
  <c r="BH386" i="21" s="1"/>
  <c r="BE386" i="21"/>
  <c r="BF386" i="21" s="1"/>
  <c r="AW386" i="21"/>
  <c r="AX386" i="21" s="1"/>
  <c r="AU386" i="21"/>
  <c r="AS386" i="21"/>
  <c r="AT386" i="21" s="1"/>
  <c r="AQ386" i="21"/>
  <c r="AR386" i="21" s="1"/>
  <c r="AO386" i="21"/>
  <c r="AP386" i="21" s="1"/>
  <c r="AM386" i="21"/>
  <c r="AN386" i="21" s="1"/>
  <c r="AK386" i="21"/>
  <c r="AL386" i="21" s="1"/>
  <c r="AG386" i="21"/>
  <c r="AH386" i="21" s="1"/>
  <c r="AE386" i="21"/>
  <c r="AF386" i="21" s="1"/>
  <c r="AC386" i="21"/>
  <c r="AA386" i="21"/>
  <c r="AB386" i="21" s="1"/>
  <c r="W386" i="21"/>
  <c r="X386" i="21" s="1"/>
  <c r="U386" i="21"/>
  <c r="V386" i="21" s="1"/>
  <c r="S386" i="21"/>
  <c r="T386" i="21" s="1"/>
  <c r="Q386" i="21"/>
  <c r="R386" i="21" s="1"/>
  <c r="P386" i="21"/>
  <c r="O386" i="21"/>
  <c r="N386" i="21"/>
  <c r="M386" i="21"/>
  <c r="L386" i="21"/>
  <c r="K386" i="21"/>
  <c r="J386" i="21"/>
  <c r="I386" i="21"/>
  <c r="H386" i="21"/>
  <c r="G386" i="21"/>
  <c r="F386" i="21"/>
  <c r="E386" i="21"/>
  <c r="D386" i="21"/>
  <c r="C386" i="21"/>
  <c r="B386" i="21"/>
  <c r="A386" i="21"/>
  <c r="BG385" i="21"/>
  <c r="BH385" i="21" s="1"/>
  <c r="BE385" i="21"/>
  <c r="AW385" i="21"/>
  <c r="AX385" i="21" s="1"/>
  <c r="AU385" i="21"/>
  <c r="AV385" i="21" s="1"/>
  <c r="AS385" i="21"/>
  <c r="AT385" i="21" s="1"/>
  <c r="AQ385" i="21"/>
  <c r="AR385" i="21" s="1"/>
  <c r="AO385" i="21"/>
  <c r="AP385" i="21" s="1"/>
  <c r="AM385" i="21"/>
  <c r="AN385" i="21" s="1"/>
  <c r="AK385" i="21"/>
  <c r="AL385" i="21" s="1"/>
  <c r="AG385" i="21"/>
  <c r="AH385" i="21" s="1"/>
  <c r="AE385" i="21"/>
  <c r="AF385" i="21" s="1"/>
  <c r="AC385" i="21"/>
  <c r="AA385" i="21"/>
  <c r="AB385" i="21" s="1"/>
  <c r="W385" i="21"/>
  <c r="X385" i="21" s="1"/>
  <c r="U385" i="21"/>
  <c r="V385" i="21" s="1"/>
  <c r="S385" i="21"/>
  <c r="Q385" i="21"/>
  <c r="R385" i="21" s="1"/>
  <c r="P385" i="21"/>
  <c r="O385" i="21"/>
  <c r="N385" i="21"/>
  <c r="M385" i="21"/>
  <c r="L385" i="21"/>
  <c r="K385" i="21"/>
  <c r="J385" i="21"/>
  <c r="I385" i="21"/>
  <c r="H385" i="21"/>
  <c r="G385" i="21"/>
  <c r="F385" i="21"/>
  <c r="E385" i="21"/>
  <c r="D385" i="21"/>
  <c r="C385" i="21"/>
  <c r="B385" i="21"/>
  <c r="A385" i="21"/>
  <c r="BG384" i="21"/>
  <c r="BH384" i="21" s="1"/>
  <c r="BE384" i="21"/>
  <c r="BF384" i="21" s="1"/>
  <c r="AW384" i="21"/>
  <c r="AX384" i="21" s="1"/>
  <c r="AU384" i="21"/>
  <c r="AV384" i="21" s="1"/>
  <c r="AS384" i="21"/>
  <c r="AT384" i="21" s="1"/>
  <c r="AQ384" i="21"/>
  <c r="AR384" i="21" s="1"/>
  <c r="AO384" i="21"/>
  <c r="AP384" i="21" s="1"/>
  <c r="AM384" i="21"/>
  <c r="AN384" i="21" s="1"/>
  <c r="AK384" i="21"/>
  <c r="AL384" i="21" s="1"/>
  <c r="AG384" i="21"/>
  <c r="AE384" i="21"/>
  <c r="AF384" i="21" s="1"/>
  <c r="AC384" i="21"/>
  <c r="AD384" i="21" s="1"/>
  <c r="AA384" i="21"/>
  <c r="AB384" i="21" s="1"/>
  <c r="AI384" i="21" s="1"/>
  <c r="W384" i="21"/>
  <c r="X384" i="21" s="1"/>
  <c r="U384" i="21"/>
  <c r="S384" i="21"/>
  <c r="T384" i="21" s="1"/>
  <c r="Q384" i="21"/>
  <c r="R384" i="21" s="1"/>
  <c r="P384" i="21"/>
  <c r="O384" i="21"/>
  <c r="N384" i="21"/>
  <c r="M384" i="21"/>
  <c r="L384" i="21"/>
  <c r="K384" i="21"/>
  <c r="J384" i="21"/>
  <c r="I384" i="21"/>
  <c r="H384" i="21"/>
  <c r="G384" i="21"/>
  <c r="F384" i="21"/>
  <c r="E384" i="21"/>
  <c r="D384" i="21"/>
  <c r="C384" i="21"/>
  <c r="B384" i="21"/>
  <c r="A384" i="21"/>
  <c r="BG383" i="21"/>
  <c r="BH383" i="21" s="1"/>
  <c r="BE383" i="21"/>
  <c r="BF383" i="21" s="1"/>
  <c r="AW383" i="21"/>
  <c r="AU383" i="21"/>
  <c r="AV383" i="21" s="1"/>
  <c r="AS383" i="21"/>
  <c r="AT383" i="21" s="1"/>
  <c r="AQ383" i="21"/>
  <c r="AR383" i="21" s="1"/>
  <c r="AO383" i="21"/>
  <c r="AP383" i="21" s="1"/>
  <c r="AM383" i="21"/>
  <c r="AN383" i="21" s="1"/>
  <c r="AK383" i="21"/>
  <c r="AL383" i="21" s="1"/>
  <c r="AG383" i="21"/>
  <c r="AH383" i="21" s="1"/>
  <c r="AE383" i="21"/>
  <c r="AF383" i="21" s="1"/>
  <c r="AC383" i="21"/>
  <c r="AD383" i="21" s="1"/>
  <c r="AJ383" i="21" s="1"/>
  <c r="AA383" i="21"/>
  <c r="W383" i="21"/>
  <c r="U383" i="21"/>
  <c r="V383" i="21" s="1"/>
  <c r="S383" i="21"/>
  <c r="T383" i="21" s="1"/>
  <c r="Q383" i="21"/>
  <c r="R383" i="21" s="1"/>
  <c r="P383" i="21"/>
  <c r="O383" i="21"/>
  <c r="N383" i="21"/>
  <c r="M383" i="21"/>
  <c r="L383" i="21"/>
  <c r="K383" i="21"/>
  <c r="J383" i="21"/>
  <c r="I383" i="21"/>
  <c r="H383" i="21"/>
  <c r="G383" i="21"/>
  <c r="F383" i="21"/>
  <c r="E383" i="21"/>
  <c r="D383" i="21"/>
  <c r="C383" i="21"/>
  <c r="B383" i="21"/>
  <c r="A383" i="21"/>
  <c r="BG382" i="21"/>
  <c r="BH382" i="21" s="1"/>
  <c r="BE382" i="21"/>
  <c r="BF382" i="21" s="1"/>
  <c r="AW382" i="21"/>
  <c r="AX382" i="21" s="1"/>
  <c r="AU382" i="21"/>
  <c r="AV382" i="21" s="1"/>
  <c r="AS382" i="21"/>
  <c r="AT382" i="21" s="1"/>
  <c r="AQ382" i="21"/>
  <c r="AR382" i="21" s="1"/>
  <c r="AO382" i="21"/>
  <c r="AP382" i="21" s="1"/>
  <c r="AM382" i="21"/>
  <c r="AN382" i="21" s="1"/>
  <c r="AK382" i="21"/>
  <c r="AL382" i="21" s="1"/>
  <c r="AG382" i="21"/>
  <c r="AH382" i="21" s="1"/>
  <c r="AE382" i="21"/>
  <c r="AF382" i="21" s="1"/>
  <c r="AC382" i="21"/>
  <c r="AD382" i="21" s="1"/>
  <c r="AA382" i="21"/>
  <c r="W382" i="21"/>
  <c r="X382" i="21" s="1"/>
  <c r="U382" i="21"/>
  <c r="V382" i="21" s="1"/>
  <c r="S382" i="21"/>
  <c r="Q382" i="21"/>
  <c r="R382" i="21" s="1"/>
  <c r="P382" i="21"/>
  <c r="O382" i="21"/>
  <c r="N382" i="21"/>
  <c r="M382" i="21"/>
  <c r="L382" i="21"/>
  <c r="K382" i="21"/>
  <c r="J382" i="21"/>
  <c r="I382" i="21"/>
  <c r="H382" i="21"/>
  <c r="G382" i="21"/>
  <c r="F382" i="21"/>
  <c r="E382" i="21"/>
  <c r="D382" i="21"/>
  <c r="C382" i="21"/>
  <c r="B382" i="21"/>
  <c r="A382" i="21"/>
  <c r="BG381" i="21"/>
  <c r="BH381" i="21" s="1"/>
  <c r="BE381" i="21"/>
  <c r="BF381" i="21" s="1"/>
  <c r="AW381" i="21"/>
  <c r="AX381" i="21" s="1"/>
  <c r="AU381" i="21"/>
  <c r="AS381" i="21"/>
  <c r="AT381" i="21" s="1"/>
  <c r="AQ381" i="21"/>
  <c r="AR381" i="21" s="1"/>
  <c r="AO381" i="21"/>
  <c r="AP381" i="21" s="1"/>
  <c r="AM381" i="21"/>
  <c r="AN381" i="21" s="1"/>
  <c r="AK381" i="21"/>
  <c r="AL381" i="21" s="1"/>
  <c r="AG381" i="21"/>
  <c r="AH381" i="21" s="1"/>
  <c r="AE381" i="21"/>
  <c r="AC381" i="21"/>
  <c r="AD381" i="21" s="1"/>
  <c r="AA381" i="21"/>
  <c r="AB381" i="21" s="1"/>
  <c r="W381" i="21"/>
  <c r="U381" i="21"/>
  <c r="V381" i="21" s="1"/>
  <c r="S381" i="21"/>
  <c r="T381" i="21" s="1"/>
  <c r="Q381" i="21"/>
  <c r="R381" i="21" s="1"/>
  <c r="P381" i="21"/>
  <c r="O381" i="21"/>
  <c r="N381" i="21"/>
  <c r="M381" i="21"/>
  <c r="L381" i="21"/>
  <c r="K381" i="21"/>
  <c r="J381" i="21"/>
  <c r="I381" i="21"/>
  <c r="H381" i="21"/>
  <c r="G381" i="21"/>
  <c r="F381" i="21"/>
  <c r="E381" i="21"/>
  <c r="D381" i="21"/>
  <c r="C381" i="21"/>
  <c r="B381" i="21"/>
  <c r="A381" i="21"/>
  <c r="BG380" i="21"/>
  <c r="BH380" i="21" s="1"/>
  <c r="BE380" i="21"/>
  <c r="BF380" i="21" s="1"/>
  <c r="AW380" i="21"/>
  <c r="AX380" i="21" s="1"/>
  <c r="AU380" i="21"/>
  <c r="AV380" i="21" s="1"/>
  <c r="AS380" i="21"/>
  <c r="AT380" i="21" s="1"/>
  <c r="AQ380" i="21"/>
  <c r="AR380" i="21" s="1"/>
  <c r="AO380" i="21"/>
  <c r="AP380" i="21" s="1"/>
  <c r="AM380" i="21"/>
  <c r="AN380" i="21" s="1"/>
  <c r="AK380" i="21"/>
  <c r="AG380" i="21"/>
  <c r="AH380" i="21" s="1"/>
  <c r="AE380" i="21"/>
  <c r="AF380" i="21" s="1"/>
  <c r="AC380" i="21"/>
  <c r="AA380" i="21"/>
  <c r="AB380" i="21" s="1"/>
  <c r="W380" i="21"/>
  <c r="X380" i="21" s="1"/>
  <c r="U380" i="21"/>
  <c r="V380" i="21" s="1"/>
  <c r="S380" i="21"/>
  <c r="T380" i="21" s="1"/>
  <c r="Q380" i="21"/>
  <c r="R380" i="21" s="1"/>
  <c r="Y380" i="21" s="1"/>
  <c r="P380" i="21"/>
  <c r="O380" i="21"/>
  <c r="N380" i="21"/>
  <c r="M380" i="21"/>
  <c r="L380" i="21"/>
  <c r="K380" i="21"/>
  <c r="J380" i="21"/>
  <c r="I380" i="21"/>
  <c r="H380" i="21"/>
  <c r="G380" i="21"/>
  <c r="F380" i="21"/>
  <c r="E380" i="21"/>
  <c r="D380" i="21"/>
  <c r="C380" i="21"/>
  <c r="B380" i="21"/>
  <c r="A380" i="21"/>
  <c r="BG379" i="21"/>
  <c r="BH379" i="21" s="1"/>
  <c r="BE379" i="21"/>
  <c r="BF379" i="21" s="1"/>
  <c r="AW379" i="21"/>
  <c r="AX379" i="21" s="1"/>
  <c r="AU379" i="21"/>
  <c r="AV379" i="21" s="1"/>
  <c r="AS379" i="21"/>
  <c r="AT379" i="21" s="1"/>
  <c r="AQ379" i="21"/>
  <c r="AR379" i="21" s="1"/>
  <c r="AO379" i="21"/>
  <c r="AM379" i="21"/>
  <c r="AN379" i="21" s="1"/>
  <c r="AK379" i="21"/>
  <c r="AL379" i="21" s="1"/>
  <c r="AG379" i="21"/>
  <c r="AE379" i="21"/>
  <c r="AF379" i="21" s="1"/>
  <c r="AC379" i="21"/>
  <c r="AD379" i="21" s="1"/>
  <c r="AA379" i="21"/>
  <c r="AB379" i="21" s="1"/>
  <c r="W379" i="21"/>
  <c r="U379" i="21"/>
  <c r="V379" i="21" s="1"/>
  <c r="S379" i="21"/>
  <c r="T379" i="21" s="1"/>
  <c r="Q379" i="21"/>
  <c r="R379" i="21" s="1"/>
  <c r="P379" i="21"/>
  <c r="O379" i="21"/>
  <c r="N379" i="21"/>
  <c r="M379" i="21"/>
  <c r="L379" i="21"/>
  <c r="K379" i="21"/>
  <c r="J379" i="21"/>
  <c r="I379" i="21"/>
  <c r="H379" i="21"/>
  <c r="G379" i="21"/>
  <c r="F379" i="21"/>
  <c r="E379" i="21"/>
  <c r="D379" i="21"/>
  <c r="C379" i="21"/>
  <c r="B379" i="21"/>
  <c r="A379" i="21"/>
  <c r="BG378" i="21"/>
  <c r="BH378" i="21" s="1"/>
  <c r="BE378" i="21"/>
  <c r="BF378" i="21" s="1"/>
  <c r="AW378" i="21"/>
  <c r="AX378" i="21" s="1"/>
  <c r="AU378" i="21"/>
  <c r="AV378" i="21" s="1"/>
  <c r="AS378" i="21"/>
  <c r="AQ378" i="21"/>
  <c r="AR378" i="21" s="1"/>
  <c r="AO378" i="21"/>
  <c r="AP378" i="21" s="1"/>
  <c r="AM378" i="21"/>
  <c r="AK378" i="21"/>
  <c r="AL378" i="21" s="1"/>
  <c r="AG378" i="21"/>
  <c r="AH378" i="21" s="1"/>
  <c r="AE378" i="21"/>
  <c r="AF378" i="21" s="1"/>
  <c r="AC378" i="21"/>
  <c r="AD378" i="21" s="1"/>
  <c r="AA378" i="21"/>
  <c r="AB378" i="21" s="1"/>
  <c r="W378" i="21"/>
  <c r="X378" i="21" s="1"/>
  <c r="U378" i="21"/>
  <c r="S378" i="21"/>
  <c r="T378" i="21" s="1"/>
  <c r="Q378" i="21"/>
  <c r="R378" i="21" s="1"/>
  <c r="P378" i="21"/>
  <c r="O378" i="21"/>
  <c r="N378" i="21"/>
  <c r="M378" i="21"/>
  <c r="L378" i="21"/>
  <c r="K378" i="21"/>
  <c r="J378" i="21"/>
  <c r="I378" i="21"/>
  <c r="H378" i="21"/>
  <c r="G378" i="21"/>
  <c r="F378" i="21"/>
  <c r="E378" i="21"/>
  <c r="D378" i="21"/>
  <c r="C378" i="21"/>
  <c r="B378" i="21"/>
  <c r="A378" i="21"/>
  <c r="BG377" i="21"/>
  <c r="BE377" i="21"/>
  <c r="BF377" i="21" s="1"/>
  <c r="AW377" i="21"/>
  <c r="AX377" i="21" s="1"/>
  <c r="AU377" i="21"/>
  <c r="AV377" i="21" s="1"/>
  <c r="AS377" i="21"/>
  <c r="AT377" i="21" s="1"/>
  <c r="AQ377" i="21"/>
  <c r="AO377" i="21"/>
  <c r="AP377" i="21" s="1"/>
  <c r="AM377" i="21"/>
  <c r="AN377" i="21" s="1"/>
  <c r="AK377" i="21"/>
  <c r="AL377" i="21" s="1"/>
  <c r="AG377" i="21"/>
  <c r="AH377" i="21" s="1"/>
  <c r="AE377" i="21"/>
  <c r="AF377" i="21" s="1"/>
  <c r="AC377" i="21"/>
  <c r="AD377" i="21" s="1"/>
  <c r="AA377" i="21"/>
  <c r="W377" i="21"/>
  <c r="X377" i="21" s="1"/>
  <c r="U377" i="21"/>
  <c r="V377" i="21" s="1"/>
  <c r="S377" i="21"/>
  <c r="Q377" i="21"/>
  <c r="R377" i="21" s="1"/>
  <c r="P377" i="21"/>
  <c r="O377" i="21"/>
  <c r="N377" i="21"/>
  <c r="M377" i="21"/>
  <c r="L377" i="21"/>
  <c r="K377" i="21"/>
  <c r="J377" i="21"/>
  <c r="I377" i="21"/>
  <c r="H377" i="21"/>
  <c r="G377" i="21"/>
  <c r="F377" i="21"/>
  <c r="E377" i="21"/>
  <c r="D377" i="21"/>
  <c r="C377" i="21"/>
  <c r="B377" i="21"/>
  <c r="A377" i="21"/>
  <c r="BG376" i="21"/>
  <c r="BH376" i="21" s="1"/>
  <c r="BE376" i="21"/>
  <c r="AW376" i="21"/>
  <c r="AX376" i="21" s="1"/>
  <c r="AU376" i="21"/>
  <c r="AS376" i="21"/>
  <c r="AT376" i="21" s="1"/>
  <c r="AQ376" i="21"/>
  <c r="AR376" i="21" s="1"/>
  <c r="AO376" i="21"/>
  <c r="AP376" i="21" s="1"/>
  <c r="AM376" i="21"/>
  <c r="AN376" i="21" s="1"/>
  <c r="AK376" i="21"/>
  <c r="AL376" i="21" s="1"/>
  <c r="AG376" i="21"/>
  <c r="AH376" i="21" s="1"/>
  <c r="AE376" i="21"/>
  <c r="AC376" i="21"/>
  <c r="AD376" i="21" s="1"/>
  <c r="AA376" i="21"/>
  <c r="AB376" i="21" s="1"/>
  <c r="W376" i="21"/>
  <c r="U376" i="21"/>
  <c r="V376" i="21" s="1"/>
  <c r="S376" i="21"/>
  <c r="T376" i="21" s="1"/>
  <c r="Q376" i="21"/>
  <c r="P376" i="21"/>
  <c r="O376" i="21"/>
  <c r="N376" i="21"/>
  <c r="M376" i="21"/>
  <c r="L376" i="21"/>
  <c r="K376" i="21"/>
  <c r="J376" i="21"/>
  <c r="I376" i="21"/>
  <c r="H376" i="21"/>
  <c r="G376" i="21"/>
  <c r="F376" i="21"/>
  <c r="E376" i="21"/>
  <c r="D376" i="21"/>
  <c r="C376" i="21"/>
  <c r="B376" i="21"/>
  <c r="A376" i="21"/>
  <c r="BG375" i="21"/>
  <c r="BH375" i="21" s="1"/>
  <c r="BE375" i="21"/>
  <c r="BF375" i="21" s="1"/>
  <c r="AW375" i="21"/>
  <c r="AX375" i="21" s="1"/>
  <c r="AU375" i="21"/>
  <c r="AV375" i="21" s="1"/>
  <c r="AS375" i="21"/>
  <c r="AT375" i="21" s="1"/>
  <c r="AQ375" i="21"/>
  <c r="AO375" i="21"/>
  <c r="AP375" i="21" s="1"/>
  <c r="AM375" i="21"/>
  <c r="AN375" i="21" s="1"/>
  <c r="AK375" i="21"/>
  <c r="AG375" i="21"/>
  <c r="AH375" i="21" s="1"/>
  <c r="AE375" i="21"/>
  <c r="AF375" i="21" s="1"/>
  <c r="AC375" i="21"/>
  <c r="AA375" i="21"/>
  <c r="AB375" i="21" s="1"/>
  <c r="W375" i="21"/>
  <c r="X375" i="21" s="1"/>
  <c r="U375" i="21"/>
  <c r="V375" i="21" s="1"/>
  <c r="S375" i="21"/>
  <c r="T375" i="21" s="1"/>
  <c r="Q375" i="21"/>
  <c r="R375" i="21" s="1"/>
  <c r="P375" i="21"/>
  <c r="O375" i="21"/>
  <c r="N375" i="21"/>
  <c r="M375" i="21"/>
  <c r="L375" i="21"/>
  <c r="K375" i="21"/>
  <c r="J375" i="21"/>
  <c r="I375" i="21"/>
  <c r="H375" i="21"/>
  <c r="G375" i="21"/>
  <c r="F375" i="21"/>
  <c r="E375" i="21"/>
  <c r="D375" i="21"/>
  <c r="C375" i="21"/>
  <c r="B375" i="21"/>
  <c r="A375" i="21"/>
  <c r="BG374" i="21"/>
  <c r="BE374" i="21"/>
  <c r="BF374" i="21" s="1"/>
  <c r="AW374" i="21"/>
  <c r="AX374" i="21" s="1"/>
  <c r="AU374" i="21"/>
  <c r="AV374" i="21" s="1"/>
  <c r="AS374" i="21"/>
  <c r="AT374" i="21" s="1"/>
  <c r="AQ374" i="21"/>
  <c r="AR374" i="21" s="1"/>
  <c r="AO374" i="21"/>
  <c r="AM374" i="21"/>
  <c r="AN374" i="21" s="1"/>
  <c r="AK374" i="21"/>
  <c r="AL374" i="21" s="1"/>
  <c r="AG374" i="21"/>
  <c r="AE374" i="21"/>
  <c r="AF374" i="21" s="1"/>
  <c r="AC374" i="21"/>
  <c r="AD374" i="21" s="1"/>
  <c r="AA374" i="21"/>
  <c r="W374" i="21"/>
  <c r="X374" i="21" s="1"/>
  <c r="U374" i="21"/>
  <c r="V374" i="21" s="1"/>
  <c r="S374" i="21"/>
  <c r="T374" i="21" s="1"/>
  <c r="Q374" i="21"/>
  <c r="R374" i="21" s="1"/>
  <c r="P374" i="21"/>
  <c r="O374" i="21"/>
  <c r="N374" i="21"/>
  <c r="M374" i="21"/>
  <c r="L374" i="21"/>
  <c r="K374" i="21"/>
  <c r="J374" i="21"/>
  <c r="I374" i="21"/>
  <c r="H374" i="21"/>
  <c r="G374" i="21"/>
  <c r="F374" i="21"/>
  <c r="E374" i="21"/>
  <c r="D374" i="21"/>
  <c r="C374" i="21"/>
  <c r="B374" i="21"/>
  <c r="A374" i="21"/>
  <c r="BG373" i="21"/>
  <c r="BH373" i="21" s="1"/>
  <c r="BE373" i="21"/>
  <c r="BF373" i="21" s="1"/>
  <c r="AW373" i="21"/>
  <c r="AX373" i="21" s="1"/>
  <c r="AU373" i="21"/>
  <c r="AV373" i="21" s="1"/>
  <c r="AS373" i="21"/>
  <c r="AQ373" i="21"/>
  <c r="AR373" i="21" s="1"/>
  <c r="AO373" i="21"/>
  <c r="AM373" i="21"/>
  <c r="AK373" i="21"/>
  <c r="AL373" i="21" s="1"/>
  <c r="AG373" i="21"/>
  <c r="AH373" i="21" s="1"/>
  <c r="AE373" i="21"/>
  <c r="AC373" i="21"/>
  <c r="AD373" i="21" s="1"/>
  <c r="AA373" i="21"/>
  <c r="AB373" i="21" s="1"/>
  <c r="W373" i="21"/>
  <c r="X373" i="21" s="1"/>
  <c r="U373" i="21"/>
  <c r="V373" i="21" s="1"/>
  <c r="S373" i="21"/>
  <c r="Q373" i="21"/>
  <c r="R373" i="21" s="1"/>
  <c r="P373" i="21"/>
  <c r="O373" i="21"/>
  <c r="N373" i="21"/>
  <c r="M373" i="21"/>
  <c r="L373" i="21"/>
  <c r="K373" i="21"/>
  <c r="J373" i="21"/>
  <c r="I373" i="21"/>
  <c r="H373" i="21"/>
  <c r="G373" i="21"/>
  <c r="F373" i="21"/>
  <c r="E373" i="21"/>
  <c r="D373" i="21"/>
  <c r="C373" i="21"/>
  <c r="B373" i="21"/>
  <c r="A373" i="21"/>
  <c r="BG372" i="21"/>
  <c r="BH372" i="21" s="1"/>
  <c r="BE372" i="21"/>
  <c r="BF372" i="21" s="1"/>
  <c r="AW372" i="21"/>
  <c r="AU372" i="21"/>
  <c r="AV372" i="21" s="1"/>
  <c r="AS372" i="21"/>
  <c r="AT372" i="21" s="1"/>
  <c r="AQ372" i="21"/>
  <c r="AR372" i="21" s="1"/>
  <c r="AO372" i="21"/>
  <c r="AP372" i="21" s="1"/>
  <c r="AM372" i="21"/>
  <c r="AN372" i="21" s="1"/>
  <c r="AK372" i="21"/>
  <c r="AG372" i="21"/>
  <c r="AE372" i="21"/>
  <c r="AF372" i="21" s="1"/>
  <c r="AC372" i="21"/>
  <c r="AD372" i="21" s="1"/>
  <c r="AA372" i="21"/>
  <c r="AB372" i="21" s="1"/>
  <c r="W372" i="21"/>
  <c r="X372" i="21" s="1"/>
  <c r="U372" i="21"/>
  <c r="V372" i="21" s="1"/>
  <c r="S372" i="21"/>
  <c r="Q372" i="21"/>
  <c r="R372" i="21" s="1"/>
  <c r="Y372" i="21" s="1"/>
  <c r="P372" i="21"/>
  <c r="O372" i="21"/>
  <c r="N372" i="21"/>
  <c r="M372" i="21"/>
  <c r="L372" i="21"/>
  <c r="K372" i="21"/>
  <c r="J372" i="21"/>
  <c r="I372" i="21"/>
  <c r="H372" i="21"/>
  <c r="G372" i="21"/>
  <c r="F372" i="21"/>
  <c r="E372" i="21"/>
  <c r="D372" i="21"/>
  <c r="C372" i="21"/>
  <c r="B372" i="21"/>
  <c r="A372" i="21"/>
  <c r="BG371" i="21"/>
  <c r="BH371" i="21" s="1"/>
  <c r="BE371" i="21"/>
  <c r="BF371" i="21" s="1"/>
  <c r="AW371" i="21"/>
  <c r="AX371" i="21" s="1"/>
  <c r="AU371" i="21"/>
  <c r="AV371" i="21" s="1"/>
  <c r="AS371" i="21"/>
  <c r="AT371" i="21" s="1"/>
  <c r="AQ371" i="21"/>
  <c r="AR371" i="21" s="1"/>
  <c r="AO371" i="21"/>
  <c r="AM371" i="21"/>
  <c r="AK371" i="21"/>
  <c r="AL371" i="21" s="1"/>
  <c r="AG371" i="21"/>
  <c r="AE371" i="21"/>
  <c r="AF371" i="21" s="1"/>
  <c r="AC371" i="21"/>
  <c r="AD371" i="21" s="1"/>
  <c r="AA371" i="21"/>
  <c r="AB371" i="21" s="1"/>
  <c r="W371" i="21"/>
  <c r="U371" i="21"/>
  <c r="V371" i="21" s="1"/>
  <c r="S371" i="21"/>
  <c r="T371" i="21" s="1"/>
  <c r="Q371" i="21"/>
  <c r="R371" i="21" s="1"/>
  <c r="P371" i="21"/>
  <c r="O371" i="21"/>
  <c r="N371" i="21"/>
  <c r="M371" i="21"/>
  <c r="L371" i="21"/>
  <c r="K371" i="21"/>
  <c r="J371" i="21"/>
  <c r="I371" i="21"/>
  <c r="H371" i="21"/>
  <c r="G371" i="21"/>
  <c r="F371" i="21"/>
  <c r="E371" i="21"/>
  <c r="D371" i="21"/>
  <c r="C371" i="21"/>
  <c r="B371" i="21"/>
  <c r="A371" i="21"/>
  <c r="BG370" i="21"/>
  <c r="BH370" i="21" s="1"/>
  <c r="BE370" i="21"/>
  <c r="BF370" i="21" s="1"/>
  <c r="AW370" i="21"/>
  <c r="AX370" i="21" s="1"/>
  <c r="AU370" i="21"/>
  <c r="AV370" i="21" s="1"/>
  <c r="AS370" i="21"/>
  <c r="AQ370" i="21"/>
  <c r="AO370" i="21"/>
  <c r="AP370" i="21" s="1"/>
  <c r="AM370" i="21"/>
  <c r="AN370" i="21" s="1"/>
  <c r="AK370" i="21"/>
  <c r="AL370" i="21" s="1"/>
  <c r="AG370" i="21"/>
  <c r="AH370" i="21" s="1"/>
  <c r="AE370" i="21"/>
  <c r="AF370" i="21" s="1"/>
  <c r="AC370" i="21"/>
  <c r="AD370" i="21" s="1"/>
  <c r="AA370" i="21"/>
  <c r="AB370" i="21" s="1"/>
  <c r="W370" i="21"/>
  <c r="X370" i="21" s="1"/>
  <c r="U370" i="21"/>
  <c r="V370" i="21" s="1"/>
  <c r="S370" i="21"/>
  <c r="Q370" i="21"/>
  <c r="R370" i="21" s="1"/>
  <c r="P370" i="21"/>
  <c r="O370" i="21"/>
  <c r="N370" i="21"/>
  <c r="M370" i="21"/>
  <c r="L370" i="21"/>
  <c r="K370" i="21"/>
  <c r="J370" i="21"/>
  <c r="I370" i="21"/>
  <c r="H370" i="21"/>
  <c r="G370" i="21"/>
  <c r="F370" i="21"/>
  <c r="E370" i="21"/>
  <c r="D370" i="21"/>
  <c r="C370" i="21"/>
  <c r="B370" i="21"/>
  <c r="A370" i="21"/>
  <c r="BG369" i="21"/>
  <c r="BE369" i="21"/>
  <c r="BF369" i="21" s="1"/>
  <c r="AW369" i="21"/>
  <c r="AX369" i="21" s="1"/>
  <c r="AU369" i="21"/>
  <c r="AS369" i="21"/>
  <c r="AT369" i="21" s="1"/>
  <c r="AQ369" i="21"/>
  <c r="AR369" i="21" s="1"/>
  <c r="AO369" i="21"/>
  <c r="AP369" i="21" s="1"/>
  <c r="AM369" i="21"/>
  <c r="AK369" i="21"/>
  <c r="AL369" i="21" s="1"/>
  <c r="AG369" i="21"/>
  <c r="AH369" i="21" s="1"/>
  <c r="AE369" i="21"/>
  <c r="AF369" i="21" s="1"/>
  <c r="AC369" i="21"/>
  <c r="AD369" i="21" s="1"/>
  <c r="AA369" i="21"/>
  <c r="W369" i="21"/>
  <c r="U369" i="21"/>
  <c r="V369" i="21" s="1"/>
  <c r="S369" i="21"/>
  <c r="Q369" i="21"/>
  <c r="R369" i="21" s="1"/>
  <c r="P369" i="21"/>
  <c r="O369" i="21"/>
  <c r="N369" i="21"/>
  <c r="M369" i="21"/>
  <c r="L369" i="21"/>
  <c r="K369" i="21"/>
  <c r="J369" i="21"/>
  <c r="I369" i="21"/>
  <c r="H369" i="21"/>
  <c r="G369" i="21"/>
  <c r="F369" i="21"/>
  <c r="E369" i="21"/>
  <c r="D369" i="21"/>
  <c r="C369" i="21"/>
  <c r="B369" i="21"/>
  <c r="A369" i="21"/>
  <c r="BG368" i="21"/>
  <c r="BE368" i="21"/>
  <c r="BF368" i="21" s="1"/>
  <c r="AW368" i="21"/>
  <c r="AU368" i="21"/>
  <c r="AV368" i="21" s="1"/>
  <c r="AS368" i="21"/>
  <c r="AT368" i="21" s="1"/>
  <c r="AQ368" i="21"/>
  <c r="AR368" i="21" s="1"/>
  <c r="AO368" i="21"/>
  <c r="AP368" i="21" s="1"/>
  <c r="AM368" i="21"/>
  <c r="AN368" i="21" s="1"/>
  <c r="AK368" i="21"/>
  <c r="AL368" i="21" s="1"/>
  <c r="AG368" i="21"/>
  <c r="AH368" i="21" s="1"/>
  <c r="AE368" i="21"/>
  <c r="AC368" i="21"/>
  <c r="AA368" i="21"/>
  <c r="AB368" i="21" s="1"/>
  <c r="W368" i="21"/>
  <c r="X368" i="21" s="1"/>
  <c r="U368" i="21"/>
  <c r="V368" i="21" s="1"/>
  <c r="S368" i="21"/>
  <c r="T368" i="21" s="1"/>
  <c r="Q368" i="21"/>
  <c r="R368" i="21" s="1"/>
  <c r="P368" i="21"/>
  <c r="O368" i="21"/>
  <c r="N368" i="21"/>
  <c r="M368" i="21"/>
  <c r="L368" i="21"/>
  <c r="K368" i="21"/>
  <c r="J368" i="21"/>
  <c r="I368" i="21"/>
  <c r="H368" i="21"/>
  <c r="G368" i="21"/>
  <c r="F368" i="21"/>
  <c r="E368" i="21"/>
  <c r="D368" i="21"/>
  <c r="C368" i="21"/>
  <c r="B368" i="21"/>
  <c r="A368" i="21"/>
  <c r="BG367" i="21"/>
  <c r="BH367" i="21" s="1"/>
  <c r="BE367" i="21"/>
  <c r="BF367" i="21" s="1"/>
  <c r="AW367" i="21"/>
  <c r="AX367" i="21" s="1"/>
  <c r="AU367" i="21"/>
  <c r="AV367" i="21" s="1"/>
  <c r="AS367" i="21"/>
  <c r="AT367" i="21" s="1"/>
  <c r="AQ367" i="21"/>
  <c r="AR367" i="21" s="1"/>
  <c r="AO367" i="21"/>
  <c r="AP367" i="21" s="1"/>
  <c r="AM367" i="21"/>
  <c r="AN367" i="21" s="1"/>
  <c r="AK367" i="21"/>
  <c r="AL367" i="21" s="1"/>
  <c r="AG367" i="21"/>
  <c r="AE367" i="21"/>
  <c r="AF367" i="21" s="1"/>
  <c r="AC367" i="21"/>
  <c r="AA367" i="21"/>
  <c r="AB367" i="21" s="1"/>
  <c r="W367" i="21"/>
  <c r="U367" i="21"/>
  <c r="V367" i="21" s="1"/>
  <c r="S367" i="21"/>
  <c r="T367" i="21" s="1"/>
  <c r="Q367" i="21"/>
  <c r="R367" i="21" s="1"/>
  <c r="P367" i="21"/>
  <c r="O367" i="21"/>
  <c r="N367" i="21"/>
  <c r="M367" i="21"/>
  <c r="L367" i="21"/>
  <c r="K367" i="21"/>
  <c r="J367" i="21"/>
  <c r="I367" i="21"/>
  <c r="H367" i="21"/>
  <c r="G367" i="21"/>
  <c r="F367" i="21"/>
  <c r="E367" i="21"/>
  <c r="D367" i="21"/>
  <c r="C367" i="21"/>
  <c r="B367" i="21"/>
  <c r="A367" i="21"/>
  <c r="BG366" i="21"/>
  <c r="BH366" i="21" s="1"/>
  <c r="BE366" i="21"/>
  <c r="BF366" i="21" s="1"/>
  <c r="AW366" i="21"/>
  <c r="AX366" i="21" s="1"/>
  <c r="AU366" i="21"/>
  <c r="AV366" i="21" s="1"/>
  <c r="AS366" i="21"/>
  <c r="AT366" i="21" s="1"/>
  <c r="AQ366" i="21"/>
  <c r="AR366" i="21" s="1"/>
  <c r="AO366" i="21"/>
  <c r="AP366" i="21" s="1"/>
  <c r="AM366" i="21"/>
  <c r="AK366" i="21"/>
  <c r="AL366" i="21" s="1"/>
  <c r="AG366" i="21"/>
  <c r="AE366" i="21"/>
  <c r="AF366" i="21" s="1"/>
  <c r="AC366" i="21"/>
  <c r="AD366" i="21" s="1"/>
  <c r="AA366" i="21"/>
  <c r="AB366" i="21" s="1"/>
  <c r="W366" i="21"/>
  <c r="X366" i="21" s="1"/>
  <c r="U366" i="21"/>
  <c r="V366" i="21" s="1"/>
  <c r="S366" i="21"/>
  <c r="T366" i="21" s="1"/>
  <c r="Q366" i="21"/>
  <c r="R366" i="21" s="1"/>
  <c r="P366" i="21"/>
  <c r="O366" i="21"/>
  <c r="N366" i="21"/>
  <c r="M366" i="21"/>
  <c r="L366" i="21"/>
  <c r="K366" i="21"/>
  <c r="J366" i="21"/>
  <c r="I366" i="21"/>
  <c r="H366" i="21"/>
  <c r="G366" i="21"/>
  <c r="F366" i="21"/>
  <c r="E366" i="21"/>
  <c r="D366" i="21"/>
  <c r="C366" i="21"/>
  <c r="B366" i="21"/>
  <c r="A366" i="21"/>
  <c r="BG365" i="21"/>
  <c r="BH365" i="21" s="1"/>
  <c r="BE365" i="21"/>
  <c r="BF365" i="21" s="1"/>
  <c r="AW365" i="21"/>
  <c r="AX365" i="21" s="1"/>
  <c r="AU365" i="21"/>
  <c r="AV365" i="21" s="1"/>
  <c r="AS365" i="21"/>
  <c r="AQ365" i="21"/>
  <c r="AO365" i="21"/>
  <c r="AP365" i="21" s="1"/>
  <c r="AM365" i="21"/>
  <c r="AK365" i="21"/>
  <c r="AL365" i="21" s="1"/>
  <c r="AG365" i="21"/>
  <c r="AE365" i="21"/>
  <c r="AF365" i="21" s="1"/>
  <c r="AC365" i="21"/>
  <c r="AD365" i="21" s="1"/>
  <c r="AA365" i="21"/>
  <c r="AB365" i="21" s="1"/>
  <c r="W365" i="21"/>
  <c r="X365" i="21" s="1"/>
  <c r="U365" i="21"/>
  <c r="V365" i="21" s="1"/>
  <c r="S365" i="21"/>
  <c r="Q365" i="21"/>
  <c r="R365" i="21" s="1"/>
  <c r="P365" i="21"/>
  <c r="O365" i="21"/>
  <c r="N365" i="21"/>
  <c r="M365" i="21"/>
  <c r="L365" i="21"/>
  <c r="K365" i="21"/>
  <c r="J365" i="21"/>
  <c r="I365" i="21"/>
  <c r="H365" i="21"/>
  <c r="G365" i="21"/>
  <c r="F365" i="21"/>
  <c r="E365" i="21"/>
  <c r="D365" i="21"/>
  <c r="C365" i="21"/>
  <c r="B365" i="21"/>
  <c r="A365" i="21"/>
  <c r="BG364" i="21"/>
  <c r="BH364" i="21" s="1"/>
  <c r="BE364" i="21"/>
  <c r="BF364" i="21" s="1"/>
  <c r="AW364" i="21"/>
  <c r="AX364" i="21" s="1"/>
  <c r="AU364" i="21"/>
  <c r="AS364" i="21"/>
  <c r="AT364" i="21" s="1"/>
  <c r="AQ364" i="21"/>
  <c r="AO364" i="21"/>
  <c r="AP364" i="21" s="1"/>
  <c r="AM364" i="21"/>
  <c r="AK364" i="21"/>
  <c r="AL364" i="21" s="1"/>
  <c r="AG364" i="21"/>
  <c r="AH364" i="21" s="1"/>
  <c r="AE364" i="21"/>
  <c r="AF364" i="21" s="1"/>
  <c r="AC364" i="21"/>
  <c r="AA364" i="21"/>
  <c r="AB364" i="21" s="1"/>
  <c r="W364" i="21"/>
  <c r="X364" i="21" s="1"/>
  <c r="U364" i="21"/>
  <c r="V364" i="21" s="1"/>
  <c r="S364" i="21"/>
  <c r="Q364" i="21"/>
  <c r="R364" i="21" s="1"/>
  <c r="Y364" i="21" s="1"/>
  <c r="P364" i="21"/>
  <c r="O364" i="21"/>
  <c r="N364" i="21"/>
  <c r="M364" i="21"/>
  <c r="L364" i="21"/>
  <c r="K364" i="21"/>
  <c r="J364" i="21"/>
  <c r="I364" i="21"/>
  <c r="H364" i="21"/>
  <c r="G364" i="21"/>
  <c r="F364" i="21"/>
  <c r="E364" i="21"/>
  <c r="D364" i="21"/>
  <c r="C364" i="21"/>
  <c r="B364" i="21"/>
  <c r="A364" i="21"/>
  <c r="BG363" i="21"/>
  <c r="BH363" i="21" s="1"/>
  <c r="BE363" i="21"/>
  <c r="AW363" i="21"/>
  <c r="AX363" i="21" s="1"/>
  <c r="AU363" i="21"/>
  <c r="AS363" i="21"/>
  <c r="AT363" i="21" s="1"/>
  <c r="AQ363" i="21"/>
  <c r="AR363" i="21" s="1"/>
  <c r="AO363" i="21"/>
  <c r="AP363" i="21" s="1"/>
  <c r="AM363" i="21"/>
  <c r="AN363" i="21" s="1"/>
  <c r="AK363" i="21"/>
  <c r="AL363" i="21" s="1"/>
  <c r="AG363" i="21"/>
  <c r="AH363" i="21" s="1"/>
  <c r="AE363" i="21"/>
  <c r="AF363" i="21" s="1"/>
  <c r="AC363" i="21"/>
  <c r="AD363" i="21" s="1"/>
  <c r="AA363" i="21"/>
  <c r="W363" i="21"/>
  <c r="X363" i="21" s="1"/>
  <c r="U363" i="21"/>
  <c r="V363" i="21" s="1"/>
  <c r="S363" i="21"/>
  <c r="T363" i="21" s="1"/>
  <c r="Z363" i="21" s="1"/>
  <c r="Q363" i="21"/>
  <c r="P363" i="21"/>
  <c r="O363" i="21"/>
  <c r="N363" i="21"/>
  <c r="M363" i="21"/>
  <c r="L363" i="21"/>
  <c r="K363" i="21"/>
  <c r="J363" i="21"/>
  <c r="I363" i="21"/>
  <c r="H363" i="21"/>
  <c r="G363" i="21"/>
  <c r="F363" i="21"/>
  <c r="E363" i="21"/>
  <c r="D363" i="21"/>
  <c r="C363" i="21"/>
  <c r="B363" i="21"/>
  <c r="A363" i="21"/>
  <c r="BG362" i="21"/>
  <c r="BH362" i="21" s="1"/>
  <c r="BE362" i="21"/>
  <c r="BF362" i="21" s="1"/>
  <c r="AW362" i="21"/>
  <c r="AX362" i="21" s="1"/>
  <c r="AU362" i="21"/>
  <c r="AS362" i="21"/>
  <c r="AT362" i="21" s="1"/>
  <c r="AQ362" i="21"/>
  <c r="AR362" i="21" s="1"/>
  <c r="AO362" i="21"/>
  <c r="AP362" i="21" s="1"/>
  <c r="AM362" i="21"/>
  <c r="AN362" i="21" s="1"/>
  <c r="AK362" i="21"/>
  <c r="AL362" i="21" s="1"/>
  <c r="AG362" i="21"/>
  <c r="AH362" i="21" s="1"/>
  <c r="AE362" i="21"/>
  <c r="AF362" i="21" s="1"/>
  <c r="AC362" i="21"/>
  <c r="AD362" i="21" s="1"/>
  <c r="AA362" i="21"/>
  <c r="AB362" i="21" s="1"/>
  <c r="W362" i="21"/>
  <c r="X362" i="21" s="1"/>
  <c r="U362" i="21"/>
  <c r="V362" i="21" s="1"/>
  <c r="S362" i="21"/>
  <c r="T362" i="21" s="1"/>
  <c r="Q362" i="21"/>
  <c r="R362" i="21" s="1"/>
  <c r="P362" i="21"/>
  <c r="O362" i="21"/>
  <c r="N362" i="21"/>
  <c r="M362" i="21"/>
  <c r="L362" i="21"/>
  <c r="K362" i="21"/>
  <c r="J362" i="21"/>
  <c r="I362" i="21"/>
  <c r="H362" i="21"/>
  <c r="G362" i="21"/>
  <c r="F362" i="21"/>
  <c r="E362" i="21"/>
  <c r="D362" i="21"/>
  <c r="C362" i="21"/>
  <c r="B362" i="21"/>
  <c r="A362" i="21"/>
  <c r="BG361" i="21"/>
  <c r="BE361" i="21"/>
  <c r="BF361" i="21" s="1"/>
  <c r="AW361" i="21"/>
  <c r="AX361" i="21" s="1"/>
  <c r="AU361" i="21"/>
  <c r="AV361" i="21" s="1"/>
  <c r="AS361" i="21"/>
  <c r="AT361" i="21" s="1"/>
  <c r="AQ361" i="21"/>
  <c r="AR361" i="21" s="1"/>
  <c r="AO361" i="21"/>
  <c r="AP361" i="21" s="1"/>
  <c r="AM361" i="21"/>
  <c r="AN361" i="21" s="1"/>
  <c r="AK361" i="21"/>
  <c r="AL361" i="21" s="1"/>
  <c r="AG361" i="21"/>
  <c r="AH361" i="21" s="1"/>
  <c r="AE361" i="21"/>
  <c r="AC361" i="21"/>
  <c r="AD361" i="21" s="1"/>
  <c r="AA361" i="21"/>
  <c r="W361" i="21"/>
  <c r="U361" i="21"/>
  <c r="V361" i="21" s="1"/>
  <c r="S361" i="21"/>
  <c r="Q361" i="21"/>
  <c r="R361" i="21" s="1"/>
  <c r="P361" i="21"/>
  <c r="O361" i="21"/>
  <c r="N361" i="21"/>
  <c r="M361" i="21"/>
  <c r="L361" i="21"/>
  <c r="K361" i="21"/>
  <c r="J361" i="21"/>
  <c r="I361" i="21"/>
  <c r="H361" i="21"/>
  <c r="G361" i="21"/>
  <c r="F361" i="21"/>
  <c r="E361" i="21"/>
  <c r="D361" i="21"/>
  <c r="C361" i="21"/>
  <c r="B361" i="21"/>
  <c r="A361" i="21"/>
  <c r="BG360" i="21"/>
  <c r="BH360" i="21" s="1"/>
  <c r="BE360" i="21"/>
  <c r="BF360" i="21" s="1"/>
  <c r="AW360" i="21"/>
  <c r="AX360" i="21" s="1"/>
  <c r="AU360" i="21"/>
  <c r="AV360" i="21" s="1"/>
  <c r="AS360" i="21"/>
  <c r="AT360" i="21" s="1"/>
  <c r="AQ360" i="21"/>
  <c r="AR360" i="21" s="1"/>
  <c r="AO360" i="21"/>
  <c r="AP360" i="21" s="1"/>
  <c r="AM360" i="21"/>
  <c r="AN360" i="21" s="1"/>
  <c r="AK360" i="21"/>
  <c r="AL360" i="21" s="1"/>
  <c r="AG360" i="21"/>
  <c r="AH360" i="21" s="1"/>
  <c r="AE360" i="21"/>
  <c r="AF360" i="21" s="1"/>
  <c r="AC360" i="21"/>
  <c r="AA360" i="21"/>
  <c r="AB360" i="21" s="1"/>
  <c r="AI360" i="21" s="1"/>
  <c r="W360" i="21"/>
  <c r="U360" i="21"/>
  <c r="V360" i="21" s="1"/>
  <c r="S360" i="21"/>
  <c r="T360" i="21" s="1"/>
  <c r="Q360" i="21"/>
  <c r="R360" i="21" s="1"/>
  <c r="P360" i="21"/>
  <c r="O360" i="21"/>
  <c r="N360" i="21"/>
  <c r="M360" i="21"/>
  <c r="L360" i="21"/>
  <c r="K360" i="21"/>
  <c r="J360" i="21"/>
  <c r="I360" i="21"/>
  <c r="H360" i="21"/>
  <c r="G360" i="21"/>
  <c r="F360" i="21"/>
  <c r="E360" i="21"/>
  <c r="D360" i="21"/>
  <c r="C360" i="21"/>
  <c r="B360" i="21"/>
  <c r="A360" i="21"/>
  <c r="BG359" i="21"/>
  <c r="BH359" i="21" s="1"/>
  <c r="BE359" i="21"/>
  <c r="BF359" i="21" s="1"/>
  <c r="AW359" i="21"/>
  <c r="AU359" i="21"/>
  <c r="AV359" i="21" s="1"/>
  <c r="AS359" i="21"/>
  <c r="AT359" i="21" s="1"/>
  <c r="AQ359" i="21"/>
  <c r="AR359" i="21" s="1"/>
  <c r="AO359" i="21"/>
  <c r="AP359" i="21" s="1"/>
  <c r="AM359" i="21"/>
  <c r="AN359" i="21" s="1"/>
  <c r="AK359" i="21"/>
  <c r="AG359" i="21"/>
  <c r="AH359" i="21" s="1"/>
  <c r="AE359" i="21"/>
  <c r="AF359" i="21" s="1"/>
  <c r="AC359" i="21"/>
  <c r="AD359" i="21" s="1"/>
  <c r="AJ359" i="21" s="1"/>
  <c r="AA359" i="21"/>
  <c r="AB359" i="21" s="1"/>
  <c r="W359" i="21"/>
  <c r="U359" i="21"/>
  <c r="V359" i="21" s="1"/>
  <c r="S359" i="21"/>
  <c r="T359" i="21" s="1"/>
  <c r="Q359" i="21"/>
  <c r="R359" i="21" s="1"/>
  <c r="P359" i="21"/>
  <c r="O359" i="21"/>
  <c r="N359" i="21"/>
  <c r="M359" i="21"/>
  <c r="L359" i="21"/>
  <c r="K359" i="21"/>
  <c r="J359" i="21"/>
  <c r="I359" i="21"/>
  <c r="H359" i="21"/>
  <c r="G359" i="21"/>
  <c r="F359" i="21"/>
  <c r="E359" i="21"/>
  <c r="D359" i="21"/>
  <c r="C359" i="21"/>
  <c r="B359" i="21"/>
  <c r="A359" i="21"/>
  <c r="BG358" i="21"/>
  <c r="BH358" i="21" s="1"/>
  <c r="BE358" i="21"/>
  <c r="BF358" i="21" s="1"/>
  <c r="AW358" i="21"/>
  <c r="AX358" i="21" s="1"/>
  <c r="AU358" i="21"/>
  <c r="AV358" i="21" s="1"/>
  <c r="AS358" i="21"/>
  <c r="AT358" i="21" s="1"/>
  <c r="AQ358" i="21"/>
  <c r="AR358" i="21" s="1"/>
  <c r="AO358" i="21"/>
  <c r="AM358" i="21"/>
  <c r="AN358" i="21" s="1"/>
  <c r="AK358" i="21"/>
  <c r="AL358" i="21" s="1"/>
  <c r="AG358" i="21"/>
  <c r="AE358" i="21"/>
  <c r="AF358" i="21" s="1"/>
  <c r="AC358" i="21"/>
  <c r="AA358" i="21"/>
  <c r="AB358" i="21" s="1"/>
  <c r="W358" i="21"/>
  <c r="X358" i="21" s="1"/>
  <c r="U358" i="21"/>
  <c r="V358" i="21" s="1"/>
  <c r="S358" i="21"/>
  <c r="T358" i="21" s="1"/>
  <c r="Q358" i="21"/>
  <c r="R358" i="21" s="1"/>
  <c r="P358" i="21"/>
  <c r="O358" i="21"/>
  <c r="N358" i="21"/>
  <c r="M358" i="21"/>
  <c r="L358" i="21"/>
  <c r="K358" i="21"/>
  <c r="J358" i="21"/>
  <c r="I358" i="21"/>
  <c r="H358" i="21"/>
  <c r="G358" i="21"/>
  <c r="F358" i="21"/>
  <c r="E358" i="21"/>
  <c r="D358" i="21"/>
  <c r="C358" i="21"/>
  <c r="B358" i="21"/>
  <c r="A358" i="21"/>
  <c r="BG357" i="21"/>
  <c r="BH357" i="21" s="1"/>
  <c r="BE357" i="21"/>
  <c r="BF357" i="21" s="1"/>
  <c r="AW357" i="21"/>
  <c r="AX357" i="21" s="1"/>
  <c r="AU357" i="21"/>
  <c r="AV357" i="21" s="1"/>
  <c r="AS357" i="21"/>
  <c r="AT357" i="21" s="1"/>
  <c r="AQ357" i="21"/>
  <c r="AO357" i="21"/>
  <c r="AP357" i="21" s="1"/>
  <c r="AM357" i="21"/>
  <c r="AK357" i="21"/>
  <c r="AL357" i="21" s="1"/>
  <c r="AG357" i="21"/>
  <c r="AH357" i="21" s="1"/>
  <c r="AE357" i="21"/>
  <c r="AF357" i="21" s="1"/>
  <c r="AC357" i="21"/>
  <c r="AD357" i="21" s="1"/>
  <c r="AA357" i="21"/>
  <c r="AB357" i="21" s="1"/>
  <c r="W357" i="21"/>
  <c r="X357" i="21" s="1"/>
  <c r="U357" i="21"/>
  <c r="V357" i="21" s="1"/>
  <c r="S357" i="21"/>
  <c r="T357" i="21" s="1"/>
  <c r="Q357" i="21"/>
  <c r="R357" i="21" s="1"/>
  <c r="P357" i="21"/>
  <c r="O357" i="21"/>
  <c r="N357" i="21"/>
  <c r="M357" i="21"/>
  <c r="L357" i="21"/>
  <c r="K357" i="21"/>
  <c r="J357" i="21"/>
  <c r="I357" i="21"/>
  <c r="H357" i="21"/>
  <c r="G357" i="21"/>
  <c r="F357" i="21"/>
  <c r="E357" i="21"/>
  <c r="D357" i="21"/>
  <c r="C357" i="21"/>
  <c r="B357" i="21"/>
  <c r="A357" i="21"/>
  <c r="BG356" i="21"/>
  <c r="BH356" i="21" s="1"/>
  <c r="BE356" i="21"/>
  <c r="BF356" i="21" s="1"/>
  <c r="AW356" i="21"/>
  <c r="AU356" i="21"/>
  <c r="AS356" i="21"/>
  <c r="AT356" i="21" s="1"/>
  <c r="AQ356" i="21"/>
  <c r="AR356" i="21" s="1"/>
  <c r="AO356" i="21"/>
  <c r="AP356" i="21" s="1"/>
  <c r="AM356" i="21"/>
  <c r="AN356" i="21" s="1"/>
  <c r="AK356" i="21"/>
  <c r="AL356" i="21" s="1"/>
  <c r="AG356" i="21"/>
  <c r="AH356" i="21" s="1"/>
  <c r="AE356" i="21"/>
  <c r="AF356" i="21" s="1"/>
  <c r="AC356" i="21"/>
  <c r="AD356" i="21" s="1"/>
  <c r="AA356" i="21"/>
  <c r="AB356" i="21" s="1"/>
  <c r="W356" i="21"/>
  <c r="X356" i="21" s="1"/>
  <c r="U356" i="21"/>
  <c r="V356" i="21" s="1"/>
  <c r="S356" i="21"/>
  <c r="Q356" i="21"/>
  <c r="R356" i="21" s="1"/>
  <c r="P356" i="21"/>
  <c r="O356" i="21"/>
  <c r="N356" i="21"/>
  <c r="M356" i="21"/>
  <c r="L356" i="21"/>
  <c r="K356" i="21"/>
  <c r="J356" i="21"/>
  <c r="I356" i="21"/>
  <c r="H356" i="21"/>
  <c r="G356" i="21"/>
  <c r="F356" i="21"/>
  <c r="E356" i="21"/>
  <c r="D356" i="21"/>
  <c r="C356" i="21"/>
  <c r="B356" i="21"/>
  <c r="A356" i="21"/>
  <c r="BG355" i="21"/>
  <c r="BH355" i="21" s="1"/>
  <c r="BE355" i="21"/>
  <c r="BF355" i="21" s="1"/>
  <c r="AW355" i="21"/>
  <c r="AX355" i="21" s="1"/>
  <c r="AU355" i="21"/>
  <c r="AV355" i="21" s="1"/>
  <c r="AS355" i="21"/>
  <c r="AT355" i="21" s="1"/>
  <c r="AQ355" i="21"/>
  <c r="AO355" i="21"/>
  <c r="AP355" i="21" s="1"/>
  <c r="AM355" i="21"/>
  <c r="AN355" i="21" s="1"/>
  <c r="AK355" i="21"/>
  <c r="AL355" i="21" s="1"/>
  <c r="AG355" i="21"/>
  <c r="AH355" i="21" s="1"/>
  <c r="AE355" i="21"/>
  <c r="AF355" i="21" s="1"/>
  <c r="AC355" i="21"/>
  <c r="AD355" i="21" s="1"/>
  <c r="AA355" i="21"/>
  <c r="AB355" i="21" s="1"/>
  <c r="W355" i="21"/>
  <c r="X355" i="21" s="1"/>
  <c r="U355" i="21"/>
  <c r="V355" i="21" s="1"/>
  <c r="S355" i="21"/>
  <c r="T355" i="21" s="1"/>
  <c r="Z355" i="21" s="1"/>
  <c r="Q355" i="21"/>
  <c r="R355" i="21" s="1"/>
  <c r="P355" i="21"/>
  <c r="O355" i="21"/>
  <c r="N355" i="21"/>
  <c r="M355" i="21"/>
  <c r="L355" i="21"/>
  <c r="K355" i="21"/>
  <c r="J355" i="21"/>
  <c r="I355" i="21"/>
  <c r="H355" i="21"/>
  <c r="G355" i="21"/>
  <c r="F355" i="21"/>
  <c r="E355" i="21"/>
  <c r="D355" i="21"/>
  <c r="C355" i="21"/>
  <c r="B355" i="21"/>
  <c r="A355" i="21"/>
  <c r="BG354" i="21"/>
  <c r="BH354" i="21" s="1"/>
  <c r="BE354" i="21"/>
  <c r="BF354" i="21" s="1"/>
  <c r="AW354" i="21"/>
  <c r="AX354" i="21" s="1"/>
  <c r="AU354" i="21"/>
  <c r="AS354" i="21"/>
  <c r="AT354" i="21" s="1"/>
  <c r="AQ354" i="21"/>
  <c r="AR354" i="21" s="1"/>
  <c r="AO354" i="21"/>
  <c r="AP354" i="21" s="1"/>
  <c r="AM354" i="21"/>
  <c r="AK354" i="21"/>
  <c r="AL354" i="21" s="1"/>
  <c r="AG354" i="21"/>
  <c r="AH354" i="21" s="1"/>
  <c r="AE354" i="21"/>
  <c r="AF354" i="21" s="1"/>
  <c r="AC354" i="21"/>
  <c r="AD354" i="21" s="1"/>
  <c r="AA354" i="21"/>
  <c r="AB354" i="21" s="1"/>
  <c r="W354" i="21"/>
  <c r="X354" i="21" s="1"/>
  <c r="U354" i="21"/>
  <c r="S354" i="21"/>
  <c r="Q354" i="21"/>
  <c r="R354" i="21" s="1"/>
  <c r="P354" i="21"/>
  <c r="O354" i="21"/>
  <c r="N354" i="21"/>
  <c r="M354" i="21"/>
  <c r="L354" i="21"/>
  <c r="K354" i="21"/>
  <c r="J354" i="21"/>
  <c r="I354" i="21"/>
  <c r="H354" i="21"/>
  <c r="G354" i="21"/>
  <c r="F354" i="21"/>
  <c r="E354" i="21"/>
  <c r="D354" i="21"/>
  <c r="C354" i="21"/>
  <c r="B354" i="21"/>
  <c r="A354" i="21"/>
  <c r="BG353" i="21"/>
  <c r="BE353" i="21"/>
  <c r="BF353" i="21" s="1"/>
  <c r="AW353" i="21"/>
  <c r="AX353" i="21" s="1"/>
  <c r="AU353" i="21"/>
  <c r="AV353" i="21" s="1"/>
  <c r="AS353" i="21"/>
  <c r="AT353" i="21" s="1"/>
  <c r="AQ353" i="21"/>
  <c r="AR353" i="21" s="1"/>
  <c r="AO353" i="21"/>
  <c r="AP353" i="21" s="1"/>
  <c r="AM353" i="21"/>
  <c r="AN353" i="21" s="1"/>
  <c r="AK353" i="21"/>
  <c r="AL353" i="21" s="1"/>
  <c r="AG353" i="21"/>
  <c r="AE353" i="21"/>
  <c r="AF353" i="21" s="1"/>
  <c r="AC353" i="21"/>
  <c r="AD353" i="21" s="1"/>
  <c r="AA353" i="21"/>
  <c r="AB353" i="21" s="1"/>
  <c r="W353" i="21"/>
  <c r="U353" i="21"/>
  <c r="V353" i="21" s="1"/>
  <c r="S353" i="21"/>
  <c r="T353" i="21" s="1"/>
  <c r="Q353" i="21"/>
  <c r="R353" i="21" s="1"/>
  <c r="P353" i="21"/>
  <c r="O353" i="21"/>
  <c r="N353" i="21"/>
  <c r="M353" i="21"/>
  <c r="L353" i="21"/>
  <c r="K353" i="21"/>
  <c r="J353" i="21"/>
  <c r="I353" i="21"/>
  <c r="H353" i="21"/>
  <c r="G353" i="21"/>
  <c r="F353" i="21"/>
  <c r="E353" i="21"/>
  <c r="D353" i="21"/>
  <c r="C353" i="21"/>
  <c r="B353" i="21"/>
  <c r="A353" i="21"/>
  <c r="BG352" i="21"/>
  <c r="BH352" i="21" s="1"/>
  <c r="BE352" i="21"/>
  <c r="BF352" i="21" s="1"/>
  <c r="AW352" i="21"/>
  <c r="AX352" i="21" s="1"/>
  <c r="AU352" i="21"/>
  <c r="AV352" i="21" s="1"/>
  <c r="AS352" i="21"/>
  <c r="AT352" i="21" s="1"/>
  <c r="AQ352" i="21"/>
  <c r="AO352" i="21"/>
  <c r="AP352" i="21" s="1"/>
  <c r="AM352" i="21"/>
  <c r="AN352" i="21" s="1"/>
  <c r="AK352" i="21"/>
  <c r="AG352" i="21"/>
  <c r="AH352" i="21" s="1"/>
  <c r="AE352" i="21"/>
  <c r="AC352" i="21"/>
  <c r="AA352" i="21"/>
  <c r="AB352" i="21" s="1"/>
  <c r="W352" i="21"/>
  <c r="U352" i="21"/>
  <c r="V352" i="21" s="1"/>
  <c r="S352" i="21"/>
  <c r="T352" i="21" s="1"/>
  <c r="Q352" i="21"/>
  <c r="R352" i="21" s="1"/>
  <c r="P352" i="21"/>
  <c r="O352" i="21"/>
  <c r="N352" i="21"/>
  <c r="M352" i="21"/>
  <c r="L352" i="21"/>
  <c r="K352" i="21"/>
  <c r="J352" i="21"/>
  <c r="I352" i="21"/>
  <c r="H352" i="21"/>
  <c r="G352" i="21"/>
  <c r="F352" i="21"/>
  <c r="E352" i="21"/>
  <c r="D352" i="21"/>
  <c r="C352" i="21"/>
  <c r="B352" i="21"/>
  <c r="A352" i="21"/>
  <c r="BG351" i="21"/>
  <c r="BH351" i="21" s="1"/>
  <c r="BE351" i="21"/>
  <c r="BF351" i="21" s="1"/>
  <c r="AW351" i="21"/>
  <c r="AX351" i="21" s="1"/>
  <c r="AU351" i="21"/>
  <c r="AS351" i="21"/>
  <c r="AT351" i="21" s="1"/>
  <c r="AQ351" i="21"/>
  <c r="AR351" i="21" s="1"/>
  <c r="AO351" i="21"/>
  <c r="AP351" i="21" s="1"/>
  <c r="AM351" i="21"/>
  <c r="AN351" i="21" s="1"/>
  <c r="AK351" i="21"/>
  <c r="AG351" i="21"/>
  <c r="AH351" i="21" s="1"/>
  <c r="AE351" i="21"/>
  <c r="AF351" i="21" s="1"/>
  <c r="AC351" i="21"/>
  <c r="AD351" i="21" s="1"/>
  <c r="AA351" i="21"/>
  <c r="AB351" i="21" s="1"/>
  <c r="W351" i="21"/>
  <c r="X351" i="21" s="1"/>
  <c r="U351" i="21"/>
  <c r="V351" i="21" s="1"/>
  <c r="S351" i="21"/>
  <c r="Q351" i="21"/>
  <c r="R351" i="21" s="1"/>
  <c r="P351" i="21"/>
  <c r="O351" i="21"/>
  <c r="N351" i="21"/>
  <c r="M351" i="21"/>
  <c r="L351" i="21"/>
  <c r="K351" i="21"/>
  <c r="J351" i="21"/>
  <c r="I351" i="21"/>
  <c r="H351" i="21"/>
  <c r="G351" i="21"/>
  <c r="F351" i="21"/>
  <c r="E351" i="21"/>
  <c r="D351" i="21"/>
  <c r="C351" i="21"/>
  <c r="B351" i="21"/>
  <c r="A351" i="21"/>
  <c r="BG350" i="21"/>
  <c r="BH350" i="21" s="1"/>
  <c r="BE350" i="21"/>
  <c r="BF350" i="21" s="1"/>
  <c r="AW350" i="21"/>
  <c r="AX350" i="21" s="1"/>
  <c r="AU350" i="21"/>
  <c r="AV350" i="21" s="1"/>
  <c r="AS350" i="21"/>
  <c r="AT350" i="21" s="1"/>
  <c r="AQ350" i="21"/>
  <c r="AR350" i="21" s="1"/>
  <c r="AO350" i="21"/>
  <c r="AP350" i="21" s="1"/>
  <c r="AM350" i="21"/>
  <c r="AN350" i="21" s="1"/>
  <c r="AK350" i="21"/>
  <c r="AL350" i="21" s="1"/>
  <c r="AG350" i="21"/>
  <c r="AH350" i="21" s="1"/>
  <c r="AE350" i="21"/>
  <c r="AF350" i="21" s="1"/>
  <c r="AC350" i="21"/>
  <c r="AD350" i="21" s="1"/>
  <c r="AA350" i="21"/>
  <c r="W350" i="21"/>
  <c r="X350" i="21" s="1"/>
  <c r="U350" i="21"/>
  <c r="V350" i="21" s="1"/>
  <c r="S350" i="21"/>
  <c r="Q350" i="21"/>
  <c r="R350" i="21" s="1"/>
  <c r="P350" i="21"/>
  <c r="O350" i="21"/>
  <c r="N350" i="21"/>
  <c r="M350" i="21"/>
  <c r="L350" i="21"/>
  <c r="K350" i="21"/>
  <c r="J350" i="21"/>
  <c r="I350" i="21"/>
  <c r="H350" i="21"/>
  <c r="G350" i="21"/>
  <c r="F350" i="21"/>
  <c r="E350" i="21"/>
  <c r="D350" i="21"/>
  <c r="C350" i="21"/>
  <c r="B350" i="21"/>
  <c r="A350" i="21"/>
  <c r="BG349" i="21"/>
  <c r="BH349" i="21" s="1"/>
  <c r="BE349" i="21"/>
  <c r="BF349" i="21" s="1"/>
  <c r="AW349" i="21"/>
  <c r="AU349" i="21"/>
  <c r="AV349" i="21" s="1"/>
  <c r="AS349" i="21"/>
  <c r="AT349" i="21" s="1"/>
  <c r="AQ349" i="21"/>
  <c r="AO349" i="21"/>
  <c r="AP349" i="21" s="1"/>
  <c r="AM349" i="21"/>
  <c r="AN349" i="21" s="1"/>
  <c r="AK349" i="21"/>
  <c r="AL349" i="21" s="1"/>
  <c r="AG349" i="21"/>
  <c r="AH349" i="21" s="1"/>
  <c r="AE349" i="21"/>
  <c r="AC349" i="21"/>
  <c r="AD349" i="21" s="1"/>
  <c r="AA349" i="21"/>
  <c r="AB349" i="21" s="1"/>
  <c r="W349" i="21"/>
  <c r="U349" i="21"/>
  <c r="V349" i="21" s="1"/>
  <c r="S349" i="21"/>
  <c r="T349" i="21" s="1"/>
  <c r="Q349" i="21"/>
  <c r="R349" i="21" s="1"/>
  <c r="P349" i="21"/>
  <c r="O349" i="21"/>
  <c r="N349" i="21"/>
  <c r="M349" i="21"/>
  <c r="L349" i="21"/>
  <c r="K349" i="21"/>
  <c r="J349" i="21"/>
  <c r="I349" i="21"/>
  <c r="H349" i="21"/>
  <c r="G349" i="21"/>
  <c r="F349" i="21"/>
  <c r="E349" i="21"/>
  <c r="D349" i="21"/>
  <c r="C349" i="21"/>
  <c r="B349" i="21"/>
  <c r="A349" i="21"/>
  <c r="BG348" i="21"/>
  <c r="BE348" i="21"/>
  <c r="BF348" i="21" s="1"/>
  <c r="AW348" i="21"/>
  <c r="AX348" i="21" s="1"/>
  <c r="AU348" i="21"/>
  <c r="AS348" i="21"/>
  <c r="AT348" i="21" s="1"/>
  <c r="AQ348" i="21"/>
  <c r="AR348" i="21" s="1"/>
  <c r="AO348" i="21"/>
  <c r="AP348" i="21" s="1"/>
  <c r="AM348" i="21"/>
  <c r="AK348" i="21"/>
  <c r="AL348" i="21" s="1"/>
  <c r="AG348" i="21"/>
  <c r="AH348" i="21" s="1"/>
  <c r="AE348" i="21"/>
  <c r="AF348" i="21" s="1"/>
  <c r="AC348" i="21"/>
  <c r="AA348" i="21"/>
  <c r="AB348" i="21" s="1"/>
  <c r="W348" i="21"/>
  <c r="U348" i="21"/>
  <c r="V348" i="21" s="1"/>
  <c r="S348" i="21"/>
  <c r="T348" i="21" s="1"/>
  <c r="Q348" i="21"/>
  <c r="R348" i="21" s="1"/>
  <c r="P348" i="21"/>
  <c r="O348" i="21"/>
  <c r="N348" i="21"/>
  <c r="M348" i="21"/>
  <c r="L348" i="21"/>
  <c r="K348" i="21"/>
  <c r="J348" i="21"/>
  <c r="I348" i="21"/>
  <c r="H348" i="21"/>
  <c r="G348" i="21"/>
  <c r="F348" i="21"/>
  <c r="E348" i="21"/>
  <c r="D348" i="21"/>
  <c r="C348" i="21"/>
  <c r="B348" i="21"/>
  <c r="A348" i="21"/>
  <c r="BG347" i="21"/>
  <c r="BH347" i="21" s="1"/>
  <c r="BE347" i="21"/>
  <c r="BF347" i="21" s="1"/>
  <c r="AW347" i="21"/>
  <c r="AX347" i="21" s="1"/>
  <c r="AU347" i="21"/>
  <c r="AS347" i="21"/>
  <c r="AT347" i="21" s="1"/>
  <c r="AQ347" i="21"/>
  <c r="AR347" i="21" s="1"/>
  <c r="AO347" i="21"/>
  <c r="AM347" i="21"/>
  <c r="AN347" i="21" s="1"/>
  <c r="AK347" i="21"/>
  <c r="AL347" i="21" s="1"/>
  <c r="AG347" i="21"/>
  <c r="AE347" i="21"/>
  <c r="AF347" i="21" s="1"/>
  <c r="AC347" i="21"/>
  <c r="AD347" i="21" s="1"/>
  <c r="AA347" i="21"/>
  <c r="AB347" i="21" s="1"/>
  <c r="W347" i="21"/>
  <c r="X347" i="21" s="1"/>
  <c r="U347" i="21"/>
  <c r="S347" i="21"/>
  <c r="T347" i="21" s="1"/>
  <c r="Z347" i="21" s="1"/>
  <c r="Q347" i="21"/>
  <c r="R347" i="21" s="1"/>
  <c r="P347" i="21"/>
  <c r="O347" i="21"/>
  <c r="N347" i="21"/>
  <c r="M347" i="21"/>
  <c r="L347" i="21"/>
  <c r="K347" i="21"/>
  <c r="J347" i="21"/>
  <c r="I347" i="21"/>
  <c r="H347" i="21"/>
  <c r="G347" i="21"/>
  <c r="F347" i="21"/>
  <c r="E347" i="21"/>
  <c r="D347" i="21"/>
  <c r="C347" i="21"/>
  <c r="B347" i="21"/>
  <c r="A347" i="21"/>
  <c r="BG346" i="21"/>
  <c r="BE346" i="21"/>
  <c r="BF346" i="21" s="1"/>
  <c r="AW346" i="21"/>
  <c r="AX346" i="21" s="1"/>
  <c r="AU346" i="21"/>
  <c r="AV346" i="21" s="1"/>
  <c r="AS346" i="21"/>
  <c r="AQ346" i="21"/>
  <c r="AR346" i="21" s="1"/>
  <c r="AO346" i="21"/>
  <c r="AP346" i="21" s="1"/>
  <c r="AM346" i="21"/>
  <c r="AK346" i="21"/>
  <c r="AL346" i="21" s="1"/>
  <c r="AG346" i="21"/>
  <c r="AH346" i="21" s="1"/>
  <c r="AE346" i="21"/>
  <c r="AF346" i="21" s="1"/>
  <c r="AC346" i="21"/>
  <c r="AD346" i="21" s="1"/>
  <c r="AA346" i="21"/>
  <c r="W346" i="21"/>
  <c r="X346" i="21" s="1"/>
  <c r="U346" i="21"/>
  <c r="V346" i="21" s="1"/>
  <c r="S346" i="21"/>
  <c r="Q346" i="21"/>
  <c r="R346" i="21" s="1"/>
  <c r="P346" i="21"/>
  <c r="O346" i="21"/>
  <c r="N346" i="21"/>
  <c r="M346" i="21"/>
  <c r="L346" i="21"/>
  <c r="K346" i="21"/>
  <c r="J346" i="21"/>
  <c r="I346" i="21"/>
  <c r="H346" i="21"/>
  <c r="G346" i="21"/>
  <c r="F346" i="21"/>
  <c r="E346" i="21"/>
  <c r="D346" i="21"/>
  <c r="C346" i="21"/>
  <c r="B346" i="21"/>
  <c r="A346" i="21"/>
  <c r="BG345" i="21"/>
  <c r="BE345" i="21"/>
  <c r="BF345" i="21" s="1"/>
  <c r="AW345" i="21"/>
  <c r="AX345" i="21" s="1"/>
  <c r="AU345" i="21"/>
  <c r="AV345" i="21" s="1"/>
  <c r="AS345" i="21"/>
  <c r="AT345" i="21" s="1"/>
  <c r="AQ345" i="21"/>
  <c r="AO345" i="21"/>
  <c r="AP345" i="21" s="1"/>
  <c r="AM345" i="21"/>
  <c r="AK345" i="21"/>
  <c r="AL345" i="21" s="1"/>
  <c r="AG345" i="21"/>
  <c r="AH345" i="21" s="1"/>
  <c r="AE345" i="21"/>
  <c r="AF345" i="21" s="1"/>
  <c r="AC345" i="21"/>
  <c r="AD345" i="21" s="1"/>
  <c r="AA345" i="21"/>
  <c r="AB345" i="21" s="1"/>
  <c r="W345" i="21"/>
  <c r="U345" i="21"/>
  <c r="V345" i="21" s="1"/>
  <c r="S345" i="21"/>
  <c r="T345" i="21" s="1"/>
  <c r="Q345" i="21"/>
  <c r="R345" i="21" s="1"/>
  <c r="P345" i="21"/>
  <c r="O345" i="21"/>
  <c r="N345" i="21"/>
  <c r="M345" i="21"/>
  <c r="L345" i="21"/>
  <c r="K345" i="21"/>
  <c r="J345" i="21"/>
  <c r="I345" i="21"/>
  <c r="H345" i="21"/>
  <c r="G345" i="21"/>
  <c r="F345" i="21"/>
  <c r="E345" i="21"/>
  <c r="D345" i="21"/>
  <c r="C345" i="21"/>
  <c r="B345" i="21"/>
  <c r="A345" i="21"/>
  <c r="BG344" i="21"/>
  <c r="BH344" i="21" s="1"/>
  <c r="BE344" i="21"/>
  <c r="BF344" i="21" s="1"/>
  <c r="AW344" i="21"/>
  <c r="AX344" i="21" s="1"/>
  <c r="AU344" i="21"/>
  <c r="AS344" i="21"/>
  <c r="AT344" i="21" s="1"/>
  <c r="AQ344" i="21"/>
  <c r="AO344" i="21"/>
  <c r="AP344" i="21" s="1"/>
  <c r="AM344" i="21"/>
  <c r="AN344" i="21" s="1"/>
  <c r="AK344" i="21"/>
  <c r="AL344" i="21" s="1"/>
  <c r="AG344" i="21"/>
  <c r="AH344" i="21" s="1"/>
  <c r="AE344" i="21"/>
  <c r="AF344" i="21" s="1"/>
  <c r="AC344" i="21"/>
  <c r="AA344" i="21"/>
  <c r="AB344" i="21" s="1"/>
  <c r="W344" i="21"/>
  <c r="U344" i="21"/>
  <c r="V344" i="21" s="1"/>
  <c r="S344" i="21"/>
  <c r="T344" i="21" s="1"/>
  <c r="Q344" i="21"/>
  <c r="P344" i="21"/>
  <c r="O344" i="21"/>
  <c r="N344" i="21"/>
  <c r="M344" i="21"/>
  <c r="L344" i="21"/>
  <c r="K344" i="21"/>
  <c r="J344" i="21"/>
  <c r="I344" i="21"/>
  <c r="H344" i="21"/>
  <c r="G344" i="21"/>
  <c r="F344" i="21"/>
  <c r="E344" i="21"/>
  <c r="D344" i="21"/>
  <c r="C344" i="21"/>
  <c r="B344" i="21"/>
  <c r="A344" i="21"/>
  <c r="BG343" i="21"/>
  <c r="BH343" i="21" s="1"/>
  <c r="BE343" i="21"/>
  <c r="BF343" i="21" s="1"/>
  <c r="AW343" i="21"/>
  <c r="AX343" i="21" s="1"/>
  <c r="AU343" i="21"/>
  <c r="AV343" i="21" s="1"/>
  <c r="AS343" i="21"/>
  <c r="AT343" i="21" s="1"/>
  <c r="AQ343" i="21"/>
  <c r="AR343" i="21" s="1"/>
  <c r="AO343" i="21"/>
  <c r="AM343" i="21"/>
  <c r="AN343" i="21" s="1"/>
  <c r="AK343" i="21"/>
  <c r="AL343" i="21" s="1"/>
  <c r="AG343" i="21"/>
  <c r="AE343" i="21"/>
  <c r="AF343" i="21" s="1"/>
  <c r="AC343" i="21"/>
  <c r="AA343" i="21"/>
  <c r="AB343" i="21" s="1"/>
  <c r="W343" i="21"/>
  <c r="X343" i="21" s="1"/>
  <c r="U343" i="21"/>
  <c r="V343" i="21" s="1"/>
  <c r="S343" i="21"/>
  <c r="T343" i="21" s="1"/>
  <c r="Q343" i="21"/>
  <c r="R343" i="21" s="1"/>
  <c r="P343" i="21"/>
  <c r="O343" i="21"/>
  <c r="N343" i="21"/>
  <c r="M343" i="21"/>
  <c r="L343" i="21"/>
  <c r="K343" i="21"/>
  <c r="J343" i="21"/>
  <c r="I343" i="21"/>
  <c r="H343" i="21"/>
  <c r="G343" i="21"/>
  <c r="F343" i="21"/>
  <c r="E343" i="21"/>
  <c r="D343" i="21"/>
  <c r="C343" i="21"/>
  <c r="B343" i="21"/>
  <c r="A343" i="21"/>
  <c r="BG342" i="21"/>
  <c r="BE342" i="21"/>
  <c r="BF342" i="21" s="1"/>
  <c r="AW342" i="21"/>
  <c r="AX342" i="21" s="1"/>
  <c r="AU342" i="21"/>
  <c r="AV342" i="21" s="1"/>
  <c r="AS342" i="21"/>
  <c r="AT342" i="21" s="1"/>
  <c r="AQ342" i="21"/>
  <c r="AR342" i="21" s="1"/>
  <c r="AO342" i="21"/>
  <c r="AP342" i="21" s="1"/>
  <c r="AM342" i="21"/>
  <c r="AK342" i="21"/>
  <c r="AL342" i="21" s="1"/>
  <c r="AG342" i="21"/>
  <c r="AE342" i="21"/>
  <c r="AF342" i="21" s="1"/>
  <c r="AC342" i="21"/>
  <c r="AD342" i="21" s="1"/>
  <c r="AA342" i="21"/>
  <c r="AB342" i="21" s="1"/>
  <c r="W342" i="21"/>
  <c r="X342" i="21" s="1"/>
  <c r="U342" i="21"/>
  <c r="V342" i="21" s="1"/>
  <c r="S342" i="21"/>
  <c r="Q342" i="21"/>
  <c r="R342" i="21" s="1"/>
  <c r="P342" i="21"/>
  <c r="O342" i="21"/>
  <c r="N342" i="21"/>
  <c r="M342" i="21"/>
  <c r="L342" i="21"/>
  <c r="K342" i="21"/>
  <c r="J342" i="21"/>
  <c r="I342" i="21"/>
  <c r="H342" i="21"/>
  <c r="G342" i="21"/>
  <c r="F342" i="21"/>
  <c r="E342" i="21"/>
  <c r="D342" i="21"/>
  <c r="C342" i="21"/>
  <c r="B342" i="21"/>
  <c r="A342" i="21"/>
  <c r="BG341" i="21"/>
  <c r="BE341" i="21"/>
  <c r="BF341" i="21" s="1"/>
  <c r="AW341" i="21"/>
  <c r="AX341" i="21" s="1"/>
  <c r="AU341" i="21"/>
  <c r="AV341" i="21" s="1"/>
  <c r="AS341" i="21"/>
  <c r="AT341" i="21" s="1"/>
  <c r="AQ341" i="21"/>
  <c r="AO341" i="21"/>
  <c r="AP341" i="21" s="1"/>
  <c r="AM341" i="21"/>
  <c r="AN341" i="21" s="1"/>
  <c r="AK341" i="21"/>
  <c r="AL341" i="21" s="1"/>
  <c r="AG341" i="21"/>
  <c r="AH341" i="21" s="1"/>
  <c r="AE341" i="21"/>
  <c r="AF341" i="21" s="1"/>
  <c r="AC341" i="21"/>
  <c r="AD341" i="21" s="1"/>
  <c r="AA341" i="21"/>
  <c r="W341" i="21"/>
  <c r="U341" i="21"/>
  <c r="V341" i="21" s="1"/>
  <c r="S341" i="21"/>
  <c r="T341" i="21" s="1"/>
  <c r="Q341" i="21"/>
  <c r="R341" i="21" s="1"/>
  <c r="P341" i="21"/>
  <c r="O341" i="21"/>
  <c r="N341" i="21"/>
  <c r="M341" i="21"/>
  <c r="L341" i="21"/>
  <c r="K341" i="21"/>
  <c r="J341" i="21"/>
  <c r="I341" i="21"/>
  <c r="H341" i="21"/>
  <c r="G341" i="21"/>
  <c r="F341" i="21"/>
  <c r="E341" i="21"/>
  <c r="D341" i="21"/>
  <c r="C341" i="21"/>
  <c r="B341" i="21"/>
  <c r="A341" i="21"/>
  <c r="BG340" i="21"/>
  <c r="BH340" i="21" s="1"/>
  <c r="BE340" i="21"/>
  <c r="BF340" i="21" s="1"/>
  <c r="AW340" i="21"/>
  <c r="AX340" i="21" s="1"/>
  <c r="AU340" i="21"/>
  <c r="AS340" i="21"/>
  <c r="AT340" i="21" s="1"/>
  <c r="AQ340" i="21"/>
  <c r="AO340" i="21"/>
  <c r="AP340" i="21" s="1"/>
  <c r="AM340" i="21"/>
  <c r="AN340" i="21" s="1"/>
  <c r="AK340" i="21"/>
  <c r="AG340" i="21"/>
  <c r="AE340" i="21"/>
  <c r="AF340" i="21" s="1"/>
  <c r="AC340" i="21"/>
  <c r="AA340" i="21"/>
  <c r="AB340" i="21" s="1"/>
  <c r="W340" i="21"/>
  <c r="X340" i="21" s="1"/>
  <c r="U340" i="21"/>
  <c r="V340" i="21" s="1"/>
  <c r="S340" i="21"/>
  <c r="T340" i="21" s="1"/>
  <c r="Q340" i="21"/>
  <c r="P340" i="21"/>
  <c r="O340" i="21"/>
  <c r="N340" i="21"/>
  <c r="M340" i="21"/>
  <c r="L340" i="21"/>
  <c r="K340" i="21"/>
  <c r="J340" i="21"/>
  <c r="I340" i="21"/>
  <c r="H340" i="21"/>
  <c r="G340" i="21"/>
  <c r="F340" i="21"/>
  <c r="E340" i="21"/>
  <c r="D340" i="21"/>
  <c r="C340" i="21"/>
  <c r="B340" i="21"/>
  <c r="A340" i="21"/>
  <c r="BG339" i="21"/>
  <c r="BH339" i="21" s="1"/>
  <c r="BE339" i="21"/>
  <c r="BF339" i="21" s="1"/>
  <c r="AW339" i="21"/>
  <c r="AU339" i="21"/>
  <c r="AV339" i="21" s="1"/>
  <c r="AS339" i="21"/>
  <c r="AQ339" i="21"/>
  <c r="AR339" i="21" s="1"/>
  <c r="AO339" i="21"/>
  <c r="AM339" i="21"/>
  <c r="AN339" i="21" s="1"/>
  <c r="AK339" i="21"/>
  <c r="AL339" i="21" s="1"/>
  <c r="AG339" i="21"/>
  <c r="AE339" i="21"/>
  <c r="AF339" i="21" s="1"/>
  <c r="AC339" i="21"/>
  <c r="AD339" i="21" s="1"/>
  <c r="AA339" i="21"/>
  <c r="AB339" i="21" s="1"/>
  <c r="W339" i="21"/>
  <c r="X339" i="21" s="1"/>
  <c r="U339" i="21"/>
  <c r="V339" i="21" s="1"/>
  <c r="S339" i="21"/>
  <c r="T339" i="21" s="1"/>
  <c r="Z339" i="21" s="1"/>
  <c r="Q339" i="21"/>
  <c r="R339" i="21" s="1"/>
  <c r="P339" i="21"/>
  <c r="O339" i="21"/>
  <c r="N339" i="21"/>
  <c r="M339" i="21"/>
  <c r="L339" i="21"/>
  <c r="K339" i="21"/>
  <c r="J339" i="21"/>
  <c r="I339" i="21"/>
  <c r="H339" i="21"/>
  <c r="G339" i="21"/>
  <c r="F339" i="21"/>
  <c r="E339" i="21"/>
  <c r="D339" i="21"/>
  <c r="C339" i="21"/>
  <c r="B339" i="21"/>
  <c r="A339" i="21"/>
  <c r="BG338" i="21"/>
  <c r="BE338" i="21"/>
  <c r="BF338" i="21" s="1"/>
  <c r="AW338" i="21"/>
  <c r="AX338" i="21" s="1"/>
  <c r="AU338" i="21"/>
  <c r="AV338" i="21" s="1"/>
  <c r="AS338" i="21"/>
  <c r="AT338" i="21" s="1"/>
  <c r="AQ338" i="21"/>
  <c r="AR338" i="21" s="1"/>
  <c r="AO338" i="21"/>
  <c r="AP338" i="21" s="1"/>
  <c r="AM338" i="21"/>
  <c r="AK338" i="21"/>
  <c r="AL338" i="21" s="1"/>
  <c r="AG338" i="21"/>
  <c r="AE338" i="21"/>
  <c r="AF338" i="21" s="1"/>
  <c r="AC338" i="21"/>
  <c r="AD338" i="21" s="1"/>
  <c r="AA338" i="21"/>
  <c r="AB338" i="21" s="1"/>
  <c r="W338" i="21"/>
  <c r="X338" i="21" s="1"/>
  <c r="U338" i="21"/>
  <c r="V338" i="21" s="1"/>
  <c r="S338" i="21"/>
  <c r="Q338" i="21"/>
  <c r="R338" i="21" s="1"/>
  <c r="P338" i="21"/>
  <c r="O338" i="21"/>
  <c r="N338" i="21"/>
  <c r="M338" i="21"/>
  <c r="L338" i="21"/>
  <c r="K338" i="21"/>
  <c r="J338" i="21"/>
  <c r="I338" i="21"/>
  <c r="H338" i="21"/>
  <c r="G338" i="21"/>
  <c r="F338" i="21"/>
  <c r="E338" i="21"/>
  <c r="D338" i="21"/>
  <c r="C338" i="21"/>
  <c r="B338" i="21"/>
  <c r="A338" i="21"/>
  <c r="BG337" i="21"/>
  <c r="BH337" i="21" s="1"/>
  <c r="BE337" i="21"/>
  <c r="BF337" i="21" s="1"/>
  <c r="AW337" i="21"/>
  <c r="AX337" i="21" s="1"/>
  <c r="AU337" i="21"/>
  <c r="AV337" i="21" s="1"/>
  <c r="AS337" i="21"/>
  <c r="AQ337" i="21"/>
  <c r="AO337" i="21"/>
  <c r="AP337" i="21" s="1"/>
  <c r="AM337" i="21"/>
  <c r="AK337" i="21"/>
  <c r="AL337" i="21" s="1"/>
  <c r="AG337" i="21"/>
  <c r="AH337" i="21" s="1"/>
  <c r="AE337" i="21"/>
  <c r="AF337" i="21" s="1"/>
  <c r="AC337" i="21"/>
  <c r="AD337" i="21" s="1"/>
  <c r="AA337" i="21"/>
  <c r="AB337" i="21" s="1"/>
  <c r="W337" i="21"/>
  <c r="U337" i="21"/>
  <c r="V337" i="21" s="1"/>
  <c r="S337" i="21"/>
  <c r="Q337" i="21"/>
  <c r="R337" i="21" s="1"/>
  <c r="P337" i="21"/>
  <c r="O337" i="21"/>
  <c r="N337" i="21"/>
  <c r="M337" i="21"/>
  <c r="L337" i="21"/>
  <c r="K337" i="21"/>
  <c r="J337" i="21"/>
  <c r="I337" i="21"/>
  <c r="H337" i="21"/>
  <c r="G337" i="21"/>
  <c r="F337" i="21"/>
  <c r="E337" i="21"/>
  <c r="D337" i="21"/>
  <c r="C337" i="21"/>
  <c r="B337" i="21"/>
  <c r="A337" i="21"/>
  <c r="BG336" i="21"/>
  <c r="BH336" i="21" s="1"/>
  <c r="BE336" i="21"/>
  <c r="AW336" i="21"/>
  <c r="AU336" i="21"/>
  <c r="AS336" i="21"/>
  <c r="AT336" i="21" s="1"/>
  <c r="AQ336" i="21"/>
  <c r="AR336" i="21" s="1"/>
  <c r="AO336" i="21"/>
  <c r="AP336" i="21" s="1"/>
  <c r="AM336" i="21"/>
  <c r="AN336" i="21" s="1"/>
  <c r="AK336" i="21"/>
  <c r="AG336" i="21"/>
  <c r="AH336" i="21" s="1"/>
  <c r="AE336" i="21"/>
  <c r="AF336" i="21" s="1"/>
  <c r="AC336" i="21"/>
  <c r="AA336" i="21"/>
  <c r="AB336" i="21" s="1"/>
  <c r="W336" i="21"/>
  <c r="X336" i="21" s="1"/>
  <c r="U336" i="21"/>
  <c r="V336" i="21" s="1"/>
  <c r="S336" i="21"/>
  <c r="T336" i="21" s="1"/>
  <c r="Q336" i="21"/>
  <c r="P336" i="21"/>
  <c r="O336" i="21"/>
  <c r="N336" i="21"/>
  <c r="M336" i="21"/>
  <c r="L336" i="21"/>
  <c r="K336" i="21"/>
  <c r="J336" i="21"/>
  <c r="I336" i="21"/>
  <c r="H336" i="21"/>
  <c r="G336" i="21"/>
  <c r="F336" i="21"/>
  <c r="E336" i="21"/>
  <c r="D336" i="21"/>
  <c r="C336" i="21"/>
  <c r="B336" i="21"/>
  <c r="A336" i="21"/>
  <c r="BG335" i="21"/>
  <c r="BH335" i="21" s="1"/>
  <c r="BE335" i="21"/>
  <c r="BF335" i="21" s="1"/>
  <c r="AW335" i="21"/>
  <c r="AX335" i="21" s="1"/>
  <c r="AU335" i="21"/>
  <c r="AS335" i="21"/>
  <c r="AT335" i="21" s="1"/>
  <c r="AQ335" i="21"/>
  <c r="AR335" i="21" s="1"/>
  <c r="AO335" i="21"/>
  <c r="AP335" i="21" s="1"/>
  <c r="AM335" i="21"/>
  <c r="AN335" i="21" s="1"/>
  <c r="AK335" i="21"/>
  <c r="AL335" i="21" s="1"/>
  <c r="AG335" i="21"/>
  <c r="AH335" i="21" s="1"/>
  <c r="AE335" i="21"/>
  <c r="AF335" i="21" s="1"/>
  <c r="AC335" i="21"/>
  <c r="AA335" i="21"/>
  <c r="AB335" i="21" s="1"/>
  <c r="W335" i="21"/>
  <c r="X335" i="21" s="1"/>
  <c r="U335" i="21"/>
  <c r="S335" i="21"/>
  <c r="T335" i="21" s="1"/>
  <c r="Q335" i="21"/>
  <c r="R335" i="21" s="1"/>
  <c r="P335" i="21"/>
  <c r="O335" i="21"/>
  <c r="N335" i="21"/>
  <c r="M335" i="21"/>
  <c r="L335" i="21"/>
  <c r="K335" i="21"/>
  <c r="J335" i="21"/>
  <c r="I335" i="21"/>
  <c r="H335" i="21"/>
  <c r="G335" i="21"/>
  <c r="F335" i="21"/>
  <c r="E335" i="21"/>
  <c r="D335" i="21"/>
  <c r="C335" i="21"/>
  <c r="B335" i="21"/>
  <c r="A335" i="21"/>
  <c r="BG334" i="21"/>
  <c r="BE334" i="21"/>
  <c r="BF334" i="21" s="1"/>
  <c r="AW334" i="21"/>
  <c r="AX334" i="21" s="1"/>
  <c r="AU334" i="21"/>
  <c r="AV334" i="21" s="1"/>
  <c r="AS334" i="21"/>
  <c r="AT334" i="21" s="1"/>
  <c r="AQ334" i="21"/>
  <c r="AR334" i="21" s="1"/>
  <c r="AO334" i="21"/>
  <c r="AP334" i="21" s="1"/>
  <c r="AM334" i="21"/>
  <c r="AK334" i="21"/>
  <c r="AL334" i="21" s="1"/>
  <c r="AG334" i="21"/>
  <c r="AH334" i="21" s="1"/>
  <c r="AE334" i="21"/>
  <c r="AF334" i="21" s="1"/>
  <c r="AC334" i="21"/>
  <c r="AD334" i="21" s="1"/>
  <c r="AA334" i="21"/>
  <c r="AB334" i="21" s="1"/>
  <c r="W334" i="21"/>
  <c r="X334" i="21" s="1"/>
  <c r="U334" i="21"/>
  <c r="S334" i="21"/>
  <c r="Q334" i="21"/>
  <c r="R334" i="21" s="1"/>
  <c r="P334" i="21"/>
  <c r="O334" i="21"/>
  <c r="N334" i="21"/>
  <c r="M334" i="21"/>
  <c r="L334" i="21"/>
  <c r="K334" i="21"/>
  <c r="J334" i="21"/>
  <c r="I334" i="21"/>
  <c r="H334" i="21"/>
  <c r="G334" i="21"/>
  <c r="F334" i="21"/>
  <c r="E334" i="21"/>
  <c r="D334" i="21"/>
  <c r="C334" i="21"/>
  <c r="B334" i="21"/>
  <c r="A334" i="21"/>
  <c r="BG333" i="21"/>
  <c r="BH333" i="21" s="1"/>
  <c r="BE333" i="21"/>
  <c r="BF333" i="21" s="1"/>
  <c r="AW333" i="21"/>
  <c r="AX333" i="21" s="1"/>
  <c r="AU333" i="21"/>
  <c r="AV333" i="21" s="1"/>
  <c r="AS333" i="21"/>
  <c r="AT333" i="21" s="1"/>
  <c r="AQ333" i="21"/>
  <c r="AR333" i="21" s="1"/>
  <c r="AO333" i="21"/>
  <c r="AP333" i="21" s="1"/>
  <c r="AM333" i="21"/>
  <c r="AK333" i="21"/>
  <c r="AL333" i="21" s="1"/>
  <c r="AG333" i="21"/>
  <c r="AH333" i="21" s="1"/>
  <c r="AE333" i="21"/>
  <c r="AF333" i="21" s="1"/>
  <c r="AC333" i="21"/>
  <c r="AA333" i="21"/>
  <c r="AB333" i="21" s="1"/>
  <c r="W333" i="21"/>
  <c r="X333" i="21" s="1"/>
  <c r="U333" i="21"/>
  <c r="V333" i="21" s="1"/>
  <c r="S333" i="21"/>
  <c r="Q333" i="21"/>
  <c r="R333" i="21" s="1"/>
  <c r="P333" i="21"/>
  <c r="O333" i="21"/>
  <c r="N333" i="21"/>
  <c r="M333" i="21"/>
  <c r="L333" i="21"/>
  <c r="K333" i="21"/>
  <c r="J333" i="21"/>
  <c r="I333" i="21"/>
  <c r="H333" i="21"/>
  <c r="G333" i="21"/>
  <c r="F333" i="21"/>
  <c r="E333" i="21"/>
  <c r="D333" i="21"/>
  <c r="C333" i="21"/>
  <c r="B333" i="21"/>
  <c r="A333" i="21"/>
  <c r="BG332" i="21"/>
  <c r="BH332" i="21" s="1"/>
  <c r="BE332" i="21"/>
  <c r="AW332" i="21"/>
  <c r="AU332" i="21"/>
  <c r="AV332" i="21" s="1"/>
  <c r="AS332" i="21"/>
  <c r="AT332" i="21" s="1"/>
  <c r="AQ332" i="21"/>
  <c r="AO332" i="21"/>
  <c r="AP332" i="21" s="1"/>
  <c r="AM332" i="21"/>
  <c r="AK332" i="21"/>
  <c r="AL332" i="21" s="1"/>
  <c r="AG332" i="21"/>
  <c r="AH332" i="21" s="1"/>
  <c r="AE332" i="21"/>
  <c r="AF332" i="21" s="1"/>
  <c r="AC332" i="21"/>
  <c r="AD332" i="21" s="1"/>
  <c r="AA332" i="21"/>
  <c r="AB332" i="21" s="1"/>
  <c r="W332" i="21"/>
  <c r="U332" i="21"/>
  <c r="V332" i="21" s="1"/>
  <c r="S332" i="21"/>
  <c r="T332" i="21" s="1"/>
  <c r="Q332" i="21"/>
  <c r="R332" i="21" s="1"/>
  <c r="P332" i="21"/>
  <c r="O332" i="21"/>
  <c r="N332" i="21"/>
  <c r="M332" i="21"/>
  <c r="L332" i="21"/>
  <c r="K332" i="21"/>
  <c r="J332" i="21"/>
  <c r="I332" i="21"/>
  <c r="H332" i="21"/>
  <c r="G332" i="21"/>
  <c r="F332" i="21"/>
  <c r="E332" i="21"/>
  <c r="D332" i="21"/>
  <c r="C332" i="21"/>
  <c r="B332" i="21"/>
  <c r="A332" i="21"/>
  <c r="BG331" i="21"/>
  <c r="BH331" i="21" s="1"/>
  <c r="BE331" i="21"/>
  <c r="AW331" i="21"/>
  <c r="AX331" i="21" s="1"/>
  <c r="AU331" i="21"/>
  <c r="AS331" i="21"/>
  <c r="AT331" i="21" s="1"/>
  <c r="AQ331" i="21"/>
  <c r="AO331" i="21"/>
  <c r="AP331" i="21" s="1"/>
  <c r="AM331" i="21"/>
  <c r="AN331" i="21" s="1"/>
  <c r="AK331" i="21"/>
  <c r="AL331" i="21" s="1"/>
  <c r="AG331" i="21"/>
  <c r="AH331" i="21" s="1"/>
  <c r="AE331" i="21"/>
  <c r="AF331" i="21" s="1"/>
  <c r="AC331" i="21"/>
  <c r="AA331" i="21"/>
  <c r="AB331" i="21" s="1"/>
  <c r="W331" i="21"/>
  <c r="X331" i="21" s="1"/>
  <c r="U331" i="21"/>
  <c r="V331" i="21" s="1"/>
  <c r="S331" i="21"/>
  <c r="T331" i="21" s="1"/>
  <c r="Z331" i="21" s="1"/>
  <c r="Q331" i="21"/>
  <c r="P331" i="21"/>
  <c r="O331" i="21"/>
  <c r="N331" i="21"/>
  <c r="M331" i="21"/>
  <c r="L331" i="21"/>
  <c r="K331" i="21"/>
  <c r="J331" i="21"/>
  <c r="I331" i="21"/>
  <c r="H331" i="21"/>
  <c r="G331" i="21"/>
  <c r="F331" i="21"/>
  <c r="E331" i="21"/>
  <c r="D331" i="21"/>
  <c r="C331" i="21"/>
  <c r="B331" i="21"/>
  <c r="A331" i="21"/>
  <c r="BG330" i="21"/>
  <c r="BH330" i="21" s="1"/>
  <c r="BE330" i="21"/>
  <c r="BF330" i="21" s="1"/>
  <c r="AW330" i="21"/>
  <c r="AX330" i="21" s="1"/>
  <c r="AU330" i="21"/>
  <c r="AV330" i="21" s="1"/>
  <c r="AS330" i="21"/>
  <c r="AT330" i="21" s="1"/>
  <c r="AQ330" i="21"/>
  <c r="AR330" i="21" s="1"/>
  <c r="AO330" i="21"/>
  <c r="AP330" i="21" s="1"/>
  <c r="AM330" i="21"/>
  <c r="AN330" i="21" s="1"/>
  <c r="AK330" i="21"/>
  <c r="AG330" i="21"/>
  <c r="AE330" i="21"/>
  <c r="AF330" i="21" s="1"/>
  <c r="AC330" i="21"/>
  <c r="AA330" i="21"/>
  <c r="AB330" i="21" s="1"/>
  <c r="W330" i="21"/>
  <c r="X330" i="21" s="1"/>
  <c r="U330" i="21"/>
  <c r="S330" i="21"/>
  <c r="T330" i="21" s="1"/>
  <c r="Q330" i="21"/>
  <c r="R330" i="21" s="1"/>
  <c r="P330" i="21"/>
  <c r="O330" i="21"/>
  <c r="N330" i="21"/>
  <c r="M330" i="21"/>
  <c r="L330" i="21"/>
  <c r="K330" i="21"/>
  <c r="J330" i="21"/>
  <c r="I330" i="21"/>
  <c r="H330" i="21"/>
  <c r="G330" i="21"/>
  <c r="F330" i="21"/>
  <c r="E330" i="21"/>
  <c r="D330" i="21"/>
  <c r="C330" i="21"/>
  <c r="B330" i="21"/>
  <c r="A330" i="21"/>
  <c r="BG329" i="21"/>
  <c r="BE329" i="21"/>
  <c r="BF329" i="21" s="1"/>
  <c r="AW329" i="21"/>
  <c r="AX329" i="21" s="1"/>
  <c r="AU329" i="21"/>
  <c r="AV329" i="21" s="1"/>
  <c r="AS329" i="21"/>
  <c r="AT329" i="21" s="1"/>
  <c r="AQ329" i="21"/>
  <c r="AO329" i="21"/>
  <c r="AP329" i="21" s="1"/>
  <c r="AM329" i="21"/>
  <c r="AK329" i="21"/>
  <c r="AL329" i="21" s="1"/>
  <c r="AG329" i="21"/>
  <c r="AE329" i="21"/>
  <c r="AF329" i="21" s="1"/>
  <c r="AC329" i="21"/>
  <c r="AD329" i="21" s="1"/>
  <c r="AA329" i="21"/>
  <c r="W329" i="21"/>
  <c r="X329" i="21" s="1"/>
  <c r="U329" i="21"/>
  <c r="V329" i="21" s="1"/>
  <c r="S329" i="21"/>
  <c r="Q329" i="21"/>
  <c r="R329" i="21" s="1"/>
  <c r="P329" i="21"/>
  <c r="O329" i="21"/>
  <c r="N329" i="21"/>
  <c r="M329" i="21"/>
  <c r="L329" i="21"/>
  <c r="K329" i="21"/>
  <c r="J329" i="21"/>
  <c r="I329" i="21"/>
  <c r="H329" i="21"/>
  <c r="G329" i="21"/>
  <c r="F329" i="21"/>
  <c r="E329" i="21"/>
  <c r="D329" i="21"/>
  <c r="C329" i="21"/>
  <c r="B329" i="21"/>
  <c r="A329" i="21"/>
  <c r="BG328" i="21"/>
  <c r="BH328" i="21" s="1"/>
  <c r="BE328" i="21"/>
  <c r="BF328" i="21" s="1"/>
  <c r="AW328" i="21"/>
  <c r="AU328" i="21"/>
  <c r="AS328" i="21"/>
  <c r="AT328" i="21" s="1"/>
  <c r="AQ328" i="21"/>
  <c r="AO328" i="21"/>
  <c r="AP328" i="21" s="1"/>
  <c r="AM328" i="21"/>
  <c r="AK328" i="21"/>
  <c r="AL328" i="21" s="1"/>
  <c r="AG328" i="21"/>
  <c r="AH328" i="21" s="1"/>
  <c r="AE328" i="21"/>
  <c r="AC328" i="21"/>
  <c r="AD328" i="21" s="1"/>
  <c r="AA328" i="21"/>
  <c r="AB328" i="21" s="1"/>
  <c r="W328" i="21"/>
  <c r="U328" i="21"/>
  <c r="V328" i="21" s="1"/>
  <c r="S328" i="21"/>
  <c r="T328" i="21" s="1"/>
  <c r="Q328" i="21"/>
  <c r="R328" i="21" s="1"/>
  <c r="P328" i="21"/>
  <c r="O328" i="21"/>
  <c r="N328" i="21"/>
  <c r="M328" i="21"/>
  <c r="L328" i="21"/>
  <c r="K328" i="21"/>
  <c r="J328" i="21"/>
  <c r="I328" i="21"/>
  <c r="H328" i="21"/>
  <c r="G328" i="21"/>
  <c r="F328" i="21"/>
  <c r="E328" i="21"/>
  <c r="D328" i="21"/>
  <c r="C328" i="21"/>
  <c r="B328" i="21"/>
  <c r="A328" i="21"/>
  <c r="BG327" i="21"/>
  <c r="BH327" i="21" s="1"/>
  <c r="BE327" i="21"/>
  <c r="AW327" i="21"/>
  <c r="AX327" i="21" s="1"/>
  <c r="AU327" i="21"/>
  <c r="AS327" i="21"/>
  <c r="AT327" i="21" s="1"/>
  <c r="AQ327" i="21"/>
  <c r="AO327" i="21"/>
  <c r="AP327" i="21" s="1"/>
  <c r="AM327" i="21"/>
  <c r="AN327" i="21" s="1"/>
  <c r="AK327" i="21"/>
  <c r="AG327" i="21"/>
  <c r="AH327" i="21" s="1"/>
  <c r="AE327" i="21"/>
  <c r="AF327" i="21" s="1"/>
  <c r="AC327" i="21"/>
  <c r="AA327" i="21"/>
  <c r="AB327" i="21" s="1"/>
  <c r="W327" i="21"/>
  <c r="X327" i="21" s="1"/>
  <c r="U327" i="21"/>
  <c r="V327" i="21" s="1"/>
  <c r="S327" i="21"/>
  <c r="Q327" i="21"/>
  <c r="R327" i="21" s="1"/>
  <c r="P327" i="21"/>
  <c r="O327" i="21"/>
  <c r="N327" i="21"/>
  <c r="M327" i="21"/>
  <c r="L327" i="21"/>
  <c r="K327" i="21"/>
  <c r="J327" i="21"/>
  <c r="I327" i="21"/>
  <c r="H327" i="21"/>
  <c r="G327" i="21"/>
  <c r="F327" i="21"/>
  <c r="E327" i="21"/>
  <c r="D327" i="21"/>
  <c r="C327" i="21"/>
  <c r="B327" i="21"/>
  <c r="A327" i="21"/>
  <c r="BG326" i="21"/>
  <c r="BH326" i="21" s="1"/>
  <c r="BE326" i="21"/>
  <c r="BF326" i="21" s="1"/>
  <c r="AW326" i="21"/>
  <c r="AX326" i="21" s="1"/>
  <c r="AU326" i="21"/>
  <c r="AV326" i="21" s="1"/>
  <c r="AS326" i="21"/>
  <c r="AT326" i="21" s="1"/>
  <c r="AQ326" i="21"/>
  <c r="AR326" i="21" s="1"/>
  <c r="AO326" i="21"/>
  <c r="AM326" i="21"/>
  <c r="AN326" i="21" s="1"/>
  <c r="AK326" i="21"/>
  <c r="AL326" i="21" s="1"/>
  <c r="AG326" i="21"/>
  <c r="AE326" i="21"/>
  <c r="AF326" i="21" s="1"/>
  <c r="AC326" i="21"/>
  <c r="AD326" i="21" s="1"/>
  <c r="AA326" i="21"/>
  <c r="AB326" i="21" s="1"/>
  <c r="W326" i="21"/>
  <c r="X326" i="21" s="1"/>
  <c r="U326" i="21"/>
  <c r="V326" i="21" s="1"/>
  <c r="S326" i="21"/>
  <c r="T326" i="21" s="1"/>
  <c r="Q326" i="21"/>
  <c r="R326" i="21" s="1"/>
  <c r="P326" i="21"/>
  <c r="O326" i="21"/>
  <c r="N326" i="21"/>
  <c r="M326" i="21"/>
  <c r="L326" i="21"/>
  <c r="K326" i="21"/>
  <c r="J326" i="21"/>
  <c r="I326" i="21"/>
  <c r="H326" i="21"/>
  <c r="G326" i="21"/>
  <c r="F326" i="21"/>
  <c r="E326" i="21"/>
  <c r="D326" i="21"/>
  <c r="C326" i="21"/>
  <c r="B326" i="21"/>
  <c r="A326" i="21"/>
  <c r="BG325" i="21"/>
  <c r="BE325" i="21"/>
  <c r="BF325" i="21" s="1"/>
  <c r="AW325" i="21"/>
  <c r="AX325" i="21" s="1"/>
  <c r="AU325" i="21"/>
  <c r="AV325" i="21" s="1"/>
  <c r="AS325" i="21"/>
  <c r="AQ325" i="21"/>
  <c r="AR325" i="21" s="1"/>
  <c r="AO325" i="21"/>
  <c r="AP325" i="21" s="1"/>
  <c r="AM325" i="21"/>
  <c r="AK325" i="21"/>
  <c r="AL325" i="21" s="1"/>
  <c r="AG325" i="21"/>
  <c r="AH325" i="21" s="1"/>
  <c r="AE325" i="21"/>
  <c r="AF325" i="21" s="1"/>
  <c r="AC325" i="21"/>
  <c r="AD325" i="21" s="1"/>
  <c r="AA325" i="21"/>
  <c r="AB325" i="21" s="1"/>
  <c r="W325" i="21"/>
  <c r="X325" i="21" s="1"/>
  <c r="U325" i="21"/>
  <c r="V325" i="21" s="1"/>
  <c r="S325" i="21"/>
  <c r="Q325" i="21"/>
  <c r="R325" i="21" s="1"/>
  <c r="P325" i="21"/>
  <c r="O325" i="21"/>
  <c r="N325" i="21"/>
  <c r="M325" i="21"/>
  <c r="L325" i="21"/>
  <c r="K325" i="21"/>
  <c r="J325" i="21"/>
  <c r="I325" i="21"/>
  <c r="H325" i="21"/>
  <c r="G325" i="21"/>
  <c r="F325" i="21"/>
  <c r="E325" i="21"/>
  <c r="D325" i="21"/>
  <c r="C325" i="21"/>
  <c r="B325" i="21"/>
  <c r="A325" i="21"/>
  <c r="BG324" i="21"/>
  <c r="BH324" i="21" s="1"/>
  <c r="BE324" i="21"/>
  <c r="BF324" i="21" s="1"/>
  <c r="AW324" i="21"/>
  <c r="AU324" i="21"/>
  <c r="AV324" i="21" s="1"/>
  <c r="AS324" i="21"/>
  <c r="AT324" i="21" s="1"/>
  <c r="AQ324" i="21"/>
  <c r="AO324" i="21"/>
  <c r="AP324" i="21" s="1"/>
  <c r="AM324" i="21"/>
  <c r="AN324" i="21" s="1"/>
  <c r="AK324" i="21"/>
  <c r="AL324" i="21" s="1"/>
  <c r="AG324" i="21"/>
  <c r="AH324" i="21" s="1"/>
  <c r="AE324" i="21"/>
  <c r="AF324" i="21" s="1"/>
  <c r="AC324" i="21"/>
  <c r="AD324" i="21" s="1"/>
  <c r="AA324" i="21"/>
  <c r="AB324" i="21" s="1"/>
  <c r="W324" i="21"/>
  <c r="U324" i="21"/>
  <c r="V324" i="21" s="1"/>
  <c r="S324" i="21"/>
  <c r="Q324" i="21"/>
  <c r="R324" i="21" s="1"/>
  <c r="P324" i="21"/>
  <c r="O324" i="21"/>
  <c r="N324" i="21"/>
  <c r="M324" i="21"/>
  <c r="L324" i="21"/>
  <c r="K324" i="21"/>
  <c r="J324" i="21"/>
  <c r="I324" i="21"/>
  <c r="H324" i="21"/>
  <c r="G324" i="21"/>
  <c r="F324" i="21"/>
  <c r="E324" i="21"/>
  <c r="D324" i="21"/>
  <c r="C324" i="21"/>
  <c r="B324" i="21"/>
  <c r="A324" i="21"/>
  <c r="BG323" i="21"/>
  <c r="BH323" i="21" s="1"/>
  <c r="BE323" i="21"/>
  <c r="AW323" i="21"/>
  <c r="AX323" i="21" s="1"/>
  <c r="AU323" i="21"/>
  <c r="AS323" i="21"/>
  <c r="AT323" i="21" s="1"/>
  <c r="AQ323" i="21"/>
  <c r="AR323" i="21" s="1"/>
  <c r="AO323" i="21"/>
  <c r="AP323" i="21" s="1"/>
  <c r="AM323" i="21"/>
  <c r="AN323" i="21" s="1"/>
  <c r="AK323" i="21"/>
  <c r="AL323" i="21" s="1"/>
  <c r="AG323" i="21"/>
  <c r="AH323" i="21" s="1"/>
  <c r="AE323" i="21"/>
  <c r="AF323" i="21" s="1"/>
  <c r="AC323" i="21"/>
  <c r="AA323" i="21"/>
  <c r="AB323" i="21" s="1"/>
  <c r="W323" i="21"/>
  <c r="X323" i="21" s="1"/>
  <c r="U323" i="21"/>
  <c r="V323" i="21" s="1"/>
  <c r="S323" i="21"/>
  <c r="T323" i="21" s="1"/>
  <c r="Q323" i="21"/>
  <c r="P323" i="21"/>
  <c r="O323" i="21"/>
  <c r="N323" i="21"/>
  <c r="M323" i="21"/>
  <c r="L323" i="21"/>
  <c r="K323" i="21"/>
  <c r="J323" i="21"/>
  <c r="I323" i="21"/>
  <c r="H323" i="21"/>
  <c r="G323" i="21"/>
  <c r="F323" i="21"/>
  <c r="E323" i="21"/>
  <c r="D323" i="21"/>
  <c r="C323" i="21"/>
  <c r="B323" i="21"/>
  <c r="A323" i="21"/>
  <c r="BG322" i="21"/>
  <c r="BH322" i="21" s="1"/>
  <c r="BE322" i="21"/>
  <c r="BF322" i="21" s="1"/>
  <c r="AW322" i="21"/>
  <c r="AX322" i="21" s="1"/>
  <c r="AU322" i="21"/>
  <c r="AV322" i="21" s="1"/>
  <c r="AS322" i="21"/>
  <c r="AT322" i="21" s="1"/>
  <c r="AQ322" i="21"/>
  <c r="AR322" i="21" s="1"/>
  <c r="AO322" i="21"/>
  <c r="AP322" i="21" s="1"/>
  <c r="AM322" i="21"/>
  <c r="AN322" i="21" s="1"/>
  <c r="AK322" i="21"/>
  <c r="AL322" i="21" s="1"/>
  <c r="AG322" i="21"/>
  <c r="AE322" i="21"/>
  <c r="AF322" i="21" s="1"/>
  <c r="AC322" i="21"/>
  <c r="AA322" i="21"/>
  <c r="AB322" i="21" s="1"/>
  <c r="W322" i="21"/>
  <c r="X322" i="21" s="1"/>
  <c r="U322" i="21"/>
  <c r="S322" i="21"/>
  <c r="T322" i="21" s="1"/>
  <c r="Q322" i="21"/>
  <c r="R322" i="21" s="1"/>
  <c r="P322" i="21"/>
  <c r="O322" i="21"/>
  <c r="N322" i="21"/>
  <c r="M322" i="21"/>
  <c r="L322" i="21"/>
  <c r="K322" i="21"/>
  <c r="J322" i="21"/>
  <c r="I322" i="21"/>
  <c r="H322" i="21"/>
  <c r="G322" i="21"/>
  <c r="F322" i="21"/>
  <c r="E322" i="21"/>
  <c r="D322" i="21"/>
  <c r="C322" i="21"/>
  <c r="B322" i="21"/>
  <c r="A322" i="21"/>
  <c r="BG321" i="21"/>
  <c r="BE321" i="21"/>
  <c r="BF321" i="21" s="1"/>
  <c r="AW321" i="21"/>
  <c r="AX321" i="21" s="1"/>
  <c r="AU321" i="21"/>
  <c r="AV321" i="21" s="1"/>
  <c r="AS321" i="21"/>
  <c r="AT321" i="21" s="1"/>
  <c r="AQ321" i="21"/>
  <c r="AR321" i="21" s="1"/>
  <c r="AO321" i="21"/>
  <c r="AP321" i="21" s="1"/>
  <c r="AM321" i="21"/>
  <c r="AK321" i="21"/>
  <c r="AL321" i="21" s="1"/>
  <c r="AG321" i="21"/>
  <c r="AH321" i="21" s="1"/>
  <c r="AE321" i="21"/>
  <c r="AF321" i="21" s="1"/>
  <c r="AC321" i="21"/>
  <c r="AD321" i="21" s="1"/>
  <c r="AA321" i="21"/>
  <c r="W321" i="21"/>
  <c r="X321" i="21" s="1"/>
  <c r="U321" i="21"/>
  <c r="V321" i="21" s="1"/>
  <c r="S321" i="21"/>
  <c r="Q321" i="21"/>
  <c r="R321" i="21" s="1"/>
  <c r="P321" i="21"/>
  <c r="O321" i="21"/>
  <c r="N321" i="21"/>
  <c r="M321" i="21"/>
  <c r="L321" i="21"/>
  <c r="K321" i="21"/>
  <c r="J321" i="21"/>
  <c r="I321" i="21"/>
  <c r="H321" i="21"/>
  <c r="G321" i="21"/>
  <c r="F321" i="21"/>
  <c r="E321" i="21"/>
  <c r="D321" i="21"/>
  <c r="C321" i="21"/>
  <c r="B321" i="21"/>
  <c r="A321" i="21"/>
  <c r="BG320" i="21"/>
  <c r="BH320" i="21" s="1"/>
  <c r="BE320" i="21"/>
  <c r="BF320" i="21" s="1"/>
  <c r="AW320" i="21"/>
  <c r="AX320" i="21" s="1"/>
  <c r="AU320" i="21"/>
  <c r="AV320" i="21" s="1"/>
  <c r="AS320" i="21"/>
  <c r="AT320" i="21" s="1"/>
  <c r="AQ320" i="21"/>
  <c r="AR320" i="21" s="1"/>
  <c r="AO320" i="21"/>
  <c r="AP320" i="21" s="1"/>
  <c r="AM320" i="21"/>
  <c r="AK320" i="21"/>
  <c r="AL320" i="21" s="1"/>
  <c r="AG320" i="21"/>
  <c r="AH320" i="21" s="1"/>
  <c r="AE320" i="21"/>
  <c r="AC320" i="21"/>
  <c r="AD320" i="21" s="1"/>
  <c r="AA320" i="21"/>
  <c r="AB320" i="21" s="1"/>
  <c r="W320" i="21"/>
  <c r="U320" i="21"/>
  <c r="V320" i="21" s="1"/>
  <c r="S320" i="21"/>
  <c r="Q320" i="21"/>
  <c r="R320" i="21" s="1"/>
  <c r="P320" i="21"/>
  <c r="O320" i="21"/>
  <c r="N320" i="21"/>
  <c r="M320" i="21"/>
  <c r="L320" i="21"/>
  <c r="K320" i="21"/>
  <c r="J320" i="21"/>
  <c r="I320" i="21"/>
  <c r="H320" i="21"/>
  <c r="G320" i="21"/>
  <c r="F320" i="21"/>
  <c r="E320" i="21"/>
  <c r="D320" i="21"/>
  <c r="C320" i="21"/>
  <c r="B320" i="21"/>
  <c r="A320" i="21"/>
  <c r="BG319" i="21"/>
  <c r="BH319" i="21" s="1"/>
  <c r="BE319" i="21"/>
  <c r="BF319" i="21" s="1"/>
  <c r="AW319" i="21"/>
  <c r="AX319" i="21" s="1"/>
  <c r="AU319" i="21"/>
  <c r="AV319" i="21" s="1"/>
  <c r="AS319" i="21"/>
  <c r="AT319" i="21" s="1"/>
  <c r="AQ319" i="21"/>
  <c r="AO319" i="21"/>
  <c r="AP319" i="21" s="1"/>
  <c r="AM319" i="21"/>
  <c r="AN319" i="21" s="1"/>
  <c r="AK319" i="21"/>
  <c r="AG319" i="21"/>
  <c r="AH319" i="21" s="1"/>
  <c r="AE319" i="21"/>
  <c r="AC319" i="21"/>
  <c r="AA319" i="21"/>
  <c r="AB319" i="21" s="1"/>
  <c r="W319" i="21"/>
  <c r="X319" i="21" s="1"/>
  <c r="U319" i="21"/>
  <c r="V319" i="21" s="1"/>
  <c r="S319" i="21"/>
  <c r="T319" i="21" s="1"/>
  <c r="Q319" i="21"/>
  <c r="R319" i="21" s="1"/>
  <c r="P319" i="21"/>
  <c r="O319" i="21"/>
  <c r="N319" i="21"/>
  <c r="M319" i="21"/>
  <c r="L319" i="21"/>
  <c r="K319" i="21"/>
  <c r="J319" i="21"/>
  <c r="I319" i="21"/>
  <c r="H319" i="21"/>
  <c r="G319" i="21"/>
  <c r="F319" i="21"/>
  <c r="E319" i="21"/>
  <c r="D319" i="21"/>
  <c r="C319" i="21"/>
  <c r="B319" i="21"/>
  <c r="A319" i="21"/>
  <c r="BG318" i="21"/>
  <c r="BH318" i="21" s="1"/>
  <c r="BE318" i="21"/>
  <c r="AW318" i="21"/>
  <c r="AX318" i="21" s="1"/>
  <c r="AU318" i="21"/>
  <c r="AV318" i="21" s="1"/>
  <c r="AS318" i="21"/>
  <c r="AT318" i="21" s="1"/>
  <c r="AQ318" i="21"/>
  <c r="AR318" i="21" s="1"/>
  <c r="AO318" i="21"/>
  <c r="AP318" i="21" s="1"/>
  <c r="AM318" i="21"/>
  <c r="AN318" i="21" s="1"/>
  <c r="AK318" i="21"/>
  <c r="AG318" i="21"/>
  <c r="AE318" i="21"/>
  <c r="AF318" i="21" s="1"/>
  <c r="AC318" i="21"/>
  <c r="AD318" i="21" s="1"/>
  <c r="AA318" i="21"/>
  <c r="AB318" i="21" s="1"/>
  <c r="W318" i="21"/>
  <c r="X318" i="21" s="1"/>
  <c r="U318" i="21"/>
  <c r="V318" i="21" s="1"/>
  <c r="S318" i="21"/>
  <c r="Q318" i="21"/>
  <c r="R318" i="21" s="1"/>
  <c r="P318" i="21"/>
  <c r="O318" i="21"/>
  <c r="N318" i="21"/>
  <c r="M318" i="21"/>
  <c r="L318" i="21"/>
  <c r="K318" i="21"/>
  <c r="J318" i="21"/>
  <c r="I318" i="21"/>
  <c r="H318" i="21"/>
  <c r="G318" i="21"/>
  <c r="F318" i="21"/>
  <c r="E318" i="21"/>
  <c r="D318" i="21"/>
  <c r="C318" i="21"/>
  <c r="B318" i="21"/>
  <c r="A318" i="21"/>
  <c r="BG317" i="21"/>
  <c r="BH317" i="21" s="1"/>
  <c r="BE317" i="21"/>
  <c r="BF317" i="21" s="1"/>
  <c r="AW317" i="21"/>
  <c r="AX317" i="21" s="1"/>
  <c r="AU317" i="21"/>
  <c r="AV317" i="21" s="1"/>
  <c r="AS317" i="21"/>
  <c r="AQ317" i="21"/>
  <c r="AR317" i="21" s="1"/>
  <c r="AO317" i="21"/>
  <c r="AP317" i="21" s="1"/>
  <c r="AM317" i="21"/>
  <c r="AK317" i="21"/>
  <c r="AL317" i="21" s="1"/>
  <c r="AG317" i="21"/>
  <c r="AE317" i="21"/>
  <c r="AF317" i="21" s="1"/>
  <c r="AC317" i="21"/>
  <c r="AD317" i="21" s="1"/>
  <c r="AA317" i="21"/>
  <c r="AB317" i="21" s="1"/>
  <c r="W317" i="21"/>
  <c r="X317" i="21" s="1"/>
  <c r="U317" i="21"/>
  <c r="V317" i="21" s="1"/>
  <c r="S317" i="21"/>
  <c r="T317" i="21" s="1"/>
  <c r="Q317" i="21"/>
  <c r="R317" i="21" s="1"/>
  <c r="P317" i="21"/>
  <c r="O317" i="21"/>
  <c r="N317" i="21"/>
  <c r="M317" i="21"/>
  <c r="L317" i="21"/>
  <c r="K317" i="21"/>
  <c r="J317" i="21"/>
  <c r="I317" i="21"/>
  <c r="H317" i="21"/>
  <c r="G317" i="21"/>
  <c r="F317" i="21"/>
  <c r="E317" i="21"/>
  <c r="D317" i="21"/>
  <c r="C317" i="21"/>
  <c r="B317" i="21"/>
  <c r="A317" i="21"/>
  <c r="BG316" i="21"/>
  <c r="BH316" i="21" s="1"/>
  <c r="BE316" i="21"/>
  <c r="BF316" i="21" s="1"/>
  <c r="AW316" i="21"/>
  <c r="AX316" i="21" s="1"/>
  <c r="AU316" i="21"/>
  <c r="AV316" i="21" s="1"/>
  <c r="AS316" i="21"/>
  <c r="AT316" i="21" s="1"/>
  <c r="AQ316" i="21"/>
  <c r="AO316" i="21"/>
  <c r="AP316" i="21" s="1"/>
  <c r="AM316" i="21"/>
  <c r="AK316" i="21"/>
  <c r="AL316" i="21" s="1"/>
  <c r="AG316" i="21"/>
  <c r="AH316" i="21" s="1"/>
  <c r="AE316" i="21"/>
  <c r="AF316" i="21" s="1"/>
  <c r="AC316" i="21"/>
  <c r="AD316" i="21" s="1"/>
  <c r="AA316" i="21"/>
  <c r="AB316" i="21" s="1"/>
  <c r="W316" i="21"/>
  <c r="X316" i="21" s="1"/>
  <c r="U316" i="21"/>
  <c r="V316" i="21" s="1"/>
  <c r="S316" i="21"/>
  <c r="Q316" i="21"/>
  <c r="R316" i="21" s="1"/>
  <c r="P316" i="21"/>
  <c r="O316" i="21"/>
  <c r="N316" i="21"/>
  <c r="M316" i="21"/>
  <c r="L316" i="21"/>
  <c r="K316" i="21"/>
  <c r="J316" i="21"/>
  <c r="I316" i="21"/>
  <c r="H316" i="21"/>
  <c r="G316" i="21"/>
  <c r="F316" i="21"/>
  <c r="E316" i="21"/>
  <c r="D316" i="21"/>
  <c r="C316" i="21"/>
  <c r="B316" i="21"/>
  <c r="A316" i="21"/>
  <c r="BG315" i="21"/>
  <c r="BH315" i="21" s="1"/>
  <c r="BE315" i="21"/>
  <c r="BF315" i="21" s="1"/>
  <c r="AW315" i="21"/>
  <c r="AU315" i="21"/>
  <c r="AS315" i="21"/>
  <c r="AT315" i="21" s="1"/>
  <c r="AQ315" i="21"/>
  <c r="AR315" i="21" s="1"/>
  <c r="AO315" i="21"/>
  <c r="AP315" i="21" s="1"/>
  <c r="AM315" i="21"/>
  <c r="AN315" i="21" s="1"/>
  <c r="AK315" i="21"/>
  <c r="AL315" i="21" s="1"/>
  <c r="AG315" i="21"/>
  <c r="AH315" i="21" s="1"/>
  <c r="AE315" i="21"/>
  <c r="AF315" i="21" s="1"/>
  <c r="AC315" i="21"/>
  <c r="AD315" i="21" s="1"/>
  <c r="AA315" i="21"/>
  <c r="AB315" i="21" s="1"/>
  <c r="W315" i="21"/>
  <c r="X315" i="21" s="1"/>
  <c r="U315" i="21"/>
  <c r="V315" i="21" s="1"/>
  <c r="S315" i="21"/>
  <c r="T315" i="21" s="1"/>
  <c r="Q315" i="21"/>
  <c r="P315" i="21"/>
  <c r="O315" i="21"/>
  <c r="N315" i="21"/>
  <c r="M315" i="21"/>
  <c r="L315" i="21"/>
  <c r="K315" i="21"/>
  <c r="J315" i="21"/>
  <c r="I315" i="21"/>
  <c r="H315" i="21"/>
  <c r="G315" i="21"/>
  <c r="F315" i="21"/>
  <c r="E315" i="21"/>
  <c r="D315" i="21"/>
  <c r="C315" i="21"/>
  <c r="B315" i="21"/>
  <c r="A315" i="21"/>
  <c r="BG314" i="21"/>
  <c r="BH314" i="21" s="1"/>
  <c r="BE314" i="21"/>
  <c r="BF314" i="21" s="1"/>
  <c r="AW314" i="21"/>
  <c r="AX314" i="21" s="1"/>
  <c r="AU314" i="21"/>
  <c r="AV314" i="21" s="1"/>
  <c r="AS314" i="21"/>
  <c r="AT314" i="21" s="1"/>
  <c r="AQ314" i="21"/>
  <c r="AR314" i="21" s="1"/>
  <c r="AO314" i="21"/>
  <c r="AP314" i="21" s="1"/>
  <c r="AM314" i="21"/>
  <c r="AN314" i="21" s="1"/>
  <c r="AK314" i="21"/>
  <c r="AL314" i="21" s="1"/>
  <c r="AG314" i="21"/>
  <c r="AH314" i="21" s="1"/>
  <c r="AE314" i="21"/>
  <c r="AF314" i="21" s="1"/>
  <c r="AC314" i="21"/>
  <c r="AD314" i="21" s="1"/>
  <c r="AA314" i="21"/>
  <c r="AB314" i="21" s="1"/>
  <c r="W314" i="21"/>
  <c r="X314" i="21" s="1"/>
  <c r="U314" i="21"/>
  <c r="S314" i="21"/>
  <c r="Q314" i="21"/>
  <c r="R314" i="21" s="1"/>
  <c r="P314" i="21"/>
  <c r="O314" i="21"/>
  <c r="N314" i="21"/>
  <c r="M314" i="21"/>
  <c r="L314" i="21"/>
  <c r="K314" i="21"/>
  <c r="J314" i="21"/>
  <c r="I314" i="21"/>
  <c r="H314" i="21"/>
  <c r="G314" i="21"/>
  <c r="F314" i="21"/>
  <c r="E314" i="21"/>
  <c r="D314" i="21"/>
  <c r="C314" i="21"/>
  <c r="B314" i="21"/>
  <c r="A314" i="21"/>
  <c r="BG313" i="21"/>
  <c r="BE313" i="21"/>
  <c r="BF313" i="21" s="1"/>
  <c r="AW313" i="21"/>
  <c r="AX313" i="21" s="1"/>
  <c r="AU313" i="21"/>
  <c r="AV313" i="21" s="1"/>
  <c r="AS313" i="21"/>
  <c r="AT313" i="21" s="1"/>
  <c r="AQ313" i="21"/>
  <c r="AR313" i="21" s="1"/>
  <c r="AO313" i="21"/>
  <c r="AP313" i="21" s="1"/>
  <c r="AM313" i="21"/>
  <c r="AN313" i="21" s="1"/>
  <c r="AK313" i="21"/>
  <c r="AL313" i="21" s="1"/>
  <c r="AG313" i="21"/>
  <c r="AE313" i="21"/>
  <c r="AF313" i="21" s="1"/>
  <c r="AC313" i="21"/>
  <c r="AD313" i="21" s="1"/>
  <c r="AA313" i="21"/>
  <c r="W313" i="21"/>
  <c r="X313" i="21" s="1"/>
  <c r="U313" i="21"/>
  <c r="V313" i="21" s="1"/>
  <c r="S313" i="21"/>
  <c r="Q313" i="21"/>
  <c r="R313" i="21" s="1"/>
  <c r="P313" i="21"/>
  <c r="O313" i="21"/>
  <c r="N313" i="21"/>
  <c r="M313" i="21"/>
  <c r="L313" i="21"/>
  <c r="K313" i="21"/>
  <c r="J313" i="21"/>
  <c r="I313" i="21"/>
  <c r="H313" i="21"/>
  <c r="G313" i="21"/>
  <c r="F313" i="21"/>
  <c r="E313" i="21"/>
  <c r="D313" i="21"/>
  <c r="C313" i="21"/>
  <c r="B313" i="21"/>
  <c r="A313" i="21"/>
  <c r="BG312" i="21"/>
  <c r="BE312" i="21"/>
  <c r="BF312" i="21" s="1"/>
  <c r="AW312" i="21"/>
  <c r="AX312" i="21" s="1"/>
  <c r="AU312" i="21"/>
  <c r="AV312" i="21" s="1"/>
  <c r="AS312" i="21"/>
  <c r="AT312" i="21" s="1"/>
  <c r="AQ312" i="21"/>
  <c r="AR312" i="21" s="1"/>
  <c r="AO312" i="21"/>
  <c r="AP312" i="21" s="1"/>
  <c r="AM312" i="21"/>
  <c r="AK312" i="21"/>
  <c r="AL312" i="21" s="1"/>
  <c r="AG312" i="21"/>
  <c r="AH312" i="21" s="1"/>
  <c r="AE312" i="21"/>
  <c r="AC312" i="21"/>
  <c r="AD312" i="21" s="1"/>
  <c r="AA312" i="21"/>
  <c r="W312" i="21"/>
  <c r="U312" i="21"/>
  <c r="V312" i="21" s="1"/>
  <c r="S312" i="21"/>
  <c r="T312" i="21" s="1"/>
  <c r="Q312" i="21"/>
  <c r="R312" i="21" s="1"/>
  <c r="P312" i="21"/>
  <c r="O312" i="21"/>
  <c r="N312" i="21"/>
  <c r="M312" i="21"/>
  <c r="L312" i="21"/>
  <c r="K312" i="21"/>
  <c r="J312" i="21"/>
  <c r="I312" i="21"/>
  <c r="H312" i="21"/>
  <c r="G312" i="21"/>
  <c r="F312" i="21"/>
  <c r="E312" i="21"/>
  <c r="D312" i="21"/>
  <c r="C312" i="21"/>
  <c r="B312" i="21"/>
  <c r="A312" i="21"/>
  <c r="BG311" i="21"/>
  <c r="BH311" i="21" s="1"/>
  <c r="BE311" i="21"/>
  <c r="BF311" i="21" s="1"/>
  <c r="AW311" i="21"/>
  <c r="AU311" i="21"/>
  <c r="AV311" i="21" s="1"/>
  <c r="AS311" i="21"/>
  <c r="AT311" i="21" s="1"/>
  <c r="AQ311" i="21"/>
  <c r="AR311" i="21" s="1"/>
  <c r="AO311" i="21"/>
  <c r="AP311" i="21" s="1"/>
  <c r="AM311" i="21"/>
  <c r="AK311" i="21"/>
  <c r="AL311" i="21" s="1"/>
  <c r="AG311" i="21"/>
  <c r="AH311" i="21" s="1"/>
  <c r="AE311" i="21"/>
  <c r="AC311" i="21"/>
  <c r="AA311" i="21"/>
  <c r="AB311" i="21" s="1"/>
  <c r="W311" i="21"/>
  <c r="X311" i="21" s="1"/>
  <c r="U311" i="21"/>
  <c r="V311" i="21" s="1"/>
  <c r="S311" i="21"/>
  <c r="T311" i="21" s="1"/>
  <c r="Q311" i="21"/>
  <c r="R311" i="21" s="1"/>
  <c r="P311" i="21"/>
  <c r="O311" i="21"/>
  <c r="N311" i="21"/>
  <c r="M311" i="21"/>
  <c r="L311" i="21"/>
  <c r="K311" i="21"/>
  <c r="J311" i="21"/>
  <c r="I311" i="21"/>
  <c r="H311" i="21"/>
  <c r="G311" i="21"/>
  <c r="F311" i="21"/>
  <c r="E311" i="21"/>
  <c r="D311" i="21"/>
  <c r="C311" i="21"/>
  <c r="B311" i="21"/>
  <c r="A311" i="21"/>
  <c r="BG310" i="21"/>
  <c r="BE310" i="21"/>
  <c r="BF310" i="21" s="1"/>
  <c r="AW310" i="21"/>
  <c r="AX310" i="21" s="1"/>
  <c r="AU310" i="21"/>
  <c r="AS310" i="21"/>
  <c r="AT310" i="21" s="1"/>
  <c r="AQ310" i="21"/>
  <c r="AR310" i="21" s="1"/>
  <c r="AO310" i="21"/>
  <c r="AP310" i="21" s="1"/>
  <c r="AM310" i="21"/>
  <c r="AN310" i="21" s="1"/>
  <c r="AK310" i="21"/>
  <c r="AL310" i="21" s="1"/>
  <c r="AG310" i="21"/>
  <c r="AE310" i="21"/>
  <c r="AF310" i="21" s="1"/>
  <c r="AC310" i="21"/>
  <c r="AA310" i="21"/>
  <c r="AB310" i="21" s="1"/>
  <c r="W310" i="21"/>
  <c r="X310" i="21" s="1"/>
  <c r="U310" i="21"/>
  <c r="V310" i="21" s="1"/>
  <c r="S310" i="21"/>
  <c r="T310" i="21" s="1"/>
  <c r="Q310" i="21"/>
  <c r="R310" i="21" s="1"/>
  <c r="P310" i="21"/>
  <c r="O310" i="21"/>
  <c r="N310" i="21"/>
  <c r="M310" i="21"/>
  <c r="L310" i="21"/>
  <c r="K310" i="21"/>
  <c r="J310" i="21"/>
  <c r="I310" i="21"/>
  <c r="H310" i="21"/>
  <c r="G310" i="21"/>
  <c r="F310" i="21"/>
  <c r="E310" i="21"/>
  <c r="D310" i="21"/>
  <c r="C310" i="21"/>
  <c r="B310" i="21"/>
  <c r="A310" i="21"/>
  <c r="BG309" i="21"/>
  <c r="BH309" i="21" s="1"/>
  <c r="BE309" i="21"/>
  <c r="BF309" i="21" s="1"/>
  <c r="AW309" i="21"/>
  <c r="AX309" i="21" s="1"/>
  <c r="AU309" i="21"/>
  <c r="AV309" i="21" s="1"/>
  <c r="AS309" i="21"/>
  <c r="AT309" i="21" s="1"/>
  <c r="AQ309" i="21"/>
  <c r="AO309" i="21"/>
  <c r="AP309" i="21" s="1"/>
  <c r="AM309" i="21"/>
  <c r="AK309" i="21"/>
  <c r="AL309" i="21" s="1"/>
  <c r="AG309" i="21"/>
  <c r="AE309" i="21"/>
  <c r="AF309" i="21" s="1"/>
  <c r="AC309" i="21"/>
  <c r="AD309" i="21" s="1"/>
  <c r="AA309" i="21"/>
  <c r="AB309" i="21" s="1"/>
  <c r="W309" i="21"/>
  <c r="X309" i="21" s="1"/>
  <c r="U309" i="21"/>
  <c r="V309" i="21" s="1"/>
  <c r="S309" i="21"/>
  <c r="T309" i="21" s="1"/>
  <c r="Q309" i="21"/>
  <c r="R309" i="21" s="1"/>
  <c r="P309" i="21"/>
  <c r="O309" i="21"/>
  <c r="N309" i="21"/>
  <c r="M309" i="21"/>
  <c r="L309" i="21"/>
  <c r="K309" i="21"/>
  <c r="J309" i="21"/>
  <c r="I309" i="21"/>
  <c r="H309" i="21"/>
  <c r="G309" i="21"/>
  <c r="F309" i="21"/>
  <c r="E309" i="21"/>
  <c r="D309" i="21"/>
  <c r="C309" i="21"/>
  <c r="B309" i="21"/>
  <c r="A309" i="21"/>
  <c r="BG308" i="21"/>
  <c r="BE308" i="21"/>
  <c r="BF308" i="21" s="1"/>
  <c r="AW308" i="21"/>
  <c r="AX308" i="21" s="1"/>
  <c r="AU308" i="21"/>
  <c r="AV308" i="21" s="1"/>
  <c r="AS308" i="21"/>
  <c r="AQ308" i="21"/>
  <c r="AO308" i="21"/>
  <c r="AP308" i="21" s="1"/>
  <c r="AM308" i="21"/>
  <c r="AN308" i="21" s="1"/>
  <c r="AK308" i="21"/>
  <c r="AL308" i="21" s="1"/>
  <c r="AG308" i="21"/>
  <c r="AH308" i="21" s="1"/>
  <c r="AE308" i="21"/>
  <c r="AF308" i="21" s="1"/>
  <c r="AC308" i="21"/>
  <c r="AD308" i="21" s="1"/>
  <c r="AA308" i="21"/>
  <c r="AB308" i="21" s="1"/>
  <c r="W308" i="21"/>
  <c r="X308" i="21" s="1"/>
  <c r="U308" i="21"/>
  <c r="V308" i="21" s="1"/>
  <c r="S308" i="21"/>
  <c r="T308" i="21" s="1"/>
  <c r="Q308" i="21"/>
  <c r="R308" i="21" s="1"/>
  <c r="P308" i="21"/>
  <c r="O308" i="21"/>
  <c r="N308" i="21"/>
  <c r="M308" i="21"/>
  <c r="L308" i="21"/>
  <c r="K308" i="21"/>
  <c r="J308" i="21"/>
  <c r="I308" i="21"/>
  <c r="H308" i="21"/>
  <c r="G308" i="21"/>
  <c r="F308" i="21"/>
  <c r="E308" i="21"/>
  <c r="D308" i="21"/>
  <c r="C308" i="21"/>
  <c r="B308" i="21"/>
  <c r="A308" i="21"/>
  <c r="BG307" i="21"/>
  <c r="BH307" i="21" s="1"/>
  <c r="BE307" i="21"/>
  <c r="AW307" i="21"/>
  <c r="AX307" i="21" s="1"/>
  <c r="AU307" i="21"/>
  <c r="AS307" i="21"/>
  <c r="AT307" i="21" s="1"/>
  <c r="AQ307" i="21"/>
  <c r="AR307" i="21" s="1"/>
  <c r="AO307" i="21"/>
  <c r="AP307" i="21" s="1"/>
  <c r="AM307" i="21"/>
  <c r="AN307" i="21" s="1"/>
  <c r="AK307" i="21"/>
  <c r="AG307" i="21"/>
  <c r="AH307" i="21" s="1"/>
  <c r="AE307" i="21"/>
  <c r="AF307" i="21" s="1"/>
  <c r="AC307" i="21"/>
  <c r="AD307" i="21" s="1"/>
  <c r="AA307" i="21"/>
  <c r="AB307" i="21" s="1"/>
  <c r="W307" i="21"/>
  <c r="X307" i="21" s="1"/>
  <c r="U307" i="21"/>
  <c r="S307" i="21"/>
  <c r="T307" i="21" s="1"/>
  <c r="Q307" i="21"/>
  <c r="R307" i="21" s="1"/>
  <c r="P307" i="21"/>
  <c r="O307" i="21"/>
  <c r="N307" i="21"/>
  <c r="M307" i="21"/>
  <c r="L307" i="21"/>
  <c r="K307" i="21"/>
  <c r="J307" i="21"/>
  <c r="I307" i="21"/>
  <c r="H307" i="21"/>
  <c r="G307" i="21"/>
  <c r="F307" i="21"/>
  <c r="E307" i="21"/>
  <c r="D307" i="21"/>
  <c r="C307" i="21"/>
  <c r="B307" i="21"/>
  <c r="A307" i="21"/>
  <c r="BG306" i="21"/>
  <c r="BH306" i="21" s="1"/>
  <c r="BE306" i="21"/>
  <c r="BF306" i="21" s="1"/>
  <c r="AW306" i="21"/>
  <c r="AX306" i="21" s="1"/>
  <c r="AU306" i="21"/>
  <c r="AS306" i="21"/>
  <c r="AT306" i="21" s="1"/>
  <c r="AQ306" i="21"/>
  <c r="AR306" i="21" s="1"/>
  <c r="AO306" i="21"/>
  <c r="AP306" i="21" s="1"/>
  <c r="AM306" i="21"/>
  <c r="AN306" i="21" s="1"/>
  <c r="AK306" i="21"/>
  <c r="AL306" i="21" s="1"/>
  <c r="AG306" i="21"/>
  <c r="AH306" i="21" s="1"/>
  <c r="AE306" i="21"/>
  <c r="AF306" i="21" s="1"/>
  <c r="AC306" i="21"/>
  <c r="AA306" i="21"/>
  <c r="AB306" i="21" s="1"/>
  <c r="W306" i="21"/>
  <c r="X306" i="21" s="1"/>
  <c r="U306" i="21"/>
  <c r="V306" i="21" s="1"/>
  <c r="S306" i="21"/>
  <c r="T306" i="21" s="1"/>
  <c r="Q306" i="21"/>
  <c r="R306" i="21" s="1"/>
  <c r="P306" i="21"/>
  <c r="O306" i="21"/>
  <c r="N306" i="21"/>
  <c r="M306" i="21"/>
  <c r="L306" i="21"/>
  <c r="K306" i="21"/>
  <c r="J306" i="21"/>
  <c r="I306" i="21"/>
  <c r="H306" i="21"/>
  <c r="G306" i="21"/>
  <c r="F306" i="21"/>
  <c r="E306" i="21"/>
  <c r="D306" i="21"/>
  <c r="C306" i="21"/>
  <c r="B306" i="21"/>
  <c r="A306" i="21"/>
  <c r="BG305" i="21"/>
  <c r="BE305" i="21"/>
  <c r="BF305" i="21" s="1"/>
  <c r="AW305" i="21"/>
  <c r="AX305" i="21" s="1"/>
  <c r="AU305" i="21"/>
  <c r="AV305" i="21" s="1"/>
  <c r="AS305" i="21"/>
  <c r="AT305" i="21" s="1"/>
  <c r="AQ305" i="21"/>
  <c r="AR305" i="21" s="1"/>
  <c r="AO305" i="21"/>
  <c r="AP305" i="21" s="1"/>
  <c r="AM305" i="21"/>
  <c r="AN305" i="21" s="1"/>
  <c r="AK305" i="21"/>
  <c r="AL305" i="21" s="1"/>
  <c r="AG305" i="21"/>
  <c r="AE305" i="21"/>
  <c r="AF305" i="21" s="1"/>
  <c r="AC305" i="21"/>
  <c r="AD305" i="21" s="1"/>
  <c r="AA305" i="21"/>
  <c r="W305" i="21"/>
  <c r="X305" i="21" s="1"/>
  <c r="U305" i="21"/>
  <c r="S305" i="21"/>
  <c r="Q305" i="21"/>
  <c r="R305" i="21" s="1"/>
  <c r="P305" i="21"/>
  <c r="O305" i="21"/>
  <c r="N305" i="21"/>
  <c r="M305" i="21"/>
  <c r="L305" i="21"/>
  <c r="K305" i="21"/>
  <c r="J305" i="21"/>
  <c r="I305" i="21"/>
  <c r="H305" i="21"/>
  <c r="G305" i="21"/>
  <c r="F305" i="21"/>
  <c r="E305" i="21"/>
  <c r="D305" i="21"/>
  <c r="C305" i="21"/>
  <c r="B305" i="21"/>
  <c r="A305" i="21"/>
  <c r="BG304" i="21"/>
  <c r="BH304" i="21" s="1"/>
  <c r="BE304" i="21"/>
  <c r="BF304" i="21" s="1"/>
  <c r="AW304" i="21"/>
  <c r="AX304" i="21" s="1"/>
  <c r="AU304" i="21"/>
  <c r="AV304" i="21" s="1"/>
  <c r="AS304" i="21"/>
  <c r="AQ304" i="21"/>
  <c r="AR304" i="21" s="1"/>
  <c r="AO304" i="21"/>
  <c r="AP304" i="21" s="1"/>
  <c r="AM304" i="21"/>
  <c r="AK304" i="21"/>
  <c r="AL304" i="21" s="1"/>
  <c r="AG304" i="21"/>
  <c r="AH304" i="21" s="1"/>
  <c r="AE304" i="21"/>
  <c r="AC304" i="21"/>
  <c r="AD304" i="21" s="1"/>
  <c r="AA304" i="21"/>
  <c r="W304" i="21"/>
  <c r="U304" i="21"/>
  <c r="V304" i="21" s="1"/>
  <c r="S304" i="21"/>
  <c r="T304" i="21" s="1"/>
  <c r="Q304" i="21"/>
  <c r="R304" i="21" s="1"/>
  <c r="P304" i="21"/>
  <c r="O304" i="21"/>
  <c r="N304" i="21"/>
  <c r="M304" i="21"/>
  <c r="L304" i="21"/>
  <c r="K304" i="21"/>
  <c r="J304" i="21"/>
  <c r="I304" i="21"/>
  <c r="H304" i="21"/>
  <c r="G304" i="21"/>
  <c r="F304" i="21"/>
  <c r="E304" i="21"/>
  <c r="D304" i="21"/>
  <c r="C304" i="21"/>
  <c r="B304" i="21"/>
  <c r="A304" i="21"/>
  <c r="BG303" i="21"/>
  <c r="BE303" i="21"/>
  <c r="BF303" i="21" s="1"/>
  <c r="AW303" i="21"/>
  <c r="AX303" i="21" s="1"/>
  <c r="AU303" i="21"/>
  <c r="AV303" i="21" s="1"/>
  <c r="AS303" i="21"/>
  <c r="AT303" i="21" s="1"/>
  <c r="AQ303" i="21"/>
  <c r="AR303" i="21" s="1"/>
  <c r="AO303" i="21"/>
  <c r="AM303" i="21"/>
  <c r="AN303" i="21" s="1"/>
  <c r="AK303" i="21"/>
  <c r="AL303" i="21" s="1"/>
  <c r="AG303" i="21"/>
  <c r="AH303" i="21" s="1"/>
  <c r="AE303" i="21"/>
  <c r="AF303" i="21" s="1"/>
  <c r="AC303" i="21"/>
  <c r="AA303" i="21"/>
  <c r="AB303" i="21" s="1"/>
  <c r="W303" i="21"/>
  <c r="U303" i="21"/>
  <c r="V303" i="21" s="1"/>
  <c r="S303" i="21"/>
  <c r="Q303" i="21"/>
  <c r="R303" i="21" s="1"/>
  <c r="P303" i="21"/>
  <c r="O303" i="21"/>
  <c r="N303" i="21"/>
  <c r="M303" i="21"/>
  <c r="L303" i="21"/>
  <c r="K303" i="21"/>
  <c r="J303" i="21"/>
  <c r="I303" i="21"/>
  <c r="H303" i="21"/>
  <c r="G303" i="21"/>
  <c r="F303" i="21"/>
  <c r="E303" i="21"/>
  <c r="D303" i="21"/>
  <c r="C303" i="21"/>
  <c r="B303" i="21"/>
  <c r="A303" i="21"/>
  <c r="BG302" i="21"/>
  <c r="BH302" i="21" s="1"/>
  <c r="BE302" i="21"/>
  <c r="AW302" i="21"/>
  <c r="AX302" i="21" s="1"/>
  <c r="AU302" i="21"/>
  <c r="AV302" i="21" s="1"/>
  <c r="AS302" i="21"/>
  <c r="AT302" i="21" s="1"/>
  <c r="AQ302" i="21"/>
  <c r="AR302" i="21" s="1"/>
  <c r="AO302" i="21"/>
  <c r="AP302" i="21" s="1"/>
  <c r="AM302" i="21"/>
  <c r="AN302" i="21" s="1"/>
  <c r="AK302" i="21"/>
  <c r="AG302" i="21"/>
  <c r="AE302" i="21"/>
  <c r="AF302" i="21" s="1"/>
  <c r="AC302" i="21"/>
  <c r="AA302" i="21"/>
  <c r="AB302" i="21" s="1"/>
  <c r="W302" i="21"/>
  <c r="X302" i="21" s="1"/>
  <c r="U302" i="21"/>
  <c r="S302" i="21"/>
  <c r="Q302" i="21"/>
  <c r="R302" i="21" s="1"/>
  <c r="P302" i="21"/>
  <c r="O302" i="21"/>
  <c r="N302" i="21"/>
  <c r="M302" i="21"/>
  <c r="L302" i="21"/>
  <c r="K302" i="21"/>
  <c r="J302" i="21"/>
  <c r="I302" i="21"/>
  <c r="H302" i="21"/>
  <c r="G302" i="21"/>
  <c r="F302" i="21"/>
  <c r="E302" i="21"/>
  <c r="D302" i="21"/>
  <c r="C302" i="21"/>
  <c r="B302" i="21"/>
  <c r="A302" i="21"/>
  <c r="BG301" i="21"/>
  <c r="BH301" i="21" s="1"/>
  <c r="BE301" i="21"/>
  <c r="BF301" i="21" s="1"/>
  <c r="AW301" i="21"/>
  <c r="AX301" i="21" s="1"/>
  <c r="AU301" i="21"/>
  <c r="AS301" i="21"/>
  <c r="AT301" i="21" s="1"/>
  <c r="AQ301" i="21"/>
  <c r="AR301" i="21" s="1"/>
  <c r="AO301" i="21"/>
  <c r="AP301" i="21" s="1"/>
  <c r="AM301" i="21"/>
  <c r="AK301" i="21"/>
  <c r="AL301" i="21" s="1"/>
  <c r="AG301" i="21"/>
  <c r="AH301" i="21" s="1"/>
  <c r="AE301" i="21"/>
  <c r="AC301" i="21"/>
  <c r="AD301" i="21" s="1"/>
  <c r="AA301" i="21"/>
  <c r="AB301" i="21" s="1"/>
  <c r="W301" i="21"/>
  <c r="U301" i="21"/>
  <c r="V301" i="21" s="1"/>
  <c r="S301" i="21"/>
  <c r="Q301" i="21"/>
  <c r="R301" i="21" s="1"/>
  <c r="P301" i="21"/>
  <c r="O301" i="21"/>
  <c r="N301" i="21"/>
  <c r="M301" i="21"/>
  <c r="L301" i="21"/>
  <c r="K301" i="21"/>
  <c r="J301" i="21"/>
  <c r="I301" i="21"/>
  <c r="H301" i="21"/>
  <c r="G301" i="21"/>
  <c r="F301" i="21"/>
  <c r="E301" i="21"/>
  <c r="D301" i="21"/>
  <c r="C301" i="21"/>
  <c r="B301" i="21"/>
  <c r="A301" i="21"/>
  <c r="BG300" i="21"/>
  <c r="BE300" i="21"/>
  <c r="BF300" i="21" s="1"/>
  <c r="AW300" i="21"/>
  <c r="AX300" i="21" s="1"/>
  <c r="AU300" i="21"/>
  <c r="AV300" i="21" s="1"/>
  <c r="AS300" i="21"/>
  <c r="AT300" i="21" s="1"/>
  <c r="AQ300" i="21"/>
  <c r="AR300" i="21" s="1"/>
  <c r="AO300" i="21"/>
  <c r="AP300" i="21" s="1"/>
  <c r="AM300" i="21"/>
  <c r="AN300" i="21" s="1"/>
  <c r="AK300" i="21"/>
  <c r="AL300" i="21" s="1"/>
  <c r="AG300" i="21"/>
  <c r="AH300" i="21" s="1"/>
  <c r="AE300" i="21"/>
  <c r="AC300" i="21"/>
  <c r="AD300" i="21" s="1"/>
  <c r="AA300" i="21"/>
  <c r="AB300" i="21" s="1"/>
  <c r="W300" i="21"/>
  <c r="U300" i="21"/>
  <c r="V300" i="21" s="1"/>
  <c r="S300" i="21"/>
  <c r="T300" i="21" s="1"/>
  <c r="Q300" i="21"/>
  <c r="R300" i="21" s="1"/>
  <c r="P300" i="21"/>
  <c r="O300" i="21"/>
  <c r="N300" i="21"/>
  <c r="M300" i="21"/>
  <c r="L300" i="21"/>
  <c r="K300" i="21"/>
  <c r="J300" i="21"/>
  <c r="I300" i="21"/>
  <c r="H300" i="21"/>
  <c r="G300" i="21"/>
  <c r="F300" i="21"/>
  <c r="E300" i="21"/>
  <c r="D300" i="21"/>
  <c r="C300" i="21"/>
  <c r="B300" i="21"/>
  <c r="A300" i="21"/>
  <c r="BG299" i="21"/>
  <c r="BH299" i="21" s="1"/>
  <c r="BE299" i="21"/>
  <c r="BF299" i="21" s="1"/>
  <c r="AW299" i="21"/>
  <c r="AU299" i="21"/>
  <c r="AV299" i="21" s="1"/>
  <c r="AS299" i="21"/>
  <c r="AT299" i="21" s="1"/>
  <c r="AQ299" i="21"/>
  <c r="AO299" i="21"/>
  <c r="AP299" i="21" s="1"/>
  <c r="AM299" i="21"/>
  <c r="AN299" i="21" s="1"/>
  <c r="AK299" i="21"/>
  <c r="AG299" i="21"/>
  <c r="AH299" i="21" s="1"/>
  <c r="AE299" i="21"/>
  <c r="AC299" i="21"/>
  <c r="AD299" i="21" s="1"/>
  <c r="AA299" i="21"/>
  <c r="AB299" i="21" s="1"/>
  <c r="W299" i="21"/>
  <c r="X299" i="21" s="1"/>
  <c r="U299" i="21"/>
  <c r="V299" i="21" s="1"/>
  <c r="S299" i="21"/>
  <c r="T299" i="21" s="1"/>
  <c r="Q299" i="21"/>
  <c r="P299" i="21"/>
  <c r="O299" i="21"/>
  <c r="N299" i="21"/>
  <c r="M299" i="21"/>
  <c r="L299" i="21"/>
  <c r="K299" i="21"/>
  <c r="J299" i="21"/>
  <c r="I299" i="21"/>
  <c r="H299" i="21"/>
  <c r="G299" i="21"/>
  <c r="F299" i="21"/>
  <c r="E299" i="21"/>
  <c r="D299" i="21"/>
  <c r="C299" i="21"/>
  <c r="B299" i="21"/>
  <c r="A299" i="21"/>
  <c r="BG298" i="21"/>
  <c r="BH298" i="21" s="1"/>
  <c r="BE298" i="21"/>
  <c r="BF298" i="21" s="1"/>
  <c r="AW298" i="21"/>
  <c r="AX298" i="21" s="1"/>
  <c r="AU298" i="21"/>
  <c r="AV298" i="21" s="1"/>
  <c r="AS298" i="21"/>
  <c r="AT298" i="21" s="1"/>
  <c r="AQ298" i="21"/>
  <c r="AR298" i="21" s="1"/>
  <c r="AO298" i="21"/>
  <c r="AM298" i="21"/>
  <c r="AN298" i="21" s="1"/>
  <c r="AK298" i="21"/>
  <c r="AG298" i="21"/>
  <c r="AH298" i="21" s="1"/>
  <c r="AE298" i="21"/>
  <c r="AF298" i="21" s="1"/>
  <c r="AC298" i="21"/>
  <c r="AA298" i="21"/>
  <c r="AB298" i="21" s="1"/>
  <c r="W298" i="21"/>
  <c r="U298" i="21"/>
  <c r="V298" i="21" s="1"/>
  <c r="S298" i="21"/>
  <c r="T298" i="21" s="1"/>
  <c r="Q298" i="21"/>
  <c r="R298" i="21" s="1"/>
  <c r="P298" i="21"/>
  <c r="O298" i="21"/>
  <c r="N298" i="21"/>
  <c r="M298" i="21"/>
  <c r="L298" i="21"/>
  <c r="K298" i="21"/>
  <c r="J298" i="21"/>
  <c r="I298" i="21"/>
  <c r="H298" i="21"/>
  <c r="G298" i="21"/>
  <c r="F298" i="21"/>
  <c r="E298" i="21"/>
  <c r="D298" i="21"/>
  <c r="C298" i="21"/>
  <c r="B298" i="21"/>
  <c r="A298" i="21"/>
  <c r="BG297" i="21"/>
  <c r="BH297" i="21" s="1"/>
  <c r="BE297" i="21"/>
  <c r="BF297" i="21" s="1"/>
  <c r="AW297" i="21"/>
  <c r="AX297" i="21" s="1"/>
  <c r="AU297" i="21"/>
  <c r="AV297" i="21" s="1"/>
  <c r="AS297" i="21"/>
  <c r="AQ297" i="21"/>
  <c r="AO297" i="21"/>
  <c r="AP297" i="21" s="1"/>
  <c r="AM297" i="21"/>
  <c r="AK297" i="21"/>
  <c r="AL297" i="21" s="1"/>
  <c r="AG297" i="21"/>
  <c r="AH297" i="21" s="1"/>
  <c r="AE297" i="21"/>
  <c r="AF297" i="21" s="1"/>
  <c r="AC297" i="21"/>
  <c r="AD297" i="21" s="1"/>
  <c r="AA297" i="21"/>
  <c r="AB297" i="21" s="1"/>
  <c r="W297" i="21"/>
  <c r="X297" i="21" s="1"/>
  <c r="U297" i="21"/>
  <c r="V297" i="21" s="1"/>
  <c r="S297" i="21"/>
  <c r="T297" i="21" s="1"/>
  <c r="Q297" i="21"/>
  <c r="R297" i="21" s="1"/>
  <c r="P297" i="21"/>
  <c r="O297" i="21"/>
  <c r="N297" i="21"/>
  <c r="M297" i="21"/>
  <c r="L297" i="21"/>
  <c r="K297" i="21"/>
  <c r="J297" i="21"/>
  <c r="I297" i="21"/>
  <c r="H297" i="21"/>
  <c r="G297" i="21"/>
  <c r="F297" i="21"/>
  <c r="E297" i="21"/>
  <c r="D297" i="21"/>
  <c r="C297" i="21"/>
  <c r="B297" i="21"/>
  <c r="A297" i="21"/>
  <c r="BG296" i="21"/>
  <c r="BH296" i="21" s="1"/>
  <c r="BE296" i="21"/>
  <c r="BF296" i="21" s="1"/>
  <c r="AW296" i="21"/>
  <c r="AX296" i="21" s="1"/>
  <c r="AU296" i="21"/>
  <c r="AV296" i="21" s="1"/>
  <c r="AS296" i="21"/>
  <c r="AT296" i="21" s="1"/>
  <c r="AQ296" i="21"/>
  <c r="AR296" i="21" s="1"/>
  <c r="AO296" i="21"/>
  <c r="AP296" i="21" s="1"/>
  <c r="AM296" i="21"/>
  <c r="AK296" i="21"/>
  <c r="AL296" i="21" s="1"/>
  <c r="AG296" i="21"/>
  <c r="AE296" i="21"/>
  <c r="AF296" i="21" s="1"/>
  <c r="AC296" i="21"/>
  <c r="AD296" i="21" s="1"/>
  <c r="AA296" i="21"/>
  <c r="AB296" i="21" s="1"/>
  <c r="W296" i="21"/>
  <c r="U296" i="21"/>
  <c r="V296" i="21" s="1"/>
  <c r="S296" i="21"/>
  <c r="Q296" i="21"/>
  <c r="R296" i="21" s="1"/>
  <c r="P296" i="21"/>
  <c r="O296" i="21"/>
  <c r="N296" i="21"/>
  <c r="M296" i="21"/>
  <c r="L296" i="21"/>
  <c r="K296" i="21"/>
  <c r="J296" i="21"/>
  <c r="I296" i="21"/>
  <c r="H296" i="21"/>
  <c r="G296" i="21"/>
  <c r="F296" i="21"/>
  <c r="E296" i="21"/>
  <c r="D296" i="21"/>
  <c r="C296" i="21"/>
  <c r="B296" i="21"/>
  <c r="A296" i="21"/>
  <c r="BG295" i="21"/>
  <c r="BH295" i="21" s="1"/>
  <c r="BE295" i="21"/>
  <c r="BF295" i="21" s="1"/>
  <c r="AW295" i="21"/>
  <c r="AX295" i="21" s="1"/>
  <c r="AU295" i="21"/>
  <c r="AV295" i="21" s="1"/>
  <c r="AS295" i="21"/>
  <c r="AT295" i="21" s="1"/>
  <c r="AQ295" i="21"/>
  <c r="AO295" i="21"/>
  <c r="AP295" i="21" s="1"/>
  <c r="AM295" i="21"/>
  <c r="AN295" i="21" s="1"/>
  <c r="AK295" i="21"/>
  <c r="AL295" i="21" s="1"/>
  <c r="AG295" i="21"/>
  <c r="AE295" i="21"/>
  <c r="AF295" i="21" s="1"/>
  <c r="AC295" i="21"/>
  <c r="AD295" i="21" s="1"/>
  <c r="AA295" i="21"/>
  <c r="W295" i="21"/>
  <c r="X295" i="21" s="1"/>
  <c r="U295" i="21"/>
  <c r="S295" i="21"/>
  <c r="T295" i="21" s="1"/>
  <c r="Q295" i="21"/>
  <c r="R295" i="21" s="1"/>
  <c r="P295" i="21"/>
  <c r="O295" i="21"/>
  <c r="N295" i="21"/>
  <c r="M295" i="21"/>
  <c r="L295" i="21"/>
  <c r="K295" i="21"/>
  <c r="J295" i="21"/>
  <c r="I295" i="21"/>
  <c r="H295" i="21"/>
  <c r="G295" i="21"/>
  <c r="F295" i="21"/>
  <c r="E295" i="21"/>
  <c r="D295" i="21"/>
  <c r="C295" i="21"/>
  <c r="B295" i="21"/>
  <c r="A295" i="21"/>
  <c r="BG294" i="21"/>
  <c r="BE294" i="21"/>
  <c r="BF294" i="21" s="1"/>
  <c r="AW294" i="21"/>
  <c r="AU294" i="21"/>
  <c r="AV294" i="21" s="1"/>
  <c r="AS294" i="21"/>
  <c r="AT294" i="21" s="1"/>
  <c r="AQ294" i="21"/>
  <c r="AR294" i="21" s="1"/>
  <c r="AO294" i="21"/>
  <c r="AP294" i="21" s="1"/>
  <c r="AM294" i="21"/>
  <c r="AK294" i="21"/>
  <c r="AL294" i="21" s="1"/>
  <c r="AG294" i="21"/>
  <c r="AH294" i="21" s="1"/>
  <c r="AE294" i="21"/>
  <c r="AF294" i="21" s="1"/>
  <c r="AC294" i="21"/>
  <c r="AD294" i="21" s="1"/>
  <c r="AA294" i="21"/>
  <c r="W294" i="21"/>
  <c r="X294" i="21" s="1"/>
  <c r="U294" i="21"/>
  <c r="V294" i="21" s="1"/>
  <c r="S294" i="21"/>
  <c r="Q294" i="21"/>
  <c r="R294" i="21" s="1"/>
  <c r="P294" i="21"/>
  <c r="O294" i="21"/>
  <c r="N294" i="21"/>
  <c r="M294" i="21"/>
  <c r="L294" i="21"/>
  <c r="K294" i="21"/>
  <c r="J294" i="21"/>
  <c r="I294" i="21"/>
  <c r="H294" i="21"/>
  <c r="G294" i="21"/>
  <c r="F294" i="21"/>
  <c r="E294" i="21"/>
  <c r="D294" i="21"/>
  <c r="C294" i="21"/>
  <c r="B294" i="21"/>
  <c r="A294" i="21"/>
  <c r="BG293" i="21"/>
  <c r="BH293" i="21" s="1"/>
  <c r="BE293" i="21"/>
  <c r="BF293" i="21" s="1"/>
  <c r="AW293" i="21"/>
  <c r="AX293" i="21" s="1"/>
  <c r="AU293" i="21"/>
  <c r="AV293" i="21" s="1"/>
  <c r="AS293" i="21"/>
  <c r="AT293" i="21" s="1"/>
  <c r="AQ293" i="21"/>
  <c r="AO293" i="21"/>
  <c r="AP293" i="21" s="1"/>
  <c r="AM293" i="21"/>
  <c r="AN293" i="21" s="1"/>
  <c r="AK293" i="21"/>
  <c r="AL293" i="21" s="1"/>
  <c r="AG293" i="21"/>
  <c r="AH293" i="21" s="1"/>
  <c r="AE293" i="21"/>
  <c r="AC293" i="21"/>
  <c r="AD293" i="21" s="1"/>
  <c r="AA293" i="21"/>
  <c r="AB293" i="21" s="1"/>
  <c r="W293" i="21"/>
  <c r="U293" i="21"/>
  <c r="V293" i="21" s="1"/>
  <c r="S293" i="21"/>
  <c r="T293" i="21" s="1"/>
  <c r="Q293" i="21"/>
  <c r="R293" i="21" s="1"/>
  <c r="P293" i="21"/>
  <c r="O293" i="21"/>
  <c r="N293" i="21"/>
  <c r="M293" i="21"/>
  <c r="L293" i="21"/>
  <c r="K293" i="21"/>
  <c r="J293" i="21"/>
  <c r="I293" i="21"/>
  <c r="H293" i="21"/>
  <c r="G293" i="21"/>
  <c r="F293" i="21"/>
  <c r="E293" i="21"/>
  <c r="D293" i="21"/>
  <c r="C293" i="21"/>
  <c r="B293" i="21"/>
  <c r="A293" i="21"/>
  <c r="BG292" i="21"/>
  <c r="BH292" i="21" s="1"/>
  <c r="BE292" i="21"/>
  <c r="BF292" i="21" s="1"/>
  <c r="AW292" i="21"/>
  <c r="AX292" i="21" s="1"/>
  <c r="AU292" i="21"/>
  <c r="AS292" i="21"/>
  <c r="AT292" i="21" s="1"/>
  <c r="AQ292" i="21"/>
  <c r="AR292" i="21" s="1"/>
  <c r="AO292" i="21"/>
  <c r="AP292" i="21" s="1"/>
  <c r="AM292" i="21"/>
  <c r="AN292" i="21" s="1"/>
  <c r="AK292" i="21"/>
  <c r="AG292" i="21"/>
  <c r="AH292" i="21" s="1"/>
  <c r="AE292" i="21"/>
  <c r="AF292" i="21" s="1"/>
  <c r="AC292" i="21"/>
  <c r="AA292" i="21"/>
  <c r="AB292" i="21" s="1"/>
  <c r="W292" i="21"/>
  <c r="X292" i="21" s="1"/>
  <c r="U292" i="21"/>
  <c r="V292" i="21" s="1"/>
  <c r="S292" i="21"/>
  <c r="T292" i="21" s="1"/>
  <c r="Q292" i="21"/>
  <c r="R292" i="21" s="1"/>
  <c r="P292" i="21"/>
  <c r="O292" i="21"/>
  <c r="N292" i="21"/>
  <c r="M292" i="21"/>
  <c r="L292" i="21"/>
  <c r="K292" i="21"/>
  <c r="J292" i="21"/>
  <c r="I292" i="21"/>
  <c r="H292" i="21"/>
  <c r="G292" i="21"/>
  <c r="F292" i="21"/>
  <c r="E292" i="21"/>
  <c r="D292" i="21"/>
  <c r="C292" i="21"/>
  <c r="B292" i="21"/>
  <c r="A292" i="21"/>
  <c r="BG291" i="21"/>
  <c r="BH291" i="21" s="1"/>
  <c r="BE291" i="21"/>
  <c r="BF291" i="21" s="1"/>
  <c r="AW291" i="21"/>
  <c r="AX291" i="21" s="1"/>
  <c r="AU291" i="21"/>
  <c r="AV291" i="21" s="1"/>
  <c r="AS291" i="21"/>
  <c r="AT291" i="21" s="1"/>
  <c r="AQ291" i="21"/>
  <c r="AR291" i="21" s="1"/>
  <c r="AO291" i="21"/>
  <c r="AM291" i="21"/>
  <c r="AN291" i="21" s="1"/>
  <c r="AK291" i="21"/>
  <c r="AL291" i="21" s="1"/>
  <c r="AG291" i="21"/>
  <c r="AE291" i="21"/>
  <c r="AF291" i="21" s="1"/>
  <c r="AC291" i="21"/>
  <c r="AD291" i="21" s="1"/>
  <c r="AA291" i="21"/>
  <c r="AB291" i="21" s="1"/>
  <c r="W291" i="21"/>
  <c r="X291" i="21" s="1"/>
  <c r="U291" i="21"/>
  <c r="V291" i="21" s="1"/>
  <c r="S291" i="21"/>
  <c r="T291" i="21" s="1"/>
  <c r="Q291" i="21"/>
  <c r="R291" i="21" s="1"/>
  <c r="P291" i="21"/>
  <c r="O291" i="21"/>
  <c r="N291" i="21"/>
  <c r="M291" i="21"/>
  <c r="L291" i="21"/>
  <c r="K291" i="21"/>
  <c r="J291" i="21"/>
  <c r="I291" i="21"/>
  <c r="H291" i="21"/>
  <c r="G291" i="21"/>
  <c r="F291" i="21"/>
  <c r="E291" i="21"/>
  <c r="D291" i="21"/>
  <c r="C291" i="21"/>
  <c r="B291" i="21"/>
  <c r="A291" i="21"/>
  <c r="BG290" i="21"/>
  <c r="BE290" i="21"/>
  <c r="BF290" i="21" s="1"/>
  <c r="AW290" i="21"/>
  <c r="AX290" i="21" s="1"/>
  <c r="AU290" i="21"/>
  <c r="AV290" i="21" s="1"/>
  <c r="AS290" i="21"/>
  <c r="AQ290" i="21"/>
  <c r="AR290" i="21" s="1"/>
  <c r="AO290" i="21"/>
  <c r="AP290" i="21" s="1"/>
  <c r="AM290" i="21"/>
  <c r="AK290" i="21"/>
  <c r="AL290" i="21" s="1"/>
  <c r="AG290" i="21"/>
  <c r="AH290" i="21" s="1"/>
  <c r="AE290" i="21"/>
  <c r="AF290" i="21" s="1"/>
  <c r="AC290" i="21"/>
  <c r="AD290" i="21" s="1"/>
  <c r="AA290" i="21"/>
  <c r="AB290" i="21" s="1"/>
  <c r="W290" i="21"/>
  <c r="X290" i="21" s="1"/>
  <c r="U290" i="21"/>
  <c r="V290" i="21" s="1"/>
  <c r="S290" i="21"/>
  <c r="Q290" i="21"/>
  <c r="R290" i="21" s="1"/>
  <c r="P290" i="21"/>
  <c r="O290" i="21"/>
  <c r="N290" i="21"/>
  <c r="M290" i="21"/>
  <c r="L290" i="21"/>
  <c r="K290" i="21"/>
  <c r="J290" i="21"/>
  <c r="I290" i="21"/>
  <c r="H290" i="21"/>
  <c r="G290" i="21"/>
  <c r="F290" i="21"/>
  <c r="E290" i="21"/>
  <c r="D290" i="21"/>
  <c r="C290" i="21"/>
  <c r="B290" i="21"/>
  <c r="A290" i="21"/>
  <c r="BG289" i="21"/>
  <c r="BH289" i="21" s="1"/>
  <c r="BE289" i="21"/>
  <c r="BF289" i="21" s="1"/>
  <c r="AW289" i="21"/>
  <c r="AX289" i="21" s="1"/>
  <c r="AU289" i="21"/>
  <c r="AV289" i="21" s="1"/>
  <c r="AS289" i="21"/>
  <c r="AT289" i="21" s="1"/>
  <c r="AQ289" i="21"/>
  <c r="AO289" i="21"/>
  <c r="AP289" i="21" s="1"/>
  <c r="AM289" i="21"/>
  <c r="AN289" i="21" s="1"/>
  <c r="AK289" i="21"/>
  <c r="AL289" i="21" s="1"/>
  <c r="AG289" i="21"/>
  <c r="AH289" i="21" s="1"/>
  <c r="AE289" i="21"/>
  <c r="AF289" i="21" s="1"/>
  <c r="AC289" i="21"/>
  <c r="AD289" i="21" s="1"/>
  <c r="AA289" i="21"/>
  <c r="AB289" i="21" s="1"/>
  <c r="W289" i="21"/>
  <c r="U289" i="21"/>
  <c r="V289" i="21" s="1"/>
  <c r="S289" i="21"/>
  <c r="T289" i="21" s="1"/>
  <c r="Q289" i="21"/>
  <c r="R289" i="21" s="1"/>
  <c r="P289" i="21"/>
  <c r="O289" i="21"/>
  <c r="N289" i="21"/>
  <c r="M289" i="21"/>
  <c r="L289" i="21"/>
  <c r="K289" i="21"/>
  <c r="J289" i="21"/>
  <c r="I289" i="21"/>
  <c r="H289" i="21"/>
  <c r="G289" i="21"/>
  <c r="F289" i="21"/>
  <c r="E289" i="21"/>
  <c r="D289" i="21"/>
  <c r="C289" i="21"/>
  <c r="B289" i="21"/>
  <c r="A289" i="21"/>
  <c r="BG288" i="21"/>
  <c r="BH288" i="21" s="1"/>
  <c r="BE288" i="21"/>
  <c r="AW288" i="21"/>
  <c r="AX288" i="21" s="1"/>
  <c r="AU288" i="21"/>
  <c r="AS288" i="21"/>
  <c r="AT288" i="21" s="1"/>
  <c r="AQ288" i="21"/>
  <c r="AR288" i="21" s="1"/>
  <c r="AO288" i="21"/>
  <c r="AP288" i="21" s="1"/>
  <c r="AM288" i="21"/>
  <c r="AN288" i="21" s="1"/>
  <c r="AK288" i="21"/>
  <c r="AL288" i="21" s="1"/>
  <c r="AG288" i="21"/>
  <c r="AH288" i="21" s="1"/>
  <c r="AE288" i="21"/>
  <c r="AF288" i="21" s="1"/>
  <c r="AC288" i="21"/>
  <c r="AA288" i="21"/>
  <c r="AB288" i="21" s="1"/>
  <c r="W288" i="21"/>
  <c r="X288" i="21" s="1"/>
  <c r="U288" i="21"/>
  <c r="V288" i="21" s="1"/>
  <c r="S288" i="21"/>
  <c r="T288" i="21" s="1"/>
  <c r="Q288" i="21"/>
  <c r="R288" i="21" s="1"/>
  <c r="P288" i="21"/>
  <c r="O288" i="21"/>
  <c r="N288" i="21"/>
  <c r="M288" i="21"/>
  <c r="L288" i="21"/>
  <c r="K288" i="21"/>
  <c r="J288" i="21"/>
  <c r="I288" i="21"/>
  <c r="H288" i="21"/>
  <c r="G288" i="21"/>
  <c r="F288" i="21"/>
  <c r="E288" i="21"/>
  <c r="D288" i="21"/>
  <c r="C288" i="21"/>
  <c r="B288" i="21"/>
  <c r="A288" i="21"/>
  <c r="BG287" i="21"/>
  <c r="BH287" i="21" s="1"/>
  <c r="BE287" i="21"/>
  <c r="BF287" i="21" s="1"/>
  <c r="AW287" i="21"/>
  <c r="AX287" i="21" s="1"/>
  <c r="AU287" i="21"/>
  <c r="AV287" i="21" s="1"/>
  <c r="AS287" i="21"/>
  <c r="AT287" i="21" s="1"/>
  <c r="AQ287" i="21"/>
  <c r="AR287" i="21" s="1"/>
  <c r="AO287" i="21"/>
  <c r="AP287" i="21" s="1"/>
  <c r="AM287" i="21"/>
  <c r="AN287" i="21" s="1"/>
  <c r="AK287" i="21"/>
  <c r="AL287" i="21" s="1"/>
  <c r="AG287" i="21"/>
  <c r="AE287" i="21"/>
  <c r="AF287" i="21" s="1"/>
  <c r="AC287" i="21"/>
  <c r="AD287" i="21" s="1"/>
  <c r="AA287" i="21"/>
  <c r="AB287" i="21" s="1"/>
  <c r="W287" i="21"/>
  <c r="X287" i="21" s="1"/>
  <c r="U287" i="21"/>
  <c r="S287" i="21"/>
  <c r="T287" i="21" s="1"/>
  <c r="Q287" i="21"/>
  <c r="R287" i="21" s="1"/>
  <c r="P287" i="21"/>
  <c r="O287" i="21"/>
  <c r="N287" i="21"/>
  <c r="M287" i="21"/>
  <c r="L287" i="21"/>
  <c r="K287" i="21"/>
  <c r="J287" i="21"/>
  <c r="I287" i="21"/>
  <c r="H287" i="21"/>
  <c r="G287" i="21"/>
  <c r="F287" i="21"/>
  <c r="E287" i="21"/>
  <c r="D287" i="21"/>
  <c r="C287" i="21"/>
  <c r="B287" i="21"/>
  <c r="A287" i="21"/>
  <c r="BG286" i="21"/>
  <c r="BE286" i="21"/>
  <c r="BF286" i="21" s="1"/>
  <c r="AW286" i="21"/>
  <c r="AX286" i="21" s="1"/>
  <c r="AU286" i="21"/>
  <c r="AV286" i="21" s="1"/>
  <c r="AS286" i="21"/>
  <c r="AT286" i="21" s="1"/>
  <c r="AQ286" i="21"/>
  <c r="AO286" i="21"/>
  <c r="AP286" i="21" s="1"/>
  <c r="AM286" i="21"/>
  <c r="AN286" i="21" s="1"/>
  <c r="AK286" i="21"/>
  <c r="AL286" i="21" s="1"/>
  <c r="AG286" i="21"/>
  <c r="AH286" i="21" s="1"/>
  <c r="AE286" i="21"/>
  <c r="AC286" i="21"/>
  <c r="AD286" i="21" s="1"/>
  <c r="AA286" i="21"/>
  <c r="AB286" i="21" s="1"/>
  <c r="W286" i="21"/>
  <c r="U286" i="21"/>
  <c r="V286" i="21" s="1"/>
  <c r="S286" i="21"/>
  <c r="T286" i="21" s="1"/>
  <c r="Q286" i="21"/>
  <c r="R286" i="21" s="1"/>
  <c r="P286" i="21"/>
  <c r="O286" i="21"/>
  <c r="N286" i="21"/>
  <c r="M286" i="21"/>
  <c r="L286" i="21"/>
  <c r="K286" i="21"/>
  <c r="J286" i="21"/>
  <c r="I286" i="21"/>
  <c r="H286" i="21"/>
  <c r="G286" i="21"/>
  <c r="F286" i="21"/>
  <c r="E286" i="21"/>
  <c r="D286" i="21"/>
  <c r="C286" i="21"/>
  <c r="B286" i="21"/>
  <c r="A286" i="21"/>
  <c r="BG285" i="21"/>
  <c r="BH285" i="21" s="1"/>
  <c r="BE285" i="21"/>
  <c r="BF285" i="21" s="1"/>
  <c r="AW285" i="21"/>
  <c r="AX285" i="21" s="1"/>
  <c r="AU285" i="21"/>
  <c r="AS285" i="21"/>
  <c r="AT285" i="21" s="1"/>
  <c r="AQ285" i="21"/>
  <c r="AO285" i="21"/>
  <c r="AP285" i="21" s="1"/>
  <c r="AM285" i="21"/>
  <c r="AN285" i="21" s="1"/>
  <c r="AK285" i="21"/>
  <c r="AL285" i="21" s="1"/>
  <c r="AG285" i="21"/>
  <c r="AH285" i="21" s="1"/>
  <c r="AE285" i="21"/>
  <c r="AF285" i="21" s="1"/>
  <c r="AC285" i="21"/>
  <c r="AA285" i="21"/>
  <c r="AB285" i="21" s="1"/>
  <c r="W285" i="21"/>
  <c r="U285" i="21"/>
  <c r="V285" i="21" s="1"/>
  <c r="S285" i="21"/>
  <c r="T285" i="21" s="1"/>
  <c r="Q285" i="21"/>
  <c r="R285" i="21" s="1"/>
  <c r="P285" i="21"/>
  <c r="O285" i="21"/>
  <c r="N285" i="21"/>
  <c r="M285" i="21"/>
  <c r="L285" i="21"/>
  <c r="K285" i="21"/>
  <c r="J285" i="21"/>
  <c r="I285" i="21"/>
  <c r="H285" i="21"/>
  <c r="G285" i="21"/>
  <c r="F285" i="21"/>
  <c r="E285" i="21"/>
  <c r="D285" i="21"/>
  <c r="C285" i="21"/>
  <c r="B285" i="21"/>
  <c r="A285" i="21"/>
  <c r="BG284" i="21"/>
  <c r="BH284" i="21" s="1"/>
  <c r="BE284" i="21"/>
  <c r="BF284" i="21" s="1"/>
  <c r="AW284" i="21"/>
  <c r="AX284" i="21" s="1"/>
  <c r="AU284" i="21"/>
  <c r="AV284" i="21" s="1"/>
  <c r="AS284" i="21"/>
  <c r="AT284" i="21" s="1"/>
  <c r="AQ284" i="21"/>
  <c r="AR284" i="21" s="1"/>
  <c r="AO284" i="21"/>
  <c r="AP284" i="21" s="1"/>
  <c r="AM284" i="21"/>
  <c r="AN284" i="21" s="1"/>
  <c r="AK284" i="21"/>
  <c r="AL284" i="21" s="1"/>
  <c r="AG284" i="21"/>
  <c r="AE284" i="21"/>
  <c r="AF284" i="21" s="1"/>
  <c r="AC284" i="21"/>
  <c r="AD284" i="21" s="1"/>
  <c r="AA284" i="21"/>
  <c r="AB284" i="21" s="1"/>
  <c r="W284" i="21"/>
  <c r="X284" i="21" s="1"/>
  <c r="U284" i="21"/>
  <c r="S284" i="21"/>
  <c r="T284" i="21" s="1"/>
  <c r="Q284" i="21"/>
  <c r="R284" i="21" s="1"/>
  <c r="P284" i="21"/>
  <c r="O284" i="21"/>
  <c r="N284" i="21"/>
  <c r="M284" i="21"/>
  <c r="L284" i="21"/>
  <c r="K284" i="21"/>
  <c r="J284" i="21"/>
  <c r="I284" i="21"/>
  <c r="H284" i="21"/>
  <c r="G284" i="21"/>
  <c r="F284" i="21"/>
  <c r="E284" i="21"/>
  <c r="D284" i="21"/>
  <c r="C284" i="21"/>
  <c r="B284" i="21"/>
  <c r="A284" i="21"/>
  <c r="BG283" i="21"/>
  <c r="BE283" i="21"/>
  <c r="BF283" i="21" s="1"/>
  <c r="AW283" i="21"/>
  <c r="AX283" i="21" s="1"/>
  <c r="AU283" i="21"/>
  <c r="AV283" i="21" s="1"/>
  <c r="AS283" i="21"/>
  <c r="AQ283" i="21"/>
  <c r="AR283" i="21" s="1"/>
  <c r="AO283" i="21"/>
  <c r="AP283" i="21" s="1"/>
  <c r="AM283" i="21"/>
  <c r="AK283" i="21"/>
  <c r="AL283" i="21" s="1"/>
  <c r="AG283" i="21"/>
  <c r="AH283" i="21" s="1"/>
  <c r="AE283" i="21"/>
  <c r="AF283" i="21" s="1"/>
  <c r="AC283" i="21"/>
  <c r="AD283" i="21" s="1"/>
  <c r="AA283" i="21"/>
  <c r="W283" i="21"/>
  <c r="X283" i="21" s="1"/>
  <c r="U283" i="21"/>
  <c r="V283" i="21" s="1"/>
  <c r="S283" i="21"/>
  <c r="Q283" i="21"/>
  <c r="R283" i="21" s="1"/>
  <c r="P283" i="21"/>
  <c r="O283" i="21"/>
  <c r="N283" i="21"/>
  <c r="M283" i="21"/>
  <c r="L283" i="21"/>
  <c r="K283" i="21"/>
  <c r="J283" i="21"/>
  <c r="I283" i="21"/>
  <c r="H283" i="21"/>
  <c r="G283" i="21"/>
  <c r="F283" i="21"/>
  <c r="E283" i="21"/>
  <c r="D283" i="21"/>
  <c r="C283" i="21"/>
  <c r="B283" i="21"/>
  <c r="A283" i="21"/>
  <c r="BG282" i="21"/>
  <c r="BH282" i="21" s="1"/>
  <c r="BE282" i="21"/>
  <c r="BF282" i="21" s="1"/>
  <c r="AW282" i="21"/>
  <c r="AX282" i="21" s="1"/>
  <c r="AU282" i="21"/>
  <c r="AV282" i="21" s="1"/>
  <c r="AS282" i="21"/>
  <c r="AT282" i="21" s="1"/>
  <c r="AQ282" i="21"/>
  <c r="AO282" i="21"/>
  <c r="AP282" i="21" s="1"/>
  <c r="AM282" i="21"/>
  <c r="AN282" i="21" s="1"/>
  <c r="AK282" i="21"/>
  <c r="AL282" i="21" s="1"/>
  <c r="AG282" i="21"/>
  <c r="AH282" i="21" s="1"/>
  <c r="AE282" i="21"/>
  <c r="AF282" i="21" s="1"/>
  <c r="AC282" i="21"/>
  <c r="AD282" i="21" s="1"/>
  <c r="AA282" i="21"/>
  <c r="AB282" i="21" s="1"/>
  <c r="W282" i="21"/>
  <c r="U282" i="21"/>
  <c r="V282" i="21" s="1"/>
  <c r="S282" i="21"/>
  <c r="Q282" i="21"/>
  <c r="R282" i="21" s="1"/>
  <c r="P282" i="21"/>
  <c r="O282" i="21"/>
  <c r="N282" i="21"/>
  <c r="M282" i="21"/>
  <c r="L282" i="21"/>
  <c r="K282" i="21"/>
  <c r="J282" i="21"/>
  <c r="I282" i="21"/>
  <c r="H282" i="21"/>
  <c r="G282" i="21"/>
  <c r="F282" i="21"/>
  <c r="E282" i="21"/>
  <c r="D282" i="21"/>
  <c r="C282" i="21"/>
  <c r="B282" i="21"/>
  <c r="A282" i="21"/>
  <c r="BG281" i="21"/>
  <c r="BH281" i="21" s="1"/>
  <c r="BE281" i="21"/>
  <c r="BF281" i="21" s="1"/>
  <c r="AW281" i="21"/>
  <c r="AX281" i="21" s="1"/>
  <c r="AU281" i="21"/>
  <c r="AS281" i="21"/>
  <c r="AT281" i="21" s="1"/>
  <c r="AQ281" i="21"/>
  <c r="AO281" i="21"/>
  <c r="AP281" i="21" s="1"/>
  <c r="AM281" i="21"/>
  <c r="AN281" i="21" s="1"/>
  <c r="AK281" i="21"/>
  <c r="AL281" i="21" s="1"/>
  <c r="AG281" i="21"/>
  <c r="AH281" i="21" s="1"/>
  <c r="AE281" i="21"/>
  <c r="AF281" i="21" s="1"/>
  <c r="AC281" i="21"/>
  <c r="AA281" i="21"/>
  <c r="AB281" i="21" s="1"/>
  <c r="W281" i="21"/>
  <c r="X281" i="21" s="1"/>
  <c r="U281" i="21"/>
  <c r="V281" i="21" s="1"/>
  <c r="S281" i="21"/>
  <c r="T281" i="21" s="1"/>
  <c r="Q281" i="21"/>
  <c r="R281" i="21" s="1"/>
  <c r="P281" i="21"/>
  <c r="O281" i="21"/>
  <c r="N281" i="21"/>
  <c r="M281" i="21"/>
  <c r="L281" i="21"/>
  <c r="K281" i="21"/>
  <c r="J281" i="21"/>
  <c r="I281" i="21"/>
  <c r="H281" i="21"/>
  <c r="G281" i="21"/>
  <c r="F281" i="21"/>
  <c r="E281" i="21"/>
  <c r="D281" i="21"/>
  <c r="C281" i="21"/>
  <c r="B281" i="21"/>
  <c r="A281" i="21"/>
  <c r="BG280" i="21"/>
  <c r="BE280" i="21"/>
  <c r="BF280" i="21" s="1"/>
  <c r="AW280" i="21"/>
  <c r="AX280" i="21" s="1"/>
  <c r="AU280" i="21"/>
  <c r="AV280" i="21" s="1"/>
  <c r="AS280" i="21"/>
  <c r="AT280" i="21" s="1"/>
  <c r="AQ280" i="21"/>
  <c r="AR280" i="21" s="1"/>
  <c r="AO280" i="21"/>
  <c r="AM280" i="21"/>
  <c r="AN280" i="21" s="1"/>
  <c r="AK280" i="21"/>
  <c r="AL280" i="21" s="1"/>
  <c r="AG280" i="21"/>
  <c r="AE280" i="21"/>
  <c r="AF280" i="21" s="1"/>
  <c r="AC280" i="21"/>
  <c r="AA280" i="21"/>
  <c r="AB280" i="21" s="1"/>
  <c r="W280" i="21"/>
  <c r="X280" i="21" s="1"/>
  <c r="U280" i="21"/>
  <c r="S280" i="21"/>
  <c r="T280" i="21" s="1"/>
  <c r="Q280" i="21"/>
  <c r="R280" i="21" s="1"/>
  <c r="P280" i="21"/>
  <c r="O280" i="21"/>
  <c r="N280" i="21"/>
  <c r="M280" i="21"/>
  <c r="L280" i="21"/>
  <c r="K280" i="21"/>
  <c r="J280" i="21"/>
  <c r="I280" i="21"/>
  <c r="H280" i="21"/>
  <c r="G280" i="21"/>
  <c r="F280" i="21"/>
  <c r="E280" i="21"/>
  <c r="D280" i="21"/>
  <c r="C280" i="21"/>
  <c r="B280" i="21"/>
  <c r="A280" i="21"/>
  <c r="BG279" i="21"/>
  <c r="BE279" i="21"/>
  <c r="BF279" i="21" s="1"/>
  <c r="AW279" i="21"/>
  <c r="AX279" i="21" s="1"/>
  <c r="AU279" i="21"/>
  <c r="AV279" i="21" s="1"/>
  <c r="AS279" i="21"/>
  <c r="AQ279" i="21"/>
  <c r="AR279" i="21" s="1"/>
  <c r="AO279" i="21"/>
  <c r="AP279" i="21" s="1"/>
  <c r="AM279" i="21"/>
  <c r="AK279" i="21"/>
  <c r="AL279" i="21" s="1"/>
  <c r="AG279" i="21"/>
  <c r="AH279" i="21" s="1"/>
  <c r="AE279" i="21"/>
  <c r="AF279" i="21" s="1"/>
  <c r="AC279" i="21"/>
  <c r="AD279" i="21" s="1"/>
  <c r="AA279" i="21"/>
  <c r="W279" i="21"/>
  <c r="X279" i="21" s="1"/>
  <c r="U279" i="21"/>
  <c r="V279" i="21" s="1"/>
  <c r="S279" i="21"/>
  <c r="Q279" i="21"/>
  <c r="R279" i="21" s="1"/>
  <c r="P279" i="21"/>
  <c r="O279" i="21"/>
  <c r="N279" i="21"/>
  <c r="M279" i="21"/>
  <c r="L279" i="21"/>
  <c r="K279" i="21"/>
  <c r="J279" i="21"/>
  <c r="I279" i="21"/>
  <c r="H279" i="21"/>
  <c r="G279" i="21"/>
  <c r="F279" i="21"/>
  <c r="E279" i="21"/>
  <c r="D279" i="21"/>
  <c r="C279" i="21"/>
  <c r="B279" i="21"/>
  <c r="A279" i="21"/>
  <c r="BG278" i="21"/>
  <c r="BH278" i="21" s="1"/>
  <c r="BE278" i="21"/>
  <c r="BF278" i="21" s="1"/>
  <c r="AW278" i="21"/>
  <c r="AX278" i="21" s="1"/>
  <c r="AU278" i="21"/>
  <c r="AV278" i="21" s="1"/>
  <c r="AS278" i="21"/>
  <c r="AT278" i="21" s="1"/>
  <c r="AQ278" i="21"/>
  <c r="AO278" i="21"/>
  <c r="AP278" i="21" s="1"/>
  <c r="AM278" i="21"/>
  <c r="AK278" i="21"/>
  <c r="AL278" i="21" s="1"/>
  <c r="AG278" i="21"/>
  <c r="AH278" i="21" s="1"/>
  <c r="AE278" i="21"/>
  <c r="AF278" i="21" s="1"/>
  <c r="AC278" i="21"/>
  <c r="AD278" i="21" s="1"/>
  <c r="AA278" i="21"/>
  <c r="AB278" i="21" s="1"/>
  <c r="W278" i="21"/>
  <c r="U278" i="21"/>
  <c r="V278" i="21" s="1"/>
  <c r="S278" i="21"/>
  <c r="Q278" i="21"/>
  <c r="R278" i="21" s="1"/>
  <c r="P278" i="21"/>
  <c r="O278" i="21"/>
  <c r="N278" i="21"/>
  <c r="M278" i="21"/>
  <c r="L278" i="21"/>
  <c r="K278" i="21"/>
  <c r="J278" i="21"/>
  <c r="I278" i="21"/>
  <c r="H278" i="21"/>
  <c r="G278" i="21"/>
  <c r="F278" i="21"/>
  <c r="E278" i="21"/>
  <c r="D278" i="21"/>
  <c r="C278" i="21"/>
  <c r="B278" i="21"/>
  <c r="A278" i="21"/>
  <c r="BG277" i="21"/>
  <c r="BH277" i="21" s="1"/>
  <c r="BE277" i="21"/>
  <c r="BF277" i="21" s="1"/>
  <c r="AW277" i="21"/>
  <c r="AX277" i="21" s="1"/>
  <c r="AU277" i="21"/>
  <c r="AS277" i="21"/>
  <c r="AT277" i="21" s="1"/>
  <c r="AQ277" i="21"/>
  <c r="AR277" i="21" s="1"/>
  <c r="AO277" i="21"/>
  <c r="AP277" i="21" s="1"/>
  <c r="AM277" i="21"/>
  <c r="AN277" i="21" s="1"/>
  <c r="AK277" i="21"/>
  <c r="AL277" i="21" s="1"/>
  <c r="AG277" i="21"/>
  <c r="AH277" i="21" s="1"/>
  <c r="AE277" i="21"/>
  <c r="AF277" i="21" s="1"/>
  <c r="AC277" i="21"/>
  <c r="AA277" i="21"/>
  <c r="AB277" i="21" s="1"/>
  <c r="W277" i="21"/>
  <c r="U277" i="21"/>
  <c r="V277" i="21" s="1"/>
  <c r="S277" i="21"/>
  <c r="T277" i="21" s="1"/>
  <c r="Q277" i="21"/>
  <c r="P277" i="21"/>
  <c r="O277" i="21"/>
  <c r="N277" i="21"/>
  <c r="M277" i="21"/>
  <c r="L277" i="21"/>
  <c r="K277" i="21"/>
  <c r="J277" i="21"/>
  <c r="I277" i="21"/>
  <c r="H277" i="21"/>
  <c r="G277" i="21"/>
  <c r="F277" i="21"/>
  <c r="E277" i="21"/>
  <c r="D277" i="21"/>
  <c r="C277" i="21"/>
  <c r="B277" i="21"/>
  <c r="A277" i="21"/>
  <c r="BG276" i="21"/>
  <c r="BH276" i="21" s="1"/>
  <c r="BE276" i="21"/>
  <c r="BF276" i="21" s="1"/>
  <c r="AW276" i="21"/>
  <c r="AX276" i="21" s="1"/>
  <c r="AU276" i="21"/>
  <c r="AS276" i="21"/>
  <c r="AT276" i="21" s="1"/>
  <c r="AQ276" i="21"/>
  <c r="AR276" i="21" s="1"/>
  <c r="AO276" i="21"/>
  <c r="AM276" i="21"/>
  <c r="AN276" i="21" s="1"/>
  <c r="AK276" i="21"/>
  <c r="AL276" i="21" s="1"/>
  <c r="AG276" i="21"/>
  <c r="AE276" i="21"/>
  <c r="AF276" i="21" s="1"/>
  <c r="AC276" i="21"/>
  <c r="AD276" i="21" s="1"/>
  <c r="AA276" i="21"/>
  <c r="AB276" i="21" s="1"/>
  <c r="W276" i="21"/>
  <c r="X276" i="21" s="1"/>
  <c r="U276" i="21"/>
  <c r="S276" i="21"/>
  <c r="T276" i="21" s="1"/>
  <c r="Q276" i="21"/>
  <c r="R276" i="21" s="1"/>
  <c r="P276" i="21"/>
  <c r="O276" i="21"/>
  <c r="N276" i="21"/>
  <c r="M276" i="21"/>
  <c r="L276" i="21"/>
  <c r="K276" i="21"/>
  <c r="J276" i="21"/>
  <c r="I276" i="21"/>
  <c r="H276" i="21"/>
  <c r="G276" i="21"/>
  <c r="F276" i="21"/>
  <c r="E276" i="21"/>
  <c r="D276" i="21"/>
  <c r="C276" i="21"/>
  <c r="B276" i="21"/>
  <c r="A276" i="21"/>
  <c r="BG275" i="21"/>
  <c r="BE275" i="21"/>
  <c r="BF275" i="21" s="1"/>
  <c r="AW275" i="21"/>
  <c r="AX275" i="21" s="1"/>
  <c r="AU275" i="21"/>
  <c r="AV275" i="21" s="1"/>
  <c r="AS275" i="21"/>
  <c r="AQ275" i="21"/>
  <c r="AR275" i="21" s="1"/>
  <c r="AO275" i="21"/>
  <c r="AP275" i="21" s="1"/>
  <c r="AM275" i="21"/>
  <c r="AK275" i="21"/>
  <c r="AL275" i="21" s="1"/>
  <c r="AG275" i="21"/>
  <c r="AH275" i="21" s="1"/>
  <c r="AE275" i="21"/>
  <c r="AF275" i="21" s="1"/>
  <c r="AC275" i="21"/>
  <c r="AD275" i="21" s="1"/>
  <c r="AA275" i="21"/>
  <c r="AB275" i="21" s="1"/>
  <c r="W275" i="21"/>
  <c r="X275" i="21" s="1"/>
  <c r="U275" i="21"/>
  <c r="V275" i="21" s="1"/>
  <c r="S275" i="21"/>
  <c r="Q275" i="21"/>
  <c r="R275" i="21" s="1"/>
  <c r="P275" i="21"/>
  <c r="O275" i="21"/>
  <c r="N275" i="21"/>
  <c r="M275" i="21"/>
  <c r="L275" i="21"/>
  <c r="K275" i="21"/>
  <c r="J275" i="21"/>
  <c r="I275" i="21"/>
  <c r="H275" i="21"/>
  <c r="G275" i="21"/>
  <c r="F275" i="21"/>
  <c r="E275" i="21"/>
  <c r="D275" i="21"/>
  <c r="C275" i="21"/>
  <c r="B275" i="21"/>
  <c r="A275" i="21"/>
  <c r="BG274" i="21"/>
  <c r="BE274" i="21"/>
  <c r="BF274" i="21" s="1"/>
  <c r="AW274" i="21"/>
  <c r="AX274" i="21" s="1"/>
  <c r="AU274" i="21"/>
  <c r="AV274" i="21" s="1"/>
  <c r="AS274" i="21"/>
  <c r="AT274" i="21" s="1"/>
  <c r="AQ274" i="21"/>
  <c r="AO274" i="21"/>
  <c r="AP274" i="21" s="1"/>
  <c r="AM274" i="21"/>
  <c r="AK274" i="21"/>
  <c r="AL274" i="21" s="1"/>
  <c r="AG274" i="21"/>
  <c r="AH274" i="21" s="1"/>
  <c r="AE274" i="21"/>
  <c r="AF274" i="21" s="1"/>
  <c r="AC274" i="21"/>
  <c r="AD274" i="21" s="1"/>
  <c r="AA274" i="21"/>
  <c r="AB274" i="21" s="1"/>
  <c r="W274" i="21"/>
  <c r="U274" i="21"/>
  <c r="V274" i="21" s="1"/>
  <c r="S274" i="21"/>
  <c r="T274" i="21" s="1"/>
  <c r="Q274" i="21"/>
  <c r="R274" i="21" s="1"/>
  <c r="P274" i="21"/>
  <c r="O274" i="21"/>
  <c r="N274" i="21"/>
  <c r="M274" i="21"/>
  <c r="L274" i="21"/>
  <c r="K274" i="21"/>
  <c r="J274" i="21"/>
  <c r="I274" i="21"/>
  <c r="H274" i="21"/>
  <c r="G274" i="21"/>
  <c r="F274" i="21"/>
  <c r="E274" i="21"/>
  <c r="D274" i="21"/>
  <c r="C274" i="21"/>
  <c r="B274" i="21"/>
  <c r="A274" i="21"/>
  <c r="BG273" i="21"/>
  <c r="BH273" i="21" s="1"/>
  <c r="BE273" i="21"/>
  <c r="BF273" i="21" s="1"/>
  <c r="AW273" i="21"/>
  <c r="AX273" i="21" s="1"/>
  <c r="AU273" i="21"/>
  <c r="AS273" i="21"/>
  <c r="AT273" i="21" s="1"/>
  <c r="AQ273" i="21"/>
  <c r="AR273" i="21" s="1"/>
  <c r="AO273" i="21"/>
  <c r="AP273" i="21" s="1"/>
  <c r="AM273" i="21"/>
  <c r="AN273" i="21" s="1"/>
  <c r="AK273" i="21"/>
  <c r="AG273" i="21"/>
  <c r="AH273" i="21" s="1"/>
  <c r="AE273" i="21"/>
  <c r="AF273" i="21" s="1"/>
  <c r="AC273" i="21"/>
  <c r="AA273" i="21"/>
  <c r="AB273" i="21" s="1"/>
  <c r="W273" i="21"/>
  <c r="U273" i="21"/>
  <c r="V273" i="21" s="1"/>
  <c r="S273" i="21"/>
  <c r="T273" i="21" s="1"/>
  <c r="Q273" i="21"/>
  <c r="P273" i="21"/>
  <c r="O273" i="21"/>
  <c r="N273" i="21"/>
  <c r="M273" i="21"/>
  <c r="L273" i="21"/>
  <c r="K273" i="21"/>
  <c r="J273" i="21"/>
  <c r="I273" i="21"/>
  <c r="H273" i="21"/>
  <c r="G273" i="21"/>
  <c r="F273" i="21"/>
  <c r="E273" i="21"/>
  <c r="D273" i="21"/>
  <c r="C273" i="21"/>
  <c r="B273" i="21"/>
  <c r="A273" i="21"/>
  <c r="BG272" i="21"/>
  <c r="BH272" i="21" s="1"/>
  <c r="BE272" i="21"/>
  <c r="BF272" i="21" s="1"/>
  <c r="AW272" i="21"/>
  <c r="AX272" i="21" s="1"/>
  <c r="AU272" i="21"/>
  <c r="AV272" i="21" s="1"/>
  <c r="AS272" i="21"/>
  <c r="AT272" i="21" s="1"/>
  <c r="AQ272" i="21"/>
  <c r="AR272" i="21" s="1"/>
  <c r="AO272" i="21"/>
  <c r="AM272" i="21"/>
  <c r="AN272" i="21" s="1"/>
  <c r="AK272" i="21"/>
  <c r="AL272" i="21" s="1"/>
  <c r="AG272" i="21"/>
  <c r="AE272" i="21"/>
  <c r="AF272" i="21" s="1"/>
  <c r="AC272" i="21"/>
  <c r="AD272" i="21" s="1"/>
  <c r="AA272" i="21"/>
  <c r="AB272" i="21" s="1"/>
  <c r="W272" i="21"/>
  <c r="X272" i="21" s="1"/>
  <c r="U272" i="21"/>
  <c r="S272" i="21"/>
  <c r="T272" i="21" s="1"/>
  <c r="Q272" i="21"/>
  <c r="R272" i="21" s="1"/>
  <c r="P272" i="21"/>
  <c r="O272" i="21"/>
  <c r="N272" i="21"/>
  <c r="M272" i="21"/>
  <c r="L272" i="21"/>
  <c r="K272" i="21"/>
  <c r="J272" i="21"/>
  <c r="I272" i="21"/>
  <c r="H272" i="21"/>
  <c r="G272" i="21"/>
  <c r="F272" i="21"/>
  <c r="E272" i="21"/>
  <c r="D272" i="21"/>
  <c r="C272" i="21"/>
  <c r="B272" i="21"/>
  <c r="A272" i="21"/>
  <c r="BG271" i="21"/>
  <c r="BE271" i="21"/>
  <c r="BF271" i="21" s="1"/>
  <c r="AW271" i="21"/>
  <c r="AX271" i="21" s="1"/>
  <c r="AU271" i="21"/>
  <c r="AV271" i="21" s="1"/>
  <c r="AS271" i="21"/>
  <c r="AT271" i="21" s="1"/>
  <c r="AQ271" i="21"/>
  <c r="AR271" i="21" s="1"/>
  <c r="AO271" i="21"/>
  <c r="AP271" i="21" s="1"/>
  <c r="AM271" i="21"/>
  <c r="AK271" i="21"/>
  <c r="AL271" i="21" s="1"/>
  <c r="AG271" i="21"/>
  <c r="AE271" i="21"/>
  <c r="AF271" i="21" s="1"/>
  <c r="AC271" i="21"/>
  <c r="AD271" i="21" s="1"/>
  <c r="AA271" i="21"/>
  <c r="AB271" i="21" s="1"/>
  <c r="W271" i="21"/>
  <c r="X271" i="21" s="1"/>
  <c r="U271" i="21"/>
  <c r="V271" i="21" s="1"/>
  <c r="S271" i="21"/>
  <c r="Q271" i="21"/>
  <c r="R271" i="21" s="1"/>
  <c r="P271" i="21"/>
  <c r="O271" i="21"/>
  <c r="N271" i="21"/>
  <c r="M271" i="21"/>
  <c r="L271" i="21"/>
  <c r="K271" i="21"/>
  <c r="J271" i="21"/>
  <c r="I271" i="21"/>
  <c r="H271" i="21"/>
  <c r="G271" i="21"/>
  <c r="F271" i="21"/>
  <c r="E271" i="21"/>
  <c r="D271" i="21"/>
  <c r="C271" i="21"/>
  <c r="B271" i="21"/>
  <c r="A271" i="21"/>
  <c r="BG270" i="21"/>
  <c r="BE270" i="21"/>
  <c r="BF270" i="21" s="1"/>
  <c r="AW270" i="21"/>
  <c r="AX270" i="21" s="1"/>
  <c r="AU270" i="21"/>
  <c r="AV270" i="21" s="1"/>
  <c r="AS270" i="21"/>
  <c r="AT270" i="21" s="1"/>
  <c r="AQ270" i="21"/>
  <c r="AO270" i="21"/>
  <c r="AP270" i="21" s="1"/>
  <c r="AM270" i="21"/>
  <c r="AN270" i="21" s="1"/>
  <c r="AK270" i="21"/>
  <c r="AL270" i="21" s="1"/>
  <c r="AG270" i="21"/>
  <c r="AH270" i="21" s="1"/>
  <c r="AE270" i="21"/>
  <c r="AF270" i="21" s="1"/>
  <c r="AC270" i="21"/>
  <c r="AD270" i="21" s="1"/>
  <c r="AA270" i="21"/>
  <c r="AB270" i="21" s="1"/>
  <c r="W270" i="21"/>
  <c r="U270" i="21"/>
  <c r="V270" i="21" s="1"/>
  <c r="S270" i="21"/>
  <c r="T270" i="21" s="1"/>
  <c r="Q270" i="21"/>
  <c r="R270" i="21" s="1"/>
  <c r="P270" i="21"/>
  <c r="O270" i="21"/>
  <c r="N270" i="21"/>
  <c r="M270" i="21"/>
  <c r="L270" i="21"/>
  <c r="K270" i="21"/>
  <c r="J270" i="21"/>
  <c r="I270" i="21"/>
  <c r="H270" i="21"/>
  <c r="G270" i="21"/>
  <c r="F270" i="21"/>
  <c r="E270" i="21"/>
  <c r="D270" i="21"/>
  <c r="C270" i="21"/>
  <c r="B270" i="21"/>
  <c r="A270" i="21"/>
  <c r="BG269" i="21"/>
  <c r="BH269" i="21" s="1"/>
  <c r="BE269" i="21"/>
  <c r="AW269" i="21"/>
  <c r="AX269" i="21" s="1"/>
  <c r="AU269" i="21"/>
  <c r="AS269" i="21"/>
  <c r="AT269" i="21" s="1"/>
  <c r="AQ269" i="21"/>
  <c r="AO269" i="21"/>
  <c r="AP269" i="21" s="1"/>
  <c r="AM269" i="21"/>
  <c r="AN269" i="21" s="1"/>
  <c r="AK269" i="21"/>
  <c r="AG269" i="21"/>
  <c r="AH269" i="21" s="1"/>
  <c r="AE269" i="21"/>
  <c r="AF269" i="21" s="1"/>
  <c r="AC269" i="21"/>
  <c r="AA269" i="21"/>
  <c r="AB269" i="21" s="1"/>
  <c r="W269" i="21"/>
  <c r="X269" i="21" s="1"/>
  <c r="U269" i="21"/>
  <c r="V269" i="21" s="1"/>
  <c r="S269" i="21"/>
  <c r="T269" i="21" s="1"/>
  <c r="Q269" i="21"/>
  <c r="P269" i="21"/>
  <c r="O269" i="21"/>
  <c r="N269" i="21"/>
  <c r="M269" i="21"/>
  <c r="L269" i="21"/>
  <c r="K269" i="21"/>
  <c r="J269" i="21"/>
  <c r="I269" i="21"/>
  <c r="H269" i="21"/>
  <c r="G269" i="21"/>
  <c r="F269" i="21"/>
  <c r="E269" i="21"/>
  <c r="D269" i="21"/>
  <c r="C269" i="21"/>
  <c r="B269" i="21"/>
  <c r="A269" i="21"/>
  <c r="BG268" i="21"/>
  <c r="BH268" i="21" s="1"/>
  <c r="BE268" i="21"/>
  <c r="BF268" i="21" s="1"/>
  <c r="AW268" i="21"/>
  <c r="AX268" i="21" s="1"/>
  <c r="AU268" i="21"/>
  <c r="AV268" i="21" s="1"/>
  <c r="AS268" i="21"/>
  <c r="AT268" i="21" s="1"/>
  <c r="AQ268" i="21"/>
  <c r="AR268" i="21" s="1"/>
  <c r="AO268" i="21"/>
  <c r="AM268" i="21"/>
  <c r="AN268" i="21" s="1"/>
  <c r="AK268" i="21"/>
  <c r="AL268" i="21" s="1"/>
  <c r="AG268" i="21"/>
  <c r="AE268" i="21"/>
  <c r="AF268" i="21" s="1"/>
  <c r="AC268" i="21"/>
  <c r="AD268" i="21" s="1"/>
  <c r="AA268" i="21"/>
  <c r="AB268" i="21" s="1"/>
  <c r="W268" i="21"/>
  <c r="X268" i="21" s="1"/>
  <c r="U268" i="21"/>
  <c r="V268" i="21" s="1"/>
  <c r="S268" i="21"/>
  <c r="T268" i="21" s="1"/>
  <c r="Q268" i="21"/>
  <c r="R268" i="21" s="1"/>
  <c r="P268" i="21"/>
  <c r="O268" i="21"/>
  <c r="N268" i="21"/>
  <c r="M268" i="21"/>
  <c r="L268" i="21"/>
  <c r="K268" i="21"/>
  <c r="J268" i="21"/>
  <c r="I268" i="21"/>
  <c r="H268" i="21"/>
  <c r="G268" i="21"/>
  <c r="F268" i="21"/>
  <c r="E268" i="21"/>
  <c r="D268" i="21"/>
  <c r="C268" i="21"/>
  <c r="B268" i="21"/>
  <c r="A268" i="21"/>
  <c r="BG267" i="21"/>
  <c r="BE267" i="21"/>
  <c r="BF267" i="21" s="1"/>
  <c r="AW267" i="21"/>
  <c r="AX267" i="21" s="1"/>
  <c r="AU267" i="21"/>
  <c r="AV267" i="21" s="1"/>
  <c r="AS267" i="21"/>
  <c r="AT267" i="21" s="1"/>
  <c r="AQ267" i="21"/>
  <c r="AR267" i="21" s="1"/>
  <c r="AO267" i="21"/>
  <c r="AP267" i="21" s="1"/>
  <c r="AM267" i="21"/>
  <c r="AK267" i="21"/>
  <c r="AL267" i="21" s="1"/>
  <c r="AG267" i="21"/>
  <c r="AH267" i="21" s="1"/>
  <c r="AE267" i="21"/>
  <c r="AF267" i="21" s="1"/>
  <c r="AC267" i="21"/>
  <c r="AD267" i="21" s="1"/>
  <c r="AA267" i="21"/>
  <c r="AB267" i="21" s="1"/>
  <c r="W267" i="21"/>
  <c r="X267" i="21" s="1"/>
  <c r="U267" i="21"/>
  <c r="V267" i="21" s="1"/>
  <c r="S267" i="21"/>
  <c r="Q267" i="21"/>
  <c r="R267" i="21" s="1"/>
  <c r="P267" i="21"/>
  <c r="O267" i="21"/>
  <c r="N267" i="21"/>
  <c r="M267" i="21"/>
  <c r="L267" i="21"/>
  <c r="K267" i="21"/>
  <c r="J267" i="21"/>
  <c r="I267" i="21"/>
  <c r="H267" i="21"/>
  <c r="G267" i="21"/>
  <c r="F267" i="21"/>
  <c r="E267" i="21"/>
  <c r="D267" i="21"/>
  <c r="C267" i="21"/>
  <c r="B267" i="21"/>
  <c r="A267" i="21"/>
  <c r="BG266" i="21"/>
  <c r="BH266" i="21" s="1"/>
  <c r="BE266" i="21"/>
  <c r="BF266" i="21" s="1"/>
  <c r="AW266" i="21"/>
  <c r="AU266" i="21"/>
  <c r="AV266" i="21" s="1"/>
  <c r="AS266" i="21"/>
  <c r="AT266" i="21" s="1"/>
  <c r="AQ266" i="21"/>
  <c r="AO266" i="21"/>
  <c r="AP266" i="21" s="1"/>
  <c r="AM266" i="21"/>
  <c r="AN266" i="21" s="1"/>
  <c r="AK266" i="21"/>
  <c r="AL266" i="21" s="1"/>
  <c r="AG266" i="21"/>
  <c r="AH266" i="21" s="1"/>
  <c r="AE266" i="21"/>
  <c r="AF266" i="21" s="1"/>
  <c r="AC266" i="21"/>
  <c r="AD266" i="21" s="1"/>
  <c r="AA266" i="21"/>
  <c r="AB266" i="21" s="1"/>
  <c r="W266" i="21"/>
  <c r="U266" i="21"/>
  <c r="V266" i="21" s="1"/>
  <c r="S266" i="21"/>
  <c r="Q266" i="21"/>
  <c r="R266" i="21" s="1"/>
  <c r="P266" i="21"/>
  <c r="O266" i="21"/>
  <c r="N266" i="21"/>
  <c r="M266" i="21"/>
  <c r="L266" i="21"/>
  <c r="K266" i="21"/>
  <c r="J266" i="21"/>
  <c r="I266" i="21"/>
  <c r="H266" i="21"/>
  <c r="G266" i="21"/>
  <c r="F266" i="21"/>
  <c r="E266" i="21"/>
  <c r="D266" i="21"/>
  <c r="C266" i="21"/>
  <c r="B266" i="21"/>
  <c r="A266" i="21"/>
  <c r="BG265" i="21"/>
  <c r="BH265" i="21" s="1"/>
  <c r="BE265" i="21"/>
  <c r="AW265" i="21"/>
  <c r="AX265" i="21" s="1"/>
  <c r="AU265" i="21"/>
  <c r="AS265" i="21"/>
  <c r="AT265" i="21" s="1"/>
  <c r="AQ265" i="21"/>
  <c r="AR265" i="21" s="1"/>
  <c r="AO265" i="21"/>
  <c r="AP265" i="21" s="1"/>
  <c r="AM265" i="21"/>
  <c r="AN265" i="21" s="1"/>
  <c r="AK265" i="21"/>
  <c r="AG265" i="21"/>
  <c r="AH265" i="21" s="1"/>
  <c r="AE265" i="21"/>
  <c r="AF265" i="21" s="1"/>
  <c r="AC265" i="21"/>
  <c r="AD265" i="21" s="1"/>
  <c r="AA265" i="21"/>
  <c r="AB265" i="21" s="1"/>
  <c r="W265" i="21"/>
  <c r="X265" i="21" s="1"/>
  <c r="U265" i="21"/>
  <c r="V265" i="21" s="1"/>
  <c r="S265" i="21"/>
  <c r="T265" i="21" s="1"/>
  <c r="Q265" i="21"/>
  <c r="P265" i="21"/>
  <c r="O265" i="21"/>
  <c r="N265" i="21"/>
  <c r="M265" i="21"/>
  <c r="L265" i="21"/>
  <c r="K265" i="21"/>
  <c r="J265" i="21"/>
  <c r="I265" i="21"/>
  <c r="H265" i="21"/>
  <c r="G265" i="21"/>
  <c r="F265" i="21"/>
  <c r="E265" i="21"/>
  <c r="D265" i="21"/>
  <c r="C265" i="21"/>
  <c r="B265" i="21"/>
  <c r="A265" i="21"/>
  <c r="BG264" i="21"/>
  <c r="BH264" i="21" s="1"/>
  <c r="BE264" i="21"/>
  <c r="BF264" i="21" s="1"/>
  <c r="AW264" i="21"/>
  <c r="AX264" i="21" s="1"/>
  <c r="AU264" i="21"/>
  <c r="AV264" i="21" s="1"/>
  <c r="AS264" i="21"/>
  <c r="AT264" i="21" s="1"/>
  <c r="AQ264" i="21"/>
  <c r="AR264" i="21" s="1"/>
  <c r="AO264" i="21"/>
  <c r="AP264" i="21" s="1"/>
  <c r="AM264" i="21"/>
  <c r="AN264" i="21" s="1"/>
  <c r="AK264" i="21"/>
  <c r="AL264" i="21" s="1"/>
  <c r="AG264" i="21"/>
  <c r="AE264" i="21"/>
  <c r="AF264" i="21" s="1"/>
  <c r="AC264" i="21"/>
  <c r="AA264" i="21"/>
  <c r="AB264" i="21" s="1"/>
  <c r="W264" i="21"/>
  <c r="U264" i="21"/>
  <c r="V264" i="21" s="1"/>
  <c r="S264" i="21"/>
  <c r="T264" i="21" s="1"/>
  <c r="Q264" i="21"/>
  <c r="R264" i="21" s="1"/>
  <c r="P264" i="21"/>
  <c r="O264" i="21"/>
  <c r="N264" i="21"/>
  <c r="M264" i="21"/>
  <c r="L264" i="21"/>
  <c r="K264" i="21"/>
  <c r="J264" i="21"/>
  <c r="I264" i="21"/>
  <c r="H264" i="21"/>
  <c r="G264" i="21"/>
  <c r="F264" i="21"/>
  <c r="E264" i="21"/>
  <c r="D264" i="21"/>
  <c r="C264" i="21"/>
  <c r="B264" i="21"/>
  <c r="A264" i="21"/>
  <c r="BG263" i="21"/>
  <c r="BH263" i="21" s="1"/>
  <c r="BE263" i="21"/>
  <c r="BF263" i="21" s="1"/>
  <c r="AW263" i="21"/>
  <c r="AX263" i="21" s="1"/>
  <c r="AU263" i="21"/>
  <c r="AS263" i="21"/>
  <c r="AT263" i="21" s="1"/>
  <c r="AQ263" i="21"/>
  <c r="AR263" i="21" s="1"/>
  <c r="AO263" i="21"/>
  <c r="AP263" i="21" s="1"/>
  <c r="AM263" i="21"/>
  <c r="AN263" i="21" s="1"/>
  <c r="AK263" i="21"/>
  <c r="AG263" i="21"/>
  <c r="AH263" i="21" s="1"/>
  <c r="AE263" i="21"/>
  <c r="AF263" i="21" s="1"/>
  <c r="AC263" i="21"/>
  <c r="AA263" i="21"/>
  <c r="AB263" i="21" s="1"/>
  <c r="W263" i="21"/>
  <c r="X263" i="21" s="1"/>
  <c r="U263" i="21"/>
  <c r="V263" i="21" s="1"/>
  <c r="S263" i="21"/>
  <c r="T263" i="21" s="1"/>
  <c r="Q263" i="21"/>
  <c r="R263" i="21" s="1"/>
  <c r="P263" i="21"/>
  <c r="O263" i="21"/>
  <c r="N263" i="21"/>
  <c r="M263" i="21"/>
  <c r="L263" i="21"/>
  <c r="K263" i="21"/>
  <c r="J263" i="21"/>
  <c r="I263" i="21"/>
  <c r="H263" i="21"/>
  <c r="G263" i="21"/>
  <c r="F263" i="21"/>
  <c r="E263" i="21"/>
  <c r="D263" i="21"/>
  <c r="C263" i="21"/>
  <c r="B263" i="21"/>
  <c r="A263" i="21"/>
  <c r="BG262" i="21"/>
  <c r="BH262" i="21" s="1"/>
  <c r="BE262" i="21"/>
  <c r="BF262" i="21" s="1"/>
  <c r="AW262" i="21"/>
  <c r="AX262" i="21" s="1"/>
  <c r="AU262" i="21"/>
  <c r="AV262" i="21" s="1"/>
  <c r="AS262" i="21"/>
  <c r="AT262" i="21" s="1"/>
  <c r="AQ262" i="21"/>
  <c r="AR262" i="21" s="1"/>
  <c r="AO262" i="21"/>
  <c r="AM262" i="21"/>
  <c r="AN262" i="21" s="1"/>
  <c r="AK262" i="21"/>
  <c r="AL262" i="21" s="1"/>
  <c r="AG262" i="21"/>
  <c r="AE262" i="21"/>
  <c r="AF262" i="21" s="1"/>
  <c r="AC262" i="21"/>
  <c r="AD262" i="21" s="1"/>
  <c r="AA262" i="21"/>
  <c r="AB262" i="21" s="1"/>
  <c r="W262" i="21"/>
  <c r="X262" i="21" s="1"/>
  <c r="U262" i="21"/>
  <c r="V262" i="21" s="1"/>
  <c r="S262" i="21"/>
  <c r="T262" i="21" s="1"/>
  <c r="Q262" i="21"/>
  <c r="R262" i="21" s="1"/>
  <c r="P262" i="21"/>
  <c r="O262" i="21"/>
  <c r="N262" i="21"/>
  <c r="M262" i="21"/>
  <c r="L262" i="21"/>
  <c r="K262" i="21"/>
  <c r="J262" i="21"/>
  <c r="I262" i="21"/>
  <c r="H262" i="21"/>
  <c r="G262" i="21"/>
  <c r="F262" i="21"/>
  <c r="E262" i="21"/>
  <c r="D262" i="21"/>
  <c r="C262" i="21"/>
  <c r="B262" i="21"/>
  <c r="A262" i="21"/>
  <c r="BG261" i="21"/>
  <c r="BE261" i="21"/>
  <c r="BF261" i="21" s="1"/>
  <c r="AW261" i="21"/>
  <c r="AX261" i="21" s="1"/>
  <c r="AU261" i="21"/>
  <c r="AV261" i="21" s="1"/>
  <c r="AS261" i="21"/>
  <c r="AQ261" i="21"/>
  <c r="AR261" i="21" s="1"/>
  <c r="AO261" i="21"/>
  <c r="AP261" i="21" s="1"/>
  <c r="AM261" i="21"/>
  <c r="AK261" i="21"/>
  <c r="AL261" i="21" s="1"/>
  <c r="AG261" i="21"/>
  <c r="AH261" i="21" s="1"/>
  <c r="AE261" i="21"/>
  <c r="AF261" i="21" s="1"/>
  <c r="AC261" i="21"/>
  <c r="AD261" i="21" s="1"/>
  <c r="AA261" i="21"/>
  <c r="AB261" i="21" s="1"/>
  <c r="W261" i="21"/>
  <c r="X261" i="21" s="1"/>
  <c r="U261" i="21"/>
  <c r="V261" i="21" s="1"/>
  <c r="S261" i="21"/>
  <c r="Q261" i="21"/>
  <c r="R261" i="21" s="1"/>
  <c r="P261" i="21"/>
  <c r="O261" i="21"/>
  <c r="N261" i="21"/>
  <c r="M261" i="21"/>
  <c r="L261" i="21"/>
  <c r="K261" i="21"/>
  <c r="J261" i="21"/>
  <c r="I261" i="21"/>
  <c r="H261" i="21"/>
  <c r="G261" i="21"/>
  <c r="F261" i="21"/>
  <c r="E261" i="21"/>
  <c r="D261" i="21"/>
  <c r="C261" i="21"/>
  <c r="B261" i="21"/>
  <c r="A261" i="21"/>
  <c r="BG260" i="21"/>
  <c r="BH260" i="21" s="1"/>
  <c r="BE260" i="21"/>
  <c r="BF260" i="21" s="1"/>
  <c r="AW260" i="21"/>
  <c r="AU260" i="21"/>
  <c r="AV260" i="21" s="1"/>
  <c r="AS260" i="21"/>
  <c r="AT260" i="21" s="1"/>
  <c r="AQ260" i="21"/>
  <c r="AO260" i="21"/>
  <c r="AP260" i="21" s="1"/>
  <c r="AM260" i="21"/>
  <c r="AN260" i="21" s="1"/>
  <c r="AK260" i="21"/>
  <c r="AL260" i="21" s="1"/>
  <c r="AG260" i="21"/>
  <c r="AH260" i="21" s="1"/>
  <c r="AE260" i="21"/>
  <c r="AF260" i="21" s="1"/>
  <c r="AC260" i="21"/>
  <c r="AD260" i="21" s="1"/>
  <c r="AA260" i="21"/>
  <c r="AB260" i="21" s="1"/>
  <c r="W260" i="21"/>
  <c r="U260" i="21"/>
  <c r="V260" i="21" s="1"/>
  <c r="S260" i="21"/>
  <c r="T260" i="21" s="1"/>
  <c r="Q260" i="21"/>
  <c r="R260" i="21" s="1"/>
  <c r="P260" i="21"/>
  <c r="O260" i="21"/>
  <c r="N260" i="21"/>
  <c r="M260" i="21"/>
  <c r="L260" i="21"/>
  <c r="K260" i="21"/>
  <c r="J260" i="21"/>
  <c r="I260" i="21"/>
  <c r="H260" i="21"/>
  <c r="G260" i="21"/>
  <c r="F260" i="21"/>
  <c r="E260" i="21"/>
  <c r="D260" i="21"/>
  <c r="C260" i="21"/>
  <c r="B260" i="21"/>
  <c r="A260" i="21"/>
  <c r="BG259" i="21"/>
  <c r="BH259" i="21" s="1"/>
  <c r="BE259" i="21"/>
  <c r="AW259" i="21"/>
  <c r="AX259" i="21" s="1"/>
  <c r="AU259" i="21"/>
  <c r="AS259" i="21"/>
  <c r="AT259" i="21" s="1"/>
  <c r="AQ259" i="21"/>
  <c r="AR259" i="21" s="1"/>
  <c r="AO259" i="21"/>
  <c r="AP259" i="21" s="1"/>
  <c r="AM259" i="21"/>
  <c r="AN259" i="21" s="1"/>
  <c r="AK259" i="21"/>
  <c r="AL259" i="21" s="1"/>
  <c r="AG259" i="21"/>
  <c r="AH259" i="21" s="1"/>
  <c r="AE259" i="21"/>
  <c r="AF259" i="21" s="1"/>
  <c r="AC259" i="21"/>
  <c r="AA259" i="21"/>
  <c r="AB259" i="21" s="1"/>
  <c r="W259" i="21"/>
  <c r="X259" i="21" s="1"/>
  <c r="U259" i="21"/>
  <c r="V259" i="21" s="1"/>
  <c r="S259" i="21"/>
  <c r="T259" i="21" s="1"/>
  <c r="Q259" i="21"/>
  <c r="P259" i="21"/>
  <c r="O259" i="21"/>
  <c r="N259" i="21"/>
  <c r="M259" i="21"/>
  <c r="L259" i="21"/>
  <c r="K259" i="21"/>
  <c r="J259" i="21"/>
  <c r="I259" i="21"/>
  <c r="H259" i="21"/>
  <c r="G259" i="21"/>
  <c r="F259" i="21"/>
  <c r="E259" i="21"/>
  <c r="D259" i="21"/>
  <c r="C259" i="21"/>
  <c r="B259" i="21"/>
  <c r="A259" i="21"/>
  <c r="BG258" i="21"/>
  <c r="BH258" i="21" s="1"/>
  <c r="BE258" i="21"/>
  <c r="BF258" i="21" s="1"/>
  <c r="AW258" i="21"/>
  <c r="AX258" i="21" s="1"/>
  <c r="AU258" i="21"/>
  <c r="AV258" i="21" s="1"/>
  <c r="AS258" i="21"/>
  <c r="AT258" i="21" s="1"/>
  <c r="AQ258" i="21"/>
  <c r="AR258" i="21" s="1"/>
  <c r="AO258" i="21"/>
  <c r="AP258" i="21" s="1"/>
  <c r="AM258" i="21"/>
  <c r="AN258" i="21" s="1"/>
  <c r="AK258" i="21"/>
  <c r="AL258" i="21" s="1"/>
  <c r="AG258" i="21"/>
  <c r="AE258" i="21"/>
  <c r="AF258" i="21" s="1"/>
  <c r="AC258" i="21"/>
  <c r="AD258" i="21" s="1"/>
  <c r="AA258" i="21"/>
  <c r="AB258" i="21" s="1"/>
  <c r="W258" i="21"/>
  <c r="X258" i="21" s="1"/>
  <c r="U258" i="21"/>
  <c r="S258" i="21"/>
  <c r="T258" i="21" s="1"/>
  <c r="Q258" i="21"/>
  <c r="R258" i="21" s="1"/>
  <c r="P258" i="21"/>
  <c r="O258" i="21"/>
  <c r="N258" i="21"/>
  <c r="M258" i="21"/>
  <c r="L258" i="21"/>
  <c r="K258" i="21"/>
  <c r="J258" i="21"/>
  <c r="I258" i="21"/>
  <c r="H258" i="21"/>
  <c r="G258" i="21"/>
  <c r="F258" i="21"/>
  <c r="E258" i="21"/>
  <c r="D258" i="21"/>
  <c r="C258" i="21"/>
  <c r="B258" i="21"/>
  <c r="A258" i="21"/>
  <c r="BG257" i="21"/>
  <c r="BE257" i="21"/>
  <c r="BF257" i="21" s="1"/>
  <c r="AW257" i="21"/>
  <c r="AX257" i="21" s="1"/>
  <c r="AU257" i="21"/>
  <c r="AV257" i="21" s="1"/>
  <c r="AS257" i="21"/>
  <c r="AT257" i="21" s="1"/>
  <c r="AQ257" i="21"/>
  <c r="AR257" i="21" s="1"/>
  <c r="AO257" i="21"/>
  <c r="AP257" i="21" s="1"/>
  <c r="AM257" i="21"/>
  <c r="AK257" i="21"/>
  <c r="AL257" i="21" s="1"/>
  <c r="AG257" i="21"/>
  <c r="AH257" i="21" s="1"/>
  <c r="AE257" i="21"/>
  <c r="AF257" i="21" s="1"/>
  <c r="AC257" i="21"/>
  <c r="AD257" i="21" s="1"/>
  <c r="AA257" i="21"/>
  <c r="W257" i="21"/>
  <c r="X257" i="21" s="1"/>
  <c r="U257" i="21"/>
  <c r="V257" i="21" s="1"/>
  <c r="S257" i="21"/>
  <c r="Q257" i="21"/>
  <c r="R257" i="21" s="1"/>
  <c r="P257" i="21"/>
  <c r="O257" i="21"/>
  <c r="N257" i="21"/>
  <c r="M257" i="21"/>
  <c r="L257" i="21"/>
  <c r="K257" i="21"/>
  <c r="J257" i="21"/>
  <c r="I257" i="21"/>
  <c r="H257" i="21"/>
  <c r="G257" i="21"/>
  <c r="F257" i="21"/>
  <c r="E257" i="21"/>
  <c r="D257" i="21"/>
  <c r="C257" i="21"/>
  <c r="B257" i="21"/>
  <c r="A257" i="21"/>
  <c r="BG256" i="21"/>
  <c r="BH256" i="21" s="1"/>
  <c r="BE256" i="21"/>
  <c r="BF256" i="21" s="1"/>
  <c r="AW256" i="21"/>
  <c r="AX256" i="21" s="1"/>
  <c r="AU256" i="21"/>
  <c r="AV256" i="21" s="1"/>
  <c r="AS256" i="21"/>
  <c r="AT256" i="21" s="1"/>
  <c r="AQ256" i="21"/>
  <c r="AO256" i="21"/>
  <c r="AP256" i="21" s="1"/>
  <c r="AM256" i="21"/>
  <c r="AN256" i="21" s="1"/>
  <c r="AK256" i="21"/>
  <c r="AL256" i="21" s="1"/>
  <c r="AG256" i="21"/>
  <c r="AH256" i="21" s="1"/>
  <c r="AE256" i="21"/>
  <c r="AC256" i="21"/>
  <c r="AD256" i="21" s="1"/>
  <c r="AA256" i="21"/>
  <c r="AB256" i="21" s="1"/>
  <c r="W256" i="21"/>
  <c r="U256" i="21"/>
  <c r="V256" i="21" s="1"/>
  <c r="S256" i="21"/>
  <c r="T256" i="21" s="1"/>
  <c r="Q256" i="21"/>
  <c r="R256" i="21" s="1"/>
  <c r="P256" i="21"/>
  <c r="O256" i="21"/>
  <c r="N256" i="21"/>
  <c r="M256" i="21"/>
  <c r="L256" i="21"/>
  <c r="K256" i="21"/>
  <c r="J256" i="21"/>
  <c r="I256" i="21"/>
  <c r="H256" i="21"/>
  <c r="G256" i="21"/>
  <c r="F256" i="21"/>
  <c r="E256" i="21"/>
  <c r="D256" i="21"/>
  <c r="C256" i="21"/>
  <c r="B256" i="21"/>
  <c r="A256" i="21"/>
  <c r="BG255" i="21"/>
  <c r="BH255" i="21" s="1"/>
  <c r="BE255" i="21"/>
  <c r="BF255" i="21" s="1"/>
  <c r="AW255" i="21"/>
  <c r="AX255" i="21" s="1"/>
  <c r="AU255" i="21"/>
  <c r="AS255" i="21"/>
  <c r="AT255" i="21" s="1"/>
  <c r="AQ255" i="21"/>
  <c r="AR255" i="21" s="1"/>
  <c r="AO255" i="21"/>
  <c r="AP255" i="21" s="1"/>
  <c r="AM255" i="21"/>
  <c r="AN255" i="21" s="1"/>
  <c r="AK255" i="21"/>
  <c r="AG255" i="21"/>
  <c r="AH255" i="21" s="1"/>
  <c r="AE255" i="21"/>
  <c r="AF255" i="21" s="1"/>
  <c r="AC255" i="21"/>
  <c r="AA255" i="21"/>
  <c r="AB255" i="21" s="1"/>
  <c r="W255" i="21"/>
  <c r="X255" i="21" s="1"/>
  <c r="U255" i="21"/>
  <c r="V255" i="21" s="1"/>
  <c r="S255" i="21"/>
  <c r="T255" i="21" s="1"/>
  <c r="Q255" i="21"/>
  <c r="R255" i="21" s="1"/>
  <c r="P255" i="21"/>
  <c r="O255" i="21"/>
  <c r="N255" i="21"/>
  <c r="M255" i="21"/>
  <c r="L255" i="21"/>
  <c r="K255" i="21"/>
  <c r="J255" i="21"/>
  <c r="I255" i="21"/>
  <c r="H255" i="21"/>
  <c r="G255" i="21"/>
  <c r="F255" i="21"/>
  <c r="E255" i="21"/>
  <c r="D255" i="21"/>
  <c r="C255" i="21"/>
  <c r="B255" i="21"/>
  <c r="A255" i="21"/>
  <c r="BG254" i="21"/>
  <c r="BH254" i="21" s="1"/>
  <c r="BE254" i="21"/>
  <c r="BF254" i="21" s="1"/>
  <c r="AW254" i="21"/>
  <c r="AX254" i="21" s="1"/>
  <c r="AU254" i="21"/>
  <c r="AV254" i="21" s="1"/>
  <c r="AS254" i="21"/>
  <c r="AT254" i="21" s="1"/>
  <c r="AQ254" i="21"/>
  <c r="AR254" i="21" s="1"/>
  <c r="AO254" i="21"/>
  <c r="AM254" i="21"/>
  <c r="AN254" i="21" s="1"/>
  <c r="AK254" i="21"/>
  <c r="AL254" i="21" s="1"/>
  <c r="AG254" i="21"/>
  <c r="AE254" i="21"/>
  <c r="AF254" i="21" s="1"/>
  <c r="AC254" i="21"/>
  <c r="AD254" i="21" s="1"/>
  <c r="AA254" i="21"/>
  <c r="AB254" i="21" s="1"/>
  <c r="W254" i="21"/>
  <c r="X254" i="21" s="1"/>
  <c r="U254" i="21"/>
  <c r="V254" i="21" s="1"/>
  <c r="S254" i="21"/>
  <c r="T254" i="21" s="1"/>
  <c r="Q254" i="21"/>
  <c r="R254" i="21" s="1"/>
  <c r="P254" i="21"/>
  <c r="O254" i="21"/>
  <c r="N254" i="21"/>
  <c r="M254" i="21"/>
  <c r="L254" i="21"/>
  <c r="K254" i="21"/>
  <c r="J254" i="21"/>
  <c r="I254" i="21"/>
  <c r="H254" i="21"/>
  <c r="G254" i="21"/>
  <c r="F254" i="21"/>
  <c r="E254" i="21"/>
  <c r="D254" i="21"/>
  <c r="C254" i="21"/>
  <c r="B254" i="21"/>
  <c r="A254" i="21"/>
  <c r="BG253" i="21"/>
  <c r="BE253" i="21"/>
  <c r="BF253" i="21" s="1"/>
  <c r="AW253" i="21"/>
  <c r="AX253" i="21" s="1"/>
  <c r="AU253" i="21"/>
  <c r="AV253" i="21" s="1"/>
  <c r="AS253" i="21"/>
  <c r="AQ253" i="21"/>
  <c r="AR253" i="21" s="1"/>
  <c r="AO253" i="21"/>
  <c r="AP253" i="21" s="1"/>
  <c r="AM253" i="21"/>
  <c r="AK253" i="21"/>
  <c r="AL253" i="21" s="1"/>
  <c r="AG253" i="21"/>
  <c r="AH253" i="21" s="1"/>
  <c r="AE253" i="21"/>
  <c r="AF253" i="21" s="1"/>
  <c r="AC253" i="21"/>
  <c r="AD253" i="21" s="1"/>
  <c r="AA253" i="21"/>
  <c r="AB253" i="21" s="1"/>
  <c r="W253" i="21"/>
  <c r="X253" i="21" s="1"/>
  <c r="U253" i="21"/>
  <c r="V253" i="21" s="1"/>
  <c r="S253" i="21"/>
  <c r="Q253" i="21"/>
  <c r="R253" i="21" s="1"/>
  <c r="P253" i="21"/>
  <c r="O253" i="21"/>
  <c r="N253" i="21"/>
  <c r="M253" i="21"/>
  <c r="L253" i="21"/>
  <c r="K253" i="21"/>
  <c r="J253" i="21"/>
  <c r="I253" i="21"/>
  <c r="H253" i="21"/>
  <c r="G253" i="21"/>
  <c r="F253" i="21"/>
  <c r="E253" i="21"/>
  <c r="D253" i="21"/>
  <c r="C253" i="21"/>
  <c r="B253" i="21"/>
  <c r="A253" i="21"/>
  <c r="BG252" i="21"/>
  <c r="BH252" i="21" s="1"/>
  <c r="BE252" i="21"/>
  <c r="BF252" i="21" s="1"/>
  <c r="AW252" i="21"/>
  <c r="AU252" i="21"/>
  <c r="AV252" i="21" s="1"/>
  <c r="AS252" i="21"/>
  <c r="AT252" i="21" s="1"/>
  <c r="AQ252" i="21"/>
  <c r="AO252" i="21"/>
  <c r="AP252" i="21" s="1"/>
  <c r="AM252" i="21"/>
  <c r="AN252" i="21" s="1"/>
  <c r="AK252" i="21"/>
  <c r="AL252" i="21" s="1"/>
  <c r="AG252" i="21"/>
  <c r="AH252" i="21" s="1"/>
  <c r="AE252" i="21"/>
  <c r="AF252" i="21" s="1"/>
  <c r="AC252" i="21"/>
  <c r="AD252" i="21" s="1"/>
  <c r="AA252" i="21"/>
  <c r="AB252" i="21" s="1"/>
  <c r="W252" i="21"/>
  <c r="U252" i="21"/>
  <c r="V252" i="21" s="1"/>
  <c r="S252" i="21"/>
  <c r="T252" i="21" s="1"/>
  <c r="Q252" i="21"/>
  <c r="R252" i="21" s="1"/>
  <c r="P252" i="21"/>
  <c r="O252" i="21"/>
  <c r="N252" i="21"/>
  <c r="M252" i="21"/>
  <c r="L252" i="21"/>
  <c r="K252" i="21"/>
  <c r="J252" i="21"/>
  <c r="I252" i="21"/>
  <c r="H252" i="21"/>
  <c r="G252" i="21"/>
  <c r="F252" i="21"/>
  <c r="E252" i="21"/>
  <c r="D252" i="21"/>
  <c r="C252" i="21"/>
  <c r="B252" i="21"/>
  <c r="A252" i="21"/>
  <c r="BG251" i="21"/>
  <c r="BH251" i="21" s="1"/>
  <c r="BE251" i="21"/>
  <c r="AW251" i="21"/>
  <c r="AX251" i="21" s="1"/>
  <c r="AU251" i="21"/>
  <c r="AS251" i="21"/>
  <c r="AT251" i="21" s="1"/>
  <c r="AQ251" i="21"/>
  <c r="AR251" i="21" s="1"/>
  <c r="AO251" i="21"/>
  <c r="AP251" i="21" s="1"/>
  <c r="AM251" i="21"/>
  <c r="AN251" i="21" s="1"/>
  <c r="AK251" i="21"/>
  <c r="AL251" i="21" s="1"/>
  <c r="AG251" i="21"/>
  <c r="AH251" i="21" s="1"/>
  <c r="AE251" i="21"/>
  <c r="AF251" i="21" s="1"/>
  <c r="AC251" i="21"/>
  <c r="AA251" i="21"/>
  <c r="AB251" i="21" s="1"/>
  <c r="W251" i="21"/>
  <c r="X251" i="21" s="1"/>
  <c r="U251" i="21"/>
  <c r="V251" i="21" s="1"/>
  <c r="S251" i="21"/>
  <c r="T251" i="21" s="1"/>
  <c r="Q251" i="21"/>
  <c r="P251" i="21"/>
  <c r="O251" i="21"/>
  <c r="N251" i="21"/>
  <c r="M251" i="21"/>
  <c r="L251" i="21"/>
  <c r="K251" i="21"/>
  <c r="J251" i="21"/>
  <c r="I251" i="21"/>
  <c r="H251" i="21"/>
  <c r="G251" i="21"/>
  <c r="F251" i="21"/>
  <c r="E251" i="21"/>
  <c r="D251" i="21"/>
  <c r="C251" i="21"/>
  <c r="B251" i="21"/>
  <c r="A251" i="21"/>
  <c r="BG250" i="21"/>
  <c r="BH250" i="21" s="1"/>
  <c r="BE250" i="21"/>
  <c r="BF250" i="21" s="1"/>
  <c r="AW250" i="21"/>
  <c r="AX250" i="21" s="1"/>
  <c r="AU250" i="21"/>
  <c r="AV250" i="21" s="1"/>
  <c r="AS250" i="21"/>
  <c r="AT250" i="21" s="1"/>
  <c r="AQ250" i="21"/>
  <c r="AR250" i="21" s="1"/>
  <c r="AO250" i="21"/>
  <c r="AP250" i="21" s="1"/>
  <c r="AM250" i="21"/>
  <c r="AN250" i="21" s="1"/>
  <c r="AK250" i="21"/>
  <c r="AL250" i="21" s="1"/>
  <c r="AG250" i="21"/>
  <c r="AE250" i="21"/>
  <c r="AF250" i="21" s="1"/>
  <c r="AC250" i="21"/>
  <c r="AD250" i="21" s="1"/>
  <c r="AA250" i="21"/>
  <c r="AB250" i="21" s="1"/>
  <c r="W250" i="21"/>
  <c r="X250" i="21" s="1"/>
  <c r="U250" i="21"/>
  <c r="S250" i="21"/>
  <c r="T250" i="21" s="1"/>
  <c r="Q250" i="21"/>
  <c r="R250" i="21" s="1"/>
  <c r="P250" i="21"/>
  <c r="O250" i="21"/>
  <c r="N250" i="21"/>
  <c r="M250" i="21"/>
  <c r="L250" i="21"/>
  <c r="K250" i="21"/>
  <c r="J250" i="21"/>
  <c r="I250" i="21"/>
  <c r="H250" i="21"/>
  <c r="G250" i="21"/>
  <c r="F250" i="21"/>
  <c r="E250" i="21"/>
  <c r="D250" i="21"/>
  <c r="C250" i="21"/>
  <c r="B250" i="21"/>
  <c r="A250" i="21"/>
  <c r="BG249" i="21"/>
  <c r="BE249" i="21"/>
  <c r="BF249" i="21" s="1"/>
  <c r="AW249" i="21"/>
  <c r="AX249" i="21" s="1"/>
  <c r="AU249" i="21"/>
  <c r="AV249" i="21" s="1"/>
  <c r="AS249" i="21"/>
  <c r="AT249" i="21" s="1"/>
  <c r="AQ249" i="21"/>
  <c r="AR249" i="21" s="1"/>
  <c r="AO249" i="21"/>
  <c r="AP249" i="21" s="1"/>
  <c r="AM249" i="21"/>
  <c r="AK249" i="21"/>
  <c r="AL249" i="21" s="1"/>
  <c r="AG249" i="21"/>
  <c r="AH249" i="21" s="1"/>
  <c r="AE249" i="21"/>
  <c r="AF249" i="21" s="1"/>
  <c r="AC249" i="21"/>
  <c r="AD249" i="21" s="1"/>
  <c r="AA249" i="21"/>
  <c r="W249" i="21"/>
  <c r="X249" i="21" s="1"/>
  <c r="U249" i="21"/>
  <c r="V249" i="21" s="1"/>
  <c r="S249" i="21"/>
  <c r="Q249" i="21"/>
  <c r="R249" i="21" s="1"/>
  <c r="P249" i="21"/>
  <c r="O249" i="21"/>
  <c r="N249" i="21"/>
  <c r="M249" i="21"/>
  <c r="L249" i="21"/>
  <c r="K249" i="21"/>
  <c r="J249" i="21"/>
  <c r="I249" i="21"/>
  <c r="H249" i="21"/>
  <c r="G249" i="21"/>
  <c r="F249" i="21"/>
  <c r="E249" i="21"/>
  <c r="D249" i="21"/>
  <c r="C249" i="21"/>
  <c r="B249" i="21"/>
  <c r="A249" i="21"/>
  <c r="BG248" i="21"/>
  <c r="BH248" i="21" s="1"/>
  <c r="BE248" i="21"/>
  <c r="BF248" i="21" s="1"/>
  <c r="AW248" i="21"/>
  <c r="AX248" i="21" s="1"/>
  <c r="AU248" i="21"/>
  <c r="AV248" i="21" s="1"/>
  <c r="AS248" i="21"/>
  <c r="AT248" i="21" s="1"/>
  <c r="AQ248" i="21"/>
  <c r="AO248" i="21"/>
  <c r="AP248" i="21" s="1"/>
  <c r="AM248" i="21"/>
  <c r="AN248" i="21" s="1"/>
  <c r="AK248" i="21"/>
  <c r="AL248" i="21" s="1"/>
  <c r="AG248" i="21"/>
  <c r="AH248" i="21" s="1"/>
  <c r="AE248" i="21"/>
  <c r="AC248" i="21"/>
  <c r="AD248" i="21" s="1"/>
  <c r="AA248" i="21"/>
  <c r="AB248" i="21" s="1"/>
  <c r="W248" i="21"/>
  <c r="U248" i="21"/>
  <c r="V248" i="21" s="1"/>
  <c r="S248" i="21"/>
  <c r="T248" i="21" s="1"/>
  <c r="Q248" i="21"/>
  <c r="R248" i="21" s="1"/>
  <c r="P248" i="21"/>
  <c r="O248" i="21"/>
  <c r="N248" i="21"/>
  <c r="M248" i="21"/>
  <c r="L248" i="21"/>
  <c r="K248" i="21"/>
  <c r="J248" i="21"/>
  <c r="I248" i="21"/>
  <c r="H248" i="21"/>
  <c r="G248" i="21"/>
  <c r="F248" i="21"/>
  <c r="E248" i="21"/>
  <c r="D248" i="21"/>
  <c r="C248" i="21"/>
  <c r="B248" i="21"/>
  <c r="A248" i="21"/>
  <c r="BG247" i="21"/>
  <c r="BH247" i="21" s="1"/>
  <c r="BE247" i="21"/>
  <c r="BF247" i="21" s="1"/>
  <c r="AW247" i="21"/>
  <c r="AX247" i="21" s="1"/>
  <c r="AU247" i="21"/>
  <c r="AS247" i="21"/>
  <c r="AT247" i="21" s="1"/>
  <c r="AQ247" i="21"/>
  <c r="AR247" i="21" s="1"/>
  <c r="AO247" i="21"/>
  <c r="AP247" i="21" s="1"/>
  <c r="AM247" i="21"/>
  <c r="AN247" i="21" s="1"/>
  <c r="AK247" i="21"/>
  <c r="AG247" i="21"/>
  <c r="AH247" i="21" s="1"/>
  <c r="AE247" i="21"/>
  <c r="AF247" i="21" s="1"/>
  <c r="AC247" i="21"/>
  <c r="AA247" i="21"/>
  <c r="AB247" i="21" s="1"/>
  <c r="W247" i="21"/>
  <c r="X247" i="21" s="1"/>
  <c r="U247" i="21"/>
  <c r="V247" i="21" s="1"/>
  <c r="S247" i="21"/>
  <c r="T247" i="21" s="1"/>
  <c r="Q247" i="21"/>
  <c r="P247" i="21"/>
  <c r="O247" i="21"/>
  <c r="N247" i="21"/>
  <c r="M247" i="21"/>
  <c r="L247" i="21"/>
  <c r="K247" i="21"/>
  <c r="J247" i="21"/>
  <c r="I247" i="21"/>
  <c r="H247" i="21"/>
  <c r="G247" i="21"/>
  <c r="F247" i="21"/>
  <c r="E247" i="21"/>
  <c r="D247" i="21"/>
  <c r="C247" i="21"/>
  <c r="B247" i="21"/>
  <c r="A247" i="21"/>
  <c r="BG246" i="21"/>
  <c r="BH246" i="21" s="1"/>
  <c r="BE246" i="21"/>
  <c r="BF246" i="21" s="1"/>
  <c r="AW246" i="21"/>
  <c r="AX246" i="21" s="1"/>
  <c r="AU246" i="21"/>
  <c r="AV246" i="21" s="1"/>
  <c r="AS246" i="21"/>
  <c r="AT246" i="21" s="1"/>
  <c r="AQ246" i="21"/>
  <c r="AR246" i="21" s="1"/>
  <c r="AO246" i="21"/>
  <c r="AM246" i="21"/>
  <c r="AN246" i="21" s="1"/>
  <c r="AK246" i="21"/>
  <c r="AL246" i="21" s="1"/>
  <c r="AG246" i="21"/>
  <c r="AE246" i="21"/>
  <c r="AF246" i="21" s="1"/>
  <c r="AC246" i="21"/>
  <c r="AD246" i="21" s="1"/>
  <c r="AA246" i="21"/>
  <c r="AB246" i="21" s="1"/>
  <c r="W246" i="21"/>
  <c r="X246" i="21" s="1"/>
  <c r="U246" i="21"/>
  <c r="V246" i="21" s="1"/>
  <c r="S246" i="21"/>
  <c r="T246" i="21" s="1"/>
  <c r="Q246" i="21"/>
  <c r="R246" i="21" s="1"/>
  <c r="P246" i="21"/>
  <c r="O246" i="21"/>
  <c r="N246" i="21"/>
  <c r="M246" i="21"/>
  <c r="L246" i="21"/>
  <c r="K246" i="21"/>
  <c r="J246" i="21"/>
  <c r="I246" i="21"/>
  <c r="H246" i="21"/>
  <c r="G246" i="21"/>
  <c r="F246" i="21"/>
  <c r="E246" i="21"/>
  <c r="D246" i="21"/>
  <c r="C246" i="21"/>
  <c r="B246" i="21"/>
  <c r="A246" i="21"/>
  <c r="BG245" i="21"/>
  <c r="BE245" i="21"/>
  <c r="BF245" i="21" s="1"/>
  <c r="AW245" i="21"/>
  <c r="AX245" i="21" s="1"/>
  <c r="AU245" i="21"/>
  <c r="AV245" i="21" s="1"/>
  <c r="AS245" i="21"/>
  <c r="AQ245" i="21"/>
  <c r="AR245" i="21" s="1"/>
  <c r="AO245" i="21"/>
  <c r="AP245" i="21" s="1"/>
  <c r="AM245" i="21"/>
  <c r="AK245" i="21"/>
  <c r="AL245" i="21" s="1"/>
  <c r="AG245" i="21"/>
  <c r="AH245" i="21" s="1"/>
  <c r="AE245" i="21"/>
  <c r="AF245" i="21" s="1"/>
  <c r="AC245" i="21"/>
  <c r="AD245" i="21" s="1"/>
  <c r="AA245" i="21"/>
  <c r="AB245" i="21" s="1"/>
  <c r="W245" i="21"/>
  <c r="X245" i="21" s="1"/>
  <c r="U245" i="21"/>
  <c r="V245" i="21" s="1"/>
  <c r="S245" i="21"/>
  <c r="Q245" i="21"/>
  <c r="R245" i="21" s="1"/>
  <c r="P245" i="21"/>
  <c r="O245" i="21"/>
  <c r="N245" i="21"/>
  <c r="M245" i="21"/>
  <c r="L245" i="21"/>
  <c r="K245" i="21"/>
  <c r="J245" i="21"/>
  <c r="I245" i="21"/>
  <c r="H245" i="21"/>
  <c r="G245" i="21"/>
  <c r="F245" i="21"/>
  <c r="E245" i="21"/>
  <c r="D245" i="21"/>
  <c r="C245" i="21"/>
  <c r="B245" i="21"/>
  <c r="A245" i="21"/>
  <c r="BG244" i="21"/>
  <c r="BH244" i="21" s="1"/>
  <c r="BE244" i="21"/>
  <c r="BF244" i="21" s="1"/>
  <c r="AW244" i="21"/>
  <c r="AU244" i="21"/>
  <c r="AV244" i="21" s="1"/>
  <c r="AS244" i="21"/>
  <c r="AT244" i="21" s="1"/>
  <c r="AQ244" i="21"/>
  <c r="AO244" i="21"/>
  <c r="AP244" i="21" s="1"/>
  <c r="AM244" i="21"/>
  <c r="AN244" i="21" s="1"/>
  <c r="AK244" i="21"/>
  <c r="AL244" i="21" s="1"/>
  <c r="AG244" i="21"/>
  <c r="AH244" i="21" s="1"/>
  <c r="AE244" i="21"/>
  <c r="AF244" i="21" s="1"/>
  <c r="AC244" i="21"/>
  <c r="AD244" i="21" s="1"/>
  <c r="AA244" i="21"/>
  <c r="AB244" i="21" s="1"/>
  <c r="W244" i="21"/>
  <c r="U244" i="21"/>
  <c r="V244" i="21" s="1"/>
  <c r="S244" i="21"/>
  <c r="T244" i="21" s="1"/>
  <c r="Q244" i="21"/>
  <c r="R244" i="21" s="1"/>
  <c r="P244" i="21"/>
  <c r="O244" i="21"/>
  <c r="N244" i="21"/>
  <c r="M244" i="21"/>
  <c r="L244" i="21"/>
  <c r="K244" i="21"/>
  <c r="J244" i="21"/>
  <c r="I244" i="21"/>
  <c r="H244" i="21"/>
  <c r="G244" i="21"/>
  <c r="F244" i="21"/>
  <c r="E244" i="21"/>
  <c r="D244" i="21"/>
  <c r="C244" i="21"/>
  <c r="B244" i="21"/>
  <c r="A244" i="21"/>
  <c r="BG243" i="21"/>
  <c r="BH243" i="21" s="1"/>
  <c r="BE243" i="21"/>
  <c r="BF243" i="21" s="1"/>
  <c r="AW243" i="21"/>
  <c r="AX243" i="21" s="1"/>
  <c r="AU243" i="21"/>
  <c r="AV243" i="21" s="1"/>
  <c r="AS243" i="21"/>
  <c r="AT243" i="21" s="1"/>
  <c r="AQ243" i="21"/>
  <c r="AR243" i="21" s="1"/>
  <c r="AO243" i="21"/>
  <c r="AP243" i="21" s="1"/>
  <c r="AM243" i="21"/>
  <c r="AN243" i="21" s="1"/>
  <c r="BB243" i="21" s="1"/>
  <c r="AK243" i="21"/>
  <c r="AL243" i="21" s="1"/>
  <c r="AG243" i="21"/>
  <c r="AH243" i="21" s="1"/>
  <c r="AE243" i="21"/>
  <c r="AC243" i="21"/>
  <c r="AA243" i="21"/>
  <c r="AB243" i="21" s="1"/>
  <c r="W243" i="21"/>
  <c r="U243" i="21"/>
  <c r="V243" i="21" s="1"/>
  <c r="S243" i="21"/>
  <c r="T243" i="21" s="1"/>
  <c r="Q243" i="21"/>
  <c r="R243" i="21" s="1"/>
  <c r="P243" i="21"/>
  <c r="O243" i="21"/>
  <c r="N243" i="21"/>
  <c r="M243" i="21"/>
  <c r="L243" i="21"/>
  <c r="K243" i="21"/>
  <c r="J243" i="21"/>
  <c r="I243" i="21"/>
  <c r="H243" i="21"/>
  <c r="G243" i="21"/>
  <c r="F243" i="21"/>
  <c r="E243" i="21"/>
  <c r="D243" i="21"/>
  <c r="C243" i="21"/>
  <c r="B243" i="21"/>
  <c r="A243" i="21"/>
  <c r="BG242" i="21"/>
  <c r="BH242" i="21" s="1"/>
  <c r="BE242" i="21"/>
  <c r="BF242" i="21" s="1"/>
  <c r="AW242" i="21"/>
  <c r="AX242" i="21" s="1"/>
  <c r="AU242" i="21"/>
  <c r="AV242" i="21" s="1"/>
  <c r="AS242" i="21"/>
  <c r="AT242" i="21" s="1"/>
  <c r="AQ242" i="21"/>
  <c r="AR242" i="21" s="1"/>
  <c r="AO242" i="21"/>
  <c r="AP242" i="21" s="1"/>
  <c r="AM242" i="21"/>
  <c r="AN242" i="21" s="1"/>
  <c r="AK242" i="21"/>
  <c r="AL242" i="21" s="1"/>
  <c r="AG242" i="21"/>
  <c r="AE242" i="21"/>
  <c r="AF242" i="21" s="1"/>
  <c r="AC242" i="21"/>
  <c r="AA242" i="21"/>
  <c r="AB242" i="21" s="1"/>
  <c r="W242" i="21"/>
  <c r="X242" i="21" s="1"/>
  <c r="U242" i="21"/>
  <c r="V242" i="21" s="1"/>
  <c r="S242" i="21"/>
  <c r="T242" i="21" s="1"/>
  <c r="Q242" i="21"/>
  <c r="R242" i="21" s="1"/>
  <c r="P242" i="21"/>
  <c r="O242" i="21"/>
  <c r="N242" i="21"/>
  <c r="M242" i="21"/>
  <c r="L242" i="21"/>
  <c r="K242" i="21"/>
  <c r="J242" i="21"/>
  <c r="I242" i="21"/>
  <c r="H242" i="21"/>
  <c r="G242" i="21"/>
  <c r="F242" i="21"/>
  <c r="E242" i="21"/>
  <c r="D242" i="21"/>
  <c r="C242" i="21"/>
  <c r="B242" i="21"/>
  <c r="A242" i="21"/>
  <c r="BG241" i="21"/>
  <c r="BH241" i="21" s="1"/>
  <c r="BE241" i="21"/>
  <c r="BF241" i="21" s="1"/>
  <c r="AW241" i="21"/>
  <c r="AX241" i="21" s="1"/>
  <c r="AU241" i="21"/>
  <c r="AV241" i="21" s="1"/>
  <c r="AS241" i="21"/>
  <c r="AT241" i="21" s="1"/>
  <c r="AQ241" i="21"/>
  <c r="AR241" i="21" s="1"/>
  <c r="AO241" i="21"/>
  <c r="AP241" i="21" s="1"/>
  <c r="AM241" i="21"/>
  <c r="AK241" i="21"/>
  <c r="AL241" i="21" s="1"/>
  <c r="AG241" i="21"/>
  <c r="AE241" i="21"/>
  <c r="AF241" i="21" s="1"/>
  <c r="AC241" i="21"/>
  <c r="AD241" i="21" s="1"/>
  <c r="AA241" i="21"/>
  <c r="AB241" i="21" s="1"/>
  <c r="W241" i="21"/>
  <c r="X241" i="21" s="1"/>
  <c r="U241" i="21"/>
  <c r="S241" i="21"/>
  <c r="T241" i="21" s="1"/>
  <c r="Q241" i="21"/>
  <c r="R241" i="21" s="1"/>
  <c r="P241" i="21"/>
  <c r="O241" i="21"/>
  <c r="N241" i="21"/>
  <c r="M241" i="21"/>
  <c r="L241" i="21"/>
  <c r="K241" i="21"/>
  <c r="J241" i="21"/>
  <c r="I241" i="21"/>
  <c r="H241" i="21"/>
  <c r="G241" i="21"/>
  <c r="F241" i="21"/>
  <c r="E241" i="21"/>
  <c r="D241" i="21"/>
  <c r="C241" i="21"/>
  <c r="B241" i="21"/>
  <c r="A241" i="21"/>
  <c r="BG240" i="21"/>
  <c r="BE240" i="21"/>
  <c r="BF240" i="21" s="1"/>
  <c r="AW240" i="21"/>
  <c r="AU240" i="21"/>
  <c r="AV240" i="21" s="1"/>
  <c r="AS240" i="21"/>
  <c r="AQ240" i="21"/>
  <c r="AR240" i="21" s="1"/>
  <c r="AO240" i="21"/>
  <c r="AP240" i="21" s="1"/>
  <c r="AM240" i="21"/>
  <c r="AK240" i="21"/>
  <c r="AL240" i="21" s="1"/>
  <c r="AG240" i="21"/>
  <c r="AH240" i="21" s="1"/>
  <c r="AE240" i="21"/>
  <c r="AF240" i="21" s="1"/>
  <c r="AC240" i="21"/>
  <c r="AD240" i="21" s="1"/>
  <c r="AA240" i="21"/>
  <c r="W240" i="21"/>
  <c r="X240" i="21" s="1"/>
  <c r="U240" i="21"/>
  <c r="V240" i="21" s="1"/>
  <c r="S240" i="21"/>
  <c r="Q240" i="21"/>
  <c r="R240" i="21" s="1"/>
  <c r="P240" i="21"/>
  <c r="O240" i="21"/>
  <c r="N240" i="21"/>
  <c r="M240" i="21"/>
  <c r="L240" i="21"/>
  <c r="K240" i="21"/>
  <c r="J240" i="21"/>
  <c r="I240" i="21"/>
  <c r="H240" i="21"/>
  <c r="G240" i="21"/>
  <c r="F240" i="21"/>
  <c r="E240" i="21"/>
  <c r="D240" i="21"/>
  <c r="C240" i="21"/>
  <c r="B240" i="21"/>
  <c r="A240" i="21"/>
  <c r="BG239" i="21"/>
  <c r="BH239" i="21" s="1"/>
  <c r="BE239" i="21"/>
  <c r="BF239" i="21" s="1"/>
  <c r="AW239" i="21"/>
  <c r="AX239" i="21" s="1"/>
  <c r="AU239" i="21"/>
  <c r="AV239" i="21" s="1"/>
  <c r="AS239" i="21"/>
  <c r="AT239" i="21" s="1"/>
  <c r="AQ239" i="21"/>
  <c r="AO239" i="21"/>
  <c r="AP239" i="21" s="1"/>
  <c r="AM239" i="21"/>
  <c r="AN239" i="21" s="1"/>
  <c r="AK239" i="21"/>
  <c r="AL239" i="21" s="1"/>
  <c r="AG239" i="21"/>
  <c r="AH239" i="21" s="1"/>
  <c r="AE239" i="21"/>
  <c r="AC239" i="21"/>
  <c r="AD239" i="21" s="1"/>
  <c r="AA239" i="21"/>
  <c r="AB239" i="21" s="1"/>
  <c r="W239" i="21"/>
  <c r="U239" i="21"/>
  <c r="V239" i="21" s="1"/>
  <c r="S239" i="21"/>
  <c r="T239" i="21" s="1"/>
  <c r="Q239" i="21"/>
  <c r="R239" i="21" s="1"/>
  <c r="P239" i="21"/>
  <c r="O239" i="21"/>
  <c r="N239" i="21"/>
  <c r="M239" i="21"/>
  <c r="L239" i="21"/>
  <c r="K239" i="21"/>
  <c r="J239" i="21"/>
  <c r="I239" i="21"/>
  <c r="H239" i="21"/>
  <c r="G239" i="21"/>
  <c r="F239" i="21"/>
  <c r="E239" i="21"/>
  <c r="D239" i="21"/>
  <c r="C239" i="21"/>
  <c r="B239" i="21"/>
  <c r="A239" i="21"/>
  <c r="BG238" i="21"/>
  <c r="BH238" i="21" s="1"/>
  <c r="BE238" i="21"/>
  <c r="AW238" i="21"/>
  <c r="AX238" i="21" s="1"/>
  <c r="AU238" i="21"/>
  <c r="AS238" i="21"/>
  <c r="AT238" i="21" s="1"/>
  <c r="AQ238" i="21"/>
  <c r="AR238" i="21" s="1"/>
  <c r="AO238" i="21"/>
  <c r="AP238" i="21" s="1"/>
  <c r="AM238" i="21"/>
  <c r="AN238" i="21" s="1"/>
  <c r="AK238" i="21"/>
  <c r="AG238" i="21"/>
  <c r="AH238" i="21" s="1"/>
  <c r="AE238" i="21"/>
  <c r="AF238" i="21" s="1"/>
  <c r="AC238" i="21"/>
  <c r="AA238" i="21"/>
  <c r="AB238" i="21" s="1"/>
  <c r="W238" i="21"/>
  <c r="X238" i="21" s="1"/>
  <c r="U238" i="21"/>
  <c r="V238" i="21" s="1"/>
  <c r="S238" i="21"/>
  <c r="T238" i="21" s="1"/>
  <c r="Q238" i="21"/>
  <c r="P238" i="21"/>
  <c r="O238" i="21"/>
  <c r="N238" i="21"/>
  <c r="M238" i="21"/>
  <c r="L238" i="21"/>
  <c r="K238" i="21"/>
  <c r="J238" i="21"/>
  <c r="I238" i="21"/>
  <c r="H238" i="21"/>
  <c r="G238" i="21"/>
  <c r="F238" i="21"/>
  <c r="E238" i="21"/>
  <c r="D238" i="21"/>
  <c r="C238" i="21"/>
  <c r="B238" i="21"/>
  <c r="A238" i="21"/>
  <c r="BG237" i="21"/>
  <c r="BH237" i="21" s="1"/>
  <c r="BE237" i="21"/>
  <c r="BF237" i="21" s="1"/>
  <c r="AW237" i="21"/>
  <c r="AX237" i="21" s="1"/>
  <c r="AU237" i="21"/>
  <c r="AV237" i="21" s="1"/>
  <c r="AS237" i="21"/>
  <c r="AT237" i="21" s="1"/>
  <c r="AQ237" i="21"/>
  <c r="AR237" i="21" s="1"/>
  <c r="AO237" i="21"/>
  <c r="AM237" i="21"/>
  <c r="AN237" i="21" s="1"/>
  <c r="AK237" i="21"/>
  <c r="AL237" i="21" s="1"/>
  <c r="AG237" i="21"/>
  <c r="AE237" i="21"/>
  <c r="AF237" i="21" s="1"/>
  <c r="AC237" i="21"/>
  <c r="AD237" i="21" s="1"/>
  <c r="AA237" i="21"/>
  <c r="AB237" i="21" s="1"/>
  <c r="W237" i="21"/>
  <c r="X237" i="21" s="1"/>
  <c r="U237" i="21"/>
  <c r="S237" i="21"/>
  <c r="T237" i="21" s="1"/>
  <c r="Q237" i="21"/>
  <c r="R237" i="21" s="1"/>
  <c r="P237" i="21"/>
  <c r="O237" i="21"/>
  <c r="N237" i="21"/>
  <c r="M237" i="21"/>
  <c r="L237" i="21"/>
  <c r="K237" i="21"/>
  <c r="J237" i="21"/>
  <c r="I237" i="21"/>
  <c r="H237" i="21"/>
  <c r="G237" i="21"/>
  <c r="F237" i="21"/>
  <c r="E237" i="21"/>
  <c r="D237" i="21"/>
  <c r="C237" i="21"/>
  <c r="B237" i="21"/>
  <c r="A237" i="21"/>
  <c r="BG236" i="21"/>
  <c r="BE236" i="21"/>
  <c r="BF236" i="21" s="1"/>
  <c r="AW236" i="21"/>
  <c r="AX236" i="21" s="1"/>
  <c r="AU236" i="21"/>
  <c r="AV236" i="21" s="1"/>
  <c r="AS236" i="21"/>
  <c r="AQ236" i="21"/>
  <c r="AR236" i="21" s="1"/>
  <c r="AO236" i="21"/>
  <c r="AP236" i="21" s="1"/>
  <c r="AM236" i="21"/>
  <c r="AK236" i="21"/>
  <c r="AL236" i="21" s="1"/>
  <c r="AG236" i="21"/>
  <c r="AH236" i="21" s="1"/>
  <c r="AE236" i="21"/>
  <c r="AF236" i="21" s="1"/>
  <c r="AC236" i="21"/>
  <c r="AD236" i="21" s="1"/>
  <c r="AA236" i="21"/>
  <c r="W236" i="21"/>
  <c r="X236" i="21" s="1"/>
  <c r="U236" i="21"/>
  <c r="V236" i="21" s="1"/>
  <c r="S236" i="21"/>
  <c r="Q236" i="21"/>
  <c r="R236" i="21" s="1"/>
  <c r="P236" i="21"/>
  <c r="O236" i="21"/>
  <c r="N236" i="21"/>
  <c r="M236" i="21"/>
  <c r="L236" i="21"/>
  <c r="K236" i="21"/>
  <c r="J236" i="21"/>
  <c r="I236" i="21"/>
  <c r="H236" i="21"/>
  <c r="G236" i="21"/>
  <c r="F236" i="21"/>
  <c r="E236" i="21"/>
  <c r="D236" i="21"/>
  <c r="C236" i="21"/>
  <c r="B236" i="21"/>
  <c r="A236" i="21"/>
  <c r="BG235" i="21"/>
  <c r="BH235" i="21" s="1"/>
  <c r="BE235" i="21"/>
  <c r="BF235" i="21" s="1"/>
  <c r="AW235" i="21"/>
  <c r="AX235" i="21" s="1"/>
  <c r="AU235" i="21"/>
  <c r="AV235" i="21" s="1"/>
  <c r="AS235" i="21"/>
  <c r="AT235" i="21" s="1"/>
  <c r="AQ235" i="21"/>
  <c r="AO235" i="21"/>
  <c r="AP235" i="21" s="1"/>
  <c r="AM235" i="21"/>
  <c r="AN235" i="21" s="1"/>
  <c r="AK235" i="21"/>
  <c r="AL235" i="21" s="1"/>
  <c r="AG235" i="21"/>
  <c r="AH235" i="21" s="1"/>
  <c r="AE235" i="21"/>
  <c r="AC235" i="21"/>
  <c r="AD235" i="21" s="1"/>
  <c r="AA235" i="21"/>
  <c r="AB235" i="21" s="1"/>
  <c r="W235" i="21"/>
  <c r="U235" i="21"/>
  <c r="V235" i="21" s="1"/>
  <c r="S235" i="21"/>
  <c r="T235" i="21" s="1"/>
  <c r="Q235" i="21"/>
  <c r="R235" i="21" s="1"/>
  <c r="P235" i="21"/>
  <c r="O235" i="21"/>
  <c r="N235" i="21"/>
  <c r="M235" i="21"/>
  <c r="L235" i="21"/>
  <c r="K235" i="21"/>
  <c r="J235" i="21"/>
  <c r="I235" i="21"/>
  <c r="H235" i="21"/>
  <c r="G235" i="21"/>
  <c r="F235" i="21"/>
  <c r="E235" i="21"/>
  <c r="D235" i="21"/>
  <c r="C235" i="21"/>
  <c r="B235" i="21"/>
  <c r="A235" i="21"/>
  <c r="BG234" i="21"/>
  <c r="BH234" i="21" s="1"/>
  <c r="BE234" i="21"/>
  <c r="BF234" i="21" s="1"/>
  <c r="AW234" i="21"/>
  <c r="AX234" i="21" s="1"/>
  <c r="AU234" i="21"/>
  <c r="AS234" i="21"/>
  <c r="AT234" i="21" s="1"/>
  <c r="AQ234" i="21"/>
  <c r="AR234" i="21" s="1"/>
  <c r="AO234" i="21"/>
  <c r="AP234" i="21" s="1"/>
  <c r="AM234" i="21"/>
  <c r="AN234" i="21" s="1"/>
  <c r="AK234" i="21"/>
  <c r="AG234" i="21"/>
  <c r="AH234" i="21" s="1"/>
  <c r="AE234" i="21"/>
  <c r="AF234" i="21" s="1"/>
  <c r="AC234" i="21"/>
  <c r="AA234" i="21"/>
  <c r="AB234" i="21" s="1"/>
  <c r="W234" i="21"/>
  <c r="X234" i="21" s="1"/>
  <c r="U234" i="21"/>
  <c r="V234" i="21" s="1"/>
  <c r="S234" i="21"/>
  <c r="T234" i="21" s="1"/>
  <c r="Q234" i="21"/>
  <c r="P234" i="21"/>
  <c r="O234" i="21"/>
  <c r="N234" i="21"/>
  <c r="M234" i="21"/>
  <c r="L234" i="21"/>
  <c r="K234" i="21"/>
  <c r="J234" i="21"/>
  <c r="I234" i="21"/>
  <c r="H234" i="21"/>
  <c r="G234" i="21"/>
  <c r="F234" i="21"/>
  <c r="E234" i="21"/>
  <c r="D234" i="21"/>
  <c r="C234" i="21"/>
  <c r="B234" i="21"/>
  <c r="A234" i="21"/>
  <c r="BG233" i="21"/>
  <c r="BH233" i="21" s="1"/>
  <c r="BE233" i="21"/>
  <c r="BF233" i="21" s="1"/>
  <c r="AW233" i="21"/>
  <c r="AX233" i="21" s="1"/>
  <c r="AU233" i="21"/>
  <c r="AV233" i="21" s="1"/>
  <c r="AS233" i="21"/>
  <c r="AT233" i="21" s="1"/>
  <c r="AQ233" i="21"/>
  <c r="AR233" i="21" s="1"/>
  <c r="BB233" i="21" s="1"/>
  <c r="AO233" i="21"/>
  <c r="AM233" i="21"/>
  <c r="AN233" i="21" s="1"/>
  <c r="AK233" i="21"/>
  <c r="AL233" i="21" s="1"/>
  <c r="AG233" i="21"/>
  <c r="AE233" i="21"/>
  <c r="AF233" i="21" s="1"/>
  <c r="AC233" i="21"/>
  <c r="AD233" i="21" s="1"/>
  <c r="AA233" i="21"/>
  <c r="AB233" i="21" s="1"/>
  <c r="W233" i="21"/>
  <c r="X233" i="21" s="1"/>
  <c r="U233" i="21"/>
  <c r="S233" i="21"/>
  <c r="T233" i="21" s="1"/>
  <c r="Q233" i="21"/>
  <c r="R233" i="21" s="1"/>
  <c r="P233" i="21"/>
  <c r="O233" i="21"/>
  <c r="N233" i="21"/>
  <c r="M233" i="21"/>
  <c r="L233" i="21"/>
  <c r="K233" i="21"/>
  <c r="J233" i="21"/>
  <c r="I233" i="21"/>
  <c r="H233" i="21"/>
  <c r="G233" i="21"/>
  <c r="F233" i="21"/>
  <c r="E233" i="21"/>
  <c r="D233" i="21"/>
  <c r="C233" i="21"/>
  <c r="B233" i="21"/>
  <c r="A233" i="21"/>
  <c r="BG232" i="21"/>
  <c r="BE232" i="21"/>
  <c r="BF232" i="21" s="1"/>
  <c r="AW232" i="21"/>
  <c r="AX232" i="21" s="1"/>
  <c r="AU232" i="21"/>
  <c r="AV232" i="21" s="1"/>
  <c r="AS232" i="21"/>
  <c r="AQ232" i="21"/>
  <c r="AR232" i="21" s="1"/>
  <c r="AO232" i="21"/>
  <c r="AP232" i="21" s="1"/>
  <c r="AM232" i="21"/>
  <c r="AK232" i="21"/>
  <c r="AL232" i="21" s="1"/>
  <c r="AG232" i="21"/>
  <c r="AH232" i="21" s="1"/>
  <c r="AE232" i="21"/>
  <c r="AF232" i="21" s="1"/>
  <c r="AC232" i="21"/>
  <c r="AD232" i="21" s="1"/>
  <c r="AA232" i="21"/>
  <c r="AB232" i="21" s="1"/>
  <c r="W232" i="21"/>
  <c r="X232" i="21" s="1"/>
  <c r="U232" i="21"/>
  <c r="V232" i="21" s="1"/>
  <c r="S232" i="21"/>
  <c r="Q232" i="21"/>
  <c r="R232" i="21" s="1"/>
  <c r="P232" i="21"/>
  <c r="O232" i="21"/>
  <c r="N232" i="21"/>
  <c r="M232" i="21"/>
  <c r="L232" i="21"/>
  <c r="K232" i="21"/>
  <c r="J232" i="21"/>
  <c r="I232" i="21"/>
  <c r="H232" i="21"/>
  <c r="G232" i="21"/>
  <c r="F232" i="21"/>
  <c r="E232" i="21"/>
  <c r="D232" i="21"/>
  <c r="C232" i="21"/>
  <c r="B232" i="21"/>
  <c r="A232" i="21"/>
  <c r="BG231" i="21"/>
  <c r="BE231" i="21"/>
  <c r="BF231" i="21" s="1"/>
  <c r="AW231" i="21"/>
  <c r="AU231" i="21"/>
  <c r="AV231" i="21" s="1"/>
  <c r="AS231" i="21"/>
  <c r="AT231" i="21" s="1"/>
  <c r="AQ231" i="21"/>
  <c r="AO231" i="21"/>
  <c r="AP231" i="21" s="1"/>
  <c r="AM231" i="21"/>
  <c r="AN231" i="21" s="1"/>
  <c r="AK231" i="21"/>
  <c r="AL231" i="21" s="1"/>
  <c r="AG231" i="21"/>
  <c r="AH231" i="21" s="1"/>
  <c r="AE231" i="21"/>
  <c r="AF231" i="21" s="1"/>
  <c r="AC231" i="21"/>
  <c r="AD231" i="21" s="1"/>
  <c r="AA231" i="21"/>
  <c r="AB231" i="21" s="1"/>
  <c r="W231" i="21"/>
  <c r="U231" i="21"/>
  <c r="V231" i="21" s="1"/>
  <c r="S231" i="21"/>
  <c r="Q231" i="21"/>
  <c r="R231" i="21" s="1"/>
  <c r="P231" i="21"/>
  <c r="O231" i="21"/>
  <c r="N231" i="21"/>
  <c r="M231" i="21"/>
  <c r="L231" i="21"/>
  <c r="K231" i="21"/>
  <c r="J231" i="21"/>
  <c r="I231" i="21"/>
  <c r="H231" i="21"/>
  <c r="G231" i="21"/>
  <c r="F231" i="21"/>
  <c r="E231" i="21"/>
  <c r="D231" i="21"/>
  <c r="C231" i="21"/>
  <c r="B231" i="21"/>
  <c r="A231" i="21"/>
  <c r="BG230" i="21"/>
  <c r="BH230" i="21" s="1"/>
  <c r="BE230" i="21"/>
  <c r="AW230" i="21"/>
  <c r="AX230" i="21" s="1"/>
  <c r="AU230" i="21"/>
  <c r="AS230" i="21"/>
  <c r="AT230" i="21" s="1"/>
  <c r="AQ230" i="21"/>
  <c r="AR230" i="21" s="1"/>
  <c r="AO230" i="21"/>
  <c r="AM230" i="21"/>
  <c r="AN230" i="21" s="1"/>
  <c r="AK230" i="21"/>
  <c r="AL230" i="21" s="1"/>
  <c r="AG230" i="21"/>
  <c r="AH230" i="21" s="1"/>
  <c r="AE230" i="21"/>
  <c r="AF230" i="21" s="1"/>
  <c r="AC230" i="21"/>
  <c r="AA230" i="21"/>
  <c r="AB230" i="21" s="1"/>
  <c r="W230" i="21"/>
  <c r="X230" i="21" s="1"/>
  <c r="U230" i="21"/>
  <c r="V230" i="21" s="1"/>
  <c r="S230" i="21"/>
  <c r="T230" i="21" s="1"/>
  <c r="Q230" i="21"/>
  <c r="R230" i="21" s="1"/>
  <c r="P230" i="21"/>
  <c r="O230" i="21"/>
  <c r="N230" i="21"/>
  <c r="M230" i="21"/>
  <c r="L230" i="21"/>
  <c r="K230" i="21"/>
  <c r="J230" i="21"/>
  <c r="I230" i="21"/>
  <c r="H230" i="21"/>
  <c r="G230" i="21"/>
  <c r="F230" i="21"/>
  <c r="E230" i="21"/>
  <c r="D230" i="21"/>
  <c r="C230" i="21"/>
  <c r="B230" i="21"/>
  <c r="A230" i="21"/>
  <c r="BG229" i="21"/>
  <c r="BH229" i="21" s="1"/>
  <c r="BE229" i="21"/>
  <c r="BF229" i="21" s="1"/>
  <c r="AW229" i="21"/>
  <c r="AX229" i="21" s="1"/>
  <c r="AU229" i="21"/>
  <c r="AV229" i="21" s="1"/>
  <c r="AS229" i="21"/>
  <c r="AQ229" i="21"/>
  <c r="AR229" i="21" s="1"/>
  <c r="AO229" i="21"/>
  <c r="AM229" i="21"/>
  <c r="AK229" i="21"/>
  <c r="AL229" i="21" s="1"/>
  <c r="AG229" i="21"/>
  <c r="AE229" i="21"/>
  <c r="AF229" i="21" s="1"/>
  <c r="AC229" i="21"/>
  <c r="AA229" i="21"/>
  <c r="AB229" i="21" s="1"/>
  <c r="W229" i="21"/>
  <c r="X229" i="21" s="1"/>
  <c r="U229" i="21"/>
  <c r="S229" i="21"/>
  <c r="T229" i="21" s="1"/>
  <c r="Z229" i="21" s="1"/>
  <c r="Q229" i="21"/>
  <c r="R229" i="21" s="1"/>
  <c r="P229" i="21"/>
  <c r="O229" i="21"/>
  <c r="N229" i="21"/>
  <c r="M229" i="21"/>
  <c r="L229" i="21"/>
  <c r="K229" i="21"/>
  <c r="J229" i="21"/>
  <c r="I229" i="21"/>
  <c r="H229" i="21"/>
  <c r="G229" i="21"/>
  <c r="F229" i="21"/>
  <c r="E229" i="21"/>
  <c r="D229" i="21"/>
  <c r="C229" i="21"/>
  <c r="B229" i="21"/>
  <c r="A229" i="21"/>
  <c r="BG228" i="21"/>
  <c r="BE228" i="21"/>
  <c r="BF228" i="21" s="1"/>
  <c r="AW228" i="21"/>
  <c r="AU228" i="21"/>
  <c r="AV228" i="21" s="1"/>
  <c r="AS228" i="21"/>
  <c r="AQ228" i="21"/>
  <c r="AR228" i="21" s="1"/>
  <c r="AO228" i="21"/>
  <c r="AP228" i="21" s="1"/>
  <c r="AM228" i="21"/>
  <c r="AK228" i="21"/>
  <c r="AL228" i="21" s="1"/>
  <c r="AG228" i="21"/>
  <c r="AH228" i="21" s="1"/>
  <c r="AE228" i="21"/>
  <c r="AF228" i="21" s="1"/>
  <c r="AC228" i="21"/>
  <c r="AD228" i="21" s="1"/>
  <c r="AA228" i="21"/>
  <c r="AB228" i="21" s="1"/>
  <c r="W228" i="21"/>
  <c r="X228" i="21" s="1"/>
  <c r="U228" i="21"/>
  <c r="V228" i="21" s="1"/>
  <c r="S228" i="21"/>
  <c r="T228" i="21" s="1"/>
  <c r="Q228" i="21"/>
  <c r="P228" i="21"/>
  <c r="O228" i="21"/>
  <c r="N228" i="21"/>
  <c r="M228" i="21"/>
  <c r="L228" i="21"/>
  <c r="K228" i="21"/>
  <c r="J228" i="21"/>
  <c r="I228" i="21"/>
  <c r="H228" i="21"/>
  <c r="G228" i="21"/>
  <c r="F228" i="21"/>
  <c r="E228" i="21"/>
  <c r="D228" i="21"/>
  <c r="C228" i="21"/>
  <c r="B228" i="21"/>
  <c r="A228" i="21"/>
  <c r="BG227" i="21"/>
  <c r="BE227" i="21"/>
  <c r="BF227" i="21" s="1"/>
  <c r="AW227" i="21"/>
  <c r="AX227" i="21" s="1"/>
  <c r="AU227" i="21"/>
  <c r="AV227" i="21" s="1"/>
  <c r="AS227" i="21"/>
  <c r="AQ227" i="21"/>
  <c r="AR227" i="21" s="1"/>
  <c r="AO227" i="21"/>
  <c r="AM227" i="21"/>
  <c r="AK227" i="21"/>
  <c r="AL227" i="21" s="1"/>
  <c r="AG227" i="21"/>
  <c r="AE227" i="21"/>
  <c r="AF227" i="21" s="1"/>
  <c r="AC227" i="21"/>
  <c r="AD227" i="21" s="1"/>
  <c r="AA227" i="21"/>
  <c r="AB227" i="21" s="1"/>
  <c r="W227" i="21"/>
  <c r="X227" i="21" s="1"/>
  <c r="U227" i="21"/>
  <c r="S227" i="21"/>
  <c r="Q227" i="21"/>
  <c r="R227" i="21" s="1"/>
  <c r="P227" i="21"/>
  <c r="O227" i="21"/>
  <c r="N227" i="21"/>
  <c r="M227" i="21"/>
  <c r="L227" i="21"/>
  <c r="K227" i="21"/>
  <c r="J227" i="21"/>
  <c r="I227" i="21"/>
  <c r="H227" i="21"/>
  <c r="G227" i="21"/>
  <c r="F227" i="21"/>
  <c r="E227" i="21"/>
  <c r="D227" i="21"/>
  <c r="C227" i="21"/>
  <c r="B227" i="21"/>
  <c r="A227" i="21"/>
  <c r="BG226" i="21"/>
  <c r="BE226" i="21"/>
  <c r="BF226" i="21" s="1"/>
  <c r="AW226" i="21"/>
  <c r="AX226" i="21" s="1"/>
  <c r="AU226" i="21"/>
  <c r="AV226" i="21" s="1"/>
  <c r="AS226" i="21"/>
  <c r="AQ226" i="21"/>
  <c r="AO226" i="21"/>
  <c r="AP226" i="21" s="1"/>
  <c r="AM226" i="21"/>
  <c r="AK226" i="21"/>
  <c r="AL226" i="21" s="1"/>
  <c r="AG226" i="21"/>
  <c r="AH226" i="21" s="1"/>
  <c r="AE226" i="21"/>
  <c r="AF226" i="21" s="1"/>
  <c r="AC226" i="21"/>
  <c r="AD226" i="21" s="1"/>
  <c r="AA226" i="21"/>
  <c r="W226" i="21"/>
  <c r="U226" i="21"/>
  <c r="V226" i="21" s="1"/>
  <c r="S226" i="21"/>
  <c r="Q226" i="21"/>
  <c r="R226" i="21" s="1"/>
  <c r="P226" i="21"/>
  <c r="O226" i="21"/>
  <c r="N226" i="21"/>
  <c r="M226" i="21"/>
  <c r="L226" i="21"/>
  <c r="K226" i="21"/>
  <c r="J226" i="21"/>
  <c r="I226" i="21"/>
  <c r="H226" i="21"/>
  <c r="G226" i="21"/>
  <c r="F226" i="21"/>
  <c r="E226" i="21"/>
  <c r="D226" i="21"/>
  <c r="C226" i="21"/>
  <c r="B226" i="21"/>
  <c r="A226" i="21"/>
  <c r="BG225" i="21"/>
  <c r="BH225" i="21" s="1"/>
  <c r="BE225" i="21"/>
  <c r="BF225" i="21" s="1"/>
  <c r="AW225" i="21"/>
  <c r="AX225" i="21" s="1"/>
  <c r="AU225" i="21"/>
  <c r="AV225" i="21" s="1"/>
  <c r="AS225" i="21"/>
  <c r="AT225" i="21" s="1"/>
  <c r="AQ225" i="21"/>
  <c r="AO225" i="21"/>
  <c r="AP225" i="21" s="1"/>
  <c r="AM225" i="21"/>
  <c r="AN225" i="21" s="1"/>
  <c r="AK225" i="21"/>
  <c r="AL225" i="21" s="1"/>
  <c r="AG225" i="21"/>
  <c r="AH225" i="21" s="1"/>
  <c r="AE225" i="21"/>
  <c r="AC225" i="21"/>
  <c r="AD225" i="21" s="1"/>
  <c r="AJ225" i="21" s="1"/>
  <c r="AA225" i="21"/>
  <c r="AB225" i="21" s="1"/>
  <c r="W225" i="21"/>
  <c r="U225" i="21"/>
  <c r="V225" i="21" s="1"/>
  <c r="S225" i="21"/>
  <c r="T225" i="21" s="1"/>
  <c r="Q225" i="21"/>
  <c r="R225" i="21" s="1"/>
  <c r="P225" i="21"/>
  <c r="O225" i="21"/>
  <c r="N225" i="21"/>
  <c r="M225" i="21"/>
  <c r="L225" i="21"/>
  <c r="K225" i="21"/>
  <c r="J225" i="21"/>
  <c r="I225" i="21"/>
  <c r="H225" i="21"/>
  <c r="G225" i="21"/>
  <c r="F225" i="21"/>
  <c r="E225" i="21"/>
  <c r="D225" i="21"/>
  <c r="C225" i="21"/>
  <c r="B225" i="21"/>
  <c r="A225" i="21"/>
  <c r="BG224" i="21"/>
  <c r="BH224" i="21" s="1"/>
  <c r="BE224" i="21"/>
  <c r="AW224" i="21"/>
  <c r="AX224" i="21" s="1"/>
  <c r="AU224" i="21"/>
  <c r="AS224" i="21"/>
  <c r="AT224" i="21" s="1"/>
  <c r="AQ224" i="21"/>
  <c r="AR224" i="21" s="1"/>
  <c r="AO224" i="21"/>
  <c r="AP224" i="21" s="1"/>
  <c r="AM224" i="21"/>
  <c r="AN224" i="21" s="1"/>
  <c r="AK224" i="21"/>
  <c r="AG224" i="21"/>
  <c r="AH224" i="21" s="1"/>
  <c r="AE224" i="21"/>
  <c r="AF224" i="21" s="1"/>
  <c r="AC224" i="21"/>
  <c r="AA224" i="21"/>
  <c r="AB224" i="21" s="1"/>
  <c r="W224" i="21"/>
  <c r="X224" i="21" s="1"/>
  <c r="U224" i="21"/>
  <c r="V224" i="21" s="1"/>
  <c r="S224" i="21"/>
  <c r="T224" i="21" s="1"/>
  <c r="Q224" i="21"/>
  <c r="R224" i="21" s="1"/>
  <c r="P224" i="21"/>
  <c r="O224" i="21"/>
  <c r="N224" i="21"/>
  <c r="M224" i="21"/>
  <c r="L224" i="21"/>
  <c r="K224" i="21"/>
  <c r="J224" i="21"/>
  <c r="I224" i="21"/>
  <c r="H224" i="21"/>
  <c r="G224" i="21"/>
  <c r="F224" i="21"/>
  <c r="E224" i="21"/>
  <c r="D224" i="21"/>
  <c r="C224" i="21"/>
  <c r="B224" i="21"/>
  <c r="A224" i="21"/>
  <c r="BG223" i="21"/>
  <c r="BH223" i="21" s="1"/>
  <c r="BE223" i="21"/>
  <c r="BF223" i="21" s="1"/>
  <c r="AW223" i="21"/>
  <c r="AX223" i="21" s="1"/>
  <c r="AU223" i="21"/>
  <c r="AV223" i="21" s="1"/>
  <c r="AS223" i="21"/>
  <c r="AT223" i="21" s="1"/>
  <c r="AQ223" i="21"/>
  <c r="AR223" i="21" s="1"/>
  <c r="AO223" i="21"/>
  <c r="AP223" i="21" s="1"/>
  <c r="AM223" i="21"/>
  <c r="AN223" i="21" s="1"/>
  <c r="AK223" i="21"/>
  <c r="AL223" i="21" s="1"/>
  <c r="AG223" i="21"/>
  <c r="AE223" i="21"/>
  <c r="AF223" i="21" s="1"/>
  <c r="AC223" i="21"/>
  <c r="AD223" i="21" s="1"/>
  <c r="AA223" i="21"/>
  <c r="AB223" i="21" s="1"/>
  <c r="W223" i="21"/>
  <c r="X223" i="21" s="1"/>
  <c r="U223" i="21"/>
  <c r="V223" i="21" s="1"/>
  <c r="S223" i="21"/>
  <c r="T223" i="21" s="1"/>
  <c r="Q223" i="21"/>
  <c r="R223" i="21" s="1"/>
  <c r="P223" i="21"/>
  <c r="O223" i="21"/>
  <c r="N223" i="21"/>
  <c r="M223" i="21"/>
  <c r="L223" i="21"/>
  <c r="K223" i="21"/>
  <c r="J223" i="21"/>
  <c r="I223" i="21"/>
  <c r="H223" i="21"/>
  <c r="G223" i="21"/>
  <c r="F223" i="21"/>
  <c r="E223" i="21"/>
  <c r="D223" i="21"/>
  <c r="C223" i="21"/>
  <c r="B223" i="21"/>
  <c r="A223" i="21"/>
  <c r="BG222" i="21"/>
  <c r="BE222" i="21"/>
  <c r="BF222" i="21" s="1"/>
  <c r="AW222" i="21"/>
  <c r="AX222" i="21" s="1"/>
  <c r="AU222" i="21"/>
  <c r="AV222" i="21" s="1"/>
  <c r="AS222" i="21"/>
  <c r="AT222" i="21" s="1"/>
  <c r="AQ222" i="21"/>
  <c r="AR222" i="21" s="1"/>
  <c r="AO222" i="21"/>
  <c r="AP222" i="21" s="1"/>
  <c r="AM222" i="21"/>
  <c r="AK222" i="21"/>
  <c r="AL222" i="21" s="1"/>
  <c r="AG222" i="21"/>
  <c r="AH222" i="21" s="1"/>
  <c r="AE222" i="21"/>
  <c r="AF222" i="21" s="1"/>
  <c r="AC222" i="21"/>
  <c r="AD222" i="21" s="1"/>
  <c r="AA222" i="21"/>
  <c r="AB222" i="21" s="1"/>
  <c r="W222" i="21"/>
  <c r="X222" i="21" s="1"/>
  <c r="U222" i="21"/>
  <c r="V222" i="21" s="1"/>
  <c r="S222" i="21"/>
  <c r="T222" i="21" s="1"/>
  <c r="Q222" i="21"/>
  <c r="R222" i="21" s="1"/>
  <c r="P222" i="21"/>
  <c r="O222" i="21"/>
  <c r="N222" i="21"/>
  <c r="M222" i="21"/>
  <c r="L222" i="21"/>
  <c r="K222" i="21"/>
  <c r="J222" i="21"/>
  <c r="I222" i="21"/>
  <c r="H222" i="21"/>
  <c r="G222" i="21"/>
  <c r="F222" i="21"/>
  <c r="E222" i="21"/>
  <c r="D222" i="21"/>
  <c r="C222" i="21"/>
  <c r="B222" i="21"/>
  <c r="A222" i="21"/>
  <c r="BG221" i="21"/>
  <c r="BH221" i="21" s="1"/>
  <c r="BE221" i="21"/>
  <c r="BF221" i="21" s="1"/>
  <c r="AW221" i="21"/>
  <c r="AX221" i="21" s="1"/>
  <c r="AU221" i="21"/>
  <c r="AV221" i="21" s="1"/>
  <c r="AS221" i="21"/>
  <c r="AT221" i="21" s="1"/>
  <c r="AQ221" i="21"/>
  <c r="AO221" i="21"/>
  <c r="AP221" i="21" s="1"/>
  <c r="AM221" i="21"/>
  <c r="AN221" i="21" s="1"/>
  <c r="AK221" i="21"/>
  <c r="AL221" i="21" s="1"/>
  <c r="AG221" i="21"/>
  <c r="AH221" i="21" s="1"/>
  <c r="AE221" i="21"/>
  <c r="AF221" i="21" s="1"/>
  <c r="AC221" i="21"/>
  <c r="AD221" i="21" s="1"/>
  <c r="AA221" i="21"/>
  <c r="AB221" i="21" s="1"/>
  <c r="W221" i="21"/>
  <c r="U221" i="21"/>
  <c r="V221" i="21" s="1"/>
  <c r="S221" i="21"/>
  <c r="Q221" i="21"/>
  <c r="R221" i="21" s="1"/>
  <c r="P221" i="21"/>
  <c r="O221" i="21"/>
  <c r="N221" i="21"/>
  <c r="M221" i="21"/>
  <c r="L221" i="21"/>
  <c r="K221" i="21"/>
  <c r="J221" i="21"/>
  <c r="I221" i="21"/>
  <c r="H221" i="21"/>
  <c r="G221" i="21"/>
  <c r="F221" i="21"/>
  <c r="E221" i="21"/>
  <c r="D221" i="21"/>
  <c r="C221" i="21"/>
  <c r="B221" i="21"/>
  <c r="A221" i="21"/>
  <c r="BG220" i="21"/>
  <c r="BH220" i="21" s="1"/>
  <c r="BE220" i="21"/>
  <c r="BF220" i="21" s="1"/>
  <c r="AW220" i="21"/>
  <c r="AX220" i="21" s="1"/>
  <c r="AU220" i="21"/>
  <c r="AS220" i="21"/>
  <c r="AT220" i="21" s="1"/>
  <c r="AQ220" i="21"/>
  <c r="AO220" i="21"/>
  <c r="AP220" i="21" s="1"/>
  <c r="AM220" i="21"/>
  <c r="AN220" i="21" s="1"/>
  <c r="AK220" i="21"/>
  <c r="AL220" i="21" s="1"/>
  <c r="AG220" i="21"/>
  <c r="AH220" i="21" s="1"/>
  <c r="AE220" i="21"/>
  <c r="AF220" i="21" s="1"/>
  <c r="AC220" i="21"/>
  <c r="AA220" i="21"/>
  <c r="AB220" i="21" s="1"/>
  <c r="W220" i="21"/>
  <c r="X220" i="21" s="1"/>
  <c r="U220" i="21"/>
  <c r="V220" i="21" s="1"/>
  <c r="S220" i="21"/>
  <c r="T220" i="21" s="1"/>
  <c r="Q220" i="21"/>
  <c r="P220" i="21"/>
  <c r="O220" i="21"/>
  <c r="N220" i="21"/>
  <c r="M220" i="21"/>
  <c r="L220" i="21"/>
  <c r="K220" i="21"/>
  <c r="J220" i="21"/>
  <c r="I220" i="21"/>
  <c r="H220" i="21"/>
  <c r="G220" i="21"/>
  <c r="F220" i="21"/>
  <c r="E220" i="21"/>
  <c r="D220" i="21"/>
  <c r="C220" i="21"/>
  <c r="B220" i="21"/>
  <c r="A220" i="21"/>
  <c r="BG219" i="21"/>
  <c r="BH219" i="21" s="1"/>
  <c r="BE219" i="21"/>
  <c r="BF219" i="21" s="1"/>
  <c r="AW219" i="21"/>
  <c r="AX219" i="21" s="1"/>
  <c r="AU219" i="21"/>
  <c r="AV219" i="21" s="1"/>
  <c r="AS219" i="21"/>
  <c r="AT219" i="21" s="1"/>
  <c r="AQ219" i="21"/>
  <c r="AR219" i="21" s="1"/>
  <c r="AO219" i="21"/>
  <c r="AM219" i="21"/>
  <c r="AN219" i="21" s="1"/>
  <c r="AK219" i="21"/>
  <c r="AL219" i="21" s="1"/>
  <c r="AG219" i="21"/>
  <c r="AE219" i="21"/>
  <c r="AF219" i="21" s="1"/>
  <c r="AC219" i="21"/>
  <c r="AA219" i="21"/>
  <c r="AB219" i="21" s="1"/>
  <c r="W219" i="21"/>
  <c r="X219" i="21" s="1"/>
  <c r="U219" i="21"/>
  <c r="S219" i="21"/>
  <c r="T219" i="21" s="1"/>
  <c r="Q219" i="21"/>
  <c r="R219" i="21" s="1"/>
  <c r="P219" i="21"/>
  <c r="O219" i="21"/>
  <c r="N219" i="21"/>
  <c r="M219" i="21"/>
  <c r="L219" i="21"/>
  <c r="K219" i="21"/>
  <c r="J219" i="21"/>
  <c r="I219" i="21"/>
  <c r="H219" i="21"/>
  <c r="G219" i="21"/>
  <c r="F219" i="21"/>
  <c r="E219" i="21"/>
  <c r="D219" i="21"/>
  <c r="C219" i="21"/>
  <c r="B219" i="21"/>
  <c r="A219" i="21"/>
  <c r="BG218" i="21"/>
  <c r="BE218" i="21"/>
  <c r="BF218" i="21" s="1"/>
  <c r="AW218" i="21"/>
  <c r="AX218" i="21" s="1"/>
  <c r="AU218" i="21"/>
  <c r="AV218" i="21" s="1"/>
  <c r="AS218" i="21"/>
  <c r="AT218" i="21" s="1"/>
  <c r="AQ218" i="21"/>
  <c r="AR218" i="21" s="1"/>
  <c r="AO218" i="21"/>
  <c r="AP218" i="21" s="1"/>
  <c r="AM218" i="21"/>
  <c r="AK218" i="21"/>
  <c r="AL218" i="21" s="1"/>
  <c r="AG218" i="21"/>
  <c r="AH218" i="21" s="1"/>
  <c r="AE218" i="21"/>
  <c r="AF218" i="21" s="1"/>
  <c r="AC218" i="21"/>
  <c r="AD218" i="21" s="1"/>
  <c r="AA218" i="21"/>
  <c r="AB218" i="21" s="1"/>
  <c r="W218" i="21"/>
  <c r="X218" i="21" s="1"/>
  <c r="U218" i="21"/>
  <c r="V218" i="21" s="1"/>
  <c r="S218" i="21"/>
  <c r="Q218" i="21"/>
  <c r="R218" i="21" s="1"/>
  <c r="P218" i="21"/>
  <c r="O218" i="21"/>
  <c r="N218" i="21"/>
  <c r="M218" i="21"/>
  <c r="L218" i="21"/>
  <c r="K218" i="21"/>
  <c r="J218" i="21"/>
  <c r="I218" i="21"/>
  <c r="H218" i="21"/>
  <c r="G218" i="21"/>
  <c r="F218" i="21"/>
  <c r="E218" i="21"/>
  <c r="D218" i="21"/>
  <c r="C218" i="21"/>
  <c r="B218" i="21"/>
  <c r="A218" i="21"/>
  <c r="BG217" i="21"/>
  <c r="BH217" i="21" s="1"/>
  <c r="BE217" i="21"/>
  <c r="BF217" i="21" s="1"/>
  <c r="AW217" i="21"/>
  <c r="AX217" i="21" s="1"/>
  <c r="AU217" i="21"/>
  <c r="AV217" i="21" s="1"/>
  <c r="AS217" i="21"/>
  <c r="AT217" i="21" s="1"/>
  <c r="AQ217" i="21"/>
  <c r="AO217" i="21"/>
  <c r="AP217" i="21" s="1"/>
  <c r="AM217" i="21"/>
  <c r="AK217" i="21"/>
  <c r="AL217" i="21" s="1"/>
  <c r="AG217" i="21"/>
  <c r="AH217" i="21" s="1"/>
  <c r="AE217" i="21"/>
  <c r="AF217" i="21" s="1"/>
  <c r="AC217" i="21"/>
  <c r="AD217" i="21" s="1"/>
  <c r="AA217" i="21"/>
  <c r="AB217" i="21" s="1"/>
  <c r="W217" i="21"/>
  <c r="U217" i="21"/>
  <c r="V217" i="21" s="1"/>
  <c r="S217" i="21"/>
  <c r="Q217" i="21"/>
  <c r="R217" i="21" s="1"/>
  <c r="P217" i="21"/>
  <c r="O217" i="21"/>
  <c r="N217" i="21"/>
  <c r="M217" i="21"/>
  <c r="L217" i="21"/>
  <c r="K217" i="21"/>
  <c r="J217" i="21"/>
  <c r="I217" i="21"/>
  <c r="H217" i="21"/>
  <c r="G217" i="21"/>
  <c r="F217" i="21"/>
  <c r="E217" i="21"/>
  <c r="D217" i="21"/>
  <c r="C217" i="21"/>
  <c r="B217" i="21"/>
  <c r="A217" i="21"/>
  <c r="BG216" i="21"/>
  <c r="BH216" i="21" s="1"/>
  <c r="BE216" i="21"/>
  <c r="BF216" i="21" s="1"/>
  <c r="AW216" i="21"/>
  <c r="AX216" i="21" s="1"/>
  <c r="AU216" i="21"/>
  <c r="AS216" i="21"/>
  <c r="AT216" i="21" s="1"/>
  <c r="AQ216" i="21"/>
  <c r="AR216" i="21" s="1"/>
  <c r="AO216" i="21"/>
  <c r="AP216" i="21" s="1"/>
  <c r="AM216" i="21"/>
  <c r="AN216" i="21" s="1"/>
  <c r="AK216" i="21"/>
  <c r="AG216" i="21"/>
  <c r="AH216" i="21" s="1"/>
  <c r="AE216" i="21"/>
  <c r="AF216" i="21" s="1"/>
  <c r="AC216" i="21"/>
  <c r="AA216" i="21"/>
  <c r="AB216" i="21" s="1"/>
  <c r="W216" i="21"/>
  <c r="X216" i="21" s="1"/>
  <c r="U216" i="21"/>
  <c r="V216" i="21" s="1"/>
  <c r="S216" i="21"/>
  <c r="T216" i="21" s="1"/>
  <c r="Q216" i="21"/>
  <c r="P216" i="21"/>
  <c r="O216" i="21"/>
  <c r="N216" i="21"/>
  <c r="M216" i="21"/>
  <c r="L216" i="21"/>
  <c r="K216" i="21"/>
  <c r="J216" i="21"/>
  <c r="I216" i="21"/>
  <c r="H216" i="21"/>
  <c r="G216" i="21"/>
  <c r="F216" i="21"/>
  <c r="E216" i="21"/>
  <c r="D216" i="21"/>
  <c r="C216" i="21"/>
  <c r="B216" i="21"/>
  <c r="A216" i="21"/>
  <c r="BG215" i="21"/>
  <c r="BH215" i="21" s="1"/>
  <c r="BE215" i="21"/>
  <c r="BF215" i="21" s="1"/>
  <c r="AW215" i="21"/>
  <c r="AX215" i="21" s="1"/>
  <c r="AU215" i="21"/>
  <c r="AS215" i="21"/>
  <c r="AT215" i="21" s="1"/>
  <c r="AQ215" i="21"/>
  <c r="AR215" i="21" s="1"/>
  <c r="AO215" i="21"/>
  <c r="AM215" i="21"/>
  <c r="AN215" i="21" s="1"/>
  <c r="AK215" i="21"/>
  <c r="AL215" i="21" s="1"/>
  <c r="AG215" i="21"/>
  <c r="AE215" i="21"/>
  <c r="AF215" i="21" s="1"/>
  <c r="AC215" i="21"/>
  <c r="AD215" i="21" s="1"/>
  <c r="AA215" i="21"/>
  <c r="AB215" i="21" s="1"/>
  <c r="W215" i="21"/>
  <c r="X215" i="21" s="1"/>
  <c r="U215" i="21"/>
  <c r="V215" i="21" s="1"/>
  <c r="S215" i="21"/>
  <c r="T215" i="21" s="1"/>
  <c r="Q215" i="21"/>
  <c r="R215" i="21" s="1"/>
  <c r="P215" i="21"/>
  <c r="O215" i="21"/>
  <c r="N215" i="21"/>
  <c r="M215" i="21"/>
  <c r="L215" i="21"/>
  <c r="K215" i="21"/>
  <c r="J215" i="21"/>
  <c r="I215" i="21"/>
  <c r="H215" i="21"/>
  <c r="G215" i="21"/>
  <c r="F215" i="21"/>
  <c r="E215" i="21"/>
  <c r="D215" i="21"/>
  <c r="C215" i="21"/>
  <c r="B215" i="21"/>
  <c r="A215" i="21"/>
  <c r="BG214" i="21"/>
  <c r="BE214" i="21"/>
  <c r="BF214" i="21" s="1"/>
  <c r="AW214" i="21"/>
  <c r="AX214" i="21" s="1"/>
  <c r="AU214" i="21"/>
  <c r="AV214" i="21" s="1"/>
  <c r="AS214" i="21"/>
  <c r="AT214" i="21" s="1"/>
  <c r="AQ214" i="21"/>
  <c r="AR214" i="21" s="1"/>
  <c r="AO214" i="21"/>
  <c r="AP214" i="21" s="1"/>
  <c r="AM214" i="21"/>
  <c r="AK214" i="21"/>
  <c r="AL214" i="21" s="1"/>
  <c r="AG214" i="21"/>
  <c r="AH214" i="21" s="1"/>
  <c r="AE214" i="21"/>
  <c r="AF214" i="21" s="1"/>
  <c r="AC214" i="21"/>
  <c r="AD214" i="21" s="1"/>
  <c r="AA214" i="21"/>
  <c r="AB214" i="21" s="1"/>
  <c r="W214" i="21"/>
  <c r="X214" i="21" s="1"/>
  <c r="U214" i="21"/>
  <c r="V214" i="21" s="1"/>
  <c r="S214" i="21"/>
  <c r="Q214" i="21"/>
  <c r="R214" i="21" s="1"/>
  <c r="P214" i="21"/>
  <c r="O214" i="21"/>
  <c r="N214" i="21"/>
  <c r="M214" i="21"/>
  <c r="L214" i="21"/>
  <c r="K214" i="21"/>
  <c r="J214" i="21"/>
  <c r="I214" i="21"/>
  <c r="H214" i="21"/>
  <c r="G214" i="21"/>
  <c r="F214" i="21"/>
  <c r="E214" i="21"/>
  <c r="D214" i="21"/>
  <c r="C214" i="21"/>
  <c r="B214" i="21"/>
  <c r="A214" i="21"/>
  <c r="BG213" i="21"/>
  <c r="BE213" i="21"/>
  <c r="BF213" i="21" s="1"/>
  <c r="AW213" i="21"/>
  <c r="AX213" i="21" s="1"/>
  <c r="AU213" i="21"/>
  <c r="AV213" i="21" s="1"/>
  <c r="AS213" i="21"/>
  <c r="AT213" i="21" s="1"/>
  <c r="AQ213" i="21"/>
  <c r="AO213" i="21"/>
  <c r="AP213" i="21" s="1"/>
  <c r="AM213" i="21"/>
  <c r="AK213" i="21"/>
  <c r="AL213" i="21" s="1"/>
  <c r="AG213" i="21"/>
  <c r="AH213" i="21" s="1"/>
  <c r="AE213" i="21"/>
  <c r="AF213" i="21" s="1"/>
  <c r="AC213" i="21"/>
  <c r="AD213" i="21" s="1"/>
  <c r="AA213" i="21"/>
  <c r="AB213" i="21" s="1"/>
  <c r="W213" i="21"/>
  <c r="U213" i="21"/>
  <c r="V213" i="21" s="1"/>
  <c r="S213" i="21"/>
  <c r="T213" i="21" s="1"/>
  <c r="Q213" i="21"/>
  <c r="R213" i="21" s="1"/>
  <c r="P213" i="21"/>
  <c r="O213" i="21"/>
  <c r="N213" i="21"/>
  <c r="M213" i="21"/>
  <c r="L213" i="21"/>
  <c r="K213" i="21"/>
  <c r="J213" i="21"/>
  <c r="I213" i="21"/>
  <c r="H213" i="21"/>
  <c r="G213" i="21"/>
  <c r="F213" i="21"/>
  <c r="E213" i="21"/>
  <c r="D213" i="21"/>
  <c r="C213" i="21"/>
  <c r="B213" i="21"/>
  <c r="A213" i="21"/>
  <c r="BG212" i="21"/>
  <c r="BH212" i="21" s="1"/>
  <c r="BE212" i="21"/>
  <c r="AW212" i="21"/>
  <c r="AX212" i="21" s="1"/>
  <c r="AU212" i="21"/>
  <c r="AS212" i="21"/>
  <c r="AT212" i="21" s="1"/>
  <c r="AQ212" i="21"/>
  <c r="AR212" i="21" s="1"/>
  <c r="AO212" i="21"/>
  <c r="AP212" i="21" s="1"/>
  <c r="AM212" i="21"/>
  <c r="AN212" i="21" s="1"/>
  <c r="AK212" i="21"/>
  <c r="AG212" i="21"/>
  <c r="AH212" i="21" s="1"/>
  <c r="AE212" i="21"/>
  <c r="AF212" i="21" s="1"/>
  <c r="AC212" i="21"/>
  <c r="AA212" i="21"/>
  <c r="AB212" i="21" s="1"/>
  <c r="W212" i="21"/>
  <c r="U212" i="21"/>
  <c r="V212" i="21" s="1"/>
  <c r="S212" i="21"/>
  <c r="T212" i="21" s="1"/>
  <c r="Q212" i="21"/>
  <c r="P212" i="21"/>
  <c r="O212" i="21"/>
  <c r="N212" i="21"/>
  <c r="M212" i="21"/>
  <c r="L212" i="21"/>
  <c r="K212" i="21"/>
  <c r="J212" i="21"/>
  <c r="I212" i="21"/>
  <c r="H212" i="21"/>
  <c r="G212" i="21"/>
  <c r="F212" i="21"/>
  <c r="E212" i="21"/>
  <c r="D212" i="21"/>
  <c r="C212" i="21"/>
  <c r="B212" i="21"/>
  <c r="A212" i="21"/>
  <c r="BG211" i="21"/>
  <c r="BH211" i="21" s="1"/>
  <c r="BE211" i="21"/>
  <c r="BF211" i="21" s="1"/>
  <c r="AW211" i="21"/>
  <c r="AX211" i="21" s="1"/>
  <c r="AU211" i="21"/>
  <c r="AV211" i="21" s="1"/>
  <c r="AS211" i="21"/>
  <c r="AT211" i="21" s="1"/>
  <c r="AQ211" i="21"/>
  <c r="AR211" i="21" s="1"/>
  <c r="AO211" i="21"/>
  <c r="AP211" i="21" s="1"/>
  <c r="AM211" i="21"/>
  <c r="AN211" i="21" s="1"/>
  <c r="AK211" i="21"/>
  <c r="AL211" i="21" s="1"/>
  <c r="AG211" i="21"/>
  <c r="AE211" i="21"/>
  <c r="AF211" i="21" s="1"/>
  <c r="AC211" i="21"/>
  <c r="AD211" i="21" s="1"/>
  <c r="AA211" i="21"/>
  <c r="AB211" i="21" s="1"/>
  <c r="W211" i="21"/>
  <c r="X211" i="21" s="1"/>
  <c r="U211" i="21"/>
  <c r="V211" i="21" s="1"/>
  <c r="S211" i="21"/>
  <c r="T211" i="21" s="1"/>
  <c r="Q211" i="21"/>
  <c r="R211" i="21" s="1"/>
  <c r="P211" i="21"/>
  <c r="O211" i="21"/>
  <c r="N211" i="21"/>
  <c r="M211" i="21"/>
  <c r="L211" i="21"/>
  <c r="K211" i="21"/>
  <c r="J211" i="21"/>
  <c r="I211" i="21"/>
  <c r="H211" i="21"/>
  <c r="G211" i="21"/>
  <c r="F211" i="21"/>
  <c r="E211" i="21"/>
  <c r="D211" i="21"/>
  <c r="C211" i="21"/>
  <c r="B211" i="21"/>
  <c r="A211" i="21"/>
  <c r="BG210" i="21"/>
  <c r="BE210" i="21"/>
  <c r="BF210" i="21" s="1"/>
  <c r="AW210" i="21"/>
  <c r="AX210" i="21" s="1"/>
  <c r="AU210" i="21"/>
  <c r="AV210" i="21" s="1"/>
  <c r="AS210" i="21"/>
  <c r="AT210" i="21" s="1"/>
  <c r="AQ210" i="21"/>
  <c r="AR210" i="21" s="1"/>
  <c r="AO210" i="21"/>
  <c r="AP210" i="21" s="1"/>
  <c r="AM210" i="21"/>
  <c r="AK210" i="21"/>
  <c r="AL210" i="21" s="1"/>
  <c r="AG210" i="21"/>
  <c r="AE210" i="21"/>
  <c r="AF210" i="21" s="1"/>
  <c r="AC210" i="21"/>
  <c r="AD210" i="21" s="1"/>
  <c r="AA210" i="21"/>
  <c r="AB210" i="21" s="1"/>
  <c r="W210" i="21"/>
  <c r="X210" i="21" s="1"/>
  <c r="U210" i="21"/>
  <c r="V210" i="21" s="1"/>
  <c r="S210" i="21"/>
  <c r="Q210" i="21"/>
  <c r="R210" i="21" s="1"/>
  <c r="P210" i="21"/>
  <c r="O210" i="21"/>
  <c r="N210" i="21"/>
  <c r="M210" i="21"/>
  <c r="L210" i="21"/>
  <c r="K210" i="21"/>
  <c r="J210" i="21"/>
  <c r="I210" i="21"/>
  <c r="H210" i="21"/>
  <c r="G210" i="21"/>
  <c r="F210" i="21"/>
  <c r="E210" i="21"/>
  <c r="D210" i="21"/>
  <c r="C210" i="21"/>
  <c r="B210" i="21"/>
  <c r="A210" i="21"/>
  <c r="BG209" i="21"/>
  <c r="BE209" i="21"/>
  <c r="BF209" i="21" s="1"/>
  <c r="AW209" i="21"/>
  <c r="AX209" i="21" s="1"/>
  <c r="AU209" i="21"/>
  <c r="AV209" i="21" s="1"/>
  <c r="AS209" i="21"/>
  <c r="AT209" i="21" s="1"/>
  <c r="AQ209" i="21"/>
  <c r="AO209" i="21"/>
  <c r="AP209" i="21" s="1"/>
  <c r="AM209" i="21"/>
  <c r="AN209" i="21" s="1"/>
  <c r="AK209" i="21"/>
  <c r="AL209" i="21" s="1"/>
  <c r="AG209" i="21"/>
  <c r="AH209" i="21" s="1"/>
  <c r="AE209" i="21"/>
  <c r="AC209" i="21"/>
  <c r="AD209" i="21" s="1"/>
  <c r="AJ209" i="21" s="1"/>
  <c r="AA209" i="21"/>
  <c r="AB209" i="21" s="1"/>
  <c r="W209" i="21"/>
  <c r="U209" i="21"/>
  <c r="V209" i="21" s="1"/>
  <c r="S209" i="21"/>
  <c r="T209" i="21" s="1"/>
  <c r="Q209" i="21"/>
  <c r="R209" i="21" s="1"/>
  <c r="P209" i="21"/>
  <c r="O209" i="21"/>
  <c r="N209" i="21"/>
  <c r="M209" i="21"/>
  <c r="L209" i="21"/>
  <c r="K209" i="21"/>
  <c r="J209" i="21"/>
  <c r="I209" i="21"/>
  <c r="H209" i="21"/>
  <c r="G209" i="21"/>
  <c r="F209" i="21"/>
  <c r="E209" i="21"/>
  <c r="D209" i="21"/>
  <c r="C209" i="21"/>
  <c r="B209" i="21"/>
  <c r="A209" i="21"/>
  <c r="BG208" i="21"/>
  <c r="BH208" i="21" s="1"/>
  <c r="BE208" i="21"/>
  <c r="AW208" i="21"/>
  <c r="AX208" i="21" s="1"/>
  <c r="AU208" i="21"/>
  <c r="AS208" i="21"/>
  <c r="AT208" i="21" s="1"/>
  <c r="AQ208" i="21"/>
  <c r="AR208" i="21" s="1"/>
  <c r="AO208" i="21"/>
  <c r="AP208" i="21" s="1"/>
  <c r="AM208" i="21"/>
  <c r="AN208" i="21" s="1"/>
  <c r="AK208" i="21"/>
  <c r="AG208" i="21"/>
  <c r="AH208" i="21" s="1"/>
  <c r="AE208" i="21"/>
  <c r="AF208" i="21" s="1"/>
  <c r="AC208" i="21"/>
  <c r="AA208" i="21"/>
  <c r="AB208" i="21" s="1"/>
  <c r="W208" i="21"/>
  <c r="X208" i="21" s="1"/>
  <c r="U208" i="21"/>
  <c r="V208" i="21" s="1"/>
  <c r="S208" i="21"/>
  <c r="T208" i="21" s="1"/>
  <c r="Q208" i="21"/>
  <c r="R208" i="21" s="1"/>
  <c r="P208" i="21"/>
  <c r="O208" i="21"/>
  <c r="N208" i="21"/>
  <c r="M208" i="21"/>
  <c r="L208" i="21"/>
  <c r="K208" i="21"/>
  <c r="J208" i="21"/>
  <c r="I208" i="21"/>
  <c r="H208" i="21"/>
  <c r="G208" i="21"/>
  <c r="F208" i="21"/>
  <c r="E208" i="21"/>
  <c r="D208" i="21"/>
  <c r="C208" i="21"/>
  <c r="B208" i="21"/>
  <c r="A208" i="21"/>
  <c r="BG207" i="21"/>
  <c r="BH207" i="21" s="1"/>
  <c r="BE207" i="21"/>
  <c r="BF207" i="21" s="1"/>
  <c r="AW207" i="21"/>
  <c r="AX207" i="21" s="1"/>
  <c r="AU207" i="21"/>
  <c r="AV207" i="21" s="1"/>
  <c r="AS207" i="21"/>
  <c r="AT207" i="21" s="1"/>
  <c r="AQ207" i="21"/>
  <c r="AR207" i="21" s="1"/>
  <c r="AO207" i="21"/>
  <c r="AP207" i="21" s="1"/>
  <c r="AM207" i="21"/>
  <c r="AN207" i="21" s="1"/>
  <c r="AK207" i="21"/>
  <c r="AL207" i="21" s="1"/>
  <c r="AG207" i="21"/>
  <c r="AE207" i="21"/>
  <c r="AF207" i="21" s="1"/>
  <c r="AC207" i="21"/>
  <c r="AD207" i="21" s="1"/>
  <c r="AA207" i="21"/>
  <c r="AB207" i="21" s="1"/>
  <c r="W207" i="21"/>
  <c r="X207" i="21" s="1"/>
  <c r="U207" i="21"/>
  <c r="V207" i="21" s="1"/>
  <c r="S207" i="21"/>
  <c r="T207" i="21" s="1"/>
  <c r="Q207" i="21"/>
  <c r="R207" i="21" s="1"/>
  <c r="P207" i="21"/>
  <c r="O207" i="21"/>
  <c r="N207" i="21"/>
  <c r="M207" i="21"/>
  <c r="L207" i="21"/>
  <c r="K207" i="21"/>
  <c r="J207" i="21"/>
  <c r="I207" i="21"/>
  <c r="H207" i="21"/>
  <c r="G207" i="21"/>
  <c r="F207" i="21"/>
  <c r="E207" i="21"/>
  <c r="D207" i="21"/>
  <c r="C207" i="21"/>
  <c r="B207" i="21"/>
  <c r="A207" i="21"/>
  <c r="BG206" i="21"/>
  <c r="BE206" i="21"/>
  <c r="BF206" i="21" s="1"/>
  <c r="AW206" i="21"/>
  <c r="AX206" i="21" s="1"/>
  <c r="AU206" i="21"/>
  <c r="AV206" i="21" s="1"/>
  <c r="AS206" i="21"/>
  <c r="AT206" i="21" s="1"/>
  <c r="AQ206" i="21"/>
  <c r="AR206" i="21" s="1"/>
  <c r="AO206" i="21"/>
  <c r="AP206" i="21" s="1"/>
  <c r="AM206" i="21"/>
  <c r="AK206" i="21"/>
  <c r="AL206" i="21" s="1"/>
  <c r="AG206" i="21"/>
  <c r="AE206" i="21"/>
  <c r="AF206" i="21" s="1"/>
  <c r="AC206" i="21"/>
  <c r="AD206" i="21" s="1"/>
  <c r="AA206" i="21"/>
  <c r="AB206" i="21" s="1"/>
  <c r="W206" i="21"/>
  <c r="X206" i="21" s="1"/>
  <c r="U206" i="21"/>
  <c r="V206" i="21" s="1"/>
  <c r="S206" i="21"/>
  <c r="T206" i="21" s="1"/>
  <c r="Q206" i="21"/>
  <c r="R206" i="21" s="1"/>
  <c r="P206" i="21"/>
  <c r="O206" i="21"/>
  <c r="N206" i="21"/>
  <c r="M206" i="21"/>
  <c r="L206" i="21"/>
  <c r="K206" i="21"/>
  <c r="J206" i="21"/>
  <c r="I206" i="21"/>
  <c r="H206" i="21"/>
  <c r="G206" i="21"/>
  <c r="F206" i="21"/>
  <c r="E206" i="21"/>
  <c r="D206" i="21"/>
  <c r="C206" i="21"/>
  <c r="B206" i="21"/>
  <c r="A206" i="21"/>
  <c r="BG205" i="21"/>
  <c r="BH205" i="21" s="1"/>
  <c r="BE205" i="21"/>
  <c r="BF205" i="21" s="1"/>
  <c r="AW205" i="21"/>
  <c r="AU205" i="21"/>
  <c r="AV205" i="21" s="1"/>
  <c r="AS205" i="21"/>
  <c r="AT205" i="21" s="1"/>
  <c r="AQ205" i="21"/>
  <c r="AO205" i="21"/>
  <c r="AP205" i="21" s="1"/>
  <c r="AM205" i="21"/>
  <c r="AN205" i="21" s="1"/>
  <c r="AK205" i="21"/>
  <c r="AL205" i="21" s="1"/>
  <c r="AG205" i="21"/>
  <c r="AH205" i="21" s="1"/>
  <c r="AE205" i="21"/>
  <c r="AF205" i="21" s="1"/>
  <c r="AC205" i="21"/>
  <c r="AD205" i="21" s="1"/>
  <c r="AA205" i="21"/>
  <c r="AB205" i="21" s="1"/>
  <c r="W205" i="21"/>
  <c r="U205" i="21"/>
  <c r="V205" i="21" s="1"/>
  <c r="S205" i="21"/>
  <c r="T205" i="21" s="1"/>
  <c r="Q205" i="21"/>
  <c r="R205" i="21" s="1"/>
  <c r="P205" i="21"/>
  <c r="O205" i="21"/>
  <c r="N205" i="21"/>
  <c r="M205" i="21"/>
  <c r="L205" i="21"/>
  <c r="K205" i="21"/>
  <c r="J205" i="21"/>
  <c r="I205" i="21"/>
  <c r="H205" i="21"/>
  <c r="G205" i="21"/>
  <c r="F205" i="21"/>
  <c r="E205" i="21"/>
  <c r="D205" i="21"/>
  <c r="C205" i="21"/>
  <c r="B205" i="21"/>
  <c r="A205" i="21"/>
  <c r="BG204" i="21"/>
  <c r="BH204" i="21" s="1"/>
  <c r="BE204" i="21"/>
  <c r="AW204" i="21"/>
  <c r="AX204" i="21" s="1"/>
  <c r="AU204" i="21"/>
  <c r="AS204" i="21"/>
  <c r="AT204" i="21" s="1"/>
  <c r="AQ204" i="21"/>
  <c r="AR204" i="21" s="1"/>
  <c r="AO204" i="21"/>
  <c r="AP204" i="21" s="1"/>
  <c r="AM204" i="21"/>
  <c r="AN204" i="21" s="1"/>
  <c r="AK204" i="21"/>
  <c r="AL204" i="21" s="1"/>
  <c r="AG204" i="21"/>
  <c r="AH204" i="21" s="1"/>
  <c r="AE204" i="21"/>
  <c r="AF204" i="21" s="1"/>
  <c r="AC204" i="21"/>
  <c r="AA204" i="21"/>
  <c r="AB204" i="21" s="1"/>
  <c r="W204" i="21"/>
  <c r="X204" i="21" s="1"/>
  <c r="U204" i="21"/>
  <c r="V204" i="21" s="1"/>
  <c r="S204" i="21"/>
  <c r="T204" i="21" s="1"/>
  <c r="Q204" i="21"/>
  <c r="R204" i="21" s="1"/>
  <c r="P204" i="21"/>
  <c r="O204" i="21"/>
  <c r="N204" i="21"/>
  <c r="M204" i="21"/>
  <c r="L204" i="21"/>
  <c r="K204" i="21"/>
  <c r="J204" i="21"/>
  <c r="I204" i="21"/>
  <c r="H204" i="21"/>
  <c r="G204" i="21"/>
  <c r="F204" i="21"/>
  <c r="E204" i="21"/>
  <c r="D204" i="21"/>
  <c r="C204" i="21"/>
  <c r="B204" i="21"/>
  <c r="A204" i="21"/>
  <c r="BG203" i="21"/>
  <c r="BH203" i="21" s="1"/>
  <c r="BE203" i="21"/>
  <c r="BF203" i="21" s="1"/>
  <c r="AW203" i="21"/>
  <c r="AX203" i="21" s="1"/>
  <c r="AU203" i="21"/>
  <c r="AV203" i="21" s="1"/>
  <c r="AS203" i="21"/>
  <c r="AT203" i="21" s="1"/>
  <c r="AQ203" i="21"/>
  <c r="AR203" i="21" s="1"/>
  <c r="AO203" i="21"/>
  <c r="AP203" i="21" s="1"/>
  <c r="AM203" i="21"/>
  <c r="AN203" i="21" s="1"/>
  <c r="BB203" i="21" s="1"/>
  <c r="AK203" i="21"/>
  <c r="AL203" i="21" s="1"/>
  <c r="AG203" i="21"/>
  <c r="AE203" i="21"/>
  <c r="AF203" i="21" s="1"/>
  <c r="AC203" i="21"/>
  <c r="AA203" i="21"/>
  <c r="AB203" i="21" s="1"/>
  <c r="W203" i="21"/>
  <c r="X203" i="21" s="1"/>
  <c r="U203" i="21"/>
  <c r="V203" i="21" s="1"/>
  <c r="S203" i="21"/>
  <c r="T203" i="21" s="1"/>
  <c r="Q203" i="21"/>
  <c r="R203" i="21" s="1"/>
  <c r="P203" i="21"/>
  <c r="O203" i="21"/>
  <c r="N203" i="21"/>
  <c r="M203" i="21"/>
  <c r="L203" i="21"/>
  <c r="K203" i="21"/>
  <c r="J203" i="21"/>
  <c r="I203" i="21"/>
  <c r="H203" i="21"/>
  <c r="G203" i="21"/>
  <c r="F203" i="21"/>
  <c r="E203" i="21"/>
  <c r="D203" i="21"/>
  <c r="C203" i="21"/>
  <c r="B203" i="21"/>
  <c r="A203" i="21"/>
  <c r="BG202" i="21"/>
  <c r="BE202" i="21"/>
  <c r="BF202" i="21" s="1"/>
  <c r="AW202" i="21"/>
  <c r="AX202" i="21" s="1"/>
  <c r="AU202" i="21"/>
  <c r="AV202" i="21" s="1"/>
  <c r="AS202" i="21"/>
  <c r="AT202" i="21" s="1"/>
  <c r="AQ202" i="21"/>
  <c r="AR202" i="21" s="1"/>
  <c r="AO202" i="21"/>
  <c r="AP202" i="21" s="1"/>
  <c r="AM202" i="21"/>
  <c r="AK202" i="21"/>
  <c r="AL202" i="21" s="1"/>
  <c r="AG202" i="21"/>
  <c r="AH202" i="21" s="1"/>
  <c r="AE202" i="21"/>
  <c r="AF202" i="21" s="1"/>
  <c r="AC202" i="21"/>
  <c r="AD202" i="21" s="1"/>
  <c r="AA202" i="21"/>
  <c r="W202" i="21"/>
  <c r="X202" i="21" s="1"/>
  <c r="U202" i="21"/>
  <c r="V202" i="21" s="1"/>
  <c r="S202" i="21"/>
  <c r="Q202" i="21"/>
  <c r="R202" i="21" s="1"/>
  <c r="P202" i="21"/>
  <c r="O202" i="21"/>
  <c r="N202" i="21"/>
  <c r="M202" i="21"/>
  <c r="L202" i="21"/>
  <c r="K202" i="21"/>
  <c r="J202" i="21"/>
  <c r="I202" i="21"/>
  <c r="H202" i="21"/>
  <c r="G202" i="21"/>
  <c r="F202" i="21"/>
  <c r="E202" i="21"/>
  <c r="D202" i="21"/>
  <c r="C202" i="21"/>
  <c r="B202" i="21"/>
  <c r="A202" i="21"/>
  <c r="BG201" i="21"/>
  <c r="BH201" i="21" s="1"/>
  <c r="BE201" i="21"/>
  <c r="BF201" i="21" s="1"/>
  <c r="AW201" i="21"/>
  <c r="AX201" i="21" s="1"/>
  <c r="AU201" i="21"/>
  <c r="AV201" i="21" s="1"/>
  <c r="AS201" i="21"/>
  <c r="AT201" i="21" s="1"/>
  <c r="AQ201" i="21"/>
  <c r="AO201" i="21"/>
  <c r="AP201" i="21" s="1"/>
  <c r="AM201" i="21"/>
  <c r="AN201" i="21" s="1"/>
  <c r="AK201" i="21"/>
  <c r="AL201" i="21" s="1"/>
  <c r="AG201" i="21"/>
  <c r="AH201" i="21" s="1"/>
  <c r="AE201" i="21"/>
  <c r="AC201" i="21"/>
  <c r="AD201" i="21" s="1"/>
  <c r="AA201" i="21"/>
  <c r="AB201" i="21" s="1"/>
  <c r="W201" i="21"/>
  <c r="U201" i="21"/>
  <c r="V201" i="21" s="1"/>
  <c r="S201" i="21"/>
  <c r="T201" i="21" s="1"/>
  <c r="Q201" i="21"/>
  <c r="R201" i="21" s="1"/>
  <c r="P201" i="21"/>
  <c r="O201" i="21"/>
  <c r="N201" i="21"/>
  <c r="M201" i="21"/>
  <c r="L201" i="21"/>
  <c r="K201" i="21"/>
  <c r="J201" i="21"/>
  <c r="I201" i="21"/>
  <c r="H201" i="21"/>
  <c r="G201" i="21"/>
  <c r="F201" i="21"/>
  <c r="E201" i="21"/>
  <c r="D201" i="21"/>
  <c r="C201" i="21"/>
  <c r="B201" i="21"/>
  <c r="A201" i="21"/>
  <c r="BG200" i="21"/>
  <c r="BH200" i="21" s="1"/>
  <c r="BE200" i="21"/>
  <c r="BF200" i="21" s="1"/>
  <c r="AW200" i="21"/>
  <c r="AX200" i="21" s="1"/>
  <c r="AU200" i="21"/>
  <c r="AS200" i="21"/>
  <c r="AT200" i="21" s="1"/>
  <c r="AQ200" i="21"/>
  <c r="AR200" i="21" s="1"/>
  <c r="AO200" i="21"/>
  <c r="AP200" i="21" s="1"/>
  <c r="AM200" i="21"/>
  <c r="AN200" i="21" s="1"/>
  <c r="AK200" i="21"/>
  <c r="AL200" i="21" s="1"/>
  <c r="AG200" i="21"/>
  <c r="AH200" i="21" s="1"/>
  <c r="AE200" i="21"/>
  <c r="AF200" i="21" s="1"/>
  <c r="AC200" i="21"/>
  <c r="AA200" i="21"/>
  <c r="AB200" i="21" s="1"/>
  <c r="W200" i="21"/>
  <c r="X200" i="21" s="1"/>
  <c r="U200" i="21"/>
  <c r="V200" i="21" s="1"/>
  <c r="S200" i="21"/>
  <c r="T200" i="21" s="1"/>
  <c r="Q200" i="21"/>
  <c r="R200" i="21" s="1"/>
  <c r="P200" i="21"/>
  <c r="O200" i="21"/>
  <c r="N200" i="21"/>
  <c r="M200" i="21"/>
  <c r="L200" i="21"/>
  <c r="K200" i="21"/>
  <c r="J200" i="21"/>
  <c r="I200" i="21"/>
  <c r="H200" i="21"/>
  <c r="G200" i="21"/>
  <c r="F200" i="21"/>
  <c r="E200" i="21"/>
  <c r="D200" i="21"/>
  <c r="C200" i="21"/>
  <c r="B200" i="21"/>
  <c r="A200" i="21"/>
  <c r="BG199" i="21"/>
  <c r="BH199" i="21" s="1"/>
  <c r="BE199" i="21"/>
  <c r="BF199" i="21" s="1"/>
  <c r="AW199" i="21"/>
  <c r="AX199" i="21" s="1"/>
  <c r="AU199" i="21"/>
  <c r="AS199" i="21"/>
  <c r="AT199" i="21" s="1"/>
  <c r="AQ199" i="21"/>
  <c r="AR199" i="21" s="1"/>
  <c r="AO199" i="21"/>
  <c r="AP199" i="21" s="1"/>
  <c r="AM199" i="21"/>
  <c r="AN199" i="21" s="1"/>
  <c r="AK199" i="21"/>
  <c r="AL199" i="21" s="1"/>
  <c r="AG199" i="21"/>
  <c r="AE199" i="21"/>
  <c r="AF199" i="21" s="1"/>
  <c r="AC199" i="21"/>
  <c r="AA199" i="21"/>
  <c r="AB199" i="21" s="1"/>
  <c r="W199" i="21"/>
  <c r="X199" i="21" s="1"/>
  <c r="U199" i="21"/>
  <c r="V199" i="21" s="1"/>
  <c r="S199" i="21"/>
  <c r="T199" i="21" s="1"/>
  <c r="Q199" i="21"/>
  <c r="R199" i="21" s="1"/>
  <c r="P199" i="21"/>
  <c r="O199" i="21"/>
  <c r="N199" i="21"/>
  <c r="M199" i="21"/>
  <c r="L199" i="21"/>
  <c r="K199" i="21"/>
  <c r="J199" i="21"/>
  <c r="I199" i="21"/>
  <c r="H199" i="21"/>
  <c r="G199" i="21"/>
  <c r="F199" i="21"/>
  <c r="E199" i="21"/>
  <c r="D199" i="21"/>
  <c r="C199" i="21"/>
  <c r="B199" i="21"/>
  <c r="A199" i="21"/>
  <c r="BG198" i="21"/>
  <c r="BH198" i="21" s="1"/>
  <c r="BE198" i="21"/>
  <c r="BF198" i="21" s="1"/>
  <c r="AW198" i="21"/>
  <c r="AX198" i="21" s="1"/>
  <c r="AU198" i="21"/>
  <c r="AV198" i="21" s="1"/>
  <c r="AS198" i="21"/>
  <c r="AQ198" i="21"/>
  <c r="AR198" i="21" s="1"/>
  <c r="AO198" i="21"/>
  <c r="AP198" i="21" s="1"/>
  <c r="AM198" i="21"/>
  <c r="AK198" i="21"/>
  <c r="AL198" i="21" s="1"/>
  <c r="AG198" i="21"/>
  <c r="AH198" i="21" s="1"/>
  <c r="AE198" i="21"/>
  <c r="AF198" i="21" s="1"/>
  <c r="AC198" i="21"/>
  <c r="AD198" i="21" s="1"/>
  <c r="AA198" i="21"/>
  <c r="AB198" i="21" s="1"/>
  <c r="W198" i="21"/>
  <c r="X198" i="21" s="1"/>
  <c r="U198" i="21"/>
  <c r="V198" i="21" s="1"/>
  <c r="S198" i="21"/>
  <c r="Q198" i="21"/>
  <c r="R198" i="21" s="1"/>
  <c r="P198" i="21"/>
  <c r="O198" i="21"/>
  <c r="N198" i="21"/>
  <c r="M198" i="21"/>
  <c r="L198" i="21"/>
  <c r="K198" i="21"/>
  <c r="J198" i="21"/>
  <c r="I198" i="21"/>
  <c r="H198" i="21"/>
  <c r="G198" i="21"/>
  <c r="F198" i="21"/>
  <c r="E198" i="21"/>
  <c r="D198" i="21"/>
  <c r="C198" i="21"/>
  <c r="B198" i="21"/>
  <c r="A198" i="21"/>
  <c r="BG197" i="21"/>
  <c r="BH197" i="21" s="1"/>
  <c r="BE197" i="21"/>
  <c r="BF197" i="21" s="1"/>
  <c r="AW197" i="21"/>
  <c r="AU197" i="21"/>
  <c r="AV197" i="21" s="1"/>
  <c r="AS197" i="21"/>
  <c r="AT197" i="21" s="1"/>
  <c r="AQ197" i="21"/>
  <c r="AO197" i="21"/>
  <c r="AP197" i="21" s="1"/>
  <c r="AM197" i="21"/>
  <c r="AN197" i="21" s="1"/>
  <c r="AK197" i="21"/>
  <c r="AL197" i="21" s="1"/>
  <c r="AG197" i="21"/>
  <c r="AH197" i="21" s="1"/>
  <c r="AE197" i="21"/>
  <c r="AF197" i="21" s="1"/>
  <c r="AC197" i="21"/>
  <c r="AD197" i="21" s="1"/>
  <c r="AA197" i="21"/>
  <c r="AB197" i="21" s="1"/>
  <c r="W197" i="21"/>
  <c r="U197" i="21"/>
  <c r="V197" i="21" s="1"/>
  <c r="S197" i="21"/>
  <c r="T197" i="21" s="1"/>
  <c r="Q197" i="21"/>
  <c r="R197" i="21" s="1"/>
  <c r="P197" i="21"/>
  <c r="O197" i="21"/>
  <c r="N197" i="21"/>
  <c r="M197" i="21"/>
  <c r="L197" i="21"/>
  <c r="K197" i="21"/>
  <c r="J197" i="21"/>
  <c r="I197" i="21"/>
  <c r="H197" i="21"/>
  <c r="G197" i="21"/>
  <c r="F197" i="21"/>
  <c r="E197" i="21"/>
  <c r="D197" i="21"/>
  <c r="C197" i="21"/>
  <c r="B197" i="21"/>
  <c r="A197" i="21"/>
  <c r="BG196" i="21"/>
  <c r="BH196" i="21" s="1"/>
  <c r="BE196" i="21"/>
  <c r="BF196" i="21" s="1"/>
  <c r="AW196" i="21"/>
  <c r="AX196" i="21" s="1"/>
  <c r="AU196" i="21"/>
  <c r="AS196" i="21"/>
  <c r="AT196" i="21" s="1"/>
  <c r="AQ196" i="21"/>
  <c r="AR196" i="21" s="1"/>
  <c r="AO196" i="21"/>
  <c r="AP196" i="21" s="1"/>
  <c r="AM196" i="21"/>
  <c r="AN196" i="21" s="1"/>
  <c r="AK196" i="21"/>
  <c r="AL196" i="21" s="1"/>
  <c r="AG196" i="21"/>
  <c r="AH196" i="21" s="1"/>
  <c r="AE196" i="21"/>
  <c r="AF196" i="21" s="1"/>
  <c r="AC196" i="21"/>
  <c r="AA196" i="21"/>
  <c r="AB196" i="21" s="1"/>
  <c r="W196" i="21"/>
  <c r="U196" i="21"/>
  <c r="V196" i="21" s="1"/>
  <c r="S196" i="21"/>
  <c r="T196" i="21" s="1"/>
  <c r="Q196" i="21"/>
  <c r="R196" i="21" s="1"/>
  <c r="P196" i="21"/>
  <c r="O196" i="21"/>
  <c r="N196" i="21"/>
  <c r="M196" i="21"/>
  <c r="L196" i="21"/>
  <c r="K196" i="21"/>
  <c r="J196" i="21"/>
  <c r="I196" i="21"/>
  <c r="H196" i="21"/>
  <c r="G196" i="21"/>
  <c r="F196" i="21"/>
  <c r="E196" i="21"/>
  <c r="D196" i="21"/>
  <c r="C196" i="21"/>
  <c r="B196" i="21"/>
  <c r="A196" i="21"/>
  <c r="BG195" i="21"/>
  <c r="BH195" i="21" s="1"/>
  <c r="BE195" i="21"/>
  <c r="BF195" i="21" s="1"/>
  <c r="AW195" i="21"/>
  <c r="AX195" i="21" s="1"/>
  <c r="AU195" i="21"/>
  <c r="AS195" i="21"/>
  <c r="AT195" i="21" s="1"/>
  <c r="AQ195" i="21"/>
  <c r="AR195" i="21" s="1"/>
  <c r="AO195" i="21"/>
  <c r="AP195" i="21" s="1"/>
  <c r="AM195" i="21"/>
  <c r="AN195" i="21" s="1"/>
  <c r="AK195" i="21"/>
  <c r="AL195" i="21" s="1"/>
  <c r="AG195" i="21"/>
  <c r="AE195" i="21"/>
  <c r="AF195" i="21" s="1"/>
  <c r="AC195" i="21"/>
  <c r="AA195" i="21"/>
  <c r="AB195" i="21" s="1"/>
  <c r="W195" i="21"/>
  <c r="X195" i="21" s="1"/>
  <c r="U195" i="21"/>
  <c r="S195" i="21"/>
  <c r="T195" i="21" s="1"/>
  <c r="Q195" i="21"/>
  <c r="R195" i="21" s="1"/>
  <c r="P195" i="21"/>
  <c r="O195" i="21"/>
  <c r="N195" i="21"/>
  <c r="M195" i="21"/>
  <c r="L195" i="21"/>
  <c r="K195" i="21"/>
  <c r="J195" i="21"/>
  <c r="I195" i="21"/>
  <c r="H195" i="21"/>
  <c r="G195" i="21"/>
  <c r="F195" i="21"/>
  <c r="E195" i="21"/>
  <c r="D195" i="21"/>
  <c r="C195" i="21"/>
  <c r="B195" i="21"/>
  <c r="A195" i="21"/>
  <c r="BG194" i="21"/>
  <c r="BE194" i="21"/>
  <c r="BF194" i="21" s="1"/>
  <c r="AW194" i="21"/>
  <c r="AX194" i="21" s="1"/>
  <c r="AU194" i="21"/>
  <c r="AV194" i="21" s="1"/>
  <c r="AS194" i="21"/>
  <c r="AQ194" i="21"/>
  <c r="AR194" i="21" s="1"/>
  <c r="AO194" i="21"/>
  <c r="AP194" i="21" s="1"/>
  <c r="AM194" i="21"/>
  <c r="AK194" i="21"/>
  <c r="AL194" i="21" s="1"/>
  <c r="AG194" i="21"/>
  <c r="AH194" i="21" s="1"/>
  <c r="AE194" i="21"/>
  <c r="AF194" i="21" s="1"/>
  <c r="AC194" i="21"/>
  <c r="AD194" i="21" s="1"/>
  <c r="AA194" i="21"/>
  <c r="W194" i="21"/>
  <c r="X194" i="21" s="1"/>
  <c r="U194" i="21"/>
  <c r="V194" i="21" s="1"/>
  <c r="S194" i="21"/>
  <c r="Q194" i="21"/>
  <c r="R194" i="21" s="1"/>
  <c r="P194" i="21"/>
  <c r="O194" i="21"/>
  <c r="N194" i="21"/>
  <c r="M194" i="21"/>
  <c r="L194" i="21"/>
  <c r="K194" i="21"/>
  <c r="J194" i="21"/>
  <c r="I194" i="21"/>
  <c r="H194" i="21"/>
  <c r="G194" i="21"/>
  <c r="F194" i="21"/>
  <c r="E194" i="21"/>
  <c r="D194" i="21"/>
  <c r="C194" i="21"/>
  <c r="B194" i="21"/>
  <c r="A194" i="21"/>
  <c r="BG193" i="21"/>
  <c r="BH193" i="21" s="1"/>
  <c r="BE193" i="21"/>
  <c r="BF193" i="21" s="1"/>
  <c r="AW193" i="21"/>
  <c r="AX193" i="21" s="1"/>
  <c r="AU193" i="21"/>
  <c r="AV193" i="21" s="1"/>
  <c r="AS193" i="21"/>
  <c r="AT193" i="21" s="1"/>
  <c r="AQ193" i="21"/>
  <c r="AR193" i="21" s="1"/>
  <c r="AO193" i="21"/>
  <c r="AP193" i="21" s="1"/>
  <c r="AM193" i="21"/>
  <c r="AN193" i="21" s="1"/>
  <c r="AK193" i="21"/>
  <c r="AL193" i="21" s="1"/>
  <c r="AG193" i="21"/>
  <c r="AH193" i="21" s="1"/>
  <c r="AE193" i="21"/>
  <c r="AF193" i="21" s="1"/>
  <c r="AC193" i="21"/>
  <c r="AD193" i="21" s="1"/>
  <c r="AA193" i="21"/>
  <c r="AB193" i="21" s="1"/>
  <c r="W193" i="21"/>
  <c r="U193" i="21"/>
  <c r="V193" i="21" s="1"/>
  <c r="S193" i="21"/>
  <c r="T193" i="21" s="1"/>
  <c r="Q193" i="21"/>
  <c r="R193" i="21" s="1"/>
  <c r="P193" i="21"/>
  <c r="O193" i="21"/>
  <c r="N193" i="21"/>
  <c r="M193" i="21"/>
  <c r="L193" i="21"/>
  <c r="K193" i="21"/>
  <c r="J193" i="21"/>
  <c r="I193" i="21"/>
  <c r="H193" i="21"/>
  <c r="G193" i="21"/>
  <c r="F193" i="21"/>
  <c r="E193" i="21"/>
  <c r="D193" i="21"/>
  <c r="C193" i="21"/>
  <c r="B193" i="21"/>
  <c r="A193" i="21"/>
  <c r="BG192" i="21"/>
  <c r="BH192" i="21" s="1"/>
  <c r="BE192" i="21"/>
  <c r="BF192" i="21" s="1"/>
  <c r="AW192" i="21"/>
  <c r="AX192" i="21" s="1"/>
  <c r="AU192" i="21"/>
  <c r="AS192" i="21"/>
  <c r="AT192" i="21" s="1"/>
  <c r="AQ192" i="21"/>
  <c r="AO192" i="21"/>
  <c r="AP192" i="21" s="1"/>
  <c r="AM192" i="21"/>
  <c r="AN192" i="21" s="1"/>
  <c r="AK192" i="21"/>
  <c r="AL192" i="21" s="1"/>
  <c r="AG192" i="21"/>
  <c r="AH192" i="21" s="1"/>
  <c r="AE192" i="21"/>
  <c r="AF192" i="21" s="1"/>
  <c r="AC192" i="21"/>
  <c r="AA192" i="21"/>
  <c r="AB192" i="21" s="1"/>
  <c r="W192" i="21"/>
  <c r="X192" i="21" s="1"/>
  <c r="U192" i="21"/>
  <c r="V192" i="21" s="1"/>
  <c r="S192" i="21"/>
  <c r="T192" i="21" s="1"/>
  <c r="Q192" i="21"/>
  <c r="R192" i="21" s="1"/>
  <c r="P192" i="21"/>
  <c r="O192" i="21"/>
  <c r="N192" i="21"/>
  <c r="M192" i="21"/>
  <c r="L192" i="21"/>
  <c r="K192" i="21"/>
  <c r="J192" i="21"/>
  <c r="I192" i="21"/>
  <c r="H192" i="21"/>
  <c r="G192" i="21"/>
  <c r="F192" i="21"/>
  <c r="E192" i="21"/>
  <c r="D192" i="21"/>
  <c r="C192" i="21"/>
  <c r="B192" i="21"/>
  <c r="A192" i="21"/>
  <c r="BG191" i="21"/>
  <c r="BH191" i="21" s="1"/>
  <c r="BE191" i="21"/>
  <c r="BF191" i="21" s="1"/>
  <c r="AW191" i="21"/>
  <c r="AX191" i="21" s="1"/>
  <c r="AU191" i="21"/>
  <c r="AS191" i="21"/>
  <c r="AT191" i="21" s="1"/>
  <c r="AQ191" i="21"/>
  <c r="AR191" i="21" s="1"/>
  <c r="AO191" i="21"/>
  <c r="AM191" i="21"/>
  <c r="AN191" i="21" s="1"/>
  <c r="AK191" i="21"/>
  <c r="AL191" i="21" s="1"/>
  <c r="AG191" i="21"/>
  <c r="AE191" i="21"/>
  <c r="AF191" i="21" s="1"/>
  <c r="AC191" i="21"/>
  <c r="AD191" i="21" s="1"/>
  <c r="AA191" i="21"/>
  <c r="AB191" i="21" s="1"/>
  <c r="W191" i="21"/>
  <c r="X191" i="21" s="1"/>
  <c r="U191" i="21"/>
  <c r="V191" i="21" s="1"/>
  <c r="S191" i="21"/>
  <c r="T191" i="21" s="1"/>
  <c r="Q191" i="21"/>
  <c r="R191" i="21" s="1"/>
  <c r="P191" i="21"/>
  <c r="O191" i="21"/>
  <c r="N191" i="21"/>
  <c r="M191" i="21"/>
  <c r="L191" i="21"/>
  <c r="K191" i="21"/>
  <c r="J191" i="21"/>
  <c r="I191" i="21"/>
  <c r="H191" i="21"/>
  <c r="G191" i="21"/>
  <c r="F191" i="21"/>
  <c r="E191" i="21"/>
  <c r="D191" i="21"/>
  <c r="C191" i="21"/>
  <c r="B191" i="21"/>
  <c r="A191" i="21"/>
  <c r="BG190" i="21"/>
  <c r="BE190" i="21"/>
  <c r="BF190" i="21" s="1"/>
  <c r="AW190" i="21"/>
  <c r="AX190" i="21" s="1"/>
  <c r="AU190" i="21"/>
  <c r="AV190" i="21" s="1"/>
  <c r="AS190" i="21"/>
  <c r="AQ190" i="21"/>
  <c r="AR190" i="21" s="1"/>
  <c r="AO190" i="21"/>
  <c r="AP190" i="21" s="1"/>
  <c r="AM190" i="21"/>
  <c r="AK190" i="21"/>
  <c r="AL190" i="21" s="1"/>
  <c r="AG190" i="21"/>
  <c r="AH190" i="21" s="1"/>
  <c r="AE190" i="21"/>
  <c r="AF190" i="21" s="1"/>
  <c r="AC190" i="21"/>
  <c r="AD190" i="21" s="1"/>
  <c r="AA190" i="21"/>
  <c r="AB190" i="21" s="1"/>
  <c r="W190" i="21"/>
  <c r="X190" i="21" s="1"/>
  <c r="U190" i="21"/>
  <c r="V190" i="21" s="1"/>
  <c r="S190" i="21"/>
  <c r="T190" i="21" s="1"/>
  <c r="Q190" i="21"/>
  <c r="R190" i="21" s="1"/>
  <c r="P190" i="21"/>
  <c r="O190" i="21"/>
  <c r="N190" i="21"/>
  <c r="M190" i="21"/>
  <c r="L190" i="21"/>
  <c r="K190" i="21"/>
  <c r="J190" i="21"/>
  <c r="I190" i="21"/>
  <c r="H190" i="21"/>
  <c r="G190" i="21"/>
  <c r="F190" i="21"/>
  <c r="E190" i="21"/>
  <c r="D190" i="21"/>
  <c r="C190" i="21"/>
  <c r="B190" i="21"/>
  <c r="A190" i="21"/>
  <c r="BG189" i="21"/>
  <c r="BH189" i="21" s="1"/>
  <c r="BE189" i="21"/>
  <c r="BF189" i="21" s="1"/>
  <c r="AW189" i="21"/>
  <c r="AX189" i="21" s="1"/>
  <c r="AU189" i="21"/>
  <c r="AV189" i="21" s="1"/>
  <c r="AS189" i="21"/>
  <c r="AT189" i="21" s="1"/>
  <c r="AQ189" i="21"/>
  <c r="AO189" i="21"/>
  <c r="AP189" i="21" s="1"/>
  <c r="AM189" i="21"/>
  <c r="AN189" i="21" s="1"/>
  <c r="AK189" i="21"/>
  <c r="AL189" i="21" s="1"/>
  <c r="AG189" i="21"/>
  <c r="AH189" i="21" s="1"/>
  <c r="AE189" i="21"/>
  <c r="AF189" i="21" s="1"/>
  <c r="AC189" i="21"/>
  <c r="AD189" i="21" s="1"/>
  <c r="AA189" i="21"/>
  <c r="AB189" i="21" s="1"/>
  <c r="W189" i="21"/>
  <c r="U189" i="21"/>
  <c r="V189" i="21" s="1"/>
  <c r="S189" i="21"/>
  <c r="T189" i="21" s="1"/>
  <c r="Q189" i="21"/>
  <c r="R189" i="21" s="1"/>
  <c r="P189" i="21"/>
  <c r="O189" i="21"/>
  <c r="N189" i="21"/>
  <c r="M189" i="21"/>
  <c r="L189" i="21"/>
  <c r="K189" i="21"/>
  <c r="J189" i="21"/>
  <c r="I189" i="21"/>
  <c r="H189" i="21"/>
  <c r="G189" i="21"/>
  <c r="F189" i="21"/>
  <c r="E189" i="21"/>
  <c r="D189" i="21"/>
  <c r="C189" i="21"/>
  <c r="B189" i="21"/>
  <c r="A189" i="21"/>
  <c r="BG188" i="21"/>
  <c r="BH188" i="21" s="1"/>
  <c r="BE188" i="21"/>
  <c r="BF188" i="21" s="1"/>
  <c r="AW188" i="21"/>
  <c r="AX188" i="21" s="1"/>
  <c r="AU188" i="21"/>
  <c r="AS188" i="21"/>
  <c r="AT188" i="21" s="1"/>
  <c r="AQ188" i="21"/>
  <c r="AR188" i="21" s="1"/>
  <c r="AO188" i="21"/>
  <c r="AP188" i="21" s="1"/>
  <c r="AM188" i="21"/>
  <c r="AN188" i="21" s="1"/>
  <c r="AK188" i="21"/>
  <c r="AL188" i="21" s="1"/>
  <c r="AG188" i="21"/>
  <c r="AH188" i="21" s="1"/>
  <c r="AE188" i="21"/>
  <c r="AF188" i="21" s="1"/>
  <c r="AC188" i="21"/>
  <c r="AD188" i="21" s="1"/>
  <c r="AA188" i="21"/>
  <c r="AB188" i="21" s="1"/>
  <c r="W188" i="21"/>
  <c r="U188" i="21"/>
  <c r="V188" i="21" s="1"/>
  <c r="S188" i="21"/>
  <c r="T188" i="21" s="1"/>
  <c r="Q188" i="21"/>
  <c r="P188" i="21"/>
  <c r="O188" i="21"/>
  <c r="N188" i="21"/>
  <c r="M188" i="21"/>
  <c r="L188" i="21"/>
  <c r="K188" i="21"/>
  <c r="J188" i="21"/>
  <c r="I188" i="21"/>
  <c r="H188" i="21"/>
  <c r="G188" i="21"/>
  <c r="F188" i="21"/>
  <c r="E188" i="21"/>
  <c r="D188" i="21"/>
  <c r="C188" i="21"/>
  <c r="B188" i="21"/>
  <c r="A188" i="21"/>
  <c r="BG187" i="21"/>
  <c r="BH187" i="21" s="1"/>
  <c r="BE187" i="21"/>
  <c r="BF187" i="21" s="1"/>
  <c r="AW187" i="21"/>
  <c r="AX187" i="21" s="1"/>
  <c r="AU187" i="21"/>
  <c r="AV187" i="21" s="1"/>
  <c r="AS187" i="21"/>
  <c r="AT187" i="21" s="1"/>
  <c r="AQ187" i="21"/>
  <c r="AO187" i="21"/>
  <c r="AP187" i="21" s="1"/>
  <c r="AM187" i="21"/>
  <c r="AN187" i="21" s="1"/>
  <c r="AK187" i="21"/>
  <c r="AL187" i="21" s="1"/>
  <c r="AG187" i="21"/>
  <c r="AH187" i="21" s="1"/>
  <c r="AE187" i="21"/>
  <c r="AF187" i="21" s="1"/>
  <c r="AC187" i="21"/>
  <c r="AD187" i="21" s="1"/>
  <c r="AA187" i="21"/>
  <c r="AB187" i="21" s="1"/>
  <c r="W187" i="21"/>
  <c r="X187" i="21" s="1"/>
  <c r="U187" i="21"/>
  <c r="S187" i="21"/>
  <c r="T187" i="21" s="1"/>
  <c r="Q187" i="21"/>
  <c r="R187" i="21" s="1"/>
  <c r="P187" i="21"/>
  <c r="O187" i="21"/>
  <c r="N187" i="21"/>
  <c r="M187" i="21"/>
  <c r="L187" i="21"/>
  <c r="K187" i="21"/>
  <c r="J187" i="21"/>
  <c r="I187" i="21"/>
  <c r="H187" i="21"/>
  <c r="G187" i="21"/>
  <c r="F187" i="21"/>
  <c r="E187" i="21"/>
  <c r="D187" i="21"/>
  <c r="C187" i="21"/>
  <c r="B187" i="21"/>
  <c r="A187" i="21"/>
  <c r="BG186" i="21"/>
  <c r="BH186" i="21" s="1"/>
  <c r="BE186" i="21"/>
  <c r="BF186" i="21" s="1"/>
  <c r="AW186" i="21"/>
  <c r="AX186" i="21" s="1"/>
  <c r="AU186" i="21"/>
  <c r="AS186" i="21"/>
  <c r="AT186" i="21" s="1"/>
  <c r="AQ186" i="21"/>
  <c r="AR186" i="21" s="1"/>
  <c r="AO186" i="21"/>
  <c r="AP186" i="21" s="1"/>
  <c r="AM186" i="21"/>
  <c r="AN186" i="21" s="1"/>
  <c r="AK186" i="21"/>
  <c r="AL186" i="21" s="1"/>
  <c r="AG186" i="21"/>
  <c r="AH186" i="21" s="1"/>
  <c r="AE186" i="21"/>
  <c r="AF186" i="21" s="1"/>
  <c r="AC186" i="21"/>
  <c r="AD186" i="21" s="1"/>
  <c r="AA186" i="21"/>
  <c r="W186" i="21"/>
  <c r="X186" i="21" s="1"/>
  <c r="U186" i="21"/>
  <c r="V186" i="21" s="1"/>
  <c r="S186" i="21"/>
  <c r="Q186" i="21"/>
  <c r="R186" i="21" s="1"/>
  <c r="P186" i="21"/>
  <c r="O186" i="21"/>
  <c r="N186" i="21"/>
  <c r="M186" i="21"/>
  <c r="L186" i="21"/>
  <c r="K186" i="21"/>
  <c r="J186" i="21"/>
  <c r="I186" i="21"/>
  <c r="H186" i="21"/>
  <c r="G186" i="21"/>
  <c r="F186" i="21"/>
  <c r="E186" i="21"/>
  <c r="D186" i="21"/>
  <c r="C186" i="21"/>
  <c r="B186" i="21"/>
  <c r="A186" i="21"/>
  <c r="BG185" i="21"/>
  <c r="BH185" i="21" s="1"/>
  <c r="BE185" i="21"/>
  <c r="BF185" i="21" s="1"/>
  <c r="AW185" i="21"/>
  <c r="AX185" i="21" s="1"/>
  <c r="AU185" i="21"/>
  <c r="AV185" i="21" s="1"/>
  <c r="AS185" i="21"/>
  <c r="AT185" i="21" s="1"/>
  <c r="AQ185" i="21"/>
  <c r="AR185" i="21" s="1"/>
  <c r="AO185" i="21"/>
  <c r="AP185" i="21" s="1"/>
  <c r="AM185" i="21"/>
  <c r="AN185" i="21" s="1"/>
  <c r="AK185" i="21"/>
  <c r="AL185" i="21" s="1"/>
  <c r="AG185" i="21"/>
  <c r="AH185" i="21" s="1"/>
  <c r="AE185" i="21"/>
  <c r="AC185" i="21"/>
  <c r="AD185" i="21" s="1"/>
  <c r="AJ185" i="21" s="1"/>
  <c r="AA185" i="21"/>
  <c r="AB185" i="21" s="1"/>
  <c r="W185" i="21"/>
  <c r="U185" i="21"/>
  <c r="V185" i="21" s="1"/>
  <c r="S185" i="21"/>
  <c r="T185" i="21" s="1"/>
  <c r="Q185" i="21"/>
  <c r="R185" i="21" s="1"/>
  <c r="P185" i="21"/>
  <c r="O185" i="21"/>
  <c r="N185" i="21"/>
  <c r="M185" i="21"/>
  <c r="L185" i="21"/>
  <c r="K185" i="21"/>
  <c r="J185" i="21"/>
  <c r="I185" i="21"/>
  <c r="H185" i="21"/>
  <c r="G185" i="21"/>
  <c r="F185" i="21"/>
  <c r="E185" i="21"/>
  <c r="D185" i="21"/>
  <c r="C185" i="21"/>
  <c r="B185" i="21"/>
  <c r="A185" i="21"/>
  <c r="BG184" i="21"/>
  <c r="BE184" i="21"/>
  <c r="BF184" i="21" s="1"/>
  <c r="AW184" i="21"/>
  <c r="AU184" i="21"/>
  <c r="AV184" i="21" s="1"/>
  <c r="AS184" i="21"/>
  <c r="AT184" i="21" s="1"/>
  <c r="AQ184" i="21"/>
  <c r="AO184" i="21"/>
  <c r="AP184" i="21" s="1"/>
  <c r="AM184" i="21"/>
  <c r="AN184" i="21" s="1"/>
  <c r="AK184" i="21"/>
  <c r="AL184" i="21" s="1"/>
  <c r="AG184" i="21"/>
  <c r="AH184" i="21" s="1"/>
  <c r="AE184" i="21"/>
  <c r="AF184" i="21" s="1"/>
  <c r="AC184" i="21"/>
  <c r="AD184" i="21" s="1"/>
  <c r="AA184" i="21"/>
  <c r="AB184" i="21" s="1"/>
  <c r="W184" i="21"/>
  <c r="X184" i="21" s="1"/>
  <c r="U184" i="21"/>
  <c r="V184" i="21" s="1"/>
  <c r="S184" i="21"/>
  <c r="T184" i="21" s="1"/>
  <c r="Q184" i="21"/>
  <c r="R184" i="21" s="1"/>
  <c r="P184" i="21"/>
  <c r="O184" i="21"/>
  <c r="N184" i="21"/>
  <c r="M184" i="21"/>
  <c r="L184" i="21"/>
  <c r="K184" i="21"/>
  <c r="J184" i="21"/>
  <c r="I184" i="21"/>
  <c r="H184" i="21"/>
  <c r="G184" i="21"/>
  <c r="F184" i="21"/>
  <c r="E184" i="21"/>
  <c r="D184" i="21"/>
  <c r="C184" i="21"/>
  <c r="B184" i="21"/>
  <c r="A184" i="21"/>
  <c r="BG183" i="21"/>
  <c r="BH183" i="21" s="1"/>
  <c r="BE183" i="21"/>
  <c r="BF183" i="21" s="1"/>
  <c r="AW183" i="21"/>
  <c r="AX183" i="21" s="1"/>
  <c r="AU183" i="21"/>
  <c r="AS183" i="21"/>
  <c r="AT183" i="21" s="1"/>
  <c r="AQ183" i="21"/>
  <c r="AR183" i="21" s="1"/>
  <c r="AO183" i="21"/>
  <c r="AP183" i="21" s="1"/>
  <c r="AM183" i="21"/>
  <c r="AN183" i="21" s="1"/>
  <c r="AK183" i="21"/>
  <c r="AL183" i="21" s="1"/>
  <c r="AG183" i="21"/>
  <c r="AH183" i="21" s="1"/>
  <c r="AE183" i="21"/>
  <c r="AF183" i="21" s="1"/>
  <c r="AC183" i="21"/>
  <c r="AD183" i="21" s="1"/>
  <c r="AA183" i="21"/>
  <c r="AB183" i="21" s="1"/>
  <c r="W183" i="21"/>
  <c r="X183" i="21" s="1"/>
  <c r="U183" i="21"/>
  <c r="V183" i="21" s="1"/>
  <c r="S183" i="21"/>
  <c r="T183" i="21" s="1"/>
  <c r="Q183" i="21"/>
  <c r="R183" i="21" s="1"/>
  <c r="P183" i="21"/>
  <c r="O183" i="21"/>
  <c r="N183" i="21"/>
  <c r="M183" i="21"/>
  <c r="L183" i="21"/>
  <c r="K183" i="21"/>
  <c r="J183" i="21"/>
  <c r="I183" i="21"/>
  <c r="H183" i="21"/>
  <c r="G183" i="21"/>
  <c r="F183" i="21"/>
  <c r="E183" i="21"/>
  <c r="D183" i="21"/>
  <c r="C183" i="21"/>
  <c r="B183" i="21"/>
  <c r="A183" i="21"/>
  <c r="BG182" i="21"/>
  <c r="BH182" i="21" s="1"/>
  <c r="BE182" i="21"/>
  <c r="BF182" i="21" s="1"/>
  <c r="AW182" i="21"/>
  <c r="AX182" i="21" s="1"/>
  <c r="AU182" i="21"/>
  <c r="AV182" i="21" s="1"/>
  <c r="AS182" i="21"/>
  <c r="AT182" i="21" s="1"/>
  <c r="AQ182" i="21"/>
  <c r="AR182" i="21" s="1"/>
  <c r="AO182" i="21"/>
  <c r="AP182" i="21" s="1"/>
  <c r="AM182" i="21"/>
  <c r="AN182" i="21" s="1"/>
  <c r="AK182" i="21"/>
  <c r="AL182" i="21" s="1"/>
  <c r="AG182" i="21"/>
  <c r="AH182" i="21" s="1"/>
  <c r="AE182" i="21"/>
  <c r="AF182" i="21" s="1"/>
  <c r="AC182" i="21"/>
  <c r="AD182" i="21" s="1"/>
  <c r="AA182" i="21"/>
  <c r="AB182" i="21" s="1"/>
  <c r="W182" i="21"/>
  <c r="X182" i="21" s="1"/>
  <c r="U182" i="21"/>
  <c r="V182" i="21" s="1"/>
  <c r="S182" i="21"/>
  <c r="T182" i="21" s="1"/>
  <c r="Q182" i="21"/>
  <c r="R182" i="21" s="1"/>
  <c r="P182" i="21"/>
  <c r="O182" i="21"/>
  <c r="N182" i="21"/>
  <c r="M182" i="21"/>
  <c r="L182" i="21"/>
  <c r="K182" i="21"/>
  <c r="J182" i="21"/>
  <c r="I182" i="21"/>
  <c r="H182" i="21"/>
  <c r="G182" i="21"/>
  <c r="F182" i="21"/>
  <c r="E182" i="21"/>
  <c r="D182" i="21"/>
  <c r="C182" i="21"/>
  <c r="B182" i="21"/>
  <c r="A182" i="21"/>
  <c r="BG181" i="21"/>
  <c r="BE181" i="21"/>
  <c r="BF181" i="21" s="1"/>
  <c r="AW181" i="21"/>
  <c r="AX181" i="21" s="1"/>
  <c r="AU181" i="21"/>
  <c r="AV181" i="21" s="1"/>
  <c r="AS181" i="21"/>
  <c r="AT181" i="21" s="1"/>
  <c r="AQ181" i="21"/>
  <c r="AR181" i="21" s="1"/>
  <c r="AO181" i="21"/>
  <c r="AP181" i="21" s="1"/>
  <c r="AM181" i="21"/>
  <c r="AK181" i="21"/>
  <c r="AL181" i="21" s="1"/>
  <c r="AG181" i="21"/>
  <c r="AH181" i="21" s="1"/>
  <c r="AE181" i="21"/>
  <c r="AF181" i="21" s="1"/>
  <c r="AC181" i="21"/>
  <c r="AD181" i="21" s="1"/>
  <c r="AA181" i="21"/>
  <c r="AB181" i="21" s="1"/>
  <c r="W181" i="21"/>
  <c r="U181" i="21"/>
  <c r="V181" i="21" s="1"/>
  <c r="S181" i="21"/>
  <c r="Q181" i="21"/>
  <c r="R181" i="21" s="1"/>
  <c r="P181" i="21"/>
  <c r="O181" i="21"/>
  <c r="N181" i="21"/>
  <c r="M181" i="21"/>
  <c r="L181" i="21"/>
  <c r="K181" i="21"/>
  <c r="J181" i="21"/>
  <c r="I181" i="21"/>
  <c r="H181" i="21"/>
  <c r="G181" i="21"/>
  <c r="F181" i="21"/>
  <c r="E181" i="21"/>
  <c r="D181" i="21"/>
  <c r="C181" i="21"/>
  <c r="B181" i="21"/>
  <c r="A181" i="21"/>
  <c r="BG180" i="21"/>
  <c r="BH180" i="21" s="1"/>
  <c r="BE180" i="21"/>
  <c r="BF180" i="21" s="1"/>
  <c r="AW180" i="21"/>
  <c r="AX180" i="21" s="1"/>
  <c r="AU180" i="21"/>
  <c r="AV180" i="21" s="1"/>
  <c r="AS180" i="21"/>
  <c r="AT180" i="21" s="1"/>
  <c r="AQ180" i="21"/>
  <c r="AO180" i="21"/>
  <c r="AP180" i="21" s="1"/>
  <c r="AM180" i="21"/>
  <c r="AN180" i="21" s="1"/>
  <c r="AK180" i="21"/>
  <c r="AL180" i="21" s="1"/>
  <c r="AG180" i="21"/>
  <c r="AH180" i="21" s="1"/>
  <c r="AE180" i="21"/>
  <c r="AF180" i="21" s="1"/>
  <c r="AC180" i="21"/>
  <c r="AD180" i="21" s="1"/>
  <c r="AA180" i="21"/>
  <c r="AB180" i="21" s="1"/>
  <c r="W180" i="21"/>
  <c r="U180" i="21"/>
  <c r="V180" i="21" s="1"/>
  <c r="S180" i="21"/>
  <c r="T180" i="21" s="1"/>
  <c r="Q180" i="21"/>
  <c r="R180" i="21" s="1"/>
  <c r="P180" i="21"/>
  <c r="O180" i="21"/>
  <c r="N180" i="21"/>
  <c r="M180" i="21"/>
  <c r="L180" i="21"/>
  <c r="K180" i="21"/>
  <c r="J180" i="21"/>
  <c r="I180" i="21"/>
  <c r="H180" i="21"/>
  <c r="G180" i="21"/>
  <c r="F180" i="21"/>
  <c r="E180" i="21"/>
  <c r="D180" i="21"/>
  <c r="C180" i="21"/>
  <c r="B180" i="21"/>
  <c r="A180" i="21"/>
  <c r="BG179" i="21"/>
  <c r="BH179" i="21" s="1"/>
  <c r="BE179" i="21"/>
  <c r="BF179" i="21" s="1"/>
  <c r="AW179" i="21"/>
  <c r="AX179" i="21" s="1"/>
  <c r="AU179" i="21"/>
  <c r="AS179" i="21"/>
  <c r="AT179" i="21" s="1"/>
  <c r="AQ179" i="21"/>
  <c r="AR179" i="21" s="1"/>
  <c r="AO179" i="21"/>
  <c r="AP179" i="21" s="1"/>
  <c r="AM179" i="21"/>
  <c r="AN179" i="21" s="1"/>
  <c r="AK179" i="21"/>
  <c r="AG179" i="21"/>
  <c r="AH179" i="21" s="1"/>
  <c r="AE179" i="21"/>
  <c r="AF179" i="21" s="1"/>
  <c r="AC179" i="21"/>
  <c r="AA179" i="21"/>
  <c r="AB179" i="21" s="1"/>
  <c r="W179" i="21"/>
  <c r="X179" i="21" s="1"/>
  <c r="U179" i="21"/>
  <c r="V179" i="21" s="1"/>
  <c r="S179" i="21"/>
  <c r="T179" i="21" s="1"/>
  <c r="Q179" i="21"/>
  <c r="R179" i="21" s="1"/>
  <c r="P179" i="21"/>
  <c r="O179" i="21"/>
  <c r="N179" i="21"/>
  <c r="M179" i="21"/>
  <c r="L179" i="21"/>
  <c r="K179" i="21"/>
  <c r="J179" i="21"/>
  <c r="I179" i="21"/>
  <c r="H179" i="21"/>
  <c r="G179" i="21"/>
  <c r="F179" i="21"/>
  <c r="E179" i="21"/>
  <c r="D179" i="21"/>
  <c r="C179" i="21"/>
  <c r="B179" i="21"/>
  <c r="A179" i="21"/>
  <c r="BG178" i="21"/>
  <c r="BH178" i="21" s="1"/>
  <c r="BE178" i="21"/>
  <c r="BF178" i="21" s="1"/>
  <c r="AW178" i="21"/>
  <c r="AX178" i="21" s="1"/>
  <c r="AU178" i="21"/>
  <c r="AS178" i="21"/>
  <c r="AT178" i="21" s="1"/>
  <c r="AQ178" i="21"/>
  <c r="AR178" i="21" s="1"/>
  <c r="AO178" i="21"/>
  <c r="AM178" i="21"/>
  <c r="AN178" i="21" s="1"/>
  <c r="AK178" i="21"/>
  <c r="AL178" i="21" s="1"/>
  <c r="AG178" i="21"/>
  <c r="AE178" i="21"/>
  <c r="AF178" i="21" s="1"/>
  <c r="AC178" i="21"/>
  <c r="AD178" i="21" s="1"/>
  <c r="AA178" i="21"/>
  <c r="AB178" i="21" s="1"/>
  <c r="W178" i="21"/>
  <c r="X178" i="21" s="1"/>
  <c r="U178" i="21"/>
  <c r="V178" i="21" s="1"/>
  <c r="S178" i="21"/>
  <c r="T178" i="21" s="1"/>
  <c r="Q178" i="21"/>
  <c r="R178" i="21" s="1"/>
  <c r="P178" i="21"/>
  <c r="O178" i="21"/>
  <c r="N178" i="21"/>
  <c r="M178" i="21"/>
  <c r="L178" i="21"/>
  <c r="K178" i="21"/>
  <c r="J178" i="21"/>
  <c r="I178" i="21"/>
  <c r="H178" i="21"/>
  <c r="G178" i="21"/>
  <c r="F178" i="21"/>
  <c r="E178" i="21"/>
  <c r="D178" i="21"/>
  <c r="C178" i="21"/>
  <c r="B178" i="21"/>
  <c r="A178" i="21"/>
  <c r="BG177" i="21"/>
  <c r="BE177" i="21"/>
  <c r="BF177" i="21" s="1"/>
  <c r="AW177" i="21"/>
  <c r="AX177" i="21" s="1"/>
  <c r="AU177" i="21"/>
  <c r="AV177" i="21" s="1"/>
  <c r="AS177" i="21"/>
  <c r="AT177" i="21" s="1"/>
  <c r="AQ177" i="21"/>
  <c r="AR177" i="21" s="1"/>
  <c r="AO177" i="21"/>
  <c r="AP177" i="21" s="1"/>
  <c r="AM177" i="21"/>
  <c r="AK177" i="21"/>
  <c r="AL177" i="21" s="1"/>
  <c r="AG177" i="21"/>
  <c r="AH177" i="21" s="1"/>
  <c r="AE177" i="21"/>
  <c r="AF177" i="21" s="1"/>
  <c r="AC177" i="21"/>
  <c r="AD177" i="21" s="1"/>
  <c r="AJ177" i="21" s="1"/>
  <c r="AA177" i="21"/>
  <c r="AB177" i="21" s="1"/>
  <c r="W177" i="21"/>
  <c r="X177" i="21" s="1"/>
  <c r="U177" i="21"/>
  <c r="V177" i="21" s="1"/>
  <c r="S177" i="21"/>
  <c r="Q177" i="21"/>
  <c r="R177" i="21" s="1"/>
  <c r="P177" i="21"/>
  <c r="O177" i="21"/>
  <c r="N177" i="21"/>
  <c r="M177" i="21"/>
  <c r="L177" i="21"/>
  <c r="K177" i="21"/>
  <c r="J177" i="21"/>
  <c r="I177" i="21"/>
  <c r="H177" i="21"/>
  <c r="G177" i="21"/>
  <c r="F177" i="21"/>
  <c r="E177" i="21"/>
  <c r="D177" i="21"/>
  <c r="C177" i="21"/>
  <c r="B177" i="21"/>
  <c r="A177" i="21"/>
  <c r="BG176" i="21"/>
  <c r="BH176" i="21" s="1"/>
  <c r="BE176" i="21"/>
  <c r="BF176" i="21" s="1"/>
  <c r="AW176" i="21"/>
  <c r="AX176" i="21" s="1"/>
  <c r="AU176" i="21"/>
  <c r="AV176" i="21" s="1"/>
  <c r="AS176" i="21"/>
  <c r="AT176" i="21" s="1"/>
  <c r="AQ176" i="21"/>
  <c r="AR176" i="21" s="1"/>
  <c r="AO176" i="21"/>
  <c r="AP176" i="21" s="1"/>
  <c r="AM176" i="21"/>
  <c r="AN176" i="21" s="1"/>
  <c r="AK176" i="21"/>
  <c r="AL176" i="21" s="1"/>
  <c r="AG176" i="21"/>
  <c r="AH176" i="21" s="1"/>
  <c r="AE176" i="21"/>
  <c r="AC176" i="21"/>
  <c r="AA176" i="21"/>
  <c r="AB176" i="21" s="1"/>
  <c r="W176" i="21"/>
  <c r="X176" i="21" s="1"/>
  <c r="U176" i="21"/>
  <c r="V176" i="21" s="1"/>
  <c r="S176" i="21"/>
  <c r="Q176" i="21"/>
  <c r="R176" i="21" s="1"/>
  <c r="P176" i="21"/>
  <c r="O176" i="21"/>
  <c r="N176" i="21"/>
  <c r="M176" i="21"/>
  <c r="L176" i="21"/>
  <c r="K176" i="21"/>
  <c r="J176" i="21"/>
  <c r="I176" i="21"/>
  <c r="H176" i="21"/>
  <c r="G176" i="21"/>
  <c r="F176" i="21"/>
  <c r="E176" i="21"/>
  <c r="D176" i="21"/>
  <c r="C176" i="21"/>
  <c r="B176" i="21"/>
  <c r="A176" i="21"/>
  <c r="BG175" i="21"/>
  <c r="BH175" i="21" s="1"/>
  <c r="BE175" i="21"/>
  <c r="AW175" i="21"/>
  <c r="AX175" i="21" s="1"/>
  <c r="AU175" i="21"/>
  <c r="AS175" i="21"/>
  <c r="AT175" i="21" s="1"/>
  <c r="AQ175" i="21"/>
  <c r="AR175" i="21" s="1"/>
  <c r="AO175" i="21"/>
  <c r="AM175" i="21"/>
  <c r="AN175" i="21" s="1"/>
  <c r="AK175" i="21"/>
  <c r="AG175" i="21"/>
  <c r="AH175" i="21" s="1"/>
  <c r="AE175" i="21"/>
  <c r="AF175" i="21" s="1"/>
  <c r="AC175" i="21"/>
  <c r="AA175" i="21"/>
  <c r="AB175" i="21" s="1"/>
  <c r="W175" i="21"/>
  <c r="X175" i="21" s="1"/>
  <c r="U175" i="21"/>
  <c r="V175" i="21" s="1"/>
  <c r="S175" i="21"/>
  <c r="T175" i="21" s="1"/>
  <c r="Q175" i="21"/>
  <c r="R175" i="21" s="1"/>
  <c r="P175" i="21"/>
  <c r="O175" i="21"/>
  <c r="N175" i="21"/>
  <c r="M175" i="21"/>
  <c r="L175" i="21"/>
  <c r="K175" i="21"/>
  <c r="J175" i="21"/>
  <c r="I175" i="21"/>
  <c r="H175" i="21"/>
  <c r="G175" i="21"/>
  <c r="F175" i="21"/>
  <c r="E175" i="21"/>
  <c r="D175" i="21"/>
  <c r="C175" i="21"/>
  <c r="B175" i="21"/>
  <c r="A175" i="21"/>
  <c r="BG174" i="21"/>
  <c r="BH174" i="21" s="1"/>
  <c r="BE174" i="21"/>
  <c r="BF174" i="21" s="1"/>
  <c r="AW174" i="21"/>
  <c r="AX174" i="21" s="1"/>
  <c r="AU174" i="21"/>
  <c r="AV174" i="21" s="1"/>
  <c r="AS174" i="21"/>
  <c r="AQ174" i="21"/>
  <c r="AR174" i="21" s="1"/>
  <c r="AO174" i="21"/>
  <c r="AM174" i="21"/>
  <c r="AK174" i="21"/>
  <c r="AL174" i="21" s="1"/>
  <c r="AG174" i="21"/>
  <c r="AH174" i="21" s="1"/>
  <c r="AE174" i="21"/>
  <c r="AF174" i="21" s="1"/>
  <c r="AC174" i="21"/>
  <c r="AA174" i="21"/>
  <c r="AB174" i="21" s="1"/>
  <c r="W174" i="21"/>
  <c r="X174" i="21" s="1"/>
  <c r="U174" i="21"/>
  <c r="V174" i="21" s="1"/>
  <c r="S174" i="21"/>
  <c r="T174" i="21" s="1"/>
  <c r="Q174" i="21"/>
  <c r="R174" i="21" s="1"/>
  <c r="P174" i="21"/>
  <c r="O174" i="21"/>
  <c r="N174" i="21"/>
  <c r="M174" i="21"/>
  <c r="L174" i="21"/>
  <c r="K174" i="21"/>
  <c r="J174" i="21"/>
  <c r="I174" i="21"/>
  <c r="H174" i="21"/>
  <c r="G174" i="21"/>
  <c r="F174" i="21"/>
  <c r="E174" i="21"/>
  <c r="D174" i="21"/>
  <c r="C174" i="21"/>
  <c r="B174" i="21"/>
  <c r="A174" i="21"/>
  <c r="BG173" i="21"/>
  <c r="BE173" i="21"/>
  <c r="BF173" i="21" s="1"/>
  <c r="AW173" i="21"/>
  <c r="AX173" i="21" s="1"/>
  <c r="AU173" i="21"/>
  <c r="AV173" i="21" s="1"/>
  <c r="AS173" i="21"/>
  <c r="AQ173" i="21"/>
  <c r="AR173" i="21" s="1"/>
  <c r="AO173" i="21"/>
  <c r="AP173" i="21" s="1"/>
  <c r="AM173" i="21"/>
  <c r="AK173" i="21"/>
  <c r="AL173" i="21" s="1"/>
  <c r="AG173" i="21"/>
  <c r="AH173" i="21" s="1"/>
  <c r="AE173" i="21"/>
  <c r="AF173" i="21" s="1"/>
  <c r="AC173" i="21"/>
  <c r="AD173" i="21" s="1"/>
  <c r="AA173" i="21"/>
  <c r="AB173" i="21" s="1"/>
  <c r="W173" i="21"/>
  <c r="X173" i="21" s="1"/>
  <c r="U173" i="21"/>
  <c r="V173" i="21" s="1"/>
  <c r="S173" i="21"/>
  <c r="T173" i="21" s="1"/>
  <c r="Q173" i="21"/>
  <c r="R173" i="21" s="1"/>
  <c r="P173" i="21"/>
  <c r="O173" i="21"/>
  <c r="N173" i="21"/>
  <c r="M173" i="21"/>
  <c r="L173" i="21"/>
  <c r="K173" i="21"/>
  <c r="J173" i="21"/>
  <c r="I173" i="21"/>
  <c r="H173" i="21"/>
  <c r="G173" i="21"/>
  <c r="F173" i="21"/>
  <c r="E173" i="21"/>
  <c r="D173" i="21"/>
  <c r="C173" i="21"/>
  <c r="B173" i="21"/>
  <c r="A173" i="21"/>
  <c r="BG172" i="21"/>
  <c r="BH172" i="21" s="1"/>
  <c r="BE172" i="21"/>
  <c r="BF172" i="21" s="1"/>
  <c r="AW172" i="21"/>
  <c r="AU172" i="21"/>
  <c r="AS172" i="21"/>
  <c r="AT172" i="21" s="1"/>
  <c r="AQ172" i="21"/>
  <c r="AR172" i="21" s="1"/>
  <c r="AO172" i="21"/>
  <c r="AP172" i="21" s="1"/>
  <c r="AM172" i="21"/>
  <c r="AK172" i="21"/>
  <c r="AL172" i="21" s="1"/>
  <c r="AG172" i="21"/>
  <c r="AH172" i="21" s="1"/>
  <c r="AE172" i="21"/>
  <c r="AC172" i="21"/>
  <c r="AD172" i="21" s="1"/>
  <c r="AA172" i="21"/>
  <c r="AB172" i="21" s="1"/>
  <c r="W172" i="21"/>
  <c r="U172" i="21"/>
  <c r="V172" i="21" s="1"/>
  <c r="S172" i="21"/>
  <c r="T172" i="21" s="1"/>
  <c r="Q172" i="21"/>
  <c r="P172" i="21"/>
  <c r="O172" i="21"/>
  <c r="N172" i="21"/>
  <c r="M172" i="21"/>
  <c r="L172" i="21"/>
  <c r="K172" i="21"/>
  <c r="J172" i="21"/>
  <c r="I172" i="21"/>
  <c r="H172" i="21"/>
  <c r="G172" i="21"/>
  <c r="F172" i="21"/>
  <c r="E172" i="21"/>
  <c r="D172" i="21"/>
  <c r="C172" i="21"/>
  <c r="B172" i="21"/>
  <c r="A172" i="21"/>
  <c r="BG171" i="21"/>
  <c r="BH171" i="21" s="1"/>
  <c r="BE171" i="21"/>
  <c r="AW171" i="21"/>
  <c r="AX171" i="21" s="1"/>
  <c r="AU171" i="21"/>
  <c r="AS171" i="21"/>
  <c r="AT171" i="21" s="1"/>
  <c r="AQ171" i="21"/>
  <c r="AR171" i="21" s="1"/>
  <c r="AO171" i="21"/>
  <c r="AP171" i="21" s="1"/>
  <c r="AM171" i="21"/>
  <c r="AN171" i="21" s="1"/>
  <c r="AK171" i="21"/>
  <c r="AL171" i="21" s="1"/>
  <c r="AG171" i="21"/>
  <c r="AH171" i="21" s="1"/>
  <c r="AE171" i="21"/>
  <c r="AF171" i="21" s="1"/>
  <c r="AC171" i="21"/>
  <c r="AD171" i="21" s="1"/>
  <c r="AA171" i="21"/>
  <c r="AB171" i="21" s="1"/>
  <c r="W171" i="21"/>
  <c r="X171" i="21" s="1"/>
  <c r="U171" i="21"/>
  <c r="S171" i="21"/>
  <c r="T171" i="21" s="1"/>
  <c r="Q171" i="21"/>
  <c r="P171" i="21"/>
  <c r="O171" i="21"/>
  <c r="N171" i="21"/>
  <c r="M171" i="21"/>
  <c r="L171" i="21"/>
  <c r="K171" i="21"/>
  <c r="J171" i="21"/>
  <c r="I171" i="21"/>
  <c r="H171" i="21"/>
  <c r="G171" i="21"/>
  <c r="F171" i="21"/>
  <c r="E171" i="21"/>
  <c r="D171" i="21"/>
  <c r="C171" i="21"/>
  <c r="B171" i="21"/>
  <c r="A171" i="21"/>
  <c r="BG170" i="21"/>
  <c r="BE170" i="21"/>
  <c r="BF170" i="21" s="1"/>
  <c r="AW170" i="21"/>
  <c r="AX170" i="21" s="1"/>
  <c r="AU170" i="21"/>
  <c r="AS170" i="21"/>
  <c r="AT170" i="21" s="1"/>
  <c r="AQ170" i="21"/>
  <c r="AR170" i="21" s="1"/>
  <c r="AO170" i="21"/>
  <c r="AP170" i="21" s="1"/>
  <c r="AM170" i="21"/>
  <c r="AN170" i="21" s="1"/>
  <c r="AK170" i="21"/>
  <c r="AL170" i="21" s="1"/>
  <c r="AG170" i="21"/>
  <c r="AE170" i="21"/>
  <c r="AF170" i="21" s="1"/>
  <c r="AC170" i="21"/>
  <c r="AD170" i="21" s="1"/>
  <c r="AA170" i="21"/>
  <c r="AB170" i="21" s="1"/>
  <c r="W170" i="21"/>
  <c r="X170" i="21" s="1"/>
  <c r="U170" i="21"/>
  <c r="S170" i="21"/>
  <c r="T170" i="21" s="1"/>
  <c r="Q170" i="21"/>
  <c r="R170" i="21" s="1"/>
  <c r="P170" i="21"/>
  <c r="O170" i="21"/>
  <c r="N170" i="21"/>
  <c r="M170" i="21"/>
  <c r="L170" i="21"/>
  <c r="K170" i="21"/>
  <c r="J170" i="21"/>
  <c r="I170" i="21"/>
  <c r="H170" i="21"/>
  <c r="G170" i="21"/>
  <c r="F170" i="21"/>
  <c r="E170" i="21"/>
  <c r="D170" i="21"/>
  <c r="C170" i="21"/>
  <c r="B170" i="21"/>
  <c r="A170" i="21"/>
  <c r="BG169" i="21"/>
  <c r="BE169" i="21"/>
  <c r="BF169" i="21" s="1"/>
  <c r="AW169" i="21"/>
  <c r="AX169" i="21" s="1"/>
  <c r="AU169" i="21"/>
  <c r="AV169" i="21" s="1"/>
  <c r="AS169" i="21"/>
  <c r="AT169" i="21" s="1"/>
  <c r="AQ169" i="21"/>
  <c r="AR169" i="21" s="1"/>
  <c r="BB169" i="21" s="1"/>
  <c r="AO169" i="21"/>
  <c r="AP169" i="21" s="1"/>
  <c r="AM169" i="21"/>
  <c r="AN169" i="21" s="1"/>
  <c r="AK169" i="21"/>
  <c r="AL169" i="21" s="1"/>
  <c r="AG169" i="21"/>
  <c r="AH169" i="21" s="1"/>
  <c r="AE169" i="21"/>
  <c r="AF169" i="21" s="1"/>
  <c r="AC169" i="21"/>
  <c r="AD169" i="21" s="1"/>
  <c r="AA169" i="21"/>
  <c r="W169" i="21"/>
  <c r="U169" i="21"/>
  <c r="V169" i="21" s="1"/>
  <c r="S169" i="21"/>
  <c r="T169" i="21" s="1"/>
  <c r="Q169" i="21"/>
  <c r="R169" i="21" s="1"/>
  <c r="P169" i="21"/>
  <c r="O169" i="21"/>
  <c r="N169" i="21"/>
  <c r="M169" i="21"/>
  <c r="L169" i="21"/>
  <c r="K169" i="21"/>
  <c r="J169" i="21"/>
  <c r="I169" i="21"/>
  <c r="H169" i="21"/>
  <c r="G169" i="21"/>
  <c r="F169" i="21"/>
  <c r="E169" i="21"/>
  <c r="D169" i="21"/>
  <c r="C169" i="21"/>
  <c r="B169" i="21"/>
  <c r="A169" i="21"/>
  <c r="BG168" i="21"/>
  <c r="BE168" i="21"/>
  <c r="BF168" i="21" s="1"/>
  <c r="AW168" i="21"/>
  <c r="AU168" i="21"/>
  <c r="AV168" i="21" s="1"/>
  <c r="AS168" i="21"/>
  <c r="AT168" i="21" s="1"/>
  <c r="AQ168" i="21"/>
  <c r="AO168" i="21"/>
  <c r="AP168" i="21" s="1"/>
  <c r="AM168" i="21"/>
  <c r="AN168" i="21" s="1"/>
  <c r="AK168" i="21"/>
  <c r="AG168" i="21"/>
  <c r="AH168" i="21" s="1"/>
  <c r="AE168" i="21"/>
  <c r="AC168" i="21"/>
  <c r="AD168" i="21" s="1"/>
  <c r="AA168" i="21"/>
  <c r="AB168" i="21" s="1"/>
  <c r="W168" i="21"/>
  <c r="U168" i="21"/>
  <c r="V168" i="21" s="1"/>
  <c r="S168" i="21"/>
  <c r="T168" i="21" s="1"/>
  <c r="Q168" i="21"/>
  <c r="R168" i="21" s="1"/>
  <c r="P168" i="21"/>
  <c r="O168" i="21"/>
  <c r="N168" i="21"/>
  <c r="M168" i="21"/>
  <c r="L168" i="21"/>
  <c r="K168" i="21"/>
  <c r="J168" i="21"/>
  <c r="I168" i="21"/>
  <c r="H168" i="21"/>
  <c r="G168" i="21"/>
  <c r="F168" i="21"/>
  <c r="E168" i="21"/>
  <c r="D168" i="21"/>
  <c r="C168" i="21"/>
  <c r="B168" i="21"/>
  <c r="A168" i="21"/>
  <c r="BG167" i="21"/>
  <c r="BH167" i="21" s="1"/>
  <c r="BE167" i="21"/>
  <c r="BF167" i="21" s="1"/>
  <c r="AW167" i="21"/>
  <c r="AX167" i="21" s="1"/>
  <c r="AU167" i="21"/>
  <c r="AV167" i="21" s="1"/>
  <c r="AS167" i="21"/>
  <c r="AT167" i="21" s="1"/>
  <c r="AQ167" i="21"/>
  <c r="AR167" i="21" s="1"/>
  <c r="AO167" i="21"/>
  <c r="AM167" i="21"/>
  <c r="AN167" i="21" s="1"/>
  <c r="AK167" i="21"/>
  <c r="AG167" i="21"/>
  <c r="AE167" i="21"/>
  <c r="AF167" i="21" s="1"/>
  <c r="AC167" i="21"/>
  <c r="AD167" i="21" s="1"/>
  <c r="AA167" i="21"/>
  <c r="AB167" i="21" s="1"/>
  <c r="W167" i="21"/>
  <c r="U167" i="21"/>
  <c r="V167" i="21" s="1"/>
  <c r="S167" i="21"/>
  <c r="T167" i="21" s="1"/>
  <c r="Q167" i="21"/>
  <c r="R167" i="21" s="1"/>
  <c r="P167" i="21"/>
  <c r="O167" i="21"/>
  <c r="N167" i="21"/>
  <c r="M167" i="21"/>
  <c r="L167" i="21"/>
  <c r="K167" i="21"/>
  <c r="J167" i="21"/>
  <c r="I167" i="21"/>
  <c r="H167" i="21"/>
  <c r="G167" i="21"/>
  <c r="F167" i="21"/>
  <c r="E167" i="21"/>
  <c r="D167" i="21"/>
  <c r="C167" i="21"/>
  <c r="B167" i="21"/>
  <c r="A167" i="21"/>
  <c r="BG166" i="21"/>
  <c r="BH166" i="21" s="1"/>
  <c r="BE166" i="21"/>
  <c r="BF166" i="21" s="1"/>
  <c r="AW166" i="21"/>
  <c r="AX166" i="21" s="1"/>
  <c r="AU166" i="21"/>
  <c r="AV166" i="21" s="1"/>
  <c r="AS166" i="21"/>
  <c r="AT166" i="21" s="1"/>
  <c r="AQ166" i="21"/>
  <c r="AR166" i="21" s="1"/>
  <c r="AO166" i="21"/>
  <c r="AM166" i="21"/>
  <c r="AN166" i="21" s="1"/>
  <c r="AK166" i="21"/>
  <c r="AL166" i="21" s="1"/>
  <c r="AG166" i="21"/>
  <c r="AE166" i="21"/>
  <c r="AF166" i="21" s="1"/>
  <c r="AC166" i="21"/>
  <c r="AD166" i="21" s="1"/>
  <c r="AA166" i="21"/>
  <c r="AB166" i="21" s="1"/>
  <c r="W166" i="21"/>
  <c r="X166" i="21" s="1"/>
  <c r="U166" i="21"/>
  <c r="V166" i="21" s="1"/>
  <c r="S166" i="21"/>
  <c r="T166" i="21" s="1"/>
  <c r="Q166" i="21"/>
  <c r="R166" i="21" s="1"/>
  <c r="P166" i="21"/>
  <c r="O166" i="21"/>
  <c r="N166" i="21"/>
  <c r="M166" i="21"/>
  <c r="L166" i="21"/>
  <c r="K166" i="21"/>
  <c r="J166" i="21"/>
  <c r="I166" i="21"/>
  <c r="H166" i="21"/>
  <c r="G166" i="21"/>
  <c r="F166" i="21"/>
  <c r="E166" i="21"/>
  <c r="D166" i="21"/>
  <c r="C166" i="21"/>
  <c r="B166" i="21"/>
  <c r="A166" i="21"/>
  <c r="BG165" i="21"/>
  <c r="BH165" i="21" s="1"/>
  <c r="BE165" i="21"/>
  <c r="BF165" i="21" s="1"/>
  <c r="AW165" i="21"/>
  <c r="AX165" i="21" s="1"/>
  <c r="AU165" i="21"/>
  <c r="AV165" i="21" s="1"/>
  <c r="AS165" i="21"/>
  <c r="AQ165" i="21"/>
  <c r="AO165" i="21"/>
  <c r="AP165" i="21" s="1"/>
  <c r="AM165" i="21"/>
  <c r="AN165" i="21" s="1"/>
  <c r="AK165" i="21"/>
  <c r="AL165" i="21" s="1"/>
  <c r="AG165" i="21"/>
  <c r="AE165" i="21"/>
  <c r="AF165" i="21" s="1"/>
  <c r="AC165" i="21"/>
  <c r="AD165" i="21" s="1"/>
  <c r="AA165" i="21"/>
  <c r="W165" i="21"/>
  <c r="X165" i="21" s="1"/>
  <c r="U165" i="21"/>
  <c r="V165" i="21" s="1"/>
  <c r="S165" i="21"/>
  <c r="Q165" i="21"/>
  <c r="R165" i="21" s="1"/>
  <c r="P165" i="21"/>
  <c r="O165" i="21"/>
  <c r="N165" i="21"/>
  <c r="M165" i="21"/>
  <c r="L165" i="21"/>
  <c r="K165" i="21"/>
  <c r="J165" i="21"/>
  <c r="I165" i="21"/>
  <c r="H165" i="21"/>
  <c r="G165" i="21"/>
  <c r="F165" i="21"/>
  <c r="E165" i="21"/>
  <c r="D165" i="21"/>
  <c r="C165" i="21"/>
  <c r="B165" i="21"/>
  <c r="A165" i="21"/>
  <c r="BG164" i="21"/>
  <c r="BH164" i="21" s="1"/>
  <c r="BE164" i="21"/>
  <c r="AW164" i="21"/>
  <c r="AU164" i="21"/>
  <c r="AV164" i="21" s="1"/>
  <c r="AS164" i="21"/>
  <c r="AT164" i="21" s="1"/>
  <c r="AQ164" i="21"/>
  <c r="AO164" i="21"/>
  <c r="AP164" i="21" s="1"/>
  <c r="AM164" i="21"/>
  <c r="AN164" i="21" s="1"/>
  <c r="AK164" i="21"/>
  <c r="AL164" i="21" s="1"/>
  <c r="AG164" i="21"/>
  <c r="AH164" i="21" s="1"/>
  <c r="AE164" i="21"/>
  <c r="AF164" i="21" s="1"/>
  <c r="AC164" i="21"/>
  <c r="AD164" i="21" s="1"/>
  <c r="AA164" i="21"/>
  <c r="AB164" i="21" s="1"/>
  <c r="W164" i="21"/>
  <c r="X164" i="21" s="1"/>
  <c r="U164" i="21"/>
  <c r="V164" i="21" s="1"/>
  <c r="S164" i="21"/>
  <c r="T164" i="21" s="1"/>
  <c r="Q164" i="21"/>
  <c r="P164" i="21"/>
  <c r="O164" i="21"/>
  <c r="N164" i="21"/>
  <c r="M164" i="21"/>
  <c r="L164" i="21"/>
  <c r="K164" i="21"/>
  <c r="J164" i="21"/>
  <c r="I164" i="21"/>
  <c r="H164" i="21"/>
  <c r="G164" i="21"/>
  <c r="F164" i="21"/>
  <c r="E164" i="21"/>
  <c r="D164" i="21"/>
  <c r="C164" i="21"/>
  <c r="B164" i="21"/>
  <c r="A164" i="21"/>
  <c r="BG163" i="21"/>
  <c r="BH163" i="21" s="1"/>
  <c r="BE163" i="21"/>
  <c r="AW163" i="21"/>
  <c r="AX163" i="21" s="1"/>
  <c r="AU163" i="21"/>
  <c r="AV163" i="21" s="1"/>
  <c r="AS163" i="21"/>
  <c r="AT163" i="21" s="1"/>
  <c r="AQ163" i="21"/>
  <c r="AO163" i="21"/>
  <c r="AP163" i="21" s="1"/>
  <c r="AM163" i="21"/>
  <c r="AN163" i="21" s="1"/>
  <c r="AK163" i="21"/>
  <c r="AL163" i="21" s="1"/>
  <c r="AG163" i="21"/>
  <c r="AH163" i="21" s="1"/>
  <c r="AE163" i="21"/>
  <c r="AF163" i="21" s="1"/>
  <c r="AC163" i="21"/>
  <c r="AA163" i="21"/>
  <c r="AB163" i="21" s="1"/>
  <c r="W163" i="21"/>
  <c r="X163" i="21" s="1"/>
  <c r="U163" i="21"/>
  <c r="V163" i="21" s="1"/>
  <c r="S163" i="21"/>
  <c r="T163" i="21" s="1"/>
  <c r="Z163" i="21" s="1"/>
  <c r="Q163" i="21"/>
  <c r="P163" i="21"/>
  <c r="O163" i="21"/>
  <c r="N163" i="21"/>
  <c r="M163" i="21"/>
  <c r="L163" i="21"/>
  <c r="K163" i="21"/>
  <c r="J163" i="21"/>
  <c r="I163" i="21"/>
  <c r="H163" i="21"/>
  <c r="G163" i="21"/>
  <c r="F163" i="21"/>
  <c r="E163" i="21"/>
  <c r="D163" i="21"/>
  <c r="C163" i="21"/>
  <c r="B163" i="21"/>
  <c r="A163" i="21"/>
  <c r="BG162" i="21"/>
  <c r="BH162" i="21" s="1"/>
  <c r="BE162" i="21"/>
  <c r="BF162" i="21" s="1"/>
  <c r="AW162" i="21"/>
  <c r="AX162" i="21" s="1"/>
  <c r="AU162" i="21"/>
  <c r="AV162" i="21" s="1"/>
  <c r="AS162" i="21"/>
  <c r="AT162" i="21" s="1"/>
  <c r="AQ162" i="21"/>
  <c r="AR162" i="21" s="1"/>
  <c r="AO162" i="21"/>
  <c r="AP162" i="21" s="1"/>
  <c r="AM162" i="21"/>
  <c r="AN162" i="21" s="1"/>
  <c r="AK162" i="21"/>
  <c r="AL162" i="21" s="1"/>
  <c r="AG162" i="21"/>
  <c r="AH162" i="21" s="1"/>
  <c r="AE162" i="21"/>
  <c r="AF162" i="21" s="1"/>
  <c r="AC162" i="21"/>
  <c r="AD162" i="21" s="1"/>
  <c r="AA162" i="21"/>
  <c r="AB162" i="21" s="1"/>
  <c r="W162" i="21"/>
  <c r="X162" i="21" s="1"/>
  <c r="U162" i="21"/>
  <c r="V162" i="21" s="1"/>
  <c r="S162" i="21"/>
  <c r="Q162" i="21"/>
  <c r="R162" i="21" s="1"/>
  <c r="P162" i="21"/>
  <c r="O162" i="21"/>
  <c r="N162" i="21"/>
  <c r="M162" i="21"/>
  <c r="L162" i="21"/>
  <c r="K162" i="21"/>
  <c r="J162" i="21"/>
  <c r="I162" i="21"/>
  <c r="H162" i="21"/>
  <c r="G162" i="21"/>
  <c r="F162" i="21"/>
  <c r="E162" i="21"/>
  <c r="D162" i="21"/>
  <c r="C162" i="21"/>
  <c r="B162" i="21"/>
  <c r="A162" i="21"/>
  <c r="BG161" i="21"/>
  <c r="BE161" i="21"/>
  <c r="BF161" i="21" s="1"/>
  <c r="AW161" i="21"/>
  <c r="AX161" i="21" s="1"/>
  <c r="AU161" i="21"/>
  <c r="AV161" i="21" s="1"/>
  <c r="AS161" i="21"/>
  <c r="AT161" i="21" s="1"/>
  <c r="AQ161" i="21"/>
  <c r="AO161" i="21"/>
  <c r="AP161" i="21" s="1"/>
  <c r="AM161" i="21"/>
  <c r="AN161" i="21" s="1"/>
  <c r="AK161" i="21"/>
  <c r="AL161" i="21" s="1"/>
  <c r="AG161" i="21"/>
  <c r="AH161" i="21" s="1"/>
  <c r="AE161" i="21"/>
  <c r="AC161" i="21"/>
  <c r="AD161" i="21" s="1"/>
  <c r="AA161" i="21"/>
  <c r="W161" i="21"/>
  <c r="U161" i="21"/>
  <c r="V161" i="21" s="1"/>
  <c r="S161" i="21"/>
  <c r="Q161" i="21"/>
  <c r="R161" i="21" s="1"/>
  <c r="P161" i="21"/>
  <c r="O161" i="21"/>
  <c r="N161" i="21"/>
  <c r="M161" i="21"/>
  <c r="L161" i="21"/>
  <c r="K161" i="21"/>
  <c r="J161" i="21"/>
  <c r="I161" i="21"/>
  <c r="H161" i="21"/>
  <c r="G161" i="21"/>
  <c r="F161" i="21"/>
  <c r="E161" i="21"/>
  <c r="D161" i="21"/>
  <c r="C161" i="21"/>
  <c r="B161" i="21"/>
  <c r="A161" i="21"/>
  <c r="BG160" i="21"/>
  <c r="BH160" i="21" s="1"/>
  <c r="BE160" i="21"/>
  <c r="AW160" i="21"/>
  <c r="AX160" i="21" s="1"/>
  <c r="AU160" i="21"/>
  <c r="AS160" i="21"/>
  <c r="AT160" i="21" s="1"/>
  <c r="AQ160" i="21"/>
  <c r="AR160" i="21" s="1"/>
  <c r="AO160" i="21"/>
  <c r="AP160" i="21" s="1"/>
  <c r="AM160" i="21"/>
  <c r="AK160" i="21"/>
  <c r="AL160" i="21" s="1"/>
  <c r="AG160" i="21"/>
  <c r="AH160" i="21" s="1"/>
  <c r="AE160" i="21"/>
  <c r="AC160" i="21"/>
  <c r="AA160" i="21"/>
  <c r="AB160" i="21" s="1"/>
  <c r="W160" i="21"/>
  <c r="U160" i="21"/>
  <c r="V160" i="21" s="1"/>
  <c r="S160" i="21"/>
  <c r="Q160" i="21"/>
  <c r="R160" i="21" s="1"/>
  <c r="P160" i="21"/>
  <c r="O160" i="21"/>
  <c r="N160" i="21"/>
  <c r="M160" i="21"/>
  <c r="L160" i="21"/>
  <c r="K160" i="21"/>
  <c r="J160" i="21"/>
  <c r="I160" i="21"/>
  <c r="H160" i="21"/>
  <c r="G160" i="21"/>
  <c r="F160" i="21"/>
  <c r="E160" i="21"/>
  <c r="D160" i="21"/>
  <c r="C160" i="21"/>
  <c r="B160" i="21"/>
  <c r="A160" i="21"/>
  <c r="BG159" i="21"/>
  <c r="BH159" i="21" s="1"/>
  <c r="BE159" i="21"/>
  <c r="BF159" i="21" s="1"/>
  <c r="AW159" i="21"/>
  <c r="AU159" i="21"/>
  <c r="AV159" i="21" s="1"/>
  <c r="AS159" i="21"/>
  <c r="AT159" i="21" s="1"/>
  <c r="AQ159" i="21"/>
  <c r="AO159" i="21"/>
  <c r="AP159" i="21" s="1"/>
  <c r="AM159" i="21"/>
  <c r="AN159" i="21" s="1"/>
  <c r="AK159" i="21"/>
  <c r="AG159" i="21"/>
  <c r="AH159" i="21" s="1"/>
  <c r="AE159" i="21"/>
  <c r="AC159" i="21"/>
  <c r="AA159" i="21"/>
  <c r="AB159" i="21" s="1"/>
  <c r="W159" i="21"/>
  <c r="U159" i="21"/>
  <c r="V159" i="21" s="1"/>
  <c r="S159" i="21"/>
  <c r="T159" i="21" s="1"/>
  <c r="Q159" i="21"/>
  <c r="R159" i="21" s="1"/>
  <c r="P159" i="21"/>
  <c r="O159" i="21"/>
  <c r="N159" i="21"/>
  <c r="M159" i="21"/>
  <c r="L159" i="21"/>
  <c r="K159" i="21"/>
  <c r="J159" i="21"/>
  <c r="I159" i="21"/>
  <c r="H159" i="21"/>
  <c r="G159" i="21"/>
  <c r="F159" i="21"/>
  <c r="E159" i="21"/>
  <c r="D159" i="21"/>
  <c r="C159" i="21"/>
  <c r="B159" i="21"/>
  <c r="A159" i="21"/>
  <c r="BG158" i="21"/>
  <c r="BH158" i="21" s="1"/>
  <c r="BE158" i="21"/>
  <c r="AW158" i="21"/>
  <c r="AX158" i="21" s="1"/>
  <c r="AU158" i="21"/>
  <c r="AS158" i="21"/>
  <c r="AT158" i="21" s="1"/>
  <c r="AQ158" i="21"/>
  <c r="AR158" i="21" s="1"/>
  <c r="AO158" i="21"/>
  <c r="AM158" i="21"/>
  <c r="AN158" i="21" s="1"/>
  <c r="AK158" i="21"/>
  <c r="AG158" i="21"/>
  <c r="AE158" i="21"/>
  <c r="AF158" i="21" s="1"/>
  <c r="AC158" i="21"/>
  <c r="AA158" i="21"/>
  <c r="AB158" i="21" s="1"/>
  <c r="W158" i="21"/>
  <c r="X158" i="21" s="1"/>
  <c r="U158" i="21"/>
  <c r="V158" i="21" s="1"/>
  <c r="S158" i="21"/>
  <c r="T158" i="21" s="1"/>
  <c r="Q158" i="21"/>
  <c r="P158" i="21"/>
  <c r="O158" i="21"/>
  <c r="N158" i="21"/>
  <c r="M158" i="21"/>
  <c r="L158" i="21"/>
  <c r="K158" i="21"/>
  <c r="J158" i="21"/>
  <c r="I158" i="21"/>
  <c r="H158" i="21"/>
  <c r="G158" i="21"/>
  <c r="F158" i="21"/>
  <c r="E158" i="21"/>
  <c r="D158" i="21"/>
  <c r="C158" i="21"/>
  <c r="B158" i="21"/>
  <c r="A158" i="21"/>
  <c r="BG157" i="21"/>
  <c r="BH157" i="21" s="1"/>
  <c r="BE157" i="21"/>
  <c r="BF157" i="21" s="1"/>
  <c r="AW157" i="21"/>
  <c r="AX157" i="21" s="1"/>
  <c r="AU157" i="21"/>
  <c r="AV157" i="21" s="1"/>
  <c r="AS157" i="21"/>
  <c r="AQ157" i="21"/>
  <c r="AR157" i="21" s="1"/>
  <c r="AO157" i="21"/>
  <c r="AP157" i="21" s="1"/>
  <c r="AM157" i="21"/>
  <c r="AK157" i="21"/>
  <c r="AL157" i="21" s="1"/>
  <c r="AG157" i="21"/>
  <c r="AE157" i="21"/>
  <c r="AF157" i="21" s="1"/>
  <c r="AC157" i="21"/>
  <c r="AD157" i="21" s="1"/>
  <c r="AA157" i="21"/>
  <c r="AB157" i="21" s="1"/>
  <c r="W157" i="21"/>
  <c r="X157" i="21" s="1"/>
  <c r="U157" i="21"/>
  <c r="S157" i="21"/>
  <c r="T157" i="21" s="1"/>
  <c r="Q157" i="21"/>
  <c r="R157" i="21" s="1"/>
  <c r="P157" i="21"/>
  <c r="O157" i="21"/>
  <c r="N157" i="21"/>
  <c r="M157" i="21"/>
  <c r="L157" i="21"/>
  <c r="K157" i="21"/>
  <c r="J157" i="21"/>
  <c r="I157" i="21"/>
  <c r="H157" i="21"/>
  <c r="G157" i="21"/>
  <c r="F157" i="21"/>
  <c r="E157" i="21"/>
  <c r="D157" i="21"/>
  <c r="C157" i="21"/>
  <c r="B157" i="21"/>
  <c r="A157" i="21"/>
  <c r="BG156" i="21"/>
  <c r="BE156" i="21"/>
  <c r="BF156" i="21" s="1"/>
  <c r="AW156" i="21"/>
  <c r="AU156" i="21"/>
  <c r="AV156" i="21" s="1"/>
  <c r="AS156" i="21"/>
  <c r="AT156" i="21" s="1"/>
  <c r="AQ156" i="21"/>
  <c r="AO156" i="21"/>
  <c r="AP156" i="21" s="1"/>
  <c r="AM156" i="21"/>
  <c r="AK156" i="21"/>
  <c r="AL156" i="21" s="1"/>
  <c r="AG156" i="21"/>
  <c r="AH156" i="21" s="1"/>
  <c r="AE156" i="21"/>
  <c r="AF156" i="21" s="1"/>
  <c r="AC156" i="21"/>
  <c r="AD156" i="21" s="1"/>
  <c r="AA156" i="21"/>
  <c r="W156" i="21"/>
  <c r="X156" i="21" s="1"/>
  <c r="U156" i="21"/>
  <c r="V156" i="21" s="1"/>
  <c r="S156" i="21"/>
  <c r="Q156" i="21"/>
  <c r="R156" i="21" s="1"/>
  <c r="P156" i="21"/>
  <c r="O156" i="21"/>
  <c r="N156" i="21"/>
  <c r="M156" i="21"/>
  <c r="L156" i="21"/>
  <c r="K156" i="21"/>
  <c r="J156" i="21"/>
  <c r="I156" i="21"/>
  <c r="H156" i="21"/>
  <c r="G156" i="21"/>
  <c r="F156" i="21"/>
  <c r="E156" i="21"/>
  <c r="D156" i="21"/>
  <c r="C156" i="21"/>
  <c r="B156" i="21"/>
  <c r="A156" i="21"/>
  <c r="BG155" i="21"/>
  <c r="BH155" i="21" s="1"/>
  <c r="BE155" i="21"/>
  <c r="AW155" i="21"/>
  <c r="AX155" i="21" s="1"/>
  <c r="AU155" i="21"/>
  <c r="AS155" i="21"/>
  <c r="AT155" i="21" s="1"/>
  <c r="AQ155" i="21"/>
  <c r="AO155" i="21"/>
  <c r="AP155" i="21" s="1"/>
  <c r="AM155" i="21"/>
  <c r="AN155" i="21" s="1"/>
  <c r="AK155" i="21"/>
  <c r="AL155" i="21" s="1"/>
  <c r="AG155" i="21"/>
  <c r="AH155" i="21" s="1"/>
  <c r="AE155" i="21"/>
  <c r="AC155" i="21"/>
  <c r="AD155" i="21" s="1"/>
  <c r="AA155" i="21"/>
  <c r="AB155" i="21" s="1"/>
  <c r="W155" i="21"/>
  <c r="U155" i="21"/>
  <c r="V155" i="21" s="1"/>
  <c r="S155" i="21"/>
  <c r="T155" i="21" s="1"/>
  <c r="Q155" i="21"/>
  <c r="P155" i="21"/>
  <c r="O155" i="21"/>
  <c r="N155" i="21"/>
  <c r="M155" i="21"/>
  <c r="L155" i="21"/>
  <c r="K155" i="21"/>
  <c r="J155" i="21"/>
  <c r="I155" i="21"/>
  <c r="H155" i="21"/>
  <c r="G155" i="21"/>
  <c r="F155" i="21"/>
  <c r="E155" i="21"/>
  <c r="D155" i="21"/>
  <c r="C155" i="21"/>
  <c r="B155" i="21"/>
  <c r="A155" i="21"/>
  <c r="BG154" i="21"/>
  <c r="BH154" i="21" s="1"/>
  <c r="BE154" i="21"/>
  <c r="BF154" i="21" s="1"/>
  <c r="AW154" i="21"/>
  <c r="AX154" i="21" s="1"/>
  <c r="AU154" i="21"/>
  <c r="AS154" i="21"/>
  <c r="AT154" i="21" s="1"/>
  <c r="AQ154" i="21"/>
  <c r="AR154" i="21" s="1"/>
  <c r="AO154" i="21"/>
  <c r="AP154" i="21" s="1"/>
  <c r="AM154" i="21"/>
  <c r="AN154" i="21" s="1"/>
  <c r="AK154" i="21"/>
  <c r="AG154" i="21"/>
  <c r="AH154" i="21" s="1"/>
  <c r="AE154" i="21"/>
  <c r="AF154" i="21" s="1"/>
  <c r="AC154" i="21"/>
  <c r="AA154" i="21"/>
  <c r="AB154" i="21" s="1"/>
  <c r="W154" i="21"/>
  <c r="X154" i="21" s="1"/>
  <c r="U154" i="21"/>
  <c r="S154" i="21"/>
  <c r="T154" i="21" s="1"/>
  <c r="Q154" i="21"/>
  <c r="R154" i="21" s="1"/>
  <c r="P154" i="21"/>
  <c r="O154" i="21"/>
  <c r="N154" i="21"/>
  <c r="M154" i="21"/>
  <c r="L154" i="21"/>
  <c r="K154" i="21"/>
  <c r="J154" i="21"/>
  <c r="I154" i="21"/>
  <c r="H154" i="21"/>
  <c r="G154" i="21"/>
  <c r="F154" i="21"/>
  <c r="E154" i="21"/>
  <c r="D154" i="21"/>
  <c r="C154" i="21"/>
  <c r="B154" i="21"/>
  <c r="A154" i="21"/>
  <c r="BG153" i="21"/>
  <c r="BE153" i="21"/>
  <c r="BF153" i="21" s="1"/>
  <c r="AW153" i="21"/>
  <c r="AX153" i="21" s="1"/>
  <c r="AU153" i="21"/>
  <c r="AV153" i="21" s="1"/>
  <c r="AS153" i="21"/>
  <c r="AT153" i="21" s="1"/>
  <c r="AQ153" i="21"/>
  <c r="AR153" i="21" s="1"/>
  <c r="BB153" i="21" s="1"/>
  <c r="AO153" i="21"/>
  <c r="AM153" i="21"/>
  <c r="AN153" i="21" s="1"/>
  <c r="AK153" i="21"/>
  <c r="AL153" i="21" s="1"/>
  <c r="AG153" i="21"/>
  <c r="AE153" i="21"/>
  <c r="AF153" i="21" s="1"/>
  <c r="AC153" i="21"/>
  <c r="AD153" i="21" s="1"/>
  <c r="AA153" i="21"/>
  <c r="W153" i="21"/>
  <c r="X153" i="21" s="1"/>
  <c r="U153" i="21"/>
  <c r="V153" i="21" s="1"/>
  <c r="S153" i="21"/>
  <c r="Q153" i="21"/>
  <c r="R153" i="21" s="1"/>
  <c r="P153" i="21"/>
  <c r="O153" i="21"/>
  <c r="N153" i="21"/>
  <c r="M153" i="21"/>
  <c r="L153" i="21"/>
  <c r="K153" i="21"/>
  <c r="J153" i="21"/>
  <c r="I153" i="21"/>
  <c r="H153" i="21"/>
  <c r="G153" i="21"/>
  <c r="F153" i="21"/>
  <c r="E153" i="21"/>
  <c r="D153" i="21"/>
  <c r="C153" i="21"/>
  <c r="B153" i="21"/>
  <c r="A153" i="21"/>
  <c r="BG152" i="21"/>
  <c r="BE152" i="21"/>
  <c r="BF152" i="21" s="1"/>
  <c r="AW152" i="21"/>
  <c r="AX152" i="21" s="1"/>
  <c r="AU152" i="21"/>
  <c r="AV152" i="21" s="1"/>
  <c r="AS152" i="21"/>
  <c r="AQ152" i="21"/>
  <c r="AR152" i="21" s="1"/>
  <c r="AO152" i="21"/>
  <c r="AP152" i="21" s="1"/>
  <c r="AM152" i="21"/>
  <c r="AK152" i="21"/>
  <c r="AL152" i="21" s="1"/>
  <c r="AG152" i="21"/>
  <c r="AH152" i="21" s="1"/>
  <c r="AE152" i="21"/>
  <c r="AC152" i="21"/>
  <c r="AD152" i="21" s="1"/>
  <c r="AA152" i="21"/>
  <c r="AB152" i="21" s="1"/>
  <c r="W152" i="21"/>
  <c r="U152" i="21"/>
  <c r="V152" i="21" s="1"/>
  <c r="S152" i="21"/>
  <c r="Q152" i="21"/>
  <c r="R152" i="21" s="1"/>
  <c r="P152" i="21"/>
  <c r="O152" i="21"/>
  <c r="N152" i="21"/>
  <c r="M152" i="21"/>
  <c r="L152" i="21"/>
  <c r="K152" i="21"/>
  <c r="J152" i="21"/>
  <c r="I152" i="21"/>
  <c r="H152" i="21"/>
  <c r="G152" i="21"/>
  <c r="F152" i="21"/>
  <c r="E152" i="21"/>
  <c r="D152" i="21"/>
  <c r="C152" i="21"/>
  <c r="B152" i="21"/>
  <c r="A152" i="21"/>
  <c r="BG151" i="21"/>
  <c r="BH151" i="21" s="1"/>
  <c r="BE151" i="21"/>
  <c r="BF151" i="21" s="1"/>
  <c r="AW151" i="21"/>
  <c r="AU151" i="21"/>
  <c r="AV151" i="21" s="1"/>
  <c r="AS151" i="21"/>
  <c r="AT151" i="21" s="1"/>
  <c r="AQ151" i="21"/>
  <c r="AO151" i="21"/>
  <c r="AP151" i="21" s="1"/>
  <c r="AM151" i="21"/>
  <c r="AN151" i="21" s="1"/>
  <c r="AK151" i="21"/>
  <c r="AL151" i="21" s="1"/>
  <c r="AG151" i="21"/>
  <c r="AH151" i="21" s="1"/>
  <c r="AE151" i="21"/>
  <c r="AC151" i="21"/>
  <c r="AD151" i="21" s="1"/>
  <c r="AJ151" i="21" s="1"/>
  <c r="AA151" i="21"/>
  <c r="AB151" i="21" s="1"/>
  <c r="W151" i="21"/>
  <c r="U151" i="21"/>
  <c r="V151" i="21" s="1"/>
  <c r="S151" i="21"/>
  <c r="T151" i="21" s="1"/>
  <c r="Q151" i="21"/>
  <c r="R151" i="21" s="1"/>
  <c r="P151" i="21"/>
  <c r="O151" i="21"/>
  <c r="N151" i="21"/>
  <c r="M151" i="21"/>
  <c r="L151" i="21"/>
  <c r="K151" i="21"/>
  <c r="J151" i="21"/>
  <c r="I151" i="21"/>
  <c r="H151" i="21"/>
  <c r="G151" i="21"/>
  <c r="F151" i="21"/>
  <c r="E151" i="21"/>
  <c r="D151" i="21"/>
  <c r="C151" i="21"/>
  <c r="B151" i="21"/>
  <c r="A151" i="21"/>
  <c r="BG150" i="21"/>
  <c r="BH150" i="21" s="1"/>
  <c r="BE150" i="21"/>
  <c r="AW150" i="21"/>
  <c r="AX150" i="21" s="1"/>
  <c r="AU150" i="21"/>
  <c r="AS150" i="21"/>
  <c r="AT150" i="21" s="1"/>
  <c r="AQ150" i="21"/>
  <c r="AR150" i="21" s="1"/>
  <c r="AO150" i="21"/>
  <c r="AP150" i="21" s="1"/>
  <c r="AM150" i="21"/>
  <c r="AN150" i="21" s="1"/>
  <c r="AK150" i="21"/>
  <c r="AL150" i="21" s="1"/>
  <c r="AG150" i="21"/>
  <c r="AH150" i="21" s="1"/>
  <c r="AE150" i="21"/>
  <c r="AF150" i="21" s="1"/>
  <c r="AC150" i="21"/>
  <c r="AA150" i="21"/>
  <c r="AB150" i="21" s="1"/>
  <c r="W150" i="21"/>
  <c r="X150" i="21" s="1"/>
  <c r="U150" i="21"/>
  <c r="V150" i="21" s="1"/>
  <c r="S150" i="21"/>
  <c r="T150" i="21" s="1"/>
  <c r="Q150" i="21"/>
  <c r="P150" i="21"/>
  <c r="O150" i="21"/>
  <c r="N150" i="21"/>
  <c r="M150" i="21"/>
  <c r="L150" i="21"/>
  <c r="K150" i="21"/>
  <c r="J150" i="21"/>
  <c r="I150" i="21"/>
  <c r="H150" i="21"/>
  <c r="G150" i="21"/>
  <c r="F150" i="21"/>
  <c r="E150" i="21"/>
  <c r="D150" i="21"/>
  <c r="C150" i="21"/>
  <c r="B150" i="21"/>
  <c r="A150" i="21"/>
  <c r="BG149" i="21"/>
  <c r="BH149" i="21" s="1"/>
  <c r="BE149" i="21"/>
  <c r="BF149" i="21" s="1"/>
  <c r="AW149" i="21"/>
  <c r="AX149" i="21" s="1"/>
  <c r="AU149" i="21"/>
  <c r="AV149" i="21" s="1"/>
  <c r="AS149" i="21"/>
  <c r="AT149" i="21" s="1"/>
  <c r="AQ149" i="21"/>
  <c r="AR149" i="21" s="1"/>
  <c r="AO149" i="21"/>
  <c r="AP149" i="21" s="1"/>
  <c r="AM149" i="21"/>
  <c r="AN149" i="21" s="1"/>
  <c r="AK149" i="21"/>
  <c r="AL149" i="21" s="1"/>
  <c r="AG149" i="21"/>
  <c r="AE149" i="21"/>
  <c r="AF149" i="21" s="1"/>
  <c r="AC149" i="21"/>
  <c r="AD149" i="21" s="1"/>
  <c r="AA149" i="21"/>
  <c r="AB149" i="21" s="1"/>
  <c r="W149" i="21"/>
  <c r="X149" i="21" s="1"/>
  <c r="U149" i="21"/>
  <c r="S149" i="21"/>
  <c r="T149" i="21" s="1"/>
  <c r="Q149" i="21"/>
  <c r="R149" i="21" s="1"/>
  <c r="P149" i="21"/>
  <c r="O149" i="21"/>
  <c r="N149" i="21"/>
  <c r="M149" i="21"/>
  <c r="L149" i="21"/>
  <c r="K149" i="21"/>
  <c r="J149" i="21"/>
  <c r="I149" i="21"/>
  <c r="H149" i="21"/>
  <c r="G149" i="21"/>
  <c r="F149" i="21"/>
  <c r="E149" i="21"/>
  <c r="D149" i="21"/>
  <c r="C149" i="21"/>
  <c r="B149" i="21"/>
  <c r="A149" i="21"/>
  <c r="BG148" i="21"/>
  <c r="BE148" i="21"/>
  <c r="BF148" i="21" s="1"/>
  <c r="AW148" i="21"/>
  <c r="AX148" i="21" s="1"/>
  <c r="AU148" i="21"/>
  <c r="AV148" i="21" s="1"/>
  <c r="AS148" i="21"/>
  <c r="AT148" i="21" s="1"/>
  <c r="AQ148" i="21"/>
  <c r="AR148" i="21" s="1"/>
  <c r="AO148" i="21"/>
  <c r="AP148" i="21" s="1"/>
  <c r="AM148" i="21"/>
  <c r="AK148" i="21"/>
  <c r="AL148" i="21" s="1"/>
  <c r="AG148" i="21"/>
  <c r="AH148" i="21" s="1"/>
  <c r="AE148" i="21"/>
  <c r="AF148" i="21" s="1"/>
  <c r="AC148" i="21"/>
  <c r="AD148" i="21" s="1"/>
  <c r="AA148" i="21"/>
  <c r="W148" i="21"/>
  <c r="X148" i="21" s="1"/>
  <c r="U148" i="21"/>
  <c r="V148" i="21" s="1"/>
  <c r="S148" i="21"/>
  <c r="Q148" i="21"/>
  <c r="R148" i="21" s="1"/>
  <c r="P148" i="21"/>
  <c r="O148" i="21"/>
  <c r="N148" i="21"/>
  <c r="M148" i="21"/>
  <c r="L148" i="21"/>
  <c r="K148" i="21"/>
  <c r="J148" i="21"/>
  <c r="I148" i="21"/>
  <c r="H148" i="21"/>
  <c r="G148" i="21"/>
  <c r="F148" i="21"/>
  <c r="E148" i="21"/>
  <c r="D148" i="21"/>
  <c r="C148" i="21"/>
  <c r="B148" i="21"/>
  <c r="A148" i="21"/>
  <c r="BG147" i="21"/>
  <c r="BH147" i="21" s="1"/>
  <c r="BE147" i="21"/>
  <c r="BF147" i="21" s="1"/>
  <c r="AW147" i="21"/>
  <c r="AX147" i="21" s="1"/>
  <c r="AU147" i="21"/>
  <c r="AV147" i="21" s="1"/>
  <c r="AS147" i="21"/>
  <c r="AT147" i="21" s="1"/>
  <c r="AQ147" i="21"/>
  <c r="AO147" i="21"/>
  <c r="AP147" i="21" s="1"/>
  <c r="AM147" i="21"/>
  <c r="AN147" i="21" s="1"/>
  <c r="AK147" i="21"/>
  <c r="AL147" i="21" s="1"/>
  <c r="AG147" i="21"/>
  <c r="AH147" i="21" s="1"/>
  <c r="AE147" i="21"/>
  <c r="AC147" i="21"/>
  <c r="AD147" i="21" s="1"/>
  <c r="AA147" i="21"/>
  <c r="AB147" i="21" s="1"/>
  <c r="W147" i="21"/>
  <c r="U147" i="21"/>
  <c r="V147" i="21" s="1"/>
  <c r="S147" i="21"/>
  <c r="T147" i="21" s="1"/>
  <c r="Q147" i="21"/>
  <c r="R147" i="21" s="1"/>
  <c r="P147" i="21"/>
  <c r="O147" i="21"/>
  <c r="N147" i="21"/>
  <c r="M147" i="21"/>
  <c r="L147" i="21"/>
  <c r="K147" i="21"/>
  <c r="J147" i="21"/>
  <c r="I147" i="21"/>
  <c r="H147" i="21"/>
  <c r="G147" i="21"/>
  <c r="F147" i="21"/>
  <c r="E147" i="21"/>
  <c r="D147" i="21"/>
  <c r="C147" i="21"/>
  <c r="B147" i="21"/>
  <c r="A147" i="21"/>
  <c r="BG146" i="21"/>
  <c r="BH146" i="21" s="1"/>
  <c r="BE146" i="21"/>
  <c r="BF146" i="21" s="1"/>
  <c r="AW146" i="21"/>
  <c r="AX146" i="21" s="1"/>
  <c r="AU146" i="21"/>
  <c r="AS146" i="21"/>
  <c r="AT146" i="21" s="1"/>
  <c r="AQ146" i="21"/>
  <c r="AR146" i="21" s="1"/>
  <c r="AO146" i="21"/>
  <c r="AP146" i="21" s="1"/>
  <c r="AM146" i="21"/>
  <c r="AN146" i="21" s="1"/>
  <c r="AK146" i="21"/>
  <c r="AG146" i="21"/>
  <c r="AH146" i="21" s="1"/>
  <c r="AE146" i="21"/>
  <c r="AF146" i="21" s="1"/>
  <c r="AC146" i="21"/>
  <c r="AA146" i="21"/>
  <c r="AB146" i="21" s="1"/>
  <c r="W146" i="21"/>
  <c r="X146" i="21" s="1"/>
  <c r="U146" i="21"/>
  <c r="V146" i="21" s="1"/>
  <c r="S146" i="21"/>
  <c r="T146" i="21" s="1"/>
  <c r="Q146" i="21"/>
  <c r="R146" i="21" s="1"/>
  <c r="P146" i="21"/>
  <c r="O146" i="21"/>
  <c r="N146" i="21"/>
  <c r="M146" i="21"/>
  <c r="L146" i="21"/>
  <c r="K146" i="21"/>
  <c r="J146" i="21"/>
  <c r="I146" i="21"/>
  <c r="H146" i="21"/>
  <c r="G146" i="21"/>
  <c r="F146" i="21"/>
  <c r="E146" i="21"/>
  <c r="D146" i="21"/>
  <c r="C146" i="21"/>
  <c r="B146" i="21"/>
  <c r="A146" i="21"/>
  <c r="BG145" i="21"/>
  <c r="BH145" i="21" s="1"/>
  <c r="BE145" i="21"/>
  <c r="BF145" i="21" s="1"/>
  <c r="AW145" i="21"/>
  <c r="AX145" i="21" s="1"/>
  <c r="AU145" i="21"/>
  <c r="AV145" i="21" s="1"/>
  <c r="AS145" i="21"/>
  <c r="AT145" i="21" s="1"/>
  <c r="AQ145" i="21"/>
  <c r="AR145" i="21" s="1"/>
  <c r="AO145" i="21"/>
  <c r="AM145" i="21"/>
  <c r="AN145" i="21" s="1"/>
  <c r="AK145" i="21"/>
  <c r="AL145" i="21" s="1"/>
  <c r="AG145" i="21"/>
  <c r="AE145" i="21"/>
  <c r="AF145" i="21" s="1"/>
  <c r="AC145" i="21"/>
  <c r="AD145" i="21" s="1"/>
  <c r="AA145" i="21"/>
  <c r="AB145" i="21" s="1"/>
  <c r="W145" i="21"/>
  <c r="X145" i="21" s="1"/>
  <c r="U145" i="21"/>
  <c r="S145" i="21"/>
  <c r="T145" i="21" s="1"/>
  <c r="Q145" i="21"/>
  <c r="R145" i="21" s="1"/>
  <c r="P145" i="21"/>
  <c r="O145" i="21"/>
  <c r="N145" i="21"/>
  <c r="M145" i="21"/>
  <c r="L145" i="21"/>
  <c r="K145" i="21"/>
  <c r="J145" i="21"/>
  <c r="I145" i="21"/>
  <c r="H145" i="21"/>
  <c r="G145" i="21"/>
  <c r="F145" i="21"/>
  <c r="E145" i="21"/>
  <c r="D145" i="21"/>
  <c r="C145" i="21"/>
  <c r="B145" i="21"/>
  <c r="A145" i="21"/>
  <c r="BG144" i="21"/>
  <c r="BE144" i="21"/>
  <c r="BF144" i="21" s="1"/>
  <c r="AW144" i="21"/>
  <c r="AX144" i="21" s="1"/>
  <c r="AU144" i="21"/>
  <c r="AV144" i="21" s="1"/>
  <c r="AS144" i="21"/>
  <c r="AQ144" i="21"/>
  <c r="AR144" i="21" s="1"/>
  <c r="AO144" i="21"/>
  <c r="AP144" i="21" s="1"/>
  <c r="AM144" i="21"/>
  <c r="AK144" i="21"/>
  <c r="AL144" i="21" s="1"/>
  <c r="AG144" i="21"/>
  <c r="AH144" i="21" s="1"/>
  <c r="AE144" i="21"/>
  <c r="AF144" i="21" s="1"/>
  <c r="AC144" i="21"/>
  <c r="AD144" i="21" s="1"/>
  <c r="AA144" i="21"/>
  <c r="W144" i="21"/>
  <c r="X144" i="21" s="1"/>
  <c r="U144" i="21"/>
  <c r="V144" i="21" s="1"/>
  <c r="S144" i="21"/>
  <c r="Q144" i="21"/>
  <c r="R144" i="21" s="1"/>
  <c r="P144" i="21"/>
  <c r="O144" i="21"/>
  <c r="N144" i="21"/>
  <c r="M144" i="21"/>
  <c r="L144" i="21"/>
  <c r="K144" i="21"/>
  <c r="J144" i="21"/>
  <c r="I144" i="21"/>
  <c r="H144" i="21"/>
  <c r="G144" i="21"/>
  <c r="F144" i="21"/>
  <c r="E144" i="21"/>
  <c r="D144" i="21"/>
  <c r="C144" i="21"/>
  <c r="B144" i="21"/>
  <c r="A144" i="21"/>
  <c r="BG143" i="21"/>
  <c r="BH143" i="21" s="1"/>
  <c r="BE143" i="21"/>
  <c r="BF143" i="21" s="1"/>
  <c r="AW143" i="21"/>
  <c r="AU143" i="21"/>
  <c r="AV143" i="21" s="1"/>
  <c r="AS143" i="21"/>
  <c r="AT143" i="21" s="1"/>
  <c r="AQ143" i="21"/>
  <c r="AO143" i="21"/>
  <c r="AP143" i="21" s="1"/>
  <c r="AM143" i="21"/>
  <c r="AN143" i="21" s="1"/>
  <c r="AK143" i="21"/>
  <c r="AL143" i="21" s="1"/>
  <c r="AG143" i="21"/>
  <c r="AH143" i="21" s="1"/>
  <c r="AE143" i="21"/>
  <c r="AC143" i="21"/>
  <c r="AD143" i="21" s="1"/>
  <c r="AA143" i="21"/>
  <c r="AB143" i="21" s="1"/>
  <c r="W143" i="21"/>
  <c r="U143" i="21"/>
  <c r="V143" i="21" s="1"/>
  <c r="S143" i="21"/>
  <c r="T143" i="21" s="1"/>
  <c r="Q143" i="21"/>
  <c r="R143" i="21" s="1"/>
  <c r="P143" i="21"/>
  <c r="O143" i="21"/>
  <c r="N143" i="21"/>
  <c r="M143" i="21"/>
  <c r="L143" i="21"/>
  <c r="K143" i="21"/>
  <c r="J143" i="21"/>
  <c r="I143" i="21"/>
  <c r="H143" i="21"/>
  <c r="G143" i="21"/>
  <c r="F143" i="21"/>
  <c r="E143" i="21"/>
  <c r="D143" i="21"/>
  <c r="C143" i="21"/>
  <c r="B143" i="21"/>
  <c r="A143" i="21"/>
  <c r="BG142" i="21"/>
  <c r="BH142" i="21" s="1"/>
  <c r="BE142" i="21"/>
  <c r="AW142" i="21"/>
  <c r="AX142" i="21" s="1"/>
  <c r="AU142" i="21"/>
  <c r="AS142" i="21"/>
  <c r="AT142" i="21" s="1"/>
  <c r="AQ142" i="21"/>
  <c r="AR142" i="21" s="1"/>
  <c r="AO142" i="21"/>
  <c r="AP142" i="21" s="1"/>
  <c r="AM142" i="21"/>
  <c r="AN142" i="21" s="1"/>
  <c r="AK142" i="21"/>
  <c r="AG142" i="21"/>
  <c r="AH142" i="21" s="1"/>
  <c r="AE142" i="21"/>
  <c r="AF142" i="21" s="1"/>
  <c r="AC142" i="21"/>
  <c r="AA142" i="21"/>
  <c r="AB142" i="21" s="1"/>
  <c r="W142" i="21"/>
  <c r="X142" i="21" s="1"/>
  <c r="U142" i="21"/>
  <c r="V142" i="21" s="1"/>
  <c r="S142" i="21"/>
  <c r="T142" i="21" s="1"/>
  <c r="Q142" i="21"/>
  <c r="P142" i="21"/>
  <c r="O142" i="21"/>
  <c r="N142" i="21"/>
  <c r="M142" i="21"/>
  <c r="L142" i="21"/>
  <c r="K142" i="21"/>
  <c r="J142" i="21"/>
  <c r="I142" i="21"/>
  <c r="H142" i="21"/>
  <c r="G142" i="21"/>
  <c r="F142" i="21"/>
  <c r="E142" i="21"/>
  <c r="D142" i="21"/>
  <c r="C142" i="21"/>
  <c r="B142" i="21"/>
  <c r="A142" i="21"/>
  <c r="BG141" i="21"/>
  <c r="BH141" i="21" s="1"/>
  <c r="BE141" i="21"/>
  <c r="BF141" i="21" s="1"/>
  <c r="AW141" i="21"/>
  <c r="AX141" i="21" s="1"/>
  <c r="AU141" i="21"/>
  <c r="AV141" i="21" s="1"/>
  <c r="AS141" i="21"/>
  <c r="AT141" i="21" s="1"/>
  <c r="AQ141" i="21"/>
  <c r="AR141" i="21" s="1"/>
  <c r="AO141" i="21"/>
  <c r="AM141" i="21"/>
  <c r="AN141" i="21" s="1"/>
  <c r="AK141" i="21"/>
  <c r="AL141" i="21" s="1"/>
  <c r="AG141" i="21"/>
  <c r="AE141" i="21"/>
  <c r="AF141" i="21" s="1"/>
  <c r="AC141" i="21"/>
  <c r="AD141" i="21" s="1"/>
  <c r="AA141" i="21"/>
  <c r="AB141" i="21" s="1"/>
  <c r="W141" i="21"/>
  <c r="X141" i="21" s="1"/>
  <c r="U141" i="21"/>
  <c r="S141" i="21"/>
  <c r="T141" i="21" s="1"/>
  <c r="Q141" i="21"/>
  <c r="R141" i="21" s="1"/>
  <c r="P141" i="21"/>
  <c r="O141" i="21"/>
  <c r="N141" i="21"/>
  <c r="M141" i="21"/>
  <c r="L141" i="21"/>
  <c r="K141" i="21"/>
  <c r="J141" i="21"/>
  <c r="I141" i="21"/>
  <c r="H141" i="21"/>
  <c r="G141" i="21"/>
  <c r="F141" i="21"/>
  <c r="E141" i="21"/>
  <c r="D141" i="21"/>
  <c r="C141" i="21"/>
  <c r="B141" i="21"/>
  <c r="A141" i="21"/>
  <c r="BG140" i="21"/>
  <c r="BE140" i="21"/>
  <c r="BF140" i="21" s="1"/>
  <c r="AW140" i="21"/>
  <c r="AX140" i="21" s="1"/>
  <c r="AU140" i="21"/>
  <c r="AV140" i="21" s="1"/>
  <c r="AS140" i="21"/>
  <c r="AQ140" i="21"/>
  <c r="AR140" i="21" s="1"/>
  <c r="AO140" i="21"/>
  <c r="AP140" i="21" s="1"/>
  <c r="AM140" i="21"/>
  <c r="AK140" i="21"/>
  <c r="AL140" i="21" s="1"/>
  <c r="AG140" i="21"/>
  <c r="AH140" i="21" s="1"/>
  <c r="AE140" i="21"/>
  <c r="AF140" i="21" s="1"/>
  <c r="AC140" i="21"/>
  <c r="AD140" i="21" s="1"/>
  <c r="AA140" i="21"/>
  <c r="AB140" i="21" s="1"/>
  <c r="W140" i="21"/>
  <c r="X140" i="21" s="1"/>
  <c r="U140" i="21"/>
  <c r="V140" i="21" s="1"/>
  <c r="S140" i="21"/>
  <c r="Q140" i="21"/>
  <c r="R140" i="21" s="1"/>
  <c r="P140" i="21"/>
  <c r="O140" i="21"/>
  <c r="N140" i="21"/>
  <c r="M140" i="21"/>
  <c r="L140" i="21"/>
  <c r="K140" i="21"/>
  <c r="J140" i="21"/>
  <c r="I140" i="21"/>
  <c r="H140" i="21"/>
  <c r="G140" i="21"/>
  <c r="F140" i="21"/>
  <c r="E140" i="21"/>
  <c r="D140" i="21"/>
  <c r="C140" i="21"/>
  <c r="B140" i="21"/>
  <c r="A140" i="21"/>
  <c r="BG139" i="21"/>
  <c r="BH139" i="21" s="1"/>
  <c r="BE139" i="21"/>
  <c r="BF139" i="21" s="1"/>
  <c r="AW139" i="21"/>
  <c r="AU139" i="21"/>
  <c r="AV139" i="21" s="1"/>
  <c r="AS139" i="21"/>
  <c r="AT139" i="21" s="1"/>
  <c r="AQ139" i="21"/>
  <c r="AO139" i="21"/>
  <c r="AP139" i="21" s="1"/>
  <c r="AM139" i="21"/>
  <c r="AN139" i="21" s="1"/>
  <c r="AK139" i="21"/>
  <c r="AL139" i="21" s="1"/>
  <c r="AG139" i="21"/>
  <c r="AH139" i="21" s="1"/>
  <c r="AE139" i="21"/>
  <c r="AF139" i="21" s="1"/>
  <c r="AC139" i="21"/>
  <c r="AD139" i="21" s="1"/>
  <c r="AA139" i="21"/>
  <c r="AB139" i="21" s="1"/>
  <c r="W139" i="21"/>
  <c r="U139" i="21"/>
  <c r="V139" i="21" s="1"/>
  <c r="S139" i="21"/>
  <c r="T139" i="21" s="1"/>
  <c r="Q139" i="21"/>
  <c r="R139" i="21" s="1"/>
  <c r="P139" i="21"/>
  <c r="O139" i="21"/>
  <c r="N139" i="21"/>
  <c r="M139" i="21"/>
  <c r="L139" i="21"/>
  <c r="K139" i="21"/>
  <c r="J139" i="21"/>
  <c r="I139" i="21"/>
  <c r="H139" i="21"/>
  <c r="G139" i="21"/>
  <c r="F139" i="21"/>
  <c r="E139" i="21"/>
  <c r="D139" i="21"/>
  <c r="C139" i="21"/>
  <c r="B139" i="21"/>
  <c r="A139" i="21"/>
  <c r="BG138" i="21"/>
  <c r="BH138" i="21" s="1"/>
  <c r="BE138" i="21"/>
  <c r="AW138" i="21"/>
  <c r="AX138" i="21" s="1"/>
  <c r="AU138" i="21"/>
  <c r="AS138" i="21"/>
  <c r="AT138" i="21" s="1"/>
  <c r="AQ138" i="21"/>
  <c r="AR138" i="21" s="1"/>
  <c r="AO138" i="21"/>
  <c r="AP138" i="21" s="1"/>
  <c r="AM138" i="21"/>
  <c r="AN138" i="21" s="1"/>
  <c r="AK138" i="21"/>
  <c r="AL138" i="21" s="1"/>
  <c r="AG138" i="21"/>
  <c r="AH138" i="21" s="1"/>
  <c r="AE138" i="21"/>
  <c r="AF138" i="21" s="1"/>
  <c r="AC138" i="21"/>
  <c r="AA138" i="21"/>
  <c r="AB138" i="21" s="1"/>
  <c r="W138" i="21"/>
  <c r="X138" i="21" s="1"/>
  <c r="U138" i="21"/>
  <c r="V138" i="21" s="1"/>
  <c r="S138" i="21"/>
  <c r="T138" i="21" s="1"/>
  <c r="Q138" i="21"/>
  <c r="P138" i="21"/>
  <c r="O138" i="21"/>
  <c r="N138" i="21"/>
  <c r="M138" i="21"/>
  <c r="L138" i="21"/>
  <c r="K138" i="21"/>
  <c r="J138" i="21"/>
  <c r="I138" i="21"/>
  <c r="H138" i="21"/>
  <c r="G138" i="21"/>
  <c r="F138" i="21"/>
  <c r="E138" i="21"/>
  <c r="D138" i="21"/>
  <c r="C138" i="21"/>
  <c r="B138" i="21"/>
  <c r="A138" i="21"/>
  <c r="BG137" i="21"/>
  <c r="BH137" i="21" s="1"/>
  <c r="BE137" i="21"/>
  <c r="BF137" i="21" s="1"/>
  <c r="AW137" i="21"/>
  <c r="AX137" i="21" s="1"/>
  <c r="AU137" i="21"/>
  <c r="AV137" i="21" s="1"/>
  <c r="AS137" i="21"/>
  <c r="AT137" i="21" s="1"/>
  <c r="AQ137" i="21"/>
  <c r="AR137" i="21" s="1"/>
  <c r="AO137" i="21"/>
  <c r="AP137" i="21" s="1"/>
  <c r="AM137" i="21"/>
  <c r="AN137" i="21" s="1"/>
  <c r="AK137" i="21"/>
  <c r="AL137" i="21" s="1"/>
  <c r="AG137" i="21"/>
  <c r="AE137" i="21"/>
  <c r="AF137" i="21" s="1"/>
  <c r="AC137" i="21"/>
  <c r="AD137" i="21" s="1"/>
  <c r="AA137" i="21"/>
  <c r="AB137" i="21" s="1"/>
  <c r="W137" i="21"/>
  <c r="X137" i="21" s="1"/>
  <c r="U137" i="21"/>
  <c r="S137" i="21"/>
  <c r="T137" i="21" s="1"/>
  <c r="Q137" i="21"/>
  <c r="R137" i="21" s="1"/>
  <c r="P137" i="21"/>
  <c r="O137" i="21"/>
  <c r="N137" i="21"/>
  <c r="M137" i="21"/>
  <c r="L137" i="21"/>
  <c r="K137" i="21"/>
  <c r="J137" i="21"/>
  <c r="I137" i="21"/>
  <c r="H137" i="21"/>
  <c r="G137" i="21"/>
  <c r="F137" i="21"/>
  <c r="E137" i="21"/>
  <c r="D137" i="21"/>
  <c r="C137" i="21"/>
  <c r="B137" i="21"/>
  <c r="A137" i="21"/>
  <c r="BG136" i="21"/>
  <c r="BE136" i="21"/>
  <c r="BF136" i="21" s="1"/>
  <c r="AW136" i="21"/>
  <c r="AX136" i="21" s="1"/>
  <c r="AU136" i="21"/>
  <c r="AV136" i="21" s="1"/>
  <c r="AS136" i="21"/>
  <c r="AT136" i="21" s="1"/>
  <c r="AQ136" i="21"/>
  <c r="AR136" i="21" s="1"/>
  <c r="AO136" i="21"/>
  <c r="AP136" i="21" s="1"/>
  <c r="AM136" i="21"/>
  <c r="AK136" i="21"/>
  <c r="AL136" i="21" s="1"/>
  <c r="AG136" i="21"/>
  <c r="AH136" i="21" s="1"/>
  <c r="AE136" i="21"/>
  <c r="AF136" i="21" s="1"/>
  <c r="AC136" i="21"/>
  <c r="AD136" i="21" s="1"/>
  <c r="AA136" i="21"/>
  <c r="W136" i="21"/>
  <c r="X136" i="21" s="1"/>
  <c r="U136" i="21"/>
  <c r="V136" i="21" s="1"/>
  <c r="S136" i="21"/>
  <c r="Q136" i="21"/>
  <c r="R136" i="21" s="1"/>
  <c r="P136" i="21"/>
  <c r="O136" i="21"/>
  <c r="N136" i="21"/>
  <c r="M136" i="21"/>
  <c r="L136" i="21"/>
  <c r="K136" i="21"/>
  <c r="J136" i="21"/>
  <c r="I136" i="21"/>
  <c r="H136" i="21"/>
  <c r="G136" i="21"/>
  <c r="F136" i="21"/>
  <c r="E136" i="21"/>
  <c r="D136" i="21"/>
  <c r="C136" i="21"/>
  <c r="B136" i="21"/>
  <c r="A136" i="21"/>
  <c r="BG135" i="21"/>
  <c r="BH135" i="21" s="1"/>
  <c r="BE135" i="21"/>
  <c r="BF135" i="21" s="1"/>
  <c r="AW135" i="21"/>
  <c r="AX135" i="21" s="1"/>
  <c r="AU135" i="21"/>
  <c r="AV135" i="21" s="1"/>
  <c r="AS135" i="21"/>
  <c r="AT135" i="21" s="1"/>
  <c r="AQ135" i="21"/>
  <c r="AO135" i="21"/>
  <c r="AP135" i="21" s="1"/>
  <c r="AM135" i="21"/>
  <c r="AN135" i="21" s="1"/>
  <c r="AK135" i="21"/>
  <c r="AL135" i="21" s="1"/>
  <c r="AG135" i="21"/>
  <c r="AH135" i="21" s="1"/>
  <c r="AE135" i="21"/>
  <c r="AC135" i="21"/>
  <c r="AD135" i="21" s="1"/>
  <c r="AA135" i="21"/>
  <c r="AB135" i="21" s="1"/>
  <c r="W135" i="21"/>
  <c r="U135" i="21"/>
  <c r="V135" i="21" s="1"/>
  <c r="S135" i="21"/>
  <c r="T135" i="21" s="1"/>
  <c r="Q135" i="21"/>
  <c r="R135" i="21" s="1"/>
  <c r="P135" i="21"/>
  <c r="O135" i="21"/>
  <c r="N135" i="21"/>
  <c r="M135" i="21"/>
  <c r="L135" i="21"/>
  <c r="K135" i="21"/>
  <c r="J135" i="21"/>
  <c r="I135" i="21"/>
  <c r="H135" i="21"/>
  <c r="G135" i="21"/>
  <c r="F135" i="21"/>
  <c r="E135" i="21"/>
  <c r="D135" i="21"/>
  <c r="C135" i="21"/>
  <c r="B135" i="21"/>
  <c r="A135" i="21"/>
  <c r="BG134" i="21"/>
  <c r="BH134" i="21" s="1"/>
  <c r="BE134" i="21"/>
  <c r="BF134" i="21" s="1"/>
  <c r="AW134" i="21"/>
  <c r="AX134" i="21" s="1"/>
  <c r="AU134" i="21"/>
  <c r="AS134" i="21"/>
  <c r="AT134" i="21" s="1"/>
  <c r="AQ134" i="21"/>
  <c r="AR134" i="21" s="1"/>
  <c r="AO134" i="21"/>
  <c r="AP134" i="21" s="1"/>
  <c r="AM134" i="21"/>
  <c r="AN134" i="21" s="1"/>
  <c r="AK134" i="21"/>
  <c r="AG134" i="21"/>
  <c r="AH134" i="21" s="1"/>
  <c r="AE134" i="21"/>
  <c r="AF134" i="21" s="1"/>
  <c r="AC134" i="21"/>
  <c r="AA134" i="21"/>
  <c r="AB134" i="21" s="1"/>
  <c r="W134" i="21"/>
  <c r="X134" i="21" s="1"/>
  <c r="U134" i="21"/>
  <c r="V134" i="21" s="1"/>
  <c r="S134" i="21"/>
  <c r="T134" i="21" s="1"/>
  <c r="Q134" i="21"/>
  <c r="R134" i="21" s="1"/>
  <c r="P134" i="21"/>
  <c r="O134" i="21"/>
  <c r="N134" i="21"/>
  <c r="M134" i="21"/>
  <c r="L134" i="21"/>
  <c r="K134" i="21"/>
  <c r="J134" i="21"/>
  <c r="I134" i="21"/>
  <c r="H134" i="21"/>
  <c r="G134" i="21"/>
  <c r="F134" i="21"/>
  <c r="E134" i="21"/>
  <c r="D134" i="21"/>
  <c r="C134" i="21"/>
  <c r="B134" i="21"/>
  <c r="A134" i="21"/>
  <c r="BG133" i="21"/>
  <c r="BH133" i="21" s="1"/>
  <c r="BE133" i="21"/>
  <c r="BF133" i="21" s="1"/>
  <c r="AW133" i="21"/>
  <c r="AX133" i="21" s="1"/>
  <c r="AU133" i="21"/>
  <c r="AV133" i="21" s="1"/>
  <c r="AS133" i="21"/>
  <c r="AT133" i="21" s="1"/>
  <c r="AQ133" i="21"/>
  <c r="AR133" i="21" s="1"/>
  <c r="AO133" i="21"/>
  <c r="AM133" i="21"/>
  <c r="AN133" i="21" s="1"/>
  <c r="AK133" i="21"/>
  <c r="AL133" i="21" s="1"/>
  <c r="AG133" i="21"/>
  <c r="AE133" i="21"/>
  <c r="AF133" i="21" s="1"/>
  <c r="AC133" i="21"/>
  <c r="AD133" i="21" s="1"/>
  <c r="AA133" i="21"/>
  <c r="AB133" i="21" s="1"/>
  <c r="W133" i="21"/>
  <c r="X133" i="21" s="1"/>
  <c r="U133" i="21"/>
  <c r="V133" i="21" s="1"/>
  <c r="S133" i="21"/>
  <c r="T133" i="21" s="1"/>
  <c r="Q133" i="21"/>
  <c r="R133" i="21" s="1"/>
  <c r="P133" i="21"/>
  <c r="O133" i="21"/>
  <c r="N133" i="21"/>
  <c r="M133" i="21"/>
  <c r="L133" i="21"/>
  <c r="K133" i="21"/>
  <c r="J133" i="21"/>
  <c r="I133" i="21"/>
  <c r="H133" i="21"/>
  <c r="G133" i="21"/>
  <c r="F133" i="21"/>
  <c r="E133" i="21"/>
  <c r="D133" i="21"/>
  <c r="C133" i="21"/>
  <c r="B133" i="21"/>
  <c r="A133" i="21"/>
  <c r="BG132" i="21"/>
  <c r="BE132" i="21"/>
  <c r="BF132" i="21" s="1"/>
  <c r="AW132" i="21"/>
  <c r="AX132" i="21" s="1"/>
  <c r="AU132" i="21"/>
  <c r="AV132" i="21" s="1"/>
  <c r="AS132" i="21"/>
  <c r="AQ132" i="21"/>
  <c r="AR132" i="21" s="1"/>
  <c r="AO132" i="21"/>
  <c r="AP132" i="21" s="1"/>
  <c r="AM132" i="21"/>
  <c r="AK132" i="21"/>
  <c r="AL132" i="21" s="1"/>
  <c r="AG132" i="21"/>
  <c r="AH132" i="21" s="1"/>
  <c r="AE132" i="21"/>
  <c r="AF132" i="21" s="1"/>
  <c r="AC132" i="21"/>
  <c r="AD132" i="21" s="1"/>
  <c r="AA132" i="21"/>
  <c r="AB132" i="21" s="1"/>
  <c r="W132" i="21"/>
  <c r="X132" i="21" s="1"/>
  <c r="U132" i="21"/>
  <c r="V132" i="21" s="1"/>
  <c r="S132" i="21"/>
  <c r="Q132" i="21"/>
  <c r="R132" i="21" s="1"/>
  <c r="P132" i="21"/>
  <c r="O132" i="21"/>
  <c r="N132" i="21"/>
  <c r="M132" i="21"/>
  <c r="L132" i="21"/>
  <c r="K132" i="21"/>
  <c r="J132" i="21"/>
  <c r="I132" i="21"/>
  <c r="H132" i="21"/>
  <c r="G132" i="21"/>
  <c r="F132" i="21"/>
  <c r="E132" i="21"/>
  <c r="D132" i="21"/>
  <c r="C132" i="21"/>
  <c r="B132" i="21"/>
  <c r="A132" i="21"/>
  <c r="BG131" i="21"/>
  <c r="BH131" i="21" s="1"/>
  <c r="BE131" i="21"/>
  <c r="BF131" i="21" s="1"/>
  <c r="AW131" i="21"/>
  <c r="AU131" i="21"/>
  <c r="AV131" i="21" s="1"/>
  <c r="AS131" i="21"/>
  <c r="AT131" i="21" s="1"/>
  <c r="AQ131" i="21"/>
  <c r="AO131" i="21"/>
  <c r="AP131" i="21" s="1"/>
  <c r="AM131" i="21"/>
  <c r="AN131" i="21" s="1"/>
  <c r="AK131" i="21"/>
  <c r="AL131" i="21" s="1"/>
  <c r="AG131" i="21"/>
  <c r="AH131" i="21" s="1"/>
  <c r="AE131" i="21"/>
  <c r="AF131" i="21" s="1"/>
  <c r="AC131" i="21"/>
  <c r="AD131" i="21" s="1"/>
  <c r="AA131" i="21"/>
  <c r="AB131" i="21" s="1"/>
  <c r="W131" i="21"/>
  <c r="U131" i="21"/>
  <c r="V131" i="21" s="1"/>
  <c r="S131" i="21"/>
  <c r="T131" i="21" s="1"/>
  <c r="Q131" i="21"/>
  <c r="R131" i="21" s="1"/>
  <c r="P131" i="21"/>
  <c r="O131" i="21"/>
  <c r="N131" i="21"/>
  <c r="M131" i="21"/>
  <c r="L131" i="21"/>
  <c r="K131" i="21"/>
  <c r="J131" i="21"/>
  <c r="I131" i="21"/>
  <c r="H131" i="21"/>
  <c r="G131" i="21"/>
  <c r="F131" i="21"/>
  <c r="E131" i="21"/>
  <c r="D131" i="21"/>
  <c r="C131" i="21"/>
  <c r="B131" i="21"/>
  <c r="A131" i="21"/>
  <c r="BG130" i="21"/>
  <c r="BH130" i="21" s="1"/>
  <c r="BE130" i="21"/>
  <c r="AW130" i="21"/>
  <c r="AX130" i="21" s="1"/>
  <c r="AU130" i="21"/>
  <c r="AS130" i="21"/>
  <c r="AT130" i="21" s="1"/>
  <c r="AQ130" i="21"/>
  <c r="AR130" i="21" s="1"/>
  <c r="AO130" i="21"/>
  <c r="AP130" i="21" s="1"/>
  <c r="AM130" i="21"/>
  <c r="AN130" i="21" s="1"/>
  <c r="AK130" i="21"/>
  <c r="AL130" i="21" s="1"/>
  <c r="AG130" i="21"/>
  <c r="AH130" i="21" s="1"/>
  <c r="AE130" i="21"/>
  <c r="AF130" i="21" s="1"/>
  <c r="AC130" i="21"/>
  <c r="AA130" i="21"/>
  <c r="AB130" i="21" s="1"/>
  <c r="W130" i="21"/>
  <c r="X130" i="21" s="1"/>
  <c r="U130" i="21"/>
  <c r="V130" i="21" s="1"/>
  <c r="S130" i="21"/>
  <c r="T130" i="21" s="1"/>
  <c r="Q130" i="21"/>
  <c r="P130" i="21"/>
  <c r="O130" i="21"/>
  <c r="N130" i="21"/>
  <c r="M130" i="21"/>
  <c r="L130" i="21"/>
  <c r="K130" i="21"/>
  <c r="J130" i="21"/>
  <c r="I130" i="21"/>
  <c r="H130" i="21"/>
  <c r="G130" i="21"/>
  <c r="F130" i="21"/>
  <c r="E130" i="21"/>
  <c r="D130" i="21"/>
  <c r="C130" i="21"/>
  <c r="B130" i="21"/>
  <c r="A130" i="21"/>
  <c r="BG129" i="21"/>
  <c r="BH129" i="21" s="1"/>
  <c r="BE129" i="21"/>
  <c r="BF129" i="21" s="1"/>
  <c r="AW129" i="21"/>
  <c r="AX129" i="21" s="1"/>
  <c r="AU129" i="21"/>
  <c r="AV129" i="21" s="1"/>
  <c r="AS129" i="21"/>
  <c r="AT129" i="21" s="1"/>
  <c r="AQ129" i="21"/>
  <c r="AR129" i="21" s="1"/>
  <c r="AO129" i="21"/>
  <c r="AP129" i="21" s="1"/>
  <c r="AM129" i="21"/>
  <c r="AN129" i="21" s="1"/>
  <c r="AK129" i="21"/>
  <c r="AL129" i="21" s="1"/>
  <c r="AG129" i="21"/>
  <c r="AE129" i="21"/>
  <c r="AF129" i="21" s="1"/>
  <c r="AC129" i="21"/>
  <c r="AD129" i="21" s="1"/>
  <c r="AA129" i="21"/>
  <c r="AB129" i="21" s="1"/>
  <c r="W129" i="21"/>
  <c r="X129" i="21" s="1"/>
  <c r="U129" i="21"/>
  <c r="S129" i="21"/>
  <c r="T129" i="21" s="1"/>
  <c r="Q129" i="21"/>
  <c r="R129" i="21" s="1"/>
  <c r="P129" i="21"/>
  <c r="O129" i="21"/>
  <c r="N129" i="21"/>
  <c r="M129" i="21"/>
  <c r="L129" i="21"/>
  <c r="K129" i="21"/>
  <c r="J129" i="21"/>
  <c r="I129" i="21"/>
  <c r="H129" i="21"/>
  <c r="G129" i="21"/>
  <c r="F129" i="21"/>
  <c r="E129" i="21"/>
  <c r="D129" i="21"/>
  <c r="C129" i="21"/>
  <c r="B129" i="21"/>
  <c r="A129" i="21"/>
  <c r="BG128" i="21"/>
  <c r="BE128" i="21"/>
  <c r="BF128" i="21" s="1"/>
  <c r="AW128" i="21"/>
  <c r="AU128" i="21"/>
  <c r="AV128" i="21" s="1"/>
  <c r="AS128" i="21"/>
  <c r="AQ128" i="21"/>
  <c r="AR128" i="21" s="1"/>
  <c r="AO128" i="21"/>
  <c r="AP128" i="21" s="1"/>
  <c r="AM128" i="21"/>
  <c r="AK128" i="21"/>
  <c r="AL128" i="21" s="1"/>
  <c r="AG128" i="21"/>
  <c r="AH128" i="21" s="1"/>
  <c r="AE128" i="21"/>
  <c r="AF128" i="21" s="1"/>
  <c r="AC128" i="21"/>
  <c r="AD128" i="21" s="1"/>
  <c r="AA128" i="21"/>
  <c r="W128" i="21"/>
  <c r="X128" i="21" s="1"/>
  <c r="U128" i="21"/>
  <c r="V128" i="21" s="1"/>
  <c r="S128" i="21"/>
  <c r="Q128" i="21"/>
  <c r="R128" i="21" s="1"/>
  <c r="P128" i="21"/>
  <c r="O128" i="21"/>
  <c r="N128" i="21"/>
  <c r="M128" i="21"/>
  <c r="L128" i="21"/>
  <c r="K128" i="21"/>
  <c r="J128" i="21"/>
  <c r="I128" i="21"/>
  <c r="H128" i="21"/>
  <c r="G128" i="21"/>
  <c r="F128" i="21"/>
  <c r="E128" i="21"/>
  <c r="D128" i="21"/>
  <c r="C128" i="21"/>
  <c r="B128" i="21"/>
  <c r="A128" i="21"/>
  <c r="BG127" i="21"/>
  <c r="BH127" i="21" s="1"/>
  <c r="BE127" i="21"/>
  <c r="BF127" i="21" s="1"/>
  <c r="AW127" i="21"/>
  <c r="AU127" i="21"/>
  <c r="AV127" i="21" s="1"/>
  <c r="AS127" i="21"/>
  <c r="AT127" i="21" s="1"/>
  <c r="AQ127" i="21"/>
  <c r="AO127" i="21"/>
  <c r="AP127" i="21" s="1"/>
  <c r="AM127" i="21"/>
  <c r="AN127" i="21" s="1"/>
  <c r="AK127" i="21"/>
  <c r="AL127" i="21" s="1"/>
  <c r="AG127" i="21"/>
  <c r="AH127" i="21" s="1"/>
  <c r="AE127" i="21"/>
  <c r="AC127" i="21"/>
  <c r="AD127" i="21" s="1"/>
  <c r="AA127" i="21"/>
  <c r="AB127" i="21" s="1"/>
  <c r="W127" i="21"/>
  <c r="U127" i="21"/>
  <c r="V127" i="21" s="1"/>
  <c r="S127" i="21"/>
  <c r="T127" i="21" s="1"/>
  <c r="Q127" i="21"/>
  <c r="R127" i="21" s="1"/>
  <c r="P127" i="21"/>
  <c r="O127" i="21"/>
  <c r="N127" i="21"/>
  <c r="M127" i="21"/>
  <c r="L127" i="21"/>
  <c r="K127" i="21"/>
  <c r="J127" i="21"/>
  <c r="I127" i="21"/>
  <c r="H127" i="21"/>
  <c r="G127" i="21"/>
  <c r="F127" i="21"/>
  <c r="E127" i="21"/>
  <c r="D127" i="21"/>
  <c r="C127" i="21"/>
  <c r="B127" i="21"/>
  <c r="A127" i="21"/>
  <c r="BG126" i="21"/>
  <c r="BH126" i="21" s="1"/>
  <c r="BE126" i="21"/>
  <c r="AW126" i="21"/>
  <c r="AX126" i="21" s="1"/>
  <c r="AU126" i="21"/>
  <c r="AS126" i="21"/>
  <c r="AT126" i="21" s="1"/>
  <c r="AQ126" i="21"/>
  <c r="AR126" i="21" s="1"/>
  <c r="AO126" i="21"/>
  <c r="AP126" i="21" s="1"/>
  <c r="AM126" i="21"/>
  <c r="AN126" i="21" s="1"/>
  <c r="AK126" i="21"/>
  <c r="AG126" i="21"/>
  <c r="AH126" i="21" s="1"/>
  <c r="AE126" i="21"/>
  <c r="AF126" i="21" s="1"/>
  <c r="AC126" i="21"/>
  <c r="AA126" i="21"/>
  <c r="AB126" i="21" s="1"/>
  <c r="W126" i="21"/>
  <c r="X126" i="21" s="1"/>
  <c r="U126" i="21"/>
  <c r="V126" i="21" s="1"/>
  <c r="S126" i="21"/>
  <c r="T126" i="21" s="1"/>
  <c r="Q126" i="21"/>
  <c r="P126" i="21"/>
  <c r="O126" i="21"/>
  <c r="N126" i="21"/>
  <c r="M126" i="21"/>
  <c r="L126" i="21"/>
  <c r="K126" i="21"/>
  <c r="J126" i="21"/>
  <c r="I126" i="21"/>
  <c r="H126" i="21"/>
  <c r="G126" i="21"/>
  <c r="F126" i="21"/>
  <c r="E126" i="21"/>
  <c r="D126" i="21"/>
  <c r="C126" i="21"/>
  <c r="B126" i="21"/>
  <c r="A126" i="21"/>
  <c r="BG125" i="21"/>
  <c r="BH125" i="21" s="1"/>
  <c r="BE125" i="21"/>
  <c r="BF125" i="21" s="1"/>
  <c r="AW125" i="21"/>
  <c r="AX125" i="21" s="1"/>
  <c r="AU125" i="21"/>
  <c r="AV125" i="21" s="1"/>
  <c r="AS125" i="21"/>
  <c r="AT125" i="21" s="1"/>
  <c r="AQ125" i="21"/>
  <c r="AR125" i="21" s="1"/>
  <c r="AO125" i="21"/>
  <c r="AM125" i="21"/>
  <c r="AN125" i="21" s="1"/>
  <c r="AK125" i="21"/>
  <c r="AL125" i="21" s="1"/>
  <c r="AG125" i="21"/>
  <c r="AE125" i="21"/>
  <c r="AF125" i="21" s="1"/>
  <c r="AC125" i="21"/>
  <c r="AD125" i="21" s="1"/>
  <c r="AA125" i="21"/>
  <c r="AB125" i="21" s="1"/>
  <c r="W125" i="21"/>
  <c r="X125" i="21" s="1"/>
  <c r="U125" i="21"/>
  <c r="S125" i="21"/>
  <c r="T125" i="21" s="1"/>
  <c r="Q125" i="21"/>
  <c r="R125" i="21" s="1"/>
  <c r="P125" i="21"/>
  <c r="O125" i="21"/>
  <c r="N125" i="21"/>
  <c r="M125" i="21"/>
  <c r="L125" i="21"/>
  <c r="K125" i="21"/>
  <c r="J125" i="21"/>
  <c r="I125" i="21"/>
  <c r="H125" i="21"/>
  <c r="G125" i="21"/>
  <c r="F125" i="21"/>
  <c r="E125" i="21"/>
  <c r="D125" i="21"/>
  <c r="C125" i="21"/>
  <c r="B125" i="21"/>
  <c r="A125" i="21"/>
  <c r="BG124" i="21"/>
  <c r="BE124" i="21"/>
  <c r="BF124" i="21" s="1"/>
  <c r="AW124" i="21"/>
  <c r="AX124" i="21" s="1"/>
  <c r="AU124" i="21"/>
  <c r="AV124" i="21" s="1"/>
  <c r="AS124" i="21"/>
  <c r="AQ124" i="21"/>
  <c r="AR124" i="21" s="1"/>
  <c r="AO124" i="21"/>
  <c r="AP124" i="21" s="1"/>
  <c r="AM124" i="21"/>
  <c r="AK124" i="21"/>
  <c r="AL124" i="21" s="1"/>
  <c r="AG124" i="21"/>
  <c r="AH124" i="21" s="1"/>
  <c r="AE124" i="21"/>
  <c r="AF124" i="21" s="1"/>
  <c r="AC124" i="21"/>
  <c r="AD124" i="21" s="1"/>
  <c r="AA124" i="21"/>
  <c r="W124" i="21"/>
  <c r="X124" i="21" s="1"/>
  <c r="U124" i="21"/>
  <c r="V124" i="21" s="1"/>
  <c r="S124" i="21"/>
  <c r="Q124" i="21"/>
  <c r="R124" i="21" s="1"/>
  <c r="P124" i="21"/>
  <c r="O124" i="21"/>
  <c r="N124" i="21"/>
  <c r="M124" i="21"/>
  <c r="L124" i="21"/>
  <c r="K124" i="21"/>
  <c r="J124" i="21"/>
  <c r="I124" i="21"/>
  <c r="H124" i="21"/>
  <c r="G124" i="21"/>
  <c r="F124" i="21"/>
  <c r="E124" i="21"/>
  <c r="D124" i="21"/>
  <c r="C124" i="21"/>
  <c r="B124" i="21"/>
  <c r="A124" i="21"/>
  <c r="BG123" i="21"/>
  <c r="BH123" i="21" s="1"/>
  <c r="BE123" i="21"/>
  <c r="BF123" i="21" s="1"/>
  <c r="AW123" i="21"/>
  <c r="AU123" i="21"/>
  <c r="AV123" i="21" s="1"/>
  <c r="AS123" i="21"/>
  <c r="AT123" i="21" s="1"/>
  <c r="AQ123" i="21"/>
  <c r="AO123" i="21"/>
  <c r="AP123" i="21" s="1"/>
  <c r="AM123" i="21"/>
  <c r="AN123" i="21" s="1"/>
  <c r="AK123" i="21"/>
  <c r="AL123" i="21" s="1"/>
  <c r="AG123" i="21"/>
  <c r="AH123" i="21" s="1"/>
  <c r="AE123" i="21"/>
  <c r="AC123" i="21"/>
  <c r="AD123" i="21" s="1"/>
  <c r="AA123" i="21"/>
  <c r="AB123" i="21" s="1"/>
  <c r="W123" i="21"/>
  <c r="X123" i="21" s="1"/>
  <c r="U123" i="21"/>
  <c r="V123" i="21" s="1"/>
  <c r="S123" i="21"/>
  <c r="T123" i="21" s="1"/>
  <c r="Z123" i="21" s="1"/>
  <c r="Q123" i="21"/>
  <c r="R123" i="21" s="1"/>
  <c r="P123" i="21"/>
  <c r="O123" i="21"/>
  <c r="N123" i="21"/>
  <c r="M123" i="21"/>
  <c r="L123" i="21"/>
  <c r="K123" i="21"/>
  <c r="J123" i="21"/>
  <c r="I123" i="21"/>
  <c r="H123" i="21"/>
  <c r="G123" i="21"/>
  <c r="F123" i="21"/>
  <c r="E123" i="21"/>
  <c r="D123" i="21"/>
  <c r="C123" i="21"/>
  <c r="B123" i="21"/>
  <c r="A123" i="21"/>
  <c r="BG122" i="21"/>
  <c r="BH122" i="21" s="1"/>
  <c r="BE122" i="21"/>
  <c r="BF122" i="21" s="1"/>
  <c r="AW122" i="21"/>
  <c r="AX122" i="21" s="1"/>
  <c r="AU122" i="21"/>
  <c r="AV122" i="21" s="1"/>
  <c r="AS122" i="21"/>
  <c r="AT122" i="21" s="1"/>
  <c r="AQ122" i="21"/>
  <c r="AR122" i="21" s="1"/>
  <c r="AO122" i="21"/>
  <c r="AP122" i="21" s="1"/>
  <c r="AM122" i="21"/>
  <c r="AN122" i="21" s="1"/>
  <c r="AK122" i="21"/>
  <c r="AL122" i="21" s="1"/>
  <c r="AG122" i="21"/>
  <c r="AE122" i="21"/>
  <c r="AF122" i="21" s="1"/>
  <c r="AC122" i="21"/>
  <c r="AA122" i="21"/>
  <c r="AB122" i="21" s="1"/>
  <c r="W122" i="21"/>
  <c r="X122" i="21" s="1"/>
  <c r="U122" i="21"/>
  <c r="S122" i="21"/>
  <c r="T122" i="21" s="1"/>
  <c r="Q122" i="21"/>
  <c r="R122" i="21" s="1"/>
  <c r="P122" i="21"/>
  <c r="O122" i="21"/>
  <c r="N122" i="21"/>
  <c r="M122" i="21"/>
  <c r="L122" i="21"/>
  <c r="K122" i="21"/>
  <c r="J122" i="21"/>
  <c r="I122" i="21"/>
  <c r="H122" i="21"/>
  <c r="G122" i="21"/>
  <c r="F122" i="21"/>
  <c r="E122" i="21"/>
  <c r="D122" i="21"/>
  <c r="C122" i="21"/>
  <c r="B122" i="21"/>
  <c r="A122" i="21"/>
  <c r="BG121" i="21"/>
  <c r="BE121" i="21"/>
  <c r="BF121" i="21" s="1"/>
  <c r="AW121" i="21"/>
  <c r="AX121" i="21" s="1"/>
  <c r="AU121" i="21"/>
  <c r="AV121" i="21" s="1"/>
  <c r="AS121" i="21"/>
  <c r="AT121" i="21" s="1"/>
  <c r="AQ121" i="21"/>
  <c r="AR121" i="21" s="1"/>
  <c r="AO121" i="21"/>
  <c r="AP121" i="21" s="1"/>
  <c r="AM121" i="21"/>
  <c r="AK121" i="21"/>
  <c r="AL121" i="21" s="1"/>
  <c r="AG121" i="21"/>
  <c r="AH121" i="21" s="1"/>
  <c r="AE121" i="21"/>
  <c r="AF121" i="21" s="1"/>
  <c r="AC121" i="21"/>
  <c r="AD121" i="21" s="1"/>
  <c r="AA121" i="21"/>
  <c r="W121" i="21"/>
  <c r="X121" i="21" s="1"/>
  <c r="U121" i="21"/>
  <c r="S121" i="21"/>
  <c r="Q121" i="21"/>
  <c r="R121" i="21" s="1"/>
  <c r="P121" i="21"/>
  <c r="O121" i="21"/>
  <c r="N121" i="21"/>
  <c r="M121" i="21"/>
  <c r="L121" i="21"/>
  <c r="K121" i="21"/>
  <c r="J121" i="21"/>
  <c r="I121" i="21"/>
  <c r="H121" i="21"/>
  <c r="G121" i="21"/>
  <c r="F121" i="21"/>
  <c r="E121" i="21"/>
  <c r="D121" i="21"/>
  <c r="C121" i="21"/>
  <c r="B121" i="21"/>
  <c r="A121" i="21"/>
  <c r="BG120" i="21"/>
  <c r="BH120" i="21" s="1"/>
  <c r="BE120" i="21"/>
  <c r="BF120" i="21" s="1"/>
  <c r="AW120" i="21"/>
  <c r="AX120" i="21" s="1"/>
  <c r="AU120" i="21"/>
  <c r="AV120" i="21" s="1"/>
  <c r="AS120" i="21"/>
  <c r="AQ120" i="21"/>
  <c r="AO120" i="21"/>
  <c r="AP120" i="21" s="1"/>
  <c r="AM120" i="21"/>
  <c r="AK120" i="21"/>
  <c r="AL120" i="21" s="1"/>
  <c r="AG120" i="21"/>
  <c r="AH120" i="21" s="1"/>
  <c r="AE120" i="21"/>
  <c r="AF120" i="21" s="1"/>
  <c r="AC120" i="21"/>
  <c r="AD120" i="21" s="1"/>
  <c r="AA120" i="21"/>
  <c r="AB120" i="21" s="1"/>
  <c r="W120" i="21"/>
  <c r="U120" i="21"/>
  <c r="V120" i="21" s="1"/>
  <c r="S120" i="21"/>
  <c r="Q120" i="21"/>
  <c r="R120" i="21" s="1"/>
  <c r="P120" i="21"/>
  <c r="O120" i="21"/>
  <c r="N120" i="21"/>
  <c r="M120" i="21"/>
  <c r="L120" i="21"/>
  <c r="K120" i="21"/>
  <c r="J120" i="21"/>
  <c r="I120" i="21"/>
  <c r="H120" i="21"/>
  <c r="G120" i="21"/>
  <c r="F120" i="21"/>
  <c r="E120" i="21"/>
  <c r="D120" i="21"/>
  <c r="C120" i="21"/>
  <c r="B120" i="21"/>
  <c r="A120" i="21"/>
  <c r="BG119" i="21"/>
  <c r="BH119" i="21" s="1"/>
  <c r="BE119" i="21"/>
  <c r="AW119" i="21"/>
  <c r="AX119" i="21" s="1"/>
  <c r="AU119" i="21"/>
  <c r="AS119" i="21"/>
  <c r="AT119" i="21" s="1"/>
  <c r="AQ119" i="21"/>
  <c r="AR119" i="21" s="1"/>
  <c r="AO119" i="21"/>
  <c r="AP119" i="21" s="1"/>
  <c r="AM119" i="21"/>
  <c r="AN119" i="21" s="1"/>
  <c r="AK119" i="21"/>
  <c r="AG119" i="21"/>
  <c r="AH119" i="21" s="1"/>
  <c r="AE119" i="21"/>
  <c r="AF119" i="21" s="1"/>
  <c r="AC119" i="21"/>
  <c r="AA119" i="21"/>
  <c r="AB119" i="21" s="1"/>
  <c r="W119" i="21"/>
  <c r="X119" i="21" s="1"/>
  <c r="U119" i="21"/>
  <c r="V119" i="21" s="1"/>
  <c r="S119" i="21"/>
  <c r="T119" i="21" s="1"/>
  <c r="Q119" i="21"/>
  <c r="R119" i="21" s="1"/>
  <c r="P119" i="21"/>
  <c r="O119" i="21"/>
  <c r="N119" i="21"/>
  <c r="M119" i="21"/>
  <c r="L119" i="21"/>
  <c r="K119" i="21"/>
  <c r="J119" i="21"/>
  <c r="I119" i="21"/>
  <c r="H119" i="21"/>
  <c r="G119" i="21"/>
  <c r="F119" i="21"/>
  <c r="E119" i="21"/>
  <c r="D119" i="21"/>
  <c r="C119" i="21"/>
  <c r="B119" i="21"/>
  <c r="A119" i="21"/>
  <c r="BG118" i="21"/>
  <c r="BH118" i="21" s="1"/>
  <c r="BE118" i="21"/>
  <c r="BF118" i="21" s="1"/>
  <c r="AW118" i="21"/>
  <c r="AX118" i="21" s="1"/>
  <c r="AU118" i="21"/>
  <c r="AS118" i="21"/>
  <c r="AT118" i="21" s="1"/>
  <c r="AQ118" i="21"/>
  <c r="AR118" i="21" s="1"/>
  <c r="AO118" i="21"/>
  <c r="AM118" i="21"/>
  <c r="AN118" i="21" s="1"/>
  <c r="AK118" i="21"/>
  <c r="AL118" i="21" s="1"/>
  <c r="AG118" i="21"/>
  <c r="AE118" i="21"/>
  <c r="AF118" i="21" s="1"/>
  <c r="AC118" i="21"/>
  <c r="AA118" i="21"/>
  <c r="AB118" i="21" s="1"/>
  <c r="W118" i="21"/>
  <c r="X118" i="21" s="1"/>
  <c r="U118" i="21"/>
  <c r="V118" i="21" s="1"/>
  <c r="S118" i="21"/>
  <c r="T118" i="21" s="1"/>
  <c r="Q118" i="21"/>
  <c r="R118" i="21" s="1"/>
  <c r="P118" i="21"/>
  <c r="O118" i="21"/>
  <c r="N118" i="21"/>
  <c r="M118" i="21"/>
  <c r="L118" i="21"/>
  <c r="K118" i="21"/>
  <c r="J118" i="21"/>
  <c r="I118" i="21"/>
  <c r="H118" i="21"/>
  <c r="G118" i="21"/>
  <c r="F118" i="21"/>
  <c r="E118" i="21"/>
  <c r="D118" i="21"/>
  <c r="C118" i="21"/>
  <c r="B118" i="21"/>
  <c r="A118" i="21"/>
  <c r="BG117" i="21"/>
  <c r="BE117" i="21"/>
  <c r="BF117" i="21" s="1"/>
  <c r="AW117" i="21"/>
  <c r="AX117" i="21" s="1"/>
  <c r="AU117" i="21"/>
  <c r="AV117" i="21" s="1"/>
  <c r="AS117" i="21"/>
  <c r="AQ117" i="21"/>
  <c r="AR117" i="21" s="1"/>
  <c r="AO117" i="21"/>
  <c r="AM117" i="21"/>
  <c r="AK117" i="21"/>
  <c r="AL117" i="21" s="1"/>
  <c r="AG117" i="21"/>
  <c r="AH117" i="21" s="1"/>
  <c r="AE117" i="21"/>
  <c r="AF117" i="21" s="1"/>
  <c r="AC117" i="21"/>
  <c r="AD117" i="21" s="1"/>
  <c r="AA117" i="21"/>
  <c r="W117" i="21"/>
  <c r="X117" i="21" s="1"/>
  <c r="U117" i="21"/>
  <c r="S117" i="21"/>
  <c r="Q117" i="21"/>
  <c r="R117" i="21" s="1"/>
  <c r="P117" i="21"/>
  <c r="O117" i="21"/>
  <c r="N117" i="21"/>
  <c r="M117" i="21"/>
  <c r="L117" i="21"/>
  <c r="K117" i="21"/>
  <c r="J117" i="21"/>
  <c r="I117" i="21"/>
  <c r="H117" i="21"/>
  <c r="G117" i="21"/>
  <c r="F117" i="21"/>
  <c r="E117" i="21"/>
  <c r="D117" i="21"/>
  <c r="C117" i="21"/>
  <c r="B117" i="21"/>
  <c r="A117" i="21"/>
  <c r="BG116" i="21"/>
  <c r="BE116" i="21"/>
  <c r="BF116" i="21" s="1"/>
  <c r="AW116" i="21"/>
  <c r="AX116" i="21" s="1"/>
  <c r="AU116" i="21"/>
  <c r="AV116" i="21" s="1"/>
  <c r="AS116" i="21"/>
  <c r="AT116" i="21" s="1"/>
  <c r="AQ116" i="21"/>
  <c r="AO116" i="21"/>
  <c r="AP116" i="21" s="1"/>
  <c r="AM116" i="21"/>
  <c r="AK116" i="21"/>
  <c r="AL116" i="21" s="1"/>
  <c r="AG116" i="21"/>
  <c r="AH116" i="21" s="1"/>
  <c r="AE116" i="21"/>
  <c r="AC116" i="21"/>
  <c r="AD116" i="21" s="1"/>
  <c r="AA116" i="21"/>
  <c r="AB116" i="21" s="1"/>
  <c r="W116" i="21"/>
  <c r="U116" i="21"/>
  <c r="V116" i="21" s="1"/>
  <c r="S116" i="21"/>
  <c r="T116" i="21" s="1"/>
  <c r="Q116" i="21"/>
  <c r="R116" i="21" s="1"/>
  <c r="P116" i="21"/>
  <c r="O116" i="21"/>
  <c r="N116" i="21"/>
  <c r="M116" i="21"/>
  <c r="L116" i="21"/>
  <c r="K116" i="21"/>
  <c r="J116" i="21"/>
  <c r="I116" i="21"/>
  <c r="H116" i="21"/>
  <c r="G116" i="21"/>
  <c r="F116" i="21"/>
  <c r="E116" i="21"/>
  <c r="D116" i="21"/>
  <c r="C116" i="21"/>
  <c r="B116" i="21"/>
  <c r="A116" i="21"/>
  <c r="BG115" i="21"/>
  <c r="BH115" i="21" s="1"/>
  <c r="BE115" i="21"/>
  <c r="AW115" i="21"/>
  <c r="AX115" i="21" s="1"/>
  <c r="AU115" i="21"/>
  <c r="AS115" i="21"/>
  <c r="AT115" i="21" s="1"/>
  <c r="AQ115" i="21"/>
  <c r="AR115" i="21" s="1"/>
  <c r="AO115" i="21"/>
  <c r="AP115" i="21" s="1"/>
  <c r="AM115" i="21"/>
  <c r="AN115" i="21" s="1"/>
  <c r="AK115" i="21"/>
  <c r="AL115" i="21" s="1"/>
  <c r="AG115" i="21"/>
  <c r="AH115" i="21" s="1"/>
  <c r="AE115" i="21"/>
  <c r="AF115" i="21" s="1"/>
  <c r="AC115" i="21"/>
  <c r="AA115" i="21"/>
  <c r="AB115" i="21" s="1"/>
  <c r="W115" i="21"/>
  <c r="U115" i="21"/>
  <c r="V115" i="21" s="1"/>
  <c r="S115" i="21"/>
  <c r="T115" i="21" s="1"/>
  <c r="Q115" i="21"/>
  <c r="P115" i="21"/>
  <c r="O115" i="21"/>
  <c r="N115" i="21"/>
  <c r="M115" i="21"/>
  <c r="L115" i="21"/>
  <c r="K115" i="21"/>
  <c r="J115" i="21"/>
  <c r="I115" i="21"/>
  <c r="H115" i="21"/>
  <c r="G115" i="21"/>
  <c r="F115" i="21"/>
  <c r="E115" i="21"/>
  <c r="D115" i="21"/>
  <c r="C115" i="21"/>
  <c r="B115" i="21"/>
  <c r="A115" i="21"/>
  <c r="BG114" i="21"/>
  <c r="BH114" i="21" s="1"/>
  <c r="BE114" i="21"/>
  <c r="BF114" i="21" s="1"/>
  <c r="AW114" i="21"/>
  <c r="AX114" i="21" s="1"/>
  <c r="AU114" i="21"/>
  <c r="AS114" i="21"/>
  <c r="AT114" i="21" s="1"/>
  <c r="AQ114" i="21"/>
  <c r="AR114" i="21" s="1"/>
  <c r="AO114" i="21"/>
  <c r="AP114" i="21" s="1"/>
  <c r="AM114" i="21"/>
  <c r="AN114" i="21" s="1"/>
  <c r="AK114" i="21"/>
  <c r="AL114" i="21" s="1"/>
  <c r="AG114" i="21"/>
  <c r="AE114" i="21"/>
  <c r="AF114" i="21" s="1"/>
  <c r="AC114" i="21"/>
  <c r="AD114" i="21" s="1"/>
  <c r="AA114" i="21"/>
  <c r="AB114" i="21" s="1"/>
  <c r="W114" i="21"/>
  <c r="X114" i="21" s="1"/>
  <c r="U114" i="21"/>
  <c r="S114" i="21"/>
  <c r="T114" i="21" s="1"/>
  <c r="Q114" i="21"/>
  <c r="P114" i="21"/>
  <c r="O114" i="21"/>
  <c r="N114" i="21"/>
  <c r="M114" i="21"/>
  <c r="L114" i="21"/>
  <c r="K114" i="21"/>
  <c r="J114" i="21"/>
  <c r="I114" i="21"/>
  <c r="H114" i="21"/>
  <c r="G114" i="21"/>
  <c r="F114" i="21"/>
  <c r="E114" i="21"/>
  <c r="D114" i="21"/>
  <c r="C114" i="21"/>
  <c r="B114" i="21"/>
  <c r="A114" i="21"/>
  <c r="BG113" i="21"/>
  <c r="BE113" i="21"/>
  <c r="BF113" i="21" s="1"/>
  <c r="AW113" i="21"/>
  <c r="AX113" i="21" s="1"/>
  <c r="AU113" i="21"/>
  <c r="AV113" i="21" s="1"/>
  <c r="AS113" i="21"/>
  <c r="AQ113" i="21"/>
  <c r="AR113" i="21" s="1"/>
  <c r="AO113" i="21"/>
  <c r="AM113" i="21"/>
  <c r="AN113" i="21" s="1"/>
  <c r="AK113" i="21"/>
  <c r="AL113" i="21" s="1"/>
  <c r="AG113" i="21"/>
  <c r="AE113" i="21"/>
  <c r="AF113" i="21" s="1"/>
  <c r="AC113" i="21"/>
  <c r="AA113" i="21"/>
  <c r="AB113" i="21" s="1"/>
  <c r="W113" i="21"/>
  <c r="X113" i="21" s="1"/>
  <c r="U113" i="21"/>
  <c r="S113" i="21"/>
  <c r="T113" i="21" s="1"/>
  <c r="Q113" i="21"/>
  <c r="P113" i="21"/>
  <c r="O113" i="21"/>
  <c r="N113" i="21"/>
  <c r="M113" i="21"/>
  <c r="L113" i="21"/>
  <c r="K113" i="21"/>
  <c r="J113" i="21"/>
  <c r="I113" i="21"/>
  <c r="H113" i="21"/>
  <c r="G113" i="21"/>
  <c r="F113" i="21"/>
  <c r="E113" i="21"/>
  <c r="D113" i="21"/>
  <c r="C113" i="21"/>
  <c r="B113" i="21"/>
  <c r="A113" i="21"/>
  <c r="BG112" i="21"/>
  <c r="BE112" i="21"/>
  <c r="BF112" i="21" s="1"/>
  <c r="AW112" i="21"/>
  <c r="AX112" i="21" s="1"/>
  <c r="AU112" i="21"/>
  <c r="AV112" i="21" s="1"/>
  <c r="AS112" i="21"/>
  <c r="AQ112" i="21"/>
  <c r="AR112" i="21" s="1"/>
  <c r="AO112" i="21"/>
  <c r="AM112" i="21"/>
  <c r="AK112" i="21"/>
  <c r="AL112" i="21" s="1"/>
  <c r="AG112" i="21"/>
  <c r="AE112" i="21"/>
  <c r="AF112" i="21" s="1"/>
  <c r="AC112" i="21"/>
  <c r="AD112" i="21" s="1"/>
  <c r="AA112" i="21"/>
  <c r="W112" i="21"/>
  <c r="X112" i="21" s="1"/>
  <c r="U112" i="21"/>
  <c r="V112" i="21" s="1"/>
  <c r="S112" i="21"/>
  <c r="Q112" i="21"/>
  <c r="R112" i="21" s="1"/>
  <c r="P112" i="21"/>
  <c r="O112" i="21"/>
  <c r="N112" i="21"/>
  <c r="M112" i="21"/>
  <c r="L112" i="21"/>
  <c r="K112" i="21"/>
  <c r="J112" i="21"/>
  <c r="I112" i="21"/>
  <c r="H112" i="21"/>
  <c r="G112" i="21"/>
  <c r="F112" i="21"/>
  <c r="E112" i="21"/>
  <c r="D112" i="21"/>
  <c r="C112" i="21"/>
  <c r="B112" i="21"/>
  <c r="A112" i="21"/>
  <c r="BG111" i="21"/>
  <c r="BE111" i="21"/>
  <c r="BF111" i="21" s="1"/>
  <c r="AW111" i="21"/>
  <c r="AU111" i="21"/>
  <c r="AV111" i="21" s="1"/>
  <c r="AS111" i="21"/>
  <c r="AQ111" i="21"/>
  <c r="AO111" i="21"/>
  <c r="AP111" i="21" s="1"/>
  <c r="AM111" i="21"/>
  <c r="AK111" i="21"/>
  <c r="AL111" i="21" s="1"/>
  <c r="AG111" i="21"/>
  <c r="AH111" i="21" s="1"/>
  <c r="AE111" i="21"/>
  <c r="AC111" i="21"/>
  <c r="AD111" i="21" s="1"/>
  <c r="AA111" i="21"/>
  <c r="AB111" i="21" s="1"/>
  <c r="W111" i="21"/>
  <c r="U111" i="21"/>
  <c r="V111" i="21" s="1"/>
  <c r="S111" i="21"/>
  <c r="Q111" i="21"/>
  <c r="R111" i="21" s="1"/>
  <c r="P111" i="21"/>
  <c r="O111" i="21"/>
  <c r="N111" i="21"/>
  <c r="M111" i="21"/>
  <c r="L111" i="21"/>
  <c r="K111" i="21"/>
  <c r="J111" i="21"/>
  <c r="I111" i="21"/>
  <c r="H111" i="21"/>
  <c r="G111" i="21"/>
  <c r="F111" i="21"/>
  <c r="E111" i="21"/>
  <c r="D111" i="21"/>
  <c r="C111" i="21"/>
  <c r="B111" i="21"/>
  <c r="A111" i="21"/>
  <c r="BG110" i="21"/>
  <c r="BH110" i="21" s="1"/>
  <c r="BE110" i="21"/>
  <c r="AW110" i="21"/>
  <c r="AU110" i="21"/>
  <c r="AS110" i="21"/>
  <c r="AT110" i="21" s="1"/>
  <c r="AQ110" i="21"/>
  <c r="AO110" i="21"/>
  <c r="AP110" i="21" s="1"/>
  <c r="AM110" i="21"/>
  <c r="AN110" i="21" s="1"/>
  <c r="AK110" i="21"/>
  <c r="AG110" i="21"/>
  <c r="AH110" i="21" s="1"/>
  <c r="AE110" i="21"/>
  <c r="AF110" i="21" s="1"/>
  <c r="AC110" i="21"/>
  <c r="AA110" i="21"/>
  <c r="AB110" i="21" s="1"/>
  <c r="W110" i="21"/>
  <c r="U110" i="21"/>
  <c r="V110" i="21" s="1"/>
  <c r="S110" i="21"/>
  <c r="T110" i="21" s="1"/>
  <c r="Q110" i="21"/>
  <c r="P110" i="21"/>
  <c r="O110" i="21"/>
  <c r="N110" i="21"/>
  <c r="M110" i="21"/>
  <c r="L110" i="21"/>
  <c r="K110" i="21"/>
  <c r="J110" i="21"/>
  <c r="I110" i="21"/>
  <c r="H110" i="21"/>
  <c r="G110" i="21"/>
  <c r="F110" i="21"/>
  <c r="E110" i="21"/>
  <c r="D110" i="21"/>
  <c r="C110" i="21"/>
  <c r="B110" i="21"/>
  <c r="A110" i="21"/>
  <c r="BG109" i="21"/>
  <c r="BH109" i="21" s="1"/>
  <c r="BE109" i="21"/>
  <c r="AW109" i="21"/>
  <c r="AX109" i="21" s="1"/>
  <c r="AU109" i="21"/>
  <c r="AS109" i="21"/>
  <c r="AT109" i="21" s="1"/>
  <c r="AQ109" i="21"/>
  <c r="AR109" i="21" s="1"/>
  <c r="AO109" i="21"/>
  <c r="AM109" i="21"/>
  <c r="AN109" i="21" s="1"/>
  <c r="AK109" i="21"/>
  <c r="AL109" i="21" s="1"/>
  <c r="AG109" i="21"/>
  <c r="AE109" i="21"/>
  <c r="AF109" i="21" s="1"/>
  <c r="AC109" i="21"/>
  <c r="AA109" i="21"/>
  <c r="AB109" i="21" s="1"/>
  <c r="W109" i="21"/>
  <c r="X109" i="21" s="1"/>
  <c r="U109" i="21"/>
  <c r="S109" i="21"/>
  <c r="T109" i="21" s="1"/>
  <c r="Q109" i="21"/>
  <c r="P109" i="21"/>
  <c r="O109" i="21"/>
  <c r="N109" i="21"/>
  <c r="M109" i="21"/>
  <c r="L109" i="21"/>
  <c r="K109" i="21"/>
  <c r="J109" i="21"/>
  <c r="I109" i="21"/>
  <c r="H109" i="21"/>
  <c r="G109" i="21"/>
  <c r="F109" i="21"/>
  <c r="E109" i="21"/>
  <c r="D109" i="21"/>
  <c r="C109" i="21"/>
  <c r="B109" i="21"/>
  <c r="A109" i="21"/>
  <c r="BG108" i="21"/>
  <c r="BE108" i="21"/>
  <c r="BF108" i="21" s="1"/>
  <c r="AW108" i="21"/>
  <c r="AX108" i="21" s="1"/>
  <c r="AU108" i="21"/>
  <c r="AV108" i="21" s="1"/>
  <c r="AS108" i="21"/>
  <c r="AQ108" i="21"/>
  <c r="AR108" i="21" s="1"/>
  <c r="AO108" i="21"/>
  <c r="AP108" i="21" s="1"/>
  <c r="AM108" i="21"/>
  <c r="AK108" i="21"/>
  <c r="AL108" i="21" s="1"/>
  <c r="AG108" i="21"/>
  <c r="AE108" i="21"/>
  <c r="AF108" i="21" s="1"/>
  <c r="AC108" i="21"/>
  <c r="AD108" i="21" s="1"/>
  <c r="AA108" i="21"/>
  <c r="W108" i="21"/>
  <c r="X108" i="21" s="1"/>
  <c r="U108" i="21"/>
  <c r="S108" i="21"/>
  <c r="Q108" i="21"/>
  <c r="R108" i="21" s="1"/>
  <c r="P108" i="21"/>
  <c r="O108" i="21"/>
  <c r="N108" i="21"/>
  <c r="M108" i="21"/>
  <c r="L108" i="21"/>
  <c r="K108" i="21"/>
  <c r="J108" i="21"/>
  <c r="I108" i="21"/>
  <c r="H108" i="21"/>
  <c r="G108" i="21"/>
  <c r="F108" i="21"/>
  <c r="E108" i="21"/>
  <c r="D108" i="21"/>
  <c r="C108" i="21"/>
  <c r="B108" i="21"/>
  <c r="A108" i="21"/>
  <c r="BG107" i="21"/>
  <c r="BE107" i="21"/>
  <c r="BF107" i="21" s="1"/>
  <c r="AW107" i="21"/>
  <c r="AU107" i="21"/>
  <c r="AV107" i="21" s="1"/>
  <c r="AS107" i="21"/>
  <c r="AT107" i="21" s="1"/>
  <c r="AQ107" i="21"/>
  <c r="AO107" i="21"/>
  <c r="AP107" i="21" s="1"/>
  <c r="AM107" i="21"/>
  <c r="AK107" i="21"/>
  <c r="AL107" i="21" s="1"/>
  <c r="AG107" i="21"/>
  <c r="AH107" i="21" s="1"/>
  <c r="AE107" i="21"/>
  <c r="AC107" i="21"/>
  <c r="AD107" i="21" s="1"/>
  <c r="AA107" i="21"/>
  <c r="W107" i="21"/>
  <c r="U107" i="21"/>
  <c r="V107" i="21" s="1"/>
  <c r="S107" i="21"/>
  <c r="Q107" i="21"/>
  <c r="R107" i="21" s="1"/>
  <c r="P107" i="21"/>
  <c r="O107" i="21"/>
  <c r="N107" i="21"/>
  <c r="M107" i="21"/>
  <c r="L107" i="21"/>
  <c r="K107" i="21"/>
  <c r="J107" i="21"/>
  <c r="I107" i="21"/>
  <c r="H107" i="21"/>
  <c r="G107" i="21"/>
  <c r="F107" i="21"/>
  <c r="E107" i="21"/>
  <c r="D107" i="21"/>
  <c r="C107" i="21"/>
  <c r="B107" i="21"/>
  <c r="A107" i="21"/>
  <c r="BG106" i="21"/>
  <c r="BH106" i="21" s="1"/>
  <c r="BE106" i="21"/>
  <c r="AW106" i="21"/>
  <c r="AX106" i="21" s="1"/>
  <c r="AU106" i="21"/>
  <c r="AS106" i="21"/>
  <c r="AT106" i="21" s="1"/>
  <c r="AQ106" i="21"/>
  <c r="AO106" i="21"/>
  <c r="AP106" i="21" s="1"/>
  <c r="AM106" i="21"/>
  <c r="AN106" i="21" s="1"/>
  <c r="AK106" i="21"/>
  <c r="AG106" i="21"/>
  <c r="AH106" i="21" s="1"/>
  <c r="AE106" i="21"/>
  <c r="AC106" i="21"/>
  <c r="AA106" i="21"/>
  <c r="AB106" i="21" s="1"/>
  <c r="W106" i="21"/>
  <c r="U106" i="21"/>
  <c r="V106" i="21" s="1"/>
  <c r="S106" i="21"/>
  <c r="T106" i="21" s="1"/>
  <c r="Q106" i="21"/>
  <c r="P106" i="21"/>
  <c r="O106" i="21"/>
  <c r="N106" i="21"/>
  <c r="M106" i="21"/>
  <c r="L106" i="21"/>
  <c r="K106" i="21"/>
  <c r="J106" i="21"/>
  <c r="I106" i="21"/>
  <c r="H106" i="21"/>
  <c r="G106" i="21"/>
  <c r="F106" i="21"/>
  <c r="E106" i="21"/>
  <c r="D106" i="21"/>
  <c r="C106" i="21"/>
  <c r="B106" i="21"/>
  <c r="A106" i="21"/>
  <c r="BG105" i="21"/>
  <c r="BH105" i="21" s="1"/>
  <c r="BE105" i="21"/>
  <c r="BF105" i="21" s="1"/>
  <c r="AW105" i="21"/>
  <c r="AX105" i="21" s="1"/>
  <c r="AU105" i="21"/>
  <c r="AS105" i="21"/>
  <c r="AT105" i="21" s="1"/>
  <c r="AQ105" i="21"/>
  <c r="AR105" i="21" s="1"/>
  <c r="AO105" i="21"/>
  <c r="AM105" i="21"/>
  <c r="AN105" i="21" s="1"/>
  <c r="AK105" i="21"/>
  <c r="AG105" i="21"/>
  <c r="AE105" i="21"/>
  <c r="AF105" i="21" s="1"/>
  <c r="AC105" i="21"/>
  <c r="AA105" i="21"/>
  <c r="AB105" i="21" s="1"/>
  <c r="W105" i="21"/>
  <c r="X105" i="21" s="1"/>
  <c r="U105" i="21"/>
  <c r="S105" i="21"/>
  <c r="T105" i="21" s="1"/>
  <c r="Q105" i="21"/>
  <c r="R105" i="21" s="1"/>
  <c r="P105" i="21"/>
  <c r="O105" i="21"/>
  <c r="N105" i="21"/>
  <c r="M105" i="21"/>
  <c r="L105" i="21"/>
  <c r="K105" i="21"/>
  <c r="J105" i="21"/>
  <c r="I105" i="21"/>
  <c r="H105" i="21"/>
  <c r="G105" i="21"/>
  <c r="F105" i="21"/>
  <c r="E105" i="21"/>
  <c r="D105" i="21"/>
  <c r="C105" i="21"/>
  <c r="B105" i="21"/>
  <c r="A105" i="21"/>
  <c r="BG104" i="21"/>
  <c r="BE104" i="21"/>
  <c r="BF104" i="21" s="1"/>
  <c r="AW104" i="21"/>
  <c r="AU104" i="21"/>
  <c r="AV104" i="21" s="1"/>
  <c r="AS104" i="21"/>
  <c r="AQ104" i="21"/>
  <c r="AR104" i="21" s="1"/>
  <c r="AO104" i="21"/>
  <c r="AM104" i="21"/>
  <c r="AK104" i="21"/>
  <c r="AL104" i="21" s="1"/>
  <c r="AG104" i="21"/>
  <c r="AE104" i="21"/>
  <c r="AF104" i="21" s="1"/>
  <c r="AC104" i="21"/>
  <c r="AD104" i="21" s="1"/>
  <c r="AA104" i="21"/>
  <c r="W104" i="21"/>
  <c r="X104" i="21" s="1"/>
  <c r="U104" i="21"/>
  <c r="V104" i="21" s="1"/>
  <c r="S104" i="21"/>
  <c r="Q104" i="21"/>
  <c r="R104" i="21" s="1"/>
  <c r="P104" i="21"/>
  <c r="O104" i="21"/>
  <c r="N104" i="21"/>
  <c r="M104" i="21"/>
  <c r="L104" i="21"/>
  <c r="K104" i="21"/>
  <c r="J104" i="21"/>
  <c r="I104" i="21"/>
  <c r="H104" i="21"/>
  <c r="G104" i="21"/>
  <c r="F104" i="21"/>
  <c r="E104" i="21"/>
  <c r="D104" i="21"/>
  <c r="C104" i="21"/>
  <c r="B104" i="21"/>
  <c r="A104" i="21"/>
  <c r="BG103" i="21"/>
  <c r="BE103" i="21"/>
  <c r="BF103" i="21" s="1"/>
  <c r="AW103" i="21"/>
  <c r="AU103" i="21"/>
  <c r="AV103" i="21" s="1"/>
  <c r="AS103" i="21"/>
  <c r="AQ103" i="21"/>
  <c r="AO103" i="21"/>
  <c r="AP103" i="21" s="1"/>
  <c r="AM103" i="21"/>
  <c r="AK103" i="21"/>
  <c r="AL103" i="21" s="1"/>
  <c r="AG103" i="21"/>
  <c r="AH103" i="21" s="1"/>
  <c r="AE103" i="21"/>
  <c r="AC103" i="21"/>
  <c r="AD103" i="21" s="1"/>
  <c r="AJ103" i="21" s="1"/>
  <c r="AA103" i="21"/>
  <c r="AB103" i="21" s="1"/>
  <c r="W103" i="21"/>
  <c r="U103" i="21"/>
  <c r="V103" i="21" s="1"/>
  <c r="S103" i="21"/>
  <c r="Q103" i="21"/>
  <c r="R103" i="21" s="1"/>
  <c r="P103" i="21"/>
  <c r="O103" i="21"/>
  <c r="N103" i="21"/>
  <c r="M103" i="21"/>
  <c r="L103" i="21"/>
  <c r="K103" i="21"/>
  <c r="J103" i="21"/>
  <c r="I103" i="21"/>
  <c r="H103" i="21"/>
  <c r="G103" i="21"/>
  <c r="F103" i="21"/>
  <c r="E103" i="21"/>
  <c r="D103" i="21"/>
  <c r="C103" i="21"/>
  <c r="B103" i="21"/>
  <c r="A103" i="21"/>
  <c r="BG102" i="21"/>
  <c r="BH102" i="21" s="1"/>
  <c r="BE102" i="21"/>
  <c r="AW102" i="21"/>
  <c r="AU102" i="21"/>
  <c r="AS102" i="21"/>
  <c r="AT102" i="21" s="1"/>
  <c r="AQ102" i="21"/>
  <c r="AO102" i="21"/>
  <c r="AP102" i="21" s="1"/>
  <c r="AM102" i="21"/>
  <c r="AN102" i="21" s="1"/>
  <c r="AK102" i="21"/>
  <c r="AG102" i="21"/>
  <c r="AH102" i="21" s="1"/>
  <c r="AE102" i="21"/>
  <c r="AF102" i="21" s="1"/>
  <c r="AC102" i="21"/>
  <c r="AA102" i="21"/>
  <c r="AB102" i="21" s="1"/>
  <c r="W102" i="21"/>
  <c r="U102" i="21"/>
  <c r="V102" i="21" s="1"/>
  <c r="S102" i="21"/>
  <c r="T102" i="21" s="1"/>
  <c r="Q102" i="21"/>
  <c r="P102" i="21"/>
  <c r="O102" i="21"/>
  <c r="N102" i="21"/>
  <c r="M102" i="21"/>
  <c r="L102" i="21"/>
  <c r="K102" i="21"/>
  <c r="J102" i="21"/>
  <c r="I102" i="21"/>
  <c r="H102" i="21"/>
  <c r="G102" i="21"/>
  <c r="F102" i="21"/>
  <c r="E102" i="21"/>
  <c r="D102" i="21"/>
  <c r="C102" i="21"/>
  <c r="B102" i="21"/>
  <c r="A102" i="21"/>
  <c r="BG101" i="21"/>
  <c r="BH101" i="21" s="1"/>
  <c r="BE101" i="21"/>
  <c r="AW101" i="21"/>
  <c r="AX101" i="21" s="1"/>
  <c r="AU101" i="21"/>
  <c r="AS101" i="21"/>
  <c r="AT101" i="21" s="1"/>
  <c r="AQ101" i="21"/>
  <c r="AR101" i="21" s="1"/>
  <c r="AO101" i="21"/>
  <c r="AM101" i="21"/>
  <c r="AN101" i="21" s="1"/>
  <c r="AK101" i="21"/>
  <c r="AL101" i="21" s="1"/>
  <c r="AG101" i="21"/>
  <c r="AE101" i="21"/>
  <c r="AF101" i="21" s="1"/>
  <c r="AC101" i="21"/>
  <c r="AA101" i="21"/>
  <c r="AB101" i="21" s="1"/>
  <c r="W101" i="21"/>
  <c r="X101" i="21" s="1"/>
  <c r="U101" i="21"/>
  <c r="S101" i="21"/>
  <c r="T101" i="21" s="1"/>
  <c r="Q101" i="21"/>
  <c r="P101" i="21"/>
  <c r="O101" i="21"/>
  <c r="N101" i="21"/>
  <c r="M101" i="21"/>
  <c r="L101" i="21"/>
  <c r="K101" i="21"/>
  <c r="J101" i="21"/>
  <c r="I101" i="21"/>
  <c r="H101" i="21"/>
  <c r="G101" i="21"/>
  <c r="F101" i="21"/>
  <c r="E101" i="21"/>
  <c r="D101" i="21"/>
  <c r="C101" i="21"/>
  <c r="B101" i="21"/>
  <c r="A101" i="21"/>
  <c r="BG100" i="21"/>
  <c r="BE100" i="21"/>
  <c r="BF100" i="21" s="1"/>
  <c r="AW100" i="21"/>
  <c r="AX100" i="21" s="1"/>
  <c r="AU100" i="21"/>
  <c r="AV100" i="21" s="1"/>
  <c r="AS100" i="21"/>
  <c r="AQ100" i="21"/>
  <c r="AR100" i="21" s="1"/>
  <c r="AO100" i="21"/>
  <c r="AP100" i="21" s="1"/>
  <c r="AM100" i="21"/>
  <c r="AK100" i="21"/>
  <c r="AL100" i="21" s="1"/>
  <c r="AG100" i="21"/>
  <c r="AE100" i="21"/>
  <c r="AF100" i="21" s="1"/>
  <c r="AC100" i="21"/>
  <c r="AD100" i="21" s="1"/>
  <c r="AA100" i="21"/>
  <c r="W100" i="21"/>
  <c r="X100" i="21" s="1"/>
  <c r="U100" i="21"/>
  <c r="S100" i="21"/>
  <c r="Q100" i="21"/>
  <c r="R100" i="21" s="1"/>
  <c r="P100" i="21"/>
  <c r="O100" i="21"/>
  <c r="N100" i="21"/>
  <c r="M100" i="21"/>
  <c r="L100" i="21"/>
  <c r="K100" i="21"/>
  <c r="J100" i="21"/>
  <c r="I100" i="21"/>
  <c r="H100" i="21"/>
  <c r="G100" i="21"/>
  <c r="F100" i="21"/>
  <c r="E100" i="21"/>
  <c r="D100" i="21"/>
  <c r="C100" i="21"/>
  <c r="B100" i="21"/>
  <c r="A100" i="21"/>
  <c r="BG99" i="21"/>
  <c r="BE99" i="21"/>
  <c r="BF99" i="21" s="1"/>
  <c r="AW99" i="21"/>
  <c r="AU99" i="21"/>
  <c r="AV99" i="21" s="1"/>
  <c r="AS99" i="21"/>
  <c r="AT99" i="21" s="1"/>
  <c r="AQ99" i="21"/>
  <c r="AO99" i="21"/>
  <c r="AP99" i="21" s="1"/>
  <c r="AM99" i="21"/>
  <c r="AK99" i="21"/>
  <c r="AL99" i="21" s="1"/>
  <c r="AG99" i="21"/>
  <c r="AH99" i="21" s="1"/>
  <c r="AE99" i="21"/>
  <c r="AC99" i="21"/>
  <c r="AD99" i="21" s="1"/>
  <c r="AA99" i="21"/>
  <c r="W99" i="21"/>
  <c r="U99" i="21"/>
  <c r="V99" i="21" s="1"/>
  <c r="S99" i="21"/>
  <c r="Q99" i="21"/>
  <c r="R99" i="21" s="1"/>
  <c r="P99" i="21"/>
  <c r="O99" i="21"/>
  <c r="N99" i="21"/>
  <c r="M99" i="21"/>
  <c r="L99" i="21"/>
  <c r="K99" i="21"/>
  <c r="J99" i="21"/>
  <c r="I99" i="21"/>
  <c r="H99" i="21"/>
  <c r="G99" i="21"/>
  <c r="F99" i="21"/>
  <c r="E99" i="21"/>
  <c r="D99" i="21"/>
  <c r="C99" i="21"/>
  <c r="B99" i="21"/>
  <c r="A99" i="21"/>
  <c r="BG98" i="21"/>
  <c r="BH98" i="21" s="1"/>
  <c r="BE98" i="21"/>
  <c r="AW98" i="21"/>
  <c r="AU98" i="21"/>
  <c r="AS98" i="21"/>
  <c r="AT98" i="21" s="1"/>
  <c r="AQ98" i="21"/>
  <c r="AO98" i="21"/>
  <c r="AP98" i="21" s="1"/>
  <c r="AM98" i="21"/>
  <c r="AN98" i="21" s="1"/>
  <c r="AK98" i="21"/>
  <c r="AG98" i="21"/>
  <c r="AH98" i="21" s="1"/>
  <c r="AE98" i="21"/>
  <c r="AC98" i="21"/>
  <c r="AA98" i="21"/>
  <c r="AB98" i="21" s="1"/>
  <c r="W98" i="21"/>
  <c r="U98" i="21"/>
  <c r="V98" i="21" s="1"/>
  <c r="S98" i="21"/>
  <c r="T98" i="21" s="1"/>
  <c r="Q98" i="21"/>
  <c r="P98" i="21"/>
  <c r="O98" i="21"/>
  <c r="N98" i="21"/>
  <c r="M98" i="21"/>
  <c r="L98" i="21"/>
  <c r="K98" i="21"/>
  <c r="J98" i="21"/>
  <c r="I98" i="21"/>
  <c r="H98" i="21"/>
  <c r="G98" i="21"/>
  <c r="F98" i="21"/>
  <c r="E98" i="21"/>
  <c r="D98" i="21"/>
  <c r="C98" i="21"/>
  <c r="B98" i="21"/>
  <c r="A98" i="21"/>
  <c r="BG97" i="21"/>
  <c r="BH97" i="21" s="1"/>
  <c r="BE97" i="21"/>
  <c r="BF97" i="21" s="1"/>
  <c r="AW97" i="21"/>
  <c r="AX97" i="21" s="1"/>
  <c r="AU97" i="21"/>
  <c r="AS97" i="21"/>
  <c r="AT97" i="21" s="1"/>
  <c r="AQ97" i="21"/>
  <c r="AR97" i="21" s="1"/>
  <c r="AO97" i="21"/>
  <c r="AM97" i="21"/>
  <c r="AN97" i="21" s="1"/>
  <c r="AK97" i="21"/>
  <c r="AG97" i="21"/>
  <c r="AE97" i="21"/>
  <c r="AF97" i="21" s="1"/>
  <c r="AC97" i="21"/>
  <c r="AA97" i="21"/>
  <c r="AB97" i="21" s="1"/>
  <c r="W97" i="21"/>
  <c r="X97" i="21" s="1"/>
  <c r="U97" i="21"/>
  <c r="S97" i="21"/>
  <c r="T97" i="21" s="1"/>
  <c r="Q97" i="21"/>
  <c r="R97" i="21" s="1"/>
  <c r="P97" i="21"/>
  <c r="O97" i="21"/>
  <c r="N97" i="21"/>
  <c r="M97" i="21"/>
  <c r="L97" i="21"/>
  <c r="K97" i="21"/>
  <c r="J97" i="21"/>
  <c r="I97" i="21"/>
  <c r="H97" i="21"/>
  <c r="G97" i="21"/>
  <c r="F97" i="21"/>
  <c r="E97" i="21"/>
  <c r="D97" i="21"/>
  <c r="C97" i="21"/>
  <c r="B97" i="21"/>
  <c r="A97" i="21"/>
  <c r="BG96" i="21"/>
  <c r="BE96" i="21"/>
  <c r="BF96" i="21" s="1"/>
  <c r="AW96" i="21"/>
  <c r="AX96" i="21" s="1"/>
  <c r="AU96" i="21"/>
  <c r="AV96" i="21" s="1"/>
  <c r="AS96" i="21"/>
  <c r="AT96" i="21" s="1"/>
  <c r="AQ96" i="21"/>
  <c r="AR96" i="21" s="1"/>
  <c r="AO96" i="21"/>
  <c r="AM96" i="21"/>
  <c r="AK96" i="21"/>
  <c r="AL96" i="21" s="1"/>
  <c r="AG96" i="21"/>
  <c r="AE96" i="21"/>
  <c r="AF96" i="21" s="1"/>
  <c r="AC96" i="21"/>
  <c r="AD96" i="21" s="1"/>
  <c r="AA96" i="21"/>
  <c r="W96" i="21"/>
  <c r="X96" i="21" s="1"/>
  <c r="U96" i="21"/>
  <c r="V96" i="21" s="1"/>
  <c r="S96" i="21"/>
  <c r="Q96" i="21"/>
  <c r="R96" i="21" s="1"/>
  <c r="P96" i="21"/>
  <c r="O96" i="21"/>
  <c r="N96" i="21"/>
  <c r="M96" i="21"/>
  <c r="L96" i="21"/>
  <c r="K96" i="21"/>
  <c r="J96" i="21"/>
  <c r="I96" i="21"/>
  <c r="H96" i="21"/>
  <c r="G96" i="21"/>
  <c r="F96" i="21"/>
  <c r="E96" i="21"/>
  <c r="D96" i="21"/>
  <c r="C96" i="21"/>
  <c r="B96" i="21"/>
  <c r="A96" i="21"/>
  <c r="BG95" i="21"/>
  <c r="BE95" i="21"/>
  <c r="BF95" i="21" s="1"/>
  <c r="AW95" i="21"/>
  <c r="AX95" i="21" s="1"/>
  <c r="AU95" i="21"/>
  <c r="AV95" i="21" s="1"/>
  <c r="AS95" i="21"/>
  <c r="AQ95" i="21"/>
  <c r="AO95" i="21"/>
  <c r="AP95" i="21" s="1"/>
  <c r="AM95" i="21"/>
  <c r="AK95" i="21"/>
  <c r="AL95" i="21" s="1"/>
  <c r="AG95" i="21"/>
  <c r="AH95" i="21" s="1"/>
  <c r="AE95" i="21"/>
  <c r="AF95" i="21" s="1"/>
  <c r="AC95" i="21"/>
  <c r="AD95" i="21" s="1"/>
  <c r="AA95" i="21"/>
  <c r="AB95" i="21" s="1"/>
  <c r="W95" i="21"/>
  <c r="X95" i="21" s="1"/>
  <c r="U95" i="21"/>
  <c r="V95" i="21" s="1"/>
  <c r="S95" i="21"/>
  <c r="Q95" i="21"/>
  <c r="R95" i="21" s="1"/>
  <c r="P95" i="21"/>
  <c r="O95" i="21"/>
  <c r="N95" i="21"/>
  <c r="M95" i="21"/>
  <c r="L95" i="21"/>
  <c r="K95" i="21"/>
  <c r="J95" i="21"/>
  <c r="I95" i="21"/>
  <c r="H95" i="21"/>
  <c r="G95" i="21"/>
  <c r="F95" i="21"/>
  <c r="E95" i="21"/>
  <c r="D95" i="21"/>
  <c r="C95" i="21"/>
  <c r="B95" i="21"/>
  <c r="A95" i="21"/>
  <c r="BG94" i="21"/>
  <c r="BH94" i="21" s="1"/>
  <c r="BE94" i="21"/>
  <c r="BF94" i="21" s="1"/>
  <c r="AW94" i="21"/>
  <c r="AU94" i="21"/>
  <c r="AV94" i="21" s="1"/>
  <c r="AS94" i="21"/>
  <c r="AT94" i="21" s="1"/>
  <c r="AQ94" i="21"/>
  <c r="AO94" i="21"/>
  <c r="AP94" i="21" s="1"/>
  <c r="AM94" i="21"/>
  <c r="AN94" i="21" s="1"/>
  <c r="AK94" i="21"/>
  <c r="AL94" i="21" s="1"/>
  <c r="AG94" i="21"/>
  <c r="AH94" i="21" s="1"/>
  <c r="AE94" i="21"/>
  <c r="AF94" i="21" s="1"/>
  <c r="AC94" i="21"/>
  <c r="AD94" i="21" s="1"/>
  <c r="AA94" i="21"/>
  <c r="AB94" i="21" s="1"/>
  <c r="W94" i="21"/>
  <c r="U94" i="21"/>
  <c r="V94" i="21" s="1"/>
  <c r="S94" i="21"/>
  <c r="T94" i="21" s="1"/>
  <c r="Q94" i="21"/>
  <c r="R94" i="21" s="1"/>
  <c r="P94" i="21"/>
  <c r="O94" i="21"/>
  <c r="N94" i="21"/>
  <c r="M94" i="21"/>
  <c r="L94" i="21"/>
  <c r="K94" i="21"/>
  <c r="J94" i="21"/>
  <c r="I94" i="21"/>
  <c r="H94" i="21"/>
  <c r="G94" i="21"/>
  <c r="F94" i="21"/>
  <c r="E94" i="21"/>
  <c r="D94" i="21"/>
  <c r="C94" i="21"/>
  <c r="B94" i="21"/>
  <c r="A94" i="21"/>
  <c r="BG93" i="21"/>
  <c r="BH93" i="21" s="1"/>
  <c r="BE93" i="21"/>
  <c r="AW93" i="21"/>
  <c r="AX93" i="21" s="1"/>
  <c r="AU93" i="21"/>
  <c r="AS93" i="21"/>
  <c r="AT93" i="21" s="1"/>
  <c r="AQ93" i="21"/>
  <c r="AR93" i="21" s="1"/>
  <c r="AO93" i="21"/>
  <c r="AP93" i="21" s="1"/>
  <c r="AM93" i="21"/>
  <c r="AN93" i="21" s="1"/>
  <c r="AK93" i="21"/>
  <c r="AL93" i="21" s="1"/>
  <c r="AG93" i="21"/>
  <c r="AH93" i="21" s="1"/>
  <c r="AE93" i="21"/>
  <c r="AF93" i="21" s="1"/>
  <c r="AC93" i="21"/>
  <c r="AA93" i="21"/>
  <c r="AB93" i="21" s="1"/>
  <c r="W93" i="21"/>
  <c r="X93" i="21" s="1"/>
  <c r="U93" i="21"/>
  <c r="V93" i="21" s="1"/>
  <c r="S93" i="21"/>
  <c r="T93" i="21" s="1"/>
  <c r="Q93" i="21"/>
  <c r="P93" i="21"/>
  <c r="O93" i="21"/>
  <c r="N93" i="21"/>
  <c r="M93" i="21"/>
  <c r="L93" i="21"/>
  <c r="K93" i="21"/>
  <c r="J93" i="21"/>
  <c r="I93" i="21"/>
  <c r="H93" i="21"/>
  <c r="G93" i="21"/>
  <c r="F93" i="21"/>
  <c r="E93" i="21"/>
  <c r="D93" i="21"/>
  <c r="C93" i="21"/>
  <c r="B93" i="21"/>
  <c r="A93" i="21"/>
  <c r="BG92" i="21"/>
  <c r="BH92" i="21" s="1"/>
  <c r="BE92" i="21"/>
  <c r="BF92" i="21" s="1"/>
  <c r="AW92" i="21"/>
  <c r="AX92" i="21" s="1"/>
  <c r="AU92" i="21"/>
  <c r="AV92" i="21" s="1"/>
  <c r="AS92" i="21"/>
  <c r="AT92" i="21" s="1"/>
  <c r="AQ92" i="21"/>
  <c r="AR92" i="21" s="1"/>
  <c r="AO92" i="21"/>
  <c r="AP92" i="21" s="1"/>
  <c r="AM92" i="21"/>
  <c r="AN92" i="21" s="1"/>
  <c r="AK92" i="21"/>
  <c r="AL92" i="21" s="1"/>
  <c r="AG92" i="21"/>
  <c r="AE92" i="21"/>
  <c r="AF92" i="21" s="1"/>
  <c r="AC92" i="21"/>
  <c r="AD92" i="21" s="1"/>
  <c r="AA92" i="21"/>
  <c r="AB92" i="21" s="1"/>
  <c r="W92" i="21"/>
  <c r="X92" i="21" s="1"/>
  <c r="U92" i="21"/>
  <c r="S92" i="21"/>
  <c r="T92" i="21" s="1"/>
  <c r="Q92" i="21"/>
  <c r="R92" i="21" s="1"/>
  <c r="P92" i="21"/>
  <c r="O92" i="21"/>
  <c r="N92" i="21"/>
  <c r="M92" i="21"/>
  <c r="L92" i="21"/>
  <c r="K92" i="21"/>
  <c r="J92" i="21"/>
  <c r="I92" i="21"/>
  <c r="H92" i="21"/>
  <c r="G92" i="21"/>
  <c r="F92" i="21"/>
  <c r="E92" i="21"/>
  <c r="D92" i="21"/>
  <c r="C92" i="21"/>
  <c r="B92" i="21"/>
  <c r="A92" i="21"/>
  <c r="BG91" i="21"/>
  <c r="BE91" i="21"/>
  <c r="BF91" i="21" s="1"/>
  <c r="AW91" i="21"/>
  <c r="AX91" i="21" s="1"/>
  <c r="AU91" i="21"/>
  <c r="AV91" i="21" s="1"/>
  <c r="AS91" i="21"/>
  <c r="AT91" i="21" s="1"/>
  <c r="AQ91" i="21"/>
  <c r="AR91" i="21" s="1"/>
  <c r="AO91" i="21"/>
  <c r="AP91" i="21" s="1"/>
  <c r="AM91" i="21"/>
  <c r="AK91" i="21"/>
  <c r="AL91" i="21" s="1"/>
  <c r="AG91" i="21"/>
  <c r="AH91" i="21" s="1"/>
  <c r="AE91" i="21"/>
  <c r="AF91" i="21" s="1"/>
  <c r="AC91" i="21"/>
  <c r="AD91" i="21" s="1"/>
  <c r="AA91" i="21"/>
  <c r="W91" i="21"/>
  <c r="X91" i="21" s="1"/>
  <c r="U91" i="21"/>
  <c r="V91" i="21" s="1"/>
  <c r="S91" i="21"/>
  <c r="Q91" i="21"/>
  <c r="R91" i="21" s="1"/>
  <c r="P91" i="21"/>
  <c r="O91" i="21"/>
  <c r="N91" i="21"/>
  <c r="M91" i="21"/>
  <c r="L91" i="21"/>
  <c r="K91" i="21"/>
  <c r="J91" i="21"/>
  <c r="I91" i="21"/>
  <c r="H91" i="21"/>
  <c r="G91" i="21"/>
  <c r="F91" i="21"/>
  <c r="E91" i="21"/>
  <c r="D91" i="21"/>
  <c r="C91" i="21"/>
  <c r="B91" i="21"/>
  <c r="A91" i="21"/>
  <c r="BG90" i="21"/>
  <c r="BH90" i="21" s="1"/>
  <c r="BE90" i="21"/>
  <c r="BF90" i="21" s="1"/>
  <c r="AW90" i="21"/>
  <c r="AX90" i="21" s="1"/>
  <c r="AU90" i="21"/>
  <c r="AV90" i="21" s="1"/>
  <c r="AS90" i="21"/>
  <c r="AT90" i="21" s="1"/>
  <c r="AQ90" i="21"/>
  <c r="AO90" i="21"/>
  <c r="AP90" i="21" s="1"/>
  <c r="AM90" i="21"/>
  <c r="AN90" i="21" s="1"/>
  <c r="AK90" i="21"/>
  <c r="AL90" i="21" s="1"/>
  <c r="AG90" i="21"/>
  <c r="AH90" i="21" s="1"/>
  <c r="AE90" i="21"/>
  <c r="AC90" i="21"/>
  <c r="AD90" i="21" s="1"/>
  <c r="AA90" i="21"/>
  <c r="AB90" i="21" s="1"/>
  <c r="W90" i="21"/>
  <c r="U90" i="21"/>
  <c r="V90" i="21" s="1"/>
  <c r="S90" i="21"/>
  <c r="T90" i="21" s="1"/>
  <c r="Q90" i="21"/>
  <c r="R90" i="21" s="1"/>
  <c r="P90" i="21"/>
  <c r="O90" i="21"/>
  <c r="N90" i="21"/>
  <c r="M90" i="21"/>
  <c r="L90" i="21"/>
  <c r="K90" i="21"/>
  <c r="J90" i="21"/>
  <c r="I90" i="21"/>
  <c r="H90" i="21"/>
  <c r="G90" i="21"/>
  <c r="F90" i="21"/>
  <c r="E90" i="21"/>
  <c r="D90" i="21"/>
  <c r="C90" i="21"/>
  <c r="B90" i="21"/>
  <c r="A90" i="21"/>
  <c r="BG89" i="21"/>
  <c r="BH89" i="21" s="1"/>
  <c r="BE89" i="21"/>
  <c r="BF89" i="21" s="1"/>
  <c r="AW89" i="21"/>
  <c r="AX89" i="21" s="1"/>
  <c r="AU89" i="21"/>
  <c r="AS89" i="21"/>
  <c r="AT89" i="21" s="1"/>
  <c r="AQ89" i="21"/>
  <c r="AR89" i="21" s="1"/>
  <c r="AO89" i="21"/>
  <c r="AP89" i="21" s="1"/>
  <c r="AM89" i="21"/>
  <c r="AN89" i="21" s="1"/>
  <c r="AK89" i="21"/>
  <c r="AG89" i="21"/>
  <c r="AH89" i="21" s="1"/>
  <c r="AE89" i="21"/>
  <c r="AF89" i="21" s="1"/>
  <c r="AC89" i="21"/>
  <c r="AA89" i="21"/>
  <c r="AB89" i="21" s="1"/>
  <c r="W89" i="21"/>
  <c r="X89" i="21" s="1"/>
  <c r="U89" i="21"/>
  <c r="V89" i="21" s="1"/>
  <c r="S89" i="21"/>
  <c r="T89" i="21" s="1"/>
  <c r="Q89" i="21"/>
  <c r="R89" i="21" s="1"/>
  <c r="P89" i="21"/>
  <c r="O89" i="21"/>
  <c r="N89" i="21"/>
  <c r="M89" i="21"/>
  <c r="L89" i="21"/>
  <c r="K89" i="21"/>
  <c r="J89" i="21"/>
  <c r="I89" i="21"/>
  <c r="H89" i="21"/>
  <c r="G89" i="21"/>
  <c r="F89" i="21"/>
  <c r="E89" i="21"/>
  <c r="D89" i="21"/>
  <c r="C89" i="21"/>
  <c r="B89" i="21"/>
  <c r="A89" i="21"/>
  <c r="BG88" i="21"/>
  <c r="BH88" i="21" s="1"/>
  <c r="BE88" i="21"/>
  <c r="BF88" i="21" s="1"/>
  <c r="AW88" i="21"/>
  <c r="AU88" i="21"/>
  <c r="AV88" i="21" s="1"/>
  <c r="AS88" i="21"/>
  <c r="AT88" i="21" s="1"/>
  <c r="AQ88" i="21"/>
  <c r="AR88" i="21" s="1"/>
  <c r="AO88" i="21"/>
  <c r="AM88" i="21"/>
  <c r="AN88" i="21" s="1"/>
  <c r="AK88" i="21"/>
  <c r="AL88" i="21" s="1"/>
  <c r="AG88" i="21"/>
  <c r="AE88" i="21"/>
  <c r="AF88" i="21" s="1"/>
  <c r="AC88" i="21"/>
  <c r="AD88" i="21" s="1"/>
  <c r="AA88" i="21"/>
  <c r="AB88" i="21" s="1"/>
  <c r="W88" i="21"/>
  <c r="X88" i="21" s="1"/>
  <c r="U88" i="21"/>
  <c r="V88" i="21" s="1"/>
  <c r="S88" i="21"/>
  <c r="T88" i="21" s="1"/>
  <c r="Q88" i="21"/>
  <c r="R88" i="21" s="1"/>
  <c r="P88" i="21"/>
  <c r="O88" i="21"/>
  <c r="N88" i="21"/>
  <c r="M88" i="21"/>
  <c r="L88" i="21"/>
  <c r="K88" i="21"/>
  <c r="J88" i="21"/>
  <c r="I88" i="21"/>
  <c r="H88" i="21"/>
  <c r="G88" i="21"/>
  <c r="F88" i="21"/>
  <c r="E88" i="21"/>
  <c r="D88" i="21"/>
  <c r="C88" i="21"/>
  <c r="B88" i="21"/>
  <c r="A88" i="21"/>
  <c r="BG87" i="21"/>
  <c r="BE87" i="21"/>
  <c r="BF87" i="21" s="1"/>
  <c r="AW87" i="21"/>
  <c r="AX87" i="21" s="1"/>
  <c r="AU87" i="21"/>
  <c r="AV87" i="21" s="1"/>
  <c r="AS87" i="21"/>
  <c r="AQ87" i="21"/>
  <c r="AR87" i="21" s="1"/>
  <c r="AO87" i="21"/>
  <c r="AP87" i="21" s="1"/>
  <c r="AM87" i="21"/>
  <c r="AK87" i="21"/>
  <c r="AL87" i="21" s="1"/>
  <c r="AG87" i="21"/>
  <c r="AH87" i="21" s="1"/>
  <c r="AE87" i="21"/>
  <c r="AF87" i="21" s="1"/>
  <c r="AC87" i="21"/>
  <c r="AD87" i="21" s="1"/>
  <c r="AA87" i="21"/>
  <c r="AB87" i="21" s="1"/>
  <c r="W87" i="21"/>
  <c r="X87" i="21" s="1"/>
  <c r="U87" i="21"/>
  <c r="V87" i="21" s="1"/>
  <c r="S87" i="21"/>
  <c r="Q87" i="21"/>
  <c r="R87" i="21" s="1"/>
  <c r="P87" i="21"/>
  <c r="O87" i="21"/>
  <c r="N87" i="21"/>
  <c r="M87" i="21"/>
  <c r="L87" i="21"/>
  <c r="K87" i="21"/>
  <c r="J87" i="21"/>
  <c r="I87" i="21"/>
  <c r="H87" i="21"/>
  <c r="G87" i="21"/>
  <c r="F87" i="21"/>
  <c r="E87" i="21"/>
  <c r="D87" i="21"/>
  <c r="C87" i="21"/>
  <c r="B87" i="21"/>
  <c r="A87" i="21"/>
  <c r="BG86" i="21"/>
  <c r="BH86" i="21" s="1"/>
  <c r="BE86" i="21"/>
  <c r="BF86" i="21" s="1"/>
  <c r="AW86" i="21"/>
  <c r="AU86" i="21"/>
  <c r="AV86" i="21" s="1"/>
  <c r="AS86" i="21"/>
  <c r="AT86" i="21" s="1"/>
  <c r="AQ86" i="21"/>
  <c r="AO86" i="21"/>
  <c r="AP86" i="21" s="1"/>
  <c r="AM86" i="21"/>
  <c r="AN86" i="21" s="1"/>
  <c r="AK86" i="21"/>
  <c r="AL86" i="21" s="1"/>
  <c r="AG86" i="21"/>
  <c r="AH86" i="21" s="1"/>
  <c r="AE86" i="21"/>
  <c r="AF86" i="21" s="1"/>
  <c r="AC86" i="21"/>
  <c r="AD86" i="21" s="1"/>
  <c r="AA86" i="21"/>
  <c r="AB86" i="21" s="1"/>
  <c r="W86" i="21"/>
  <c r="U86" i="21"/>
  <c r="V86" i="21" s="1"/>
  <c r="S86" i="21"/>
  <c r="T86" i="21" s="1"/>
  <c r="Q86" i="21"/>
  <c r="R86" i="21" s="1"/>
  <c r="P86" i="21"/>
  <c r="O86" i="21"/>
  <c r="N86" i="21"/>
  <c r="M86" i="21"/>
  <c r="L86" i="21"/>
  <c r="K86" i="21"/>
  <c r="J86" i="21"/>
  <c r="I86" i="21"/>
  <c r="H86" i="21"/>
  <c r="G86" i="21"/>
  <c r="F86" i="21"/>
  <c r="E86" i="21"/>
  <c r="D86" i="21"/>
  <c r="C86" i="21"/>
  <c r="B86" i="21"/>
  <c r="A86" i="21"/>
  <c r="BG85" i="21"/>
  <c r="BH85" i="21" s="1"/>
  <c r="BE85" i="21"/>
  <c r="AW85" i="21"/>
  <c r="AX85" i="21" s="1"/>
  <c r="AU85" i="21"/>
  <c r="AS85" i="21"/>
  <c r="AT85" i="21" s="1"/>
  <c r="AQ85" i="21"/>
  <c r="AR85" i="21" s="1"/>
  <c r="AO85" i="21"/>
  <c r="AP85" i="21" s="1"/>
  <c r="AM85" i="21"/>
  <c r="AN85" i="21" s="1"/>
  <c r="AK85" i="21"/>
  <c r="AL85" i="21" s="1"/>
  <c r="AG85" i="21"/>
  <c r="AH85" i="21" s="1"/>
  <c r="AE85" i="21"/>
  <c r="AF85" i="21" s="1"/>
  <c r="AC85" i="21"/>
  <c r="AA85" i="21"/>
  <c r="AB85" i="21" s="1"/>
  <c r="W85" i="21"/>
  <c r="X85" i="21" s="1"/>
  <c r="U85" i="21"/>
  <c r="V85" i="21" s="1"/>
  <c r="S85" i="21"/>
  <c r="T85" i="21" s="1"/>
  <c r="Q85" i="21"/>
  <c r="P85" i="21"/>
  <c r="O85" i="21"/>
  <c r="N85" i="21"/>
  <c r="M85" i="21"/>
  <c r="L85" i="21"/>
  <c r="K85" i="21"/>
  <c r="J85" i="21"/>
  <c r="I85" i="21"/>
  <c r="H85" i="21"/>
  <c r="G85" i="21"/>
  <c r="F85" i="21"/>
  <c r="E85" i="21"/>
  <c r="D85" i="21"/>
  <c r="C85" i="21"/>
  <c r="B85" i="21"/>
  <c r="A85" i="21"/>
  <c r="BG84" i="21"/>
  <c r="BH84" i="21" s="1"/>
  <c r="BE84" i="21"/>
  <c r="BF84" i="21" s="1"/>
  <c r="AW84" i="21"/>
  <c r="AX84" i="21" s="1"/>
  <c r="AU84" i="21"/>
  <c r="AV84" i="21" s="1"/>
  <c r="AS84" i="21"/>
  <c r="AT84" i="21" s="1"/>
  <c r="AQ84" i="21"/>
  <c r="AR84" i="21" s="1"/>
  <c r="AO84" i="21"/>
  <c r="AP84" i="21" s="1"/>
  <c r="AM84" i="21"/>
  <c r="AN84" i="21" s="1"/>
  <c r="AK84" i="21"/>
  <c r="AL84" i="21" s="1"/>
  <c r="AG84" i="21"/>
  <c r="AE84" i="21"/>
  <c r="AF84" i="21" s="1"/>
  <c r="AC84" i="21"/>
  <c r="AD84" i="21" s="1"/>
  <c r="AA84" i="21"/>
  <c r="AB84" i="21" s="1"/>
  <c r="W84" i="21"/>
  <c r="X84" i="21" s="1"/>
  <c r="U84" i="21"/>
  <c r="S84" i="21"/>
  <c r="T84" i="21" s="1"/>
  <c r="Q84" i="21"/>
  <c r="R84" i="21" s="1"/>
  <c r="P84" i="21"/>
  <c r="O84" i="21"/>
  <c r="N84" i="21"/>
  <c r="M84" i="21"/>
  <c r="L84" i="21"/>
  <c r="K84" i="21"/>
  <c r="J84" i="21"/>
  <c r="I84" i="21"/>
  <c r="H84" i="21"/>
  <c r="G84" i="21"/>
  <c r="F84" i="21"/>
  <c r="E84" i="21"/>
  <c r="D84" i="21"/>
  <c r="C84" i="21"/>
  <c r="B84" i="21"/>
  <c r="A84" i="21"/>
  <c r="BG83" i="21"/>
  <c r="BE83" i="21"/>
  <c r="BF83" i="21" s="1"/>
  <c r="AW83" i="21"/>
  <c r="AX83" i="21" s="1"/>
  <c r="AU83" i="21"/>
  <c r="AV83" i="21" s="1"/>
  <c r="AS83" i="21"/>
  <c r="AT83" i="21" s="1"/>
  <c r="AQ83" i="21"/>
  <c r="AR83" i="21" s="1"/>
  <c r="AO83" i="21"/>
  <c r="AP83" i="21" s="1"/>
  <c r="AM83" i="21"/>
  <c r="AK83" i="21"/>
  <c r="AL83" i="21" s="1"/>
  <c r="AG83" i="21"/>
  <c r="AH83" i="21" s="1"/>
  <c r="AE83" i="21"/>
  <c r="AF83" i="21" s="1"/>
  <c r="AC83" i="21"/>
  <c r="AD83" i="21" s="1"/>
  <c r="AA83" i="21"/>
  <c r="W83" i="21"/>
  <c r="X83" i="21" s="1"/>
  <c r="U83" i="21"/>
  <c r="V83" i="21" s="1"/>
  <c r="S83" i="21"/>
  <c r="Q83" i="21"/>
  <c r="R83" i="21" s="1"/>
  <c r="P83" i="21"/>
  <c r="O83" i="21"/>
  <c r="N83" i="21"/>
  <c r="M83" i="21"/>
  <c r="L83" i="21"/>
  <c r="K83" i="21"/>
  <c r="J83" i="21"/>
  <c r="I83" i="21"/>
  <c r="H83" i="21"/>
  <c r="G83" i="21"/>
  <c r="F83" i="21"/>
  <c r="E83" i="21"/>
  <c r="D83" i="21"/>
  <c r="C83" i="21"/>
  <c r="B83" i="21"/>
  <c r="A83" i="21"/>
  <c r="BG82" i="21"/>
  <c r="BH82" i="21" s="1"/>
  <c r="BE82" i="21"/>
  <c r="BF82" i="21" s="1"/>
  <c r="AW82" i="21"/>
  <c r="AX82" i="21" s="1"/>
  <c r="AU82" i="21"/>
  <c r="AV82" i="21" s="1"/>
  <c r="AS82" i="21"/>
  <c r="AT82" i="21" s="1"/>
  <c r="AQ82" i="21"/>
  <c r="AO82" i="21"/>
  <c r="AP82" i="21" s="1"/>
  <c r="AM82" i="21"/>
  <c r="AN82" i="21" s="1"/>
  <c r="AK82" i="21"/>
  <c r="AL82" i="21" s="1"/>
  <c r="AG82" i="21"/>
  <c r="AH82" i="21" s="1"/>
  <c r="AE82" i="21"/>
  <c r="AC82" i="21"/>
  <c r="AD82" i="21" s="1"/>
  <c r="AA82" i="21"/>
  <c r="AB82" i="21" s="1"/>
  <c r="W82" i="21"/>
  <c r="U82" i="21"/>
  <c r="V82" i="21" s="1"/>
  <c r="S82" i="21"/>
  <c r="T82" i="21" s="1"/>
  <c r="Q82" i="21"/>
  <c r="R82" i="21" s="1"/>
  <c r="P82" i="21"/>
  <c r="O82" i="21"/>
  <c r="N82" i="21"/>
  <c r="M82" i="21"/>
  <c r="L82" i="21"/>
  <c r="K82" i="21"/>
  <c r="J82" i="21"/>
  <c r="I82" i="21"/>
  <c r="H82" i="21"/>
  <c r="G82" i="21"/>
  <c r="F82" i="21"/>
  <c r="E82" i="21"/>
  <c r="D82" i="21"/>
  <c r="C82" i="21"/>
  <c r="B82" i="21"/>
  <c r="A82" i="21"/>
  <c r="BG81" i="21"/>
  <c r="BH81" i="21" s="1"/>
  <c r="BE81" i="21"/>
  <c r="BF81" i="21" s="1"/>
  <c r="AW81" i="21"/>
  <c r="AX81" i="21" s="1"/>
  <c r="AU81" i="21"/>
  <c r="AS81" i="21"/>
  <c r="AT81" i="21" s="1"/>
  <c r="AQ81" i="21"/>
  <c r="AO81" i="21"/>
  <c r="AP81" i="21" s="1"/>
  <c r="AM81" i="21"/>
  <c r="AN81" i="21" s="1"/>
  <c r="AK81" i="21"/>
  <c r="AG81" i="21"/>
  <c r="AH81" i="21" s="1"/>
  <c r="AE81" i="21"/>
  <c r="AF81" i="21" s="1"/>
  <c r="AC81" i="21"/>
  <c r="AA81" i="21"/>
  <c r="AB81" i="21" s="1"/>
  <c r="W81" i="21"/>
  <c r="X81" i="21" s="1"/>
  <c r="U81" i="21"/>
  <c r="V81" i="21" s="1"/>
  <c r="S81" i="21"/>
  <c r="T81" i="21" s="1"/>
  <c r="Q81" i="21"/>
  <c r="R81" i="21" s="1"/>
  <c r="P81" i="21"/>
  <c r="O81" i="21"/>
  <c r="N81" i="21"/>
  <c r="M81" i="21"/>
  <c r="L81" i="21"/>
  <c r="K81" i="21"/>
  <c r="J81" i="21"/>
  <c r="I81" i="21"/>
  <c r="H81" i="21"/>
  <c r="G81" i="21"/>
  <c r="F81" i="21"/>
  <c r="E81" i="21"/>
  <c r="D81" i="21"/>
  <c r="C81" i="21"/>
  <c r="B81" i="21"/>
  <c r="A81" i="21"/>
  <c r="BG80" i="21"/>
  <c r="BH80" i="21" s="1"/>
  <c r="BE80" i="21"/>
  <c r="BF80" i="21" s="1"/>
  <c r="AW80" i="21"/>
  <c r="AU80" i="21"/>
  <c r="AV80" i="21" s="1"/>
  <c r="AS80" i="21"/>
  <c r="AT80" i="21" s="1"/>
  <c r="AQ80" i="21"/>
  <c r="AR80" i="21" s="1"/>
  <c r="AO80" i="21"/>
  <c r="AM80" i="21"/>
  <c r="AN80" i="21" s="1"/>
  <c r="AK80" i="21"/>
  <c r="AL80" i="21" s="1"/>
  <c r="AG80" i="21"/>
  <c r="AE80" i="21"/>
  <c r="AF80" i="21" s="1"/>
  <c r="AC80" i="21"/>
  <c r="AD80" i="21" s="1"/>
  <c r="AA80" i="21"/>
  <c r="AB80" i="21" s="1"/>
  <c r="W80" i="21"/>
  <c r="X80" i="21" s="1"/>
  <c r="U80" i="21"/>
  <c r="V80" i="21" s="1"/>
  <c r="S80" i="21"/>
  <c r="T80" i="21" s="1"/>
  <c r="Q80" i="21"/>
  <c r="R80" i="21" s="1"/>
  <c r="P80" i="21"/>
  <c r="O80" i="21"/>
  <c r="N80" i="21"/>
  <c r="M80" i="21"/>
  <c r="L80" i="21"/>
  <c r="K80" i="21"/>
  <c r="J80" i="21"/>
  <c r="I80" i="21"/>
  <c r="H80" i="21"/>
  <c r="G80" i="21"/>
  <c r="F80" i="21"/>
  <c r="E80" i="21"/>
  <c r="D80" i="21"/>
  <c r="C80" i="21"/>
  <c r="B80" i="21"/>
  <c r="A80" i="21"/>
  <c r="BG79" i="21"/>
  <c r="BE79" i="21"/>
  <c r="BF79" i="21" s="1"/>
  <c r="AW79" i="21"/>
  <c r="AX79" i="21" s="1"/>
  <c r="AU79" i="21"/>
  <c r="AV79" i="21" s="1"/>
  <c r="AS79" i="21"/>
  <c r="AQ79" i="21"/>
  <c r="AR79" i="21" s="1"/>
  <c r="AO79" i="21"/>
  <c r="AP79" i="21" s="1"/>
  <c r="AM79" i="21"/>
  <c r="AK79" i="21"/>
  <c r="AL79" i="21" s="1"/>
  <c r="AG79" i="21"/>
  <c r="AH79" i="21" s="1"/>
  <c r="AE79" i="21"/>
  <c r="AF79" i="21" s="1"/>
  <c r="AC79" i="21"/>
  <c r="AD79" i="21" s="1"/>
  <c r="AJ79" i="21" s="1"/>
  <c r="AA79" i="21"/>
  <c r="AB79" i="21" s="1"/>
  <c r="W79" i="21"/>
  <c r="X79" i="21" s="1"/>
  <c r="U79" i="21"/>
  <c r="V79" i="21" s="1"/>
  <c r="S79" i="21"/>
  <c r="Q79" i="21"/>
  <c r="R79" i="21" s="1"/>
  <c r="P79" i="21"/>
  <c r="O79" i="21"/>
  <c r="N79" i="21"/>
  <c r="M79" i="21"/>
  <c r="L79" i="21"/>
  <c r="K79" i="21"/>
  <c r="J79" i="21"/>
  <c r="I79" i="21"/>
  <c r="H79" i="21"/>
  <c r="G79" i="21"/>
  <c r="F79" i="21"/>
  <c r="E79" i="21"/>
  <c r="D79" i="21"/>
  <c r="C79" i="21"/>
  <c r="B79" i="21"/>
  <c r="A79" i="21"/>
  <c r="BG78" i="21"/>
  <c r="BH78" i="21" s="1"/>
  <c r="BE78" i="21"/>
  <c r="BF78" i="21" s="1"/>
  <c r="AW78" i="21"/>
  <c r="AU78" i="21"/>
  <c r="AV78" i="21" s="1"/>
  <c r="AS78" i="21"/>
  <c r="AT78" i="21" s="1"/>
  <c r="AQ78" i="21"/>
  <c r="AO78" i="21"/>
  <c r="AP78" i="21" s="1"/>
  <c r="AM78" i="21"/>
  <c r="AN78" i="21" s="1"/>
  <c r="AK78" i="21"/>
  <c r="AL78" i="21" s="1"/>
  <c r="AG78" i="21"/>
  <c r="AH78" i="21" s="1"/>
  <c r="AE78" i="21"/>
  <c r="AF78" i="21" s="1"/>
  <c r="AC78" i="21"/>
  <c r="AD78" i="21" s="1"/>
  <c r="AA78" i="21"/>
  <c r="W78" i="21"/>
  <c r="U78" i="21"/>
  <c r="V78" i="21" s="1"/>
  <c r="S78" i="21"/>
  <c r="Q78" i="21"/>
  <c r="R78" i="21" s="1"/>
  <c r="P78" i="21"/>
  <c r="O78" i="21"/>
  <c r="N78" i="21"/>
  <c r="M78" i="21"/>
  <c r="L78" i="21"/>
  <c r="K78" i="21"/>
  <c r="J78" i="21"/>
  <c r="I78" i="21"/>
  <c r="H78" i="21"/>
  <c r="G78" i="21"/>
  <c r="F78" i="21"/>
  <c r="E78" i="21"/>
  <c r="D78" i="21"/>
  <c r="C78" i="21"/>
  <c r="B78" i="21"/>
  <c r="A78" i="21"/>
  <c r="BG77" i="21"/>
  <c r="BH77" i="21" s="1"/>
  <c r="BE77" i="21"/>
  <c r="AW77" i="21"/>
  <c r="AX77" i="21" s="1"/>
  <c r="AU77" i="21"/>
  <c r="AS77" i="21"/>
  <c r="AT77" i="21" s="1"/>
  <c r="AQ77" i="21"/>
  <c r="AR77" i="21" s="1"/>
  <c r="AO77" i="21"/>
  <c r="AP77" i="21" s="1"/>
  <c r="AM77" i="21"/>
  <c r="AN77" i="21" s="1"/>
  <c r="AK77" i="21"/>
  <c r="AL77" i="21" s="1"/>
  <c r="AG77" i="21"/>
  <c r="AH77" i="21" s="1"/>
  <c r="AE77" i="21"/>
  <c r="AF77" i="21" s="1"/>
  <c r="AC77" i="21"/>
  <c r="AA77" i="21"/>
  <c r="AB77" i="21" s="1"/>
  <c r="W77" i="21"/>
  <c r="X77" i="21" s="1"/>
  <c r="U77" i="21"/>
  <c r="V77" i="21" s="1"/>
  <c r="S77" i="21"/>
  <c r="T77" i="21" s="1"/>
  <c r="Q77" i="21"/>
  <c r="P77" i="21"/>
  <c r="O77" i="21"/>
  <c r="N77" i="21"/>
  <c r="M77" i="21"/>
  <c r="L77" i="21"/>
  <c r="K77" i="21"/>
  <c r="J77" i="21"/>
  <c r="I77" i="21"/>
  <c r="H77" i="21"/>
  <c r="G77" i="21"/>
  <c r="F77" i="21"/>
  <c r="E77" i="21"/>
  <c r="D77" i="21"/>
  <c r="C77" i="21"/>
  <c r="B77" i="21"/>
  <c r="A77" i="21"/>
  <c r="BG76" i="21"/>
  <c r="BH76" i="21" s="1"/>
  <c r="BE76" i="21"/>
  <c r="BF76" i="21" s="1"/>
  <c r="AW76" i="21"/>
  <c r="AX76" i="21" s="1"/>
  <c r="AU76" i="21"/>
  <c r="AV76" i="21" s="1"/>
  <c r="AS76" i="21"/>
  <c r="AT76" i="21" s="1"/>
  <c r="AQ76" i="21"/>
  <c r="AR76" i="21" s="1"/>
  <c r="AO76" i="21"/>
  <c r="AP76" i="21" s="1"/>
  <c r="AM76" i="21"/>
  <c r="AN76" i="21" s="1"/>
  <c r="AK76" i="21"/>
  <c r="AL76" i="21" s="1"/>
  <c r="AG76" i="21"/>
  <c r="AE76" i="21"/>
  <c r="AF76" i="21" s="1"/>
  <c r="AC76" i="21"/>
  <c r="AD76" i="21" s="1"/>
  <c r="AA76" i="21"/>
  <c r="AB76" i="21" s="1"/>
  <c r="W76" i="21"/>
  <c r="X76" i="21" s="1"/>
  <c r="U76" i="21"/>
  <c r="S76" i="21"/>
  <c r="T76" i="21" s="1"/>
  <c r="Q76" i="21"/>
  <c r="R76" i="21" s="1"/>
  <c r="P76" i="21"/>
  <c r="O76" i="21"/>
  <c r="N76" i="21"/>
  <c r="M76" i="21"/>
  <c r="L76" i="21"/>
  <c r="K76" i="21"/>
  <c r="J76" i="21"/>
  <c r="I76" i="21"/>
  <c r="H76" i="21"/>
  <c r="G76" i="21"/>
  <c r="F76" i="21"/>
  <c r="E76" i="21"/>
  <c r="D76" i="21"/>
  <c r="C76" i="21"/>
  <c r="B76" i="21"/>
  <c r="A76" i="21"/>
  <c r="BG75" i="21"/>
  <c r="BE75" i="21"/>
  <c r="BF75" i="21" s="1"/>
  <c r="AW75" i="21"/>
  <c r="AX75" i="21" s="1"/>
  <c r="AU75" i="21"/>
  <c r="AV75" i="21" s="1"/>
  <c r="AS75" i="21"/>
  <c r="AT75" i="21" s="1"/>
  <c r="AQ75" i="21"/>
  <c r="AR75" i="21" s="1"/>
  <c r="AO75" i="21"/>
  <c r="AP75" i="21" s="1"/>
  <c r="AM75" i="21"/>
  <c r="AK75" i="21"/>
  <c r="AL75" i="21" s="1"/>
  <c r="AG75" i="21"/>
  <c r="AH75" i="21" s="1"/>
  <c r="AE75" i="21"/>
  <c r="AF75" i="21" s="1"/>
  <c r="AC75" i="21"/>
  <c r="AD75" i="21" s="1"/>
  <c r="AA75" i="21"/>
  <c r="W75" i="21"/>
  <c r="X75" i="21" s="1"/>
  <c r="U75" i="21"/>
  <c r="V75" i="21" s="1"/>
  <c r="S75" i="21"/>
  <c r="Q75" i="21"/>
  <c r="R75" i="21" s="1"/>
  <c r="P75" i="21"/>
  <c r="O75" i="21"/>
  <c r="N75" i="21"/>
  <c r="M75" i="21"/>
  <c r="L75" i="21"/>
  <c r="K75" i="21"/>
  <c r="J75" i="21"/>
  <c r="I75" i="21"/>
  <c r="H75" i="21"/>
  <c r="G75" i="21"/>
  <c r="F75" i="21"/>
  <c r="E75" i="21"/>
  <c r="D75" i="21"/>
  <c r="C75" i="21"/>
  <c r="B75" i="21"/>
  <c r="A75" i="21"/>
  <c r="BG74" i="21"/>
  <c r="BH74" i="21" s="1"/>
  <c r="BE74" i="21"/>
  <c r="BF74" i="21" s="1"/>
  <c r="AW74" i="21"/>
  <c r="AX74" i="21" s="1"/>
  <c r="AU74" i="21"/>
  <c r="AV74" i="21" s="1"/>
  <c r="AS74" i="21"/>
  <c r="AT74" i="21" s="1"/>
  <c r="AQ74" i="21"/>
  <c r="AO74" i="21"/>
  <c r="AP74" i="21" s="1"/>
  <c r="AM74" i="21"/>
  <c r="AK74" i="21"/>
  <c r="AL74" i="21" s="1"/>
  <c r="AG74" i="21"/>
  <c r="AH74" i="21" s="1"/>
  <c r="AE74" i="21"/>
  <c r="AC74" i="21"/>
  <c r="AD74" i="21" s="1"/>
  <c r="AA74" i="21"/>
  <c r="AB74" i="21" s="1"/>
  <c r="W74" i="21"/>
  <c r="U74" i="21"/>
  <c r="V74" i="21" s="1"/>
  <c r="S74" i="21"/>
  <c r="T74" i="21" s="1"/>
  <c r="Q74" i="21"/>
  <c r="R74" i="21" s="1"/>
  <c r="P74" i="21"/>
  <c r="O74" i="21"/>
  <c r="N74" i="21"/>
  <c r="M74" i="21"/>
  <c r="L74" i="21"/>
  <c r="K74" i="21"/>
  <c r="J74" i="21"/>
  <c r="I74" i="21"/>
  <c r="H74" i="21"/>
  <c r="G74" i="21"/>
  <c r="F74" i="21"/>
  <c r="E74" i="21"/>
  <c r="D74" i="21"/>
  <c r="C74" i="21"/>
  <c r="B74" i="21"/>
  <c r="A74" i="21"/>
  <c r="BG73" i="21"/>
  <c r="BH73" i="21" s="1"/>
  <c r="BE73" i="21"/>
  <c r="BF73" i="21" s="1"/>
  <c r="AW73" i="21"/>
  <c r="AX73" i="21" s="1"/>
  <c r="AU73" i="21"/>
  <c r="AS73" i="21"/>
  <c r="AT73" i="21" s="1"/>
  <c r="AQ73" i="21"/>
  <c r="AR73" i="21" s="1"/>
  <c r="AO73" i="21"/>
  <c r="AP73" i="21" s="1"/>
  <c r="AM73" i="21"/>
  <c r="AN73" i="21" s="1"/>
  <c r="AK73" i="21"/>
  <c r="AG73" i="21"/>
  <c r="AH73" i="21" s="1"/>
  <c r="AE73" i="21"/>
  <c r="AF73" i="21" s="1"/>
  <c r="AC73" i="21"/>
  <c r="AA73" i="21"/>
  <c r="AB73" i="21" s="1"/>
  <c r="W73" i="21"/>
  <c r="X73" i="21" s="1"/>
  <c r="U73" i="21"/>
  <c r="V73" i="21" s="1"/>
  <c r="S73" i="21"/>
  <c r="T73" i="21" s="1"/>
  <c r="Q73" i="21"/>
  <c r="R73" i="21" s="1"/>
  <c r="P73" i="21"/>
  <c r="O73" i="21"/>
  <c r="N73" i="21"/>
  <c r="M73" i="21"/>
  <c r="L73" i="21"/>
  <c r="K73" i="21"/>
  <c r="J73" i="21"/>
  <c r="I73" i="21"/>
  <c r="H73" i="21"/>
  <c r="G73" i="21"/>
  <c r="F73" i="21"/>
  <c r="E73" i="21"/>
  <c r="D73" i="21"/>
  <c r="C73" i="21"/>
  <c r="B73" i="21"/>
  <c r="A73" i="21"/>
  <c r="BG72" i="21"/>
  <c r="BH72" i="21" s="1"/>
  <c r="BE72" i="21"/>
  <c r="BF72" i="21" s="1"/>
  <c r="AW72" i="21"/>
  <c r="AX72" i="21" s="1"/>
  <c r="AU72" i="21"/>
  <c r="AV72" i="21" s="1"/>
  <c r="AS72" i="21"/>
  <c r="AT72" i="21" s="1"/>
  <c r="AQ72" i="21"/>
  <c r="AR72" i="21" s="1"/>
  <c r="AO72" i="21"/>
  <c r="AM72" i="21"/>
  <c r="AN72" i="21" s="1"/>
  <c r="AK72" i="21"/>
  <c r="AL72" i="21" s="1"/>
  <c r="AG72" i="21"/>
  <c r="AE72" i="21"/>
  <c r="AF72" i="21" s="1"/>
  <c r="AC72" i="21"/>
  <c r="AD72" i="21" s="1"/>
  <c r="AA72" i="21"/>
  <c r="AB72" i="21" s="1"/>
  <c r="W72" i="21"/>
  <c r="X72" i="21" s="1"/>
  <c r="U72" i="21"/>
  <c r="S72" i="21"/>
  <c r="T72" i="21" s="1"/>
  <c r="Q72" i="21"/>
  <c r="R72" i="21" s="1"/>
  <c r="P72" i="21"/>
  <c r="O72" i="21"/>
  <c r="N72" i="21"/>
  <c r="M72" i="21"/>
  <c r="L72" i="21"/>
  <c r="K72" i="21"/>
  <c r="J72" i="21"/>
  <c r="I72" i="21"/>
  <c r="H72" i="21"/>
  <c r="G72" i="21"/>
  <c r="F72" i="21"/>
  <c r="E72" i="21"/>
  <c r="D72" i="21"/>
  <c r="C72" i="21"/>
  <c r="B72" i="21"/>
  <c r="A72" i="21"/>
  <c r="BG71" i="21"/>
  <c r="BE71" i="21"/>
  <c r="BF71" i="21" s="1"/>
  <c r="AW71" i="21"/>
  <c r="AX71" i="21" s="1"/>
  <c r="AU71" i="21"/>
  <c r="AV71" i="21" s="1"/>
  <c r="AS71" i="21"/>
  <c r="AQ71" i="21"/>
  <c r="AR71" i="21" s="1"/>
  <c r="AO71" i="21"/>
  <c r="AP71" i="21" s="1"/>
  <c r="AM71" i="21"/>
  <c r="AK71" i="21"/>
  <c r="AL71" i="21" s="1"/>
  <c r="AG71" i="21"/>
  <c r="AH71" i="21" s="1"/>
  <c r="AE71" i="21"/>
  <c r="AF71" i="21" s="1"/>
  <c r="AC71" i="21"/>
  <c r="AD71" i="21" s="1"/>
  <c r="AJ71" i="21" s="1"/>
  <c r="AA71" i="21"/>
  <c r="AB71" i="21" s="1"/>
  <c r="W71" i="21"/>
  <c r="X71" i="21" s="1"/>
  <c r="U71" i="21"/>
  <c r="V71" i="21" s="1"/>
  <c r="S71" i="21"/>
  <c r="Q71" i="21"/>
  <c r="R71" i="21" s="1"/>
  <c r="P71" i="21"/>
  <c r="O71" i="21"/>
  <c r="N71" i="21"/>
  <c r="M71" i="21"/>
  <c r="L71" i="21"/>
  <c r="K71" i="21"/>
  <c r="J71" i="21"/>
  <c r="I71" i="21"/>
  <c r="H71" i="21"/>
  <c r="G71" i="21"/>
  <c r="F71" i="21"/>
  <c r="E71" i="21"/>
  <c r="D71" i="21"/>
  <c r="C71" i="21"/>
  <c r="B71" i="21"/>
  <c r="A71" i="21"/>
  <c r="BG70" i="21"/>
  <c r="BH70" i="21" s="1"/>
  <c r="BE70" i="21"/>
  <c r="BF70" i="21" s="1"/>
  <c r="AW70" i="21"/>
  <c r="AX70" i="21" s="1"/>
  <c r="AU70" i="21"/>
  <c r="AV70" i="21" s="1"/>
  <c r="AS70" i="21"/>
  <c r="AT70" i="21" s="1"/>
  <c r="AQ70" i="21"/>
  <c r="AO70" i="21"/>
  <c r="AP70" i="21" s="1"/>
  <c r="AM70" i="21"/>
  <c r="AK70" i="21"/>
  <c r="AL70" i="21" s="1"/>
  <c r="AG70" i="21"/>
  <c r="AH70" i="21" s="1"/>
  <c r="AE70" i="21"/>
  <c r="AF70" i="21" s="1"/>
  <c r="AC70" i="21"/>
  <c r="AD70" i="21" s="1"/>
  <c r="AA70" i="21"/>
  <c r="AB70" i="21" s="1"/>
  <c r="W70" i="21"/>
  <c r="U70" i="21"/>
  <c r="V70" i="21" s="1"/>
  <c r="S70" i="21"/>
  <c r="T70" i="21" s="1"/>
  <c r="Q70" i="21"/>
  <c r="R70" i="21" s="1"/>
  <c r="P70" i="21"/>
  <c r="O70" i="21"/>
  <c r="N70" i="21"/>
  <c r="M70" i="21"/>
  <c r="L70" i="21"/>
  <c r="K70" i="21"/>
  <c r="J70" i="21"/>
  <c r="I70" i="21"/>
  <c r="H70" i="21"/>
  <c r="G70" i="21"/>
  <c r="F70" i="21"/>
  <c r="E70" i="21"/>
  <c r="D70" i="21"/>
  <c r="C70" i="21"/>
  <c r="B70" i="21"/>
  <c r="A70" i="21"/>
  <c r="BG69" i="21"/>
  <c r="BH69" i="21" s="1"/>
  <c r="BE69" i="21"/>
  <c r="AW69" i="21"/>
  <c r="AX69" i="21" s="1"/>
  <c r="AU69" i="21"/>
  <c r="AS69" i="21"/>
  <c r="AT69" i="21" s="1"/>
  <c r="AQ69" i="21"/>
  <c r="AR69" i="21" s="1"/>
  <c r="AO69" i="21"/>
  <c r="AP69" i="21" s="1"/>
  <c r="AM69" i="21"/>
  <c r="AN69" i="21" s="1"/>
  <c r="AK69" i="21"/>
  <c r="AG69" i="21"/>
  <c r="AH69" i="21" s="1"/>
  <c r="AE69" i="21"/>
  <c r="AF69" i="21" s="1"/>
  <c r="AC69" i="21"/>
  <c r="AA69" i="21"/>
  <c r="AB69" i="21" s="1"/>
  <c r="W69" i="21"/>
  <c r="X69" i="21" s="1"/>
  <c r="U69" i="21"/>
  <c r="V69" i="21" s="1"/>
  <c r="S69" i="21"/>
  <c r="T69" i="21" s="1"/>
  <c r="Q69" i="21"/>
  <c r="R69" i="21" s="1"/>
  <c r="P69" i="21"/>
  <c r="O69" i="21"/>
  <c r="N69" i="21"/>
  <c r="M69" i="21"/>
  <c r="L69" i="21"/>
  <c r="K69" i="21"/>
  <c r="J69" i="21"/>
  <c r="I69" i="21"/>
  <c r="H69" i="21"/>
  <c r="G69" i="21"/>
  <c r="F69" i="21"/>
  <c r="E69" i="21"/>
  <c r="D69" i="21"/>
  <c r="C69" i="21"/>
  <c r="B69" i="21"/>
  <c r="A69" i="21"/>
  <c r="BG68" i="21"/>
  <c r="BH68" i="21" s="1"/>
  <c r="BE68" i="21"/>
  <c r="AW68" i="21"/>
  <c r="AX68" i="21" s="1"/>
  <c r="AU68" i="21"/>
  <c r="AV68" i="21" s="1"/>
  <c r="AS68" i="21"/>
  <c r="AT68" i="21" s="1"/>
  <c r="AQ68" i="21"/>
  <c r="AR68" i="21" s="1"/>
  <c r="AO68" i="21"/>
  <c r="AM68" i="21"/>
  <c r="AN68" i="21" s="1"/>
  <c r="AK68" i="21"/>
  <c r="AL68" i="21" s="1"/>
  <c r="AG68" i="21"/>
  <c r="AE68" i="21"/>
  <c r="AF68" i="21" s="1"/>
  <c r="AC68" i="21"/>
  <c r="AA68" i="21"/>
  <c r="AB68" i="21" s="1"/>
  <c r="W68" i="21"/>
  <c r="X68" i="21" s="1"/>
  <c r="U68" i="21"/>
  <c r="S68" i="21"/>
  <c r="T68" i="21" s="1"/>
  <c r="Q68" i="21"/>
  <c r="R68" i="21" s="1"/>
  <c r="P68" i="21"/>
  <c r="O68" i="21"/>
  <c r="N68" i="21"/>
  <c r="M68" i="21"/>
  <c r="L68" i="21"/>
  <c r="K68" i="21"/>
  <c r="J68" i="21"/>
  <c r="I68" i="21"/>
  <c r="H68" i="21"/>
  <c r="G68" i="21"/>
  <c r="F68" i="21"/>
  <c r="E68" i="21"/>
  <c r="D68" i="21"/>
  <c r="C68" i="21"/>
  <c r="B68" i="21"/>
  <c r="A68" i="21"/>
  <c r="BG67" i="21"/>
  <c r="BE67" i="21"/>
  <c r="BF67" i="21" s="1"/>
  <c r="AW67" i="21"/>
  <c r="AX67" i="21" s="1"/>
  <c r="AU67" i="21"/>
  <c r="AV67" i="21" s="1"/>
  <c r="AS67" i="21"/>
  <c r="AT67" i="21" s="1"/>
  <c r="AQ67" i="21"/>
  <c r="AR67" i="21" s="1"/>
  <c r="AO67" i="21"/>
  <c r="AP67" i="21" s="1"/>
  <c r="AM67" i="21"/>
  <c r="AK67" i="21"/>
  <c r="AL67" i="21" s="1"/>
  <c r="AG67" i="21"/>
  <c r="AH67" i="21" s="1"/>
  <c r="AE67" i="21"/>
  <c r="AF67" i="21" s="1"/>
  <c r="AC67" i="21"/>
  <c r="AD67" i="21" s="1"/>
  <c r="AA67" i="21"/>
  <c r="W67" i="21"/>
  <c r="X67" i="21" s="1"/>
  <c r="U67" i="21"/>
  <c r="V67" i="21" s="1"/>
  <c r="S67" i="21"/>
  <c r="Q67" i="21"/>
  <c r="R67" i="21" s="1"/>
  <c r="P67" i="21"/>
  <c r="O67" i="21"/>
  <c r="N67" i="21"/>
  <c r="M67" i="21"/>
  <c r="L67" i="21"/>
  <c r="K67" i="21"/>
  <c r="J67" i="21"/>
  <c r="I67" i="21"/>
  <c r="H67" i="21"/>
  <c r="G67" i="21"/>
  <c r="F67" i="21"/>
  <c r="E67" i="21"/>
  <c r="D67" i="21"/>
  <c r="C67" i="21"/>
  <c r="B67" i="21"/>
  <c r="A67" i="21"/>
  <c r="BG66" i="21"/>
  <c r="BE66" i="21"/>
  <c r="BF66" i="21" s="1"/>
  <c r="AW66" i="21"/>
  <c r="AX66" i="21" s="1"/>
  <c r="AU66" i="21"/>
  <c r="AV66" i="21" s="1"/>
  <c r="AS66" i="21"/>
  <c r="AT66" i="21" s="1"/>
  <c r="AQ66" i="21"/>
  <c r="AO66" i="21"/>
  <c r="AP66" i="21" s="1"/>
  <c r="AM66" i="21"/>
  <c r="AN66" i="21" s="1"/>
  <c r="AK66" i="21"/>
  <c r="AL66" i="21" s="1"/>
  <c r="AG66" i="21"/>
  <c r="AH66" i="21" s="1"/>
  <c r="AE66" i="21"/>
  <c r="AF66" i="21" s="1"/>
  <c r="AC66" i="21"/>
  <c r="AD66" i="21" s="1"/>
  <c r="AA66" i="21"/>
  <c r="AB66" i="21" s="1"/>
  <c r="W66" i="21"/>
  <c r="U66" i="21"/>
  <c r="V66" i="21" s="1"/>
  <c r="S66" i="21"/>
  <c r="Q66" i="21"/>
  <c r="R66" i="21" s="1"/>
  <c r="P66" i="21"/>
  <c r="O66" i="21"/>
  <c r="N66" i="21"/>
  <c r="M66" i="21"/>
  <c r="L66" i="21"/>
  <c r="K66" i="21"/>
  <c r="J66" i="21"/>
  <c r="I66" i="21"/>
  <c r="H66" i="21"/>
  <c r="G66" i="21"/>
  <c r="F66" i="21"/>
  <c r="E66" i="21"/>
  <c r="D66" i="21"/>
  <c r="C66" i="21"/>
  <c r="B66" i="21"/>
  <c r="A66" i="21"/>
  <c r="BG65" i="21"/>
  <c r="BH65" i="21" s="1"/>
  <c r="BE65" i="21"/>
  <c r="AW65" i="21"/>
  <c r="AX65" i="21" s="1"/>
  <c r="AU65" i="21"/>
  <c r="AS65" i="21"/>
  <c r="AT65" i="21" s="1"/>
  <c r="AQ65" i="21"/>
  <c r="AR65" i="21" s="1"/>
  <c r="AO65" i="21"/>
  <c r="AP65" i="21" s="1"/>
  <c r="AM65" i="21"/>
  <c r="AN65" i="21" s="1"/>
  <c r="AK65" i="21"/>
  <c r="AL65" i="21" s="1"/>
  <c r="AG65" i="21"/>
  <c r="AH65" i="21" s="1"/>
  <c r="AE65" i="21"/>
  <c r="AC65" i="21"/>
  <c r="AA65" i="21"/>
  <c r="AB65" i="21" s="1"/>
  <c r="W65" i="21"/>
  <c r="X65" i="21" s="1"/>
  <c r="U65" i="21"/>
  <c r="V65" i="21" s="1"/>
  <c r="S65" i="21"/>
  <c r="T65" i="21" s="1"/>
  <c r="Q65" i="21"/>
  <c r="P65" i="21"/>
  <c r="O65" i="21"/>
  <c r="N65" i="21"/>
  <c r="M65" i="21"/>
  <c r="L65" i="21"/>
  <c r="K65" i="21"/>
  <c r="J65" i="21"/>
  <c r="I65" i="21"/>
  <c r="H65" i="21"/>
  <c r="G65" i="21"/>
  <c r="F65" i="21"/>
  <c r="E65" i="21"/>
  <c r="D65" i="21"/>
  <c r="C65" i="21"/>
  <c r="B65" i="21"/>
  <c r="A65" i="21"/>
  <c r="BG64" i="21"/>
  <c r="BH64" i="21" s="1"/>
  <c r="BE64" i="21"/>
  <c r="BF64" i="21" s="1"/>
  <c r="AW64" i="21"/>
  <c r="AX64" i="21" s="1"/>
  <c r="AU64" i="21"/>
  <c r="AS64" i="21"/>
  <c r="AT64" i="21" s="1"/>
  <c r="AQ64" i="21"/>
  <c r="AR64" i="21" s="1"/>
  <c r="AO64" i="21"/>
  <c r="AM64" i="21"/>
  <c r="AN64" i="21" s="1"/>
  <c r="AK64" i="21"/>
  <c r="AL64" i="21" s="1"/>
  <c r="AG64" i="21"/>
  <c r="AE64" i="21"/>
  <c r="AF64" i="21" s="1"/>
  <c r="AC64" i="21"/>
  <c r="AA64" i="21"/>
  <c r="AB64" i="21" s="1"/>
  <c r="W64" i="21"/>
  <c r="X64" i="21" s="1"/>
  <c r="U64" i="21"/>
  <c r="V64" i="21" s="1"/>
  <c r="S64" i="21"/>
  <c r="T64" i="21" s="1"/>
  <c r="Q64" i="21"/>
  <c r="R64" i="21" s="1"/>
  <c r="P64" i="21"/>
  <c r="O64" i="21"/>
  <c r="N64" i="21"/>
  <c r="M64" i="21"/>
  <c r="L64" i="21"/>
  <c r="K64" i="21"/>
  <c r="J64" i="21"/>
  <c r="I64" i="21"/>
  <c r="H64" i="21"/>
  <c r="G64" i="21"/>
  <c r="F64" i="21"/>
  <c r="E64" i="21"/>
  <c r="D64" i="21"/>
  <c r="C64" i="21"/>
  <c r="B64" i="21"/>
  <c r="A64" i="21"/>
  <c r="BG63" i="21"/>
  <c r="BE63" i="21"/>
  <c r="BF63" i="21" s="1"/>
  <c r="AW63" i="21"/>
  <c r="AX63" i="21" s="1"/>
  <c r="AU63" i="21"/>
  <c r="AV63" i="21" s="1"/>
  <c r="AS63" i="21"/>
  <c r="AQ63" i="21"/>
  <c r="AR63" i="21" s="1"/>
  <c r="AO63" i="21"/>
  <c r="AP63" i="21" s="1"/>
  <c r="AM63" i="21"/>
  <c r="AK63" i="21"/>
  <c r="AL63" i="21" s="1"/>
  <c r="AG63" i="21"/>
  <c r="AH63" i="21" s="1"/>
  <c r="AE63" i="21"/>
  <c r="AF63" i="21" s="1"/>
  <c r="AC63" i="21"/>
  <c r="AD63" i="21" s="1"/>
  <c r="AJ63" i="21" s="1"/>
  <c r="AA63" i="21"/>
  <c r="W63" i="21"/>
  <c r="X63" i="21" s="1"/>
  <c r="U63" i="21"/>
  <c r="V63" i="21" s="1"/>
  <c r="S63" i="21"/>
  <c r="T63" i="21" s="1"/>
  <c r="Q63" i="21"/>
  <c r="R63" i="21" s="1"/>
  <c r="P63" i="21"/>
  <c r="O63" i="21"/>
  <c r="N63" i="21"/>
  <c r="M63" i="21"/>
  <c r="L63" i="21"/>
  <c r="K63" i="21"/>
  <c r="J63" i="21"/>
  <c r="I63" i="21"/>
  <c r="H63" i="21"/>
  <c r="G63" i="21"/>
  <c r="F63" i="21"/>
  <c r="E63" i="21"/>
  <c r="D63" i="21"/>
  <c r="C63" i="21"/>
  <c r="B63" i="21"/>
  <c r="A63" i="21"/>
  <c r="BG62" i="21"/>
  <c r="BH62" i="21" s="1"/>
  <c r="BE62" i="21"/>
  <c r="BF62" i="21" s="1"/>
  <c r="AW62" i="21"/>
  <c r="AX62" i="21" s="1"/>
  <c r="AU62" i="21"/>
  <c r="AV62" i="21" s="1"/>
  <c r="AS62" i="21"/>
  <c r="AT62" i="21" s="1"/>
  <c r="AQ62" i="21"/>
  <c r="AO62" i="21"/>
  <c r="AP62" i="21" s="1"/>
  <c r="AM62" i="21"/>
  <c r="AK62" i="21"/>
  <c r="AL62" i="21" s="1"/>
  <c r="AG62" i="21"/>
  <c r="AH62" i="21" s="1"/>
  <c r="AE62" i="21"/>
  <c r="AC62" i="21"/>
  <c r="AD62" i="21" s="1"/>
  <c r="AA62" i="21"/>
  <c r="AB62" i="21" s="1"/>
  <c r="W62" i="21"/>
  <c r="U62" i="21"/>
  <c r="V62" i="21" s="1"/>
  <c r="S62" i="21"/>
  <c r="T62" i="21" s="1"/>
  <c r="Q62" i="21"/>
  <c r="R62" i="21" s="1"/>
  <c r="P62" i="21"/>
  <c r="O62" i="21"/>
  <c r="N62" i="21"/>
  <c r="M62" i="21"/>
  <c r="L62" i="21"/>
  <c r="K62" i="21"/>
  <c r="J62" i="21"/>
  <c r="I62" i="21"/>
  <c r="H62" i="21"/>
  <c r="G62" i="21"/>
  <c r="F62" i="21"/>
  <c r="E62" i="21"/>
  <c r="D62" i="21"/>
  <c r="C62" i="21"/>
  <c r="B62" i="21"/>
  <c r="A62" i="21"/>
  <c r="BG61" i="21"/>
  <c r="BH61" i="21" s="1"/>
  <c r="BE61" i="21"/>
  <c r="BF61" i="21" s="1"/>
  <c r="AW61" i="21"/>
  <c r="AU61" i="21"/>
  <c r="AS61" i="21"/>
  <c r="AT61" i="21" s="1"/>
  <c r="AQ61" i="21"/>
  <c r="AR61" i="21" s="1"/>
  <c r="AO61" i="21"/>
  <c r="AP61" i="21" s="1"/>
  <c r="AM61" i="21"/>
  <c r="AN61" i="21" s="1"/>
  <c r="AK61" i="21"/>
  <c r="AG61" i="21"/>
  <c r="AH61" i="21" s="1"/>
  <c r="AE61" i="21"/>
  <c r="AF61" i="21" s="1"/>
  <c r="AC61" i="21"/>
  <c r="AA61" i="21"/>
  <c r="AB61" i="21" s="1"/>
  <c r="W61" i="21"/>
  <c r="U61" i="21"/>
  <c r="V61" i="21" s="1"/>
  <c r="S61" i="21"/>
  <c r="T61" i="21" s="1"/>
  <c r="Q61" i="21"/>
  <c r="P61" i="21"/>
  <c r="O61" i="21"/>
  <c r="N61" i="21"/>
  <c r="M61" i="21"/>
  <c r="L61" i="21"/>
  <c r="K61" i="21"/>
  <c r="J61" i="21"/>
  <c r="I61" i="21"/>
  <c r="H61" i="21"/>
  <c r="G61" i="21"/>
  <c r="F61" i="21"/>
  <c r="E61" i="21"/>
  <c r="D61" i="21"/>
  <c r="C61" i="21"/>
  <c r="B61" i="21"/>
  <c r="A61" i="21"/>
  <c r="BG60" i="21"/>
  <c r="BH60" i="21" s="1"/>
  <c r="BE60" i="21"/>
  <c r="BF60" i="21" s="1"/>
  <c r="AW60" i="21"/>
  <c r="AX60" i="21" s="1"/>
  <c r="AU60" i="21"/>
  <c r="AS60" i="21"/>
  <c r="AT60" i="21" s="1"/>
  <c r="AQ60" i="21"/>
  <c r="AR60" i="21" s="1"/>
  <c r="AO60" i="21"/>
  <c r="AP60" i="21" s="1"/>
  <c r="AM60" i="21"/>
  <c r="AN60" i="21" s="1"/>
  <c r="AK60" i="21"/>
  <c r="AL60" i="21" s="1"/>
  <c r="AG60" i="21"/>
  <c r="AE60" i="21"/>
  <c r="AF60" i="21" s="1"/>
  <c r="AC60" i="21"/>
  <c r="AD60" i="21" s="1"/>
  <c r="AA60" i="21"/>
  <c r="AB60" i="21" s="1"/>
  <c r="W60" i="21"/>
  <c r="X60" i="21" s="1"/>
  <c r="U60" i="21"/>
  <c r="S60" i="21"/>
  <c r="T60" i="21" s="1"/>
  <c r="Q60" i="21"/>
  <c r="R60" i="21" s="1"/>
  <c r="P60" i="21"/>
  <c r="O60" i="21"/>
  <c r="N60" i="21"/>
  <c r="M60" i="21"/>
  <c r="L60" i="21"/>
  <c r="K60" i="21"/>
  <c r="J60" i="21"/>
  <c r="I60" i="21"/>
  <c r="H60" i="21"/>
  <c r="G60" i="21"/>
  <c r="F60" i="21"/>
  <c r="E60" i="21"/>
  <c r="D60" i="21"/>
  <c r="C60" i="21"/>
  <c r="B60" i="21"/>
  <c r="A60" i="21"/>
  <c r="BG59" i="21"/>
  <c r="BE59" i="21"/>
  <c r="BF59" i="21" s="1"/>
  <c r="AW59" i="21"/>
  <c r="AX59" i="21" s="1"/>
  <c r="AU59" i="21"/>
  <c r="AV59" i="21" s="1"/>
  <c r="AS59" i="21"/>
  <c r="AQ59" i="21"/>
  <c r="AR59" i="21" s="1"/>
  <c r="AO59" i="21"/>
  <c r="AP59" i="21" s="1"/>
  <c r="AM59" i="21"/>
  <c r="AK59" i="21"/>
  <c r="AL59" i="21" s="1"/>
  <c r="AG59" i="21"/>
  <c r="AH59" i="21" s="1"/>
  <c r="AE59" i="21"/>
  <c r="AF59" i="21" s="1"/>
  <c r="AC59" i="21"/>
  <c r="AD59" i="21" s="1"/>
  <c r="AA59" i="21"/>
  <c r="W59" i="21"/>
  <c r="X59" i="21" s="1"/>
  <c r="U59" i="21"/>
  <c r="V59" i="21" s="1"/>
  <c r="S59" i="21"/>
  <c r="Q59" i="21"/>
  <c r="R59" i="21" s="1"/>
  <c r="P59" i="21"/>
  <c r="O59" i="21"/>
  <c r="N59" i="21"/>
  <c r="M59" i="21"/>
  <c r="L59" i="21"/>
  <c r="K59" i="21"/>
  <c r="J59" i="21"/>
  <c r="I59" i="21"/>
  <c r="H59" i="21"/>
  <c r="G59" i="21"/>
  <c r="F59" i="21"/>
  <c r="E59" i="21"/>
  <c r="D59" i="21"/>
  <c r="C59" i="21"/>
  <c r="B59" i="21"/>
  <c r="A59" i="21"/>
  <c r="BG58" i="21"/>
  <c r="BE58" i="21"/>
  <c r="BF58" i="21" s="1"/>
  <c r="AW58" i="21"/>
  <c r="AX58" i="21" s="1"/>
  <c r="AU58" i="21"/>
  <c r="AV58" i="21" s="1"/>
  <c r="AS58" i="21"/>
  <c r="AT58" i="21" s="1"/>
  <c r="AQ58" i="21"/>
  <c r="AO58" i="21"/>
  <c r="AP58" i="21" s="1"/>
  <c r="AM58" i="21"/>
  <c r="AN58" i="21" s="1"/>
  <c r="AK58" i="21"/>
  <c r="AL58" i="21" s="1"/>
  <c r="AG58" i="21"/>
  <c r="AH58" i="21" s="1"/>
  <c r="AE58" i="21"/>
  <c r="AF58" i="21" s="1"/>
  <c r="AC58" i="21"/>
  <c r="AD58" i="21" s="1"/>
  <c r="AA58" i="21"/>
  <c r="W58" i="21"/>
  <c r="U58" i="21"/>
  <c r="V58" i="21" s="1"/>
  <c r="S58" i="21"/>
  <c r="T58" i="21" s="1"/>
  <c r="Q58" i="21"/>
  <c r="R58" i="21" s="1"/>
  <c r="P58" i="21"/>
  <c r="O58" i="21"/>
  <c r="N58" i="21"/>
  <c r="M58" i="21"/>
  <c r="L58" i="21"/>
  <c r="K58" i="21"/>
  <c r="J58" i="21"/>
  <c r="I58" i="21"/>
  <c r="H58" i="21"/>
  <c r="G58" i="21"/>
  <c r="F58" i="21"/>
  <c r="E58" i="21"/>
  <c r="D58" i="21"/>
  <c r="C58" i="21"/>
  <c r="B58" i="21"/>
  <c r="A58" i="21"/>
  <c r="BG57" i="21"/>
  <c r="BH57" i="21" s="1"/>
  <c r="BE57" i="21"/>
  <c r="AW57" i="21"/>
  <c r="AX57" i="21" s="1"/>
  <c r="AU57" i="21"/>
  <c r="AS57" i="21"/>
  <c r="AT57" i="21" s="1"/>
  <c r="AQ57" i="21"/>
  <c r="AO57" i="21"/>
  <c r="AP57" i="21" s="1"/>
  <c r="AM57" i="21"/>
  <c r="AN57" i="21" s="1"/>
  <c r="AK57" i="21"/>
  <c r="AG57" i="21"/>
  <c r="AH57" i="21" s="1"/>
  <c r="AE57" i="21"/>
  <c r="AF57" i="21" s="1"/>
  <c r="AC57" i="21"/>
  <c r="AA57" i="21"/>
  <c r="AB57" i="21" s="1"/>
  <c r="W57" i="21"/>
  <c r="U57" i="21"/>
  <c r="V57" i="21" s="1"/>
  <c r="S57" i="21"/>
  <c r="T57" i="21" s="1"/>
  <c r="Q57" i="21"/>
  <c r="R57" i="21" s="1"/>
  <c r="P57" i="21"/>
  <c r="O57" i="21"/>
  <c r="N57" i="21"/>
  <c r="M57" i="21"/>
  <c r="L57" i="21"/>
  <c r="K57" i="21"/>
  <c r="J57" i="21"/>
  <c r="I57" i="21"/>
  <c r="H57" i="21"/>
  <c r="G57" i="21"/>
  <c r="F57" i="21"/>
  <c r="E57" i="21"/>
  <c r="D57" i="21"/>
  <c r="C57" i="21"/>
  <c r="B57" i="21"/>
  <c r="A57" i="21"/>
  <c r="BG56" i="21"/>
  <c r="BH56" i="21" s="1"/>
  <c r="BE56" i="21"/>
  <c r="BF56" i="21" s="1"/>
  <c r="AW56" i="21"/>
  <c r="AU56" i="21"/>
  <c r="AV56" i="21" s="1"/>
  <c r="AS56" i="21"/>
  <c r="AT56" i="21" s="1"/>
  <c r="AQ56" i="21"/>
  <c r="AR56" i="21" s="1"/>
  <c r="AO56" i="21"/>
  <c r="AM56" i="21"/>
  <c r="AN56" i="21" s="1"/>
  <c r="AK56" i="21"/>
  <c r="AG56" i="21"/>
  <c r="AH56" i="21" s="1"/>
  <c r="AE56" i="21"/>
  <c r="AF56" i="21" s="1"/>
  <c r="AC56" i="21"/>
  <c r="AD56" i="21" s="1"/>
  <c r="AA56" i="21"/>
  <c r="AB56" i="21" s="1"/>
  <c r="W56" i="21"/>
  <c r="U56" i="21"/>
  <c r="V56" i="21" s="1"/>
  <c r="S56" i="21"/>
  <c r="T56" i="21" s="1"/>
  <c r="Q56" i="21"/>
  <c r="R56" i="21" s="1"/>
  <c r="P56" i="21"/>
  <c r="O56" i="21"/>
  <c r="N56" i="21"/>
  <c r="M56" i="21"/>
  <c r="L56" i="21"/>
  <c r="K56" i="21"/>
  <c r="J56" i="21"/>
  <c r="I56" i="21"/>
  <c r="H56" i="21"/>
  <c r="G56" i="21"/>
  <c r="F56" i="21"/>
  <c r="E56" i="21"/>
  <c r="D56" i="21"/>
  <c r="C56" i="21"/>
  <c r="B56" i="21"/>
  <c r="A56" i="21"/>
  <c r="BG55" i="21"/>
  <c r="BE55" i="21"/>
  <c r="BF55" i="21" s="1"/>
  <c r="AW55" i="21"/>
  <c r="AX55" i="21" s="1"/>
  <c r="AU55" i="21"/>
  <c r="AV55" i="21" s="1"/>
  <c r="AS55" i="21"/>
  <c r="AQ55" i="21"/>
  <c r="AO55" i="21"/>
  <c r="AP55" i="21" s="1"/>
  <c r="AM55" i="21"/>
  <c r="AK55" i="21"/>
  <c r="AL55" i="21" s="1"/>
  <c r="AG55" i="21"/>
  <c r="AE55" i="21"/>
  <c r="AF55" i="21" s="1"/>
  <c r="AC55" i="21"/>
  <c r="AA55" i="21"/>
  <c r="AB55" i="21" s="1"/>
  <c r="W55" i="21"/>
  <c r="X55" i="21" s="1"/>
  <c r="U55" i="21"/>
  <c r="V55" i="21" s="1"/>
  <c r="S55" i="21"/>
  <c r="T55" i="21" s="1"/>
  <c r="Q55" i="21"/>
  <c r="R55" i="21" s="1"/>
  <c r="P55" i="21"/>
  <c r="O55" i="21"/>
  <c r="N55" i="21"/>
  <c r="M55" i="21"/>
  <c r="L55" i="21"/>
  <c r="K55" i="21"/>
  <c r="J55" i="21"/>
  <c r="I55" i="21"/>
  <c r="H55" i="21"/>
  <c r="G55" i="21"/>
  <c r="F55" i="21"/>
  <c r="E55" i="21"/>
  <c r="D55" i="21"/>
  <c r="C55" i="21"/>
  <c r="B55" i="21"/>
  <c r="A55" i="21"/>
  <c r="BG54" i="21"/>
  <c r="BH54" i="21" s="1"/>
  <c r="BE54" i="21"/>
  <c r="AW54" i="21"/>
  <c r="AU54" i="21"/>
  <c r="AS54" i="21"/>
  <c r="AT54" i="21" s="1"/>
  <c r="AQ54" i="21"/>
  <c r="AO54" i="21"/>
  <c r="AP54" i="21" s="1"/>
  <c r="AM54" i="21"/>
  <c r="AN54" i="21" s="1"/>
  <c r="AK54" i="21"/>
  <c r="AL54" i="21" s="1"/>
  <c r="AG54" i="21"/>
  <c r="AH54" i="21" s="1"/>
  <c r="AE54" i="21"/>
  <c r="AF54" i="21" s="1"/>
  <c r="AC54" i="21"/>
  <c r="AD54" i="21" s="1"/>
  <c r="AA54" i="21"/>
  <c r="W54" i="21"/>
  <c r="X54" i="21" s="1"/>
  <c r="U54" i="21"/>
  <c r="V54" i="21" s="1"/>
  <c r="S54" i="21"/>
  <c r="Q54" i="21"/>
  <c r="R54" i="21" s="1"/>
  <c r="P54" i="21"/>
  <c r="O54" i="21"/>
  <c r="N54" i="21"/>
  <c r="M54" i="21"/>
  <c r="L54" i="21"/>
  <c r="K54" i="21"/>
  <c r="J54" i="21"/>
  <c r="I54" i="21"/>
  <c r="H54" i="21"/>
  <c r="G54" i="21"/>
  <c r="F54" i="21"/>
  <c r="E54" i="21"/>
  <c r="D54" i="21"/>
  <c r="C54" i="21"/>
  <c r="B54" i="21"/>
  <c r="A54" i="21"/>
  <c r="BG53" i="21"/>
  <c r="BH53" i="21" s="1"/>
  <c r="BE53" i="21"/>
  <c r="AW53" i="21"/>
  <c r="AX53" i="21" s="1"/>
  <c r="AU53" i="21"/>
  <c r="AV53" i="21" s="1"/>
  <c r="AS53" i="21"/>
  <c r="AT53" i="21" s="1"/>
  <c r="AQ53" i="21"/>
  <c r="AR53" i="21" s="1"/>
  <c r="AO53" i="21"/>
  <c r="AP53" i="21" s="1"/>
  <c r="AM53" i="21"/>
  <c r="AN53" i="21" s="1"/>
  <c r="AK53" i="21"/>
  <c r="AG53" i="21"/>
  <c r="AH53" i="21" s="1"/>
  <c r="AE53" i="21"/>
  <c r="AF53" i="21" s="1"/>
  <c r="AC53" i="21"/>
  <c r="AA53" i="21"/>
  <c r="AB53" i="21" s="1"/>
  <c r="W53" i="21"/>
  <c r="X53" i="21" s="1"/>
  <c r="U53" i="21"/>
  <c r="V53" i="21" s="1"/>
  <c r="S53" i="21"/>
  <c r="T53" i="21" s="1"/>
  <c r="Q53" i="21"/>
  <c r="P53" i="21"/>
  <c r="O53" i="21"/>
  <c r="N53" i="21"/>
  <c r="M53" i="21"/>
  <c r="L53" i="21"/>
  <c r="K53" i="21"/>
  <c r="J53" i="21"/>
  <c r="I53" i="21"/>
  <c r="H53" i="21"/>
  <c r="G53" i="21"/>
  <c r="F53" i="21"/>
  <c r="E53" i="21"/>
  <c r="D53" i="21"/>
  <c r="C53" i="21"/>
  <c r="B53" i="21"/>
  <c r="A53" i="21"/>
  <c r="BG52" i="21"/>
  <c r="BE52" i="21"/>
  <c r="BF52" i="21" s="1"/>
  <c r="AW52" i="21"/>
  <c r="AX52" i="21" s="1"/>
  <c r="AU52" i="21"/>
  <c r="AV52" i="21" s="1"/>
  <c r="AS52" i="21"/>
  <c r="AT52" i="21" s="1"/>
  <c r="AQ52" i="21"/>
  <c r="AR52" i="21" s="1"/>
  <c r="AO52" i="21"/>
  <c r="AM52" i="21"/>
  <c r="AN52" i="21" s="1"/>
  <c r="AK52" i="21"/>
  <c r="AL52" i="21" s="1"/>
  <c r="AG52" i="21"/>
  <c r="AE52" i="21"/>
  <c r="AF52" i="21" s="1"/>
  <c r="AC52" i="21"/>
  <c r="AD52" i="21" s="1"/>
  <c r="AA52" i="21"/>
  <c r="AB52" i="21" s="1"/>
  <c r="W52" i="21"/>
  <c r="X52" i="21" s="1"/>
  <c r="U52" i="21"/>
  <c r="S52" i="21"/>
  <c r="Q52" i="21"/>
  <c r="R52" i="21" s="1"/>
  <c r="P52" i="21"/>
  <c r="O52" i="21"/>
  <c r="N52" i="21"/>
  <c r="M52" i="21"/>
  <c r="L52" i="21"/>
  <c r="K52" i="21"/>
  <c r="J52" i="21"/>
  <c r="I52" i="21"/>
  <c r="H52" i="21"/>
  <c r="G52" i="21"/>
  <c r="F52" i="21"/>
  <c r="E52" i="21"/>
  <c r="D52" i="21"/>
  <c r="C52" i="21"/>
  <c r="B52" i="21"/>
  <c r="A52" i="21"/>
  <c r="BG51" i="21"/>
  <c r="BE51" i="21"/>
  <c r="BF51" i="21" s="1"/>
  <c r="AW51" i="21"/>
  <c r="AX51" i="21" s="1"/>
  <c r="AU51" i="21"/>
  <c r="AV51" i="21" s="1"/>
  <c r="AS51" i="21"/>
  <c r="AQ51" i="21"/>
  <c r="AR51" i="21" s="1"/>
  <c r="AO51" i="21"/>
  <c r="AP51" i="21" s="1"/>
  <c r="AM51" i="21"/>
  <c r="AK51" i="21"/>
  <c r="AL51" i="21" s="1"/>
  <c r="AG51" i="21"/>
  <c r="AH51" i="21" s="1"/>
  <c r="AE51" i="21"/>
  <c r="AF51" i="21" s="1"/>
  <c r="AC51" i="21"/>
  <c r="AD51" i="21" s="1"/>
  <c r="AA51" i="21"/>
  <c r="W51" i="21"/>
  <c r="U51" i="21"/>
  <c r="V51" i="21" s="1"/>
  <c r="S51" i="21"/>
  <c r="Q51" i="21"/>
  <c r="R51" i="21" s="1"/>
  <c r="P51" i="21"/>
  <c r="O51" i="21"/>
  <c r="N51" i="21"/>
  <c r="M51" i="21"/>
  <c r="L51" i="21"/>
  <c r="K51" i="21"/>
  <c r="J51" i="21"/>
  <c r="I51" i="21"/>
  <c r="H51" i="21"/>
  <c r="G51" i="21"/>
  <c r="F51" i="21"/>
  <c r="E51" i="21"/>
  <c r="D51" i="21"/>
  <c r="C51" i="21"/>
  <c r="B51" i="21"/>
  <c r="A51" i="21"/>
  <c r="BG50" i="21"/>
  <c r="BH50" i="21" s="1"/>
  <c r="BE50" i="21"/>
  <c r="BF50" i="21" s="1"/>
  <c r="AW50" i="21"/>
  <c r="AX50" i="21" s="1"/>
  <c r="AU50" i="21"/>
  <c r="AV50" i="21" s="1"/>
  <c r="AS50" i="21"/>
  <c r="AT50" i="21" s="1"/>
  <c r="AQ50" i="21"/>
  <c r="AO50" i="21"/>
  <c r="AP50" i="21" s="1"/>
  <c r="AM50" i="21"/>
  <c r="AN50" i="21" s="1"/>
  <c r="AK50" i="21"/>
  <c r="AL50" i="21" s="1"/>
  <c r="AG50" i="21"/>
  <c r="AH50" i="21" s="1"/>
  <c r="AE50" i="21"/>
  <c r="AC50" i="21"/>
  <c r="AA50" i="21"/>
  <c r="AB50" i="21" s="1"/>
  <c r="W50" i="21"/>
  <c r="U50" i="21"/>
  <c r="V50" i="21" s="1"/>
  <c r="S50" i="21"/>
  <c r="T50" i="21" s="1"/>
  <c r="Q50" i="21"/>
  <c r="R50" i="21" s="1"/>
  <c r="P50" i="21"/>
  <c r="O50" i="21"/>
  <c r="N50" i="21"/>
  <c r="M50" i="21"/>
  <c r="L50" i="21"/>
  <c r="K50" i="21"/>
  <c r="J50" i="21"/>
  <c r="I50" i="21"/>
  <c r="H50" i="21"/>
  <c r="G50" i="21"/>
  <c r="F50" i="21"/>
  <c r="E50" i="21"/>
  <c r="D50" i="21"/>
  <c r="C50" i="21"/>
  <c r="B50" i="21"/>
  <c r="A50" i="21"/>
  <c r="BG49" i="21"/>
  <c r="BH49" i="21" s="1"/>
  <c r="BE49" i="21"/>
  <c r="AW49" i="21"/>
  <c r="AX49" i="21" s="1"/>
  <c r="AU49" i="21"/>
  <c r="AS49" i="21"/>
  <c r="AT49" i="21" s="1"/>
  <c r="AQ49" i="21"/>
  <c r="AR49" i="21" s="1"/>
  <c r="AO49" i="21"/>
  <c r="AP49" i="21" s="1"/>
  <c r="AM49" i="21"/>
  <c r="AN49" i="21" s="1"/>
  <c r="AK49" i="21"/>
  <c r="AG49" i="21"/>
  <c r="AE49" i="21"/>
  <c r="AF49" i="21" s="1"/>
  <c r="AC49" i="21"/>
  <c r="AA49" i="21"/>
  <c r="AB49" i="21" s="1"/>
  <c r="W49" i="21"/>
  <c r="X49" i="21" s="1"/>
  <c r="U49" i="21"/>
  <c r="V49" i="21" s="1"/>
  <c r="S49" i="21"/>
  <c r="T49" i="21" s="1"/>
  <c r="Q49" i="21"/>
  <c r="P49" i="21"/>
  <c r="O49" i="21"/>
  <c r="N49" i="21"/>
  <c r="M49" i="21"/>
  <c r="L49" i="21"/>
  <c r="K49" i="21"/>
  <c r="J49" i="21"/>
  <c r="I49" i="21"/>
  <c r="H49" i="21"/>
  <c r="G49" i="21"/>
  <c r="F49" i="21"/>
  <c r="E49" i="21"/>
  <c r="D49" i="21"/>
  <c r="C49" i="21"/>
  <c r="B49" i="21"/>
  <c r="A49" i="21"/>
  <c r="BG48" i="21"/>
  <c r="BH48" i="21" s="1"/>
  <c r="BE48" i="21"/>
  <c r="BF48" i="21" s="1"/>
  <c r="AW48" i="21"/>
  <c r="AU48" i="21"/>
  <c r="AV48" i="21" s="1"/>
  <c r="AS48" i="21"/>
  <c r="AT48" i="21" s="1"/>
  <c r="AQ48" i="21"/>
  <c r="AR48" i="21" s="1"/>
  <c r="AO48" i="21"/>
  <c r="AM48" i="21"/>
  <c r="AK48" i="21"/>
  <c r="AL48" i="21" s="1"/>
  <c r="AG48" i="21"/>
  <c r="AE48" i="21"/>
  <c r="AF48" i="21" s="1"/>
  <c r="AC48" i="21"/>
  <c r="AD48" i="21" s="1"/>
  <c r="AA48" i="21"/>
  <c r="AB48" i="21" s="1"/>
  <c r="W48" i="21"/>
  <c r="X48" i="21" s="1"/>
  <c r="U48" i="21"/>
  <c r="S48" i="21"/>
  <c r="T48" i="21" s="1"/>
  <c r="Q48" i="21"/>
  <c r="R48" i="21" s="1"/>
  <c r="P48" i="21"/>
  <c r="O48" i="21"/>
  <c r="N48" i="21"/>
  <c r="M48" i="21"/>
  <c r="L48" i="21"/>
  <c r="K48" i="21"/>
  <c r="J48" i="21"/>
  <c r="I48" i="21"/>
  <c r="H48" i="21"/>
  <c r="G48" i="21"/>
  <c r="F48" i="21"/>
  <c r="E48" i="21"/>
  <c r="D48" i="21"/>
  <c r="C48" i="21"/>
  <c r="B48" i="21"/>
  <c r="A48" i="21"/>
  <c r="BG47" i="21"/>
  <c r="BE47" i="21"/>
  <c r="BF47" i="21" s="1"/>
  <c r="AW47" i="21"/>
  <c r="AX47" i="21" s="1"/>
  <c r="AU47" i="21"/>
  <c r="AV47" i="21" s="1"/>
  <c r="AS47" i="21"/>
  <c r="AT47" i="21" s="1"/>
  <c r="AQ47" i="21"/>
  <c r="AO47" i="21"/>
  <c r="AP47" i="21" s="1"/>
  <c r="AM47" i="21"/>
  <c r="AK47" i="21"/>
  <c r="AL47" i="21" s="1"/>
  <c r="AG47" i="21"/>
  <c r="AH47" i="21" s="1"/>
  <c r="AE47" i="21"/>
  <c r="AF47" i="21" s="1"/>
  <c r="AC47" i="21"/>
  <c r="AD47" i="21" s="1"/>
  <c r="AJ47" i="21" s="1"/>
  <c r="AA47" i="21"/>
  <c r="W47" i="21"/>
  <c r="X47" i="21" s="1"/>
  <c r="U47" i="21"/>
  <c r="V47" i="21" s="1"/>
  <c r="S47" i="21"/>
  <c r="Q47" i="21"/>
  <c r="R47" i="21" s="1"/>
  <c r="P47" i="21"/>
  <c r="O47" i="21"/>
  <c r="N47" i="21"/>
  <c r="M47" i="21"/>
  <c r="L47" i="21"/>
  <c r="K47" i="21"/>
  <c r="J47" i="21"/>
  <c r="I47" i="21"/>
  <c r="H47" i="21"/>
  <c r="G47" i="21"/>
  <c r="F47" i="21"/>
  <c r="E47" i="21"/>
  <c r="D47" i="21"/>
  <c r="C47" i="21"/>
  <c r="B47" i="21"/>
  <c r="A47" i="21"/>
  <c r="BG46" i="21"/>
  <c r="BH46" i="21" s="1"/>
  <c r="BE46" i="21"/>
  <c r="BF46" i="21" s="1"/>
  <c r="AW46" i="21"/>
  <c r="AX46" i="21" s="1"/>
  <c r="AU46" i="21"/>
  <c r="AS46" i="21"/>
  <c r="AT46" i="21" s="1"/>
  <c r="AQ46" i="21"/>
  <c r="AO46" i="21"/>
  <c r="AP46" i="21" s="1"/>
  <c r="AM46" i="21"/>
  <c r="AN46" i="21" s="1"/>
  <c r="AK46" i="21"/>
  <c r="AL46" i="21" s="1"/>
  <c r="AG46" i="21"/>
  <c r="AH46" i="21" s="1"/>
  <c r="AE46" i="21"/>
  <c r="AC46" i="21"/>
  <c r="AD46" i="21" s="1"/>
  <c r="AA46" i="21"/>
  <c r="AB46" i="21" s="1"/>
  <c r="W46" i="21"/>
  <c r="U46" i="21"/>
  <c r="V46" i="21" s="1"/>
  <c r="S46" i="21"/>
  <c r="T46" i="21" s="1"/>
  <c r="Q46" i="21"/>
  <c r="R46" i="21" s="1"/>
  <c r="P46" i="21"/>
  <c r="O46" i="21"/>
  <c r="N46" i="21"/>
  <c r="M46" i="21"/>
  <c r="L46" i="21"/>
  <c r="K46" i="21"/>
  <c r="J46" i="21"/>
  <c r="I46" i="21"/>
  <c r="H46" i="21"/>
  <c r="G46" i="21"/>
  <c r="F46" i="21"/>
  <c r="E46" i="21"/>
  <c r="D46" i="21"/>
  <c r="C46" i="21"/>
  <c r="B46" i="21"/>
  <c r="A46" i="21"/>
  <c r="BG45" i="21"/>
  <c r="BH45" i="21" s="1"/>
  <c r="BE45" i="21"/>
  <c r="BF45" i="21" s="1"/>
  <c r="AW45" i="21"/>
  <c r="AX45" i="21" s="1"/>
  <c r="AU45" i="21"/>
  <c r="AS45" i="21"/>
  <c r="AT45" i="21" s="1"/>
  <c r="AQ45" i="21"/>
  <c r="AR45" i="21" s="1"/>
  <c r="AO45" i="21"/>
  <c r="AP45" i="21" s="1"/>
  <c r="AM45" i="21"/>
  <c r="AN45" i="21" s="1"/>
  <c r="AK45" i="21"/>
  <c r="AG45" i="21"/>
  <c r="AH45" i="21" s="1"/>
  <c r="AE45" i="21"/>
  <c r="AF45" i="21" s="1"/>
  <c r="AC45" i="21"/>
  <c r="AA45" i="21"/>
  <c r="AB45" i="21" s="1"/>
  <c r="W45" i="21"/>
  <c r="X45" i="21" s="1"/>
  <c r="U45" i="21"/>
  <c r="V45" i="21" s="1"/>
  <c r="S45" i="21"/>
  <c r="T45" i="21" s="1"/>
  <c r="Q45" i="21"/>
  <c r="P45" i="21"/>
  <c r="O45" i="21"/>
  <c r="N45" i="21"/>
  <c r="M45" i="21"/>
  <c r="L45" i="21"/>
  <c r="K45" i="21"/>
  <c r="J45" i="21"/>
  <c r="I45" i="21"/>
  <c r="H45" i="21"/>
  <c r="G45" i="21"/>
  <c r="F45" i="21"/>
  <c r="E45" i="21"/>
  <c r="D45" i="21"/>
  <c r="C45" i="21"/>
  <c r="B45" i="21"/>
  <c r="A45" i="21"/>
  <c r="BG44" i="21"/>
  <c r="BE44" i="21"/>
  <c r="BF44" i="21" s="1"/>
  <c r="AW44" i="21"/>
  <c r="AX44" i="21" s="1"/>
  <c r="AU44" i="21"/>
  <c r="AV44" i="21" s="1"/>
  <c r="AS44" i="21"/>
  <c r="AT44" i="21" s="1"/>
  <c r="AQ44" i="21"/>
  <c r="AR44" i="21" s="1"/>
  <c r="AO44" i="21"/>
  <c r="AM44" i="21"/>
  <c r="AN44" i="21" s="1"/>
  <c r="AK44" i="21"/>
  <c r="AL44" i="21" s="1"/>
  <c r="AG44" i="21"/>
  <c r="AE44" i="21"/>
  <c r="AF44" i="21" s="1"/>
  <c r="AC44" i="21"/>
  <c r="AD44" i="21" s="1"/>
  <c r="AA44" i="21"/>
  <c r="AB44" i="21" s="1"/>
  <c r="W44" i="21"/>
  <c r="X44" i="21" s="1"/>
  <c r="U44" i="21"/>
  <c r="S44" i="21"/>
  <c r="T44" i="21" s="1"/>
  <c r="Q44" i="21"/>
  <c r="R44" i="21" s="1"/>
  <c r="P44" i="21"/>
  <c r="O44" i="21"/>
  <c r="N44" i="21"/>
  <c r="M44" i="21"/>
  <c r="L44" i="21"/>
  <c r="K44" i="21"/>
  <c r="J44" i="21"/>
  <c r="I44" i="21"/>
  <c r="H44" i="21"/>
  <c r="G44" i="21"/>
  <c r="F44" i="21"/>
  <c r="E44" i="21"/>
  <c r="D44" i="21"/>
  <c r="C44" i="21"/>
  <c r="B44" i="21"/>
  <c r="A44" i="21"/>
  <c r="BG43" i="21"/>
  <c r="BE43" i="21"/>
  <c r="BF43" i="21" s="1"/>
  <c r="AW43" i="21"/>
  <c r="AX43" i="21" s="1"/>
  <c r="AU43" i="21"/>
  <c r="AV43" i="21" s="1"/>
  <c r="AS43" i="21"/>
  <c r="AQ43" i="21"/>
  <c r="AR43" i="21" s="1"/>
  <c r="AO43" i="21"/>
  <c r="AP43" i="21" s="1"/>
  <c r="AM43" i="21"/>
  <c r="AK43" i="21"/>
  <c r="AL43" i="21" s="1"/>
  <c r="AG43" i="21"/>
  <c r="AH43" i="21" s="1"/>
  <c r="AE43" i="21"/>
  <c r="AF43" i="21" s="1"/>
  <c r="AC43" i="21"/>
  <c r="AD43" i="21" s="1"/>
  <c r="AA43" i="21"/>
  <c r="W43" i="21"/>
  <c r="X43" i="21" s="1"/>
  <c r="U43" i="21"/>
  <c r="V43" i="21" s="1"/>
  <c r="S43" i="21"/>
  <c r="Q43" i="21"/>
  <c r="R43" i="21" s="1"/>
  <c r="P43" i="21"/>
  <c r="O43" i="21"/>
  <c r="N43" i="21"/>
  <c r="M43" i="21"/>
  <c r="L43" i="21"/>
  <c r="K43" i="21"/>
  <c r="J43" i="21"/>
  <c r="I43" i="21"/>
  <c r="H43" i="21"/>
  <c r="G43" i="21"/>
  <c r="F43" i="21"/>
  <c r="E43" i="21"/>
  <c r="D43" i="21"/>
  <c r="C43" i="21"/>
  <c r="B43" i="21"/>
  <c r="A43" i="21"/>
  <c r="BG42" i="21"/>
  <c r="BH42" i="21" s="1"/>
  <c r="BE42" i="21"/>
  <c r="BF42" i="21" s="1"/>
  <c r="AW42" i="21"/>
  <c r="AX42" i="21" s="1"/>
  <c r="AU42" i="21"/>
  <c r="AV42" i="21" s="1"/>
  <c r="AS42" i="21"/>
  <c r="AT42" i="21" s="1"/>
  <c r="AQ42" i="21"/>
  <c r="AO42" i="21"/>
  <c r="AP42" i="21" s="1"/>
  <c r="AM42" i="21"/>
  <c r="AN42" i="21" s="1"/>
  <c r="AK42" i="21"/>
  <c r="AL42" i="21" s="1"/>
  <c r="AG42" i="21"/>
  <c r="AH42" i="21" s="1"/>
  <c r="AE42" i="21"/>
  <c r="AC42" i="21"/>
  <c r="AD42" i="21" s="1"/>
  <c r="AA42" i="21"/>
  <c r="AB42" i="21" s="1"/>
  <c r="W42" i="21"/>
  <c r="U42" i="21"/>
  <c r="V42" i="21" s="1"/>
  <c r="S42" i="21"/>
  <c r="T42" i="21" s="1"/>
  <c r="Q42" i="21"/>
  <c r="R42" i="21" s="1"/>
  <c r="P42" i="21"/>
  <c r="O42" i="21"/>
  <c r="N42" i="21"/>
  <c r="M42" i="21"/>
  <c r="L42" i="21"/>
  <c r="K42" i="21"/>
  <c r="J42" i="21"/>
  <c r="I42" i="21"/>
  <c r="H42" i="21"/>
  <c r="G42" i="21"/>
  <c r="F42" i="21"/>
  <c r="E42" i="21"/>
  <c r="D42" i="21"/>
  <c r="C42" i="21"/>
  <c r="B42" i="21"/>
  <c r="A42" i="21"/>
  <c r="BG41" i="21"/>
  <c r="BH41" i="21" s="1"/>
  <c r="BE41" i="21"/>
  <c r="AW41" i="21"/>
  <c r="AX41" i="21" s="1"/>
  <c r="AU41" i="21"/>
  <c r="AS41" i="21"/>
  <c r="AT41" i="21" s="1"/>
  <c r="AQ41" i="21"/>
  <c r="AR41" i="21" s="1"/>
  <c r="AO41" i="21"/>
  <c r="AP41" i="21" s="1"/>
  <c r="AM41" i="21"/>
  <c r="AN41" i="21" s="1"/>
  <c r="AK41" i="21"/>
  <c r="AG41" i="21"/>
  <c r="AH41" i="21" s="1"/>
  <c r="AE41" i="21"/>
  <c r="AF41" i="21" s="1"/>
  <c r="AC41" i="21"/>
  <c r="AA41" i="21"/>
  <c r="AB41" i="21" s="1"/>
  <c r="W41" i="21"/>
  <c r="X41" i="21" s="1"/>
  <c r="U41" i="21"/>
  <c r="V41" i="21" s="1"/>
  <c r="S41" i="21"/>
  <c r="T41" i="21" s="1"/>
  <c r="Q41" i="21"/>
  <c r="P41" i="21"/>
  <c r="O41" i="21"/>
  <c r="N41" i="21"/>
  <c r="M41" i="21"/>
  <c r="L41" i="21"/>
  <c r="K41" i="21"/>
  <c r="J41" i="21"/>
  <c r="I41" i="21"/>
  <c r="H41" i="21"/>
  <c r="G41" i="21"/>
  <c r="F41" i="21"/>
  <c r="E41" i="21"/>
  <c r="D41" i="21"/>
  <c r="C41" i="21"/>
  <c r="B41" i="21"/>
  <c r="A41" i="21"/>
  <c r="BG40" i="21"/>
  <c r="BH40" i="21" s="1"/>
  <c r="BE40" i="21"/>
  <c r="BF40" i="21" s="1"/>
  <c r="AW40" i="21"/>
  <c r="AU40" i="21"/>
  <c r="AV40" i="21" s="1"/>
  <c r="AS40" i="21"/>
  <c r="AT40" i="21" s="1"/>
  <c r="AQ40" i="21"/>
  <c r="AR40" i="21" s="1"/>
  <c r="AO40" i="21"/>
  <c r="AM40" i="21"/>
  <c r="AN40" i="21" s="1"/>
  <c r="AK40" i="21"/>
  <c r="AL40" i="21" s="1"/>
  <c r="AG40" i="21"/>
  <c r="AE40" i="21"/>
  <c r="AF40" i="21" s="1"/>
  <c r="AC40" i="21"/>
  <c r="AD40" i="21" s="1"/>
  <c r="AA40" i="21"/>
  <c r="AB40" i="21" s="1"/>
  <c r="W40" i="21"/>
  <c r="X40" i="21" s="1"/>
  <c r="U40" i="21"/>
  <c r="S40" i="21"/>
  <c r="T40" i="21" s="1"/>
  <c r="Q40" i="21"/>
  <c r="R40" i="21" s="1"/>
  <c r="P40" i="21"/>
  <c r="O40" i="21"/>
  <c r="N40" i="21"/>
  <c r="M40" i="21"/>
  <c r="L40" i="21"/>
  <c r="K40" i="21"/>
  <c r="J40" i="21"/>
  <c r="I40" i="21"/>
  <c r="H40" i="21"/>
  <c r="G40" i="21"/>
  <c r="F40" i="21"/>
  <c r="E40" i="21"/>
  <c r="D40" i="21"/>
  <c r="C40" i="21"/>
  <c r="B40" i="21"/>
  <c r="A40" i="21"/>
  <c r="BG39" i="21"/>
  <c r="BE39" i="21"/>
  <c r="BF39" i="21" s="1"/>
  <c r="AW39" i="21"/>
  <c r="AX39" i="21" s="1"/>
  <c r="AU39" i="21"/>
  <c r="AV39" i="21" s="1"/>
  <c r="AS39" i="21"/>
  <c r="AT39" i="21" s="1"/>
  <c r="AQ39" i="21"/>
  <c r="AR39" i="21" s="1"/>
  <c r="AO39" i="21"/>
  <c r="AP39" i="21" s="1"/>
  <c r="AM39" i="21"/>
  <c r="AK39" i="21"/>
  <c r="AL39" i="21" s="1"/>
  <c r="AG39" i="21"/>
  <c r="AH39" i="21" s="1"/>
  <c r="AE39" i="21"/>
  <c r="AF39" i="21" s="1"/>
  <c r="AC39" i="21"/>
  <c r="AD39" i="21" s="1"/>
  <c r="AA39" i="21"/>
  <c r="AB39" i="21" s="1"/>
  <c r="W39" i="21"/>
  <c r="X39" i="21" s="1"/>
  <c r="U39" i="21"/>
  <c r="V39" i="21" s="1"/>
  <c r="S39" i="21"/>
  <c r="Q39" i="21"/>
  <c r="R39" i="21" s="1"/>
  <c r="P39" i="21"/>
  <c r="O39" i="21"/>
  <c r="N39" i="21"/>
  <c r="M39" i="21"/>
  <c r="L39" i="21"/>
  <c r="K39" i="21"/>
  <c r="J39" i="21"/>
  <c r="I39" i="21"/>
  <c r="H39" i="21"/>
  <c r="G39" i="21"/>
  <c r="F39" i="21"/>
  <c r="E39" i="21"/>
  <c r="D39" i="21"/>
  <c r="C39" i="21"/>
  <c r="B39" i="21"/>
  <c r="A39" i="21"/>
  <c r="BG38" i="21"/>
  <c r="BH38" i="21" s="1"/>
  <c r="BE38" i="21"/>
  <c r="BF38" i="21" s="1"/>
  <c r="AW38" i="21"/>
  <c r="AX38" i="21" s="1"/>
  <c r="AU38" i="21"/>
  <c r="AV38" i="21" s="1"/>
  <c r="AS38" i="21"/>
  <c r="AT38" i="21" s="1"/>
  <c r="AQ38" i="21"/>
  <c r="AO38" i="21"/>
  <c r="AP38" i="21" s="1"/>
  <c r="AM38" i="21"/>
  <c r="AN38" i="21" s="1"/>
  <c r="AK38" i="21"/>
  <c r="AL38" i="21" s="1"/>
  <c r="AG38" i="21"/>
  <c r="AH38" i="21" s="1"/>
  <c r="AE38" i="21"/>
  <c r="AC38" i="21"/>
  <c r="AD38" i="21" s="1"/>
  <c r="AA38" i="21"/>
  <c r="AB38" i="21" s="1"/>
  <c r="W38" i="21"/>
  <c r="U38" i="21"/>
  <c r="V38" i="21" s="1"/>
  <c r="S38" i="21"/>
  <c r="T38" i="21" s="1"/>
  <c r="Q38" i="21"/>
  <c r="R38" i="21" s="1"/>
  <c r="P38" i="21"/>
  <c r="O38" i="21"/>
  <c r="N38" i="21"/>
  <c r="M38" i="21"/>
  <c r="L38" i="21"/>
  <c r="K38" i="21"/>
  <c r="J38" i="21"/>
  <c r="I38" i="21"/>
  <c r="H38" i="21"/>
  <c r="G38" i="21"/>
  <c r="F38" i="21"/>
  <c r="E38" i="21"/>
  <c r="D38" i="21"/>
  <c r="C38" i="21"/>
  <c r="B38" i="21"/>
  <c r="A38" i="21"/>
  <c r="BG37" i="21"/>
  <c r="BH37" i="21" s="1"/>
  <c r="BE37" i="21"/>
  <c r="BF37" i="21" s="1"/>
  <c r="AW37" i="21"/>
  <c r="AX37" i="21" s="1"/>
  <c r="AU37" i="21"/>
  <c r="AS37" i="21"/>
  <c r="AT37" i="21" s="1"/>
  <c r="AQ37" i="21"/>
  <c r="AR37" i="21" s="1"/>
  <c r="AO37" i="21"/>
  <c r="AP37" i="21" s="1"/>
  <c r="AM37" i="21"/>
  <c r="AN37" i="21" s="1"/>
  <c r="AK37" i="21"/>
  <c r="AL37" i="21" s="1"/>
  <c r="AG37" i="21"/>
  <c r="AH37" i="21" s="1"/>
  <c r="AE37" i="21"/>
  <c r="AF37" i="21" s="1"/>
  <c r="AC37" i="21"/>
  <c r="AA37" i="21"/>
  <c r="AB37" i="21" s="1"/>
  <c r="W37" i="21"/>
  <c r="X37" i="21" s="1"/>
  <c r="U37" i="21"/>
  <c r="V37" i="21" s="1"/>
  <c r="S37" i="21"/>
  <c r="T37" i="21" s="1"/>
  <c r="Q37" i="21"/>
  <c r="R37" i="21" s="1"/>
  <c r="P37" i="21"/>
  <c r="O37" i="21"/>
  <c r="N37" i="21"/>
  <c r="M37" i="21"/>
  <c r="L37" i="21"/>
  <c r="K37" i="21"/>
  <c r="J37" i="21"/>
  <c r="I37" i="21"/>
  <c r="H37" i="21"/>
  <c r="G37" i="21"/>
  <c r="F37" i="21"/>
  <c r="E37" i="21"/>
  <c r="D37" i="21"/>
  <c r="C37" i="21"/>
  <c r="B37" i="21"/>
  <c r="A37" i="21"/>
  <c r="BG36" i="21"/>
  <c r="BH36" i="21" s="1"/>
  <c r="BE36" i="21"/>
  <c r="BF36" i="21" s="1"/>
  <c r="AW36" i="21"/>
  <c r="AX36" i="21" s="1"/>
  <c r="AU36" i="21"/>
  <c r="AV36" i="21" s="1"/>
  <c r="AS36" i="21"/>
  <c r="AT36" i="21" s="1"/>
  <c r="AQ36" i="21"/>
  <c r="AR36" i="21" s="1"/>
  <c r="AO36" i="21"/>
  <c r="AM36" i="21"/>
  <c r="AN36" i="21" s="1"/>
  <c r="AK36" i="21"/>
  <c r="AL36" i="21" s="1"/>
  <c r="AG36" i="21"/>
  <c r="AE36" i="21"/>
  <c r="AF36" i="21" s="1"/>
  <c r="AC36" i="21"/>
  <c r="AD36" i="21" s="1"/>
  <c r="AA36" i="21"/>
  <c r="AB36" i="21" s="1"/>
  <c r="W36" i="21"/>
  <c r="X36" i="21" s="1"/>
  <c r="U36" i="21"/>
  <c r="V36" i="21" s="1"/>
  <c r="S36" i="21"/>
  <c r="T36" i="21" s="1"/>
  <c r="Q36" i="21"/>
  <c r="R36" i="21" s="1"/>
  <c r="P36" i="21"/>
  <c r="O36" i="21"/>
  <c r="N36" i="21"/>
  <c r="M36" i="21"/>
  <c r="L36" i="21"/>
  <c r="K36" i="21"/>
  <c r="J36" i="21"/>
  <c r="I36" i="21"/>
  <c r="H36" i="21"/>
  <c r="G36" i="21"/>
  <c r="F36" i="21"/>
  <c r="E36" i="21"/>
  <c r="D36" i="21"/>
  <c r="C36" i="21"/>
  <c r="B36" i="21"/>
  <c r="A36" i="21"/>
  <c r="BG35" i="21"/>
  <c r="BE35" i="21"/>
  <c r="BF35" i="21" s="1"/>
  <c r="AW35" i="21"/>
  <c r="AX35" i="21" s="1"/>
  <c r="AU35" i="21"/>
  <c r="AV35" i="21" s="1"/>
  <c r="AS35" i="21"/>
  <c r="AT35" i="21" s="1"/>
  <c r="AQ35" i="21"/>
  <c r="AR35" i="21" s="1"/>
  <c r="AO35" i="21"/>
  <c r="AP35" i="21" s="1"/>
  <c r="AM35" i="21"/>
  <c r="AK35" i="21"/>
  <c r="AL35" i="21" s="1"/>
  <c r="AG35" i="21"/>
  <c r="AH35" i="21" s="1"/>
  <c r="AE35" i="21"/>
  <c r="AF35" i="21" s="1"/>
  <c r="AC35" i="21"/>
  <c r="AD35" i="21" s="1"/>
  <c r="AA35" i="21"/>
  <c r="AB35" i="21" s="1"/>
  <c r="W35" i="21"/>
  <c r="X35" i="21" s="1"/>
  <c r="U35" i="21"/>
  <c r="V35" i="21" s="1"/>
  <c r="S35" i="21"/>
  <c r="Q35" i="21"/>
  <c r="R35" i="21" s="1"/>
  <c r="P35" i="21"/>
  <c r="O35" i="21"/>
  <c r="N35" i="21"/>
  <c r="M35" i="21"/>
  <c r="L35" i="21"/>
  <c r="K35" i="21"/>
  <c r="J35" i="21"/>
  <c r="I35" i="21"/>
  <c r="H35" i="21"/>
  <c r="G35" i="21"/>
  <c r="F35" i="21"/>
  <c r="E35" i="21"/>
  <c r="D35" i="21"/>
  <c r="C35" i="21"/>
  <c r="B35" i="21"/>
  <c r="A35" i="21"/>
  <c r="BG34" i="21"/>
  <c r="BH34" i="21" s="1"/>
  <c r="BE34" i="21"/>
  <c r="BF34" i="21" s="1"/>
  <c r="AW34" i="21"/>
  <c r="AX34" i="21" s="1"/>
  <c r="AU34" i="21"/>
  <c r="AV34" i="21" s="1"/>
  <c r="AS34" i="21"/>
  <c r="AT34" i="21" s="1"/>
  <c r="AQ34" i="21"/>
  <c r="AO34" i="21"/>
  <c r="AP34" i="21" s="1"/>
  <c r="AM34" i="21"/>
  <c r="AN34" i="21" s="1"/>
  <c r="AK34" i="21"/>
  <c r="AL34" i="21" s="1"/>
  <c r="AG34" i="21"/>
  <c r="AH34" i="21" s="1"/>
  <c r="AE34" i="21"/>
  <c r="AF34" i="21" s="1"/>
  <c r="AC34" i="21"/>
  <c r="AD34" i="21" s="1"/>
  <c r="AA34" i="21"/>
  <c r="AB34" i="21" s="1"/>
  <c r="W34" i="21"/>
  <c r="U34" i="21"/>
  <c r="V34" i="21" s="1"/>
  <c r="S34" i="21"/>
  <c r="T34" i="21" s="1"/>
  <c r="Q34" i="21"/>
  <c r="R34" i="21" s="1"/>
  <c r="P34" i="21"/>
  <c r="O34" i="21"/>
  <c r="N34" i="21"/>
  <c r="M34" i="21"/>
  <c r="L34" i="21"/>
  <c r="K34" i="21"/>
  <c r="J34" i="21"/>
  <c r="I34" i="21"/>
  <c r="H34" i="21"/>
  <c r="G34" i="21"/>
  <c r="F34" i="21"/>
  <c r="E34" i="21"/>
  <c r="D34" i="21"/>
  <c r="C34" i="21"/>
  <c r="B34" i="21"/>
  <c r="A34" i="21"/>
  <c r="BG33" i="21"/>
  <c r="BH33" i="21" s="1"/>
  <c r="BE33" i="21"/>
  <c r="BF33" i="21" s="1"/>
  <c r="AW33" i="21"/>
  <c r="AX33" i="21" s="1"/>
  <c r="AU33" i="21"/>
  <c r="AS33" i="21"/>
  <c r="AT33" i="21" s="1"/>
  <c r="AQ33" i="21"/>
  <c r="AR33" i="21" s="1"/>
  <c r="AO33" i="21"/>
  <c r="AP33" i="21" s="1"/>
  <c r="AM33" i="21"/>
  <c r="AN33" i="21" s="1"/>
  <c r="AK33" i="21"/>
  <c r="AL33" i="21" s="1"/>
  <c r="AG33" i="21"/>
  <c r="AH33" i="21" s="1"/>
  <c r="AE33" i="21"/>
  <c r="AF33" i="21" s="1"/>
  <c r="AC33" i="21"/>
  <c r="AA33" i="21"/>
  <c r="AB33" i="21" s="1"/>
  <c r="W33" i="21"/>
  <c r="X33" i="21" s="1"/>
  <c r="U33" i="21"/>
  <c r="V33" i="21" s="1"/>
  <c r="S33" i="21"/>
  <c r="T33" i="21" s="1"/>
  <c r="Q33" i="21"/>
  <c r="P33" i="21"/>
  <c r="O33" i="21"/>
  <c r="N33" i="21"/>
  <c r="M33" i="21"/>
  <c r="L33" i="21"/>
  <c r="K33" i="21"/>
  <c r="J33" i="21"/>
  <c r="I33" i="21"/>
  <c r="H33" i="21"/>
  <c r="G33" i="21"/>
  <c r="F33" i="21"/>
  <c r="E33" i="21"/>
  <c r="D33" i="21"/>
  <c r="C33" i="21"/>
  <c r="B33" i="21"/>
  <c r="A33" i="21"/>
  <c r="BG32" i="21"/>
  <c r="BH32" i="21" s="1"/>
  <c r="BE32" i="21"/>
  <c r="BF32" i="21" s="1"/>
  <c r="AW32" i="21"/>
  <c r="AX32" i="21" s="1"/>
  <c r="AU32" i="21"/>
  <c r="AV32" i="21" s="1"/>
  <c r="AS32" i="21"/>
  <c r="AT32" i="21" s="1"/>
  <c r="AQ32" i="21"/>
  <c r="AR32" i="21" s="1"/>
  <c r="AO32" i="21"/>
  <c r="AP32" i="21" s="1"/>
  <c r="AM32" i="21"/>
  <c r="AN32" i="21" s="1"/>
  <c r="AK32" i="21"/>
  <c r="AL32" i="21" s="1"/>
  <c r="AG32" i="21"/>
  <c r="AE32" i="21"/>
  <c r="AF32" i="21" s="1"/>
  <c r="AC32" i="21"/>
  <c r="AD32" i="21" s="1"/>
  <c r="AA32" i="21"/>
  <c r="AB32" i="21" s="1"/>
  <c r="W32" i="21"/>
  <c r="X32" i="21" s="1"/>
  <c r="U32" i="21"/>
  <c r="V32" i="21" s="1"/>
  <c r="S32" i="21"/>
  <c r="T32" i="21" s="1"/>
  <c r="Q32" i="21"/>
  <c r="R32" i="21" s="1"/>
  <c r="P32" i="21"/>
  <c r="O32" i="21"/>
  <c r="N32" i="21"/>
  <c r="M32" i="21"/>
  <c r="L32" i="21"/>
  <c r="K32" i="21"/>
  <c r="J32" i="21"/>
  <c r="I32" i="21"/>
  <c r="H32" i="21"/>
  <c r="G32" i="21"/>
  <c r="F32" i="21"/>
  <c r="E32" i="21"/>
  <c r="D32" i="21"/>
  <c r="C32" i="21"/>
  <c r="B32" i="21"/>
  <c r="A32" i="21"/>
  <c r="BG31" i="21"/>
  <c r="BE31" i="21"/>
  <c r="BF31" i="21" s="1"/>
  <c r="AW31" i="21"/>
  <c r="AX31" i="21" s="1"/>
  <c r="AU31" i="21"/>
  <c r="AV31" i="21" s="1"/>
  <c r="AS31" i="21"/>
  <c r="AT31" i="21" s="1"/>
  <c r="AQ31" i="21"/>
  <c r="AR31" i="21" s="1"/>
  <c r="AO31" i="21"/>
  <c r="AP31" i="21" s="1"/>
  <c r="AM31" i="21"/>
  <c r="AK31" i="21"/>
  <c r="AL31" i="21" s="1"/>
  <c r="AG31" i="21"/>
  <c r="AH31" i="21" s="1"/>
  <c r="AE31" i="21"/>
  <c r="AF31" i="21" s="1"/>
  <c r="AC31" i="21"/>
  <c r="AD31" i="21" s="1"/>
  <c r="AA31" i="21"/>
  <c r="W31" i="21"/>
  <c r="X31" i="21" s="1"/>
  <c r="U31" i="21"/>
  <c r="V31" i="21" s="1"/>
  <c r="S31" i="21"/>
  <c r="Q31" i="21"/>
  <c r="R31" i="21" s="1"/>
  <c r="P31" i="21"/>
  <c r="O31" i="21"/>
  <c r="N31" i="21"/>
  <c r="M31" i="21"/>
  <c r="L31" i="21"/>
  <c r="K31" i="21"/>
  <c r="J31" i="21"/>
  <c r="I31" i="21"/>
  <c r="H31" i="21"/>
  <c r="G31" i="21"/>
  <c r="F31" i="21"/>
  <c r="E31" i="21"/>
  <c r="D31" i="21"/>
  <c r="C31" i="21"/>
  <c r="B31" i="21"/>
  <c r="A31" i="21"/>
  <c r="BG30" i="21"/>
  <c r="BH30" i="21" s="1"/>
  <c r="BE30" i="21"/>
  <c r="BF30" i="21" s="1"/>
  <c r="AW30" i="21"/>
  <c r="AX30" i="21" s="1"/>
  <c r="AU30" i="21"/>
  <c r="AV30" i="21" s="1"/>
  <c r="AS30" i="21"/>
  <c r="AT30" i="21" s="1"/>
  <c r="AQ30" i="21"/>
  <c r="AO30" i="21"/>
  <c r="AP30" i="21" s="1"/>
  <c r="AM30" i="21"/>
  <c r="AN30" i="21" s="1"/>
  <c r="AK30" i="21"/>
  <c r="AL30" i="21" s="1"/>
  <c r="AG30" i="21"/>
  <c r="AH30" i="21" s="1"/>
  <c r="AE30" i="21"/>
  <c r="AF30" i="21" s="1"/>
  <c r="AC30" i="21"/>
  <c r="AD30" i="21" s="1"/>
  <c r="AA30" i="21"/>
  <c r="AB30" i="21" s="1"/>
  <c r="W30" i="21"/>
  <c r="U30" i="21"/>
  <c r="V30" i="21" s="1"/>
  <c r="S30" i="21"/>
  <c r="T30" i="21" s="1"/>
  <c r="Q30" i="21"/>
  <c r="R30" i="21" s="1"/>
  <c r="P30" i="21"/>
  <c r="O30" i="21"/>
  <c r="N30" i="21"/>
  <c r="M30" i="21"/>
  <c r="L30" i="21"/>
  <c r="K30" i="21"/>
  <c r="J30" i="21"/>
  <c r="I30" i="21"/>
  <c r="H30" i="21"/>
  <c r="G30" i="21"/>
  <c r="F30" i="21"/>
  <c r="E30" i="21"/>
  <c r="D30" i="21"/>
  <c r="C30" i="21"/>
  <c r="B30" i="21"/>
  <c r="A30" i="21"/>
  <c r="BG29" i="21"/>
  <c r="BH29" i="21" s="1"/>
  <c r="BE29" i="21"/>
  <c r="BF29" i="21" s="1"/>
  <c r="AW29" i="21"/>
  <c r="AX29" i="21" s="1"/>
  <c r="AU29" i="21"/>
  <c r="AS29" i="21"/>
  <c r="AT29" i="21" s="1"/>
  <c r="AQ29" i="21"/>
  <c r="AR29" i="21" s="1"/>
  <c r="AO29" i="21"/>
  <c r="AP29" i="21" s="1"/>
  <c r="AM29" i="21"/>
  <c r="AN29" i="21" s="1"/>
  <c r="AK29" i="21"/>
  <c r="AG29" i="21"/>
  <c r="AH29" i="21" s="1"/>
  <c r="AE29" i="21"/>
  <c r="AF29" i="21" s="1"/>
  <c r="AC29" i="21"/>
  <c r="AA29" i="21"/>
  <c r="AB29" i="21" s="1"/>
  <c r="W29" i="21"/>
  <c r="X29" i="21" s="1"/>
  <c r="U29" i="21"/>
  <c r="V29" i="21" s="1"/>
  <c r="S29" i="21"/>
  <c r="T29" i="21" s="1"/>
  <c r="Q29" i="21"/>
  <c r="R29" i="21" s="1"/>
  <c r="P29" i="21"/>
  <c r="O29" i="21"/>
  <c r="N29" i="21"/>
  <c r="M29" i="21"/>
  <c r="L29" i="21"/>
  <c r="K29" i="21"/>
  <c r="J29" i="21"/>
  <c r="I29" i="21"/>
  <c r="H29" i="21"/>
  <c r="G29" i="21"/>
  <c r="F29" i="21"/>
  <c r="E29" i="21"/>
  <c r="D29" i="21"/>
  <c r="C29" i="21"/>
  <c r="B29" i="21"/>
  <c r="A29" i="21"/>
  <c r="BG28" i="21"/>
  <c r="BH28" i="21" s="1"/>
  <c r="BE28" i="21"/>
  <c r="BF28" i="21" s="1"/>
  <c r="AW28" i="21"/>
  <c r="AX28" i="21" s="1"/>
  <c r="AU28" i="21"/>
  <c r="AV28" i="21" s="1"/>
  <c r="AS28" i="21"/>
  <c r="AT28" i="21" s="1"/>
  <c r="AQ28" i="21"/>
  <c r="AR28" i="21" s="1"/>
  <c r="AO28" i="21"/>
  <c r="AP28" i="21" s="1"/>
  <c r="AM28" i="21"/>
  <c r="AN28" i="21" s="1"/>
  <c r="AK28" i="21"/>
  <c r="AL28" i="21" s="1"/>
  <c r="AG28" i="21"/>
  <c r="AE28" i="21"/>
  <c r="AF28" i="21" s="1"/>
  <c r="AC28" i="21"/>
  <c r="AD28" i="21" s="1"/>
  <c r="AA28" i="21"/>
  <c r="AB28" i="21" s="1"/>
  <c r="W28" i="21"/>
  <c r="X28" i="21" s="1"/>
  <c r="U28" i="21"/>
  <c r="V28" i="21" s="1"/>
  <c r="S28" i="21"/>
  <c r="T28" i="21" s="1"/>
  <c r="Q28" i="21"/>
  <c r="R28" i="21" s="1"/>
  <c r="P28" i="21"/>
  <c r="O28" i="21"/>
  <c r="N28" i="21"/>
  <c r="M28" i="21"/>
  <c r="L28" i="21"/>
  <c r="K28" i="21"/>
  <c r="J28" i="21"/>
  <c r="I28" i="21"/>
  <c r="H28" i="21"/>
  <c r="G28" i="21"/>
  <c r="F28" i="21"/>
  <c r="E28" i="21"/>
  <c r="D28" i="21"/>
  <c r="C28" i="21"/>
  <c r="B28" i="21"/>
  <c r="A28" i="21"/>
  <c r="BG27" i="21"/>
  <c r="BE27" i="21"/>
  <c r="BF27" i="21" s="1"/>
  <c r="AW27" i="21"/>
  <c r="AX27" i="21" s="1"/>
  <c r="AU27" i="21"/>
  <c r="AV27" i="21" s="1"/>
  <c r="AS27" i="21"/>
  <c r="AQ27" i="21"/>
  <c r="AR27" i="21" s="1"/>
  <c r="AO27" i="21"/>
  <c r="AP27" i="21" s="1"/>
  <c r="AM27" i="21"/>
  <c r="AK27" i="21"/>
  <c r="AL27" i="21" s="1"/>
  <c r="AG27" i="21"/>
  <c r="AH27" i="21" s="1"/>
  <c r="AE27" i="21"/>
  <c r="AF27" i="21" s="1"/>
  <c r="AC27" i="21"/>
  <c r="AD27" i="21" s="1"/>
  <c r="AA27" i="21"/>
  <c r="W27" i="21"/>
  <c r="X27" i="21" s="1"/>
  <c r="U27" i="21"/>
  <c r="V27" i="21" s="1"/>
  <c r="S27" i="21"/>
  <c r="Q27" i="21"/>
  <c r="R27" i="21" s="1"/>
  <c r="P27" i="21"/>
  <c r="O27" i="21"/>
  <c r="N27" i="21"/>
  <c r="M27" i="21"/>
  <c r="L27" i="21"/>
  <c r="K27" i="21"/>
  <c r="J27" i="21"/>
  <c r="I27" i="21"/>
  <c r="H27" i="21"/>
  <c r="G27" i="21"/>
  <c r="F27" i="21"/>
  <c r="E27" i="21"/>
  <c r="D27" i="21"/>
  <c r="C27" i="21"/>
  <c r="B27" i="21"/>
  <c r="A27" i="21"/>
  <c r="BG26" i="21"/>
  <c r="BH26" i="21" s="1"/>
  <c r="BE26" i="21"/>
  <c r="BF26" i="21" s="1"/>
  <c r="AW26" i="21"/>
  <c r="AX26" i="21" s="1"/>
  <c r="AU26" i="21"/>
  <c r="AV26" i="21" s="1"/>
  <c r="AS26" i="21"/>
  <c r="AT26" i="21" s="1"/>
  <c r="AQ26" i="21"/>
  <c r="AO26" i="21"/>
  <c r="AP26" i="21" s="1"/>
  <c r="AM26" i="21"/>
  <c r="AN26" i="21" s="1"/>
  <c r="AK26" i="21"/>
  <c r="AL26" i="21" s="1"/>
  <c r="AG26" i="21"/>
  <c r="AH26" i="21" s="1"/>
  <c r="AE26" i="21"/>
  <c r="AF26" i="21" s="1"/>
  <c r="AC26" i="21"/>
  <c r="AD26" i="21" s="1"/>
  <c r="AA26" i="21"/>
  <c r="AB26" i="21" s="1"/>
  <c r="W26" i="21"/>
  <c r="U26" i="21"/>
  <c r="V26" i="21" s="1"/>
  <c r="S26" i="21"/>
  <c r="T26" i="21" s="1"/>
  <c r="Q26" i="21"/>
  <c r="R26" i="21" s="1"/>
  <c r="P26" i="21"/>
  <c r="O26" i="21"/>
  <c r="N26" i="21"/>
  <c r="M26" i="21"/>
  <c r="L26" i="21"/>
  <c r="K26" i="21"/>
  <c r="J26" i="21"/>
  <c r="I26" i="21"/>
  <c r="H26" i="21"/>
  <c r="G26" i="21"/>
  <c r="F26" i="21"/>
  <c r="E26" i="21"/>
  <c r="D26" i="21"/>
  <c r="C26" i="21"/>
  <c r="B26" i="21"/>
  <c r="A26" i="21"/>
  <c r="BG25" i="21"/>
  <c r="BH25" i="21" s="1"/>
  <c r="BE25" i="21"/>
  <c r="AW25" i="21"/>
  <c r="AX25" i="21" s="1"/>
  <c r="AU25" i="21"/>
  <c r="AS25" i="21"/>
  <c r="AT25" i="21" s="1"/>
  <c r="AQ25" i="21"/>
  <c r="AR25" i="21" s="1"/>
  <c r="AO25" i="21"/>
  <c r="AP25" i="21" s="1"/>
  <c r="AM25" i="21"/>
  <c r="AN25" i="21" s="1"/>
  <c r="AK25" i="21"/>
  <c r="AG25" i="21"/>
  <c r="AH25" i="21" s="1"/>
  <c r="AE25" i="21"/>
  <c r="AF25" i="21" s="1"/>
  <c r="AC25" i="21"/>
  <c r="AA25" i="21"/>
  <c r="AB25" i="21" s="1"/>
  <c r="W25" i="21"/>
  <c r="X25" i="21" s="1"/>
  <c r="U25" i="21"/>
  <c r="V25" i="21" s="1"/>
  <c r="S25" i="21"/>
  <c r="T25" i="21" s="1"/>
  <c r="Q25" i="21"/>
  <c r="R25" i="21" s="1"/>
  <c r="P25" i="21"/>
  <c r="O25" i="21"/>
  <c r="N25" i="21"/>
  <c r="M25" i="21"/>
  <c r="L25" i="21"/>
  <c r="K25" i="21"/>
  <c r="J25" i="21"/>
  <c r="I25" i="21"/>
  <c r="H25" i="21"/>
  <c r="G25" i="21"/>
  <c r="F25" i="21"/>
  <c r="E25" i="21"/>
  <c r="D25" i="21"/>
  <c r="C25" i="21"/>
  <c r="B25" i="21"/>
  <c r="A25" i="21"/>
  <c r="BG24" i="21"/>
  <c r="BH24" i="21" s="1"/>
  <c r="BE24" i="21"/>
  <c r="BF24" i="21" s="1"/>
  <c r="AW24" i="21"/>
  <c r="AU24" i="21"/>
  <c r="AV24" i="21" s="1"/>
  <c r="AS24" i="21"/>
  <c r="AT24" i="21" s="1"/>
  <c r="AQ24" i="21"/>
  <c r="AR24" i="21" s="1"/>
  <c r="AO24" i="21"/>
  <c r="AP24" i="21" s="1"/>
  <c r="AM24" i="21"/>
  <c r="AN24" i="21" s="1"/>
  <c r="AK24" i="21"/>
  <c r="AL24" i="21" s="1"/>
  <c r="AG24" i="21"/>
  <c r="AE24" i="21"/>
  <c r="AF24" i="21" s="1"/>
  <c r="AC24" i="21"/>
  <c r="AD24" i="21" s="1"/>
  <c r="AA24" i="21"/>
  <c r="AB24" i="21" s="1"/>
  <c r="W24" i="21"/>
  <c r="X24" i="21" s="1"/>
  <c r="U24" i="21"/>
  <c r="S24" i="21"/>
  <c r="T24" i="21" s="1"/>
  <c r="Q24" i="21"/>
  <c r="R24" i="21" s="1"/>
  <c r="P24" i="21"/>
  <c r="O24" i="21"/>
  <c r="N24" i="21"/>
  <c r="M24" i="21"/>
  <c r="L24" i="21"/>
  <c r="K24" i="21"/>
  <c r="J24" i="21"/>
  <c r="I24" i="21"/>
  <c r="H24" i="21"/>
  <c r="G24" i="21"/>
  <c r="F24" i="21"/>
  <c r="E24" i="21"/>
  <c r="D24" i="21"/>
  <c r="C24" i="21"/>
  <c r="B24" i="21"/>
  <c r="A24" i="21"/>
  <c r="BG23" i="21"/>
  <c r="BE23" i="21"/>
  <c r="BF23" i="21" s="1"/>
  <c r="AW23" i="21"/>
  <c r="AX23" i="21" s="1"/>
  <c r="AU23" i="21"/>
  <c r="AV23" i="21" s="1"/>
  <c r="AS23" i="21"/>
  <c r="AQ23" i="21"/>
  <c r="AR23" i="21" s="1"/>
  <c r="AO23" i="21"/>
  <c r="AP23" i="21" s="1"/>
  <c r="AM23" i="21"/>
  <c r="AK23" i="21"/>
  <c r="AL23" i="21" s="1"/>
  <c r="AG23" i="21"/>
  <c r="AH23" i="21" s="1"/>
  <c r="AE23" i="21"/>
  <c r="AF23" i="21" s="1"/>
  <c r="AC23" i="21"/>
  <c r="AD23" i="21" s="1"/>
  <c r="AA23" i="21"/>
  <c r="AB23" i="21" s="1"/>
  <c r="W23" i="21"/>
  <c r="X23" i="21" s="1"/>
  <c r="U23" i="21"/>
  <c r="V23" i="21" s="1"/>
  <c r="S23" i="21"/>
  <c r="Q23" i="21"/>
  <c r="R23" i="21" s="1"/>
  <c r="P23" i="21"/>
  <c r="O23" i="21"/>
  <c r="N23" i="21"/>
  <c r="M23" i="21"/>
  <c r="L23" i="21"/>
  <c r="K23" i="21"/>
  <c r="J23" i="21"/>
  <c r="I23" i="21"/>
  <c r="H23" i="21"/>
  <c r="G23" i="21"/>
  <c r="F23" i="21"/>
  <c r="E23" i="21"/>
  <c r="D23" i="21"/>
  <c r="C23" i="21"/>
  <c r="B23" i="21"/>
  <c r="A23" i="21"/>
  <c r="BG22" i="21"/>
  <c r="BH22" i="21" s="1"/>
  <c r="BE22" i="21"/>
  <c r="BF22" i="21" s="1"/>
  <c r="AW22" i="21"/>
  <c r="AX22" i="21" s="1"/>
  <c r="AU22" i="21"/>
  <c r="AV22" i="21" s="1"/>
  <c r="AS22" i="21"/>
  <c r="AT22" i="21" s="1"/>
  <c r="AQ22" i="21"/>
  <c r="AO22" i="21"/>
  <c r="AP22" i="21" s="1"/>
  <c r="AM22" i="21"/>
  <c r="AN22" i="21" s="1"/>
  <c r="AK22" i="21"/>
  <c r="AL22" i="21" s="1"/>
  <c r="AG22" i="21"/>
  <c r="AH22" i="21" s="1"/>
  <c r="AE22" i="21"/>
  <c r="AC22" i="21"/>
  <c r="AD22" i="21" s="1"/>
  <c r="AA22" i="21"/>
  <c r="AB22" i="21" s="1"/>
  <c r="W22" i="21"/>
  <c r="U22" i="21"/>
  <c r="V22" i="21" s="1"/>
  <c r="S22" i="21"/>
  <c r="T22" i="21" s="1"/>
  <c r="Q22" i="21"/>
  <c r="R22" i="21" s="1"/>
  <c r="P22" i="21"/>
  <c r="O22" i="21"/>
  <c r="N22" i="21"/>
  <c r="M22" i="21"/>
  <c r="L22" i="21"/>
  <c r="K22" i="21"/>
  <c r="J22" i="21"/>
  <c r="I22" i="21"/>
  <c r="H22" i="21"/>
  <c r="G22" i="21"/>
  <c r="F22" i="21"/>
  <c r="E22" i="21"/>
  <c r="D22" i="21"/>
  <c r="C22" i="21"/>
  <c r="B22" i="21"/>
  <c r="A22" i="21"/>
  <c r="BG21" i="21"/>
  <c r="BH21" i="21" s="1"/>
  <c r="BE21" i="21"/>
  <c r="AW21" i="21"/>
  <c r="AX21" i="21" s="1"/>
  <c r="AU21" i="21"/>
  <c r="AS21" i="21"/>
  <c r="AT21" i="21" s="1"/>
  <c r="AQ21" i="21"/>
  <c r="AR21" i="21" s="1"/>
  <c r="AO21" i="21"/>
  <c r="AP21" i="21" s="1"/>
  <c r="AM21" i="21"/>
  <c r="AN21" i="21" s="1"/>
  <c r="AK21" i="21"/>
  <c r="AL21" i="21" s="1"/>
  <c r="AG21" i="21"/>
  <c r="AH21" i="21" s="1"/>
  <c r="AE21" i="21"/>
  <c r="AF21" i="21" s="1"/>
  <c r="AC21" i="21"/>
  <c r="AD21" i="21" s="1"/>
  <c r="AA21" i="21"/>
  <c r="AB21" i="21" s="1"/>
  <c r="W21" i="21"/>
  <c r="X21" i="21" s="1"/>
  <c r="U21" i="21"/>
  <c r="S21" i="21"/>
  <c r="T21" i="21" s="1"/>
  <c r="Q21" i="21"/>
  <c r="R21" i="21" s="1"/>
  <c r="P21" i="21"/>
  <c r="O21" i="21"/>
  <c r="N21" i="21"/>
  <c r="M21" i="21"/>
  <c r="L21" i="21"/>
  <c r="K21" i="21"/>
  <c r="J21" i="21"/>
  <c r="I21" i="21"/>
  <c r="H21" i="21"/>
  <c r="G21" i="21"/>
  <c r="F21" i="21"/>
  <c r="E21" i="21"/>
  <c r="D21" i="21"/>
  <c r="C21" i="21"/>
  <c r="B21" i="21"/>
  <c r="A21" i="21"/>
  <c r="BG20" i="21"/>
  <c r="BE20" i="21"/>
  <c r="BF20" i="21" s="1"/>
  <c r="AW20" i="21"/>
  <c r="AX20" i="21" s="1"/>
  <c r="AU20" i="21"/>
  <c r="AV20" i="21" s="1"/>
  <c r="AS20" i="21"/>
  <c r="AT20" i="21" s="1"/>
  <c r="AQ20" i="21"/>
  <c r="AR20" i="21" s="1"/>
  <c r="AO20" i="21"/>
  <c r="AP20" i="21" s="1"/>
  <c r="AM20" i="21"/>
  <c r="AK20" i="21"/>
  <c r="AL20" i="21" s="1"/>
  <c r="AG20" i="21"/>
  <c r="AE20" i="21"/>
  <c r="AF20" i="21" s="1"/>
  <c r="AC20" i="21"/>
  <c r="AD20" i="21" s="1"/>
  <c r="AA20" i="21"/>
  <c r="W20" i="21"/>
  <c r="X20" i="21" s="1"/>
  <c r="U20" i="21"/>
  <c r="V20" i="21" s="1"/>
  <c r="S20" i="21"/>
  <c r="Q20" i="21"/>
  <c r="R20" i="21" s="1"/>
  <c r="P20" i="21"/>
  <c r="O20" i="21"/>
  <c r="N20" i="21"/>
  <c r="M20" i="21"/>
  <c r="L20" i="21"/>
  <c r="K20" i="21"/>
  <c r="J20" i="21"/>
  <c r="I20" i="21"/>
  <c r="H20" i="21"/>
  <c r="G20" i="21"/>
  <c r="F20" i="21"/>
  <c r="E20" i="21"/>
  <c r="D20" i="21"/>
  <c r="C20" i="21"/>
  <c r="B20" i="21"/>
  <c r="A20" i="21"/>
  <c r="BG19" i="21"/>
  <c r="BH19" i="21" s="1"/>
  <c r="BE19" i="21"/>
  <c r="BF19" i="21" s="1"/>
  <c r="AW19" i="21"/>
  <c r="AX19" i="21" s="1"/>
  <c r="AU19" i="21"/>
  <c r="AV19" i="21" s="1"/>
  <c r="AS19" i="21"/>
  <c r="AT19" i="21" s="1"/>
  <c r="AQ19" i="21"/>
  <c r="AO19" i="21"/>
  <c r="AP19" i="21" s="1"/>
  <c r="AM19" i="21"/>
  <c r="AN19" i="21" s="1"/>
  <c r="AK19" i="21"/>
  <c r="AL19" i="21" s="1"/>
  <c r="AG19" i="21"/>
  <c r="AH19" i="21" s="1"/>
  <c r="AE19" i="21"/>
  <c r="AF19" i="21" s="1"/>
  <c r="AC19" i="21"/>
  <c r="AD19" i="21" s="1"/>
  <c r="AA19" i="21"/>
  <c r="AB19" i="21" s="1"/>
  <c r="W19" i="21"/>
  <c r="U19" i="21"/>
  <c r="V19" i="21" s="1"/>
  <c r="S19" i="21"/>
  <c r="T19" i="21" s="1"/>
  <c r="Q19" i="21"/>
  <c r="R19" i="21" s="1"/>
  <c r="P19" i="21"/>
  <c r="O19" i="21"/>
  <c r="N19" i="21"/>
  <c r="M19" i="21"/>
  <c r="L19" i="21"/>
  <c r="K19" i="21"/>
  <c r="J19" i="21"/>
  <c r="I19" i="21"/>
  <c r="H19" i="21"/>
  <c r="G19" i="21"/>
  <c r="F19" i="21"/>
  <c r="E19" i="21"/>
  <c r="D19" i="21"/>
  <c r="C19" i="21"/>
  <c r="B19" i="21"/>
  <c r="A19" i="21"/>
  <c r="BG18" i="21"/>
  <c r="BH18" i="21" s="1"/>
  <c r="BE18" i="21"/>
  <c r="BF18" i="21" s="1"/>
  <c r="AW18" i="21"/>
  <c r="AX18" i="21" s="1"/>
  <c r="AU18" i="21"/>
  <c r="AS18" i="21"/>
  <c r="AT18" i="21" s="1"/>
  <c r="AQ18" i="21"/>
  <c r="AO18" i="21"/>
  <c r="AP18" i="21" s="1"/>
  <c r="AM18" i="21"/>
  <c r="AN18" i="21" s="1"/>
  <c r="AK18" i="21"/>
  <c r="AL18" i="21" s="1"/>
  <c r="AG18" i="21"/>
  <c r="AH18" i="21" s="1"/>
  <c r="AE18" i="21"/>
  <c r="AF18" i="21" s="1"/>
  <c r="AC18" i="21"/>
  <c r="AA18" i="21"/>
  <c r="AB18" i="21" s="1"/>
  <c r="W18" i="21"/>
  <c r="U18" i="21"/>
  <c r="V18" i="21" s="1"/>
  <c r="S18" i="21"/>
  <c r="T18" i="21" s="1"/>
  <c r="Q18" i="21"/>
  <c r="R18" i="21" s="1"/>
  <c r="P18" i="21"/>
  <c r="O18" i="21"/>
  <c r="N18" i="21"/>
  <c r="M18" i="21"/>
  <c r="L18" i="21"/>
  <c r="K18" i="21"/>
  <c r="J18" i="21"/>
  <c r="I18" i="21"/>
  <c r="H18" i="21"/>
  <c r="G18" i="21"/>
  <c r="F18" i="21"/>
  <c r="E18" i="21"/>
  <c r="D18" i="21"/>
  <c r="C18" i="21"/>
  <c r="B18" i="21"/>
  <c r="A18" i="21"/>
  <c r="BG17" i="21"/>
  <c r="BH17" i="21" s="1"/>
  <c r="BE17" i="21"/>
  <c r="BF17" i="21" s="1"/>
  <c r="AW17" i="21"/>
  <c r="AX17" i="21" s="1"/>
  <c r="AU17" i="21"/>
  <c r="AV17" i="21" s="1"/>
  <c r="AS17" i="21"/>
  <c r="AT17" i="21" s="1"/>
  <c r="AQ17" i="21"/>
  <c r="AR17" i="21" s="1"/>
  <c r="AO17" i="21"/>
  <c r="AM17" i="21"/>
  <c r="AN17" i="21" s="1"/>
  <c r="AK17" i="21"/>
  <c r="AL17" i="21" s="1"/>
  <c r="AG17" i="21"/>
  <c r="AE17" i="21"/>
  <c r="AF17" i="21" s="1"/>
  <c r="AC17" i="21"/>
  <c r="AD17" i="21" s="1"/>
  <c r="AA17" i="21"/>
  <c r="AB17" i="21" s="1"/>
  <c r="W17" i="21"/>
  <c r="X17" i="21" s="1"/>
  <c r="U17" i="21"/>
  <c r="V17" i="21" s="1"/>
  <c r="S17" i="21"/>
  <c r="T17" i="21" s="1"/>
  <c r="Q17" i="21"/>
  <c r="R17" i="21" s="1"/>
  <c r="P17" i="21"/>
  <c r="O17" i="21"/>
  <c r="N17" i="21"/>
  <c r="M17" i="21"/>
  <c r="L17" i="21"/>
  <c r="K17" i="21"/>
  <c r="J17" i="21"/>
  <c r="I17" i="21"/>
  <c r="H17" i="21"/>
  <c r="G17" i="21"/>
  <c r="F17" i="21"/>
  <c r="E17" i="21"/>
  <c r="D17" i="21"/>
  <c r="C17" i="21"/>
  <c r="B17" i="21"/>
  <c r="A17" i="21"/>
  <c r="BG16" i="21"/>
  <c r="BE16" i="21"/>
  <c r="BF16" i="21" s="1"/>
  <c r="AW16" i="21"/>
  <c r="AX16" i="21" s="1"/>
  <c r="AU16" i="21"/>
  <c r="AV16" i="21" s="1"/>
  <c r="AS16" i="21"/>
  <c r="AQ16" i="21"/>
  <c r="AR16" i="21" s="1"/>
  <c r="AO16" i="21"/>
  <c r="AP16" i="21" s="1"/>
  <c r="AM16" i="21"/>
  <c r="AK16" i="21"/>
  <c r="AL16" i="21" s="1"/>
  <c r="AG16" i="21"/>
  <c r="AH16" i="21" s="1"/>
  <c r="AE16" i="21"/>
  <c r="AF16" i="21" s="1"/>
  <c r="AC16" i="21"/>
  <c r="AD16" i="21" s="1"/>
  <c r="AA16" i="21"/>
  <c r="AB16" i="21" s="1"/>
  <c r="W16" i="21"/>
  <c r="X16" i="21" s="1"/>
  <c r="U16" i="21"/>
  <c r="V16" i="21" s="1"/>
  <c r="S16" i="21"/>
  <c r="Q16" i="21"/>
  <c r="R16" i="21" s="1"/>
  <c r="P16" i="21"/>
  <c r="O16" i="21"/>
  <c r="N16" i="21"/>
  <c r="M16" i="21"/>
  <c r="L16" i="21"/>
  <c r="K16" i="21"/>
  <c r="J16" i="21"/>
  <c r="I16" i="21"/>
  <c r="H16" i="21"/>
  <c r="G16" i="21"/>
  <c r="F16" i="21"/>
  <c r="E16" i="21"/>
  <c r="D16" i="21"/>
  <c r="C16" i="21"/>
  <c r="B16" i="21"/>
  <c r="A16" i="21"/>
  <c r="BG15" i="21"/>
  <c r="BH15" i="21" s="1"/>
  <c r="BE15" i="21"/>
  <c r="BF15" i="21" s="1"/>
  <c r="AW15" i="21"/>
  <c r="AU15" i="21"/>
  <c r="AV15" i="21" s="1"/>
  <c r="AS15" i="21"/>
  <c r="AT15" i="21" s="1"/>
  <c r="AQ15" i="21"/>
  <c r="AO15" i="21"/>
  <c r="AP15" i="21" s="1"/>
  <c r="AM15" i="21"/>
  <c r="AN15" i="21" s="1"/>
  <c r="AK15" i="21"/>
  <c r="AL15" i="21" s="1"/>
  <c r="AG15" i="21"/>
  <c r="AH15" i="21" s="1"/>
  <c r="AE15" i="21"/>
  <c r="AF15" i="21" s="1"/>
  <c r="AC15" i="21"/>
  <c r="AD15" i="21" s="1"/>
  <c r="AA15" i="21"/>
  <c r="AB15" i="21" s="1"/>
  <c r="W15" i="21"/>
  <c r="U15" i="21"/>
  <c r="V15" i="21" s="1"/>
  <c r="S15" i="21"/>
  <c r="Q15" i="21"/>
  <c r="R15" i="21" s="1"/>
  <c r="P15" i="21"/>
  <c r="O15" i="21"/>
  <c r="N15" i="21"/>
  <c r="M15" i="21"/>
  <c r="L15" i="21"/>
  <c r="K15" i="21"/>
  <c r="J15" i="21"/>
  <c r="I15" i="21"/>
  <c r="H15" i="21"/>
  <c r="G15" i="21"/>
  <c r="F15" i="21"/>
  <c r="E15" i="21"/>
  <c r="D15" i="21"/>
  <c r="C15" i="21"/>
  <c r="B15" i="21"/>
  <c r="A15" i="21"/>
  <c r="BG14" i="21"/>
  <c r="BH14" i="21" s="1"/>
  <c r="BE14" i="21"/>
  <c r="BF14" i="21" s="1"/>
  <c r="AW14" i="21"/>
  <c r="AX14" i="21" s="1"/>
  <c r="AU14" i="21"/>
  <c r="AS14" i="21"/>
  <c r="AT14" i="21" s="1"/>
  <c r="AQ14" i="21"/>
  <c r="AO14" i="21"/>
  <c r="AP14" i="21" s="1"/>
  <c r="AM14" i="21"/>
  <c r="AN14" i="21" s="1"/>
  <c r="AK14" i="21"/>
  <c r="AL14" i="21" s="1"/>
  <c r="AG14" i="21"/>
  <c r="AH14" i="21" s="1"/>
  <c r="AE14" i="21"/>
  <c r="AF14" i="21" s="1"/>
  <c r="AC14" i="21"/>
  <c r="AA14" i="21"/>
  <c r="AB14" i="21" s="1"/>
  <c r="W14" i="21"/>
  <c r="X14" i="21" s="1"/>
  <c r="U14" i="21"/>
  <c r="V14" i="21" s="1"/>
  <c r="S14" i="21"/>
  <c r="T14" i="21" s="1"/>
  <c r="Q14" i="21"/>
  <c r="P14" i="21"/>
  <c r="O14" i="21"/>
  <c r="N14" i="21"/>
  <c r="M14" i="21"/>
  <c r="L14" i="21"/>
  <c r="K14" i="21"/>
  <c r="J14" i="21"/>
  <c r="I14" i="21"/>
  <c r="H14" i="21"/>
  <c r="G14" i="21"/>
  <c r="F14" i="21"/>
  <c r="E14" i="21"/>
  <c r="D14" i="21"/>
  <c r="C14" i="21"/>
  <c r="B14" i="21"/>
  <c r="A14" i="21"/>
  <c r="BG13" i="21"/>
  <c r="BH13" i="21" s="1"/>
  <c r="BE13" i="21"/>
  <c r="BF13" i="21" s="1"/>
  <c r="AW13" i="21"/>
  <c r="AX13" i="21" s="1"/>
  <c r="AU13" i="21"/>
  <c r="AV13" i="21" s="1"/>
  <c r="AS13" i="21"/>
  <c r="AT13" i="21" s="1"/>
  <c r="AQ13" i="21"/>
  <c r="AR13" i="21" s="1"/>
  <c r="AO13" i="21"/>
  <c r="AP13" i="21" s="1"/>
  <c r="AM13" i="21"/>
  <c r="AN13" i="21" s="1"/>
  <c r="AK13" i="21"/>
  <c r="AL13" i="21" s="1"/>
  <c r="AG13" i="21"/>
  <c r="AE13" i="21"/>
  <c r="AF13" i="21" s="1"/>
  <c r="AC13" i="21"/>
  <c r="AA13" i="21"/>
  <c r="AB13" i="21" s="1"/>
  <c r="W13" i="21"/>
  <c r="X13" i="21" s="1"/>
  <c r="U13" i="21"/>
  <c r="S13" i="21"/>
  <c r="T13" i="21" s="1"/>
  <c r="Q13" i="21"/>
  <c r="R13" i="21" s="1"/>
  <c r="P13" i="21"/>
  <c r="O13" i="21"/>
  <c r="N13" i="21"/>
  <c r="M13" i="21"/>
  <c r="L13" i="21"/>
  <c r="K13" i="21"/>
  <c r="J13" i="21"/>
  <c r="I13" i="21"/>
  <c r="H13" i="21"/>
  <c r="G13" i="21"/>
  <c r="F13" i="21"/>
  <c r="E13" i="21"/>
  <c r="D13" i="21"/>
  <c r="C13" i="21"/>
  <c r="B13" i="21"/>
  <c r="A13" i="21"/>
  <c r="BG12" i="21"/>
  <c r="BE12" i="21"/>
  <c r="BF12" i="21" s="1"/>
  <c r="AW12" i="21"/>
  <c r="AX12" i="21" s="1"/>
  <c r="AU12" i="21"/>
  <c r="AV12" i="21" s="1"/>
  <c r="AS12" i="21"/>
  <c r="AT12" i="21" s="1"/>
  <c r="AQ12" i="21"/>
  <c r="AR12" i="21" s="1"/>
  <c r="AO12" i="21"/>
  <c r="AP12" i="21" s="1"/>
  <c r="AM12" i="21"/>
  <c r="AK12" i="21"/>
  <c r="AL12" i="21" s="1"/>
  <c r="AG12" i="21"/>
  <c r="AH12" i="21" s="1"/>
  <c r="AE12" i="21"/>
  <c r="AF12" i="21" s="1"/>
  <c r="AC12" i="21"/>
  <c r="AD12" i="21" s="1"/>
  <c r="AA12" i="21"/>
  <c r="W12" i="21"/>
  <c r="X12" i="21" s="1"/>
  <c r="U12" i="21"/>
  <c r="V12" i="21" s="1"/>
  <c r="S12" i="21"/>
  <c r="Q12" i="21"/>
  <c r="R12" i="21" s="1"/>
  <c r="P12" i="21"/>
  <c r="O12" i="21"/>
  <c r="N12" i="21"/>
  <c r="M12" i="21"/>
  <c r="L12" i="21"/>
  <c r="K12" i="21"/>
  <c r="J12" i="21"/>
  <c r="I12" i="21"/>
  <c r="H12" i="21"/>
  <c r="G12" i="21"/>
  <c r="F12" i="21"/>
  <c r="E12" i="21"/>
  <c r="D12" i="21"/>
  <c r="C12" i="21"/>
  <c r="B12" i="21"/>
  <c r="A12" i="21"/>
  <c r="BG11" i="21"/>
  <c r="BH11" i="21" s="1"/>
  <c r="BE11" i="21"/>
  <c r="BF11" i="21" s="1"/>
  <c r="AW11" i="21"/>
  <c r="AX11" i="21" s="1"/>
  <c r="AU11" i="21"/>
  <c r="AV11" i="21" s="1"/>
  <c r="AS11" i="21"/>
  <c r="AT11" i="21" s="1"/>
  <c r="AQ11" i="21"/>
  <c r="AO11" i="21"/>
  <c r="AP11" i="21" s="1"/>
  <c r="AM11" i="21"/>
  <c r="AK11" i="21"/>
  <c r="AL11" i="21" s="1"/>
  <c r="AG11" i="21"/>
  <c r="AH11" i="21" s="1"/>
  <c r="AE11" i="21"/>
  <c r="AF11" i="21" s="1"/>
  <c r="AC11" i="21"/>
  <c r="AD11" i="21" s="1"/>
  <c r="AA11" i="21"/>
  <c r="AB11" i="21" s="1"/>
  <c r="W11" i="21"/>
  <c r="U11" i="21"/>
  <c r="V11" i="21" s="1"/>
  <c r="S11" i="21"/>
  <c r="Q11" i="21"/>
  <c r="R11" i="21" s="1"/>
  <c r="P11" i="21"/>
  <c r="O11" i="21"/>
  <c r="N11" i="21"/>
  <c r="M11" i="21"/>
  <c r="L11" i="21"/>
  <c r="K11" i="21"/>
  <c r="J11" i="21"/>
  <c r="I11" i="21"/>
  <c r="H11" i="21"/>
  <c r="G11" i="21"/>
  <c r="F11" i="21"/>
  <c r="E11" i="21"/>
  <c r="D11" i="21"/>
  <c r="C11" i="21"/>
  <c r="B11" i="21"/>
  <c r="A11" i="21"/>
  <c r="BG10" i="21"/>
  <c r="BH10" i="21" s="1"/>
  <c r="BE10" i="21"/>
  <c r="BF10" i="21" s="1"/>
  <c r="AW10" i="21"/>
  <c r="AX10" i="21" s="1"/>
  <c r="AU10" i="21"/>
  <c r="AS10" i="21"/>
  <c r="AT10" i="21" s="1"/>
  <c r="AQ10" i="21"/>
  <c r="AR10" i="21" s="1"/>
  <c r="AO10" i="21"/>
  <c r="AP10" i="21" s="1"/>
  <c r="AM10" i="21"/>
  <c r="AN10" i="21" s="1"/>
  <c r="AK10" i="21"/>
  <c r="AL10" i="21" s="1"/>
  <c r="AG10" i="21"/>
  <c r="AH10" i="21" s="1"/>
  <c r="AE10" i="21"/>
  <c r="AF10" i="21" s="1"/>
  <c r="AC10" i="21"/>
  <c r="AA10" i="21"/>
  <c r="AB10" i="21" s="1"/>
  <c r="W10" i="21"/>
  <c r="X10" i="21" s="1"/>
  <c r="U10" i="21"/>
  <c r="V10" i="21" s="1"/>
  <c r="S10" i="21"/>
  <c r="T10" i="21" s="1"/>
  <c r="Q10" i="21"/>
  <c r="R10" i="21" s="1"/>
  <c r="P10" i="21"/>
  <c r="O10" i="21"/>
  <c r="N10" i="21"/>
  <c r="M10" i="21"/>
  <c r="L10" i="21"/>
  <c r="K10" i="21"/>
  <c r="J10" i="21"/>
  <c r="I10" i="21"/>
  <c r="H10" i="21"/>
  <c r="G10" i="21"/>
  <c r="F10" i="21"/>
  <c r="E10" i="21"/>
  <c r="D10" i="21"/>
  <c r="C10" i="21"/>
  <c r="B10" i="21"/>
  <c r="A10" i="21"/>
  <c r="BG9" i="21"/>
  <c r="BH9" i="21" s="1"/>
  <c r="BE9" i="21"/>
  <c r="BF9" i="21" s="1"/>
  <c r="AW9" i="21"/>
  <c r="AX9" i="21" s="1"/>
  <c r="AU9" i="21"/>
  <c r="AS9" i="21"/>
  <c r="AT9" i="21" s="1"/>
  <c r="AQ9" i="21"/>
  <c r="AR9" i="21" s="1"/>
  <c r="AO9" i="21"/>
  <c r="AM9" i="21"/>
  <c r="AN9" i="21" s="1"/>
  <c r="AK9" i="21"/>
  <c r="AL9" i="21" s="1"/>
  <c r="AG9" i="21"/>
  <c r="AE9" i="21"/>
  <c r="AF9" i="21" s="1"/>
  <c r="AC9" i="21"/>
  <c r="AD9" i="21" s="1"/>
  <c r="AA9" i="21"/>
  <c r="AB9" i="21" s="1"/>
  <c r="W9" i="21"/>
  <c r="X9" i="21" s="1"/>
  <c r="U9" i="21"/>
  <c r="V9" i="21" s="1"/>
  <c r="S9" i="21"/>
  <c r="T9" i="21" s="1"/>
  <c r="Q9" i="21"/>
  <c r="R9" i="21" s="1"/>
  <c r="P9" i="21"/>
  <c r="O9" i="21"/>
  <c r="N9" i="21"/>
  <c r="M9" i="21"/>
  <c r="L9" i="21"/>
  <c r="K9" i="21"/>
  <c r="J9" i="21"/>
  <c r="I9" i="21"/>
  <c r="H9" i="21"/>
  <c r="G9" i="21"/>
  <c r="F9" i="21"/>
  <c r="E9" i="21"/>
  <c r="D9" i="21"/>
  <c r="C9" i="21"/>
  <c r="B9" i="21"/>
  <c r="A9" i="21"/>
  <c r="BG8" i="21"/>
  <c r="BE8" i="21"/>
  <c r="BF8" i="21" s="1"/>
  <c r="AW8" i="21"/>
  <c r="AX8" i="21" s="1"/>
  <c r="AU8" i="21"/>
  <c r="AV8" i="21" s="1"/>
  <c r="AS8" i="21"/>
  <c r="AQ8" i="21"/>
  <c r="AR8" i="21" s="1"/>
  <c r="AO8" i="21"/>
  <c r="AP8" i="21" s="1"/>
  <c r="AM8" i="21"/>
  <c r="AK8" i="21"/>
  <c r="AL8" i="21" s="1"/>
  <c r="AG8" i="21"/>
  <c r="AH8" i="21" s="1"/>
  <c r="AE8" i="21"/>
  <c r="AF8" i="21" s="1"/>
  <c r="AC8" i="21"/>
  <c r="AD8" i="21" s="1"/>
  <c r="AA8" i="21"/>
  <c r="AB8" i="21" s="1"/>
  <c r="W8" i="21"/>
  <c r="X8" i="21" s="1"/>
  <c r="U8" i="21"/>
  <c r="V8" i="21" s="1"/>
  <c r="S8" i="21"/>
  <c r="Q8" i="21"/>
  <c r="R8" i="21" s="1"/>
  <c r="P8" i="21"/>
  <c r="O8" i="21"/>
  <c r="N8" i="21"/>
  <c r="M8" i="21"/>
  <c r="L8" i="21"/>
  <c r="K8" i="21"/>
  <c r="J8" i="21"/>
  <c r="I8" i="21"/>
  <c r="H8" i="21"/>
  <c r="G8" i="21"/>
  <c r="F8" i="21"/>
  <c r="E8" i="21"/>
  <c r="D8" i="21"/>
  <c r="C8" i="21"/>
  <c r="B8" i="21"/>
  <c r="A8" i="21"/>
  <c r="BG7" i="21"/>
  <c r="BE7" i="21"/>
  <c r="BF7" i="21" s="1"/>
  <c r="AW7" i="21"/>
  <c r="AX7" i="21" s="1"/>
  <c r="AU7" i="21"/>
  <c r="AV7" i="21" s="1"/>
  <c r="AS7" i="21"/>
  <c r="AT7" i="21" s="1"/>
  <c r="AQ7" i="21"/>
  <c r="AO7" i="21"/>
  <c r="AP7" i="21" s="1"/>
  <c r="AM7" i="21"/>
  <c r="AK7" i="21"/>
  <c r="AL7" i="21" s="1"/>
  <c r="AG7" i="21"/>
  <c r="AH7" i="21" s="1"/>
  <c r="AE7" i="21"/>
  <c r="AF7" i="21" s="1"/>
  <c r="AC7" i="21"/>
  <c r="AD7" i="21" s="1"/>
  <c r="AA7" i="21"/>
  <c r="AB7" i="21" s="1"/>
  <c r="W7" i="21"/>
  <c r="U7" i="21"/>
  <c r="V7" i="21" s="1"/>
  <c r="S7" i="21"/>
  <c r="T7" i="21" s="1"/>
  <c r="Q7" i="21"/>
  <c r="R7" i="21" s="1"/>
  <c r="P7" i="21"/>
  <c r="O7" i="21"/>
  <c r="N7" i="21"/>
  <c r="M7" i="21"/>
  <c r="L7" i="21"/>
  <c r="K7" i="21"/>
  <c r="J7" i="21"/>
  <c r="I7" i="21"/>
  <c r="H7" i="21"/>
  <c r="G7" i="21"/>
  <c r="F7" i="21"/>
  <c r="E7" i="21"/>
  <c r="D7" i="21"/>
  <c r="C7" i="21"/>
  <c r="B7" i="21"/>
  <c r="A7" i="21"/>
  <c r="BG6" i="21"/>
  <c r="BH6" i="21" s="1"/>
  <c r="BE6" i="21"/>
  <c r="BF6" i="21" s="1"/>
  <c r="AW6" i="21"/>
  <c r="AX6" i="21" s="1"/>
  <c r="AU6" i="21"/>
  <c r="AS6" i="21"/>
  <c r="AT6" i="21" s="1"/>
  <c r="AQ6" i="21"/>
  <c r="AR6" i="21" s="1"/>
  <c r="AO6" i="21"/>
  <c r="AP6" i="21" s="1"/>
  <c r="AM6" i="21"/>
  <c r="AN6" i="21" s="1"/>
  <c r="AK6" i="21"/>
  <c r="AG6" i="21"/>
  <c r="AH6" i="21" s="1"/>
  <c r="AE6" i="21"/>
  <c r="AF6" i="21" s="1"/>
  <c r="AC6" i="21"/>
  <c r="AA6" i="21"/>
  <c r="AB6" i="21" s="1"/>
  <c r="W6" i="21"/>
  <c r="U6" i="21"/>
  <c r="V6" i="21" s="1"/>
  <c r="S6" i="21"/>
  <c r="T6" i="21" s="1"/>
  <c r="Q6" i="21"/>
  <c r="P6" i="21"/>
  <c r="O6" i="21"/>
  <c r="N6" i="21"/>
  <c r="M6" i="21"/>
  <c r="L6" i="21"/>
  <c r="K6" i="21"/>
  <c r="J6" i="21"/>
  <c r="I6" i="21"/>
  <c r="H6" i="21"/>
  <c r="G6" i="21"/>
  <c r="F6" i="21"/>
  <c r="E6" i="21"/>
  <c r="D6" i="21"/>
  <c r="C6" i="21"/>
  <c r="B6" i="21"/>
  <c r="A6" i="21"/>
  <c r="BG5" i="21"/>
  <c r="BH5" i="21" s="1"/>
  <c r="BE5" i="21"/>
  <c r="BF5" i="21" s="1"/>
  <c r="AW5" i="21"/>
  <c r="AX5" i="21" s="1"/>
  <c r="AU5" i="21"/>
  <c r="AS5" i="21"/>
  <c r="AT5" i="21" s="1"/>
  <c r="AQ5" i="21"/>
  <c r="AR5" i="21" s="1"/>
  <c r="AO5" i="21"/>
  <c r="AP5" i="21" s="1"/>
  <c r="AM5" i="21"/>
  <c r="AN5" i="21" s="1"/>
  <c r="AK5" i="21"/>
  <c r="AL5" i="21" s="1"/>
  <c r="AG5" i="21"/>
  <c r="AE5" i="21"/>
  <c r="AF5" i="21" s="1"/>
  <c r="AC5" i="21"/>
  <c r="AD5" i="21" s="1"/>
  <c r="AA5" i="21"/>
  <c r="AB5" i="21" s="1"/>
  <c r="W5" i="21"/>
  <c r="X5" i="21" s="1"/>
  <c r="U5" i="21"/>
  <c r="S5" i="21"/>
  <c r="T5" i="21" s="1"/>
  <c r="Q5" i="21"/>
  <c r="R5" i="21" s="1"/>
  <c r="P5" i="21"/>
  <c r="O5" i="21"/>
  <c r="N5" i="21"/>
  <c r="M5" i="21"/>
  <c r="L5" i="21"/>
  <c r="K5" i="21"/>
  <c r="J5" i="21"/>
  <c r="I5" i="21"/>
  <c r="H5" i="21"/>
  <c r="G5" i="21"/>
  <c r="F5" i="21"/>
  <c r="E5" i="21"/>
  <c r="D5" i="21"/>
  <c r="C5" i="21"/>
  <c r="B5" i="21"/>
  <c r="A5" i="21"/>
  <c r="BG4" i="21"/>
  <c r="BE4" i="21"/>
  <c r="BF4" i="21" s="1"/>
  <c r="AW4" i="21"/>
  <c r="AX4" i="21" s="1"/>
  <c r="AU4" i="21"/>
  <c r="AV4" i="21" s="1"/>
  <c r="AS4" i="21"/>
  <c r="AT4" i="21" s="1"/>
  <c r="AQ4" i="21"/>
  <c r="AR4" i="21" s="1"/>
  <c r="AO4" i="21"/>
  <c r="AP4" i="21" s="1"/>
  <c r="AM4" i="21"/>
  <c r="AK4" i="21"/>
  <c r="AL4" i="21" s="1"/>
  <c r="AG4" i="21"/>
  <c r="AE4" i="21"/>
  <c r="AF4" i="21" s="1"/>
  <c r="AC4" i="21"/>
  <c r="AD4" i="21" s="1"/>
  <c r="AA4" i="21"/>
  <c r="AB4" i="21" s="1"/>
  <c r="W4" i="21"/>
  <c r="X4" i="21" s="1"/>
  <c r="U4" i="21"/>
  <c r="V4" i="21" s="1"/>
  <c r="S4" i="21"/>
  <c r="Q4" i="21"/>
  <c r="R4" i="21" s="1"/>
  <c r="P4" i="21"/>
  <c r="O4" i="21"/>
  <c r="N4" i="21"/>
  <c r="M4" i="21"/>
  <c r="L4" i="21"/>
  <c r="K4" i="21"/>
  <c r="J4" i="21"/>
  <c r="I4" i="21"/>
  <c r="H4" i="21"/>
  <c r="G4" i="21"/>
  <c r="F4" i="21"/>
  <c r="E4" i="21"/>
  <c r="D4" i="21"/>
  <c r="C4" i="21"/>
  <c r="B4" i="21"/>
  <c r="A4" i="21"/>
  <c r="BG3" i="21"/>
  <c r="BE3" i="21"/>
  <c r="BF3" i="21" s="1"/>
  <c r="AW3" i="21"/>
  <c r="AX3" i="21" s="1"/>
  <c r="AU3" i="21"/>
  <c r="AV3" i="21" s="1"/>
  <c r="AS3" i="21"/>
  <c r="AT3" i="21" s="1"/>
  <c r="AQ3" i="21"/>
  <c r="AO3" i="21"/>
  <c r="AP3" i="21" s="1"/>
  <c r="AM3" i="21"/>
  <c r="AN3" i="21" s="1"/>
  <c r="AK3" i="21"/>
  <c r="AL3" i="21" s="1"/>
  <c r="AG3" i="21"/>
  <c r="AH3" i="21" s="1"/>
  <c r="AE3" i="21"/>
  <c r="AC3" i="21"/>
  <c r="AD3" i="21" s="1"/>
  <c r="AA3" i="21"/>
  <c r="AB3" i="21" s="1"/>
  <c r="W3" i="21"/>
  <c r="U3" i="21"/>
  <c r="V3" i="21" s="1"/>
  <c r="S3" i="21"/>
  <c r="T3" i="21" s="1"/>
  <c r="Q3" i="21"/>
  <c r="R3" i="21" s="1"/>
  <c r="P3" i="21"/>
  <c r="O3" i="21"/>
  <c r="N3" i="21"/>
  <c r="M3" i="21"/>
  <c r="L3" i="21"/>
  <c r="K3" i="21"/>
  <c r="J3" i="21"/>
  <c r="I3" i="21"/>
  <c r="H3" i="21"/>
  <c r="G3" i="21"/>
  <c r="F3" i="21"/>
  <c r="E3" i="21"/>
  <c r="D3" i="21"/>
  <c r="C3" i="21"/>
  <c r="B3" i="21"/>
  <c r="A3" i="21"/>
  <c r="BG2" i="21"/>
  <c r="BH2" i="21" s="1"/>
  <c r="BE2" i="21"/>
  <c r="BF2" i="21" s="1"/>
  <c r="AY2" i="21"/>
  <c r="AZ2" i="21" s="1"/>
  <c r="AW2" i="21"/>
  <c r="AX2" i="21" s="1"/>
  <c r="AU2" i="21"/>
  <c r="AS2" i="21"/>
  <c r="AT2" i="21" s="1"/>
  <c r="AQ2" i="21"/>
  <c r="AO2" i="21"/>
  <c r="AP2" i="21" s="1"/>
  <c r="AM2" i="21"/>
  <c r="AN2" i="21" s="1"/>
  <c r="AK2" i="21"/>
  <c r="AG2" i="21"/>
  <c r="AH2" i="21" s="1"/>
  <c r="AE2" i="21"/>
  <c r="AF2" i="21" s="1"/>
  <c r="AC2" i="21"/>
  <c r="AA2" i="21"/>
  <c r="AB2" i="21" s="1"/>
  <c r="W2" i="21"/>
  <c r="X2" i="21" s="1"/>
  <c r="U2" i="21"/>
  <c r="V2" i="21" s="1"/>
  <c r="S2" i="21"/>
  <c r="T2" i="21" s="1"/>
  <c r="Q2" i="21"/>
  <c r="R2" i="21" s="1"/>
  <c r="P2" i="21"/>
  <c r="O2" i="21"/>
  <c r="N2" i="21"/>
  <c r="M2" i="21"/>
  <c r="L2" i="21"/>
  <c r="K2" i="21"/>
  <c r="J2" i="21"/>
  <c r="I2" i="21"/>
  <c r="H2" i="21"/>
  <c r="G2" i="21"/>
  <c r="F2" i="21"/>
  <c r="E2" i="21"/>
  <c r="D2" i="21"/>
  <c r="C2" i="21"/>
  <c r="B2" i="21"/>
  <c r="A2" i="21"/>
  <c r="J69" i="22" l="1"/>
  <c r="I60" i="22"/>
  <c r="I55" i="22"/>
  <c r="J55" i="22"/>
  <c r="J54" i="22"/>
  <c r="I54" i="22"/>
  <c r="J79" i="22"/>
  <c r="I78" i="22"/>
  <c r="E37" i="22"/>
  <c r="E29" i="22"/>
  <c r="H32" i="22"/>
  <c r="H33" i="22"/>
  <c r="J15" i="22"/>
  <c r="E13" i="22"/>
  <c r="J14" i="22"/>
  <c r="H10" i="22"/>
  <c r="I10" i="22"/>
  <c r="J10" i="22"/>
  <c r="J7" i="22"/>
  <c r="E5" i="22"/>
  <c r="I7" i="22"/>
  <c r="J6" i="22"/>
  <c r="H79" i="22"/>
  <c r="I69" i="22"/>
  <c r="J34" i="22"/>
  <c r="H22" i="22"/>
  <c r="I17" i="22"/>
  <c r="I57" i="22"/>
  <c r="H19" i="22"/>
  <c r="H58" i="22"/>
  <c r="I16" i="22"/>
  <c r="H48" i="22"/>
  <c r="H57" i="22"/>
  <c r="I77" i="22"/>
  <c r="I48" i="22"/>
  <c r="H17" i="22"/>
  <c r="H78" i="22"/>
  <c r="H68" i="22"/>
  <c r="E73" i="22"/>
  <c r="J46" i="22"/>
  <c r="E45" i="22"/>
  <c r="I46" i="22"/>
  <c r="J47" i="22"/>
  <c r="I32" i="22"/>
  <c r="H2" i="22"/>
  <c r="I43" i="22"/>
  <c r="I56" i="22"/>
  <c r="J56" i="22"/>
  <c r="E21" i="22"/>
  <c r="H6" i="22"/>
  <c r="H34" i="22"/>
  <c r="E53" i="22"/>
  <c r="I18" i="22"/>
  <c r="J18" i="22"/>
  <c r="I58" i="22"/>
  <c r="I22" i="22"/>
  <c r="I66" i="22"/>
  <c r="J66" i="22"/>
  <c r="I42" i="22"/>
  <c r="J42" i="22"/>
  <c r="H77" i="22"/>
  <c r="H59" i="22"/>
  <c r="J19" i="22"/>
  <c r="H67" i="22"/>
  <c r="I3" i="22"/>
  <c r="H3" i="22"/>
  <c r="H16" i="22"/>
  <c r="J27" i="22"/>
  <c r="I27" i="22"/>
  <c r="I31" i="22"/>
  <c r="J31" i="22"/>
  <c r="E1" i="22"/>
  <c r="I67" i="22"/>
  <c r="J33" i="22"/>
  <c r="E63" i="22"/>
  <c r="I47" i="22"/>
  <c r="J2" i="22"/>
  <c r="H43" i="22"/>
  <c r="H31" i="22"/>
  <c r="H42" i="22"/>
  <c r="I59" i="22"/>
  <c r="H66" i="22"/>
  <c r="I6" i="22"/>
  <c r="H56" i="22"/>
  <c r="H46" i="22"/>
  <c r="I68" i="22"/>
  <c r="AI48" i="21"/>
  <c r="AI56" i="21"/>
  <c r="AI64" i="21"/>
  <c r="AI72" i="21"/>
  <c r="AI80" i="21"/>
  <c r="BA92" i="21"/>
  <c r="Y116" i="21"/>
  <c r="BA116" i="21"/>
  <c r="AI120" i="21"/>
  <c r="Y124" i="21"/>
  <c r="Y132" i="21"/>
  <c r="Y140" i="21"/>
  <c r="BA148" i="21"/>
  <c r="Y156" i="21"/>
  <c r="BA188" i="21"/>
  <c r="BA196" i="21"/>
  <c r="BA204" i="21"/>
  <c r="BA278" i="21"/>
  <c r="BA284" i="21"/>
  <c r="BA286" i="21"/>
  <c r="BA300" i="21"/>
  <c r="BA312" i="21"/>
  <c r="BA316" i="21"/>
  <c r="Y332" i="21"/>
  <c r="AI336" i="21"/>
  <c r="AI344" i="21"/>
  <c r="Y348" i="21"/>
  <c r="Y356" i="21"/>
  <c r="Y396" i="21"/>
  <c r="Y174" i="21"/>
  <c r="AI178" i="21"/>
  <c r="Y182" i="21"/>
  <c r="Y214" i="21"/>
  <c r="Y230" i="21"/>
  <c r="BA4" i="21"/>
  <c r="BA20" i="21"/>
  <c r="BA28" i="21"/>
  <c r="AJ95" i="21"/>
  <c r="AJ111" i="21"/>
  <c r="AJ135" i="21"/>
  <c r="BB211" i="21"/>
  <c r="BB219" i="21"/>
  <c r="BA220" i="21"/>
  <c r="BA270" i="21"/>
  <c r="BA288" i="21"/>
  <c r="BA296" i="21"/>
  <c r="BA320" i="21"/>
  <c r="AJ351" i="21"/>
  <c r="AI69" i="21"/>
  <c r="Z72" i="21"/>
  <c r="Y73" i="21"/>
  <c r="Z80" i="21"/>
  <c r="Y81" i="21"/>
  <c r="AI85" i="21"/>
  <c r="Z88" i="21"/>
  <c r="Y89" i="21"/>
  <c r="AI93" i="21"/>
  <c r="AI101" i="21"/>
  <c r="AI109" i="21"/>
  <c r="AJ116" i="21"/>
  <c r="AJ124" i="21"/>
  <c r="AI125" i="21"/>
  <c r="BB176" i="21"/>
  <c r="AJ252" i="21"/>
  <c r="AJ260" i="21"/>
  <c r="AI261" i="21"/>
  <c r="AI269" i="21"/>
  <c r="Z272" i="21"/>
  <c r="AI277" i="21"/>
  <c r="Z280" i="21"/>
  <c r="Y281" i="21"/>
  <c r="AI285" i="21"/>
  <c r="Z288" i="21"/>
  <c r="Y289" i="21"/>
  <c r="Y297" i="21"/>
  <c r="AJ300" i="21"/>
  <c r="AJ324" i="21"/>
  <c r="Y385" i="21"/>
  <c r="BA206" i="21"/>
  <c r="AJ217" i="21"/>
  <c r="BA400" i="21"/>
  <c r="BB258" i="21"/>
  <c r="BB322" i="21"/>
  <c r="BA12" i="21"/>
  <c r="AJ127" i="21"/>
  <c r="BA180" i="21"/>
  <c r="BB291" i="21"/>
  <c r="BB339" i="21"/>
  <c r="BA344" i="21"/>
  <c r="BA348" i="21"/>
  <c r="BA350" i="21"/>
  <c r="BA360" i="21"/>
  <c r="BA364" i="21"/>
  <c r="BA376" i="21"/>
  <c r="BB379" i="21"/>
  <c r="BA382" i="21"/>
  <c r="BA384" i="21"/>
  <c r="BA388" i="21"/>
  <c r="BA392" i="21"/>
  <c r="AJ240" i="21"/>
  <c r="AJ320" i="21"/>
  <c r="Y333" i="21"/>
  <c r="AI337" i="21"/>
  <c r="AI345" i="21"/>
  <c r="Y349" i="21"/>
  <c r="AI353" i="21"/>
  <c r="Y357" i="21"/>
  <c r="Y365" i="21"/>
  <c r="AI385" i="21"/>
  <c r="Z388" i="21"/>
  <c r="AJ392" i="21"/>
  <c r="AI393" i="21"/>
  <c r="Z396" i="21"/>
  <c r="Y397" i="21"/>
  <c r="Z404" i="21"/>
  <c r="Y286" i="21"/>
  <c r="AJ289" i="21"/>
  <c r="AJ297" i="21"/>
  <c r="AI298" i="21"/>
  <c r="AI306" i="21"/>
  <c r="Y310" i="21"/>
  <c r="BA310" i="21"/>
  <c r="AI314" i="21"/>
  <c r="AJ321" i="21"/>
  <c r="AI322" i="21"/>
  <c r="BA334" i="21"/>
  <c r="BA342" i="21"/>
  <c r="BA366" i="21"/>
  <c r="BB125" i="21"/>
  <c r="BB133" i="21"/>
  <c r="BB149" i="21"/>
  <c r="AJ169" i="21"/>
  <c r="AJ193" i="21"/>
  <c r="AI210" i="21"/>
  <c r="AI218" i="21"/>
  <c r="Y222" i="21"/>
  <c r="AI282" i="21"/>
  <c r="AI290" i="21"/>
  <c r="AJ401" i="21"/>
  <c r="BA367" i="21"/>
  <c r="BA399" i="21"/>
  <c r="AJ75" i="21"/>
  <c r="AI76" i="21"/>
  <c r="Y80" i="21"/>
  <c r="AJ83" i="21"/>
  <c r="AI84" i="21"/>
  <c r="Y88" i="21"/>
  <c r="AJ91" i="21"/>
  <c r="AI92" i="21"/>
  <c r="Y96" i="21"/>
  <c r="AJ99" i="21"/>
  <c r="Y104" i="21"/>
  <c r="AJ107" i="21"/>
  <c r="BB72" i="21"/>
  <c r="BB80" i="21"/>
  <c r="BB88" i="21"/>
  <c r="BA121" i="21"/>
  <c r="BA129" i="21"/>
  <c r="BA137" i="21"/>
  <c r="BA161" i="21"/>
  <c r="BA169" i="21"/>
  <c r="BA177" i="21"/>
  <c r="BA185" i="21"/>
  <c r="BA193" i="21"/>
  <c r="BA201" i="21"/>
  <c r="BA209" i="21"/>
  <c r="BA217" i="21"/>
  <c r="Z224" i="21"/>
  <c r="Y225" i="21"/>
  <c r="BA225" i="21"/>
  <c r="AI229" i="21"/>
  <c r="AJ236" i="21"/>
  <c r="AI237" i="21"/>
  <c r="BA241" i="21"/>
  <c r="AI245" i="21"/>
  <c r="BA249" i="21"/>
  <c r="BA257" i="21"/>
  <c r="BB264" i="21"/>
  <c r="BB272" i="21"/>
  <c r="BA277" i="21"/>
  <c r="BB280" i="21"/>
  <c r="BA281" i="21"/>
  <c r="BA285" i="21"/>
  <c r="BA289" i="21"/>
  <c r="BA293" i="21"/>
  <c r="BA301" i="21"/>
  <c r="BA305" i="21"/>
  <c r="AJ308" i="21"/>
  <c r="AI309" i="21"/>
  <c r="BA309" i="21"/>
  <c r="BA313" i="21"/>
  <c r="BA321" i="21"/>
  <c r="BA329" i="21"/>
  <c r="BA333" i="21"/>
  <c r="BA341" i="21"/>
  <c r="BA345" i="21"/>
  <c r="BA353" i="21"/>
  <c r="BA357" i="21"/>
  <c r="BB360" i="21"/>
  <c r="BA361" i="21"/>
  <c r="BB368" i="21"/>
  <c r="BA369" i="21"/>
  <c r="BA377" i="21"/>
  <c r="BA381" i="21"/>
  <c r="BB384" i="21"/>
  <c r="BA385" i="21"/>
  <c r="BA389" i="21"/>
  <c r="BB392" i="21"/>
  <c r="BA393" i="21"/>
  <c r="BA401" i="21"/>
  <c r="BA222" i="21"/>
  <c r="BA402" i="21"/>
  <c r="Y3" i="21"/>
  <c r="BA3" i="21"/>
  <c r="AI7" i="21"/>
  <c r="Z10" i="21"/>
  <c r="Y11" i="21"/>
  <c r="BA11" i="21"/>
  <c r="AI15" i="21"/>
  <c r="Y19" i="21"/>
  <c r="BA19" i="21"/>
  <c r="BA35" i="21"/>
  <c r="Y59" i="21"/>
  <c r="AJ62" i="21"/>
  <c r="AJ70" i="21"/>
  <c r="Y75" i="21"/>
  <c r="AJ78" i="21"/>
  <c r="AI79" i="21"/>
  <c r="Y83" i="21"/>
  <c r="AJ86" i="21"/>
  <c r="AI87" i="21"/>
  <c r="AJ94" i="21"/>
  <c r="Y99" i="21"/>
  <c r="Y107" i="21"/>
  <c r="Z114" i="21"/>
  <c r="Z122" i="21"/>
  <c r="Y123" i="21"/>
  <c r="Z130" i="21"/>
  <c r="Y131" i="21"/>
  <c r="Z138" i="21"/>
  <c r="Y139" i="21"/>
  <c r="Z146" i="21"/>
  <c r="Y147" i="21"/>
  <c r="BB162" i="21"/>
  <c r="AI167" i="21"/>
  <c r="Z170" i="21"/>
  <c r="Z178" i="21"/>
  <c r="Y179" i="21"/>
  <c r="AJ182" i="21"/>
  <c r="AI183" i="21"/>
  <c r="AJ190" i="21"/>
  <c r="AI191" i="21"/>
  <c r="AJ198" i="21"/>
  <c r="AI199" i="21"/>
  <c r="Y203" i="21"/>
  <c r="Y211" i="21"/>
  <c r="AJ214" i="21"/>
  <c r="AJ222" i="21"/>
  <c r="BB242" i="21"/>
  <c r="BB298" i="21"/>
  <c r="BB314" i="21"/>
  <c r="BB330" i="21"/>
  <c r="BA60" i="21"/>
  <c r="BA76" i="21"/>
  <c r="BB13" i="21"/>
  <c r="BA14" i="21"/>
  <c r="BA22" i="21"/>
  <c r="BA30" i="21"/>
  <c r="BA38" i="21"/>
  <c r="BA46" i="21"/>
  <c r="BB53" i="21"/>
  <c r="BA62" i="21"/>
  <c r="BA70" i="21"/>
  <c r="BA84" i="21"/>
  <c r="BA7" i="21"/>
  <c r="BA31" i="21"/>
  <c r="BA39" i="21"/>
  <c r="BA47" i="21"/>
  <c r="Z118" i="21"/>
  <c r="Y119" i="21"/>
  <c r="Z126" i="21"/>
  <c r="Y127" i="21"/>
  <c r="AI131" i="21"/>
  <c r="Z134" i="21"/>
  <c r="Y135" i="21"/>
  <c r="BA135" i="21"/>
  <c r="AI139" i="21"/>
  <c r="Z142" i="21"/>
  <c r="Y143" i="21"/>
  <c r="Z150" i="21"/>
  <c r="Y151" i="21"/>
  <c r="Z158" i="21"/>
  <c r="Y159" i="21"/>
  <c r="BB166" i="21"/>
  <c r="AI171" i="21"/>
  <c r="Y175" i="21"/>
  <c r="Z182" i="21"/>
  <c r="BB182" i="21"/>
  <c r="Y183" i="21"/>
  <c r="BA183" i="21"/>
  <c r="AJ186" i="21"/>
  <c r="AI187" i="21"/>
  <c r="Z190" i="21"/>
  <c r="Y191" i="21"/>
  <c r="BA287" i="21"/>
  <c r="BA295" i="21"/>
  <c r="BA335" i="21"/>
  <c r="BB32" i="21"/>
  <c r="Z48" i="21"/>
  <c r="AI53" i="21"/>
  <c r="Y57" i="21"/>
  <c r="Z64" i="21"/>
  <c r="BA65" i="21"/>
  <c r="BB24" i="21"/>
  <c r="BA33" i="21"/>
  <c r="BB40" i="21"/>
  <c r="BB56" i="21"/>
  <c r="AI61" i="21"/>
  <c r="Z2" i="21"/>
  <c r="AI6" i="21"/>
  <c r="Z9" i="21"/>
  <c r="BA10" i="21"/>
  <c r="AI14" i="21"/>
  <c r="Z17" i="21"/>
  <c r="BB17" i="21"/>
  <c r="Y18" i="21"/>
  <c r="BA18" i="21"/>
  <c r="AJ21" i="21"/>
  <c r="Z25" i="21"/>
  <c r="Y26" i="21"/>
  <c r="BA26" i="21"/>
  <c r="AI30" i="21"/>
  <c r="Z33" i="21"/>
  <c r="Y34" i="21"/>
  <c r="BA34" i="21"/>
  <c r="BA42" i="21"/>
  <c r="BA50" i="21"/>
  <c r="BA32" i="21"/>
  <c r="BA67" i="21"/>
  <c r="BA75" i="21"/>
  <c r="BA83" i="21"/>
  <c r="BA91" i="21"/>
  <c r="BA115" i="21"/>
  <c r="BA147" i="21"/>
  <c r="BA155" i="21"/>
  <c r="BA163" i="21"/>
  <c r="BA171" i="21"/>
  <c r="BA187" i="21"/>
  <c r="BA195" i="21"/>
  <c r="BA203" i="21"/>
  <c r="BA211" i="21"/>
  <c r="BA58" i="21"/>
  <c r="Z65" i="21"/>
  <c r="Y66" i="21"/>
  <c r="BA66" i="21"/>
  <c r="AI70" i="21"/>
  <c r="Z73" i="21"/>
  <c r="Y74" i="21"/>
  <c r="BA74" i="21"/>
  <c r="BA82" i="21"/>
  <c r="BA90" i="21"/>
  <c r="BB113" i="21"/>
  <c r="BA114" i="21"/>
  <c r="BA122" i="21"/>
  <c r="BB129" i="21"/>
  <c r="BA130" i="21"/>
  <c r="BB137" i="21"/>
  <c r="BA138" i="21"/>
  <c r="BB145" i="21"/>
  <c r="BA162" i="21"/>
  <c r="BA170" i="21"/>
  <c r="BB185" i="21"/>
  <c r="Y186" i="21"/>
  <c r="BA186" i="21"/>
  <c r="AJ189" i="21"/>
  <c r="AI190" i="21"/>
  <c r="BB193" i="21"/>
  <c r="Y194" i="21"/>
  <c r="AJ197" i="21"/>
  <c r="AI198" i="21"/>
  <c r="BA202" i="21"/>
  <c r="AJ205" i="21"/>
  <c r="AI206" i="21"/>
  <c r="BA210" i="21"/>
  <c r="AJ213" i="21"/>
  <c r="AI214" i="21"/>
  <c r="Y218" i="21"/>
  <c r="BA218" i="21"/>
  <c r="AI222" i="21"/>
  <c r="Y226" i="21"/>
  <c r="BA274" i="21"/>
  <c r="BA282" i="21"/>
  <c r="BB305" i="21"/>
  <c r="BA306" i="21"/>
  <c r="BB313" i="21"/>
  <c r="BA314" i="21"/>
  <c r="BA322" i="21"/>
  <c r="BA338" i="21"/>
  <c r="BB353" i="21"/>
  <c r="BA354" i="21"/>
  <c r="BA362" i="21"/>
  <c r="BB385" i="21"/>
  <c r="BA386" i="21"/>
  <c r="BA394" i="21"/>
  <c r="BA235" i="21"/>
  <c r="BA243" i="21"/>
  <c r="BA251" i="21"/>
  <c r="BA259" i="21"/>
  <c r="BA267" i="21"/>
  <c r="BA323" i="21"/>
  <c r="BA331" i="21"/>
  <c r="BA355" i="21"/>
  <c r="BA363" i="21"/>
  <c r="BA387" i="21"/>
  <c r="BA5" i="21"/>
  <c r="BA13" i="21"/>
  <c r="BA21" i="21"/>
  <c r="AI25" i="21"/>
  <c r="Z28" i="21"/>
  <c r="BB28" i="21"/>
  <c r="Y29" i="21"/>
  <c r="Z36" i="21"/>
  <c r="BB36" i="21"/>
  <c r="Y37" i="21"/>
  <c r="BA37" i="21"/>
  <c r="BB44" i="21"/>
  <c r="BB52" i="21"/>
  <c r="AJ56" i="21"/>
  <c r="AI57" i="21"/>
  <c r="BA77" i="21"/>
  <c r="BA85" i="21"/>
  <c r="BA93" i="21"/>
  <c r="BA149" i="21"/>
  <c r="BA181" i="21"/>
  <c r="BA189" i="21"/>
  <c r="BA213" i="21"/>
  <c r="BA221" i="21"/>
  <c r="BB141" i="21"/>
  <c r="BA150" i="21"/>
  <c r="BA182" i="21"/>
  <c r="BA214" i="21"/>
  <c r="BA242" i="21"/>
  <c r="BA250" i="21"/>
  <c r="BA258" i="21"/>
  <c r="Z68" i="21"/>
  <c r="BB68" i="21"/>
  <c r="Y69" i="21"/>
  <c r="BB76" i="21"/>
  <c r="BB84" i="21"/>
  <c r="BB92" i="21"/>
  <c r="BB268" i="21"/>
  <c r="BB284" i="21"/>
  <c r="BB300" i="21"/>
  <c r="Y309" i="21"/>
  <c r="AJ312" i="21"/>
  <c r="Y317" i="21"/>
  <c r="BB372" i="21"/>
  <c r="BB380" i="21"/>
  <c r="Y198" i="21"/>
  <c r="AJ201" i="21"/>
  <c r="Z237" i="21"/>
  <c r="BB237" i="21"/>
  <c r="BB397" i="21"/>
  <c r="AJ194" i="21"/>
  <c r="AI195" i="21"/>
  <c r="Y199" i="21"/>
  <c r="BA199" i="21"/>
  <c r="AJ202" i="21"/>
  <c r="AI203" i="21"/>
  <c r="BA207" i="21"/>
  <c r="AI211" i="21"/>
  <c r="Y215" i="21"/>
  <c r="AJ218" i="21"/>
  <c r="BA223" i="21"/>
  <c r="BA239" i="21"/>
  <c r="BB246" i="21"/>
  <c r="BB254" i="21"/>
  <c r="AI259" i="21"/>
  <c r="Z262" i="21"/>
  <c r="BB262" i="21"/>
  <c r="Y263" i="21"/>
  <c r="AJ266" i="21"/>
  <c r="BA271" i="21"/>
  <c r="BB302" i="21"/>
  <c r="BB318" i="21"/>
  <c r="BB326" i="21"/>
  <c r="BB350" i="21"/>
  <c r="BB358" i="21"/>
  <c r="BB374" i="21"/>
  <c r="BB382" i="21"/>
  <c r="BB390" i="21"/>
  <c r="BB398" i="21"/>
  <c r="Y399" i="21"/>
  <c r="AJ402" i="21"/>
  <c r="AI403" i="21"/>
  <c r="Y112" i="21"/>
  <c r="Z119" i="21"/>
  <c r="Y120" i="21"/>
  <c r="Y128" i="21"/>
  <c r="BA136" i="21"/>
  <c r="BA160" i="21"/>
  <c r="BB167" i="21"/>
  <c r="Z175" i="21"/>
  <c r="Y176" i="21"/>
  <c r="BA176" i="21"/>
  <c r="Z183" i="21"/>
  <c r="AJ187" i="21"/>
  <c r="BA192" i="21"/>
  <c r="BA200" i="21"/>
  <c r="BB223" i="21"/>
  <c r="Y240" i="21"/>
  <c r="AI244" i="21"/>
  <c r="Z247" i="21"/>
  <c r="Y248" i="21"/>
  <c r="BA248" i="21"/>
  <c r="AI252" i="21"/>
  <c r="Z255" i="21"/>
  <c r="Y256" i="21"/>
  <c r="BA256" i="21"/>
  <c r="AI260" i="21"/>
  <c r="Z263" i="21"/>
  <c r="BA264" i="21"/>
  <c r="AJ267" i="21"/>
  <c r="BB287" i="21"/>
  <c r="BB303" i="21"/>
  <c r="Y328" i="21"/>
  <c r="BB343" i="21"/>
  <c r="BB359" i="21"/>
  <c r="Y360" i="21"/>
  <c r="AJ363" i="21"/>
  <c r="BB367" i="21"/>
  <c r="AI372" i="21"/>
  <c r="BB383" i="21"/>
  <c r="Z41" i="21"/>
  <c r="Y42" i="21"/>
  <c r="AI77" i="21"/>
  <c r="AI267" i="21"/>
  <c r="Y271" i="21"/>
  <c r="AJ274" i="21"/>
  <c r="AI275" i="21"/>
  <c r="Y279" i="21"/>
  <c r="AJ282" i="21"/>
  <c r="AJ290" i="21"/>
  <c r="AI291" i="21"/>
  <c r="Y303" i="21"/>
  <c r="Y311" i="21"/>
  <c r="AJ314" i="21"/>
  <c r="AI315" i="21"/>
  <c r="Y319" i="21"/>
  <c r="AI330" i="21"/>
  <c r="AJ337" i="21"/>
  <c r="AI338" i="21"/>
  <c r="AJ345" i="21"/>
  <c r="AJ361" i="21"/>
  <c r="AI362" i="21"/>
  <c r="Y366" i="21"/>
  <c r="AJ369" i="21"/>
  <c r="AI370" i="21"/>
  <c r="Y374" i="21"/>
  <c r="AJ377" i="21"/>
  <c r="AI378" i="21"/>
  <c r="Y382" i="21"/>
  <c r="AI386" i="21"/>
  <c r="AJ393" i="21"/>
  <c r="AI394" i="21"/>
  <c r="Y398" i="21"/>
  <c r="AJ54" i="21"/>
  <c r="Z81" i="21"/>
  <c r="Y82" i="21"/>
  <c r="AI86" i="21"/>
  <c r="Z89" i="21"/>
  <c r="Y90" i="21"/>
  <c r="AI94" i="21"/>
  <c r="Z97" i="21"/>
  <c r="AI102" i="21"/>
  <c r="Z105" i="21"/>
  <c r="AI110" i="21"/>
  <c r="Z113" i="21"/>
  <c r="AJ117" i="21"/>
  <c r="Z208" i="21"/>
  <c r="AI213" i="21"/>
  <c r="Z216" i="21"/>
  <c r="Y217" i="21"/>
  <c r="AI221" i="21"/>
  <c r="AI268" i="21"/>
  <c r="AJ275" i="21"/>
  <c r="AI276" i="21"/>
  <c r="AJ283" i="21"/>
  <c r="AI284" i="21"/>
  <c r="Z287" i="21"/>
  <c r="Y288" i="21"/>
  <c r="AI292" i="21"/>
  <c r="Z295" i="21"/>
  <c r="Y296" i="21"/>
  <c r="Y304" i="21"/>
  <c r="AJ307" i="21"/>
  <c r="AI308" i="21"/>
  <c r="Y312" i="21"/>
  <c r="AJ315" i="21"/>
  <c r="AI316" i="21"/>
  <c r="Z319" i="21"/>
  <c r="Y320" i="21"/>
  <c r="AI324" i="21"/>
  <c r="Z326" i="21"/>
  <c r="Y327" i="21"/>
  <c r="AI331" i="21"/>
  <c r="AI339" i="21"/>
  <c r="Y343" i="21"/>
  <c r="AJ346" i="21"/>
  <c r="AI347" i="21"/>
  <c r="Y351" i="21"/>
  <c r="AJ354" i="21"/>
  <c r="AI355" i="21"/>
  <c r="Z358" i="21"/>
  <c r="Y359" i="21"/>
  <c r="AJ362" i="21"/>
  <c r="Z366" i="21"/>
  <c r="Y367" i="21"/>
  <c r="AJ370" i="21"/>
  <c r="AI371" i="21"/>
  <c r="Z374" i="21"/>
  <c r="Y375" i="21"/>
  <c r="AJ378" i="21"/>
  <c r="AI379" i="21"/>
  <c r="Z390" i="21"/>
  <c r="AJ394" i="21"/>
  <c r="Z154" i="21"/>
  <c r="AI166" i="21"/>
  <c r="AJ173" i="21"/>
  <c r="AI174" i="21"/>
  <c r="Y178" i="21"/>
  <c r="AJ181" i="21"/>
  <c r="AI182" i="21"/>
  <c r="Y202" i="21"/>
  <c r="AI230" i="21"/>
  <c r="Z233" i="21"/>
  <c r="AI238" i="21"/>
  <c r="AI253" i="21"/>
  <c r="Y257" i="21"/>
  <c r="AI2" i="21"/>
  <c r="AJ8" i="21"/>
  <c r="AI9" i="21"/>
  <c r="AJ16" i="21"/>
  <c r="AI17" i="21"/>
  <c r="AI33" i="21"/>
  <c r="AI41" i="21"/>
  <c r="Z44" i="21"/>
  <c r="AI223" i="21"/>
  <c r="AI231" i="21"/>
  <c r="Z234" i="21"/>
  <c r="Y235" i="21"/>
  <c r="Z241" i="21"/>
  <c r="AJ245" i="21"/>
  <c r="AI246" i="21"/>
  <c r="AJ253" i="21"/>
  <c r="AI254" i="21"/>
  <c r="AJ261" i="21"/>
  <c r="AI262" i="21"/>
  <c r="Z265" i="21"/>
  <c r="Y266" i="21"/>
  <c r="AI270" i="21"/>
  <c r="Y274" i="21"/>
  <c r="AI278" i="21"/>
  <c r="Z281" i="21"/>
  <c r="Y282" i="21"/>
  <c r="AI389" i="21"/>
  <c r="AI397" i="21"/>
  <c r="Z84" i="21"/>
  <c r="Z92" i="21"/>
  <c r="AI97" i="21"/>
  <c r="AJ120" i="21"/>
  <c r="AJ128" i="21"/>
  <c r="AI129" i="21"/>
  <c r="Y133" i="21"/>
  <c r="AJ136" i="21"/>
  <c r="AI137" i="21"/>
  <c r="AJ144" i="21"/>
  <c r="AI145" i="21"/>
  <c r="AJ152" i="21"/>
  <c r="Z164" i="21"/>
  <c r="Y165" i="21"/>
  <c r="Z179" i="21"/>
  <c r="Y180" i="21"/>
  <c r="AI184" i="21"/>
  <c r="Z187" i="21"/>
  <c r="AI192" i="21"/>
  <c r="Z195" i="21"/>
  <c r="Z203" i="21"/>
  <c r="Y204" i="21"/>
  <c r="Z242" i="21"/>
  <c r="Y243" i="21"/>
  <c r="Y267" i="21"/>
  <c r="AJ270" i="21"/>
  <c r="AJ278" i="21"/>
  <c r="BI310" i="21"/>
  <c r="AJ121" i="21"/>
  <c r="Z133" i="21"/>
  <c r="Y134" i="21"/>
  <c r="Z204" i="21"/>
  <c r="Y213" i="21"/>
  <c r="Z220" i="21"/>
  <c r="Z228" i="21"/>
  <c r="AJ232" i="21"/>
  <c r="AI233" i="21"/>
  <c r="Y244" i="21"/>
  <c r="AJ382" i="21"/>
  <c r="BH280" i="21"/>
  <c r="BI280" i="21"/>
  <c r="AI89" i="21"/>
  <c r="AI113" i="21"/>
  <c r="AJ3" i="21"/>
  <c r="AI4" i="21"/>
  <c r="Y16" i="21"/>
  <c r="AJ19" i="21"/>
  <c r="AJ27" i="21"/>
  <c r="AI28" i="21"/>
  <c r="Y32" i="21"/>
  <c r="AJ35" i="21"/>
  <c r="AI36" i="21"/>
  <c r="AJ43" i="21"/>
  <c r="AI44" i="21"/>
  <c r="Y47" i="21"/>
  <c r="AJ58" i="21"/>
  <c r="Y63" i="21"/>
  <c r="AJ66" i="21"/>
  <c r="Y71" i="21"/>
  <c r="Z77" i="21"/>
  <c r="Y78" i="21"/>
  <c r="Z85" i="21"/>
  <c r="Y86" i="21"/>
  <c r="Z93" i="21"/>
  <c r="Y94" i="21"/>
  <c r="AI114" i="21"/>
  <c r="Y8" i="21"/>
  <c r="AJ11" i="21"/>
  <c r="Y2" i="21"/>
  <c r="AI5" i="21"/>
  <c r="Y9" i="21"/>
  <c r="AJ12" i="21"/>
  <c r="AI13" i="21"/>
  <c r="Y17" i="21"/>
  <c r="AI21" i="21"/>
  <c r="Z24" i="21"/>
  <c r="Y25" i="21"/>
  <c r="AI29" i="21"/>
  <c r="Z32" i="21"/>
  <c r="AI37" i="21"/>
  <c r="Z40" i="21"/>
  <c r="AI45" i="21"/>
  <c r="AJ51" i="21"/>
  <c r="AI52" i="21"/>
  <c r="Z55" i="21"/>
  <c r="Y56" i="21"/>
  <c r="AJ59" i="21"/>
  <c r="AI60" i="21"/>
  <c r="Z63" i="21"/>
  <c r="AJ67" i="21"/>
  <c r="AI68" i="21"/>
  <c r="AJ74" i="21"/>
  <c r="Y79" i="21"/>
  <c r="AJ82" i="21"/>
  <c r="AJ90" i="21"/>
  <c r="Y95" i="21"/>
  <c r="Y103" i="21"/>
  <c r="Y111" i="21"/>
  <c r="AI115" i="21"/>
  <c r="AI200" i="21"/>
  <c r="AI215" i="21"/>
  <c r="AI307" i="21"/>
  <c r="AI323" i="21"/>
  <c r="AI354" i="21"/>
  <c r="Y389" i="21"/>
  <c r="AI401" i="21"/>
  <c r="AI130" i="21"/>
  <c r="AI138" i="21"/>
  <c r="Z141" i="21"/>
  <c r="AI146" i="21"/>
  <c r="Z149" i="21"/>
  <c r="AJ161" i="21"/>
  <c r="AI162" i="21"/>
  <c r="AJ168" i="21"/>
  <c r="Y173" i="21"/>
  <c r="AI177" i="21"/>
  <c r="Y181" i="21"/>
  <c r="AJ184" i="21"/>
  <c r="Y189" i="21"/>
  <c r="AI193" i="21"/>
  <c r="Y197" i="21"/>
  <c r="Y205" i="21"/>
  <c r="AI208" i="21"/>
  <c r="Z211" i="21"/>
  <c r="AI216" i="21"/>
  <c r="Z219" i="21"/>
  <c r="AJ231" i="21"/>
  <c r="Y236" i="21"/>
  <c r="AI247" i="21"/>
  <c r="AJ162" i="21"/>
  <c r="Y190" i="21"/>
  <c r="Y206" i="21"/>
  <c r="AI217" i="21"/>
  <c r="Y221" i="21"/>
  <c r="Z250" i="21"/>
  <c r="AI255" i="21"/>
  <c r="Z258" i="21"/>
  <c r="AI263" i="21"/>
  <c r="AI271" i="21"/>
  <c r="Y275" i="21"/>
  <c r="Y290" i="21"/>
  <c r="AJ293" i="21"/>
  <c r="Z297" i="21"/>
  <c r="Y298" i="21"/>
  <c r="AJ301" i="21"/>
  <c r="Y313" i="21"/>
  <c r="AI317" i="21"/>
  <c r="Y321" i="21"/>
  <c r="AI325" i="21"/>
  <c r="AI332" i="21"/>
  <c r="Z335" i="21"/>
  <c r="AI340" i="21"/>
  <c r="Z343" i="21"/>
  <c r="AI348" i="21"/>
  <c r="Y352" i="21"/>
  <c r="AJ355" i="21"/>
  <c r="AI356" i="21"/>
  <c r="AI364" i="21"/>
  <c r="AI380" i="21"/>
  <c r="Y383" i="21"/>
  <c r="AI387" i="21"/>
  <c r="Y391" i="21"/>
  <c r="AI395" i="21"/>
  <c r="AJ131" i="21"/>
  <c r="AI132" i="21"/>
  <c r="Y136" i="21"/>
  <c r="AJ139" i="21"/>
  <c r="AI140" i="21"/>
  <c r="Y144" i="21"/>
  <c r="Y152" i="21"/>
  <c r="AJ155" i="21"/>
  <c r="Y160" i="21"/>
  <c r="AI164" i="21"/>
  <c r="Z166" i="21"/>
  <c r="Y167" i="21"/>
  <c r="AI179" i="21"/>
  <c r="AI234" i="21"/>
  <c r="AI241" i="21"/>
  <c r="Y245" i="21"/>
  <c r="Z251" i="21"/>
  <c r="Y252" i="21"/>
  <c r="Z259" i="21"/>
  <c r="Y260" i="21"/>
  <c r="AI264" i="21"/>
  <c r="Y268" i="21"/>
  <c r="AI272" i="21"/>
  <c r="AI280" i="21"/>
  <c r="AI287" i="21"/>
  <c r="AI302" i="21"/>
  <c r="AI310" i="21"/>
  <c r="AI318" i="21"/>
  <c r="AI333" i="21"/>
  <c r="AI357" i="21"/>
  <c r="AI365" i="21"/>
  <c r="Z368" i="21"/>
  <c r="Y369" i="21"/>
  <c r="Y377" i="21"/>
  <c r="AI388" i="21"/>
  <c r="Y392" i="21"/>
  <c r="AI396" i="21"/>
  <c r="Y400" i="21"/>
  <c r="AI404" i="21"/>
  <c r="AJ132" i="21"/>
  <c r="AI133" i="21"/>
  <c r="AJ140" i="21"/>
  <c r="AI141" i="21"/>
  <c r="AJ148" i="21"/>
  <c r="AI149" i="21"/>
  <c r="Y153" i="21"/>
  <c r="AJ156" i="21"/>
  <c r="AI157" i="21"/>
  <c r="Y161" i="21"/>
  <c r="AJ164" i="21"/>
  <c r="Y168" i="21"/>
  <c r="AJ171" i="21"/>
  <c r="AI180" i="21"/>
  <c r="Y184" i="21"/>
  <c r="AI188" i="21"/>
  <c r="Z191" i="21"/>
  <c r="Y192" i="21"/>
  <c r="AI196" i="21"/>
  <c r="Y200" i="21"/>
  <c r="AI204" i="21"/>
  <c r="Z207" i="21"/>
  <c r="AI219" i="21"/>
  <c r="Z222" i="21"/>
  <c r="Y223" i="21"/>
  <c r="AJ226" i="21"/>
  <c r="Z230" i="21"/>
  <c r="Y231" i="21"/>
  <c r="Z238" i="21"/>
  <c r="AI242" i="21"/>
  <c r="Y246" i="21"/>
  <c r="Y253" i="21"/>
  <c r="AJ256" i="21"/>
  <c r="Y261" i="21"/>
  <c r="AI265" i="21"/>
  <c r="AI273" i="21"/>
  <c r="Z276" i="21"/>
  <c r="AI288" i="21"/>
  <c r="Z291" i="21"/>
  <c r="AI296" i="21"/>
  <c r="Z299" i="21"/>
  <c r="Y300" i="21"/>
  <c r="AI303" i="21"/>
  <c r="Z322" i="21"/>
  <c r="AI326" i="21"/>
  <c r="AI334" i="21"/>
  <c r="AJ341" i="21"/>
  <c r="AI342" i="21"/>
  <c r="Y346" i="21"/>
  <c r="AJ349" i="21"/>
  <c r="AJ357" i="21"/>
  <c r="AI358" i="21"/>
  <c r="Y362" i="21"/>
  <c r="AI366" i="21"/>
  <c r="Y370" i="21"/>
  <c r="AJ373" i="21"/>
  <c r="AJ381" i="21"/>
  <c r="Z392" i="21"/>
  <c r="AI118" i="21"/>
  <c r="AI126" i="21"/>
  <c r="Z129" i="21"/>
  <c r="AI134" i="21"/>
  <c r="Z137" i="21"/>
  <c r="AI142" i="21"/>
  <c r="Z145" i="21"/>
  <c r="Y146" i="21"/>
  <c r="AI150" i="21"/>
  <c r="AI158" i="21"/>
  <c r="Y162" i="21"/>
  <c r="Y169" i="21"/>
  <c r="AJ172" i="21"/>
  <c r="AI173" i="21"/>
  <c r="AJ180" i="21"/>
  <c r="AI181" i="21"/>
  <c r="Z184" i="21"/>
  <c r="Y185" i="21"/>
  <c r="AI189" i="21"/>
  <c r="Z192" i="21"/>
  <c r="Y193" i="21"/>
  <c r="AI197" i="21"/>
  <c r="Z200" i="21"/>
  <c r="Y201" i="21"/>
  <c r="AI205" i="21"/>
  <c r="Y208" i="21"/>
  <c r="Z215" i="21"/>
  <c r="AI220" i="21"/>
  <c r="Z223" i="21"/>
  <c r="AI228" i="21"/>
  <c r="Y232" i="21"/>
  <c r="AJ235" i="21"/>
  <c r="Z246" i="21"/>
  <c r="AJ249" i="21"/>
  <c r="AI250" i="21"/>
  <c r="AJ257" i="21"/>
  <c r="AI258" i="21"/>
  <c r="Y262" i="21"/>
  <c r="AJ265" i="21"/>
  <c r="AI266" i="21"/>
  <c r="Z269" i="21"/>
  <c r="Y270" i="21"/>
  <c r="AI274" i="21"/>
  <c r="Y278" i="21"/>
  <c r="AI281" i="21"/>
  <c r="Z284" i="21"/>
  <c r="Y285" i="21"/>
  <c r="AI289" i="21"/>
  <c r="Z292" i="21"/>
  <c r="Y293" i="21"/>
  <c r="AI297" i="21"/>
  <c r="Y301" i="21"/>
  <c r="Z307" i="21"/>
  <c r="Y308" i="21"/>
  <c r="Z315" i="21"/>
  <c r="Y316" i="21"/>
  <c r="Z323" i="21"/>
  <c r="Y324" i="21"/>
  <c r="AI327" i="21"/>
  <c r="Z330" i="21"/>
  <c r="AJ334" i="21"/>
  <c r="AI335" i="21"/>
  <c r="Y339" i="21"/>
  <c r="AI343" i="21"/>
  <c r="AJ350" i="21"/>
  <c r="AI351" i="21"/>
  <c r="Y355" i="21"/>
  <c r="AI359" i="21"/>
  <c r="Z362" i="21"/>
  <c r="AI367" i="21"/>
  <c r="Y371" i="21"/>
  <c r="AI375" i="21"/>
  <c r="Y379" i="21"/>
  <c r="Y386" i="21"/>
  <c r="AI390" i="21"/>
  <c r="Z393" i="21"/>
  <c r="AI398" i="21"/>
  <c r="Z401" i="21"/>
  <c r="Y402" i="21"/>
  <c r="AJ22" i="21"/>
  <c r="AI23" i="21"/>
  <c r="Y27" i="21"/>
  <c r="AJ30" i="21"/>
  <c r="Y35" i="21"/>
  <c r="AJ38" i="21"/>
  <c r="AI39" i="21"/>
  <c r="Y43" i="21"/>
  <c r="AJ46" i="21"/>
  <c r="Z49" i="21"/>
  <c r="Y50" i="21"/>
  <c r="Y4" i="21"/>
  <c r="AJ7" i="21"/>
  <c r="AI8" i="21"/>
  <c r="Y12" i="21"/>
  <c r="AJ15" i="21"/>
  <c r="AI16" i="21"/>
  <c r="Y20" i="21"/>
  <c r="AJ23" i="21"/>
  <c r="AI24" i="21"/>
  <c r="Y28" i="21"/>
  <c r="AJ31" i="21"/>
  <c r="AI32" i="21"/>
  <c r="Y36" i="21"/>
  <c r="AJ39" i="21"/>
  <c r="AI40" i="21"/>
  <c r="Y51" i="21"/>
  <c r="AI18" i="21"/>
  <c r="AI49" i="21"/>
  <c r="AI10" i="21"/>
  <c r="Z21" i="21"/>
  <c r="Y22" i="21"/>
  <c r="AI26" i="21"/>
  <c r="Z29" i="21"/>
  <c r="Y30" i="21"/>
  <c r="AI34" i="21"/>
  <c r="Z37" i="21"/>
  <c r="Y38" i="21"/>
  <c r="Z45" i="21"/>
  <c r="Y46" i="21"/>
  <c r="Y7" i="21"/>
  <c r="AI11" i="21"/>
  <c r="Z14" i="21"/>
  <c r="Y15" i="21"/>
  <c r="AI19" i="21"/>
  <c r="Y23" i="21"/>
  <c r="AJ26" i="21"/>
  <c r="Y31" i="21"/>
  <c r="AJ34" i="21"/>
  <c r="AI35" i="21"/>
  <c r="Y39" i="21"/>
  <c r="AJ42" i="21"/>
  <c r="Z53" i="21"/>
  <c r="Z60" i="21"/>
  <c r="AI95" i="21"/>
  <c r="AI119" i="21"/>
  <c r="Y177" i="21"/>
  <c r="AJ188" i="21"/>
  <c r="AI212" i="21"/>
  <c r="AJ316" i="21"/>
  <c r="Y54" i="21"/>
  <c r="Y62" i="21"/>
  <c r="AI66" i="21"/>
  <c r="Z69" i="21"/>
  <c r="Y70" i="21"/>
  <c r="AI73" i="21"/>
  <c r="Z76" i="21"/>
  <c r="AI81" i="21"/>
  <c r="AJ87" i="21"/>
  <c r="AI88" i="21"/>
  <c r="Y209" i="21"/>
  <c r="AI227" i="21"/>
  <c r="Y239" i="21"/>
  <c r="AJ279" i="21"/>
  <c r="Y283" i="21"/>
  <c r="AJ286" i="21"/>
  <c r="Y291" i="21"/>
  <c r="AJ294" i="21"/>
  <c r="Y306" i="21"/>
  <c r="AJ325" i="21"/>
  <c r="Y329" i="21"/>
  <c r="AJ332" i="21"/>
  <c r="Z336" i="21"/>
  <c r="Y337" i="21"/>
  <c r="Y345" i="21"/>
  <c r="Y353" i="21"/>
  <c r="AJ356" i="21"/>
  <c r="Y361" i="21"/>
  <c r="Y368" i="21"/>
  <c r="BI382" i="21"/>
  <c r="Z389" i="21"/>
  <c r="Y390" i="21"/>
  <c r="Y55" i="21"/>
  <c r="AI105" i="21"/>
  <c r="AJ143" i="21"/>
  <c r="Y148" i="21"/>
  <c r="AI175" i="21"/>
  <c r="AI207" i="21"/>
  <c r="Y210" i="21"/>
  <c r="AJ248" i="21"/>
  <c r="Y292" i="21"/>
  <c r="Z306" i="21"/>
  <c r="Y338" i="21"/>
  <c r="Z109" i="21"/>
  <c r="Y118" i="21"/>
  <c r="AI122" i="21"/>
  <c r="Z171" i="21"/>
  <c r="AJ183" i="21"/>
  <c r="Y196" i="21"/>
  <c r="AJ228" i="21"/>
  <c r="Y254" i="21"/>
  <c r="Y87" i="21"/>
  <c r="AI154" i="21"/>
  <c r="AJ221" i="21"/>
  <c r="AJ244" i="21"/>
  <c r="AI251" i="21"/>
  <c r="Z254" i="21"/>
  <c r="Y255" i="21"/>
  <c r="Y294" i="21"/>
  <c r="AJ304" i="21"/>
  <c r="Y325" i="21"/>
  <c r="Z378" i="21"/>
  <c r="Z384" i="21"/>
  <c r="Y58" i="21"/>
  <c r="AJ123" i="21"/>
  <c r="AI163" i="21"/>
  <c r="Y166" i="21"/>
  <c r="AI170" i="21"/>
  <c r="Y242" i="21"/>
  <c r="Y264" i="21"/>
  <c r="Y318" i="21"/>
  <c r="AJ328" i="21"/>
  <c r="Z340" i="21"/>
  <c r="Y341" i="21"/>
  <c r="AI55" i="21"/>
  <c r="AI71" i="21"/>
  <c r="BI81" i="21"/>
  <c r="AJ147" i="21"/>
  <c r="Y207" i="21"/>
  <c r="AI224" i="21"/>
  <c r="AI232" i="21"/>
  <c r="AJ239" i="21"/>
  <c r="Y249" i="21"/>
  <c r="AJ299" i="21"/>
  <c r="Z310" i="21"/>
  <c r="Y326" i="21"/>
  <c r="Y342" i="21"/>
  <c r="Y350" i="21"/>
  <c r="Z357" i="21"/>
  <c r="Y358" i="21"/>
  <c r="Y373" i="21"/>
  <c r="AJ376" i="21"/>
  <c r="Y381" i="21"/>
  <c r="Z386" i="21"/>
  <c r="Y387" i="21"/>
  <c r="AJ390" i="21"/>
  <c r="Z394" i="21"/>
  <c r="Y395" i="21"/>
  <c r="Z402" i="21"/>
  <c r="Y403" i="21"/>
  <c r="BI403" i="21"/>
  <c r="Y67" i="21"/>
  <c r="Z174" i="21"/>
  <c r="Z206" i="21"/>
  <c r="Z5" i="21"/>
  <c r="Z13" i="21"/>
  <c r="Y91" i="21"/>
  <c r="Z199" i="21"/>
  <c r="Z308" i="21"/>
  <c r="BI400" i="21"/>
  <c r="Z309" i="21"/>
  <c r="Z317" i="21"/>
  <c r="Z380" i="21"/>
  <c r="Z375" i="21"/>
  <c r="Y64" i="21"/>
  <c r="Z101" i="21"/>
  <c r="Z125" i="21"/>
  <c r="Y224" i="21"/>
  <c r="Z268" i="21"/>
  <c r="Z311" i="21"/>
  <c r="BI350" i="21"/>
  <c r="BI356" i="21"/>
  <c r="Y10" i="21"/>
  <c r="Z157" i="21"/>
  <c r="Z173" i="21"/>
  <c r="BI281" i="21"/>
  <c r="AZ361" i="21"/>
  <c r="BB361" i="21" s="1"/>
  <c r="BI217" i="21"/>
  <c r="BI402" i="21"/>
  <c r="BI200" i="21"/>
  <c r="BI38" i="21"/>
  <c r="BI56" i="21"/>
  <c r="BI134" i="21"/>
  <c r="BI263" i="21"/>
  <c r="BI266" i="21"/>
  <c r="BI339" i="21"/>
  <c r="BI359" i="21"/>
  <c r="BI380" i="21"/>
  <c r="X379" i="21"/>
  <c r="Z379" i="21" s="1"/>
  <c r="AZ295" i="21"/>
  <c r="BI76" i="21"/>
  <c r="BI179" i="21"/>
  <c r="BI182" i="21"/>
  <c r="BI201" i="21"/>
  <c r="BI293" i="21"/>
  <c r="R344" i="21"/>
  <c r="Y344" i="21" s="1"/>
  <c r="AZ207" i="21"/>
  <c r="BB207" i="21" s="1"/>
  <c r="AZ95" i="21"/>
  <c r="AZ79" i="21"/>
  <c r="BI97" i="21"/>
  <c r="BI247" i="21"/>
  <c r="BI343" i="21"/>
  <c r="T373" i="21"/>
  <c r="Z373" i="21" s="1"/>
  <c r="X277" i="21"/>
  <c r="Z277" i="21" s="1"/>
  <c r="AZ263" i="21"/>
  <c r="BI127" i="21"/>
  <c r="BI166" i="21"/>
  <c r="BI357" i="21"/>
  <c r="T364" i="21"/>
  <c r="Z364" i="21" s="1"/>
  <c r="T301" i="21"/>
  <c r="AZ47" i="21"/>
  <c r="BI11" i="21"/>
  <c r="BI88" i="21"/>
  <c r="BI180" i="21"/>
  <c r="BI192" i="21"/>
  <c r="BI220" i="21"/>
  <c r="BI370" i="21"/>
  <c r="BI379" i="21"/>
  <c r="V384" i="21"/>
  <c r="Y384" i="21" s="1"/>
  <c r="AZ375" i="21"/>
  <c r="AX339" i="21"/>
  <c r="BI154" i="21"/>
  <c r="BI203" i="21"/>
  <c r="BI264" i="21"/>
  <c r="BI299" i="21"/>
  <c r="AX324" i="21"/>
  <c r="BA324" i="21" s="1"/>
  <c r="BI189" i="21"/>
  <c r="BI390" i="21"/>
  <c r="R247" i="21"/>
  <c r="Y247" i="21" s="1"/>
  <c r="T351" i="21"/>
  <c r="Z351" i="21" s="1"/>
  <c r="AV381" i="21"/>
  <c r="BB381" i="21" s="1"/>
  <c r="AP9" i="21"/>
  <c r="BA9" i="21" s="1"/>
  <c r="AD6" i="21"/>
  <c r="AJ6" i="21" s="1"/>
  <c r="AB12" i="21"/>
  <c r="AI12" i="21" s="1"/>
  <c r="AV14" i="21"/>
  <c r="AV18" i="21"/>
  <c r="V21" i="21"/>
  <c r="Y21" i="21" s="1"/>
  <c r="AL29" i="21"/>
  <c r="BA29" i="21" s="1"/>
  <c r="AD37" i="21"/>
  <c r="AJ37" i="21" s="1"/>
  <c r="AV46" i="21"/>
  <c r="AX48" i="21"/>
  <c r="X50" i="21"/>
  <c r="Z50" i="21" s="1"/>
  <c r="T51" i="21"/>
  <c r="BI57" i="21"/>
  <c r="BF57" i="21"/>
  <c r="AD61" i="21"/>
  <c r="AJ61" i="21" s="1"/>
  <c r="X62" i="21"/>
  <c r="Z62" i="21" s="1"/>
  <c r="BI68" i="21"/>
  <c r="BF68" i="21"/>
  <c r="X78" i="21"/>
  <c r="AB83" i="21"/>
  <c r="AI83" i="21" s="1"/>
  <c r="AH88" i="21"/>
  <c r="AJ88" i="21" s="1"/>
  <c r="AV93" i="21"/>
  <c r="BB93" i="21" s="1"/>
  <c r="BI98" i="21"/>
  <c r="BF98" i="21"/>
  <c r="AB100" i="21"/>
  <c r="AI100" i="21" s="1"/>
  <c r="BI101" i="21"/>
  <c r="BF101" i="21"/>
  <c r="X107" i="21"/>
  <c r="T111" i="21"/>
  <c r="AV142" i="21"/>
  <c r="BB142" i="21" s="1"/>
  <c r="AR143" i="21"/>
  <c r="BB143" i="21" s="1"/>
  <c r="AN144" i="21"/>
  <c r="BB144" i="21" s="1"/>
  <c r="AH145" i="21"/>
  <c r="AJ145" i="21" s="1"/>
  <c r="AH165" i="21"/>
  <c r="AJ165" i="21" s="1"/>
  <c r="AH167" i="21"/>
  <c r="AJ167" i="21" s="1"/>
  <c r="BI169" i="21"/>
  <c r="BH169" i="21"/>
  <c r="AV170" i="21"/>
  <c r="BB170" i="21" s="1"/>
  <c r="T181" i="21"/>
  <c r="AV183" i="21"/>
  <c r="BB183" i="21" s="1"/>
  <c r="BI184" i="21"/>
  <c r="BH184" i="21"/>
  <c r="AF185" i="21"/>
  <c r="AI185" i="21" s="1"/>
  <c r="AR189" i="21"/>
  <c r="BB189" i="21" s="1"/>
  <c r="AH195" i="21"/>
  <c r="AB202" i="21"/>
  <c r="AI202" i="21" s="1"/>
  <c r="AX205" i="21"/>
  <c r="BA205" i="21" s="1"/>
  <c r="BI213" i="21"/>
  <c r="BH213" i="21"/>
  <c r="AN217" i="21"/>
  <c r="AX228" i="21"/>
  <c r="AT229" i="21"/>
  <c r="AR231" i="21"/>
  <c r="BB231" i="21" s="1"/>
  <c r="BI232" i="21"/>
  <c r="BH232" i="21"/>
  <c r="AH233" i="21"/>
  <c r="AJ233" i="21" s="1"/>
  <c r="AD234" i="21"/>
  <c r="AJ234" i="21" s="1"/>
  <c r="AV234" i="21"/>
  <c r="BB234" i="21" s="1"/>
  <c r="X235" i="21"/>
  <c r="Z235" i="21" s="1"/>
  <c r="AR235" i="21"/>
  <c r="BB235" i="21" s="1"/>
  <c r="BI236" i="21"/>
  <c r="BH236" i="21"/>
  <c r="AH237" i="21"/>
  <c r="AJ237" i="21" s="1"/>
  <c r="AD238" i="21"/>
  <c r="AJ238" i="21" s="1"/>
  <c r="AV238" i="21"/>
  <c r="BB238" i="21" s="1"/>
  <c r="X239" i="21"/>
  <c r="Z239" i="21" s="1"/>
  <c r="AR239" i="21"/>
  <c r="BB239" i="21" s="1"/>
  <c r="T240" i="21"/>
  <c r="Z240" i="21" s="1"/>
  <c r="AN240" i="21"/>
  <c r="BB240" i="21" s="1"/>
  <c r="AF248" i="21"/>
  <c r="AI248" i="21" s="1"/>
  <c r="AV251" i="21"/>
  <c r="BB251" i="21" s="1"/>
  <c r="X252" i="21"/>
  <c r="Z252" i="21" s="1"/>
  <c r="AR256" i="21"/>
  <c r="BB256" i="21" s="1"/>
  <c r="AT261" i="21"/>
  <c r="BA261" i="21" s="1"/>
  <c r="AD263" i="21"/>
  <c r="AJ263" i="21" s="1"/>
  <c r="AV263" i="21"/>
  <c r="X266" i="21"/>
  <c r="AD269" i="21"/>
  <c r="AJ269" i="21" s="1"/>
  <c r="AV269" i="21"/>
  <c r="X270" i="21"/>
  <c r="Z270" i="21" s="1"/>
  <c r="X274" i="21"/>
  <c r="Z274" i="21" s="1"/>
  <c r="T275" i="21"/>
  <c r="Z275" i="21" s="1"/>
  <c r="AR278" i="21"/>
  <c r="AD280" i="21"/>
  <c r="AR282" i="21"/>
  <c r="BB282" i="21" s="1"/>
  <c r="X286" i="21"/>
  <c r="Z286" i="21" s="1"/>
  <c r="BI286" i="21"/>
  <c r="BH286" i="21"/>
  <c r="AH287" i="21"/>
  <c r="AJ287" i="21" s="1"/>
  <c r="AR295" i="21"/>
  <c r="AF300" i="21"/>
  <c r="AI300" i="21" s="1"/>
  <c r="X301" i="21"/>
  <c r="AV310" i="21"/>
  <c r="BB310" i="21" s="1"/>
  <c r="AD323" i="21"/>
  <c r="AJ323" i="21" s="1"/>
  <c r="AR329" i="21"/>
  <c r="V334" i="21"/>
  <c r="Y334" i="21" s="1"/>
  <c r="AN334" i="21"/>
  <c r="BB334" i="21" s="1"/>
  <c r="AV336" i="21"/>
  <c r="BB336" i="21" s="1"/>
  <c r="AR337" i="21"/>
  <c r="T338" i="21"/>
  <c r="Z338" i="21" s="1"/>
  <c r="AH342" i="21"/>
  <c r="AJ342" i="21" s="1"/>
  <c r="AB350" i="21"/>
  <c r="AI350" i="21" s="1"/>
  <c r="AN354" i="21"/>
  <c r="AF361" i="21"/>
  <c r="BI369" i="21"/>
  <c r="BH369" i="21"/>
  <c r="AH374" i="21"/>
  <c r="AJ374" i="21" s="1"/>
  <c r="AF391" i="21"/>
  <c r="AI391" i="21" s="1"/>
  <c r="V401" i="21"/>
  <c r="Y401" i="21" s="1"/>
  <c r="X181" i="21"/>
  <c r="X3" i="21"/>
  <c r="Z3" i="21" s="1"/>
  <c r="V5" i="21"/>
  <c r="Y5" i="21" s="1"/>
  <c r="V13" i="21"/>
  <c r="Y13" i="21" s="1"/>
  <c r="AD14" i="21"/>
  <c r="AJ14" i="21" s="1"/>
  <c r="AV37" i="21"/>
  <c r="BB37" i="21" s="1"/>
  <c r="BI47" i="21"/>
  <c r="BH47" i="21"/>
  <c r="AH48" i="21"/>
  <c r="AJ48" i="21" s="1"/>
  <c r="AD49" i="21"/>
  <c r="BI51" i="21"/>
  <c r="BH51" i="21"/>
  <c r="AD55" i="21"/>
  <c r="X56" i="21"/>
  <c r="Z56" i="21" s="1"/>
  <c r="V60" i="21"/>
  <c r="Y60" i="21" s="1"/>
  <c r="AV61" i="21"/>
  <c r="BB61" i="21" s="1"/>
  <c r="AD69" i="21"/>
  <c r="AJ69" i="21" s="1"/>
  <c r="AN70" i="21"/>
  <c r="AD73" i="21"/>
  <c r="AJ73" i="21" s="1"/>
  <c r="R77" i="21"/>
  <c r="Y77" i="21" s="1"/>
  <c r="T79" i="21"/>
  <c r="Z79" i="21" s="1"/>
  <c r="AH84" i="21"/>
  <c r="AJ84" i="21" s="1"/>
  <c r="T95" i="21"/>
  <c r="Z95" i="21" s="1"/>
  <c r="AF99" i="21"/>
  <c r="AV102" i="21"/>
  <c r="AR103" i="21"/>
  <c r="AN104" i="21"/>
  <c r="BB104" i="21" s="1"/>
  <c r="AH105" i="21"/>
  <c r="AR107" i="21"/>
  <c r="AN108" i="21"/>
  <c r="BB108" i="21" s="1"/>
  <c r="AV109" i="21"/>
  <c r="BB109" i="21" s="1"/>
  <c r="X110" i="21"/>
  <c r="Z110" i="21" s="1"/>
  <c r="BI111" i="21"/>
  <c r="BH111" i="21"/>
  <c r="V114" i="21"/>
  <c r="AN116" i="21"/>
  <c r="BI116" i="21"/>
  <c r="BH116" i="21"/>
  <c r="AR120" i="21"/>
  <c r="V121" i="21"/>
  <c r="Y121" i="21" s="1"/>
  <c r="AN121" i="21"/>
  <c r="BB121" i="21" s="1"/>
  <c r="BI124" i="21"/>
  <c r="BH124" i="21"/>
  <c r="AH125" i="21"/>
  <c r="AJ125" i="21" s="1"/>
  <c r="AD126" i="21"/>
  <c r="AJ126" i="21" s="1"/>
  <c r="AV126" i="21"/>
  <c r="BB126" i="21" s="1"/>
  <c r="X131" i="21"/>
  <c r="Z131" i="21" s="1"/>
  <c r="T136" i="21"/>
  <c r="Z136" i="21" s="1"/>
  <c r="AN136" i="21"/>
  <c r="BB136" i="21" s="1"/>
  <c r="AD142" i="21"/>
  <c r="AJ142" i="21" s="1"/>
  <c r="T144" i="21"/>
  <c r="Z144" i="21" s="1"/>
  <c r="V149" i="21"/>
  <c r="Y149" i="21" s="1"/>
  <c r="AD150" i="21"/>
  <c r="AJ150" i="21" s="1"/>
  <c r="T152" i="21"/>
  <c r="BI152" i="21"/>
  <c r="BH152" i="21"/>
  <c r="BI160" i="21"/>
  <c r="BF160" i="21"/>
  <c r="AF161" i="21"/>
  <c r="AP174" i="21"/>
  <c r="AD176" i="21"/>
  <c r="AJ176" i="21" s="1"/>
  <c r="AX197" i="21"/>
  <c r="BA197" i="21" s="1"/>
  <c r="AD212" i="21"/>
  <c r="AJ212" i="21" s="1"/>
  <c r="AN213" i="21"/>
  <c r="AD216" i="21"/>
  <c r="AJ216" i="21" s="1"/>
  <c r="V219" i="21"/>
  <c r="Y219" i="21" s="1"/>
  <c r="AP219" i="21"/>
  <c r="BA219" i="21" s="1"/>
  <c r="AD220" i="21"/>
  <c r="AJ220" i="21" s="1"/>
  <c r="AD2" i="21"/>
  <c r="AJ2" i="21" s="1"/>
  <c r="AV2" i="21"/>
  <c r="BI3" i="21"/>
  <c r="BH3" i="21"/>
  <c r="AV6" i="21"/>
  <c r="BB6" i="21" s="1"/>
  <c r="AN7" i="21"/>
  <c r="X11" i="21"/>
  <c r="AN11" i="21"/>
  <c r="BI13" i="21"/>
  <c r="X15" i="21"/>
  <c r="AP17" i="21"/>
  <c r="BA17" i="21" s="1"/>
  <c r="X19" i="21"/>
  <c r="Z19" i="21" s="1"/>
  <c r="AH20" i="21"/>
  <c r="AJ20" i="21" s="1"/>
  <c r="BI29" i="21"/>
  <c r="AB31" i="21"/>
  <c r="AI31" i="21" s="1"/>
  <c r="AD33" i="21"/>
  <c r="AJ33" i="21" s="1"/>
  <c r="AP36" i="21"/>
  <c r="BA36" i="21" s="1"/>
  <c r="X38" i="21"/>
  <c r="Z38" i="21" s="1"/>
  <c r="AR38" i="21"/>
  <c r="BB38" i="21" s="1"/>
  <c r="BI42" i="21"/>
  <c r="BI45" i="21"/>
  <c r="AF46" i="21"/>
  <c r="AI46" i="21" s="1"/>
  <c r="AR47" i="21"/>
  <c r="AV49" i="21"/>
  <c r="BB49" i="21" s="1"/>
  <c r="AR50" i="21"/>
  <c r="BB50" i="21" s="1"/>
  <c r="AN51" i="21"/>
  <c r="BB51" i="21" s="1"/>
  <c r="AH52" i="21"/>
  <c r="AJ52" i="21" s="1"/>
  <c r="AL57" i="21"/>
  <c r="BA57" i="21" s="1"/>
  <c r="AB59" i="21"/>
  <c r="AI59" i="21" s="1"/>
  <c r="AT59" i="21"/>
  <c r="BA59" i="21" s="1"/>
  <c r="AX61" i="21"/>
  <c r="AR62" i="21"/>
  <c r="AN63" i="21"/>
  <c r="BB63" i="21" s="1"/>
  <c r="BI63" i="21"/>
  <c r="BH63" i="21"/>
  <c r="AD64" i="21"/>
  <c r="AV64" i="21"/>
  <c r="BB64" i="21" s="1"/>
  <c r="X70" i="21"/>
  <c r="Z70" i="21" s="1"/>
  <c r="BI70" i="21"/>
  <c r="AT71" i="21"/>
  <c r="BA71" i="21" s="1"/>
  <c r="AP72" i="21"/>
  <c r="BA72" i="21" s="1"/>
  <c r="AN74" i="21"/>
  <c r="AV77" i="21"/>
  <c r="BB77" i="21" s="1"/>
  <c r="AB78" i="21"/>
  <c r="AI78" i="21" s="1"/>
  <c r="AR78" i="21"/>
  <c r="BB78" i="21" s="1"/>
  <c r="AN79" i="21"/>
  <c r="BI79" i="21"/>
  <c r="BH79" i="21"/>
  <c r="AL81" i="21"/>
  <c r="BA81" i="21" s="1"/>
  <c r="AF82" i="21"/>
  <c r="AI82" i="21" s="1"/>
  <c r="AX86" i="21"/>
  <c r="BA86" i="21" s="1"/>
  <c r="AD89" i="21"/>
  <c r="AJ89" i="21" s="1"/>
  <c r="AR94" i="21"/>
  <c r="BB94" i="21" s="1"/>
  <c r="AN95" i="21"/>
  <c r="BI95" i="21"/>
  <c r="BH95" i="21"/>
  <c r="V97" i="21"/>
  <c r="Y97" i="21" s="1"/>
  <c r="AP97" i="21"/>
  <c r="R98" i="21"/>
  <c r="Y98" i="21" s="1"/>
  <c r="AL98" i="21"/>
  <c r="AX99" i="21"/>
  <c r="BA99" i="21" s="1"/>
  <c r="AT100" i="21"/>
  <c r="BA100" i="21" s="1"/>
  <c r="V101" i="21"/>
  <c r="AX102" i="21"/>
  <c r="AT103" i="21"/>
  <c r="AP104" i="21"/>
  <c r="AL105" i="21"/>
  <c r="AD106" i="21"/>
  <c r="AJ106" i="21" s="1"/>
  <c r="AV106" i="21"/>
  <c r="AB107" i="21"/>
  <c r="V108" i="21"/>
  <c r="Y108" i="21" s="1"/>
  <c r="BI108" i="21"/>
  <c r="BH108" i="21"/>
  <c r="AH109" i="21"/>
  <c r="AR110" i="21"/>
  <c r="AN111" i="21"/>
  <c r="AH112" i="21"/>
  <c r="AJ112" i="21" s="1"/>
  <c r="AT113" i="21"/>
  <c r="AV115" i="21"/>
  <c r="BB115" i="21" s="1"/>
  <c r="X116" i="21"/>
  <c r="Z116" i="21" s="1"/>
  <c r="AL119" i="21"/>
  <c r="BA119" i="21" s="1"/>
  <c r="AT120" i="21"/>
  <c r="BA120" i="21" s="1"/>
  <c r="BI121" i="21"/>
  <c r="BH121" i="21"/>
  <c r="AH122" i="21"/>
  <c r="T124" i="21"/>
  <c r="Z124" i="21" s="1"/>
  <c r="AN124" i="21"/>
  <c r="BB124" i="21" s="1"/>
  <c r="V129" i="21"/>
  <c r="Y129" i="21" s="1"/>
  <c r="AV130" i="21"/>
  <c r="BB130" i="21" s="1"/>
  <c r="AL134" i="21"/>
  <c r="BA134" i="21" s="1"/>
  <c r="BI136" i="21"/>
  <c r="BH136" i="21"/>
  <c r="AH137" i="21"/>
  <c r="AJ137" i="21" s="1"/>
  <c r="AX139" i="21"/>
  <c r="BA139" i="21" s="1"/>
  <c r="V141" i="21"/>
  <c r="Y141" i="21" s="1"/>
  <c r="AP141" i="21"/>
  <c r="BA141" i="21" s="1"/>
  <c r="AD146" i="21"/>
  <c r="AJ146" i="21" s="1"/>
  <c r="BI147" i="21"/>
  <c r="X151" i="21"/>
  <c r="Z151" i="21" s="1"/>
  <c r="AR151" i="21"/>
  <c r="BB151" i="21" s="1"/>
  <c r="AN152" i="21"/>
  <c r="BB152" i="21" s="1"/>
  <c r="AH153" i="21"/>
  <c r="AJ153" i="21" s="1"/>
  <c r="AD154" i="21"/>
  <c r="AJ154" i="21" s="1"/>
  <c r="AV154" i="21"/>
  <c r="BB154" i="21" s="1"/>
  <c r="AR155" i="21"/>
  <c r="T156" i="21"/>
  <c r="Z156" i="21" s="1"/>
  <c r="AN156" i="21"/>
  <c r="BI156" i="21"/>
  <c r="BH156" i="21"/>
  <c r="AH157" i="21"/>
  <c r="AJ157" i="21" s="1"/>
  <c r="X159" i="21"/>
  <c r="Z159" i="21" s="1"/>
  <c r="AR159" i="21"/>
  <c r="BB159" i="21" s="1"/>
  <c r="T160" i="21"/>
  <c r="AN160" i="21"/>
  <c r="R163" i="21"/>
  <c r="Y163" i="21" s="1"/>
  <c r="T165" i="21"/>
  <c r="Z165" i="21" s="1"/>
  <c r="AL167" i="21"/>
  <c r="X169" i="21"/>
  <c r="Z169" i="21" s="1"/>
  <c r="AH170" i="21"/>
  <c r="AJ170" i="21" s="1"/>
  <c r="AN172" i="21"/>
  <c r="AL175" i="21"/>
  <c r="BI175" i="21"/>
  <c r="BF175" i="21"/>
  <c r="AF176" i="21"/>
  <c r="AI176" i="21" s="1"/>
  <c r="AN177" i="21"/>
  <c r="BB177" i="21" s="1"/>
  <c r="AD196" i="21"/>
  <c r="AJ196" i="21" s="1"/>
  <c r="AD200" i="21"/>
  <c r="AJ200" i="21" s="1"/>
  <c r="AV212" i="21"/>
  <c r="BB212" i="21" s="1"/>
  <c r="X217" i="21"/>
  <c r="BI219" i="21"/>
  <c r="AV220" i="21"/>
  <c r="X221" i="21"/>
  <c r="AN222" i="21"/>
  <c r="BB222" i="21" s="1"/>
  <c r="BI222" i="21"/>
  <c r="BH222" i="21"/>
  <c r="AT227" i="21"/>
  <c r="AD229" i="21"/>
  <c r="AN232" i="21"/>
  <c r="BB232" i="21" s="1"/>
  <c r="T236" i="21"/>
  <c r="Z236" i="21" s="1"/>
  <c r="AN236" i="21"/>
  <c r="BB236" i="21" s="1"/>
  <c r="AN241" i="21"/>
  <c r="BB241" i="21" s="1"/>
  <c r="AD242" i="21"/>
  <c r="AN245" i="21"/>
  <c r="BB245" i="21" s="1"/>
  <c r="BI245" i="21"/>
  <c r="BH245" i="21"/>
  <c r="AB249" i="21"/>
  <c r="AI249" i="21" s="1"/>
  <c r="V250" i="21"/>
  <c r="Y250" i="21" s="1"/>
  <c r="R251" i="21"/>
  <c r="Y251" i="21" s="1"/>
  <c r="AL255" i="21"/>
  <c r="BA255" i="21" s="1"/>
  <c r="AD259" i="21"/>
  <c r="AJ259" i="21" s="1"/>
  <c r="AP262" i="21"/>
  <c r="BA262" i="21" s="1"/>
  <c r="BI262" i="21"/>
  <c r="X264" i="21"/>
  <c r="Z264" i="21" s="1"/>
  <c r="AV265" i="21"/>
  <c r="BB265" i="21" s="1"/>
  <c r="AR266" i="21"/>
  <c r="BI270" i="21"/>
  <c r="BH270" i="21"/>
  <c r="V272" i="21"/>
  <c r="Y272" i="21" s="1"/>
  <c r="R273" i="21"/>
  <c r="Y273" i="21" s="1"/>
  <c r="AL273" i="21"/>
  <c r="BA273" i="21" s="1"/>
  <c r="AR274" i="21"/>
  <c r="AV276" i="21"/>
  <c r="BB276" i="21" s="1"/>
  <c r="T279" i="21"/>
  <c r="Z279" i="21" s="1"/>
  <c r="T283" i="21"/>
  <c r="Z283" i="21" s="1"/>
  <c r="AN283" i="21"/>
  <c r="BB283" i="21" s="1"/>
  <c r="BI283" i="21"/>
  <c r="BH283" i="21"/>
  <c r="AT290" i="21"/>
  <c r="BA290" i="21" s="1"/>
  <c r="AB295" i="21"/>
  <c r="AI295" i="21" s="1"/>
  <c r="AD298" i="21"/>
  <c r="AJ298" i="21" s="1"/>
  <c r="AR299" i="21"/>
  <c r="BB299" i="21" s="1"/>
  <c r="V302" i="21"/>
  <c r="Y302" i="21" s="1"/>
  <c r="AT304" i="21"/>
  <c r="BA304" i="21" s="1"/>
  <c r="AT308" i="21"/>
  <c r="BA308" i="21" s="1"/>
  <c r="AH310" i="21"/>
  <c r="AN320" i="21"/>
  <c r="BB320" i="21" s="1"/>
  <c r="BI321" i="21"/>
  <c r="BH321" i="21"/>
  <c r="AH322" i="21"/>
  <c r="AV328" i="21"/>
  <c r="AX336" i="21"/>
  <c r="AD343" i="21"/>
  <c r="AF349" i="21"/>
  <c r="AI349" i="21" s="1"/>
  <c r="V354" i="21"/>
  <c r="Y354" i="21" s="1"/>
  <c r="AD364" i="21"/>
  <c r="AJ364" i="21" s="1"/>
  <c r="T369" i="21"/>
  <c r="AN369" i="21"/>
  <c r="AN373" i="21"/>
  <c r="BB373" i="21" s="1"/>
  <c r="AX391" i="21"/>
  <c r="BA391" i="21" s="1"/>
  <c r="AV394" i="21"/>
  <c r="BB394" i="21" s="1"/>
  <c r="BF396" i="21"/>
  <c r="BI396" i="21"/>
  <c r="AH400" i="21"/>
  <c r="AJ400" i="21" s="1"/>
  <c r="R376" i="21"/>
  <c r="Y376" i="21" s="1"/>
  <c r="R216" i="21"/>
  <c r="Y216" i="21" s="1"/>
  <c r="R113" i="21"/>
  <c r="T316" i="21"/>
  <c r="Z316" i="21" s="1"/>
  <c r="T132" i="21"/>
  <c r="Z132" i="21" s="1"/>
  <c r="X155" i="21"/>
  <c r="Z155" i="21" s="1"/>
  <c r="AD50" i="21"/>
  <c r="AJ50" i="21" s="1"/>
  <c r="V68" i="21"/>
  <c r="Y68" i="21" s="1"/>
  <c r="AN75" i="21"/>
  <c r="BB75" i="21" s="1"/>
  <c r="AH80" i="21"/>
  <c r="AJ80" i="21" s="1"/>
  <c r="BI93" i="21"/>
  <c r="BF93" i="21"/>
  <c r="AP101" i="21"/>
  <c r="BA101" i="21" s="1"/>
  <c r="R115" i="21"/>
  <c r="Y115" i="21" s="1"/>
  <c r="AR116" i="21"/>
  <c r="BI119" i="21"/>
  <c r="BF119" i="21"/>
  <c r="AB121" i="21"/>
  <c r="AI121" i="21" s="1"/>
  <c r="AT128" i="21"/>
  <c r="AV146" i="21"/>
  <c r="BB146" i="21" s="1"/>
  <c r="AR147" i="21"/>
  <c r="BB147" i="21" s="1"/>
  <c r="T153" i="21"/>
  <c r="Z153" i="21" s="1"/>
  <c r="BI153" i="21"/>
  <c r="BH153" i="21"/>
  <c r="AR164" i="21"/>
  <c r="BB164" i="21" s="1"/>
  <c r="BI177" i="21"/>
  <c r="BH177" i="21"/>
  <c r="AV178" i="21"/>
  <c r="BB178" i="21" s="1"/>
  <c r="R188" i="21"/>
  <c r="Y188" i="21" s="1"/>
  <c r="AT198" i="21"/>
  <c r="BA198" i="21" s="1"/>
  <c r="X205" i="21"/>
  <c r="Z205" i="21" s="1"/>
  <c r="BI209" i="21"/>
  <c r="BH209" i="21"/>
  <c r="AR213" i="21"/>
  <c r="T214" i="21"/>
  <c r="Z214" i="21" s="1"/>
  <c r="AP215" i="21"/>
  <c r="BA215" i="21" s="1"/>
  <c r="AR217" i="21"/>
  <c r="R234" i="21"/>
  <c r="Y234" i="21" s="1"/>
  <c r="BI238" i="21"/>
  <c r="BF238" i="21"/>
  <c r="AR252" i="21"/>
  <c r="BB252" i="21" s="1"/>
  <c r="AB257" i="21"/>
  <c r="AI257" i="21" s="1"/>
  <c r="AP268" i="21"/>
  <c r="BA268" i="21" s="1"/>
  <c r="BI269" i="21"/>
  <c r="BF269" i="21"/>
  <c r="AH271" i="21"/>
  <c r="AJ271" i="21" s="1"/>
  <c r="BI279" i="21"/>
  <c r="BH279" i="21"/>
  <c r="AH284" i="21"/>
  <c r="AJ284" i="21" s="1"/>
  <c r="AP291" i="21"/>
  <c r="BA291" i="21" s="1"/>
  <c r="AN296" i="21"/>
  <c r="BB296" i="21" s="1"/>
  <c r="T303" i="21"/>
  <c r="BI307" i="21"/>
  <c r="BF307" i="21"/>
  <c r="AR309" i="21"/>
  <c r="AN321" i="21"/>
  <c r="BB321" i="21" s="1"/>
  <c r="BF327" i="21"/>
  <c r="BI327" i="21"/>
  <c r="AX332" i="21"/>
  <c r="BA332" i="21" s="1"/>
  <c r="AD333" i="21"/>
  <c r="AJ333" i="21" s="1"/>
  <c r="AV340" i="21"/>
  <c r="AR341" i="21"/>
  <c r="BB341" i="21" s="1"/>
  <c r="T342" i="21"/>
  <c r="Z342" i="21" s="1"/>
  <c r="X345" i="21"/>
  <c r="Z345" i="21" s="1"/>
  <c r="BH348" i="21"/>
  <c r="BI348" i="21"/>
  <c r="X360" i="21"/>
  <c r="Z360" i="21" s="1"/>
  <c r="BI363" i="21"/>
  <c r="BF363" i="21"/>
  <c r="AP373" i="21"/>
  <c r="AR395" i="21"/>
  <c r="BB395" i="21" s="1"/>
  <c r="BH404" i="21"/>
  <c r="BI404" i="21"/>
  <c r="AH4" i="21"/>
  <c r="AJ4" i="21" s="1"/>
  <c r="R6" i="21"/>
  <c r="Y6" i="21" s="1"/>
  <c r="AL6" i="21"/>
  <c r="BA6" i="21" s="1"/>
  <c r="X7" i="21"/>
  <c r="Z7" i="21" s="1"/>
  <c r="AR7" i="21"/>
  <c r="AR11" i="21"/>
  <c r="AD13" i="21"/>
  <c r="AR15" i="21"/>
  <c r="BB15" i="21" s="1"/>
  <c r="T16" i="21"/>
  <c r="Z16" i="21" s="1"/>
  <c r="AR19" i="21"/>
  <c r="BB19" i="21" s="1"/>
  <c r="T20" i="21"/>
  <c r="Z20" i="21" s="1"/>
  <c r="AN20" i="21"/>
  <c r="BB20" i="21" s="1"/>
  <c r="AV21" i="21"/>
  <c r="BB21" i="21" s="1"/>
  <c r="X22" i="21"/>
  <c r="Z22" i="21" s="1"/>
  <c r="AR22" i="21"/>
  <c r="BB22" i="21" s="1"/>
  <c r="AN23" i="21"/>
  <c r="BB23" i="21" s="1"/>
  <c r="BI23" i="21"/>
  <c r="BH23" i="21"/>
  <c r="AH24" i="21"/>
  <c r="AJ24" i="21" s="1"/>
  <c r="AX24" i="21"/>
  <c r="BA24" i="21" s="1"/>
  <c r="AD25" i="21"/>
  <c r="AJ25" i="21" s="1"/>
  <c r="X26" i="21"/>
  <c r="Z26" i="21" s="1"/>
  <c r="T27" i="21"/>
  <c r="Z27" i="21" s="1"/>
  <c r="BI27" i="21"/>
  <c r="BH27" i="21"/>
  <c r="AV33" i="21"/>
  <c r="BB33" i="21" s="1"/>
  <c r="T35" i="21"/>
  <c r="Z35" i="21" s="1"/>
  <c r="BI39" i="21"/>
  <c r="BH39" i="21"/>
  <c r="AH40" i="21"/>
  <c r="AJ40" i="21" s="1"/>
  <c r="AD41" i="21"/>
  <c r="AJ41" i="21" s="1"/>
  <c r="X42" i="21"/>
  <c r="Z42" i="21" s="1"/>
  <c r="AR42" i="21"/>
  <c r="BB42" i="21" s="1"/>
  <c r="T43" i="21"/>
  <c r="Z43" i="21" s="1"/>
  <c r="BI43" i="21"/>
  <c r="BH43" i="21"/>
  <c r="AH44" i="21"/>
  <c r="AJ44" i="21" s="1"/>
  <c r="V48" i="21"/>
  <c r="Y48" i="21" s="1"/>
  <c r="AP48" i="21"/>
  <c r="BA48" i="21" s="1"/>
  <c r="AL49" i="21"/>
  <c r="BA49" i="21" s="1"/>
  <c r="BI49" i="21"/>
  <c r="BF49" i="21"/>
  <c r="AF50" i="21"/>
  <c r="AI50" i="21" s="1"/>
  <c r="AB51" i="21"/>
  <c r="AI51" i="21" s="1"/>
  <c r="V52" i="21"/>
  <c r="Y52" i="21" s="1"/>
  <c r="BI52" i="21"/>
  <c r="BH52" i="21"/>
  <c r="AB54" i="21"/>
  <c r="AI54" i="21" s="1"/>
  <c r="AR54" i="21"/>
  <c r="R61" i="21"/>
  <c r="Y61" i="21" s="1"/>
  <c r="AL61" i="21"/>
  <c r="AH64" i="21"/>
  <c r="AD65" i="21"/>
  <c r="AJ65" i="21" s="1"/>
  <c r="T71" i="21"/>
  <c r="Z71" i="21" s="1"/>
  <c r="X74" i="21"/>
  <c r="Z74" i="21" s="1"/>
  <c r="AR74" i="21"/>
  <c r="AH76" i="21"/>
  <c r="AJ76" i="21" s="1"/>
  <c r="BI77" i="21"/>
  <c r="BF77" i="21"/>
  <c r="AX80" i="21"/>
  <c r="AD85" i="21"/>
  <c r="AJ85" i="21" s="1"/>
  <c r="AP88" i="21"/>
  <c r="AN91" i="21"/>
  <c r="BB91" i="21" s="1"/>
  <c r="BI91" i="21"/>
  <c r="BH91" i="21"/>
  <c r="AH92" i="21"/>
  <c r="AJ92" i="21" s="1"/>
  <c r="AR95" i="21"/>
  <c r="T96" i="21"/>
  <c r="Z96" i="21" s="1"/>
  <c r="T99" i="21"/>
  <c r="AN99" i="21"/>
  <c r="BI99" i="21"/>
  <c r="BH99" i="21"/>
  <c r="AH100" i="21"/>
  <c r="AJ100" i="21" s="1"/>
  <c r="AL102" i="21"/>
  <c r="AF103" i="21"/>
  <c r="AI103" i="21" s="1"/>
  <c r="AX103" i="21"/>
  <c r="AB104" i="21"/>
  <c r="AI104" i="21" s="1"/>
  <c r="AT104" i="21"/>
  <c r="V105" i="21"/>
  <c r="Y105" i="21" s="1"/>
  <c r="AP105" i="21"/>
  <c r="BI105" i="21"/>
  <c r="BI106" i="21"/>
  <c r="BF106" i="21"/>
  <c r="AF107" i="21"/>
  <c r="AB108" i="21"/>
  <c r="AI108" i="21" s="1"/>
  <c r="BI109" i="21"/>
  <c r="BF109" i="21"/>
  <c r="AV110" i="21"/>
  <c r="AR111" i="21"/>
  <c r="AN112" i="21"/>
  <c r="BB112" i="21" s="1"/>
  <c r="BI112" i="21"/>
  <c r="BH112" i="21"/>
  <c r="BI115" i="21"/>
  <c r="BF115" i="21"/>
  <c r="V117" i="21"/>
  <c r="Y117" i="21" s="1"/>
  <c r="AP117" i="21"/>
  <c r="V125" i="21"/>
  <c r="Y125" i="21" s="1"/>
  <c r="AP125" i="21"/>
  <c r="BA125" i="21" s="1"/>
  <c r="R126" i="21"/>
  <c r="Y126" i="21" s="1"/>
  <c r="AL126" i="21"/>
  <c r="BA126" i="21" s="1"/>
  <c r="BI130" i="21"/>
  <c r="BF130" i="21"/>
  <c r="AN132" i="21"/>
  <c r="BB132" i="21" s="1"/>
  <c r="AB136" i="21"/>
  <c r="AI136" i="21" s="1"/>
  <c r="AD138" i="21"/>
  <c r="AJ138" i="21" s="1"/>
  <c r="AL142" i="21"/>
  <c r="BA142" i="21" s="1"/>
  <c r="AX143" i="21"/>
  <c r="BA143" i="21" s="1"/>
  <c r="AB144" i="21"/>
  <c r="AI144" i="21" s="1"/>
  <c r="AT144" i="21"/>
  <c r="BA144" i="21" s="1"/>
  <c r="AP145" i="21"/>
  <c r="BA145" i="21" s="1"/>
  <c r="T148" i="21"/>
  <c r="Z148" i="21" s="1"/>
  <c r="AV155" i="21"/>
  <c r="AR156" i="21"/>
  <c r="AN157" i="21"/>
  <c r="BB157" i="21" s="1"/>
  <c r="AD159" i="21"/>
  <c r="AJ159" i="21" s="1"/>
  <c r="X160" i="21"/>
  <c r="T161" i="21"/>
  <c r="BI163" i="21"/>
  <c r="BF163" i="21"/>
  <c r="BI165" i="21"/>
  <c r="AP167" i="21"/>
  <c r="AX168" i="21"/>
  <c r="V170" i="21"/>
  <c r="Y170" i="21" s="1"/>
  <c r="BI170" i="21"/>
  <c r="BH170" i="21"/>
  <c r="AV171" i="21"/>
  <c r="BB171" i="21" s="1"/>
  <c r="AD174" i="21"/>
  <c r="AJ174" i="21" s="1"/>
  <c r="AP175" i="21"/>
  <c r="AH178" i="21"/>
  <c r="AJ178" i="21" s="1"/>
  <c r="AN181" i="21"/>
  <c r="BB181" i="21" s="1"/>
  <c r="BI188" i="21"/>
  <c r="AN190" i="21"/>
  <c r="BB190" i="21" s="1"/>
  <c r="AH191" i="21"/>
  <c r="AJ191" i="21" s="1"/>
  <c r="AD192" i="21"/>
  <c r="AJ192" i="21" s="1"/>
  <c r="V195" i="21"/>
  <c r="Y195" i="21" s="1"/>
  <c r="AV204" i="21"/>
  <c r="BB204" i="21" s="1"/>
  <c r="BI205" i="21"/>
  <c r="AH206" i="21"/>
  <c r="AJ206" i="21" s="1"/>
  <c r="AD208" i="21"/>
  <c r="AJ208" i="21" s="1"/>
  <c r="AV208" i="21"/>
  <c r="BB208" i="21" s="1"/>
  <c r="X209" i="21"/>
  <c r="Z209" i="21" s="1"/>
  <c r="AH210" i="21"/>
  <c r="AJ210" i="21" s="1"/>
  <c r="R212" i="21"/>
  <c r="Y212" i="21" s="1"/>
  <c r="AL212" i="21"/>
  <c r="BA212" i="21" s="1"/>
  <c r="AD219" i="21"/>
  <c r="X225" i="21"/>
  <c r="Z225" i="21" s="1"/>
  <c r="T226" i="21"/>
  <c r="BI226" i="21"/>
  <c r="BH226" i="21"/>
  <c r="AN228" i="21"/>
  <c r="BB228" i="21" s="1"/>
  <c r="AH229" i="21"/>
  <c r="AX231" i="21"/>
  <c r="BA231" i="21" s="1"/>
  <c r="V233" i="21"/>
  <c r="Y233" i="21" s="1"/>
  <c r="AP233" i="21"/>
  <c r="BA233" i="21" s="1"/>
  <c r="AL234" i="21"/>
  <c r="BA234" i="21" s="1"/>
  <c r="AF235" i="21"/>
  <c r="AI235" i="21" s="1"/>
  <c r="V237" i="21"/>
  <c r="Y237" i="21" s="1"/>
  <c r="AP237" i="21"/>
  <c r="BA237" i="21" s="1"/>
  <c r="R238" i="21"/>
  <c r="Y238" i="21" s="1"/>
  <c r="AL238" i="21"/>
  <c r="BA238" i="21" s="1"/>
  <c r="AF239" i="21"/>
  <c r="AI239" i="21" s="1"/>
  <c r="AB240" i="21"/>
  <c r="AI240" i="21" s="1"/>
  <c r="AT240" i="21"/>
  <c r="AH242" i="21"/>
  <c r="X243" i="21"/>
  <c r="Z243" i="21" s="1"/>
  <c r="AX244" i="21"/>
  <c r="BA244" i="21" s="1"/>
  <c r="AD247" i="21"/>
  <c r="AJ247" i="21" s="1"/>
  <c r="AV247" i="21"/>
  <c r="BB247" i="21" s="1"/>
  <c r="BI251" i="21"/>
  <c r="BF251" i="21"/>
  <c r="AN253" i="21"/>
  <c r="BB253" i="21" s="1"/>
  <c r="AH254" i="21"/>
  <c r="AJ254" i="21" s="1"/>
  <c r="BI255" i="21"/>
  <c r="AF256" i="21"/>
  <c r="AI256" i="21" s="1"/>
  <c r="BI258" i="21"/>
  <c r="AV259" i="21"/>
  <c r="BB259" i="21" s="1"/>
  <c r="T261" i="21"/>
  <c r="Z261" i="21" s="1"/>
  <c r="AL263" i="21"/>
  <c r="BA263" i="21" s="1"/>
  <c r="AD264" i="21"/>
  <c r="R265" i="21"/>
  <c r="Y265" i="21" s="1"/>
  <c r="BI265" i="21"/>
  <c r="BF265" i="21"/>
  <c r="AN267" i="21"/>
  <c r="BB267" i="21" s="1"/>
  <c r="R269" i="21"/>
  <c r="Y269" i="21" s="1"/>
  <c r="AL269" i="21"/>
  <c r="BA269" i="21" s="1"/>
  <c r="AR270" i="21"/>
  <c r="BB270" i="21" s="1"/>
  <c r="T271" i="21"/>
  <c r="Z271" i="21" s="1"/>
  <c r="BI273" i="21"/>
  <c r="BI275" i="21"/>
  <c r="BH275" i="21"/>
  <c r="AH276" i="21"/>
  <c r="AJ276" i="21" s="1"/>
  <c r="BI277" i="21"/>
  <c r="AN279" i="21"/>
  <c r="BB279" i="21" s="1"/>
  <c r="BI285" i="21"/>
  <c r="V287" i="21"/>
  <c r="Y287" i="21" s="1"/>
  <c r="X289" i="21"/>
  <c r="Z289" i="21" s="1"/>
  <c r="AV292" i="21"/>
  <c r="BB292" i="21" s="1"/>
  <c r="X293" i="21"/>
  <c r="Z293" i="21" s="1"/>
  <c r="AR293" i="21"/>
  <c r="BB293" i="21" s="1"/>
  <c r="X296" i="21"/>
  <c r="AF301" i="21"/>
  <c r="AI301" i="21" s="1"/>
  <c r="AF304" i="21"/>
  <c r="AL307" i="21"/>
  <c r="BA307" i="21" s="1"/>
  <c r="X320" i="21"/>
  <c r="BF332" i="21"/>
  <c r="BI332" i="21"/>
  <c r="AV344" i="21"/>
  <c r="AR345" i="21"/>
  <c r="AN346" i="21"/>
  <c r="BB346" i="21" s="1"/>
  <c r="BI346" i="21"/>
  <c r="BH346" i="21"/>
  <c r="AN348" i="21"/>
  <c r="AH353" i="21"/>
  <c r="AJ353" i="21" s="1"/>
  <c r="AX359" i="21"/>
  <c r="BI385" i="21"/>
  <c r="BF385" i="21"/>
  <c r="BI388" i="21"/>
  <c r="AT390" i="21"/>
  <c r="BA390" i="21" s="1"/>
  <c r="AN404" i="21"/>
  <c r="BB404" i="21" s="1"/>
  <c r="R336" i="21"/>
  <c r="Y336" i="21" s="1"/>
  <c r="T302" i="21"/>
  <c r="Z302" i="21" s="1"/>
  <c r="T23" i="21"/>
  <c r="Z23" i="21" s="1"/>
  <c r="AH118" i="21"/>
  <c r="V122" i="21"/>
  <c r="Y122" i="21" s="1"/>
  <c r="AB124" i="21"/>
  <c r="AI124" i="21" s="1"/>
  <c r="AT124" i="21"/>
  <c r="BA124" i="21" s="1"/>
  <c r="AX128" i="21"/>
  <c r="AH133" i="21"/>
  <c r="AJ133" i="21" s="1"/>
  <c r="V137" i="21"/>
  <c r="Y137" i="21" s="1"/>
  <c r="X139" i="21"/>
  <c r="Z139" i="21" s="1"/>
  <c r="AL146" i="21"/>
  <c r="BA146" i="21" s="1"/>
  <c r="AN148" i="21"/>
  <c r="BB148" i="21" s="1"/>
  <c r="BI150" i="21"/>
  <c r="BF150" i="21"/>
  <c r="AF151" i="21"/>
  <c r="AI151" i="21" s="1"/>
  <c r="AX151" i="21"/>
  <c r="BA151" i="21" s="1"/>
  <c r="AT152" i="21"/>
  <c r="BA152" i="21" s="1"/>
  <c r="AP153" i="21"/>
  <c r="BA153" i="21" s="1"/>
  <c r="AL154" i="21"/>
  <c r="BA154" i="21" s="1"/>
  <c r="AF155" i="21"/>
  <c r="AI155" i="21" s="1"/>
  <c r="AB156" i="21"/>
  <c r="AI156" i="21" s="1"/>
  <c r="V157" i="21"/>
  <c r="Y157" i="21" s="1"/>
  <c r="AH158" i="21"/>
  <c r="BI158" i="21"/>
  <c r="BF158" i="21"/>
  <c r="AF159" i="21"/>
  <c r="AI159" i="21" s="1"/>
  <c r="AX159" i="21"/>
  <c r="BI161" i="21"/>
  <c r="BH161" i="21"/>
  <c r="AR165" i="21"/>
  <c r="BB165" i="21" s="1"/>
  <c r="AH166" i="21"/>
  <c r="AJ166" i="21" s="1"/>
  <c r="X167" i="21"/>
  <c r="Z167" i="21" s="1"/>
  <c r="AL168" i="21"/>
  <c r="BA168" i="21" s="1"/>
  <c r="R171" i="21"/>
  <c r="AN173" i="21"/>
  <c r="BB173" i="21" s="1"/>
  <c r="BI173" i="21"/>
  <c r="BH173" i="21"/>
  <c r="T176" i="21"/>
  <c r="Z176" i="21" s="1"/>
  <c r="AD179" i="21"/>
  <c r="AJ179" i="21" s="1"/>
  <c r="AV179" i="21"/>
  <c r="BB179" i="21" s="1"/>
  <c r="X185" i="21"/>
  <c r="Z185" i="21" s="1"/>
  <c r="AV186" i="21"/>
  <c r="BB186" i="21" s="1"/>
  <c r="AR187" i="21"/>
  <c r="BB187" i="21" s="1"/>
  <c r="AV192" i="21"/>
  <c r="X197" i="21"/>
  <c r="Z197" i="21" s="1"/>
  <c r="T198" i="21"/>
  <c r="Z198" i="21" s="1"/>
  <c r="AV200" i="21"/>
  <c r="BB200" i="21" s="1"/>
  <c r="X201" i="21"/>
  <c r="Z201" i="21" s="1"/>
  <c r="AR201" i="21"/>
  <c r="BB201" i="21" s="1"/>
  <c r="T202" i="21"/>
  <c r="Z202" i="21" s="1"/>
  <c r="AD203" i="21"/>
  <c r="AR205" i="21"/>
  <c r="BB205" i="21" s="1"/>
  <c r="T210" i="21"/>
  <c r="Z210" i="21" s="1"/>
  <c r="BI210" i="21"/>
  <c r="BH210" i="21"/>
  <c r="BI212" i="21"/>
  <c r="BF212" i="21"/>
  <c r="AN214" i="21"/>
  <c r="BB214" i="21" s="1"/>
  <c r="AL216" i="21"/>
  <c r="BA216" i="21" s="1"/>
  <c r="AD224" i="21"/>
  <c r="AJ224" i="21" s="1"/>
  <c r="AV224" i="21"/>
  <c r="BB224" i="21" s="1"/>
  <c r="AR225" i="21"/>
  <c r="BB225" i="21" s="1"/>
  <c r="AN226" i="21"/>
  <c r="AH227" i="21"/>
  <c r="AJ227" i="21" s="1"/>
  <c r="AP230" i="21"/>
  <c r="BA230" i="21" s="1"/>
  <c r="AT232" i="21"/>
  <c r="BA232" i="21" s="1"/>
  <c r="BI234" i="21"/>
  <c r="AB236" i="21"/>
  <c r="AI236" i="21" s="1"/>
  <c r="AT236" i="21"/>
  <c r="BA236" i="21" s="1"/>
  <c r="X248" i="21"/>
  <c r="Z248" i="21" s="1"/>
  <c r="R259" i="21"/>
  <c r="Y259" i="21" s="1"/>
  <c r="AR260" i="21"/>
  <c r="BB260" i="21" s="1"/>
  <c r="BI261" i="21"/>
  <c r="BH261" i="21"/>
  <c r="AL265" i="21"/>
  <c r="BA265" i="21" s="1"/>
  <c r="BI267" i="21"/>
  <c r="BH267" i="21"/>
  <c r="AN271" i="21"/>
  <c r="BB271" i="21" s="1"/>
  <c r="X273" i="21"/>
  <c r="Z273" i="21" s="1"/>
  <c r="AD277" i="21"/>
  <c r="AJ277" i="21" s="1"/>
  <c r="AR281" i="21"/>
  <c r="T282" i="21"/>
  <c r="AB283" i="21"/>
  <c r="AI283" i="21" s="1"/>
  <c r="AT283" i="21"/>
  <c r="BA283" i="21" s="1"/>
  <c r="V284" i="21"/>
  <c r="Y284" i="21" s="1"/>
  <c r="X285" i="21"/>
  <c r="Z285" i="21" s="1"/>
  <c r="AF286" i="21"/>
  <c r="AI286" i="21" s="1"/>
  <c r="AV288" i="21"/>
  <c r="BB288" i="21" s="1"/>
  <c r="T290" i="21"/>
  <c r="Z290" i="21" s="1"/>
  <c r="T294" i="21"/>
  <c r="Z294" i="21" s="1"/>
  <c r="AN294" i="21"/>
  <c r="BB294" i="21" s="1"/>
  <c r="BI294" i="21"/>
  <c r="BH294" i="21"/>
  <c r="AH295" i="21"/>
  <c r="AJ295" i="21" s="1"/>
  <c r="AN297" i="21"/>
  <c r="AL298" i="21"/>
  <c r="AF299" i="21"/>
  <c r="AI299" i="21" s="1"/>
  <c r="BI300" i="21"/>
  <c r="BH300" i="21"/>
  <c r="BH303" i="21"/>
  <c r="BI303" i="21"/>
  <c r="V307" i="21"/>
  <c r="Y307" i="21" s="1"/>
  <c r="AX311" i="21"/>
  <c r="BA311" i="21" s="1"/>
  <c r="T314" i="21"/>
  <c r="Z314" i="21" s="1"/>
  <c r="AH318" i="21"/>
  <c r="AJ318" i="21" s="1"/>
  <c r="AR331" i="21"/>
  <c r="R340" i="21"/>
  <c r="Y340" i="21" s="1"/>
  <c r="AH340" i="21"/>
  <c r="AV362" i="21"/>
  <c r="BB362" i="21" s="1"/>
  <c r="AH367" i="21"/>
  <c r="AR370" i="21"/>
  <c r="BB370" i="21" s="1"/>
  <c r="AN371" i="21"/>
  <c r="BB371" i="21" s="1"/>
  <c r="AH372" i="21"/>
  <c r="AJ372" i="21" s="1"/>
  <c r="AX372" i="21"/>
  <c r="AF376" i="21"/>
  <c r="AI376" i="21" s="1"/>
  <c r="AV376" i="21"/>
  <c r="BB376" i="21" s="1"/>
  <c r="T385" i="21"/>
  <c r="Z385" i="21" s="1"/>
  <c r="AR388" i="21"/>
  <c r="BB388" i="21" s="1"/>
  <c r="AR393" i="21"/>
  <c r="BB393" i="21" s="1"/>
  <c r="V394" i="21"/>
  <c r="Y394" i="21" s="1"/>
  <c r="AD399" i="21"/>
  <c r="AJ399" i="21" s="1"/>
  <c r="AP404" i="21"/>
  <c r="BA404" i="21" s="1"/>
  <c r="R102" i="21"/>
  <c r="Y102" i="21" s="1"/>
  <c r="T108" i="21"/>
  <c r="Z108" i="21" s="1"/>
  <c r="BI7" i="21"/>
  <c r="BH7" i="21"/>
  <c r="AV10" i="21"/>
  <c r="BB10" i="21" s="1"/>
  <c r="X34" i="21"/>
  <c r="Z34" i="21" s="1"/>
  <c r="AX40" i="21"/>
  <c r="X51" i="21"/>
  <c r="AH55" i="21"/>
  <c r="AP68" i="21"/>
  <c r="BA68" i="21" s="1"/>
  <c r="AV73" i="21"/>
  <c r="BB73" i="21" s="1"/>
  <c r="T75" i="21"/>
  <c r="Z75" i="21" s="1"/>
  <c r="V84" i="21"/>
  <c r="Y84" i="21" s="1"/>
  <c r="AT87" i="21"/>
  <c r="BA87" i="21" s="1"/>
  <c r="AV89" i="21"/>
  <c r="BB89" i="21" s="1"/>
  <c r="AR90" i="21"/>
  <c r="BB90" i="21" s="1"/>
  <c r="T91" i="21"/>
  <c r="Z91" i="21" s="1"/>
  <c r="AF106" i="21"/>
  <c r="AI106" i="21" s="1"/>
  <c r="R109" i="21"/>
  <c r="T112" i="21"/>
  <c r="Z112" i="21" s="1"/>
  <c r="AD113" i="21"/>
  <c r="T117" i="21"/>
  <c r="Z117" i="21" s="1"/>
  <c r="BI117" i="21"/>
  <c r="BH117" i="21"/>
  <c r="BI126" i="21"/>
  <c r="BF126" i="21"/>
  <c r="AX127" i="21"/>
  <c r="BA127" i="21" s="1"/>
  <c r="BI132" i="21"/>
  <c r="BH132" i="21"/>
  <c r="AT140" i="21"/>
  <c r="BA140" i="21" s="1"/>
  <c r="R142" i="21"/>
  <c r="Y142" i="21" s="1"/>
  <c r="AF143" i="21"/>
  <c r="AI143" i="21" s="1"/>
  <c r="V145" i="21"/>
  <c r="Y145" i="21" s="1"/>
  <c r="R150" i="21"/>
  <c r="Y150" i="21" s="1"/>
  <c r="AD158" i="21"/>
  <c r="AF168" i="21"/>
  <c r="AI168" i="21" s="1"/>
  <c r="AB169" i="21"/>
  <c r="AI169" i="21" s="1"/>
  <c r="X172" i="21"/>
  <c r="Z172" i="21" s="1"/>
  <c r="BI181" i="21"/>
  <c r="BH181" i="21"/>
  <c r="AB186" i="21"/>
  <c r="AI186" i="21" s="1"/>
  <c r="AR399" i="21"/>
  <c r="BB399" i="21" s="1"/>
  <c r="V258" i="21"/>
  <c r="Y258" i="21" s="1"/>
  <c r="AR3" i="21"/>
  <c r="BB3" i="21" s="1"/>
  <c r="T8" i="21"/>
  <c r="Z8" i="21" s="1"/>
  <c r="T12" i="21"/>
  <c r="Z12" i="21" s="1"/>
  <c r="BI20" i="21"/>
  <c r="BH20" i="21"/>
  <c r="AR26" i="21"/>
  <c r="BB26" i="21" s="1"/>
  <c r="R33" i="21"/>
  <c r="Y33" i="21" s="1"/>
  <c r="AR34" i="21"/>
  <c r="BB34" i="21" s="1"/>
  <c r="AV41" i="21"/>
  <c r="BB41" i="21" s="1"/>
  <c r="AN43" i="21"/>
  <c r="BB43" i="21" s="1"/>
  <c r="AT51" i="21"/>
  <c r="BA51" i="21" s="1"/>
  <c r="AR57" i="21"/>
  <c r="BI58" i="21"/>
  <c r="BH58" i="21"/>
  <c r="AF62" i="21"/>
  <c r="AI62" i="21" s="1"/>
  <c r="AB63" i="21"/>
  <c r="AI63" i="21" s="1"/>
  <c r="AF65" i="21"/>
  <c r="AI65" i="21" s="1"/>
  <c r="T67" i="21"/>
  <c r="Z67" i="21" s="1"/>
  <c r="AL73" i="21"/>
  <c r="BA73" i="21" s="1"/>
  <c r="AT79" i="21"/>
  <c r="BA79" i="21" s="1"/>
  <c r="AL89" i="21"/>
  <c r="BA89" i="21" s="1"/>
  <c r="AT95" i="21"/>
  <c r="BA95" i="21" s="1"/>
  <c r="AD97" i="21"/>
  <c r="AV97" i="21"/>
  <c r="BB97" i="21" s="1"/>
  <c r="X98" i="21"/>
  <c r="Z98" i="21" s="1"/>
  <c r="AR98" i="21"/>
  <c r="AD101" i="21"/>
  <c r="R106" i="21"/>
  <c r="Y106" i="21" s="1"/>
  <c r="AX107" i="21"/>
  <c r="BA107" i="21" s="1"/>
  <c r="AT111" i="21"/>
  <c r="AP112" i="21"/>
  <c r="AH113" i="21"/>
  <c r="AN4" i="21"/>
  <c r="BB4" i="21" s="1"/>
  <c r="AV9" i="21"/>
  <c r="BB9" i="21" s="1"/>
  <c r="AN12" i="21"/>
  <c r="BB12" i="21" s="1"/>
  <c r="BI12" i="21"/>
  <c r="BH12" i="21"/>
  <c r="AH13" i="21"/>
  <c r="BI14" i="21"/>
  <c r="AH17" i="21"/>
  <c r="AJ17" i="21" s="1"/>
  <c r="BI21" i="21"/>
  <c r="BF21" i="21"/>
  <c r="AD29" i="21"/>
  <c r="AJ29" i="21" s="1"/>
  <c r="AV29" i="21"/>
  <c r="BB29" i="21" s="1"/>
  <c r="X30" i="21"/>
  <c r="Z30" i="21" s="1"/>
  <c r="AR30" i="21"/>
  <c r="BB30" i="21" s="1"/>
  <c r="AN35" i="21"/>
  <c r="BB35" i="21" s="1"/>
  <c r="R41" i="21"/>
  <c r="Y41" i="21" s="1"/>
  <c r="BI44" i="21"/>
  <c r="BH44" i="21"/>
  <c r="BI46" i="21"/>
  <c r="AL53" i="21"/>
  <c r="BA53" i="21" s="1"/>
  <c r="AV54" i="21"/>
  <c r="AL56" i="21"/>
  <c r="X58" i="21"/>
  <c r="Z58" i="21" s="1"/>
  <c r="BI59" i="21"/>
  <c r="BH59" i="21"/>
  <c r="AR66" i="21"/>
  <c r="BB66" i="21" s="1"/>
  <c r="AN67" i="21"/>
  <c r="BB67" i="21" s="1"/>
  <c r="AD68" i="21"/>
  <c r="AB75" i="21"/>
  <c r="AI75" i="21" s="1"/>
  <c r="V76" i="21"/>
  <c r="Y76" i="21" s="1"/>
  <c r="T83" i="21"/>
  <c r="Z83" i="21" s="1"/>
  <c r="AV85" i="21"/>
  <c r="BB85" i="21" s="1"/>
  <c r="X86" i="21"/>
  <c r="Z86" i="21" s="1"/>
  <c r="AF90" i="21"/>
  <c r="AI90" i="21" s="1"/>
  <c r="AB91" i="21"/>
  <c r="AI91" i="21" s="1"/>
  <c r="AP96" i="21"/>
  <c r="BA96" i="21" s="1"/>
  <c r="BI96" i="21"/>
  <c r="BH96" i="21"/>
  <c r="X99" i="21"/>
  <c r="AR99" i="21"/>
  <c r="T100" i="21"/>
  <c r="Z100" i="21" s="1"/>
  <c r="AN100" i="21"/>
  <c r="BB100" i="21" s="1"/>
  <c r="AV101" i="21"/>
  <c r="BB101" i="21" s="1"/>
  <c r="X102" i="21"/>
  <c r="Z102" i="21" s="1"/>
  <c r="T103" i="21"/>
  <c r="BI103" i="21"/>
  <c r="BH103" i="21"/>
  <c r="AX104" i="21"/>
  <c r="AP109" i="21"/>
  <c r="BA109" i="21" s="1"/>
  <c r="R110" i="21"/>
  <c r="Y110" i="21" s="1"/>
  <c r="BI110" i="21"/>
  <c r="BF110" i="21"/>
  <c r="BI113" i="21"/>
  <c r="BH113" i="21"/>
  <c r="X115" i="21"/>
  <c r="Z115" i="21" s="1"/>
  <c r="AF116" i="21"/>
  <c r="AI116" i="21" s="1"/>
  <c r="AB117" i="21"/>
  <c r="AI117" i="21" s="1"/>
  <c r="AT117" i="21"/>
  <c r="T120" i="21"/>
  <c r="AF123" i="21"/>
  <c r="AI123" i="21" s="1"/>
  <c r="AX123" i="21"/>
  <c r="BA123" i="21" s="1"/>
  <c r="AX131" i="21"/>
  <c r="BA131" i="21" s="1"/>
  <c r="AV138" i="21"/>
  <c r="BB138" i="21" s="1"/>
  <c r="T140" i="21"/>
  <c r="Z140" i="21" s="1"/>
  <c r="AF147" i="21"/>
  <c r="AI147" i="21" s="1"/>
  <c r="BI148" i="21"/>
  <c r="BH148" i="21"/>
  <c r="AL158" i="21"/>
  <c r="AD160" i="21"/>
  <c r="AJ160" i="21" s="1"/>
  <c r="AV160" i="21"/>
  <c r="X161" i="21"/>
  <c r="AR161" i="21"/>
  <c r="BB161" i="21" s="1"/>
  <c r="R164" i="21"/>
  <c r="Y164" i="21" s="1"/>
  <c r="AX164" i="21"/>
  <c r="BA164" i="21" s="1"/>
  <c r="AB165" i="21"/>
  <c r="AI165" i="21" s="1"/>
  <c r="AT165" i="21"/>
  <c r="BA165" i="21" s="1"/>
  <c r="BI168" i="21"/>
  <c r="BH168" i="21"/>
  <c r="BI171" i="21"/>
  <c r="BF171" i="21"/>
  <c r="AV172" i="21"/>
  <c r="BI176" i="21"/>
  <c r="X180" i="21"/>
  <c r="Z180" i="21" s="1"/>
  <c r="BI183" i="21"/>
  <c r="X188" i="21"/>
  <c r="Z188" i="21" s="1"/>
  <c r="X193" i="21"/>
  <c r="Z193" i="21" s="1"/>
  <c r="AR197" i="21"/>
  <c r="BB197" i="21" s="1"/>
  <c r="AD199" i="21"/>
  <c r="BI202" i="21"/>
  <c r="BH202" i="21"/>
  <c r="BI204" i="21"/>
  <c r="BF204" i="21"/>
  <c r="AN206" i="21"/>
  <c r="BB206" i="21" s="1"/>
  <c r="BI208" i="21"/>
  <c r="BF208" i="21"/>
  <c r="AR209" i="21"/>
  <c r="BB209" i="21" s="1"/>
  <c r="AN210" i="21"/>
  <c r="BB210" i="21" s="1"/>
  <c r="AV215" i="21"/>
  <c r="BB215" i="21" s="1"/>
  <c r="AN218" i="21"/>
  <c r="BB218" i="21" s="1"/>
  <c r="BI218" i="21"/>
  <c r="BH218" i="21"/>
  <c r="AH219" i="21"/>
  <c r="X226" i="21"/>
  <c r="T227" i="21"/>
  <c r="Z227" i="21" s="1"/>
  <c r="AN229" i="21"/>
  <c r="BB229" i="21" s="1"/>
  <c r="T231" i="21"/>
  <c r="BI231" i="21"/>
  <c r="BH231" i="21"/>
  <c r="AX240" i="21"/>
  <c r="AD243" i="21"/>
  <c r="AJ243" i="21" s="1"/>
  <c r="X244" i="21"/>
  <c r="Z244" i="21" s="1"/>
  <c r="AT245" i="21"/>
  <c r="BA245" i="21" s="1"/>
  <c r="AP246" i="21"/>
  <c r="BA246" i="21" s="1"/>
  <c r="AR248" i="21"/>
  <c r="BB248" i="21" s="1"/>
  <c r="T249" i="21"/>
  <c r="Z249" i="21" s="1"/>
  <c r="AD255" i="21"/>
  <c r="AJ255" i="21" s="1"/>
  <c r="BI259" i="21"/>
  <c r="BF259" i="21"/>
  <c r="AN261" i="21"/>
  <c r="BB261" i="21" s="1"/>
  <c r="AH264" i="21"/>
  <c r="AX266" i="21"/>
  <c r="BA266" i="21" s="1"/>
  <c r="BI271" i="21"/>
  <c r="BH271" i="21"/>
  <c r="T278" i="21"/>
  <c r="AB279" i="21"/>
  <c r="AI279" i="21" s="1"/>
  <c r="V280" i="21"/>
  <c r="Y280" i="21" s="1"/>
  <c r="AP280" i="21"/>
  <c r="BA280" i="21" s="1"/>
  <c r="AD281" i="21"/>
  <c r="AJ281" i="21" s="1"/>
  <c r="AR285" i="21"/>
  <c r="AR289" i="21"/>
  <c r="BB289" i="21" s="1"/>
  <c r="BI290" i="21"/>
  <c r="BH290" i="21"/>
  <c r="AL292" i="21"/>
  <c r="BA292" i="21" s="1"/>
  <c r="R299" i="21"/>
  <c r="Y299" i="21" s="1"/>
  <c r="AX299" i="21"/>
  <c r="AP303" i="21"/>
  <c r="BA303" i="21" s="1"/>
  <c r="AH305" i="21"/>
  <c r="AJ305" i="21" s="1"/>
  <c r="AD306" i="21"/>
  <c r="AJ306" i="21" s="1"/>
  <c r="AF312" i="21"/>
  <c r="AB313" i="21"/>
  <c r="AI313" i="21" s="1"/>
  <c r="T318" i="21"/>
  <c r="Z318" i="21" s="1"/>
  <c r="AT339" i="21"/>
  <c r="X352" i="21"/>
  <c r="Z352" i="21" s="1"/>
  <c r="AR352" i="21"/>
  <c r="BB352" i="21" s="1"/>
  <c r="AB363" i="21"/>
  <c r="AI363" i="21" s="1"/>
  <c r="AH365" i="21"/>
  <c r="AJ365" i="21" s="1"/>
  <c r="AT370" i="21"/>
  <c r="BA370" i="21" s="1"/>
  <c r="AP371" i="21"/>
  <c r="BA371" i="21" s="1"/>
  <c r="AB377" i="21"/>
  <c r="AI377" i="21" s="1"/>
  <c r="AR377" i="21"/>
  <c r="BB377" i="21" s="1"/>
  <c r="AH387" i="21"/>
  <c r="AJ387" i="21" s="1"/>
  <c r="AL398" i="21"/>
  <c r="BA398" i="21" s="1"/>
  <c r="AX403" i="21"/>
  <c r="BA403" i="21" s="1"/>
  <c r="T87" i="21"/>
  <c r="Z87" i="21" s="1"/>
  <c r="T4" i="21"/>
  <c r="Z4" i="21" s="1"/>
  <c r="V72" i="21"/>
  <c r="Y72" i="21" s="1"/>
  <c r="AT8" i="21"/>
  <c r="BA8" i="21" s="1"/>
  <c r="T39" i="21"/>
  <c r="Z39" i="21" s="1"/>
  <c r="AB47" i="21"/>
  <c r="AI47" i="21" s="1"/>
  <c r="AH49" i="21"/>
  <c r="BI75" i="21"/>
  <c r="BH75" i="21"/>
  <c r="X90" i="21"/>
  <c r="Z90" i="21" s="1"/>
  <c r="AH96" i="21"/>
  <c r="AJ96" i="21" s="1"/>
  <c r="AN117" i="21"/>
  <c r="BB117" i="21" s="1"/>
  <c r="AD118" i="21"/>
  <c r="AJ118" i="21" s="1"/>
  <c r="AV118" i="21"/>
  <c r="BB118" i="21" s="1"/>
  <c r="AR123" i="21"/>
  <c r="BB123" i="21" s="1"/>
  <c r="AF135" i="21"/>
  <c r="AI135" i="21" s="1"/>
  <c r="AR184" i="21"/>
  <c r="BB184" i="21" s="1"/>
  <c r="V187" i="21"/>
  <c r="Y187" i="21" s="1"/>
  <c r="BI190" i="21"/>
  <c r="BH190" i="21"/>
  <c r="AR192" i="21"/>
  <c r="BB192" i="21" s="1"/>
  <c r="AB194" i="21"/>
  <c r="AI194" i="21" s="1"/>
  <c r="AD204" i="21"/>
  <c r="AJ204" i="21" s="1"/>
  <c r="AV216" i="21"/>
  <c r="BB216" i="21" s="1"/>
  <c r="BI228" i="21"/>
  <c r="BH228" i="21"/>
  <c r="BI230" i="21"/>
  <c r="BF230" i="21"/>
  <c r="X260" i="21"/>
  <c r="Z260" i="21" s="1"/>
  <c r="T267" i="21"/>
  <c r="Z267" i="21" s="1"/>
  <c r="AP272" i="21"/>
  <c r="BA272" i="21" s="1"/>
  <c r="AN275" i="21"/>
  <c r="BB275" i="21" s="1"/>
  <c r="AH280" i="21"/>
  <c r="AR286" i="21"/>
  <c r="BB286" i="21" s="1"/>
  <c r="AD288" i="21"/>
  <c r="AJ288" i="21" s="1"/>
  <c r="AX294" i="21"/>
  <c r="BA294" i="21" s="1"/>
  <c r="AV301" i="21"/>
  <c r="AR319" i="21"/>
  <c r="BB319" i="21" s="1"/>
  <c r="AL327" i="21"/>
  <c r="BA327" i="21" s="1"/>
  <c r="AB341" i="21"/>
  <c r="AI341" i="21" s="1"/>
  <c r="AD386" i="21"/>
  <c r="AJ386" i="21" s="1"/>
  <c r="AN396" i="21"/>
  <c r="BB396" i="21" s="1"/>
  <c r="AL2" i="21"/>
  <c r="BA2" i="21" s="1"/>
  <c r="AN16" i="21"/>
  <c r="BB16" i="21" s="1"/>
  <c r="BI16" i="21"/>
  <c r="BH16" i="21"/>
  <c r="X18" i="21"/>
  <c r="Z18" i="21" s="1"/>
  <c r="BI18" i="21"/>
  <c r="AN27" i="21"/>
  <c r="BB27" i="21" s="1"/>
  <c r="BI30" i="21"/>
  <c r="BI37" i="21"/>
  <c r="AV45" i="21"/>
  <c r="BB45" i="21" s="1"/>
  <c r="AN55" i="21"/>
  <c r="AT63" i="21"/>
  <c r="BA63" i="21" s="1"/>
  <c r="AV65" i="21"/>
  <c r="BB65" i="21" s="1"/>
  <c r="AR81" i="21"/>
  <c r="AX94" i="21"/>
  <c r="BA94" i="21" s="1"/>
  <c r="AL106" i="21"/>
  <c r="BA106" i="21" s="1"/>
  <c r="AT108" i="21"/>
  <c r="BA108" i="21" s="1"/>
  <c r="V109" i="21"/>
  <c r="AF3" i="21"/>
  <c r="AI3" i="21" s="1"/>
  <c r="BI4" i="21"/>
  <c r="BH4" i="21"/>
  <c r="AV5" i="21"/>
  <c r="BB5" i="21" s="1"/>
  <c r="X6" i="21"/>
  <c r="Z6" i="21" s="1"/>
  <c r="BI6" i="21"/>
  <c r="AN8" i="21"/>
  <c r="BB8" i="21" s="1"/>
  <c r="BI8" i="21"/>
  <c r="BH8" i="21"/>
  <c r="AR14" i="21"/>
  <c r="AD18" i="21"/>
  <c r="AJ18" i="21" s="1"/>
  <c r="AR18" i="21"/>
  <c r="BB18" i="21" s="1"/>
  <c r="AB20" i="21"/>
  <c r="AI20" i="21" s="1"/>
  <c r="AF22" i="21"/>
  <c r="AI22" i="21" s="1"/>
  <c r="AT23" i="21"/>
  <c r="BA23" i="21" s="1"/>
  <c r="V24" i="21"/>
  <c r="Y24" i="21" s="1"/>
  <c r="AL25" i="21"/>
  <c r="BA25" i="21" s="1"/>
  <c r="BI25" i="21"/>
  <c r="BF25" i="21"/>
  <c r="AB27" i="21"/>
  <c r="AI27" i="21" s="1"/>
  <c r="T31" i="21"/>
  <c r="Z31" i="21" s="1"/>
  <c r="AN31" i="21"/>
  <c r="BB31" i="21" s="1"/>
  <c r="AH36" i="21"/>
  <c r="AJ36" i="21" s="1"/>
  <c r="AP40" i="21"/>
  <c r="AL41" i="21"/>
  <c r="BA41" i="21" s="1"/>
  <c r="BI41" i="21"/>
  <c r="BF41" i="21"/>
  <c r="AF42" i="21"/>
  <c r="AI42" i="21" s="1"/>
  <c r="AB43" i="21"/>
  <c r="AI43" i="21" s="1"/>
  <c r="V44" i="21"/>
  <c r="Y44" i="21" s="1"/>
  <c r="AP44" i="21"/>
  <c r="BA44" i="21" s="1"/>
  <c r="R45" i="21"/>
  <c r="Y45" i="21" s="1"/>
  <c r="X46" i="21"/>
  <c r="Z46" i="21" s="1"/>
  <c r="AR46" i="21"/>
  <c r="AX54" i="21"/>
  <c r="BA54" i="21" s="1"/>
  <c r="AR55" i="21"/>
  <c r="AD57" i="21"/>
  <c r="AJ57" i="21" s="1"/>
  <c r="AV57" i="21"/>
  <c r="AB58" i="21"/>
  <c r="AI58" i="21" s="1"/>
  <c r="AR58" i="21"/>
  <c r="BB58" i="21" s="1"/>
  <c r="T59" i="21"/>
  <c r="Z59" i="21" s="1"/>
  <c r="AN59" i="21"/>
  <c r="BB59" i="21" s="1"/>
  <c r="AH60" i="21"/>
  <c r="AJ60" i="21" s="1"/>
  <c r="AV60" i="21"/>
  <c r="BB60" i="21" s="1"/>
  <c r="X61" i="21"/>
  <c r="Z61" i="21" s="1"/>
  <c r="AP64" i="21"/>
  <c r="BA64" i="21" s="1"/>
  <c r="R65" i="21"/>
  <c r="Y65" i="21" s="1"/>
  <c r="AN71" i="21"/>
  <c r="BB71" i="21" s="1"/>
  <c r="BI71" i="21"/>
  <c r="BH71" i="21"/>
  <c r="AH72" i="21"/>
  <c r="AJ72" i="21" s="1"/>
  <c r="BI73" i="21"/>
  <c r="AF74" i="21"/>
  <c r="AI74" i="21" s="1"/>
  <c r="AD77" i="21"/>
  <c r="AJ77" i="21" s="1"/>
  <c r="T78" i="21"/>
  <c r="BI78" i="21"/>
  <c r="AP80" i="21"/>
  <c r="BI80" i="21"/>
  <c r="AD81" i="21"/>
  <c r="AJ81" i="21" s="1"/>
  <c r="AV81" i="21"/>
  <c r="X82" i="21"/>
  <c r="Z82" i="21" s="1"/>
  <c r="AR82" i="21"/>
  <c r="BB82" i="21" s="1"/>
  <c r="AN83" i="21"/>
  <c r="BB83" i="21" s="1"/>
  <c r="BI83" i="21"/>
  <c r="BH83" i="21"/>
  <c r="AR86" i="21"/>
  <c r="BB86" i="21" s="1"/>
  <c r="BI89" i="21"/>
  <c r="V92" i="21"/>
  <c r="Y92" i="21" s="1"/>
  <c r="AD93" i="21"/>
  <c r="AJ93" i="21" s="1"/>
  <c r="AH97" i="21"/>
  <c r="AD98" i="21"/>
  <c r="AJ98" i="21" s="1"/>
  <c r="AV98" i="21"/>
  <c r="AB99" i="21"/>
  <c r="AI99" i="21" s="1"/>
  <c r="V100" i="21"/>
  <c r="Y100" i="21" s="1"/>
  <c r="BI100" i="21"/>
  <c r="BH100" i="21"/>
  <c r="AH101" i="21"/>
  <c r="AR102" i="21"/>
  <c r="AN103" i="21"/>
  <c r="BB103" i="21" s="1"/>
  <c r="AH104" i="21"/>
  <c r="AJ104" i="21" s="1"/>
  <c r="AD105" i="21"/>
  <c r="AV105" i="21"/>
  <c r="BB105" i="21" s="1"/>
  <c r="T107" i="21"/>
  <c r="Z107" i="21" s="1"/>
  <c r="AN107" i="21"/>
  <c r="BB107" i="21" s="1"/>
  <c r="BI107" i="21"/>
  <c r="BH107" i="21"/>
  <c r="AH108" i="21"/>
  <c r="AJ108" i="21" s="1"/>
  <c r="AL110" i="21"/>
  <c r="AF111" i="21"/>
  <c r="AI111" i="21" s="1"/>
  <c r="AX111" i="21"/>
  <c r="AB112" i="21"/>
  <c r="AI112" i="21" s="1"/>
  <c r="AT112" i="21"/>
  <c r="R114" i="21"/>
  <c r="AH114" i="21"/>
  <c r="AJ114" i="21" s="1"/>
  <c r="AV114" i="21"/>
  <c r="AD119" i="21"/>
  <c r="AJ119" i="21" s="1"/>
  <c r="AN120" i="21"/>
  <c r="BI128" i="21"/>
  <c r="BH128" i="21"/>
  <c r="AH129" i="21"/>
  <c r="AJ129" i="21" s="1"/>
  <c r="AT132" i="21"/>
  <c r="BA132" i="21" s="1"/>
  <c r="AD134" i="21"/>
  <c r="AJ134" i="21" s="1"/>
  <c r="AV134" i="21"/>
  <c r="BB134" i="21" s="1"/>
  <c r="BI135" i="21"/>
  <c r="R138" i="21"/>
  <c r="Y138" i="21" s="1"/>
  <c r="AR139" i="21"/>
  <c r="BB139" i="21" s="1"/>
  <c r="BI140" i="21"/>
  <c r="BH140" i="21"/>
  <c r="AH141" i="21"/>
  <c r="AJ141" i="21" s="1"/>
  <c r="BI143" i="21"/>
  <c r="BI146" i="21"/>
  <c r="AB148" i="21"/>
  <c r="AI148" i="21" s="1"/>
  <c r="AH149" i="21"/>
  <c r="AJ149" i="21" s="1"/>
  <c r="AF152" i="21"/>
  <c r="AI152" i="21" s="1"/>
  <c r="AB153" i="21"/>
  <c r="AI153" i="21" s="1"/>
  <c r="V154" i="21"/>
  <c r="Y154" i="21" s="1"/>
  <c r="R155" i="21"/>
  <c r="Y155" i="21" s="1"/>
  <c r="BI155" i="21"/>
  <c r="BF155" i="21"/>
  <c r="AL159" i="21"/>
  <c r="AF160" i="21"/>
  <c r="AI160" i="21" s="1"/>
  <c r="AB161" i="21"/>
  <c r="T162" i="21"/>
  <c r="Z162" i="21" s="1"/>
  <c r="AR163" i="21"/>
  <c r="BB163" i="21" s="1"/>
  <c r="BI164" i="21"/>
  <c r="BF164" i="21"/>
  <c r="V171" i="21"/>
  <c r="AF172" i="21"/>
  <c r="AI172" i="21" s="1"/>
  <c r="AX172" i="21"/>
  <c r="BA172" i="21" s="1"/>
  <c r="AD175" i="21"/>
  <c r="AJ175" i="21" s="1"/>
  <c r="AV175" i="21"/>
  <c r="BB175" i="21" s="1"/>
  <c r="AX184" i="21"/>
  <c r="BA184" i="21" s="1"/>
  <c r="T186" i="21"/>
  <c r="Z186" i="21" s="1"/>
  <c r="AT190" i="21"/>
  <c r="BA190" i="21" s="1"/>
  <c r="AD195" i="21"/>
  <c r="AJ195" i="21" s="1"/>
  <c r="AV195" i="21"/>
  <c r="BB195" i="21" s="1"/>
  <c r="AN198" i="21"/>
  <c r="BB198" i="21" s="1"/>
  <c r="AV199" i="21"/>
  <c r="BB199" i="21" s="1"/>
  <c r="AN202" i="21"/>
  <c r="AH203" i="21"/>
  <c r="BI206" i="21"/>
  <c r="BH206" i="21"/>
  <c r="AL208" i="21"/>
  <c r="BA208" i="21" s="1"/>
  <c r="X212" i="21"/>
  <c r="Z212" i="21" s="1"/>
  <c r="BI214" i="21"/>
  <c r="BH214" i="21"/>
  <c r="BI224" i="21"/>
  <c r="AF225" i="21"/>
  <c r="AI225" i="21" s="1"/>
  <c r="AB226" i="21"/>
  <c r="AI226" i="21" s="1"/>
  <c r="AR226" i="21"/>
  <c r="V227" i="21"/>
  <c r="Y227" i="21" s="1"/>
  <c r="AN227" i="21"/>
  <c r="BB227" i="21" s="1"/>
  <c r="BI227" i="21"/>
  <c r="BH227" i="21"/>
  <c r="AT228" i="21"/>
  <c r="BA228" i="21" s="1"/>
  <c r="V229" i="21"/>
  <c r="Y229" i="21" s="1"/>
  <c r="AP229" i="21"/>
  <c r="BI229" i="21"/>
  <c r="AD230" i="21"/>
  <c r="AJ230" i="21" s="1"/>
  <c r="AF243" i="21"/>
  <c r="AI243" i="21" s="1"/>
  <c r="AL247" i="21"/>
  <c r="BA247" i="21" s="1"/>
  <c r="AN249" i="21"/>
  <c r="BB249" i="21" s="1"/>
  <c r="BI249" i="21"/>
  <c r="BH249" i="21"/>
  <c r="AH250" i="21"/>
  <c r="AJ250" i="21" s="1"/>
  <c r="AD251" i="21"/>
  <c r="AJ251" i="21" s="1"/>
  <c r="AX252" i="21"/>
  <c r="BA252" i="21" s="1"/>
  <c r="AT253" i="21"/>
  <c r="BA253" i="21" s="1"/>
  <c r="AP254" i="21"/>
  <c r="BA254" i="21" s="1"/>
  <c r="BI254" i="21"/>
  <c r="AV255" i="21"/>
  <c r="BB255" i="21" s="1"/>
  <c r="AH262" i="21"/>
  <c r="AJ262" i="21" s="1"/>
  <c r="T266" i="21"/>
  <c r="Z266" i="21" s="1"/>
  <c r="AH268" i="21"/>
  <c r="AJ268" i="21" s="1"/>
  <c r="AR269" i="21"/>
  <c r="BB269" i="21" s="1"/>
  <c r="AD273" i="21"/>
  <c r="AJ273" i="21" s="1"/>
  <c r="BI274" i="21"/>
  <c r="BH274" i="21"/>
  <c r="AT275" i="21"/>
  <c r="BA275" i="21" s="1"/>
  <c r="V276" i="21"/>
  <c r="Y276" i="21" s="1"/>
  <c r="AP276" i="21"/>
  <c r="BA276" i="21" s="1"/>
  <c r="R277" i="21"/>
  <c r="Y277" i="21" s="1"/>
  <c r="AN278" i="21"/>
  <c r="BB278" i="21" s="1"/>
  <c r="AT279" i="21"/>
  <c r="BA279" i="21" s="1"/>
  <c r="AV281" i="21"/>
  <c r="X282" i="21"/>
  <c r="AD285" i="21"/>
  <c r="AJ285" i="21" s="1"/>
  <c r="BI288" i="21"/>
  <c r="BF288" i="21"/>
  <c r="AN290" i="21"/>
  <c r="BB290" i="21" s="1"/>
  <c r="AF293" i="21"/>
  <c r="AI293" i="21" s="1"/>
  <c r="AN304" i="21"/>
  <c r="BB304" i="21" s="1"/>
  <c r="AN311" i="21"/>
  <c r="BB311" i="21" s="1"/>
  <c r="AT317" i="21"/>
  <c r="BA317" i="21" s="1"/>
  <c r="T325" i="21"/>
  <c r="Z325" i="21" s="1"/>
  <c r="BI329" i="21"/>
  <c r="BH329" i="21"/>
  <c r="AH330" i="21"/>
  <c r="AD335" i="21"/>
  <c r="AJ335" i="21" s="1"/>
  <c r="AV335" i="21"/>
  <c r="BB335" i="21" s="1"/>
  <c r="AH338" i="21"/>
  <c r="AJ338" i="21" s="1"/>
  <c r="AP343" i="21"/>
  <c r="BA343" i="21" s="1"/>
  <c r="T365" i="21"/>
  <c r="Z365" i="21" s="1"/>
  <c r="AX383" i="21"/>
  <c r="BA383" i="21" s="1"/>
  <c r="T398" i="21"/>
  <c r="Z398" i="21" s="1"/>
  <c r="T403" i="21"/>
  <c r="Z403" i="21" s="1"/>
  <c r="R130" i="21"/>
  <c r="Y130" i="21" s="1"/>
  <c r="R93" i="21"/>
  <c r="Y93" i="21" s="1"/>
  <c r="X341" i="21"/>
  <c r="Z341" i="21" s="1"/>
  <c r="X213" i="21"/>
  <c r="Z213" i="21" s="1"/>
  <c r="R14" i="21"/>
  <c r="Y14" i="21" s="1"/>
  <c r="AN39" i="21"/>
  <c r="BB39" i="21" s="1"/>
  <c r="AN48" i="21"/>
  <c r="BB48" i="21" s="1"/>
  <c r="T52" i="21"/>
  <c r="Z52" i="21" s="1"/>
  <c r="AD53" i="21"/>
  <c r="AJ53" i="21" s="1"/>
  <c r="T66" i="21"/>
  <c r="BI66" i="21"/>
  <c r="BH66" i="21"/>
  <c r="AV69" i="21"/>
  <c r="BB69" i="21" s="1"/>
  <c r="AR70" i="21"/>
  <c r="BI102" i="21"/>
  <c r="BF102" i="21"/>
  <c r="AD110" i="21"/>
  <c r="AJ110" i="21" s="1"/>
  <c r="X111" i="21"/>
  <c r="AF127" i="21"/>
  <c r="AI127" i="21" s="1"/>
  <c r="AB128" i="21"/>
  <c r="AI128" i="21" s="1"/>
  <c r="AR131" i="21"/>
  <c r="BB131" i="21" s="1"/>
  <c r="BI142" i="21"/>
  <c r="BF142" i="21"/>
  <c r="X147" i="21"/>
  <c r="Z147" i="21" s="1"/>
  <c r="AV150" i="21"/>
  <c r="BB150" i="21" s="1"/>
  <c r="X152" i="21"/>
  <c r="AV158" i="21"/>
  <c r="BB158" i="21" s="1"/>
  <c r="AT174" i="21"/>
  <c r="AV191" i="21"/>
  <c r="BB191" i="21" s="1"/>
  <c r="AT194" i="21"/>
  <c r="BA194" i="21" s="1"/>
  <c r="AV196" i="21"/>
  <c r="BB196" i="21" s="1"/>
  <c r="T218" i="21"/>
  <c r="Z218" i="21" s="1"/>
  <c r="R220" i="21"/>
  <c r="Y220" i="21" s="1"/>
  <c r="AR221" i="21"/>
  <c r="BB221" i="21" s="1"/>
  <c r="AH223" i="21"/>
  <c r="AJ223" i="21" s="1"/>
  <c r="V241" i="21"/>
  <c r="Y241" i="21" s="1"/>
  <c r="AH246" i="21"/>
  <c r="AJ246" i="21" s="1"/>
  <c r="T253" i="21"/>
  <c r="Z253" i="21" s="1"/>
  <c r="BI253" i="21"/>
  <c r="BH253" i="21"/>
  <c r="AD292" i="21"/>
  <c r="AJ292" i="21" s="1"/>
  <c r="T321" i="21"/>
  <c r="Z321" i="21" s="1"/>
  <c r="T346" i="21"/>
  <c r="Z346" i="21" s="1"/>
  <c r="AV25" i="21"/>
  <c r="BB25" i="21" s="1"/>
  <c r="AH28" i="21"/>
  <c r="AJ28" i="21" s="1"/>
  <c r="BI35" i="21"/>
  <c r="BH35" i="21"/>
  <c r="AF38" i="21"/>
  <c r="AI38" i="21" s="1"/>
  <c r="AD45" i="21"/>
  <c r="AJ45" i="21" s="1"/>
  <c r="AP52" i="21"/>
  <c r="BA52" i="21" s="1"/>
  <c r="R53" i="21"/>
  <c r="Y53" i="21" s="1"/>
  <c r="BI53" i="21"/>
  <c r="BF53" i="21"/>
  <c r="BI55" i="21"/>
  <c r="BH55" i="21"/>
  <c r="AX56" i="21"/>
  <c r="X57" i="21"/>
  <c r="Z57" i="21" s="1"/>
  <c r="X66" i="21"/>
  <c r="AL69" i="21"/>
  <c r="BA69" i="21" s="1"/>
  <c r="BI69" i="21"/>
  <c r="BF69" i="21"/>
  <c r="AX78" i="21"/>
  <c r="BA78" i="21" s="1"/>
  <c r="AN96" i="21"/>
  <c r="BB96" i="21" s="1"/>
  <c r="AX110" i="21"/>
  <c r="AR2" i="21"/>
  <c r="BB2" i="21" s="1"/>
  <c r="AH5" i="21"/>
  <c r="AJ5" i="21" s="1"/>
  <c r="AH9" i="21"/>
  <c r="AJ9" i="21" s="1"/>
  <c r="AD10" i="21"/>
  <c r="AJ10" i="21" s="1"/>
  <c r="T11" i="21"/>
  <c r="T15" i="21"/>
  <c r="Z15" i="21" s="1"/>
  <c r="AX15" i="21"/>
  <c r="BA15" i="21" s="1"/>
  <c r="AT16" i="21"/>
  <c r="BA16" i="21" s="1"/>
  <c r="AT27" i="21"/>
  <c r="BA27" i="21" s="1"/>
  <c r="BI31" i="21"/>
  <c r="BH31" i="21"/>
  <c r="AH32" i="21"/>
  <c r="AJ32" i="21" s="1"/>
  <c r="AT43" i="21"/>
  <c r="BA43" i="21" s="1"/>
  <c r="AL45" i="21"/>
  <c r="BA45" i="21" s="1"/>
  <c r="T47" i="21"/>
  <c r="Z47" i="21" s="1"/>
  <c r="AN47" i="21"/>
  <c r="T54" i="21"/>
  <c r="Z54" i="21" s="1"/>
  <c r="BI54" i="21"/>
  <c r="BF54" i="21"/>
  <c r="AT55" i="21"/>
  <c r="BA55" i="21" s="1"/>
  <c r="AP56" i="21"/>
  <c r="AN62" i="21"/>
  <c r="BI65" i="21"/>
  <c r="BF65" i="21"/>
  <c r="AB67" i="21"/>
  <c r="AI67" i="21" s="1"/>
  <c r="BI67" i="21"/>
  <c r="BH67" i="21"/>
  <c r="AH68" i="21"/>
  <c r="BI85" i="21"/>
  <c r="BF85" i="21"/>
  <c r="AN87" i="21"/>
  <c r="BB87" i="21" s="1"/>
  <c r="BI87" i="21"/>
  <c r="BH87" i="21"/>
  <c r="AX88" i="21"/>
  <c r="X94" i="21"/>
  <c r="Z94" i="21" s="1"/>
  <c r="AB96" i="21"/>
  <c r="AI96" i="21" s="1"/>
  <c r="AL97" i="21"/>
  <c r="BA97" i="21" s="1"/>
  <c r="AF98" i="21"/>
  <c r="AI98" i="21" s="1"/>
  <c r="AX98" i="21"/>
  <c r="R101" i="21"/>
  <c r="AD102" i="21"/>
  <c r="AJ102" i="21" s="1"/>
  <c r="X103" i="21"/>
  <c r="T104" i="21"/>
  <c r="Z104" i="21" s="1"/>
  <c r="BI104" i="21"/>
  <c r="BH104" i="21"/>
  <c r="X106" i="21"/>
  <c r="Z106" i="21" s="1"/>
  <c r="AR106" i="21"/>
  <c r="BB106" i="21" s="1"/>
  <c r="AD109" i="21"/>
  <c r="V113" i="21"/>
  <c r="AP113" i="21"/>
  <c r="AD115" i="21"/>
  <c r="AJ115" i="21" s="1"/>
  <c r="AP118" i="21"/>
  <c r="BA118" i="21" s="1"/>
  <c r="BI118" i="21"/>
  <c r="AV119" i="21"/>
  <c r="BB119" i="21" s="1"/>
  <c r="X120" i="21"/>
  <c r="T121" i="21"/>
  <c r="Z121" i="21" s="1"/>
  <c r="AD122" i="21"/>
  <c r="X127" i="21"/>
  <c r="Z127" i="21" s="1"/>
  <c r="AR127" i="21"/>
  <c r="BB127" i="21" s="1"/>
  <c r="T128" i="21"/>
  <c r="Z128" i="21" s="1"/>
  <c r="AN128" i="21"/>
  <c r="BB128" i="21" s="1"/>
  <c r="AD130" i="21"/>
  <c r="AJ130" i="21" s="1"/>
  <c r="AP133" i="21"/>
  <c r="BA133" i="21" s="1"/>
  <c r="X135" i="21"/>
  <c r="Z135" i="21" s="1"/>
  <c r="AR135" i="21"/>
  <c r="BB135" i="21" s="1"/>
  <c r="BI138" i="21"/>
  <c r="BF138" i="21"/>
  <c r="AN140" i="21"/>
  <c r="BB140" i="21" s="1"/>
  <c r="X143" i="21"/>
  <c r="Z143" i="21" s="1"/>
  <c r="BI144" i="21"/>
  <c r="BH144" i="21"/>
  <c r="AX156" i="21"/>
  <c r="BA156" i="21" s="1"/>
  <c r="AT157" i="21"/>
  <c r="BA157" i="21" s="1"/>
  <c r="AP158" i="21"/>
  <c r="BI159" i="21"/>
  <c r="AD163" i="21"/>
  <c r="AJ163" i="21" s="1"/>
  <c r="AP166" i="21"/>
  <c r="BA166" i="21" s="1"/>
  <c r="X168" i="21"/>
  <c r="Z168" i="21" s="1"/>
  <c r="AR168" i="21"/>
  <c r="BB168" i="21" s="1"/>
  <c r="R172" i="21"/>
  <c r="Y172" i="21" s="1"/>
  <c r="AT173" i="21"/>
  <c r="BA173" i="21" s="1"/>
  <c r="AN174" i="21"/>
  <c r="BB174" i="21" s="1"/>
  <c r="T177" i="21"/>
  <c r="Z177" i="21" s="1"/>
  <c r="AP178" i="21"/>
  <c r="BA178" i="21" s="1"/>
  <c r="AL179" i="21"/>
  <c r="BA179" i="21" s="1"/>
  <c r="AR180" i="21"/>
  <c r="BB180" i="21" s="1"/>
  <c r="AV188" i="21"/>
  <c r="BB188" i="21" s="1"/>
  <c r="X189" i="21"/>
  <c r="Z189" i="21" s="1"/>
  <c r="AP191" i="21"/>
  <c r="BA191" i="21" s="1"/>
  <c r="T194" i="21"/>
  <c r="Z194" i="21" s="1"/>
  <c r="AN194" i="21"/>
  <c r="BB194" i="21" s="1"/>
  <c r="BI194" i="21"/>
  <c r="BH194" i="21"/>
  <c r="X196" i="21"/>
  <c r="Z196" i="21" s="1"/>
  <c r="BI196" i="21"/>
  <c r="BI198" i="21"/>
  <c r="AH199" i="21"/>
  <c r="AF201" i="21"/>
  <c r="AI201" i="21" s="1"/>
  <c r="AH207" i="21"/>
  <c r="AJ207" i="21" s="1"/>
  <c r="AF209" i="21"/>
  <c r="AI209" i="21" s="1"/>
  <c r="AH211" i="21"/>
  <c r="AJ211" i="21" s="1"/>
  <c r="AH215" i="21"/>
  <c r="AJ215" i="21" s="1"/>
  <c r="T217" i="21"/>
  <c r="Z217" i="21" s="1"/>
  <c r="AR220" i="21"/>
  <c r="T221" i="21"/>
  <c r="Z221" i="21" s="1"/>
  <c r="AL224" i="21"/>
  <c r="BA224" i="21" s="1"/>
  <c r="AT226" i="21"/>
  <c r="BA226" i="21" s="1"/>
  <c r="AP227" i="21"/>
  <c r="R228" i="21"/>
  <c r="Y228" i="21" s="1"/>
  <c r="AV230" i="21"/>
  <c r="BB230" i="21" s="1"/>
  <c r="X231" i="21"/>
  <c r="T232" i="21"/>
  <c r="Z232" i="21" s="1"/>
  <c r="BI235" i="21"/>
  <c r="BI240" i="21"/>
  <c r="BH240" i="21"/>
  <c r="AH241" i="21"/>
  <c r="AJ241" i="21" s="1"/>
  <c r="BI242" i="21"/>
  <c r="AR244" i="21"/>
  <c r="BB244" i="21" s="1"/>
  <c r="T245" i="21"/>
  <c r="Z245" i="21" s="1"/>
  <c r="X256" i="21"/>
  <c r="Z256" i="21" s="1"/>
  <c r="T257" i="21"/>
  <c r="Z257" i="21" s="1"/>
  <c r="AN257" i="21"/>
  <c r="BB257" i="21" s="1"/>
  <c r="BI257" i="21"/>
  <c r="BH257" i="21"/>
  <c r="AH258" i="21"/>
  <c r="AJ258" i="21" s="1"/>
  <c r="AX260" i="21"/>
  <c r="BA260" i="21" s="1"/>
  <c r="AH272" i="21"/>
  <c r="AJ272" i="21" s="1"/>
  <c r="AV273" i="21"/>
  <c r="BB273" i="21" s="1"/>
  <c r="AN274" i="21"/>
  <c r="BB274" i="21" s="1"/>
  <c r="AV277" i="21"/>
  <c r="BB277" i="21" s="1"/>
  <c r="X278" i="21"/>
  <c r="BI278" i="21"/>
  <c r="BI282" i="21"/>
  <c r="AV285" i="21"/>
  <c r="AH291" i="21"/>
  <c r="AJ291" i="21" s="1"/>
  <c r="BI292" i="21"/>
  <c r="AB294" i="21"/>
  <c r="AI294" i="21" s="1"/>
  <c r="V295" i="21"/>
  <c r="Y295" i="21" s="1"/>
  <c r="AL302" i="21"/>
  <c r="BA302" i="21" s="1"/>
  <c r="AN316" i="21"/>
  <c r="X324" i="21"/>
  <c r="AL330" i="21"/>
  <c r="BA330" i="21" s="1"/>
  <c r="T334" i="21"/>
  <c r="Z334" i="21" s="1"/>
  <c r="X337" i="21"/>
  <c r="AR364" i="21"/>
  <c r="AR375" i="21"/>
  <c r="BB375" i="21" s="1"/>
  <c r="AB382" i="21"/>
  <c r="AI382" i="21" s="1"/>
  <c r="T387" i="21"/>
  <c r="Z387" i="21" s="1"/>
  <c r="X397" i="21"/>
  <c r="Z397" i="21" s="1"/>
  <c r="AB402" i="21"/>
  <c r="AI402" i="21" s="1"/>
  <c r="R158" i="21"/>
  <c r="Y158" i="21" s="1"/>
  <c r="R85" i="21"/>
  <c r="Y85" i="21" s="1"/>
  <c r="R49" i="21"/>
  <c r="Y49" i="21" s="1"/>
  <c r="T327" i="21"/>
  <c r="Z327" i="21" s="1"/>
  <c r="V40" i="21"/>
  <c r="Y40" i="21" s="1"/>
  <c r="BF224" i="21"/>
  <c r="AR297" i="21"/>
  <c r="AP298" i="21"/>
  <c r="AL299" i="21"/>
  <c r="BA299" i="21" s="1"/>
  <c r="X300" i="21"/>
  <c r="Z300" i="21" s="1"/>
  <c r="AD302" i="21"/>
  <c r="X304" i="21"/>
  <c r="Z304" i="21" s="1"/>
  <c r="BI305" i="21"/>
  <c r="BH305" i="21"/>
  <c r="AV306" i="21"/>
  <c r="BB306" i="21" s="1"/>
  <c r="AL318" i="21"/>
  <c r="BA318" i="21" s="1"/>
  <c r="AD319" i="21"/>
  <c r="AJ319" i="21" s="1"/>
  <c r="AV323" i="21"/>
  <c r="BB323" i="21" s="1"/>
  <c r="AR324" i="21"/>
  <c r="BB324" i="21" s="1"/>
  <c r="AN325" i="21"/>
  <c r="BB325" i="21" s="1"/>
  <c r="BI325" i="21"/>
  <c r="BH325" i="21"/>
  <c r="AF328" i="21"/>
  <c r="AI328" i="21" s="1"/>
  <c r="AB329" i="21"/>
  <c r="AI329" i="21" s="1"/>
  <c r="AD331" i="21"/>
  <c r="AJ331" i="21" s="1"/>
  <c r="AN332" i="21"/>
  <c r="BI334" i="21"/>
  <c r="BH334" i="21"/>
  <c r="AL336" i="21"/>
  <c r="AT337" i="21"/>
  <c r="BA337" i="21" s="1"/>
  <c r="AN338" i="21"/>
  <c r="BB338" i="21" s="1"/>
  <c r="BI338" i="21"/>
  <c r="BH338" i="21"/>
  <c r="AN342" i="21"/>
  <c r="BB342" i="21" s="1"/>
  <c r="BI342" i="21"/>
  <c r="BH342" i="21"/>
  <c r="AV347" i="21"/>
  <c r="BB347" i="21" s="1"/>
  <c r="AX349" i="21"/>
  <c r="BA349" i="21" s="1"/>
  <c r="AV351" i="21"/>
  <c r="BB351" i="21" s="1"/>
  <c r="AP358" i="21"/>
  <c r="BA358" i="21" s="1"/>
  <c r="AL359" i="21"/>
  <c r="AV364" i="21"/>
  <c r="AD368" i="21"/>
  <c r="AJ368" i="21" s="1"/>
  <c r="X369" i="21"/>
  <c r="AL372" i="21"/>
  <c r="AD375" i="21"/>
  <c r="AJ375" i="21" s="1"/>
  <c r="BI376" i="21"/>
  <c r="BF376" i="21"/>
  <c r="AN378" i="21"/>
  <c r="BB378" i="21" s="1"/>
  <c r="AL380" i="21"/>
  <c r="BA380" i="21" s="1"/>
  <c r="AB392" i="21"/>
  <c r="AI392" i="21" s="1"/>
  <c r="BI394" i="21"/>
  <c r="BF394" i="21"/>
  <c r="AV400" i="21"/>
  <c r="BB400" i="21" s="1"/>
  <c r="AH403" i="21"/>
  <c r="AJ403" i="21" s="1"/>
  <c r="T382" i="21"/>
  <c r="Z382" i="21" s="1"/>
  <c r="T372" i="21"/>
  <c r="Z372" i="21" s="1"/>
  <c r="T350" i="21"/>
  <c r="Z350" i="21" s="1"/>
  <c r="V378" i="21"/>
  <c r="Y378" i="21" s="1"/>
  <c r="V314" i="21"/>
  <c r="Y314" i="21" s="1"/>
  <c r="X371" i="21"/>
  <c r="Z371" i="21" s="1"/>
  <c r="BH400" i="21"/>
  <c r="AH296" i="21"/>
  <c r="AJ296" i="21" s="1"/>
  <c r="AT297" i="21"/>
  <c r="BA297" i="21" s="1"/>
  <c r="X298" i="21"/>
  <c r="Z298" i="21" s="1"/>
  <c r="AN301" i="21"/>
  <c r="BB301" i="21" s="1"/>
  <c r="AB304" i="21"/>
  <c r="AI304" i="21" s="1"/>
  <c r="T305" i="21"/>
  <c r="Z305" i="21" s="1"/>
  <c r="BI312" i="21"/>
  <c r="BH312" i="21"/>
  <c r="AV315" i="21"/>
  <c r="BB315" i="21" s="1"/>
  <c r="AR316" i="21"/>
  <c r="AH317" i="21"/>
  <c r="AJ317" i="21" s="1"/>
  <c r="BI318" i="21"/>
  <c r="BF318" i="21"/>
  <c r="AF319" i="21"/>
  <c r="AI319" i="21" s="1"/>
  <c r="AX328" i="21"/>
  <c r="BA328" i="21" s="1"/>
  <c r="AV331" i="21"/>
  <c r="X332" i="21"/>
  <c r="Z332" i="21" s="1"/>
  <c r="BI336" i="21"/>
  <c r="BF336" i="21"/>
  <c r="AH339" i="21"/>
  <c r="AJ339" i="21" s="1"/>
  <c r="AL340" i="21"/>
  <c r="BA340" i="21" s="1"/>
  <c r="AB346" i="21"/>
  <c r="AI346" i="21" s="1"/>
  <c r="AH347" i="21"/>
  <c r="AJ347" i="21" s="1"/>
  <c r="X348" i="21"/>
  <c r="Z348" i="21" s="1"/>
  <c r="AD352" i="21"/>
  <c r="AJ352" i="21" s="1"/>
  <c r="AD360" i="21"/>
  <c r="AJ360" i="21" s="1"/>
  <c r="AN365" i="21"/>
  <c r="AF368" i="21"/>
  <c r="AI368" i="21" s="1"/>
  <c r="AB369" i="21"/>
  <c r="AI369" i="21" s="1"/>
  <c r="BI378" i="21"/>
  <c r="AV386" i="21"/>
  <c r="BB386" i="21" s="1"/>
  <c r="AN391" i="21"/>
  <c r="BB391" i="21" s="1"/>
  <c r="BI398" i="21"/>
  <c r="BH398" i="21"/>
  <c r="AF399" i="21"/>
  <c r="AI399" i="21" s="1"/>
  <c r="T370" i="21"/>
  <c r="Z370" i="21" s="1"/>
  <c r="T324" i="21"/>
  <c r="T296" i="21"/>
  <c r="V335" i="21"/>
  <c r="Y335" i="21" s="1"/>
  <c r="AH302" i="21"/>
  <c r="X303" i="21"/>
  <c r="V305" i="21"/>
  <c r="Y305" i="21" s="1"/>
  <c r="AH313" i="21"/>
  <c r="AJ313" i="21" s="1"/>
  <c r="AX315" i="21"/>
  <c r="BA315" i="21" s="1"/>
  <c r="AB321" i="21"/>
  <c r="AI321" i="21" s="1"/>
  <c r="BI323" i="21"/>
  <c r="BF323" i="21"/>
  <c r="AH326" i="21"/>
  <c r="AJ326" i="21" s="1"/>
  <c r="AR327" i="21"/>
  <c r="AR332" i="21"/>
  <c r="BI340" i="21"/>
  <c r="AH343" i="21"/>
  <c r="BI344" i="21"/>
  <c r="AL351" i="21"/>
  <c r="BA351" i="21" s="1"/>
  <c r="AF352" i="21"/>
  <c r="AI352" i="21" s="1"/>
  <c r="X353" i="21"/>
  <c r="Z353" i="21" s="1"/>
  <c r="BI355" i="21"/>
  <c r="AV356" i="21"/>
  <c r="BB356" i="21" s="1"/>
  <c r="AN357" i="21"/>
  <c r="T361" i="21"/>
  <c r="AH366" i="21"/>
  <c r="AJ366" i="21" s="1"/>
  <c r="X367" i="21"/>
  <c r="Z367" i="21" s="1"/>
  <c r="BI367" i="21"/>
  <c r="AX368" i="21"/>
  <c r="BA368" i="21" s="1"/>
  <c r="AT373" i="21"/>
  <c r="BI374" i="21"/>
  <c r="BH374" i="21"/>
  <c r="X376" i="21"/>
  <c r="Z376" i="21" s="1"/>
  <c r="AH379" i="21"/>
  <c r="AJ379" i="21" s="1"/>
  <c r="X383" i="21"/>
  <c r="Z383" i="21" s="1"/>
  <c r="AR387" i="21"/>
  <c r="BB387" i="21" s="1"/>
  <c r="BI387" i="21"/>
  <c r="X391" i="21"/>
  <c r="Z391" i="21" s="1"/>
  <c r="AX395" i="21"/>
  <c r="BA395" i="21" s="1"/>
  <c r="AH397" i="21"/>
  <c r="AJ397" i="21" s="1"/>
  <c r="AD398" i="21"/>
  <c r="AJ398" i="21" s="1"/>
  <c r="AD404" i="21"/>
  <c r="AJ404" i="21" s="1"/>
  <c r="T400" i="21"/>
  <c r="Z400" i="21" s="1"/>
  <c r="T320" i="21"/>
  <c r="Z320" i="21" s="1"/>
  <c r="V330" i="21"/>
  <c r="Y330" i="21" s="1"/>
  <c r="BI308" i="21"/>
  <c r="BH308" i="21"/>
  <c r="AH309" i="21"/>
  <c r="AJ309" i="21" s="1"/>
  <c r="AD311" i="21"/>
  <c r="AJ311" i="21" s="1"/>
  <c r="T313" i="21"/>
  <c r="Z313" i="21" s="1"/>
  <c r="AN317" i="21"/>
  <c r="BB317" i="21" s="1"/>
  <c r="AL319" i="21"/>
  <c r="BA319" i="21" s="1"/>
  <c r="AF320" i="21"/>
  <c r="AI320" i="21" s="1"/>
  <c r="AT325" i="21"/>
  <c r="BA325" i="21" s="1"/>
  <c r="AN328" i="21"/>
  <c r="AH329" i="21"/>
  <c r="AJ329" i="21" s="1"/>
  <c r="X344" i="21"/>
  <c r="Z344" i="21" s="1"/>
  <c r="AT346" i="21"/>
  <c r="BA346" i="21" s="1"/>
  <c r="V347" i="21"/>
  <c r="Y347" i="21" s="1"/>
  <c r="AD348" i="21"/>
  <c r="AJ348" i="21" s="1"/>
  <c r="BI353" i="21"/>
  <c r="BH353" i="21"/>
  <c r="AX356" i="21"/>
  <c r="BA356" i="21" s="1"/>
  <c r="AD358" i="21"/>
  <c r="X359" i="21"/>
  <c r="Z359" i="21" s="1"/>
  <c r="AV363" i="21"/>
  <c r="BB363" i="21" s="1"/>
  <c r="AR365" i="21"/>
  <c r="AF373" i="21"/>
  <c r="AI373" i="21" s="1"/>
  <c r="AP374" i="21"/>
  <c r="BA374" i="21" s="1"/>
  <c r="T377" i="21"/>
  <c r="Z377" i="21" s="1"/>
  <c r="AF381" i="21"/>
  <c r="AI381" i="21" s="1"/>
  <c r="AB383" i="21"/>
  <c r="AI383" i="21" s="1"/>
  <c r="AH388" i="21"/>
  <c r="AJ388" i="21" s="1"/>
  <c r="V393" i="21"/>
  <c r="Y393" i="21" s="1"/>
  <c r="AH395" i="21"/>
  <c r="AJ395" i="21" s="1"/>
  <c r="AD396" i="21"/>
  <c r="AJ396" i="21" s="1"/>
  <c r="AT396" i="21"/>
  <c r="BA396" i="21" s="1"/>
  <c r="AR401" i="21"/>
  <c r="BB401" i="21" s="1"/>
  <c r="R363" i="21"/>
  <c r="Y363" i="21" s="1"/>
  <c r="R331" i="21"/>
  <c r="Y331" i="21" s="1"/>
  <c r="R323" i="21"/>
  <c r="Y323" i="21" s="1"/>
  <c r="R315" i="21"/>
  <c r="Y315" i="21" s="1"/>
  <c r="T333" i="21"/>
  <c r="Z333" i="21" s="1"/>
  <c r="BH310" i="21"/>
  <c r="BI302" i="21"/>
  <c r="BF302" i="21"/>
  <c r="AD303" i="21"/>
  <c r="AJ303" i="21" s="1"/>
  <c r="AB305" i="21"/>
  <c r="AI305" i="21" s="1"/>
  <c r="BI306" i="21"/>
  <c r="AF311" i="21"/>
  <c r="AI311" i="21" s="1"/>
  <c r="X312" i="21"/>
  <c r="Z312" i="21" s="1"/>
  <c r="AD327" i="21"/>
  <c r="AJ327" i="21" s="1"/>
  <c r="AV327" i="21"/>
  <c r="AD330" i="21"/>
  <c r="BI331" i="21"/>
  <c r="BF331" i="21"/>
  <c r="AN333" i="21"/>
  <c r="BB333" i="21" s="1"/>
  <c r="AD336" i="21"/>
  <c r="AJ336" i="21" s="1"/>
  <c r="T337" i="21"/>
  <c r="AR340" i="21"/>
  <c r="AR344" i="21"/>
  <c r="BB344" i="21" s="1"/>
  <c r="BI345" i="21"/>
  <c r="BH345" i="21"/>
  <c r="AV348" i="21"/>
  <c r="AL352" i="21"/>
  <c r="BA352" i="21" s="1"/>
  <c r="AV354" i="21"/>
  <c r="AR355" i="21"/>
  <c r="BB355" i="21" s="1"/>
  <c r="AR357" i="21"/>
  <c r="X361" i="21"/>
  <c r="AN364" i="21"/>
  <c r="AT365" i="21"/>
  <c r="BA365" i="21" s="1"/>
  <c r="AN366" i="21"/>
  <c r="BB366" i="21" s="1"/>
  <c r="AD367" i="21"/>
  <c r="AJ367" i="21" s="1"/>
  <c r="BI368" i="21"/>
  <c r="BH368" i="21"/>
  <c r="AV369" i="21"/>
  <c r="AH371" i="21"/>
  <c r="AJ371" i="21" s="1"/>
  <c r="AB374" i="21"/>
  <c r="AI374" i="21" s="1"/>
  <c r="AL375" i="21"/>
  <c r="BA375" i="21" s="1"/>
  <c r="BI377" i="21"/>
  <c r="BH377" i="21"/>
  <c r="AT378" i="21"/>
  <c r="BA378" i="21" s="1"/>
  <c r="AH384" i="21"/>
  <c r="AJ384" i="21" s="1"/>
  <c r="AD385" i="21"/>
  <c r="AJ385" i="21" s="1"/>
  <c r="AB400" i="21"/>
  <c r="AI400" i="21" s="1"/>
  <c r="AR403" i="21"/>
  <c r="BB403" i="21" s="1"/>
  <c r="T356" i="21"/>
  <c r="Z356" i="21" s="1"/>
  <c r="AN312" i="21"/>
  <c r="BB312" i="21" s="1"/>
  <c r="AV307" i="21"/>
  <c r="BB307" i="21" s="1"/>
  <c r="AR308" i="21"/>
  <c r="BB308" i="21" s="1"/>
  <c r="AN309" i="21"/>
  <c r="BB309" i="21" s="1"/>
  <c r="AD310" i="21"/>
  <c r="AB312" i="21"/>
  <c r="BI313" i="21"/>
  <c r="BH313" i="21"/>
  <c r="BI315" i="21"/>
  <c r="AD322" i="21"/>
  <c r="AP326" i="21"/>
  <c r="BA326" i="21" s="1"/>
  <c r="BI326" i="21"/>
  <c r="X328" i="21"/>
  <c r="Z328" i="21" s="1"/>
  <c r="AR328" i="21"/>
  <c r="T329" i="21"/>
  <c r="Z329" i="21" s="1"/>
  <c r="AN329" i="21"/>
  <c r="BI335" i="21"/>
  <c r="AN337" i="21"/>
  <c r="BB337" i="21" s="1"/>
  <c r="AP339" i="21"/>
  <c r="AD340" i="21"/>
  <c r="AJ340" i="21" s="1"/>
  <c r="BI341" i="21"/>
  <c r="BH341" i="21"/>
  <c r="AD344" i="21"/>
  <c r="AJ344" i="21" s="1"/>
  <c r="AN345" i="21"/>
  <c r="BB345" i="21" s="1"/>
  <c r="AP347" i="21"/>
  <c r="BA347" i="21" s="1"/>
  <c r="AR349" i="21"/>
  <c r="BB349" i="21" s="1"/>
  <c r="AH358" i="21"/>
  <c r="AB361" i="21"/>
  <c r="BI361" i="21"/>
  <c r="BH361" i="21"/>
  <c r="BI364" i="21"/>
  <c r="AP379" i="21"/>
  <c r="BA379" i="21" s="1"/>
  <c r="AD380" i="21"/>
  <c r="AJ380" i="21" s="1"/>
  <c r="BI386" i="21"/>
  <c r="AD389" i="21"/>
  <c r="AJ389" i="21" s="1"/>
  <c r="AV389" i="21"/>
  <c r="BB389" i="21" s="1"/>
  <c r="AP397" i="21"/>
  <c r="BA397" i="21" s="1"/>
  <c r="X399" i="21"/>
  <c r="Z399" i="21" s="1"/>
  <c r="AN402" i="21"/>
  <c r="BB402" i="21" s="1"/>
  <c r="T354" i="21"/>
  <c r="Z354" i="21" s="1"/>
  <c r="V322" i="21"/>
  <c r="Y322" i="21" s="1"/>
  <c r="X381" i="21"/>
  <c r="Z381" i="21" s="1"/>
  <c r="X349" i="21"/>
  <c r="Z349" i="21" s="1"/>
  <c r="AZ114" i="21"/>
  <c r="AZ354" i="21"/>
  <c r="AZ266" i="21"/>
  <c r="AZ250" i="21"/>
  <c r="BB250" i="21" s="1"/>
  <c r="AZ202" i="21"/>
  <c r="AZ122" i="21"/>
  <c r="BB122" i="21" s="1"/>
  <c r="AZ98" i="21"/>
  <c r="BI2" i="21"/>
  <c r="BI5" i="21"/>
  <c r="BI10" i="21"/>
  <c r="BI19" i="21"/>
  <c r="BI9" i="21"/>
  <c r="BI32" i="21"/>
  <c r="BI33" i="21"/>
  <c r="BI34" i="21"/>
  <c r="BI17" i="21"/>
  <c r="BI28" i="21"/>
  <c r="BI40" i="21"/>
  <c r="BI24" i="21"/>
  <c r="BI26" i="21"/>
  <c r="BI15" i="21"/>
  <c r="BI22" i="21"/>
  <c r="BI36" i="21"/>
  <c r="BI48" i="21"/>
  <c r="BI62" i="21"/>
  <c r="BI82" i="21"/>
  <c r="BI74" i="21"/>
  <c r="BI86" i="21"/>
  <c r="BI90" i="21"/>
  <c r="BI50" i="21"/>
  <c r="BI61" i="21"/>
  <c r="BI60" i="21"/>
  <c r="BI72" i="21"/>
  <c r="BI92" i="21"/>
  <c r="BI64" i="21"/>
  <c r="BI84" i="21"/>
  <c r="BI94" i="21"/>
  <c r="BI114" i="21"/>
  <c r="BI129" i="21"/>
  <c r="BI131" i="21"/>
  <c r="BI141" i="21"/>
  <c r="BI122" i="21"/>
  <c r="BI125" i="21"/>
  <c r="BI123" i="21"/>
  <c r="BI137" i="21"/>
  <c r="BI139" i="21"/>
  <c r="BI145" i="21"/>
  <c r="BI120" i="21"/>
  <c r="BI133" i="21"/>
  <c r="BI149" i="21"/>
  <c r="BI157" i="21"/>
  <c r="BI185" i="21"/>
  <c r="BI162" i="21"/>
  <c r="BI187" i="21"/>
  <c r="BI151" i="21"/>
  <c r="BI172" i="21"/>
  <c r="BI167" i="21"/>
  <c r="BI191" i="21"/>
  <c r="BI186" i="21"/>
  <c r="BI193" i="21"/>
  <c r="BI174" i="21"/>
  <c r="BI178" i="21"/>
  <c r="BI211" i="21"/>
  <c r="BI216" i="21"/>
  <c r="BI225" i="21"/>
  <c r="BI197" i="21"/>
  <c r="BI215" i="21"/>
  <c r="BI195" i="21"/>
  <c r="BI199" i="21"/>
  <c r="BI223" i="21"/>
  <c r="BI221" i="21"/>
  <c r="BI207" i="21"/>
  <c r="BI244" i="21"/>
  <c r="BI248" i="21"/>
  <c r="BI237" i="21"/>
  <c r="BI239" i="21"/>
  <c r="BI246" i="21"/>
  <c r="BI250" i="21"/>
  <c r="BI243" i="21"/>
  <c r="BI233" i="21"/>
  <c r="BI241" i="21"/>
  <c r="BI252" i="21"/>
  <c r="BI256" i="21"/>
  <c r="BI260" i="21"/>
  <c r="BI272" i="21"/>
  <c r="BI276" i="21"/>
  <c r="BI296" i="21"/>
  <c r="BI291" i="21"/>
  <c r="BI284" i="21"/>
  <c r="BI295" i="21"/>
  <c r="BI287" i="21"/>
  <c r="BI289" i="21"/>
  <c r="BI268" i="21"/>
  <c r="BI297" i="21"/>
  <c r="BI316" i="21"/>
  <c r="BI319" i="21"/>
  <c r="BI322" i="21"/>
  <c r="BI324" i="21"/>
  <c r="BI298" i="21"/>
  <c r="BI311" i="21"/>
  <c r="BI314" i="21"/>
  <c r="BI320" i="21"/>
  <c r="BI317" i="21"/>
  <c r="BI304" i="21"/>
  <c r="BI309" i="21"/>
  <c r="BI301" i="21"/>
  <c r="BI330" i="21"/>
  <c r="BI328" i="21"/>
  <c r="BI333" i="21"/>
  <c r="BI347" i="21"/>
  <c r="BI351" i="21"/>
  <c r="BI349" i="21"/>
  <c r="BI337" i="21"/>
  <c r="BI358" i="21"/>
  <c r="BI362" i="21"/>
  <c r="BI354" i="21"/>
  <c r="BI360" i="21"/>
  <c r="BI373" i="21"/>
  <c r="BI352" i="21"/>
  <c r="BI365" i="21"/>
  <c r="BI372" i="21"/>
  <c r="BI366" i="21"/>
  <c r="BI375" i="21"/>
  <c r="BI381" i="21"/>
  <c r="BI393" i="21"/>
  <c r="BI389" i="21"/>
  <c r="BI395" i="21"/>
  <c r="BI371" i="21"/>
  <c r="BI397" i="21"/>
  <c r="BI399" i="21"/>
  <c r="BI384" i="21"/>
  <c r="BI392" i="21"/>
  <c r="BI401" i="21"/>
  <c r="BI383" i="21"/>
  <c r="BI391" i="21"/>
  <c r="AA404" i="19"/>
  <c r="AA403" i="19"/>
  <c r="AA402" i="19"/>
  <c r="AA401" i="19"/>
  <c r="AA400" i="19"/>
  <c r="AA399" i="19"/>
  <c r="AA398" i="19"/>
  <c r="AA397" i="19"/>
  <c r="AA396" i="19"/>
  <c r="AA395" i="19"/>
  <c r="AA394" i="19"/>
  <c r="AA393" i="19"/>
  <c r="AA392" i="19"/>
  <c r="AA391" i="19"/>
  <c r="AA390" i="19"/>
  <c r="AA389" i="19"/>
  <c r="AA388" i="19"/>
  <c r="AA387" i="19"/>
  <c r="AA386" i="19"/>
  <c r="AA385" i="19"/>
  <c r="AA384" i="19"/>
  <c r="AA383" i="19"/>
  <c r="AA382" i="19"/>
  <c r="AA381" i="19"/>
  <c r="AA380" i="19"/>
  <c r="AA379" i="19"/>
  <c r="AA378" i="19"/>
  <c r="AA377" i="19"/>
  <c r="AA376" i="19"/>
  <c r="AA375" i="19"/>
  <c r="AA374" i="19"/>
  <c r="AA373" i="19"/>
  <c r="AA372" i="19"/>
  <c r="AA371" i="19"/>
  <c r="AA370" i="19"/>
  <c r="AA369" i="19"/>
  <c r="AA368" i="19"/>
  <c r="AA367" i="19"/>
  <c r="AA366" i="19"/>
  <c r="AA365" i="19"/>
  <c r="AA364" i="19"/>
  <c r="AA363" i="19"/>
  <c r="AA362" i="19"/>
  <c r="AA361" i="19"/>
  <c r="AA360" i="19"/>
  <c r="AA359" i="19"/>
  <c r="AA358" i="19"/>
  <c r="AA357" i="19"/>
  <c r="AA356" i="19"/>
  <c r="AA355" i="19"/>
  <c r="AA354" i="19"/>
  <c r="AA353" i="19"/>
  <c r="AA352" i="19"/>
  <c r="AA351" i="19"/>
  <c r="AA350" i="19"/>
  <c r="AA349" i="19"/>
  <c r="AA348" i="19"/>
  <c r="AA347" i="19"/>
  <c r="AA346" i="19"/>
  <c r="AA345" i="19"/>
  <c r="AA344" i="19"/>
  <c r="AA343" i="19"/>
  <c r="AA342" i="19"/>
  <c r="AA341" i="19"/>
  <c r="AA340" i="19"/>
  <c r="AA339" i="19"/>
  <c r="AA338" i="19"/>
  <c r="AA337" i="19"/>
  <c r="AA336" i="19"/>
  <c r="AA335" i="19"/>
  <c r="AA334" i="19"/>
  <c r="AA333" i="19"/>
  <c r="AA332" i="19"/>
  <c r="AA331" i="19"/>
  <c r="AA330" i="19"/>
  <c r="AA329" i="19"/>
  <c r="AA328" i="19"/>
  <c r="AA327" i="19"/>
  <c r="AA326" i="19"/>
  <c r="AA325" i="19"/>
  <c r="AA324" i="19"/>
  <c r="AA323" i="19"/>
  <c r="AA322" i="19"/>
  <c r="AA321" i="19"/>
  <c r="AA320" i="19"/>
  <c r="AA319" i="19"/>
  <c r="AA318" i="19"/>
  <c r="AA317" i="19"/>
  <c r="AA316" i="19"/>
  <c r="AA315" i="19"/>
  <c r="AA314" i="19"/>
  <c r="AA313" i="19"/>
  <c r="AA312" i="19"/>
  <c r="AA311" i="19"/>
  <c r="AA310" i="19"/>
  <c r="AA309" i="19"/>
  <c r="AA308" i="19"/>
  <c r="AA307" i="19"/>
  <c r="AA306" i="19"/>
  <c r="AA305" i="19"/>
  <c r="AA304" i="19"/>
  <c r="AA303" i="19"/>
  <c r="AA302" i="19"/>
  <c r="AA301" i="19"/>
  <c r="AA300" i="19"/>
  <c r="AA299" i="19"/>
  <c r="AA298" i="19"/>
  <c r="AA297" i="19"/>
  <c r="AA296" i="19"/>
  <c r="AA295" i="19"/>
  <c r="AA294" i="19"/>
  <c r="AA293" i="19"/>
  <c r="AA292" i="19"/>
  <c r="AA291" i="19"/>
  <c r="AA290" i="19"/>
  <c r="AA289" i="19"/>
  <c r="AA288" i="19"/>
  <c r="AA287" i="19"/>
  <c r="AA286" i="19"/>
  <c r="AA285" i="19"/>
  <c r="AA284" i="19"/>
  <c r="AA283" i="19"/>
  <c r="AA282" i="19"/>
  <c r="AA281" i="19"/>
  <c r="AA280" i="19"/>
  <c r="AA279" i="19"/>
  <c r="AA278" i="19"/>
  <c r="AA277" i="19"/>
  <c r="AA276" i="19"/>
  <c r="AA275" i="19"/>
  <c r="AA274" i="19"/>
  <c r="AA273" i="19"/>
  <c r="AA272" i="19"/>
  <c r="AA271" i="19"/>
  <c r="AA270" i="19"/>
  <c r="AA269" i="19"/>
  <c r="AA268" i="19"/>
  <c r="AA267" i="19"/>
  <c r="AA266" i="19"/>
  <c r="AA265" i="19"/>
  <c r="AA264" i="19"/>
  <c r="AA263" i="19"/>
  <c r="AA262" i="19"/>
  <c r="AA261" i="19"/>
  <c r="AA260" i="19"/>
  <c r="AA259" i="19"/>
  <c r="AA258" i="19"/>
  <c r="AA257" i="19"/>
  <c r="AA256" i="19"/>
  <c r="AA255" i="19"/>
  <c r="AA254" i="19"/>
  <c r="AA253" i="19"/>
  <c r="AA252" i="19"/>
  <c r="AA251" i="19"/>
  <c r="AA250" i="19"/>
  <c r="AA249" i="19"/>
  <c r="AA248" i="19"/>
  <c r="AA247" i="19"/>
  <c r="AA246" i="19"/>
  <c r="AA245" i="19"/>
  <c r="AA244" i="19"/>
  <c r="AA243" i="19"/>
  <c r="AA242" i="19"/>
  <c r="AA241" i="19"/>
  <c r="AA240" i="19"/>
  <c r="AA239" i="19"/>
  <c r="AA238" i="19"/>
  <c r="AA237" i="19"/>
  <c r="AA236" i="19"/>
  <c r="AA235" i="19"/>
  <c r="AA234" i="19"/>
  <c r="AA233" i="19"/>
  <c r="AA232" i="19"/>
  <c r="AA231" i="19"/>
  <c r="AA230" i="19"/>
  <c r="AA229" i="19"/>
  <c r="AA228" i="19"/>
  <c r="AA227" i="19"/>
  <c r="AA226" i="19"/>
  <c r="AA225" i="19"/>
  <c r="AA224" i="19"/>
  <c r="AA223" i="19"/>
  <c r="AA222" i="19"/>
  <c r="AA221" i="19"/>
  <c r="AA220" i="19"/>
  <c r="AA219" i="19"/>
  <c r="AA218" i="19"/>
  <c r="AA217" i="19"/>
  <c r="AA216" i="19"/>
  <c r="AA215" i="19"/>
  <c r="AA214" i="19"/>
  <c r="AA213" i="19"/>
  <c r="AA212" i="19"/>
  <c r="AA211" i="19"/>
  <c r="AA210" i="19"/>
  <c r="AA209" i="19"/>
  <c r="AA208" i="19"/>
  <c r="AA207" i="19"/>
  <c r="AA206" i="19"/>
  <c r="AA205" i="19"/>
  <c r="AA204" i="19"/>
  <c r="AA203" i="19"/>
  <c r="AA202" i="19"/>
  <c r="AA201" i="19"/>
  <c r="AA200" i="19"/>
  <c r="AA199" i="19"/>
  <c r="AA198" i="19"/>
  <c r="AA197" i="19"/>
  <c r="AA196" i="19"/>
  <c r="AA195" i="19"/>
  <c r="AA194" i="19"/>
  <c r="AA193" i="19"/>
  <c r="AA192" i="19"/>
  <c r="AA191" i="19"/>
  <c r="AA190" i="19"/>
  <c r="AA189" i="19"/>
  <c r="AA188" i="19"/>
  <c r="AA187" i="19"/>
  <c r="AA186" i="19"/>
  <c r="AA185" i="19"/>
  <c r="AA184" i="19"/>
  <c r="AA183" i="19"/>
  <c r="AA182" i="19"/>
  <c r="AA181" i="19"/>
  <c r="AA180" i="19"/>
  <c r="AA179" i="19"/>
  <c r="AA178" i="19"/>
  <c r="AA177" i="19"/>
  <c r="AA176" i="19"/>
  <c r="AA175" i="19"/>
  <c r="AA174" i="19"/>
  <c r="AA173" i="19"/>
  <c r="AA172" i="19"/>
  <c r="AA171" i="19"/>
  <c r="AA170" i="19"/>
  <c r="AA169" i="19"/>
  <c r="AA168" i="19"/>
  <c r="AA167" i="19"/>
  <c r="AA166" i="19"/>
  <c r="AA165" i="19"/>
  <c r="AA164" i="19"/>
  <c r="AA163" i="19"/>
  <c r="AA162" i="19"/>
  <c r="AA161" i="19"/>
  <c r="AA160" i="19"/>
  <c r="AA159" i="19"/>
  <c r="AA158" i="19"/>
  <c r="AA157" i="19"/>
  <c r="AA156" i="19"/>
  <c r="AA155" i="19"/>
  <c r="AA154" i="19"/>
  <c r="AA153" i="19"/>
  <c r="AA152" i="19"/>
  <c r="AA151" i="19"/>
  <c r="AA150" i="19"/>
  <c r="AA149" i="19"/>
  <c r="AA148" i="19"/>
  <c r="AA147" i="19"/>
  <c r="AA146" i="19"/>
  <c r="AA145" i="19"/>
  <c r="AA144" i="19"/>
  <c r="AA143" i="19"/>
  <c r="AA142" i="19"/>
  <c r="AA141" i="19"/>
  <c r="AA140" i="19"/>
  <c r="AA139" i="19"/>
  <c r="AA138" i="19"/>
  <c r="AA137" i="19"/>
  <c r="AA136" i="19"/>
  <c r="AA135" i="19"/>
  <c r="AA134" i="19"/>
  <c r="AA133" i="19"/>
  <c r="AA132" i="19"/>
  <c r="AA131" i="19"/>
  <c r="AA130" i="19"/>
  <c r="AA129" i="19"/>
  <c r="AA128" i="19"/>
  <c r="AA127" i="19"/>
  <c r="AA126" i="19"/>
  <c r="AA125" i="19"/>
  <c r="AA124" i="19"/>
  <c r="AA123" i="19"/>
  <c r="AA122" i="19"/>
  <c r="AA121" i="19"/>
  <c r="AA120" i="19"/>
  <c r="AA119" i="19"/>
  <c r="AA118" i="19"/>
  <c r="AA117" i="19"/>
  <c r="AA116" i="19"/>
  <c r="AA115" i="19"/>
  <c r="AA114" i="19"/>
  <c r="AA113" i="19"/>
  <c r="AA112" i="19"/>
  <c r="AA111" i="19"/>
  <c r="AA110" i="19"/>
  <c r="AA109" i="19"/>
  <c r="AA108" i="19"/>
  <c r="AA107" i="19"/>
  <c r="AA106" i="19"/>
  <c r="AA105" i="19"/>
  <c r="AA104" i="19"/>
  <c r="AA103" i="19"/>
  <c r="AA102" i="19"/>
  <c r="AA101" i="19"/>
  <c r="AA100" i="19"/>
  <c r="AA99" i="19"/>
  <c r="AA98" i="19"/>
  <c r="AA97" i="19"/>
  <c r="AA96" i="19"/>
  <c r="AA95" i="19"/>
  <c r="AA94" i="19"/>
  <c r="AA93" i="19"/>
  <c r="AA92" i="19"/>
  <c r="AA91" i="19"/>
  <c r="AA90" i="19"/>
  <c r="AA89" i="19"/>
  <c r="AA88" i="19"/>
  <c r="AA87" i="19"/>
  <c r="AA86" i="19"/>
  <c r="AA85" i="19"/>
  <c r="AA84" i="19"/>
  <c r="AA83" i="19"/>
  <c r="AA82" i="19"/>
  <c r="AA81" i="19"/>
  <c r="AA80" i="19"/>
  <c r="AA79" i="19"/>
  <c r="AA78" i="19"/>
  <c r="AA77" i="19"/>
  <c r="AA76" i="19"/>
  <c r="AA75" i="19"/>
  <c r="AA74" i="19"/>
  <c r="AA73" i="19"/>
  <c r="AA72" i="19"/>
  <c r="AA71" i="19"/>
  <c r="AA70" i="19"/>
  <c r="AA69" i="19"/>
  <c r="AA68" i="19"/>
  <c r="AA67" i="19"/>
  <c r="AA66" i="19"/>
  <c r="AA65" i="19"/>
  <c r="AA64" i="19"/>
  <c r="AA63" i="19"/>
  <c r="AA62" i="19"/>
  <c r="AA61" i="19"/>
  <c r="AA60" i="19"/>
  <c r="AA59" i="19"/>
  <c r="AA58" i="19"/>
  <c r="AA57" i="19"/>
  <c r="AA56" i="19"/>
  <c r="AA55" i="19"/>
  <c r="AA54" i="19"/>
  <c r="AA53" i="19"/>
  <c r="AA52" i="19"/>
  <c r="AA51" i="19"/>
  <c r="AA50" i="19"/>
  <c r="AA49" i="19"/>
  <c r="AA48" i="19"/>
  <c r="AA47" i="19"/>
  <c r="AA46" i="19"/>
  <c r="AA45" i="19"/>
  <c r="AA44" i="19"/>
  <c r="AA43" i="19"/>
  <c r="AA42" i="19"/>
  <c r="AA41" i="19"/>
  <c r="AA40" i="19"/>
  <c r="AA39" i="19"/>
  <c r="AA38" i="19"/>
  <c r="AA37" i="19"/>
  <c r="AA36" i="19"/>
  <c r="AA35" i="19"/>
  <c r="AA34" i="19"/>
  <c r="AA33" i="19"/>
  <c r="AA32" i="19"/>
  <c r="AA31" i="19"/>
  <c r="AA30" i="19"/>
  <c r="AA29" i="19"/>
  <c r="AA28" i="19"/>
  <c r="AA27" i="19"/>
  <c r="AA26" i="19"/>
  <c r="AA25" i="19"/>
  <c r="AA24" i="19"/>
  <c r="AA23" i="19"/>
  <c r="AA22" i="19"/>
  <c r="AA21" i="19"/>
  <c r="AA20" i="19"/>
  <c r="AA19" i="19"/>
  <c r="AA18" i="19"/>
  <c r="AA17" i="19"/>
  <c r="AA16" i="19"/>
  <c r="AA15" i="19"/>
  <c r="AA14" i="19"/>
  <c r="AA13" i="19"/>
  <c r="AA12" i="19"/>
  <c r="AA11" i="19"/>
  <c r="AA10" i="19"/>
  <c r="AA9" i="19"/>
  <c r="AA8" i="19"/>
  <c r="AA7" i="19"/>
  <c r="AA6" i="19"/>
  <c r="AA5" i="19"/>
  <c r="AA4" i="19"/>
  <c r="AA3" i="19"/>
  <c r="AA2" i="19"/>
  <c r="X404" i="19"/>
  <c r="X403" i="19"/>
  <c r="X402" i="19"/>
  <c r="X401" i="19"/>
  <c r="X400" i="19"/>
  <c r="X399" i="19"/>
  <c r="X398" i="19"/>
  <c r="X397" i="19"/>
  <c r="X396" i="19"/>
  <c r="X395" i="19"/>
  <c r="X394" i="19"/>
  <c r="X393" i="19"/>
  <c r="X392" i="19"/>
  <c r="X391" i="19"/>
  <c r="X390" i="19"/>
  <c r="X389" i="19"/>
  <c r="X388" i="19"/>
  <c r="X387" i="19"/>
  <c r="X386" i="19"/>
  <c r="X385" i="19"/>
  <c r="X384" i="19"/>
  <c r="X383" i="19"/>
  <c r="X382" i="19"/>
  <c r="X381" i="19"/>
  <c r="X380" i="19"/>
  <c r="X379" i="19"/>
  <c r="X378" i="19"/>
  <c r="X377" i="19"/>
  <c r="X376" i="19"/>
  <c r="X375" i="19"/>
  <c r="X374" i="19"/>
  <c r="X373" i="19"/>
  <c r="X372" i="19"/>
  <c r="X371" i="19"/>
  <c r="X370" i="19"/>
  <c r="X369" i="19"/>
  <c r="X368" i="19"/>
  <c r="X367" i="19"/>
  <c r="X366" i="19"/>
  <c r="X365" i="19"/>
  <c r="X364" i="19"/>
  <c r="X363" i="19"/>
  <c r="X362" i="19"/>
  <c r="X361" i="19"/>
  <c r="X360" i="19"/>
  <c r="X359" i="19"/>
  <c r="X358" i="19"/>
  <c r="X357" i="19"/>
  <c r="X356" i="19"/>
  <c r="X355" i="19"/>
  <c r="X354" i="19"/>
  <c r="X353" i="19"/>
  <c r="X352" i="19"/>
  <c r="X351" i="19"/>
  <c r="X350" i="19"/>
  <c r="X349" i="19"/>
  <c r="X348" i="19"/>
  <c r="X347" i="19"/>
  <c r="X346" i="19"/>
  <c r="X345" i="19"/>
  <c r="X344" i="19"/>
  <c r="X343" i="19"/>
  <c r="X342" i="19"/>
  <c r="X341" i="19"/>
  <c r="X340" i="19"/>
  <c r="X339" i="19"/>
  <c r="X338" i="19"/>
  <c r="X337" i="19"/>
  <c r="X336" i="19"/>
  <c r="X335" i="19"/>
  <c r="X334" i="19"/>
  <c r="X333" i="19"/>
  <c r="X332" i="19"/>
  <c r="X331" i="19"/>
  <c r="X330" i="19"/>
  <c r="X329" i="19"/>
  <c r="X328" i="19"/>
  <c r="X327" i="19"/>
  <c r="X326" i="19"/>
  <c r="X325" i="19"/>
  <c r="X324" i="19"/>
  <c r="X323" i="19"/>
  <c r="X322" i="19"/>
  <c r="X321" i="19"/>
  <c r="X320" i="19"/>
  <c r="X319" i="19"/>
  <c r="X318" i="19"/>
  <c r="X317" i="19"/>
  <c r="X316" i="19"/>
  <c r="X315" i="19"/>
  <c r="X314" i="19"/>
  <c r="X313" i="19"/>
  <c r="X312" i="19"/>
  <c r="X311" i="19"/>
  <c r="X310" i="19"/>
  <c r="X309" i="19"/>
  <c r="X308" i="19"/>
  <c r="X307" i="19"/>
  <c r="X306" i="19"/>
  <c r="X305" i="19"/>
  <c r="X304" i="19"/>
  <c r="X303" i="19"/>
  <c r="X302" i="19"/>
  <c r="X301" i="19"/>
  <c r="X300" i="19"/>
  <c r="X299" i="19"/>
  <c r="X298" i="19"/>
  <c r="X297" i="19"/>
  <c r="X296" i="19"/>
  <c r="X295" i="19"/>
  <c r="X294" i="19"/>
  <c r="X293" i="19"/>
  <c r="X292" i="19"/>
  <c r="X291" i="19"/>
  <c r="X290" i="19"/>
  <c r="X289" i="19"/>
  <c r="X288" i="19"/>
  <c r="X287" i="19"/>
  <c r="X286" i="19"/>
  <c r="X285" i="19"/>
  <c r="X284" i="19"/>
  <c r="X283" i="19"/>
  <c r="X282" i="19"/>
  <c r="X281" i="19"/>
  <c r="X280" i="19"/>
  <c r="X279" i="19"/>
  <c r="X278" i="19"/>
  <c r="X277" i="19"/>
  <c r="X276" i="19"/>
  <c r="X275" i="19"/>
  <c r="X274" i="19"/>
  <c r="X273" i="19"/>
  <c r="X272" i="19"/>
  <c r="X271" i="19"/>
  <c r="X270" i="19"/>
  <c r="X269" i="19"/>
  <c r="X268" i="19"/>
  <c r="X267" i="19"/>
  <c r="X266" i="19"/>
  <c r="X265" i="19"/>
  <c r="X264" i="19"/>
  <c r="X263" i="19"/>
  <c r="X262" i="19"/>
  <c r="X261" i="19"/>
  <c r="X260" i="19"/>
  <c r="X259" i="19"/>
  <c r="X258" i="19"/>
  <c r="X257" i="19"/>
  <c r="X256" i="19"/>
  <c r="X255" i="19"/>
  <c r="X254" i="19"/>
  <c r="X253" i="19"/>
  <c r="X252" i="19"/>
  <c r="X251" i="19"/>
  <c r="X250" i="19"/>
  <c r="X249" i="19"/>
  <c r="X248" i="19"/>
  <c r="X247" i="19"/>
  <c r="X246" i="19"/>
  <c r="X245" i="19"/>
  <c r="X244" i="19"/>
  <c r="X243" i="19"/>
  <c r="X242" i="19"/>
  <c r="X241" i="19"/>
  <c r="X240" i="19"/>
  <c r="X239" i="19"/>
  <c r="X238" i="19"/>
  <c r="X237" i="19"/>
  <c r="X236" i="19"/>
  <c r="X235" i="19"/>
  <c r="X234" i="19"/>
  <c r="X233" i="19"/>
  <c r="X232" i="19"/>
  <c r="X231" i="19"/>
  <c r="X230" i="19"/>
  <c r="X229" i="19"/>
  <c r="X228" i="19"/>
  <c r="X227" i="19"/>
  <c r="X226" i="19"/>
  <c r="X225" i="19"/>
  <c r="X224" i="19"/>
  <c r="X223" i="19"/>
  <c r="X222" i="19"/>
  <c r="X221" i="19"/>
  <c r="X220" i="19"/>
  <c r="X219" i="19"/>
  <c r="X218" i="19"/>
  <c r="X217" i="19"/>
  <c r="X216" i="19"/>
  <c r="X215" i="19"/>
  <c r="X214" i="19"/>
  <c r="X213" i="19"/>
  <c r="X212" i="19"/>
  <c r="X211" i="19"/>
  <c r="X210" i="19"/>
  <c r="X209" i="19"/>
  <c r="X208" i="19"/>
  <c r="X207" i="19"/>
  <c r="X206" i="19"/>
  <c r="X205" i="19"/>
  <c r="X204" i="19"/>
  <c r="X203" i="19"/>
  <c r="X202" i="19"/>
  <c r="X201" i="19"/>
  <c r="X200" i="19"/>
  <c r="X199" i="19"/>
  <c r="X198" i="19"/>
  <c r="X197" i="19"/>
  <c r="X196" i="19"/>
  <c r="X195" i="19"/>
  <c r="X194" i="19"/>
  <c r="X193" i="19"/>
  <c r="X192" i="19"/>
  <c r="X191" i="19"/>
  <c r="X190" i="19"/>
  <c r="X189" i="19"/>
  <c r="X188" i="19"/>
  <c r="X187" i="19"/>
  <c r="X186" i="19"/>
  <c r="X185" i="19"/>
  <c r="X184" i="19"/>
  <c r="X183" i="19"/>
  <c r="X182" i="19"/>
  <c r="X181" i="19"/>
  <c r="X180" i="19"/>
  <c r="X179" i="19"/>
  <c r="X178" i="19"/>
  <c r="X177" i="19"/>
  <c r="X176" i="19"/>
  <c r="X175" i="19"/>
  <c r="X174" i="19"/>
  <c r="X173" i="19"/>
  <c r="X172" i="19"/>
  <c r="X171" i="19"/>
  <c r="X170" i="19"/>
  <c r="X169" i="19"/>
  <c r="X168" i="19"/>
  <c r="X167" i="19"/>
  <c r="X166" i="19"/>
  <c r="X165" i="19"/>
  <c r="X164" i="19"/>
  <c r="X163" i="19"/>
  <c r="X162" i="19"/>
  <c r="X161" i="19"/>
  <c r="X160" i="19"/>
  <c r="X159" i="19"/>
  <c r="X158" i="19"/>
  <c r="X157" i="19"/>
  <c r="X156" i="19"/>
  <c r="X155" i="19"/>
  <c r="X154" i="19"/>
  <c r="X153" i="19"/>
  <c r="X152" i="19"/>
  <c r="X151" i="19"/>
  <c r="X150" i="19"/>
  <c r="X149" i="19"/>
  <c r="X148" i="19"/>
  <c r="X147" i="19"/>
  <c r="X146" i="19"/>
  <c r="X145" i="19"/>
  <c r="X144" i="19"/>
  <c r="X143" i="19"/>
  <c r="X142" i="19"/>
  <c r="X141" i="19"/>
  <c r="X140" i="19"/>
  <c r="X139" i="19"/>
  <c r="X138" i="19"/>
  <c r="X137" i="19"/>
  <c r="X136" i="19"/>
  <c r="X135" i="19"/>
  <c r="X134" i="19"/>
  <c r="X133" i="19"/>
  <c r="X132" i="19"/>
  <c r="X131" i="19"/>
  <c r="X130" i="19"/>
  <c r="X129" i="19"/>
  <c r="X128" i="19"/>
  <c r="X127" i="19"/>
  <c r="X126" i="19"/>
  <c r="X125" i="19"/>
  <c r="X124" i="19"/>
  <c r="X123" i="19"/>
  <c r="X122" i="19"/>
  <c r="X121" i="19"/>
  <c r="X120" i="19"/>
  <c r="X119" i="19"/>
  <c r="X118" i="19"/>
  <c r="X117" i="19"/>
  <c r="X116" i="19"/>
  <c r="X115" i="19"/>
  <c r="X114" i="19"/>
  <c r="X113" i="19"/>
  <c r="X112" i="19"/>
  <c r="X111" i="19"/>
  <c r="X110" i="19"/>
  <c r="X109" i="19"/>
  <c r="X108" i="19"/>
  <c r="X107" i="19"/>
  <c r="X106" i="19"/>
  <c r="X105" i="19"/>
  <c r="X104" i="19"/>
  <c r="X103" i="19"/>
  <c r="X102" i="19"/>
  <c r="X101" i="19"/>
  <c r="X100" i="19"/>
  <c r="X99" i="19"/>
  <c r="X98" i="19"/>
  <c r="X97" i="19"/>
  <c r="X96" i="19"/>
  <c r="X95" i="19"/>
  <c r="X94" i="19"/>
  <c r="X93" i="19"/>
  <c r="X92" i="19"/>
  <c r="X91" i="19"/>
  <c r="X90" i="19"/>
  <c r="X89" i="19"/>
  <c r="X88" i="19"/>
  <c r="X87" i="19"/>
  <c r="X86" i="19"/>
  <c r="X85" i="19"/>
  <c r="X84" i="19"/>
  <c r="X83" i="19"/>
  <c r="X82" i="19"/>
  <c r="X81" i="19"/>
  <c r="X80" i="19"/>
  <c r="X79" i="19"/>
  <c r="X78" i="19"/>
  <c r="X77" i="19"/>
  <c r="X76" i="19"/>
  <c r="X75" i="19"/>
  <c r="X74" i="19"/>
  <c r="X73" i="19"/>
  <c r="X72" i="19"/>
  <c r="X71" i="19"/>
  <c r="X70" i="19"/>
  <c r="X69" i="19"/>
  <c r="X68" i="19"/>
  <c r="X67" i="19"/>
  <c r="X66" i="19"/>
  <c r="X65" i="19"/>
  <c r="X64" i="19"/>
  <c r="X63" i="19"/>
  <c r="X62" i="19"/>
  <c r="X61" i="19"/>
  <c r="X60" i="19"/>
  <c r="X59" i="19"/>
  <c r="X58" i="19"/>
  <c r="X57" i="19"/>
  <c r="X56" i="19"/>
  <c r="X55" i="19"/>
  <c r="X54" i="19"/>
  <c r="X53" i="19"/>
  <c r="X52" i="19"/>
  <c r="X51" i="19"/>
  <c r="X50" i="19"/>
  <c r="X49" i="19"/>
  <c r="X48" i="19"/>
  <c r="X47" i="19"/>
  <c r="X46" i="19"/>
  <c r="X45" i="19"/>
  <c r="X44" i="19"/>
  <c r="X43" i="19"/>
  <c r="X42" i="19"/>
  <c r="X41" i="19"/>
  <c r="X40" i="19"/>
  <c r="X39" i="19"/>
  <c r="X38" i="19"/>
  <c r="X37" i="19"/>
  <c r="X36" i="19"/>
  <c r="X35" i="19"/>
  <c r="X34" i="19"/>
  <c r="X33" i="19"/>
  <c r="X32" i="19"/>
  <c r="X31" i="19"/>
  <c r="X30" i="19"/>
  <c r="X29" i="19"/>
  <c r="X28" i="19"/>
  <c r="X27" i="19"/>
  <c r="X26" i="19"/>
  <c r="X25" i="19"/>
  <c r="X24" i="19"/>
  <c r="X23" i="19"/>
  <c r="X22" i="19"/>
  <c r="X21" i="19"/>
  <c r="X20" i="19"/>
  <c r="X19" i="19"/>
  <c r="X18" i="19"/>
  <c r="X17" i="19"/>
  <c r="X16" i="19"/>
  <c r="X15" i="19"/>
  <c r="X14" i="19"/>
  <c r="X13" i="19"/>
  <c r="X12" i="19"/>
  <c r="X11" i="19"/>
  <c r="X10" i="19"/>
  <c r="X9" i="19"/>
  <c r="X8" i="19"/>
  <c r="X7" i="19"/>
  <c r="X6" i="19"/>
  <c r="X5" i="19"/>
  <c r="X4" i="19"/>
  <c r="X3" i="19"/>
  <c r="X2" i="19"/>
  <c r="U404" i="19"/>
  <c r="U403" i="19"/>
  <c r="U402" i="19"/>
  <c r="U401" i="19"/>
  <c r="U400" i="19"/>
  <c r="U399" i="19"/>
  <c r="U398" i="19"/>
  <c r="U397" i="19"/>
  <c r="U396" i="19"/>
  <c r="U395" i="19"/>
  <c r="U394" i="19"/>
  <c r="U393" i="19"/>
  <c r="U392" i="19"/>
  <c r="U391" i="19"/>
  <c r="U390" i="19"/>
  <c r="U389" i="19"/>
  <c r="U388" i="19"/>
  <c r="U387" i="19"/>
  <c r="U386" i="19"/>
  <c r="U385" i="19"/>
  <c r="U384" i="19"/>
  <c r="U383" i="19"/>
  <c r="U382" i="19"/>
  <c r="U381" i="19"/>
  <c r="U380" i="19"/>
  <c r="U379" i="19"/>
  <c r="U378" i="19"/>
  <c r="U377" i="19"/>
  <c r="U376" i="19"/>
  <c r="U375" i="19"/>
  <c r="U374" i="19"/>
  <c r="U373" i="19"/>
  <c r="U372" i="19"/>
  <c r="U371" i="19"/>
  <c r="U370" i="19"/>
  <c r="U369" i="19"/>
  <c r="U368" i="19"/>
  <c r="U367" i="19"/>
  <c r="U366" i="19"/>
  <c r="U365" i="19"/>
  <c r="U364" i="19"/>
  <c r="U363" i="19"/>
  <c r="U362" i="19"/>
  <c r="U361" i="19"/>
  <c r="U360" i="19"/>
  <c r="U359" i="19"/>
  <c r="U358" i="19"/>
  <c r="U357" i="19"/>
  <c r="U356" i="19"/>
  <c r="U355" i="19"/>
  <c r="U354" i="19"/>
  <c r="U353" i="19"/>
  <c r="U352" i="19"/>
  <c r="U351" i="19"/>
  <c r="U350" i="19"/>
  <c r="U349" i="19"/>
  <c r="U348" i="19"/>
  <c r="U347" i="19"/>
  <c r="U346" i="19"/>
  <c r="U345" i="19"/>
  <c r="U344" i="19"/>
  <c r="U343" i="19"/>
  <c r="U342" i="19"/>
  <c r="U341" i="19"/>
  <c r="U340" i="19"/>
  <c r="U339" i="19"/>
  <c r="U338" i="19"/>
  <c r="U337" i="19"/>
  <c r="U336" i="19"/>
  <c r="U335" i="19"/>
  <c r="U334" i="19"/>
  <c r="U333" i="19"/>
  <c r="U332" i="19"/>
  <c r="U331" i="19"/>
  <c r="U330" i="19"/>
  <c r="U329" i="19"/>
  <c r="U328" i="19"/>
  <c r="U327" i="19"/>
  <c r="U326" i="19"/>
  <c r="U325" i="19"/>
  <c r="U324" i="19"/>
  <c r="U323" i="19"/>
  <c r="U322" i="19"/>
  <c r="U321" i="19"/>
  <c r="U320" i="19"/>
  <c r="U319" i="19"/>
  <c r="U318" i="19"/>
  <c r="U317" i="19"/>
  <c r="U316" i="19"/>
  <c r="U315" i="19"/>
  <c r="U314" i="19"/>
  <c r="U313" i="19"/>
  <c r="U312" i="19"/>
  <c r="U311" i="19"/>
  <c r="U310" i="19"/>
  <c r="U309" i="19"/>
  <c r="U308" i="19"/>
  <c r="U307" i="19"/>
  <c r="U306" i="19"/>
  <c r="U305" i="19"/>
  <c r="U304" i="19"/>
  <c r="U303" i="19"/>
  <c r="U302" i="19"/>
  <c r="U301" i="19"/>
  <c r="U300" i="19"/>
  <c r="U299" i="19"/>
  <c r="U298" i="19"/>
  <c r="U297" i="19"/>
  <c r="U296" i="19"/>
  <c r="U295" i="19"/>
  <c r="U294" i="19"/>
  <c r="U293" i="19"/>
  <c r="U292" i="19"/>
  <c r="U291" i="19"/>
  <c r="U290" i="19"/>
  <c r="U289" i="19"/>
  <c r="U288" i="19"/>
  <c r="U287" i="19"/>
  <c r="U286" i="19"/>
  <c r="U285" i="19"/>
  <c r="U284" i="19"/>
  <c r="U283" i="19"/>
  <c r="U282" i="19"/>
  <c r="U281" i="19"/>
  <c r="U280" i="19"/>
  <c r="U279" i="19"/>
  <c r="U278" i="19"/>
  <c r="U277" i="19"/>
  <c r="U276" i="19"/>
  <c r="U275" i="19"/>
  <c r="U274" i="19"/>
  <c r="U273" i="19"/>
  <c r="U272" i="19"/>
  <c r="U271" i="19"/>
  <c r="U270" i="19"/>
  <c r="U269" i="19"/>
  <c r="U268" i="19"/>
  <c r="U267" i="19"/>
  <c r="U266" i="19"/>
  <c r="U265" i="19"/>
  <c r="U264" i="19"/>
  <c r="U263" i="19"/>
  <c r="U262" i="19"/>
  <c r="U261" i="19"/>
  <c r="U260" i="19"/>
  <c r="U259" i="19"/>
  <c r="U258" i="19"/>
  <c r="U257" i="19"/>
  <c r="U256" i="19"/>
  <c r="U255" i="19"/>
  <c r="U254" i="19"/>
  <c r="U253" i="19"/>
  <c r="U252" i="19"/>
  <c r="U251" i="19"/>
  <c r="U250" i="19"/>
  <c r="U249" i="19"/>
  <c r="U248" i="19"/>
  <c r="U247" i="19"/>
  <c r="U246" i="19"/>
  <c r="U245" i="19"/>
  <c r="U244" i="19"/>
  <c r="U243" i="19"/>
  <c r="U242" i="19"/>
  <c r="U241" i="19"/>
  <c r="U240" i="19"/>
  <c r="U239" i="19"/>
  <c r="U238" i="19"/>
  <c r="U237" i="19"/>
  <c r="U236" i="19"/>
  <c r="U235" i="19"/>
  <c r="U234" i="19"/>
  <c r="U233" i="19"/>
  <c r="U232" i="19"/>
  <c r="U231" i="19"/>
  <c r="U230" i="19"/>
  <c r="U229" i="19"/>
  <c r="U228" i="19"/>
  <c r="U227" i="19"/>
  <c r="U226" i="19"/>
  <c r="U225" i="19"/>
  <c r="U224" i="19"/>
  <c r="U223" i="19"/>
  <c r="U222" i="19"/>
  <c r="U221" i="19"/>
  <c r="U220" i="19"/>
  <c r="U219" i="19"/>
  <c r="U218" i="19"/>
  <c r="U217" i="19"/>
  <c r="U216" i="19"/>
  <c r="U215" i="19"/>
  <c r="U214" i="19"/>
  <c r="U213" i="19"/>
  <c r="U212" i="19"/>
  <c r="U211" i="19"/>
  <c r="U210" i="19"/>
  <c r="U209" i="19"/>
  <c r="U208" i="19"/>
  <c r="U207" i="19"/>
  <c r="U206" i="19"/>
  <c r="U205" i="19"/>
  <c r="U204" i="19"/>
  <c r="U203" i="19"/>
  <c r="U202" i="19"/>
  <c r="U201" i="19"/>
  <c r="U200" i="19"/>
  <c r="U199" i="19"/>
  <c r="U198" i="19"/>
  <c r="U197" i="19"/>
  <c r="U196" i="19"/>
  <c r="U195" i="19"/>
  <c r="U194" i="19"/>
  <c r="U193" i="19"/>
  <c r="U192" i="19"/>
  <c r="U191" i="19"/>
  <c r="U190" i="19"/>
  <c r="U189" i="19"/>
  <c r="U188" i="19"/>
  <c r="U187" i="19"/>
  <c r="U186" i="19"/>
  <c r="U185" i="19"/>
  <c r="U184" i="19"/>
  <c r="U183" i="19"/>
  <c r="U182" i="19"/>
  <c r="U181" i="19"/>
  <c r="U180" i="19"/>
  <c r="U179" i="19"/>
  <c r="U178" i="19"/>
  <c r="U177" i="19"/>
  <c r="U176" i="19"/>
  <c r="U175" i="19"/>
  <c r="U174" i="19"/>
  <c r="U173" i="19"/>
  <c r="U172" i="19"/>
  <c r="U171" i="19"/>
  <c r="U170" i="19"/>
  <c r="U169" i="19"/>
  <c r="U168" i="19"/>
  <c r="U167" i="19"/>
  <c r="U166" i="19"/>
  <c r="U165" i="19"/>
  <c r="U164" i="19"/>
  <c r="U163" i="19"/>
  <c r="U162" i="19"/>
  <c r="U161" i="19"/>
  <c r="U160" i="19"/>
  <c r="U159" i="19"/>
  <c r="U158" i="19"/>
  <c r="U157" i="19"/>
  <c r="U156" i="19"/>
  <c r="U155" i="19"/>
  <c r="U154" i="19"/>
  <c r="U153" i="19"/>
  <c r="U152" i="19"/>
  <c r="U151" i="19"/>
  <c r="U150" i="19"/>
  <c r="U149" i="19"/>
  <c r="U148" i="19"/>
  <c r="U147" i="19"/>
  <c r="U146" i="19"/>
  <c r="U145" i="19"/>
  <c r="U144" i="19"/>
  <c r="U143" i="19"/>
  <c r="U142" i="19"/>
  <c r="U141" i="19"/>
  <c r="U140" i="19"/>
  <c r="U139" i="19"/>
  <c r="U138" i="19"/>
  <c r="U137" i="19"/>
  <c r="U136" i="19"/>
  <c r="U135" i="19"/>
  <c r="U134" i="19"/>
  <c r="U133" i="19"/>
  <c r="U132" i="19"/>
  <c r="U131" i="19"/>
  <c r="U130" i="19"/>
  <c r="U129" i="19"/>
  <c r="U128" i="19"/>
  <c r="U127" i="19"/>
  <c r="U126" i="19"/>
  <c r="U125" i="19"/>
  <c r="U124" i="19"/>
  <c r="U123" i="19"/>
  <c r="U122" i="19"/>
  <c r="U121" i="19"/>
  <c r="U120" i="19"/>
  <c r="U119" i="19"/>
  <c r="U118" i="19"/>
  <c r="U117" i="19"/>
  <c r="U116" i="19"/>
  <c r="U115" i="19"/>
  <c r="U114" i="19"/>
  <c r="U113" i="19"/>
  <c r="U112" i="19"/>
  <c r="U111" i="19"/>
  <c r="U110" i="19"/>
  <c r="U109" i="19"/>
  <c r="U108" i="19"/>
  <c r="U107" i="19"/>
  <c r="U106" i="19"/>
  <c r="U105" i="19"/>
  <c r="U104" i="19"/>
  <c r="U103" i="19"/>
  <c r="U102" i="19"/>
  <c r="U101" i="19"/>
  <c r="U100" i="19"/>
  <c r="U99" i="19"/>
  <c r="U98" i="19"/>
  <c r="U97" i="19"/>
  <c r="U96" i="19"/>
  <c r="U95" i="19"/>
  <c r="U94" i="19"/>
  <c r="U93" i="19"/>
  <c r="U92" i="19"/>
  <c r="U91" i="19"/>
  <c r="U90" i="19"/>
  <c r="U89" i="19"/>
  <c r="U88" i="19"/>
  <c r="U87" i="19"/>
  <c r="U86" i="19"/>
  <c r="U85" i="19"/>
  <c r="U84" i="19"/>
  <c r="U83" i="19"/>
  <c r="U82" i="19"/>
  <c r="U81" i="19"/>
  <c r="U80" i="19"/>
  <c r="U79" i="19"/>
  <c r="U78" i="19"/>
  <c r="U77" i="19"/>
  <c r="U76" i="19"/>
  <c r="U75" i="19"/>
  <c r="U74" i="19"/>
  <c r="U73" i="19"/>
  <c r="U72" i="19"/>
  <c r="U71" i="19"/>
  <c r="U70" i="19"/>
  <c r="U69" i="19"/>
  <c r="U68" i="19"/>
  <c r="U67" i="19"/>
  <c r="U66" i="19"/>
  <c r="U65" i="19"/>
  <c r="U64" i="19"/>
  <c r="U63" i="19"/>
  <c r="U62" i="19"/>
  <c r="U61" i="19"/>
  <c r="U60" i="19"/>
  <c r="U59" i="19"/>
  <c r="U58" i="19"/>
  <c r="U57" i="19"/>
  <c r="U56" i="19"/>
  <c r="U55" i="19"/>
  <c r="U54" i="19"/>
  <c r="U53" i="19"/>
  <c r="U52" i="19"/>
  <c r="U51" i="19"/>
  <c r="U50" i="19"/>
  <c r="U49" i="19"/>
  <c r="U48" i="19"/>
  <c r="U47" i="19"/>
  <c r="U46" i="19"/>
  <c r="U45" i="19"/>
  <c r="U44" i="19"/>
  <c r="U43" i="19"/>
  <c r="U42" i="19"/>
  <c r="U41" i="19"/>
  <c r="U40" i="19"/>
  <c r="U39" i="19"/>
  <c r="U38" i="19"/>
  <c r="U37" i="19"/>
  <c r="U36" i="19"/>
  <c r="U35" i="19"/>
  <c r="U34" i="19"/>
  <c r="U33" i="19"/>
  <c r="U32" i="19"/>
  <c r="U31" i="19"/>
  <c r="U30" i="19"/>
  <c r="U29" i="19"/>
  <c r="U28" i="19"/>
  <c r="U27" i="19"/>
  <c r="U26" i="19"/>
  <c r="U25" i="19"/>
  <c r="U24" i="19"/>
  <c r="U23" i="19"/>
  <c r="U22" i="19"/>
  <c r="U21" i="19"/>
  <c r="U20" i="19"/>
  <c r="U19" i="19"/>
  <c r="U18" i="19"/>
  <c r="U17" i="19"/>
  <c r="U16" i="19"/>
  <c r="U15" i="19"/>
  <c r="U14" i="19"/>
  <c r="U13" i="19"/>
  <c r="U12" i="19"/>
  <c r="U11" i="19"/>
  <c r="U10" i="19"/>
  <c r="U9" i="19"/>
  <c r="U8" i="19"/>
  <c r="U7" i="19"/>
  <c r="U6" i="19"/>
  <c r="U5" i="19"/>
  <c r="U4" i="19"/>
  <c r="U3" i="19"/>
  <c r="U2" i="19"/>
  <c r="R404" i="19"/>
  <c r="R403" i="19"/>
  <c r="R402" i="19"/>
  <c r="R401" i="19"/>
  <c r="R400" i="19"/>
  <c r="R399" i="19"/>
  <c r="R398" i="19"/>
  <c r="R397" i="19"/>
  <c r="R396" i="19"/>
  <c r="R395" i="19"/>
  <c r="R394" i="19"/>
  <c r="R393" i="19"/>
  <c r="R392" i="19"/>
  <c r="R391" i="19"/>
  <c r="R390" i="19"/>
  <c r="R389" i="19"/>
  <c r="R388" i="19"/>
  <c r="R387" i="19"/>
  <c r="R386" i="19"/>
  <c r="R385" i="19"/>
  <c r="R384" i="19"/>
  <c r="R383" i="19"/>
  <c r="R382" i="19"/>
  <c r="R381" i="19"/>
  <c r="R380" i="19"/>
  <c r="R379" i="19"/>
  <c r="R378" i="19"/>
  <c r="R377" i="19"/>
  <c r="R376" i="19"/>
  <c r="R375" i="19"/>
  <c r="R374" i="19"/>
  <c r="R373" i="19"/>
  <c r="R372" i="19"/>
  <c r="R371" i="19"/>
  <c r="R370" i="19"/>
  <c r="R369" i="19"/>
  <c r="R368" i="19"/>
  <c r="R367" i="19"/>
  <c r="R366" i="19"/>
  <c r="R365" i="19"/>
  <c r="R364" i="19"/>
  <c r="R363" i="19"/>
  <c r="R362" i="19"/>
  <c r="R361" i="19"/>
  <c r="R360" i="19"/>
  <c r="R359" i="19"/>
  <c r="R358" i="19"/>
  <c r="R357" i="19"/>
  <c r="R356" i="19"/>
  <c r="R355" i="19"/>
  <c r="R354" i="19"/>
  <c r="R353" i="19"/>
  <c r="R352" i="19"/>
  <c r="R351" i="19"/>
  <c r="R350" i="19"/>
  <c r="R349" i="19"/>
  <c r="R348" i="19"/>
  <c r="R347" i="19"/>
  <c r="R346" i="19"/>
  <c r="R345" i="19"/>
  <c r="R344" i="19"/>
  <c r="R343" i="19"/>
  <c r="R342" i="19"/>
  <c r="R341" i="19"/>
  <c r="R340" i="19"/>
  <c r="R339" i="19"/>
  <c r="R338" i="19"/>
  <c r="R337" i="19"/>
  <c r="R336" i="19"/>
  <c r="R335" i="19"/>
  <c r="R334" i="19"/>
  <c r="R333" i="19"/>
  <c r="R332" i="19"/>
  <c r="R331" i="19"/>
  <c r="R330" i="19"/>
  <c r="R329" i="19"/>
  <c r="R328" i="19"/>
  <c r="R327" i="19"/>
  <c r="R326" i="19"/>
  <c r="R325" i="19"/>
  <c r="R324" i="19"/>
  <c r="R323" i="19"/>
  <c r="R322" i="19"/>
  <c r="R321" i="19"/>
  <c r="R320" i="19"/>
  <c r="R319" i="19"/>
  <c r="R318" i="19"/>
  <c r="R317" i="19"/>
  <c r="R316" i="19"/>
  <c r="R315" i="19"/>
  <c r="R314" i="19"/>
  <c r="R313" i="19"/>
  <c r="R312" i="19"/>
  <c r="R311" i="19"/>
  <c r="R310" i="19"/>
  <c r="R309" i="19"/>
  <c r="R308" i="19"/>
  <c r="R307" i="19"/>
  <c r="R306" i="19"/>
  <c r="R305" i="19"/>
  <c r="R304" i="19"/>
  <c r="R303" i="19"/>
  <c r="R302" i="19"/>
  <c r="R301" i="19"/>
  <c r="R300" i="19"/>
  <c r="R299" i="19"/>
  <c r="R298" i="19"/>
  <c r="R297" i="19"/>
  <c r="R296" i="19"/>
  <c r="R295" i="19"/>
  <c r="R294" i="19"/>
  <c r="R293" i="19"/>
  <c r="R292" i="19"/>
  <c r="R291" i="19"/>
  <c r="R290" i="19"/>
  <c r="R289" i="19"/>
  <c r="R288" i="19"/>
  <c r="R287" i="19"/>
  <c r="R286" i="19"/>
  <c r="R285" i="19"/>
  <c r="R284" i="19"/>
  <c r="R283" i="19"/>
  <c r="R282" i="19"/>
  <c r="R281" i="19"/>
  <c r="R280" i="19"/>
  <c r="R279" i="19"/>
  <c r="R278" i="19"/>
  <c r="R277" i="19"/>
  <c r="R276" i="19"/>
  <c r="R275" i="19"/>
  <c r="R274" i="19"/>
  <c r="R273" i="19"/>
  <c r="R272" i="19"/>
  <c r="R271" i="19"/>
  <c r="R270" i="19"/>
  <c r="R269" i="19"/>
  <c r="R268" i="19"/>
  <c r="R267" i="19"/>
  <c r="R266" i="19"/>
  <c r="R265" i="19"/>
  <c r="R264" i="19"/>
  <c r="R263" i="19"/>
  <c r="R262" i="19"/>
  <c r="R261" i="19"/>
  <c r="R260" i="19"/>
  <c r="R259" i="19"/>
  <c r="R258" i="19"/>
  <c r="R257" i="19"/>
  <c r="R256" i="19"/>
  <c r="R255" i="19"/>
  <c r="R254" i="19"/>
  <c r="R253" i="19"/>
  <c r="R252" i="19"/>
  <c r="R251" i="19"/>
  <c r="R250" i="19"/>
  <c r="R249" i="19"/>
  <c r="R248" i="19"/>
  <c r="R247" i="19"/>
  <c r="R246" i="19"/>
  <c r="R245" i="19"/>
  <c r="R244" i="19"/>
  <c r="R243" i="19"/>
  <c r="R242" i="19"/>
  <c r="R241" i="19"/>
  <c r="R240" i="19"/>
  <c r="R239" i="19"/>
  <c r="R238" i="19"/>
  <c r="R237" i="19"/>
  <c r="R236" i="19"/>
  <c r="R235" i="19"/>
  <c r="R234" i="19"/>
  <c r="R233" i="19"/>
  <c r="R232" i="19"/>
  <c r="R231" i="19"/>
  <c r="R230" i="19"/>
  <c r="R229" i="19"/>
  <c r="R228" i="19"/>
  <c r="R227" i="19"/>
  <c r="R226" i="19"/>
  <c r="R225" i="19"/>
  <c r="R224" i="19"/>
  <c r="R223" i="19"/>
  <c r="R222" i="19"/>
  <c r="R221" i="19"/>
  <c r="R220" i="19"/>
  <c r="R219" i="19"/>
  <c r="R218" i="19"/>
  <c r="R217" i="19"/>
  <c r="R216" i="19"/>
  <c r="R215" i="19"/>
  <c r="R214" i="19"/>
  <c r="R213" i="19"/>
  <c r="R212" i="19"/>
  <c r="R211" i="19"/>
  <c r="R210" i="19"/>
  <c r="R209" i="19"/>
  <c r="R208" i="19"/>
  <c r="R207" i="19"/>
  <c r="R206" i="19"/>
  <c r="R205" i="19"/>
  <c r="R204" i="19"/>
  <c r="R203" i="19"/>
  <c r="R202" i="19"/>
  <c r="R201" i="19"/>
  <c r="R200" i="19"/>
  <c r="R199" i="19"/>
  <c r="R198" i="19"/>
  <c r="R197" i="19"/>
  <c r="R196" i="19"/>
  <c r="R195" i="19"/>
  <c r="R194" i="19"/>
  <c r="R193" i="19"/>
  <c r="R192" i="19"/>
  <c r="R191" i="19"/>
  <c r="R190" i="19"/>
  <c r="R189" i="19"/>
  <c r="R188" i="19"/>
  <c r="R187" i="19"/>
  <c r="R186" i="19"/>
  <c r="R185" i="19"/>
  <c r="R184" i="19"/>
  <c r="R183" i="19"/>
  <c r="R182" i="19"/>
  <c r="R181" i="19"/>
  <c r="R180" i="19"/>
  <c r="R179" i="19"/>
  <c r="R178" i="19"/>
  <c r="R177" i="19"/>
  <c r="R176" i="19"/>
  <c r="R175" i="19"/>
  <c r="R174" i="19"/>
  <c r="R173" i="19"/>
  <c r="R172" i="19"/>
  <c r="R171" i="19"/>
  <c r="R170" i="19"/>
  <c r="R169" i="19"/>
  <c r="R168" i="19"/>
  <c r="R167" i="19"/>
  <c r="R166" i="19"/>
  <c r="R165" i="19"/>
  <c r="R164" i="19"/>
  <c r="R163" i="19"/>
  <c r="R162" i="19"/>
  <c r="R161" i="19"/>
  <c r="R160" i="19"/>
  <c r="R159" i="19"/>
  <c r="R158" i="19"/>
  <c r="R157" i="19"/>
  <c r="R156" i="19"/>
  <c r="R155" i="19"/>
  <c r="R154" i="19"/>
  <c r="R153" i="19"/>
  <c r="R152" i="19"/>
  <c r="R151" i="19"/>
  <c r="R150" i="19"/>
  <c r="R149" i="19"/>
  <c r="R148" i="19"/>
  <c r="R147" i="19"/>
  <c r="R146" i="19"/>
  <c r="R145" i="19"/>
  <c r="R144" i="19"/>
  <c r="R143" i="19"/>
  <c r="R142" i="19"/>
  <c r="R141" i="19"/>
  <c r="R140" i="19"/>
  <c r="R139" i="19"/>
  <c r="R138" i="19"/>
  <c r="R137" i="19"/>
  <c r="R136" i="19"/>
  <c r="R135" i="19"/>
  <c r="R134" i="19"/>
  <c r="R133" i="19"/>
  <c r="R132" i="19"/>
  <c r="R131" i="19"/>
  <c r="R130" i="19"/>
  <c r="R129" i="19"/>
  <c r="R128" i="19"/>
  <c r="R127" i="19"/>
  <c r="R126" i="19"/>
  <c r="R125" i="19"/>
  <c r="R124" i="19"/>
  <c r="R123" i="19"/>
  <c r="R122" i="19"/>
  <c r="R121" i="19"/>
  <c r="R120" i="19"/>
  <c r="R119" i="19"/>
  <c r="R118" i="19"/>
  <c r="R117" i="19"/>
  <c r="R116" i="19"/>
  <c r="R115" i="19"/>
  <c r="R114" i="19"/>
  <c r="R113" i="19"/>
  <c r="R112" i="19"/>
  <c r="R111" i="19"/>
  <c r="R110" i="19"/>
  <c r="R109" i="19"/>
  <c r="R108" i="19"/>
  <c r="R107" i="19"/>
  <c r="R106" i="19"/>
  <c r="R105" i="19"/>
  <c r="R104" i="19"/>
  <c r="R103" i="19"/>
  <c r="R102" i="19"/>
  <c r="R101" i="19"/>
  <c r="R100" i="19"/>
  <c r="R99" i="19"/>
  <c r="R98" i="19"/>
  <c r="R97" i="19"/>
  <c r="R96" i="19"/>
  <c r="R95" i="19"/>
  <c r="R94" i="19"/>
  <c r="R93" i="19"/>
  <c r="R92" i="19"/>
  <c r="R91" i="19"/>
  <c r="R90" i="19"/>
  <c r="R89" i="19"/>
  <c r="R88" i="19"/>
  <c r="R87" i="19"/>
  <c r="R86" i="19"/>
  <c r="R85" i="19"/>
  <c r="R84" i="19"/>
  <c r="R83" i="19"/>
  <c r="R82" i="19"/>
  <c r="R81" i="19"/>
  <c r="R80" i="19"/>
  <c r="R79" i="19"/>
  <c r="R78" i="19"/>
  <c r="R77" i="19"/>
  <c r="R76" i="19"/>
  <c r="R75" i="19"/>
  <c r="R74" i="19"/>
  <c r="R73" i="19"/>
  <c r="R72" i="19"/>
  <c r="R71" i="19"/>
  <c r="R70" i="19"/>
  <c r="R69" i="19"/>
  <c r="R68" i="19"/>
  <c r="R67" i="19"/>
  <c r="R66" i="19"/>
  <c r="R65" i="19"/>
  <c r="R64" i="19"/>
  <c r="R63" i="19"/>
  <c r="R62" i="19"/>
  <c r="R61" i="19"/>
  <c r="R60" i="19"/>
  <c r="R59" i="19"/>
  <c r="R58" i="19"/>
  <c r="R57" i="19"/>
  <c r="R56" i="19"/>
  <c r="R55" i="19"/>
  <c r="R54" i="19"/>
  <c r="R53" i="19"/>
  <c r="R52" i="19"/>
  <c r="R51" i="19"/>
  <c r="R50" i="19"/>
  <c r="R49" i="19"/>
  <c r="R48" i="19"/>
  <c r="R47" i="19"/>
  <c r="R46" i="19"/>
  <c r="R45" i="19"/>
  <c r="R44" i="19"/>
  <c r="R43" i="19"/>
  <c r="R42" i="19"/>
  <c r="R41" i="19"/>
  <c r="R40" i="19"/>
  <c r="R39" i="19"/>
  <c r="R38" i="19"/>
  <c r="R37" i="19"/>
  <c r="R36" i="19"/>
  <c r="R35" i="19"/>
  <c r="R34" i="19"/>
  <c r="R33" i="19"/>
  <c r="R32" i="19"/>
  <c r="R31" i="19"/>
  <c r="R30" i="19"/>
  <c r="R29" i="19"/>
  <c r="R28" i="19"/>
  <c r="R27" i="19"/>
  <c r="R26" i="19"/>
  <c r="R25" i="19"/>
  <c r="R24" i="19"/>
  <c r="R23" i="19"/>
  <c r="R22" i="19"/>
  <c r="R21" i="19"/>
  <c r="R20" i="19"/>
  <c r="R19" i="19"/>
  <c r="R18" i="19"/>
  <c r="R17" i="19"/>
  <c r="R16" i="19"/>
  <c r="R15" i="19"/>
  <c r="R14" i="19"/>
  <c r="R13" i="19"/>
  <c r="R12" i="19"/>
  <c r="R11" i="19"/>
  <c r="R10" i="19"/>
  <c r="R9" i="19"/>
  <c r="R8" i="19"/>
  <c r="R7" i="19"/>
  <c r="R6" i="19"/>
  <c r="R5" i="19"/>
  <c r="R4" i="19"/>
  <c r="R3" i="19"/>
  <c r="R2" i="19"/>
  <c r="O404" i="19"/>
  <c r="O403" i="19"/>
  <c r="O402" i="19"/>
  <c r="O401" i="19"/>
  <c r="O400" i="19"/>
  <c r="O399" i="19"/>
  <c r="O398" i="19"/>
  <c r="O397" i="19"/>
  <c r="O396" i="19"/>
  <c r="O395" i="19"/>
  <c r="O394" i="19"/>
  <c r="O393" i="19"/>
  <c r="O392" i="19"/>
  <c r="O391" i="19"/>
  <c r="O390" i="19"/>
  <c r="O389" i="19"/>
  <c r="O388" i="19"/>
  <c r="O387" i="19"/>
  <c r="O386" i="19"/>
  <c r="O385" i="19"/>
  <c r="O384" i="19"/>
  <c r="O383" i="19"/>
  <c r="O382" i="19"/>
  <c r="O381" i="19"/>
  <c r="O380" i="19"/>
  <c r="O379" i="19"/>
  <c r="O378" i="19"/>
  <c r="O377" i="19"/>
  <c r="O376" i="19"/>
  <c r="O375" i="19"/>
  <c r="O374" i="19"/>
  <c r="O373" i="19"/>
  <c r="O372" i="19"/>
  <c r="O371" i="19"/>
  <c r="O370" i="19"/>
  <c r="O369" i="19"/>
  <c r="O368" i="19"/>
  <c r="O367" i="19"/>
  <c r="O366" i="19"/>
  <c r="O365" i="19"/>
  <c r="O364" i="19"/>
  <c r="O363" i="19"/>
  <c r="O362" i="19"/>
  <c r="O361" i="19"/>
  <c r="O360" i="19"/>
  <c r="O359" i="19"/>
  <c r="O358" i="19"/>
  <c r="O357" i="19"/>
  <c r="O356" i="19"/>
  <c r="O355" i="19"/>
  <c r="O354" i="19"/>
  <c r="O353" i="19"/>
  <c r="O352" i="19"/>
  <c r="O351" i="19"/>
  <c r="O350" i="19"/>
  <c r="O349" i="19"/>
  <c r="O348" i="19"/>
  <c r="O347" i="19"/>
  <c r="O346" i="19"/>
  <c r="O345" i="19"/>
  <c r="O344" i="19"/>
  <c r="O343" i="19"/>
  <c r="O342" i="19"/>
  <c r="O341" i="19"/>
  <c r="O340" i="19"/>
  <c r="O339" i="19"/>
  <c r="O338" i="19"/>
  <c r="O337" i="19"/>
  <c r="O336" i="19"/>
  <c r="O335" i="19"/>
  <c r="O334" i="19"/>
  <c r="O333" i="19"/>
  <c r="O332" i="19"/>
  <c r="O331" i="19"/>
  <c r="O330" i="19"/>
  <c r="O329" i="19"/>
  <c r="O328" i="19"/>
  <c r="O327" i="19"/>
  <c r="O326" i="19"/>
  <c r="O325" i="19"/>
  <c r="O324" i="19"/>
  <c r="O323" i="19"/>
  <c r="O322" i="19"/>
  <c r="O321" i="19"/>
  <c r="O320" i="19"/>
  <c r="O319" i="19"/>
  <c r="O318" i="19"/>
  <c r="O317" i="19"/>
  <c r="O316" i="19"/>
  <c r="O315" i="19"/>
  <c r="O314" i="19"/>
  <c r="O313" i="19"/>
  <c r="O312" i="19"/>
  <c r="O311" i="19"/>
  <c r="O310" i="19"/>
  <c r="O309" i="19"/>
  <c r="O308" i="19"/>
  <c r="O307" i="19"/>
  <c r="O306" i="19"/>
  <c r="O305" i="19"/>
  <c r="O304" i="19"/>
  <c r="O303" i="19"/>
  <c r="O302" i="19"/>
  <c r="O301" i="19"/>
  <c r="O300" i="19"/>
  <c r="O299" i="19"/>
  <c r="O298" i="19"/>
  <c r="O297" i="19"/>
  <c r="O296" i="19"/>
  <c r="O295" i="19"/>
  <c r="O294" i="19"/>
  <c r="O293" i="19"/>
  <c r="O292" i="19"/>
  <c r="O291" i="19"/>
  <c r="O290" i="19"/>
  <c r="O289" i="19"/>
  <c r="O288" i="19"/>
  <c r="O287" i="19"/>
  <c r="O286" i="19"/>
  <c r="O285" i="19"/>
  <c r="O284" i="19"/>
  <c r="O283" i="19"/>
  <c r="O282" i="19"/>
  <c r="O281" i="19"/>
  <c r="O280" i="19"/>
  <c r="O279" i="19"/>
  <c r="O278" i="19"/>
  <c r="O277" i="19"/>
  <c r="O276" i="19"/>
  <c r="O275" i="19"/>
  <c r="O274" i="19"/>
  <c r="O273" i="19"/>
  <c r="O272" i="19"/>
  <c r="O271" i="19"/>
  <c r="O270" i="19"/>
  <c r="O269" i="19"/>
  <c r="O268" i="19"/>
  <c r="O267" i="19"/>
  <c r="O266" i="19"/>
  <c r="O265" i="19"/>
  <c r="O264" i="19"/>
  <c r="O263" i="19"/>
  <c r="O262" i="19"/>
  <c r="O261" i="19"/>
  <c r="O260" i="19"/>
  <c r="O259" i="19"/>
  <c r="O258" i="19"/>
  <c r="O257" i="19"/>
  <c r="O256" i="19"/>
  <c r="O255" i="19"/>
  <c r="O254" i="19"/>
  <c r="O253" i="19"/>
  <c r="O252" i="19"/>
  <c r="O251" i="19"/>
  <c r="O250" i="19"/>
  <c r="O249" i="19"/>
  <c r="O248" i="19"/>
  <c r="O247" i="19"/>
  <c r="O246" i="19"/>
  <c r="O245" i="19"/>
  <c r="O244" i="19"/>
  <c r="O243" i="19"/>
  <c r="O242" i="19"/>
  <c r="O241" i="19"/>
  <c r="O240" i="19"/>
  <c r="O239" i="19"/>
  <c r="O238" i="19"/>
  <c r="O237" i="19"/>
  <c r="O236" i="19"/>
  <c r="O235" i="19"/>
  <c r="O234" i="19"/>
  <c r="O233" i="19"/>
  <c r="O232" i="19"/>
  <c r="O231" i="19"/>
  <c r="O230" i="19"/>
  <c r="O229" i="19"/>
  <c r="O228" i="19"/>
  <c r="O227" i="19"/>
  <c r="O226" i="19"/>
  <c r="O225" i="19"/>
  <c r="O224" i="19"/>
  <c r="O223" i="19"/>
  <c r="O222" i="19"/>
  <c r="O221" i="19"/>
  <c r="O220" i="19"/>
  <c r="O219" i="19"/>
  <c r="O218" i="19"/>
  <c r="O217" i="19"/>
  <c r="O216" i="19"/>
  <c r="O215" i="19"/>
  <c r="O214" i="19"/>
  <c r="O213" i="19"/>
  <c r="O212" i="19"/>
  <c r="O211" i="19"/>
  <c r="O210" i="19"/>
  <c r="O209" i="19"/>
  <c r="O208" i="19"/>
  <c r="O207" i="19"/>
  <c r="O206" i="19"/>
  <c r="O205" i="19"/>
  <c r="O204" i="19"/>
  <c r="O203" i="19"/>
  <c r="O202" i="19"/>
  <c r="O201" i="19"/>
  <c r="O200" i="19"/>
  <c r="O199" i="19"/>
  <c r="O198" i="19"/>
  <c r="O197" i="19"/>
  <c r="O196" i="19"/>
  <c r="O195" i="19"/>
  <c r="O194" i="19"/>
  <c r="O193" i="19"/>
  <c r="O192" i="19"/>
  <c r="O191" i="19"/>
  <c r="O190" i="19"/>
  <c r="O189" i="19"/>
  <c r="O188" i="19"/>
  <c r="O187" i="19"/>
  <c r="O186" i="19"/>
  <c r="O185" i="19"/>
  <c r="O184" i="19"/>
  <c r="O183" i="19"/>
  <c r="O182" i="19"/>
  <c r="O181" i="19"/>
  <c r="O180" i="19"/>
  <c r="O179" i="19"/>
  <c r="O178" i="19"/>
  <c r="O177" i="19"/>
  <c r="O176" i="19"/>
  <c r="O175" i="19"/>
  <c r="O174" i="19"/>
  <c r="O173" i="19"/>
  <c r="O172" i="19"/>
  <c r="O171" i="19"/>
  <c r="O170" i="19"/>
  <c r="O169" i="19"/>
  <c r="O168" i="19"/>
  <c r="O167" i="19"/>
  <c r="O166" i="19"/>
  <c r="O165" i="19"/>
  <c r="O164" i="19"/>
  <c r="O163" i="19"/>
  <c r="O162" i="19"/>
  <c r="O161" i="19"/>
  <c r="O160" i="19"/>
  <c r="O159" i="19"/>
  <c r="O158" i="19"/>
  <c r="O157" i="19"/>
  <c r="O156" i="19"/>
  <c r="O155" i="19"/>
  <c r="O154" i="19"/>
  <c r="O153" i="19"/>
  <c r="O152" i="19"/>
  <c r="O151" i="19"/>
  <c r="O150" i="19"/>
  <c r="O149" i="19"/>
  <c r="O148" i="19"/>
  <c r="O147" i="19"/>
  <c r="O146" i="19"/>
  <c r="O145" i="19"/>
  <c r="O144" i="19"/>
  <c r="O143" i="19"/>
  <c r="O142" i="19"/>
  <c r="O141" i="19"/>
  <c r="O140" i="19"/>
  <c r="O139" i="19"/>
  <c r="O138" i="19"/>
  <c r="O137" i="19"/>
  <c r="O136" i="19"/>
  <c r="O135" i="19"/>
  <c r="O134" i="19"/>
  <c r="O133" i="19"/>
  <c r="O132" i="19"/>
  <c r="O131" i="19"/>
  <c r="O130" i="19"/>
  <c r="O129" i="19"/>
  <c r="O128" i="19"/>
  <c r="O127" i="19"/>
  <c r="O126" i="19"/>
  <c r="O125" i="19"/>
  <c r="O124" i="19"/>
  <c r="O123" i="19"/>
  <c r="O122" i="19"/>
  <c r="O121" i="19"/>
  <c r="O120" i="19"/>
  <c r="O119" i="19"/>
  <c r="O118" i="19"/>
  <c r="O117" i="19"/>
  <c r="O116" i="19"/>
  <c r="O115" i="19"/>
  <c r="O114" i="19"/>
  <c r="O113" i="19"/>
  <c r="O112" i="19"/>
  <c r="O111" i="19"/>
  <c r="O110" i="19"/>
  <c r="O109" i="19"/>
  <c r="O108" i="19"/>
  <c r="O107" i="19"/>
  <c r="O106" i="19"/>
  <c r="O105" i="19"/>
  <c r="O104" i="19"/>
  <c r="O103" i="19"/>
  <c r="O102" i="19"/>
  <c r="O101" i="19"/>
  <c r="O100" i="19"/>
  <c r="O99" i="19"/>
  <c r="O98" i="19"/>
  <c r="O97" i="19"/>
  <c r="O96"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9" i="19"/>
  <c r="O58" i="19"/>
  <c r="O57" i="19"/>
  <c r="O56" i="19"/>
  <c r="O55" i="19"/>
  <c r="O54" i="19"/>
  <c r="O53" i="19"/>
  <c r="O52" i="19"/>
  <c r="O51" i="19"/>
  <c r="O50" i="19"/>
  <c r="O49" i="19"/>
  <c r="O48" i="19"/>
  <c r="O47" i="19"/>
  <c r="O46" i="19"/>
  <c r="O45" i="19"/>
  <c r="O44" i="19"/>
  <c r="O43" i="19"/>
  <c r="O42" i="19"/>
  <c r="O41" i="19"/>
  <c r="O40" i="19"/>
  <c r="O39" i="19"/>
  <c r="O38" i="19"/>
  <c r="O37" i="19"/>
  <c r="O36" i="19"/>
  <c r="O35" i="19"/>
  <c r="O34" i="19"/>
  <c r="O33" i="19"/>
  <c r="O32" i="19"/>
  <c r="O31" i="19"/>
  <c r="O30" i="19"/>
  <c r="O29" i="19"/>
  <c r="O28" i="19"/>
  <c r="O27" i="19"/>
  <c r="O26" i="19"/>
  <c r="O25" i="19"/>
  <c r="O24" i="19"/>
  <c r="O23" i="19"/>
  <c r="O22" i="19"/>
  <c r="O21" i="19"/>
  <c r="O20" i="19"/>
  <c r="O19" i="19"/>
  <c r="O18" i="19"/>
  <c r="O17" i="19"/>
  <c r="O16" i="19"/>
  <c r="O15" i="19"/>
  <c r="O14" i="19"/>
  <c r="O13" i="19"/>
  <c r="O12" i="19"/>
  <c r="O11" i="19"/>
  <c r="O10" i="19"/>
  <c r="O9" i="19"/>
  <c r="O8" i="19"/>
  <c r="O7" i="19"/>
  <c r="O6" i="19"/>
  <c r="O5" i="19"/>
  <c r="O4" i="19"/>
  <c r="O3" i="19"/>
  <c r="O2" i="19"/>
  <c r="L404" i="19"/>
  <c r="L403" i="19"/>
  <c r="L402" i="19"/>
  <c r="L401" i="19"/>
  <c r="L400" i="19"/>
  <c r="L399" i="19"/>
  <c r="L398" i="19"/>
  <c r="L397" i="19"/>
  <c r="L396" i="19"/>
  <c r="L395" i="19"/>
  <c r="L394" i="19"/>
  <c r="L393" i="19"/>
  <c r="L392" i="19"/>
  <c r="L391" i="19"/>
  <c r="L390" i="19"/>
  <c r="L389" i="19"/>
  <c r="L388" i="19"/>
  <c r="L387" i="19"/>
  <c r="L386" i="19"/>
  <c r="L385" i="19"/>
  <c r="L384" i="19"/>
  <c r="L383" i="19"/>
  <c r="L382" i="19"/>
  <c r="L381" i="19"/>
  <c r="L380" i="19"/>
  <c r="L379" i="19"/>
  <c r="L378" i="19"/>
  <c r="L377" i="19"/>
  <c r="L376" i="19"/>
  <c r="L375" i="19"/>
  <c r="L374" i="19"/>
  <c r="L373" i="19"/>
  <c r="L372" i="19"/>
  <c r="L371" i="19"/>
  <c r="L370" i="19"/>
  <c r="L369" i="19"/>
  <c r="L368" i="19"/>
  <c r="L367" i="19"/>
  <c r="L366" i="19"/>
  <c r="L365" i="19"/>
  <c r="L364" i="19"/>
  <c r="L363" i="19"/>
  <c r="L362" i="19"/>
  <c r="L361" i="19"/>
  <c r="L360" i="19"/>
  <c r="L359" i="19"/>
  <c r="L358" i="19"/>
  <c r="L357" i="19"/>
  <c r="L356" i="19"/>
  <c r="L355" i="19"/>
  <c r="L354" i="19"/>
  <c r="L353" i="19"/>
  <c r="L352" i="19"/>
  <c r="L351" i="19"/>
  <c r="L350" i="19"/>
  <c r="L349" i="19"/>
  <c r="L348" i="19"/>
  <c r="L347" i="19"/>
  <c r="L346" i="19"/>
  <c r="L345" i="19"/>
  <c r="L344" i="19"/>
  <c r="L343" i="19"/>
  <c r="L342" i="19"/>
  <c r="L341" i="19"/>
  <c r="L340" i="19"/>
  <c r="L339" i="19"/>
  <c r="L338" i="19"/>
  <c r="L337" i="19"/>
  <c r="L336" i="19"/>
  <c r="L335" i="19"/>
  <c r="L334" i="19"/>
  <c r="L333" i="19"/>
  <c r="L332" i="19"/>
  <c r="L331" i="19"/>
  <c r="L330" i="19"/>
  <c r="L329" i="19"/>
  <c r="L328" i="19"/>
  <c r="L327" i="19"/>
  <c r="L326" i="19"/>
  <c r="L325" i="19"/>
  <c r="L324" i="19"/>
  <c r="L323" i="19"/>
  <c r="L322" i="19"/>
  <c r="L321" i="19"/>
  <c r="L320" i="19"/>
  <c r="L319" i="19"/>
  <c r="L318" i="19"/>
  <c r="L317" i="19"/>
  <c r="L316" i="19"/>
  <c r="L315" i="19"/>
  <c r="L314" i="19"/>
  <c r="L313" i="19"/>
  <c r="L312" i="19"/>
  <c r="L311" i="19"/>
  <c r="L310" i="19"/>
  <c r="L309" i="19"/>
  <c r="L308" i="19"/>
  <c r="L307" i="19"/>
  <c r="L306" i="19"/>
  <c r="L305" i="19"/>
  <c r="L304" i="19"/>
  <c r="L303" i="19"/>
  <c r="L302" i="19"/>
  <c r="L301" i="19"/>
  <c r="L300" i="19"/>
  <c r="L299" i="19"/>
  <c r="L298" i="19"/>
  <c r="L297" i="19"/>
  <c r="L296" i="19"/>
  <c r="L295" i="19"/>
  <c r="L294" i="19"/>
  <c r="L293" i="19"/>
  <c r="L292" i="19"/>
  <c r="L291" i="19"/>
  <c r="L290" i="19"/>
  <c r="L289" i="19"/>
  <c r="L288" i="19"/>
  <c r="L287" i="19"/>
  <c r="L286" i="19"/>
  <c r="L285" i="19"/>
  <c r="L284" i="19"/>
  <c r="L283" i="19"/>
  <c r="L282" i="19"/>
  <c r="L281" i="19"/>
  <c r="L280" i="19"/>
  <c r="L279" i="19"/>
  <c r="L278" i="19"/>
  <c r="L277" i="19"/>
  <c r="L276" i="19"/>
  <c r="L275" i="19"/>
  <c r="L274" i="19"/>
  <c r="L273" i="19"/>
  <c r="L272" i="19"/>
  <c r="L271" i="19"/>
  <c r="L270" i="19"/>
  <c r="L269" i="19"/>
  <c r="L268" i="19"/>
  <c r="L267" i="19"/>
  <c r="L266" i="19"/>
  <c r="L265" i="19"/>
  <c r="L264" i="19"/>
  <c r="L263" i="19"/>
  <c r="L262" i="19"/>
  <c r="L261" i="19"/>
  <c r="L260" i="19"/>
  <c r="L259" i="19"/>
  <c r="L258" i="19"/>
  <c r="L257" i="19"/>
  <c r="L256" i="19"/>
  <c r="L255" i="19"/>
  <c r="L254" i="19"/>
  <c r="L253" i="19"/>
  <c r="L252" i="19"/>
  <c r="L251" i="19"/>
  <c r="L250" i="19"/>
  <c r="L249" i="19"/>
  <c r="L248" i="19"/>
  <c r="L247" i="19"/>
  <c r="L246" i="19"/>
  <c r="L245" i="19"/>
  <c r="L244" i="19"/>
  <c r="L243" i="19"/>
  <c r="L242" i="19"/>
  <c r="L241" i="19"/>
  <c r="L240" i="19"/>
  <c r="L239" i="19"/>
  <c r="L238" i="19"/>
  <c r="L237" i="19"/>
  <c r="L236" i="19"/>
  <c r="L235" i="19"/>
  <c r="L234" i="19"/>
  <c r="L233" i="19"/>
  <c r="L232" i="19"/>
  <c r="L231" i="19"/>
  <c r="L230" i="19"/>
  <c r="L229" i="19"/>
  <c r="L228" i="19"/>
  <c r="L227" i="19"/>
  <c r="L226" i="19"/>
  <c r="L225" i="19"/>
  <c r="L224" i="19"/>
  <c r="L223" i="19"/>
  <c r="L222" i="19"/>
  <c r="L221" i="19"/>
  <c r="L220" i="19"/>
  <c r="L219" i="19"/>
  <c r="L218" i="19"/>
  <c r="L217" i="19"/>
  <c r="L216" i="19"/>
  <c r="L215" i="19"/>
  <c r="L214" i="19"/>
  <c r="L213" i="19"/>
  <c r="L212" i="19"/>
  <c r="L211" i="19"/>
  <c r="L210" i="19"/>
  <c r="L209" i="19"/>
  <c r="L208" i="19"/>
  <c r="L207" i="19"/>
  <c r="L206" i="19"/>
  <c r="L205" i="19"/>
  <c r="L204" i="19"/>
  <c r="L203" i="19"/>
  <c r="L202" i="19"/>
  <c r="L201" i="19"/>
  <c r="L200" i="19"/>
  <c r="L199" i="19"/>
  <c r="L198" i="19"/>
  <c r="L197" i="19"/>
  <c r="L196" i="19"/>
  <c r="L195" i="19"/>
  <c r="L194" i="19"/>
  <c r="L193" i="19"/>
  <c r="L192" i="19"/>
  <c r="L191" i="19"/>
  <c r="L190" i="19"/>
  <c r="L189" i="19"/>
  <c r="L188" i="19"/>
  <c r="L187" i="19"/>
  <c r="L186" i="19"/>
  <c r="L185" i="19"/>
  <c r="L184" i="19"/>
  <c r="L183"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4" i="19"/>
  <c r="L33" i="19"/>
  <c r="L32" i="19"/>
  <c r="L31" i="19"/>
  <c r="L30" i="19"/>
  <c r="L29" i="19"/>
  <c r="L28" i="19"/>
  <c r="L27" i="19"/>
  <c r="L26" i="19"/>
  <c r="L25" i="19"/>
  <c r="L24" i="19"/>
  <c r="L23" i="19"/>
  <c r="L22" i="19"/>
  <c r="L21" i="19"/>
  <c r="L20" i="19"/>
  <c r="L19" i="19"/>
  <c r="L18" i="19"/>
  <c r="L17" i="19"/>
  <c r="L16" i="19"/>
  <c r="L15" i="19"/>
  <c r="L14" i="19"/>
  <c r="L13" i="19"/>
  <c r="L12" i="19"/>
  <c r="L11" i="19"/>
  <c r="L10" i="19"/>
  <c r="L9" i="19"/>
  <c r="L8" i="19"/>
  <c r="L7" i="19"/>
  <c r="L6" i="19"/>
  <c r="L5" i="19"/>
  <c r="L4" i="19"/>
  <c r="L3" i="19"/>
  <c r="L2" i="19"/>
  <c r="I404" i="19"/>
  <c r="I403" i="19"/>
  <c r="I402" i="19"/>
  <c r="I401" i="19"/>
  <c r="I400" i="19"/>
  <c r="I399" i="19"/>
  <c r="I398" i="19"/>
  <c r="I397" i="19"/>
  <c r="I396" i="19"/>
  <c r="I395" i="19"/>
  <c r="I394" i="19"/>
  <c r="I393" i="19"/>
  <c r="I392" i="19"/>
  <c r="I391" i="19"/>
  <c r="I390" i="19"/>
  <c r="I389" i="19"/>
  <c r="I388" i="19"/>
  <c r="I387" i="19"/>
  <c r="I386" i="19"/>
  <c r="I385" i="19"/>
  <c r="I384" i="19"/>
  <c r="I383" i="19"/>
  <c r="I382" i="19"/>
  <c r="I381" i="19"/>
  <c r="I380" i="19"/>
  <c r="I379" i="19"/>
  <c r="I378" i="19"/>
  <c r="I377" i="19"/>
  <c r="I376" i="19"/>
  <c r="I375" i="19"/>
  <c r="I374" i="19"/>
  <c r="I373" i="19"/>
  <c r="I372" i="19"/>
  <c r="I371" i="19"/>
  <c r="I370" i="19"/>
  <c r="I369" i="19"/>
  <c r="I368" i="19"/>
  <c r="I367" i="19"/>
  <c r="I366" i="19"/>
  <c r="I365" i="19"/>
  <c r="I364" i="19"/>
  <c r="I363" i="19"/>
  <c r="I362" i="19"/>
  <c r="I361" i="19"/>
  <c r="I360" i="19"/>
  <c r="I359" i="19"/>
  <c r="I358" i="19"/>
  <c r="I357" i="19"/>
  <c r="I356" i="19"/>
  <c r="I355" i="19"/>
  <c r="I354" i="19"/>
  <c r="I353" i="19"/>
  <c r="I352" i="19"/>
  <c r="I351" i="19"/>
  <c r="I350" i="19"/>
  <c r="I349" i="19"/>
  <c r="I348" i="19"/>
  <c r="I347" i="19"/>
  <c r="I346" i="19"/>
  <c r="I345" i="19"/>
  <c r="I344" i="19"/>
  <c r="I343" i="19"/>
  <c r="I342" i="19"/>
  <c r="I341" i="19"/>
  <c r="I340" i="19"/>
  <c r="I339" i="19"/>
  <c r="I338" i="19"/>
  <c r="I337" i="19"/>
  <c r="I336" i="19"/>
  <c r="I335" i="19"/>
  <c r="I334" i="19"/>
  <c r="I333" i="19"/>
  <c r="I332" i="19"/>
  <c r="I331" i="19"/>
  <c r="I330" i="19"/>
  <c r="I329" i="19"/>
  <c r="I328" i="19"/>
  <c r="I327" i="19"/>
  <c r="I326" i="19"/>
  <c r="I325" i="19"/>
  <c r="I324" i="19"/>
  <c r="I323" i="19"/>
  <c r="I322" i="19"/>
  <c r="I321" i="19"/>
  <c r="I320" i="19"/>
  <c r="I319" i="19"/>
  <c r="I318" i="19"/>
  <c r="I317" i="19"/>
  <c r="I316" i="19"/>
  <c r="I315" i="19"/>
  <c r="I314" i="19"/>
  <c r="I313" i="19"/>
  <c r="I312" i="19"/>
  <c r="I311" i="19"/>
  <c r="I310" i="19"/>
  <c r="I309" i="19"/>
  <c r="I308" i="19"/>
  <c r="I307" i="19"/>
  <c r="I306" i="19"/>
  <c r="I305" i="19"/>
  <c r="I304" i="19"/>
  <c r="I303" i="19"/>
  <c r="I302" i="19"/>
  <c r="I301" i="19"/>
  <c r="I300" i="19"/>
  <c r="I299" i="19"/>
  <c r="I298" i="19"/>
  <c r="I297" i="19"/>
  <c r="I296" i="19"/>
  <c r="I295" i="19"/>
  <c r="I294" i="19"/>
  <c r="I293" i="19"/>
  <c r="I292" i="19"/>
  <c r="I291" i="19"/>
  <c r="I290" i="19"/>
  <c r="I289" i="19"/>
  <c r="I288" i="19"/>
  <c r="I287" i="19"/>
  <c r="I286" i="19"/>
  <c r="I285" i="19"/>
  <c r="I284" i="19"/>
  <c r="I283" i="19"/>
  <c r="I282" i="19"/>
  <c r="I281" i="19"/>
  <c r="I280" i="19"/>
  <c r="I279" i="19"/>
  <c r="I278" i="19"/>
  <c r="I277" i="19"/>
  <c r="I276" i="19"/>
  <c r="I275" i="19"/>
  <c r="I274" i="19"/>
  <c r="I273" i="19"/>
  <c r="I272" i="19"/>
  <c r="I271" i="19"/>
  <c r="I270" i="19"/>
  <c r="I269" i="19"/>
  <c r="I268" i="19"/>
  <c r="I267" i="19"/>
  <c r="I266" i="19"/>
  <c r="I265" i="19"/>
  <c r="I264" i="19"/>
  <c r="I263" i="19"/>
  <c r="I262" i="19"/>
  <c r="I261" i="19"/>
  <c r="I260" i="19"/>
  <c r="I259" i="19"/>
  <c r="I258" i="19"/>
  <c r="I257" i="19"/>
  <c r="I256" i="19"/>
  <c r="I255" i="19"/>
  <c r="I254" i="19"/>
  <c r="I253" i="19"/>
  <c r="I252" i="19"/>
  <c r="I251" i="19"/>
  <c r="I250" i="19"/>
  <c r="I249" i="19"/>
  <c r="I248" i="19"/>
  <c r="I247" i="19"/>
  <c r="I246" i="19"/>
  <c r="I245" i="19"/>
  <c r="I244" i="19"/>
  <c r="I243" i="19"/>
  <c r="I242" i="19"/>
  <c r="I241" i="19"/>
  <c r="I240" i="19"/>
  <c r="I239" i="19"/>
  <c r="I238" i="19"/>
  <c r="I237" i="19"/>
  <c r="I236" i="19"/>
  <c r="I235" i="19"/>
  <c r="I234" i="19"/>
  <c r="I233" i="19"/>
  <c r="I232" i="19"/>
  <c r="I231" i="19"/>
  <c r="I230" i="19"/>
  <c r="I229" i="19"/>
  <c r="I228" i="19"/>
  <c r="I227" i="19"/>
  <c r="I226" i="19"/>
  <c r="I225" i="19"/>
  <c r="I224" i="19"/>
  <c r="I223" i="19"/>
  <c r="I222" i="19"/>
  <c r="I221" i="19"/>
  <c r="I220" i="19"/>
  <c r="I219" i="19"/>
  <c r="I218" i="19"/>
  <c r="I217" i="19"/>
  <c r="I216" i="19"/>
  <c r="I215" i="19"/>
  <c r="I214" i="19"/>
  <c r="I213" i="19"/>
  <c r="I212" i="19"/>
  <c r="I211" i="19"/>
  <c r="I210" i="19"/>
  <c r="I209" i="19"/>
  <c r="I208" i="19"/>
  <c r="I207" i="19"/>
  <c r="I206" i="19"/>
  <c r="I205" i="19"/>
  <c r="I204" i="19"/>
  <c r="I203" i="19"/>
  <c r="I202" i="19"/>
  <c r="I201" i="19"/>
  <c r="I200" i="19"/>
  <c r="I199" i="19"/>
  <c r="I198" i="19"/>
  <c r="I197" i="19"/>
  <c r="I196" i="19"/>
  <c r="I195" i="19"/>
  <c r="I194" i="19"/>
  <c r="I193" i="19"/>
  <c r="I192" i="19"/>
  <c r="I191" i="19"/>
  <c r="I190" i="19"/>
  <c r="I189" i="19"/>
  <c r="I188" i="19"/>
  <c r="I187" i="19"/>
  <c r="I186" i="19"/>
  <c r="I185" i="19"/>
  <c r="I184" i="19"/>
  <c r="I183" i="19"/>
  <c r="I182" i="19"/>
  <c r="I181" i="19"/>
  <c r="I180" i="19"/>
  <c r="I179" i="19"/>
  <c r="I178" i="19"/>
  <c r="I177" i="19"/>
  <c r="I176" i="19"/>
  <c r="I175" i="19"/>
  <c r="I174" i="19"/>
  <c r="I173" i="19"/>
  <c r="I172" i="19"/>
  <c r="I171" i="19"/>
  <c r="I170" i="19"/>
  <c r="I169" i="19"/>
  <c r="I168" i="19"/>
  <c r="I167" i="19"/>
  <c r="I166" i="19"/>
  <c r="I165" i="19"/>
  <c r="I164" i="19"/>
  <c r="I163" i="19"/>
  <c r="I162" i="19"/>
  <c r="I161" i="19"/>
  <c r="I160" i="19"/>
  <c r="I159" i="19"/>
  <c r="I158" i="19"/>
  <c r="I157" i="19"/>
  <c r="I156" i="19"/>
  <c r="I155" i="19"/>
  <c r="I154" i="19"/>
  <c r="I153" i="19"/>
  <c r="I152" i="19"/>
  <c r="I151" i="19"/>
  <c r="I150" i="19"/>
  <c r="I149" i="19"/>
  <c r="I148" i="19"/>
  <c r="I147" i="19"/>
  <c r="I146" i="19"/>
  <c r="I145" i="19"/>
  <c r="I144" i="19"/>
  <c r="I143" i="19"/>
  <c r="I142" i="19"/>
  <c r="I141" i="19"/>
  <c r="I140" i="19"/>
  <c r="I139" i="19"/>
  <c r="I138" i="19"/>
  <c r="I137" i="19"/>
  <c r="I136" i="19"/>
  <c r="I135" i="19"/>
  <c r="I134" i="19"/>
  <c r="I133" i="19"/>
  <c r="I132" i="19"/>
  <c r="I131" i="19"/>
  <c r="I130" i="19"/>
  <c r="I129" i="19"/>
  <c r="I128" i="19"/>
  <c r="I127" i="19"/>
  <c r="I126" i="19"/>
  <c r="I125" i="19"/>
  <c r="I124" i="19"/>
  <c r="I123" i="19"/>
  <c r="I122" i="19"/>
  <c r="I121" i="19"/>
  <c r="I120" i="19"/>
  <c r="I119" i="19"/>
  <c r="I118" i="19"/>
  <c r="I117" i="19"/>
  <c r="I116" i="19"/>
  <c r="I115" i="19"/>
  <c r="I114" i="19"/>
  <c r="I113" i="19"/>
  <c r="I112" i="19"/>
  <c r="I111" i="19"/>
  <c r="I110" i="19"/>
  <c r="I109" i="19"/>
  <c r="I108" i="19"/>
  <c r="I107" i="19"/>
  <c r="I106" i="19"/>
  <c r="I105" i="19"/>
  <c r="I104" i="19"/>
  <c r="I103" i="19"/>
  <c r="I102" i="19"/>
  <c r="I101" i="19"/>
  <c r="I100" i="19"/>
  <c r="I99" i="19"/>
  <c r="I98" i="19"/>
  <c r="I97" i="19"/>
  <c r="I96" i="19"/>
  <c r="I95" i="19"/>
  <c r="I94" i="19"/>
  <c r="I93" i="19"/>
  <c r="I92" i="19"/>
  <c r="I91" i="19"/>
  <c r="I90" i="19"/>
  <c r="I89" i="19"/>
  <c r="I88" i="19"/>
  <c r="I87" i="19"/>
  <c r="I86" i="19"/>
  <c r="I85" i="19"/>
  <c r="I84" i="19"/>
  <c r="I83" i="19"/>
  <c r="I82" i="19"/>
  <c r="I81" i="19"/>
  <c r="I80" i="19"/>
  <c r="I79" i="19"/>
  <c r="I78" i="19"/>
  <c r="I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I2" i="19"/>
  <c r="F404" i="19"/>
  <c r="F403" i="19"/>
  <c r="F402" i="19"/>
  <c r="F401" i="19"/>
  <c r="F400" i="19"/>
  <c r="F399" i="19"/>
  <c r="F398" i="19"/>
  <c r="F397" i="19"/>
  <c r="F396" i="19"/>
  <c r="F395" i="19"/>
  <c r="F394" i="19"/>
  <c r="F393" i="19"/>
  <c r="F392" i="19"/>
  <c r="F391" i="19"/>
  <c r="F390" i="19"/>
  <c r="F389" i="19"/>
  <c r="F388" i="19"/>
  <c r="F387" i="19"/>
  <c r="F386" i="19"/>
  <c r="F385" i="19"/>
  <c r="F384" i="19"/>
  <c r="F383" i="19"/>
  <c r="F382" i="19"/>
  <c r="F381" i="19"/>
  <c r="F380" i="19"/>
  <c r="F379" i="19"/>
  <c r="F378" i="19"/>
  <c r="F377" i="19"/>
  <c r="F376" i="19"/>
  <c r="F375" i="19"/>
  <c r="F374" i="19"/>
  <c r="F373" i="19"/>
  <c r="F372" i="19"/>
  <c r="F371" i="19"/>
  <c r="F370" i="19"/>
  <c r="F369" i="19"/>
  <c r="F368" i="19"/>
  <c r="F367" i="19"/>
  <c r="F366" i="19"/>
  <c r="F365" i="19"/>
  <c r="F364" i="19"/>
  <c r="F363" i="19"/>
  <c r="F362" i="19"/>
  <c r="F361" i="19"/>
  <c r="F360" i="19"/>
  <c r="F359" i="19"/>
  <c r="F358" i="19"/>
  <c r="F357" i="19"/>
  <c r="F356" i="19"/>
  <c r="F355" i="19"/>
  <c r="F354" i="19"/>
  <c r="F353" i="19"/>
  <c r="F352" i="19"/>
  <c r="F351" i="19"/>
  <c r="F350" i="19"/>
  <c r="F349" i="19"/>
  <c r="F348" i="19"/>
  <c r="F347" i="19"/>
  <c r="F346" i="19"/>
  <c r="F345" i="19"/>
  <c r="F344" i="19"/>
  <c r="F343" i="19"/>
  <c r="F342" i="19"/>
  <c r="F341" i="19"/>
  <c r="F340" i="19"/>
  <c r="F339" i="19"/>
  <c r="F338" i="19"/>
  <c r="F337" i="19"/>
  <c r="F336" i="19"/>
  <c r="F335" i="19"/>
  <c r="F334" i="19"/>
  <c r="F333" i="19"/>
  <c r="F332" i="19"/>
  <c r="F331" i="19"/>
  <c r="F330" i="19"/>
  <c r="F329" i="19"/>
  <c r="F328" i="19"/>
  <c r="F327" i="19"/>
  <c r="F326" i="19"/>
  <c r="F325" i="19"/>
  <c r="F324" i="19"/>
  <c r="F323" i="19"/>
  <c r="F322" i="19"/>
  <c r="F321" i="19"/>
  <c r="F320" i="19"/>
  <c r="F319" i="19"/>
  <c r="F318" i="19"/>
  <c r="F317" i="19"/>
  <c r="F316" i="19"/>
  <c r="F315" i="19"/>
  <c r="F314" i="19"/>
  <c r="F313" i="19"/>
  <c r="F312" i="19"/>
  <c r="F311" i="19"/>
  <c r="F310" i="19"/>
  <c r="F309" i="19"/>
  <c r="F308" i="19"/>
  <c r="F307" i="19"/>
  <c r="F306" i="19"/>
  <c r="F305" i="19"/>
  <c r="F304" i="19"/>
  <c r="F303" i="19"/>
  <c r="F302" i="19"/>
  <c r="F301" i="19"/>
  <c r="F300" i="19"/>
  <c r="F299" i="19"/>
  <c r="F298" i="19"/>
  <c r="F297" i="19"/>
  <c r="F296" i="19"/>
  <c r="F295" i="19"/>
  <c r="F294" i="19"/>
  <c r="F293" i="19"/>
  <c r="F292" i="19"/>
  <c r="F291" i="19"/>
  <c r="F290" i="19"/>
  <c r="F289" i="19"/>
  <c r="F288" i="19"/>
  <c r="F287" i="19"/>
  <c r="F286" i="19"/>
  <c r="F285" i="19"/>
  <c r="F284" i="19"/>
  <c r="F283" i="19"/>
  <c r="F282" i="19"/>
  <c r="F281" i="19"/>
  <c r="F280" i="19"/>
  <c r="F279" i="19"/>
  <c r="F278" i="19"/>
  <c r="F277" i="19"/>
  <c r="F276" i="19"/>
  <c r="F275" i="19"/>
  <c r="F274" i="19"/>
  <c r="F273" i="19"/>
  <c r="F272" i="19"/>
  <c r="F271" i="19"/>
  <c r="F270" i="19"/>
  <c r="F269" i="19"/>
  <c r="F268" i="19"/>
  <c r="F267" i="19"/>
  <c r="F266" i="19"/>
  <c r="F265" i="19"/>
  <c r="F264" i="19"/>
  <c r="F263" i="19"/>
  <c r="F262" i="19"/>
  <c r="F261" i="19"/>
  <c r="F260" i="19"/>
  <c r="F259" i="19"/>
  <c r="F258" i="19"/>
  <c r="F257" i="19"/>
  <c r="F256" i="19"/>
  <c r="F255" i="19"/>
  <c r="F254" i="19"/>
  <c r="F253" i="19"/>
  <c r="F252" i="19"/>
  <c r="F251" i="19"/>
  <c r="F250" i="19"/>
  <c r="F249" i="19"/>
  <c r="F248" i="19"/>
  <c r="F247" i="19"/>
  <c r="F246" i="19"/>
  <c r="F245" i="19"/>
  <c r="F244" i="19"/>
  <c r="F243" i="19"/>
  <c r="F242" i="19"/>
  <c r="F241" i="19"/>
  <c r="F240" i="19"/>
  <c r="F239" i="19"/>
  <c r="F238" i="19"/>
  <c r="F237" i="19"/>
  <c r="F236" i="19"/>
  <c r="F235" i="19"/>
  <c r="F234" i="19"/>
  <c r="F233" i="19"/>
  <c r="F232" i="19"/>
  <c r="F231" i="19"/>
  <c r="F230" i="19"/>
  <c r="F229" i="19"/>
  <c r="F228" i="19"/>
  <c r="F227" i="19"/>
  <c r="F226" i="19"/>
  <c r="F225" i="19"/>
  <c r="F224" i="19"/>
  <c r="F223" i="19"/>
  <c r="F222" i="19"/>
  <c r="F221" i="19"/>
  <c r="F220" i="19"/>
  <c r="F219" i="19"/>
  <c r="F218" i="19"/>
  <c r="F217" i="19"/>
  <c r="F216" i="19"/>
  <c r="F215" i="19"/>
  <c r="F214" i="19"/>
  <c r="F213" i="19"/>
  <c r="F212" i="19"/>
  <c r="F211" i="19"/>
  <c r="F210" i="19"/>
  <c r="F209" i="19"/>
  <c r="F208" i="19"/>
  <c r="F207" i="19"/>
  <c r="F206" i="19"/>
  <c r="F205" i="19"/>
  <c r="F204" i="19"/>
  <c r="F203" i="19"/>
  <c r="F202" i="19"/>
  <c r="F201" i="19"/>
  <c r="F200" i="19"/>
  <c r="F199" i="19"/>
  <c r="F198" i="19"/>
  <c r="F197" i="19"/>
  <c r="F196" i="19"/>
  <c r="F195" i="19"/>
  <c r="F194" i="19"/>
  <c r="F193" i="19"/>
  <c r="F192" i="19"/>
  <c r="F191" i="19"/>
  <c r="F190" i="19"/>
  <c r="F189" i="19"/>
  <c r="F188" i="19"/>
  <c r="F187" i="19"/>
  <c r="F186" i="19"/>
  <c r="F185" i="19"/>
  <c r="F184" i="19"/>
  <c r="F183" i="19"/>
  <c r="F182" i="19"/>
  <c r="F181" i="19"/>
  <c r="F180" i="19"/>
  <c r="F179" i="19"/>
  <c r="F178" i="19"/>
  <c r="F177" i="19"/>
  <c r="F176" i="19"/>
  <c r="F175" i="19"/>
  <c r="F174" i="19"/>
  <c r="F173" i="19"/>
  <c r="F172" i="19"/>
  <c r="F171" i="19"/>
  <c r="F170" i="19"/>
  <c r="F169" i="19"/>
  <c r="F168" i="19"/>
  <c r="F167" i="19"/>
  <c r="F166" i="19"/>
  <c r="F165" i="19"/>
  <c r="F164" i="19"/>
  <c r="F163" i="19"/>
  <c r="F162" i="19"/>
  <c r="F161" i="19"/>
  <c r="F160" i="19"/>
  <c r="F159" i="19"/>
  <c r="F158" i="19"/>
  <c r="F157" i="19"/>
  <c r="F156" i="19"/>
  <c r="F155" i="19"/>
  <c r="F154" i="19"/>
  <c r="F153" i="19"/>
  <c r="F152" i="19"/>
  <c r="F151" i="19"/>
  <c r="F150" i="19"/>
  <c r="F149" i="19"/>
  <c r="F148" i="19"/>
  <c r="F147" i="19"/>
  <c r="F146" i="19"/>
  <c r="F145" i="19"/>
  <c r="F144" i="19"/>
  <c r="F143" i="19"/>
  <c r="F142" i="19"/>
  <c r="F141" i="19"/>
  <c r="F140" i="19"/>
  <c r="F139" i="19"/>
  <c r="F138" i="19"/>
  <c r="F137" i="19"/>
  <c r="F136" i="19"/>
  <c r="F135" i="19"/>
  <c r="F134" i="19"/>
  <c r="F133" i="19"/>
  <c r="F132" i="19"/>
  <c r="F131" i="19"/>
  <c r="F130" i="19"/>
  <c r="F129" i="19"/>
  <c r="F128" i="19"/>
  <c r="F127" i="19"/>
  <c r="F126" i="19"/>
  <c r="F125" i="19"/>
  <c r="F124" i="19"/>
  <c r="F123" i="19"/>
  <c r="F122" i="19"/>
  <c r="F121" i="19"/>
  <c r="F120" i="19"/>
  <c r="F119" i="19"/>
  <c r="F118" i="19"/>
  <c r="F117" i="19"/>
  <c r="F116" i="19"/>
  <c r="F115" i="19"/>
  <c r="F114" i="19"/>
  <c r="F113" i="19"/>
  <c r="F112" i="19"/>
  <c r="F111" i="19"/>
  <c r="F110" i="19"/>
  <c r="F109" i="19"/>
  <c r="F108" i="19"/>
  <c r="F107" i="19"/>
  <c r="F106" i="19"/>
  <c r="F105" i="19"/>
  <c r="F104" i="19"/>
  <c r="F103" i="19"/>
  <c r="F102" i="19"/>
  <c r="F101" i="19"/>
  <c r="F100" i="19"/>
  <c r="F99" i="19"/>
  <c r="F98" i="19"/>
  <c r="F97" i="19"/>
  <c r="F96" i="19"/>
  <c r="F95" i="19"/>
  <c r="F94" i="19"/>
  <c r="F93" i="19"/>
  <c r="F92" i="19"/>
  <c r="F91" i="19"/>
  <c r="F90" i="19"/>
  <c r="F89" i="19"/>
  <c r="F88" i="19"/>
  <c r="F87" i="19"/>
  <c r="F86" i="19"/>
  <c r="F85" i="19"/>
  <c r="F84" i="19"/>
  <c r="F83" i="19"/>
  <c r="F82" i="19"/>
  <c r="F81" i="19"/>
  <c r="F80" i="19"/>
  <c r="F79" i="19"/>
  <c r="F78" i="19"/>
  <c r="F77" i="19"/>
  <c r="F76" i="19"/>
  <c r="F75" i="19"/>
  <c r="F74" i="19"/>
  <c r="F73" i="19"/>
  <c r="F72" i="19"/>
  <c r="F71" i="19"/>
  <c r="F70" i="19"/>
  <c r="F69" i="19"/>
  <c r="F68" i="19"/>
  <c r="F67" i="19"/>
  <c r="F66" i="19"/>
  <c r="F65" i="19"/>
  <c r="F64" i="19"/>
  <c r="F63" i="19"/>
  <c r="F62" i="19"/>
  <c r="F61" i="19"/>
  <c r="F60" i="19"/>
  <c r="F59" i="19"/>
  <c r="F58" i="19"/>
  <c r="F57" i="19"/>
  <c r="F56" i="19"/>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C389" i="19"/>
  <c r="C390" i="19"/>
  <c r="C391" i="19"/>
  <c r="C392" i="19"/>
  <c r="C393" i="19"/>
  <c r="C394" i="19"/>
  <c r="C395" i="19"/>
  <c r="C396" i="19"/>
  <c r="C397" i="19"/>
  <c r="C398" i="19"/>
  <c r="C399" i="19"/>
  <c r="C400" i="19"/>
  <c r="C401" i="19"/>
  <c r="C402" i="19"/>
  <c r="C403" i="19"/>
  <c r="C404" i="19"/>
  <c r="C2" i="19"/>
  <c r="BG192" i="12"/>
  <c r="BH192" i="12" s="1"/>
  <c r="BG193" i="12"/>
  <c r="BH193" i="12" s="1"/>
  <c r="BG194" i="12"/>
  <c r="BH194" i="12" s="1"/>
  <c r="BG195" i="12"/>
  <c r="BH195" i="12" s="1"/>
  <c r="BG196" i="12"/>
  <c r="BH196" i="12" s="1"/>
  <c r="BG197" i="12"/>
  <c r="BH197" i="12" s="1"/>
  <c r="BG198" i="12"/>
  <c r="BH198" i="12" s="1"/>
  <c r="BG199" i="12"/>
  <c r="BH199" i="12" s="1"/>
  <c r="BG200" i="12"/>
  <c r="BH200" i="12" s="1"/>
  <c r="BG201" i="12"/>
  <c r="BH201" i="12" s="1"/>
  <c r="BG202" i="12"/>
  <c r="BH202" i="12" s="1"/>
  <c r="BG203" i="12"/>
  <c r="BH203" i="12" s="1"/>
  <c r="BG204" i="12"/>
  <c r="BH204" i="12" s="1"/>
  <c r="BG205" i="12"/>
  <c r="BH205" i="12" s="1"/>
  <c r="BG206" i="12"/>
  <c r="BH206" i="12" s="1"/>
  <c r="BG207" i="12"/>
  <c r="BH207" i="12" s="1"/>
  <c r="BG208" i="12"/>
  <c r="BH208" i="12" s="1"/>
  <c r="BG209" i="12"/>
  <c r="BH209" i="12" s="1"/>
  <c r="BG210" i="12"/>
  <c r="BH210" i="12" s="1"/>
  <c r="BG211" i="12"/>
  <c r="BH211" i="12" s="1"/>
  <c r="BG212" i="12"/>
  <c r="BH212" i="12" s="1"/>
  <c r="BG213" i="12"/>
  <c r="BH213" i="12" s="1"/>
  <c r="BG214" i="12"/>
  <c r="BH214" i="12" s="1"/>
  <c r="BG215" i="12"/>
  <c r="BH215" i="12" s="1"/>
  <c r="BG216" i="12"/>
  <c r="BH216" i="12" s="1"/>
  <c r="BG217" i="12"/>
  <c r="BH217" i="12" s="1"/>
  <c r="BG218" i="12"/>
  <c r="BH218" i="12" s="1"/>
  <c r="BG219" i="12"/>
  <c r="BH219" i="12" s="1"/>
  <c r="BG220" i="12"/>
  <c r="BH220" i="12" s="1"/>
  <c r="BG221" i="12"/>
  <c r="BH221" i="12" s="1"/>
  <c r="BG222" i="12"/>
  <c r="BH222" i="12" s="1"/>
  <c r="BG223" i="12"/>
  <c r="BH223" i="12" s="1"/>
  <c r="BG224" i="12"/>
  <c r="BH224" i="12" s="1"/>
  <c r="BG225" i="12"/>
  <c r="BH225" i="12" s="1"/>
  <c r="BG226" i="12"/>
  <c r="BH226" i="12" s="1"/>
  <c r="BG227" i="12"/>
  <c r="BH227" i="12" s="1"/>
  <c r="BG228" i="12"/>
  <c r="BH228" i="12" s="1"/>
  <c r="BG229" i="12"/>
  <c r="BH229" i="12" s="1"/>
  <c r="BG230" i="12"/>
  <c r="BH230" i="12" s="1"/>
  <c r="BG231" i="12"/>
  <c r="BH231" i="12" s="1"/>
  <c r="BG232" i="12"/>
  <c r="BH232" i="12" s="1"/>
  <c r="BG233" i="12"/>
  <c r="BH233" i="12" s="1"/>
  <c r="BG234" i="12"/>
  <c r="BH234" i="12" s="1"/>
  <c r="BG235" i="12"/>
  <c r="BH235" i="12" s="1"/>
  <c r="BG236" i="12"/>
  <c r="BH236" i="12" s="1"/>
  <c r="BG237" i="12"/>
  <c r="BH237" i="12" s="1"/>
  <c r="BG238" i="12"/>
  <c r="BH238" i="12" s="1"/>
  <c r="BG239" i="12"/>
  <c r="BH239" i="12" s="1"/>
  <c r="BG240" i="12"/>
  <c r="BH240" i="12" s="1"/>
  <c r="BG241" i="12"/>
  <c r="BH241" i="12" s="1"/>
  <c r="BG242" i="12"/>
  <c r="BH242" i="12" s="1"/>
  <c r="BG243" i="12"/>
  <c r="BH243" i="12" s="1"/>
  <c r="BG244" i="12"/>
  <c r="BH244" i="12" s="1"/>
  <c r="BG245" i="12"/>
  <c r="BH245" i="12" s="1"/>
  <c r="BG246" i="12"/>
  <c r="BH246" i="12" s="1"/>
  <c r="BG247" i="12"/>
  <c r="BH247" i="12" s="1"/>
  <c r="BG248" i="12"/>
  <c r="BH248" i="12" s="1"/>
  <c r="BG249" i="12"/>
  <c r="BH249" i="12" s="1"/>
  <c r="BG250" i="12"/>
  <c r="BH250" i="12" s="1"/>
  <c r="BG251" i="12"/>
  <c r="BH251" i="12" s="1"/>
  <c r="BG252" i="12"/>
  <c r="BH252" i="12" s="1"/>
  <c r="BG253" i="12"/>
  <c r="BH253" i="12" s="1"/>
  <c r="BG254" i="12"/>
  <c r="BH254" i="12" s="1"/>
  <c r="BG255" i="12"/>
  <c r="BH255" i="12" s="1"/>
  <c r="BG256" i="12"/>
  <c r="BH256" i="12" s="1"/>
  <c r="BG257" i="12"/>
  <c r="BH257" i="12" s="1"/>
  <c r="BG258" i="12"/>
  <c r="BH258" i="12" s="1"/>
  <c r="BG259" i="12"/>
  <c r="BH259" i="12" s="1"/>
  <c r="BG260" i="12"/>
  <c r="BH260" i="12" s="1"/>
  <c r="BG261" i="12"/>
  <c r="BH261" i="12" s="1"/>
  <c r="BG262" i="12"/>
  <c r="BH262" i="12" s="1"/>
  <c r="BG263" i="12"/>
  <c r="BH263" i="12" s="1"/>
  <c r="BG264" i="12"/>
  <c r="BH264" i="12" s="1"/>
  <c r="BG265" i="12"/>
  <c r="BH265" i="12" s="1"/>
  <c r="BG266" i="12"/>
  <c r="BH266" i="12" s="1"/>
  <c r="BG267" i="12"/>
  <c r="BH267" i="12" s="1"/>
  <c r="BG268" i="12"/>
  <c r="BH268" i="12" s="1"/>
  <c r="BG269" i="12"/>
  <c r="BH269" i="12" s="1"/>
  <c r="BG270" i="12"/>
  <c r="BH270" i="12" s="1"/>
  <c r="BG271" i="12"/>
  <c r="BH271" i="12" s="1"/>
  <c r="BG272" i="12"/>
  <c r="BH272" i="12" s="1"/>
  <c r="BG273" i="12"/>
  <c r="BH273" i="12" s="1"/>
  <c r="BG274" i="12"/>
  <c r="BH274" i="12" s="1"/>
  <c r="BG275" i="12"/>
  <c r="BH275" i="12" s="1"/>
  <c r="BG276" i="12"/>
  <c r="BH276" i="12" s="1"/>
  <c r="BG277" i="12"/>
  <c r="BH277" i="12" s="1"/>
  <c r="BG278" i="12"/>
  <c r="BH278" i="12" s="1"/>
  <c r="BG279" i="12"/>
  <c r="BH279" i="12" s="1"/>
  <c r="BG280" i="12"/>
  <c r="BH280" i="12" s="1"/>
  <c r="BG281" i="12"/>
  <c r="BH281" i="12" s="1"/>
  <c r="BG282" i="12"/>
  <c r="BH282" i="12" s="1"/>
  <c r="BG283" i="12"/>
  <c r="BH283" i="12" s="1"/>
  <c r="BG284" i="12"/>
  <c r="BH284" i="12" s="1"/>
  <c r="BG285" i="12"/>
  <c r="BH285" i="12" s="1"/>
  <c r="BG286" i="12"/>
  <c r="BH286" i="12" s="1"/>
  <c r="BG287" i="12"/>
  <c r="BH287" i="12" s="1"/>
  <c r="BG288" i="12"/>
  <c r="BH288" i="12" s="1"/>
  <c r="BG289" i="12"/>
  <c r="BH289" i="12" s="1"/>
  <c r="BG290" i="12"/>
  <c r="BH290" i="12" s="1"/>
  <c r="BG291" i="12"/>
  <c r="BH291" i="12" s="1"/>
  <c r="BG292" i="12"/>
  <c r="BH292" i="12" s="1"/>
  <c r="BG293" i="12"/>
  <c r="BH293" i="12" s="1"/>
  <c r="BG294" i="12"/>
  <c r="BH294" i="12" s="1"/>
  <c r="BG295" i="12"/>
  <c r="BH295" i="12" s="1"/>
  <c r="BG296" i="12"/>
  <c r="BH296" i="12" s="1"/>
  <c r="BG297" i="12"/>
  <c r="BH297" i="12" s="1"/>
  <c r="BG298" i="12"/>
  <c r="BH298" i="12" s="1"/>
  <c r="BG299" i="12"/>
  <c r="BH299" i="12" s="1"/>
  <c r="BG300" i="12"/>
  <c r="BH300" i="12" s="1"/>
  <c r="BG301" i="12"/>
  <c r="BH301" i="12" s="1"/>
  <c r="BG302" i="12"/>
  <c r="BH302" i="12" s="1"/>
  <c r="BG303" i="12"/>
  <c r="BH303" i="12" s="1"/>
  <c r="BG304" i="12"/>
  <c r="BH304" i="12" s="1"/>
  <c r="BG305" i="12"/>
  <c r="BH305" i="12" s="1"/>
  <c r="BG306" i="12"/>
  <c r="BH306" i="12" s="1"/>
  <c r="BG307" i="12"/>
  <c r="BH307" i="12" s="1"/>
  <c r="BG308" i="12"/>
  <c r="BH308" i="12" s="1"/>
  <c r="BG309" i="12"/>
  <c r="BH309" i="12" s="1"/>
  <c r="BG310" i="12"/>
  <c r="BH310" i="12" s="1"/>
  <c r="BG311" i="12"/>
  <c r="BH311" i="12" s="1"/>
  <c r="BG312" i="12"/>
  <c r="BH312" i="12" s="1"/>
  <c r="BG313" i="12"/>
  <c r="BH313" i="12" s="1"/>
  <c r="BG314" i="12"/>
  <c r="BH314" i="12" s="1"/>
  <c r="BG315" i="12"/>
  <c r="BH315" i="12" s="1"/>
  <c r="BG316" i="12"/>
  <c r="BH316" i="12" s="1"/>
  <c r="BG317" i="12"/>
  <c r="BH317" i="12" s="1"/>
  <c r="BG318" i="12"/>
  <c r="BH318" i="12" s="1"/>
  <c r="BG319" i="12"/>
  <c r="BH319" i="12" s="1"/>
  <c r="BG320" i="12"/>
  <c r="BH320" i="12" s="1"/>
  <c r="BG321" i="12"/>
  <c r="BH321" i="12" s="1"/>
  <c r="BG322" i="12"/>
  <c r="BH322" i="12" s="1"/>
  <c r="BG323" i="12"/>
  <c r="BH323" i="12" s="1"/>
  <c r="BG324" i="12"/>
  <c r="BH324" i="12" s="1"/>
  <c r="BG325" i="12"/>
  <c r="BH325" i="12" s="1"/>
  <c r="BG326" i="12"/>
  <c r="BH326" i="12" s="1"/>
  <c r="BG327" i="12"/>
  <c r="BH327" i="12" s="1"/>
  <c r="BG328" i="12"/>
  <c r="BH328" i="12" s="1"/>
  <c r="BG329" i="12"/>
  <c r="BH329" i="12" s="1"/>
  <c r="BG330" i="12"/>
  <c r="BH330" i="12" s="1"/>
  <c r="BG331" i="12"/>
  <c r="BH331" i="12" s="1"/>
  <c r="BG332" i="12"/>
  <c r="BH332" i="12" s="1"/>
  <c r="BG333" i="12"/>
  <c r="BH333" i="12" s="1"/>
  <c r="BG334" i="12"/>
  <c r="BH334" i="12" s="1"/>
  <c r="BG335" i="12"/>
  <c r="BH335" i="12" s="1"/>
  <c r="BG336" i="12"/>
  <c r="BH336" i="12" s="1"/>
  <c r="BG337" i="12"/>
  <c r="BH337" i="12" s="1"/>
  <c r="BG338" i="12"/>
  <c r="BH338" i="12" s="1"/>
  <c r="BG339" i="12"/>
  <c r="BH339" i="12" s="1"/>
  <c r="BG340" i="12"/>
  <c r="BH340" i="12" s="1"/>
  <c r="BG341" i="12"/>
  <c r="BH341" i="12" s="1"/>
  <c r="BG342" i="12"/>
  <c r="BH342" i="12" s="1"/>
  <c r="BG343" i="12"/>
  <c r="BH343" i="12" s="1"/>
  <c r="BG344" i="12"/>
  <c r="BH344" i="12" s="1"/>
  <c r="BG345" i="12"/>
  <c r="BH345" i="12" s="1"/>
  <c r="BG346" i="12"/>
  <c r="BH346" i="12" s="1"/>
  <c r="BG347" i="12"/>
  <c r="BH347" i="12" s="1"/>
  <c r="BG348" i="12"/>
  <c r="BH348" i="12" s="1"/>
  <c r="BG349" i="12"/>
  <c r="BH349" i="12" s="1"/>
  <c r="BG350" i="12"/>
  <c r="BH350" i="12" s="1"/>
  <c r="BG351" i="12"/>
  <c r="BH351" i="12" s="1"/>
  <c r="BG352" i="12"/>
  <c r="BH352" i="12" s="1"/>
  <c r="BG353" i="12"/>
  <c r="BH353" i="12" s="1"/>
  <c r="BG354" i="12"/>
  <c r="BH354" i="12" s="1"/>
  <c r="BG355" i="12"/>
  <c r="BH355" i="12" s="1"/>
  <c r="BG356" i="12"/>
  <c r="BH356" i="12" s="1"/>
  <c r="BG357" i="12"/>
  <c r="BH357" i="12" s="1"/>
  <c r="BG358" i="12"/>
  <c r="BH358" i="12" s="1"/>
  <c r="BG359" i="12"/>
  <c r="BH359" i="12" s="1"/>
  <c r="BG360" i="12"/>
  <c r="BH360" i="12" s="1"/>
  <c r="BG361" i="12"/>
  <c r="BH361" i="12" s="1"/>
  <c r="BG362" i="12"/>
  <c r="BH362" i="12" s="1"/>
  <c r="BG363" i="12"/>
  <c r="BH363" i="12" s="1"/>
  <c r="BG364" i="12"/>
  <c r="BH364" i="12" s="1"/>
  <c r="BG365" i="12"/>
  <c r="BH365" i="12" s="1"/>
  <c r="BG366" i="12"/>
  <c r="BH366" i="12" s="1"/>
  <c r="BG367" i="12"/>
  <c r="BH367" i="12" s="1"/>
  <c r="BG368" i="12"/>
  <c r="BH368" i="12" s="1"/>
  <c r="BG369" i="12"/>
  <c r="BH369" i="12" s="1"/>
  <c r="BG370" i="12"/>
  <c r="BH370" i="12" s="1"/>
  <c r="BG371" i="12"/>
  <c r="BH371" i="12" s="1"/>
  <c r="BG372" i="12"/>
  <c r="BH372" i="12" s="1"/>
  <c r="BG373" i="12"/>
  <c r="BH373" i="12" s="1"/>
  <c r="BG374" i="12"/>
  <c r="BH374" i="12" s="1"/>
  <c r="BG375" i="12"/>
  <c r="BH375" i="12" s="1"/>
  <c r="BG376" i="12"/>
  <c r="BH376" i="12" s="1"/>
  <c r="BG377" i="12"/>
  <c r="BH377" i="12" s="1"/>
  <c r="BG378" i="12"/>
  <c r="BH378" i="12" s="1"/>
  <c r="BG379" i="12"/>
  <c r="BH379" i="12" s="1"/>
  <c r="BG380" i="12"/>
  <c r="BH380" i="12" s="1"/>
  <c r="BG381" i="12"/>
  <c r="BH381" i="12" s="1"/>
  <c r="BG382" i="12"/>
  <c r="BH382" i="12" s="1"/>
  <c r="BG383" i="12"/>
  <c r="BH383" i="12" s="1"/>
  <c r="BG384" i="12"/>
  <c r="BH384" i="12" s="1"/>
  <c r="BG385" i="12"/>
  <c r="BH385" i="12" s="1"/>
  <c r="BG386" i="12"/>
  <c r="BH386" i="12" s="1"/>
  <c r="BG387" i="12"/>
  <c r="BH387" i="12" s="1"/>
  <c r="BG388" i="12"/>
  <c r="BH388" i="12" s="1"/>
  <c r="BG389" i="12"/>
  <c r="BH389" i="12" s="1"/>
  <c r="BG390" i="12"/>
  <c r="BH390" i="12" s="1"/>
  <c r="BG391" i="12"/>
  <c r="BH391" i="12" s="1"/>
  <c r="BG392" i="12"/>
  <c r="BH392" i="12" s="1"/>
  <c r="BG393" i="12"/>
  <c r="BH393" i="12" s="1"/>
  <c r="BG394" i="12"/>
  <c r="BH394" i="12" s="1"/>
  <c r="BG395" i="12"/>
  <c r="BH395" i="12" s="1"/>
  <c r="BG396" i="12"/>
  <c r="BH396" i="12" s="1"/>
  <c r="BG397" i="12"/>
  <c r="BH397" i="12" s="1"/>
  <c r="BG398" i="12"/>
  <c r="BH398" i="12" s="1"/>
  <c r="BG399" i="12"/>
  <c r="BH399" i="12" s="1"/>
  <c r="BG400" i="12"/>
  <c r="BH400" i="12" s="1"/>
  <c r="BG401" i="12"/>
  <c r="BH401" i="12" s="1"/>
  <c r="BG402" i="12"/>
  <c r="BH402" i="12" s="1"/>
  <c r="BG403" i="12"/>
  <c r="BH403" i="12" s="1"/>
  <c r="BG404" i="12"/>
  <c r="BH404" i="12" s="1"/>
  <c r="BE192" i="12"/>
  <c r="BF192" i="12" s="1"/>
  <c r="BE193" i="12"/>
  <c r="BE194" i="12"/>
  <c r="BF194" i="12" s="1"/>
  <c r="BE195" i="12"/>
  <c r="BF195" i="12" s="1"/>
  <c r="BE196" i="12"/>
  <c r="BE197" i="12"/>
  <c r="BF197" i="12" s="1"/>
  <c r="BE198" i="12"/>
  <c r="BF198" i="12" s="1"/>
  <c r="BE199" i="12"/>
  <c r="BF199" i="12" s="1"/>
  <c r="BE200" i="12"/>
  <c r="BF200" i="12" s="1"/>
  <c r="BE201" i="12"/>
  <c r="BE202" i="12"/>
  <c r="BF202" i="12" s="1"/>
  <c r="BE203" i="12"/>
  <c r="BF203" i="12" s="1"/>
  <c r="BE204" i="12"/>
  <c r="BE205" i="12"/>
  <c r="BF205" i="12" s="1"/>
  <c r="BE206" i="12"/>
  <c r="BF206" i="12" s="1"/>
  <c r="BE207" i="12"/>
  <c r="BF207" i="12" s="1"/>
  <c r="BE208" i="12"/>
  <c r="BF208" i="12" s="1"/>
  <c r="BE209" i="12"/>
  <c r="BE210" i="12"/>
  <c r="BF210" i="12" s="1"/>
  <c r="BE211" i="12"/>
  <c r="BF211" i="12" s="1"/>
  <c r="BE212" i="12"/>
  <c r="BE213" i="12"/>
  <c r="BF213" i="12" s="1"/>
  <c r="BE214" i="12"/>
  <c r="BF214" i="12" s="1"/>
  <c r="BE215" i="12"/>
  <c r="BF215" i="12" s="1"/>
  <c r="BE216" i="12"/>
  <c r="BF216" i="12" s="1"/>
  <c r="BE217" i="12"/>
  <c r="BE218" i="12"/>
  <c r="BF218" i="12" s="1"/>
  <c r="BE219" i="12"/>
  <c r="BF219" i="12" s="1"/>
  <c r="BE220" i="12"/>
  <c r="BE221" i="12"/>
  <c r="BF221" i="12" s="1"/>
  <c r="BE222" i="12"/>
  <c r="BF222" i="12" s="1"/>
  <c r="BE223" i="12"/>
  <c r="BF223" i="12" s="1"/>
  <c r="BE224" i="12"/>
  <c r="BF224" i="12" s="1"/>
  <c r="BE225" i="12"/>
  <c r="BE226" i="12"/>
  <c r="BF226" i="12" s="1"/>
  <c r="BE227" i="12"/>
  <c r="BF227" i="12" s="1"/>
  <c r="BE228" i="12"/>
  <c r="BE229" i="12"/>
  <c r="BF229" i="12" s="1"/>
  <c r="BE230" i="12"/>
  <c r="BF230" i="12" s="1"/>
  <c r="BE231" i="12"/>
  <c r="BF231" i="12" s="1"/>
  <c r="BE232" i="12"/>
  <c r="BF232" i="12" s="1"/>
  <c r="BE233" i="12"/>
  <c r="BE234" i="12"/>
  <c r="BF234" i="12" s="1"/>
  <c r="BE235" i="12"/>
  <c r="BF235" i="12" s="1"/>
  <c r="BE236" i="12"/>
  <c r="BE237" i="12"/>
  <c r="BF237" i="12" s="1"/>
  <c r="BE238" i="12"/>
  <c r="BF238" i="12" s="1"/>
  <c r="BE239" i="12"/>
  <c r="BF239" i="12" s="1"/>
  <c r="BE240" i="12"/>
  <c r="BF240" i="12" s="1"/>
  <c r="BE241" i="12"/>
  <c r="BE242" i="12"/>
  <c r="BF242" i="12" s="1"/>
  <c r="BE243" i="12"/>
  <c r="BF243" i="12" s="1"/>
  <c r="BE244" i="12"/>
  <c r="BE245" i="12"/>
  <c r="BF245" i="12" s="1"/>
  <c r="BE246" i="12"/>
  <c r="BF246" i="12" s="1"/>
  <c r="BE247" i="12"/>
  <c r="BF247" i="12" s="1"/>
  <c r="BE248" i="12"/>
  <c r="BF248" i="12" s="1"/>
  <c r="BE249" i="12"/>
  <c r="BE250" i="12"/>
  <c r="BF250" i="12" s="1"/>
  <c r="BE251" i="12"/>
  <c r="BF251" i="12" s="1"/>
  <c r="BE252" i="12"/>
  <c r="BE253" i="12"/>
  <c r="BF253" i="12" s="1"/>
  <c r="BE254" i="12"/>
  <c r="BF254" i="12" s="1"/>
  <c r="BE255" i="12"/>
  <c r="BF255" i="12" s="1"/>
  <c r="BE256" i="12"/>
  <c r="BF256" i="12" s="1"/>
  <c r="BE257" i="12"/>
  <c r="BE258" i="12"/>
  <c r="BF258" i="12" s="1"/>
  <c r="BE259" i="12"/>
  <c r="BF259" i="12" s="1"/>
  <c r="BE260" i="12"/>
  <c r="BE261" i="12"/>
  <c r="BF261" i="12" s="1"/>
  <c r="BE262" i="12"/>
  <c r="BF262" i="12" s="1"/>
  <c r="BE263" i="12"/>
  <c r="BF263" i="12" s="1"/>
  <c r="BE264" i="12"/>
  <c r="BF264" i="12" s="1"/>
  <c r="BE265" i="12"/>
  <c r="BE266" i="12"/>
  <c r="BF266" i="12" s="1"/>
  <c r="BE267" i="12"/>
  <c r="BF267" i="12" s="1"/>
  <c r="BE268" i="12"/>
  <c r="BE269" i="12"/>
  <c r="BF269" i="12" s="1"/>
  <c r="BE270" i="12"/>
  <c r="BF270" i="12" s="1"/>
  <c r="BE271" i="12"/>
  <c r="BF271" i="12" s="1"/>
  <c r="BE272" i="12"/>
  <c r="BF272" i="12" s="1"/>
  <c r="BE273" i="12"/>
  <c r="BE274" i="12"/>
  <c r="BF274" i="12" s="1"/>
  <c r="BE275" i="12"/>
  <c r="BF275" i="12" s="1"/>
  <c r="BE276" i="12"/>
  <c r="BE277" i="12"/>
  <c r="BF277" i="12" s="1"/>
  <c r="BE278" i="12"/>
  <c r="BF278" i="12" s="1"/>
  <c r="BE279" i="12"/>
  <c r="BF279" i="12" s="1"/>
  <c r="BE280" i="12"/>
  <c r="BF280" i="12" s="1"/>
  <c r="BE281" i="12"/>
  <c r="BE282" i="12"/>
  <c r="BF282" i="12" s="1"/>
  <c r="BE283" i="12"/>
  <c r="BF283" i="12" s="1"/>
  <c r="BE284" i="12"/>
  <c r="BE285" i="12"/>
  <c r="BF285" i="12" s="1"/>
  <c r="BE286" i="12"/>
  <c r="BF286" i="12" s="1"/>
  <c r="BE287" i="12"/>
  <c r="BF287" i="12" s="1"/>
  <c r="BE288" i="12"/>
  <c r="BF288" i="12" s="1"/>
  <c r="BE289" i="12"/>
  <c r="BE290" i="12"/>
  <c r="BF290" i="12" s="1"/>
  <c r="BE291" i="12"/>
  <c r="BF291" i="12" s="1"/>
  <c r="BE292" i="12"/>
  <c r="BE293" i="12"/>
  <c r="BF293" i="12" s="1"/>
  <c r="BE294" i="12"/>
  <c r="BF294" i="12" s="1"/>
  <c r="BE295" i="12"/>
  <c r="BF295" i="12" s="1"/>
  <c r="BE296" i="12"/>
  <c r="BF296" i="12" s="1"/>
  <c r="BE297" i="12"/>
  <c r="BE298" i="12"/>
  <c r="BF298" i="12" s="1"/>
  <c r="BE299" i="12"/>
  <c r="BF299" i="12" s="1"/>
  <c r="BE300" i="12"/>
  <c r="BE301" i="12"/>
  <c r="BF301" i="12" s="1"/>
  <c r="BE302" i="12"/>
  <c r="BF302" i="12" s="1"/>
  <c r="BE303" i="12"/>
  <c r="BF303" i="12" s="1"/>
  <c r="BE304" i="12"/>
  <c r="BF304" i="12" s="1"/>
  <c r="BE305" i="12"/>
  <c r="BE306" i="12"/>
  <c r="BF306" i="12" s="1"/>
  <c r="BE307" i="12"/>
  <c r="BF307" i="12" s="1"/>
  <c r="BE308" i="12"/>
  <c r="BE309" i="12"/>
  <c r="BF309" i="12" s="1"/>
  <c r="BE310" i="12"/>
  <c r="BF310" i="12" s="1"/>
  <c r="BE311" i="12"/>
  <c r="BF311" i="12" s="1"/>
  <c r="BE312" i="12"/>
  <c r="BF312" i="12" s="1"/>
  <c r="BE313" i="12"/>
  <c r="BE314" i="12"/>
  <c r="BF314" i="12" s="1"/>
  <c r="BE315" i="12"/>
  <c r="BF315" i="12" s="1"/>
  <c r="BE316" i="12"/>
  <c r="BE317" i="12"/>
  <c r="BF317" i="12" s="1"/>
  <c r="BE318" i="12"/>
  <c r="BF318" i="12" s="1"/>
  <c r="BE319" i="12"/>
  <c r="BF319" i="12" s="1"/>
  <c r="BE320" i="12"/>
  <c r="BF320" i="12" s="1"/>
  <c r="BE321" i="12"/>
  <c r="BE322" i="12"/>
  <c r="BF322" i="12" s="1"/>
  <c r="BE323" i="12"/>
  <c r="BF323" i="12" s="1"/>
  <c r="BE324" i="12"/>
  <c r="BE325" i="12"/>
  <c r="BF325" i="12" s="1"/>
  <c r="BE326" i="12"/>
  <c r="BF326" i="12" s="1"/>
  <c r="BE327" i="12"/>
  <c r="BF327" i="12" s="1"/>
  <c r="BE328" i="12"/>
  <c r="BF328" i="12" s="1"/>
  <c r="BE329" i="12"/>
  <c r="BE330" i="12"/>
  <c r="BF330" i="12" s="1"/>
  <c r="BE331" i="12"/>
  <c r="BF331" i="12" s="1"/>
  <c r="BE332" i="12"/>
  <c r="BE333" i="12"/>
  <c r="BF333" i="12" s="1"/>
  <c r="BE334" i="12"/>
  <c r="BF334" i="12" s="1"/>
  <c r="BE335" i="12"/>
  <c r="BF335" i="12" s="1"/>
  <c r="BE336" i="12"/>
  <c r="BF336" i="12" s="1"/>
  <c r="BE337" i="12"/>
  <c r="BE338" i="12"/>
  <c r="BF338" i="12" s="1"/>
  <c r="BE339" i="12"/>
  <c r="BF339" i="12" s="1"/>
  <c r="BE340" i="12"/>
  <c r="BE341" i="12"/>
  <c r="BF341" i="12" s="1"/>
  <c r="BE342" i="12"/>
  <c r="BF342" i="12" s="1"/>
  <c r="BE343" i="12"/>
  <c r="BF343" i="12" s="1"/>
  <c r="BE344" i="12"/>
  <c r="BF344" i="12" s="1"/>
  <c r="BE345" i="12"/>
  <c r="BE346" i="12"/>
  <c r="BF346" i="12" s="1"/>
  <c r="BE347" i="12"/>
  <c r="BF347" i="12" s="1"/>
  <c r="BE348" i="12"/>
  <c r="BE349" i="12"/>
  <c r="BF349" i="12" s="1"/>
  <c r="BE350" i="12"/>
  <c r="BF350" i="12" s="1"/>
  <c r="BE351" i="12"/>
  <c r="BF351" i="12" s="1"/>
  <c r="BE352" i="12"/>
  <c r="BF352" i="12" s="1"/>
  <c r="BE353" i="12"/>
  <c r="BE354" i="12"/>
  <c r="BF354" i="12" s="1"/>
  <c r="BE355" i="12"/>
  <c r="BF355" i="12" s="1"/>
  <c r="BE356" i="12"/>
  <c r="BE357" i="12"/>
  <c r="BF357" i="12" s="1"/>
  <c r="BE358" i="12"/>
  <c r="BF358" i="12" s="1"/>
  <c r="BE359" i="12"/>
  <c r="BF359" i="12" s="1"/>
  <c r="BE360" i="12"/>
  <c r="BF360" i="12" s="1"/>
  <c r="BE361" i="12"/>
  <c r="BE362" i="12"/>
  <c r="BF362" i="12" s="1"/>
  <c r="BE363" i="12"/>
  <c r="BF363" i="12" s="1"/>
  <c r="BE364" i="12"/>
  <c r="BE365" i="12"/>
  <c r="BF365" i="12" s="1"/>
  <c r="BE366" i="12"/>
  <c r="BF366" i="12" s="1"/>
  <c r="BE367" i="12"/>
  <c r="BF367" i="12" s="1"/>
  <c r="BE368" i="12"/>
  <c r="BF368" i="12" s="1"/>
  <c r="BE369" i="12"/>
  <c r="BE370" i="12"/>
  <c r="BF370" i="12" s="1"/>
  <c r="BE371" i="12"/>
  <c r="BF371" i="12" s="1"/>
  <c r="BE372" i="12"/>
  <c r="BE373" i="12"/>
  <c r="BF373" i="12" s="1"/>
  <c r="BE374" i="12"/>
  <c r="BF374" i="12" s="1"/>
  <c r="BE375" i="12"/>
  <c r="BF375" i="12" s="1"/>
  <c r="BE376" i="12"/>
  <c r="BF376" i="12" s="1"/>
  <c r="BE377" i="12"/>
  <c r="BE378" i="12"/>
  <c r="BF378" i="12" s="1"/>
  <c r="BE379" i="12"/>
  <c r="BF379" i="12" s="1"/>
  <c r="BE380" i="12"/>
  <c r="BE381" i="12"/>
  <c r="BF381" i="12" s="1"/>
  <c r="BE382" i="12"/>
  <c r="BF382" i="12" s="1"/>
  <c r="BE383" i="12"/>
  <c r="BF383" i="12" s="1"/>
  <c r="BE384" i="12"/>
  <c r="BF384" i="12" s="1"/>
  <c r="BE385" i="12"/>
  <c r="BE386" i="12"/>
  <c r="BF386" i="12" s="1"/>
  <c r="BE387" i="12"/>
  <c r="BF387" i="12" s="1"/>
  <c r="BE388" i="12"/>
  <c r="BE389" i="12"/>
  <c r="BF389" i="12" s="1"/>
  <c r="BE390" i="12"/>
  <c r="BF390" i="12" s="1"/>
  <c r="BE391" i="12"/>
  <c r="BF391" i="12" s="1"/>
  <c r="BE392" i="12"/>
  <c r="BF392" i="12" s="1"/>
  <c r="BE393" i="12"/>
  <c r="BE394" i="12"/>
  <c r="BF394" i="12" s="1"/>
  <c r="BE395" i="12"/>
  <c r="BF395" i="12" s="1"/>
  <c r="BE396" i="12"/>
  <c r="BE397" i="12"/>
  <c r="BF397" i="12" s="1"/>
  <c r="BE398" i="12"/>
  <c r="BF398" i="12" s="1"/>
  <c r="BE399" i="12"/>
  <c r="BF399" i="12" s="1"/>
  <c r="BE400" i="12"/>
  <c r="BF400" i="12" s="1"/>
  <c r="BE401" i="12"/>
  <c r="BE402" i="12"/>
  <c r="BF402" i="12" s="1"/>
  <c r="BE403" i="12"/>
  <c r="BF403" i="12" s="1"/>
  <c r="BE404" i="12"/>
  <c r="BE3" i="12"/>
  <c r="BE4" i="12"/>
  <c r="BE5" i="12"/>
  <c r="BE6" i="12"/>
  <c r="BE8" i="12"/>
  <c r="BE9" i="12"/>
  <c r="BE10" i="12"/>
  <c r="BE11" i="12"/>
  <c r="BE12" i="12"/>
  <c r="BE13" i="12"/>
  <c r="BE14" i="12"/>
  <c r="BE15" i="12"/>
  <c r="BE16" i="12"/>
  <c r="BE17" i="12"/>
  <c r="BE18" i="12"/>
  <c r="BE19" i="12"/>
  <c r="BE20" i="12"/>
  <c r="BE21" i="12"/>
  <c r="BE22" i="12"/>
  <c r="BE23" i="12"/>
  <c r="BE24" i="12"/>
  <c r="BE25" i="12"/>
  <c r="BE26" i="12"/>
  <c r="BE27" i="12"/>
  <c r="BE28" i="12"/>
  <c r="BE29" i="12"/>
  <c r="BE30" i="12"/>
  <c r="BE31" i="12"/>
  <c r="BE32" i="12"/>
  <c r="BE33" i="12"/>
  <c r="BE34" i="12"/>
  <c r="BE35" i="12"/>
  <c r="BE36" i="12"/>
  <c r="BE37" i="12"/>
  <c r="BE38" i="12"/>
  <c r="BE39" i="12"/>
  <c r="BE40" i="12"/>
  <c r="BE41" i="12"/>
  <c r="BE42" i="12"/>
  <c r="BE43" i="12"/>
  <c r="BE44" i="12"/>
  <c r="BE45" i="12"/>
  <c r="BE46" i="12"/>
  <c r="BE47" i="12"/>
  <c r="BE48" i="12"/>
  <c r="BE49" i="12"/>
  <c r="BE50" i="12"/>
  <c r="BE51" i="12"/>
  <c r="BE52" i="12"/>
  <c r="BE53" i="12"/>
  <c r="BE54" i="12"/>
  <c r="BE55" i="12"/>
  <c r="BE56" i="12"/>
  <c r="BE57" i="12"/>
  <c r="BE58" i="12"/>
  <c r="BE59" i="12"/>
  <c r="BE60" i="12"/>
  <c r="BE61" i="12"/>
  <c r="BE62" i="12"/>
  <c r="BE63" i="12"/>
  <c r="BE64" i="12"/>
  <c r="BE65" i="12"/>
  <c r="BE66" i="12"/>
  <c r="BE67" i="12"/>
  <c r="BE68" i="12"/>
  <c r="BE69" i="12"/>
  <c r="BE70" i="12"/>
  <c r="BE71" i="12"/>
  <c r="BE72" i="12"/>
  <c r="BE73" i="12"/>
  <c r="BE74" i="12"/>
  <c r="BE75" i="12"/>
  <c r="BE76" i="12"/>
  <c r="BE77" i="12"/>
  <c r="BE78" i="12"/>
  <c r="BE79" i="12"/>
  <c r="BE80" i="12"/>
  <c r="BE81" i="12"/>
  <c r="BE82" i="12"/>
  <c r="BE83" i="12"/>
  <c r="BE84" i="12"/>
  <c r="BE85" i="12"/>
  <c r="BE86" i="12"/>
  <c r="BE87" i="12"/>
  <c r="BE88" i="12"/>
  <c r="BE89" i="12"/>
  <c r="BE90" i="12"/>
  <c r="BE91" i="12"/>
  <c r="BE92" i="12"/>
  <c r="BE93" i="12"/>
  <c r="BE94" i="12"/>
  <c r="BE95" i="12"/>
  <c r="BE96" i="12"/>
  <c r="BE97" i="12"/>
  <c r="BE98" i="12"/>
  <c r="BE99" i="12"/>
  <c r="BE100" i="12"/>
  <c r="BE101" i="12"/>
  <c r="BE102" i="12"/>
  <c r="BE103" i="12"/>
  <c r="BE104" i="12"/>
  <c r="BE105" i="12"/>
  <c r="BE106" i="12"/>
  <c r="BE107" i="12"/>
  <c r="BE108" i="12"/>
  <c r="BE109" i="12"/>
  <c r="BE110" i="12"/>
  <c r="BE111" i="12"/>
  <c r="BE112" i="12"/>
  <c r="BE113" i="12"/>
  <c r="BE114" i="12"/>
  <c r="BE115" i="12"/>
  <c r="BE116" i="12"/>
  <c r="BE117" i="12"/>
  <c r="BE118" i="12"/>
  <c r="BE119" i="12"/>
  <c r="BE120" i="12"/>
  <c r="BE121" i="12"/>
  <c r="BE122" i="12"/>
  <c r="BE123" i="12"/>
  <c r="BE124" i="12"/>
  <c r="BE125" i="12"/>
  <c r="BE126" i="12"/>
  <c r="BE127" i="12"/>
  <c r="BE128" i="12"/>
  <c r="BE129" i="12"/>
  <c r="BE130" i="12"/>
  <c r="BE131" i="12"/>
  <c r="BE132" i="12"/>
  <c r="BE133" i="12"/>
  <c r="BE134" i="12"/>
  <c r="BE135" i="12"/>
  <c r="BE136" i="12"/>
  <c r="BE137" i="12"/>
  <c r="BE138" i="12"/>
  <c r="BE139" i="12"/>
  <c r="BE140" i="12"/>
  <c r="BE141" i="12"/>
  <c r="BE142" i="12"/>
  <c r="BE143" i="12"/>
  <c r="BE144" i="12"/>
  <c r="BE145" i="12"/>
  <c r="BE146" i="12"/>
  <c r="BE147" i="12"/>
  <c r="BE148" i="12"/>
  <c r="BE149" i="12"/>
  <c r="BE150" i="12"/>
  <c r="BE151" i="12"/>
  <c r="BE152" i="12"/>
  <c r="BE153" i="12"/>
  <c r="BE154" i="12"/>
  <c r="BE155" i="12"/>
  <c r="BE156" i="12"/>
  <c r="BE157" i="12"/>
  <c r="BE158" i="12"/>
  <c r="BE159" i="12"/>
  <c r="BE160" i="12"/>
  <c r="BE161" i="12"/>
  <c r="BE162" i="12"/>
  <c r="BE163" i="12"/>
  <c r="BE164" i="12"/>
  <c r="BE165" i="12"/>
  <c r="BE166" i="12"/>
  <c r="BE167" i="12"/>
  <c r="BE168" i="12"/>
  <c r="BE169" i="12"/>
  <c r="BE170" i="12"/>
  <c r="BE171" i="12"/>
  <c r="BE172" i="12"/>
  <c r="BE173" i="12"/>
  <c r="BE174" i="12"/>
  <c r="BE175" i="12"/>
  <c r="BE176" i="12"/>
  <c r="BE177" i="12"/>
  <c r="BE178" i="12"/>
  <c r="BE179" i="12"/>
  <c r="BE180" i="12"/>
  <c r="BE181" i="12"/>
  <c r="BE182" i="12"/>
  <c r="BE183" i="12"/>
  <c r="BE184" i="12"/>
  <c r="BE185" i="12"/>
  <c r="BE186" i="12"/>
  <c r="BE187" i="12"/>
  <c r="BE188" i="12"/>
  <c r="BE189" i="12"/>
  <c r="BE190" i="12"/>
  <c r="BE191" i="12"/>
  <c r="BE2" i="12"/>
  <c r="BC193" i="12"/>
  <c r="BC209" i="12"/>
  <c r="BC225" i="12"/>
  <c r="BC241" i="12"/>
  <c r="BC257" i="12"/>
  <c r="BC273" i="12"/>
  <c r="BC289" i="12"/>
  <c r="BC305" i="12"/>
  <c r="BC321" i="12"/>
  <c r="BC337" i="12"/>
  <c r="BC353" i="12"/>
  <c r="BC369" i="12"/>
  <c r="BC385" i="12"/>
  <c r="BC401" i="12"/>
  <c r="BB192" i="12"/>
  <c r="BC192" i="12" s="1"/>
  <c r="BB193" i="12"/>
  <c r="BB194" i="12"/>
  <c r="BC194" i="12" s="1"/>
  <c r="BB195" i="12"/>
  <c r="BC195" i="12" s="1"/>
  <c r="BB196" i="12"/>
  <c r="BC196" i="12" s="1"/>
  <c r="BB197" i="12"/>
  <c r="BC197" i="12" s="1"/>
  <c r="BB198" i="12"/>
  <c r="BC198" i="12" s="1"/>
  <c r="BB199" i="12"/>
  <c r="BC199" i="12" s="1"/>
  <c r="BB200" i="12"/>
  <c r="BC200" i="12" s="1"/>
  <c r="BB201" i="12"/>
  <c r="BC201" i="12" s="1"/>
  <c r="BB202" i="12"/>
  <c r="BC202" i="12" s="1"/>
  <c r="BB203" i="12"/>
  <c r="BC203" i="12" s="1"/>
  <c r="BB204" i="12"/>
  <c r="BC204" i="12" s="1"/>
  <c r="BB205" i="12"/>
  <c r="BC205" i="12" s="1"/>
  <c r="BB206" i="12"/>
  <c r="BC206" i="12" s="1"/>
  <c r="BB207" i="12"/>
  <c r="BC207" i="12" s="1"/>
  <c r="BB208" i="12"/>
  <c r="BC208" i="12" s="1"/>
  <c r="BB209" i="12"/>
  <c r="BB210" i="12"/>
  <c r="BC210" i="12" s="1"/>
  <c r="BB211" i="12"/>
  <c r="BC211" i="12" s="1"/>
  <c r="BB212" i="12"/>
  <c r="BC212" i="12" s="1"/>
  <c r="BB213" i="12"/>
  <c r="BC213" i="12" s="1"/>
  <c r="BB214" i="12"/>
  <c r="BC214" i="12" s="1"/>
  <c r="BB215" i="12"/>
  <c r="BC215" i="12" s="1"/>
  <c r="BB216" i="12"/>
  <c r="BC216" i="12" s="1"/>
  <c r="BB217" i="12"/>
  <c r="BC217" i="12" s="1"/>
  <c r="BB218" i="12"/>
  <c r="BC218" i="12" s="1"/>
  <c r="BB219" i="12"/>
  <c r="BC219" i="12" s="1"/>
  <c r="BB220" i="12"/>
  <c r="BC220" i="12" s="1"/>
  <c r="BB221" i="12"/>
  <c r="BC221" i="12" s="1"/>
  <c r="BB222" i="12"/>
  <c r="BC222" i="12" s="1"/>
  <c r="BB223" i="12"/>
  <c r="BC223" i="12" s="1"/>
  <c r="BB224" i="12"/>
  <c r="BC224" i="12" s="1"/>
  <c r="BB225" i="12"/>
  <c r="BB226" i="12"/>
  <c r="BC226" i="12" s="1"/>
  <c r="BB227" i="12"/>
  <c r="BC227" i="12" s="1"/>
  <c r="BB228" i="12"/>
  <c r="BC228" i="12" s="1"/>
  <c r="BB229" i="12"/>
  <c r="BC229" i="12" s="1"/>
  <c r="BB230" i="12"/>
  <c r="BC230" i="12" s="1"/>
  <c r="BB231" i="12"/>
  <c r="BC231" i="12" s="1"/>
  <c r="BB232" i="12"/>
  <c r="BC232" i="12" s="1"/>
  <c r="BB233" i="12"/>
  <c r="BC233" i="12" s="1"/>
  <c r="BB234" i="12"/>
  <c r="BC234" i="12" s="1"/>
  <c r="BB235" i="12"/>
  <c r="BC235" i="12" s="1"/>
  <c r="BB236" i="12"/>
  <c r="BC236" i="12" s="1"/>
  <c r="BB237" i="12"/>
  <c r="BC237" i="12" s="1"/>
  <c r="BB238" i="12"/>
  <c r="BC238" i="12" s="1"/>
  <c r="BB239" i="12"/>
  <c r="BC239" i="12" s="1"/>
  <c r="BB240" i="12"/>
  <c r="BC240" i="12" s="1"/>
  <c r="BB241" i="12"/>
  <c r="BB242" i="12"/>
  <c r="BC242" i="12" s="1"/>
  <c r="BB243" i="12"/>
  <c r="BC243" i="12" s="1"/>
  <c r="BB244" i="12"/>
  <c r="BC244" i="12" s="1"/>
  <c r="BB245" i="12"/>
  <c r="BC245" i="12" s="1"/>
  <c r="BB246" i="12"/>
  <c r="BC246" i="12" s="1"/>
  <c r="BB247" i="12"/>
  <c r="BC247" i="12" s="1"/>
  <c r="BB248" i="12"/>
  <c r="BC248" i="12" s="1"/>
  <c r="BB249" i="12"/>
  <c r="BC249" i="12" s="1"/>
  <c r="BB250" i="12"/>
  <c r="BC250" i="12" s="1"/>
  <c r="BB251" i="12"/>
  <c r="BC251" i="12" s="1"/>
  <c r="BB252" i="12"/>
  <c r="BC252" i="12" s="1"/>
  <c r="BB253" i="12"/>
  <c r="BC253" i="12" s="1"/>
  <c r="BB254" i="12"/>
  <c r="BC254" i="12" s="1"/>
  <c r="BB255" i="12"/>
  <c r="BC255" i="12" s="1"/>
  <c r="BB256" i="12"/>
  <c r="BC256" i="12" s="1"/>
  <c r="BB257" i="12"/>
  <c r="BB258" i="12"/>
  <c r="BC258" i="12" s="1"/>
  <c r="BB259" i="12"/>
  <c r="BC259" i="12" s="1"/>
  <c r="BB260" i="12"/>
  <c r="BC260" i="12" s="1"/>
  <c r="BB261" i="12"/>
  <c r="BC261" i="12" s="1"/>
  <c r="BB262" i="12"/>
  <c r="BC262" i="12" s="1"/>
  <c r="BB263" i="12"/>
  <c r="BC263" i="12" s="1"/>
  <c r="BB264" i="12"/>
  <c r="BC264" i="12" s="1"/>
  <c r="BB265" i="12"/>
  <c r="BC265" i="12" s="1"/>
  <c r="BB266" i="12"/>
  <c r="BC266" i="12" s="1"/>
  <c r="BB267" i="12"/>
  <c r="BC267" i="12" s="1"/>
  <c r="BB268" i="12"/>
  <c r="BC268" i="12" s="1"/>
  <c r="BB269" i="12"/>
  <c r="BC269" i="12" s="1"/>
  <c r="BB270" i="12"/>
  <c r="BC270" i="12" s="1"/>
  <c r="BB271" i="12"/>
  <c r="BC271" i="12" s="1"/>
  <c r="BB272" i="12"/>
  <c r="BC272" i="12" s="1"/>
  <c r="BB273" i="12"/>
  <c r="BB274" i="12"/>
  <c r="BC274" i="12" s="1"/>
  <c r="BB275" i="12"/>
  <c r="BC275" i="12" s="1"/>
  <c r="BB276" i="12"/>
  <c r="BC276" i="12" s="1"/>
  <c r="BB277" i="12"/>
  <c r="BC277" i="12" s="1"/>
  <c r="BB278" i="12"/>
  <c r="BC278" i="12" s="1"/>
  <c r="BB279" i="12"/>
  <c r="BC279" i="12" s="1"/>
  <c r="BB280" i="12"/>
  <c r="BC280" i="12" s="1"/>
  <c r="BB281" i="12"/>
  <c r="BC281" i="12" s="1"/>
  <c r="BB282" i="12"/>
  <c r="BC282" i="12" s="1"/>
  <c r="BB283" i="12"/>
  <c r="BC283" i="12" s="1"/>
  <c r="BB284" i="12"/>
  <c r="BC284" i="12" s="1"/>
  <c r="BB285" i="12"/>
  <c r="BC285" i="12" s="1"/>
  <c r="BB286" i="12"/>
  <c r="BC286" i="12" s="1"/>
  <c r="BB287" i="12"/>
  <c r="BC287" i="12" s="1"/>
  <c r="BB288" i="12"/>
  <c r="BC288" i="12" s="1"/>
  <c r="BB289" i="12"/>
  <c r="BB290" i="12"/>
  <c r="BC290" i="12" s="1"/>
  <c r="BB291" i="12"/>
  <c r="BC291" i="12" s="1"/>
  <c r="BB292" i="12"/>
  <c r="BC292" i="12" s="1"/>
  <c r="BB293" i="12"/>
  <c r="BC293" i="12" s="1"/>
  <c r="BB294" i="12"/>
  <c r="BC294" i="12" s="1"/>
  <c r="BB295" i="12"/>
  <c r="BC295" i="12" s="1"/>
  <c r="BB296" i="12"/>
  <c r="BC296" i="12" s="1"/>
  <c r="BB297" i="12"/>
  <c r="BC297" i="12" s="1"/>
  <c r="BB298" i="12"/>
  <c r="BC298" i="12" s="1"/>
  <c r="BB299" i="12"/>
  <c r="BC299" i="12" s="1"/>
  <c r="BB300" i="12"/>
  <c r="BC300" i="12" s="1"/>
  <c r="BB301" i="12"/>
  <c r="BC301" i="12" s="1"/>
  <c r="BB302" i="12"/>
  <c r="BC302" i="12" s="1"/>
  <c r="BB303" i="12"/>
  <c r="BC303" i="12" s="1"/>
  <c r="BB304" i="12"/>
  <c r="BC304" i="12" s="1"/>
  <c r="BB305" i="12"/>
  <c r="BB306" i="12"/>
  <c r="BC306" i="12" s="1"/>
  <c r="BB307" i="12"/>
  <c r="BC307" i="12" s="1"/>
  <c r="BB308" i="12"/>
  <c r="BC308" i="12" s="1"/>
  <c r="BB309" i="12"/>
  <c r="BC309" i="12" s="1"/>
  <c r="BB310" i="12"/>
  <c r="BC310" i="12" s="1"/>
  <c r="BB311" i="12"/>
  <c r="BC311" i="12" s="1"/>
  <c r="BB312" i="12"/>
  <c r="BC312" i="12" s="1"/>
  <c r="BB313" i="12"/>
  <c r="BC313" i="12" s="1"/>
  <c r="BB314" i="12"/>
  <c r="BC314" i="12" s="1"/>
  <c r="BB315" i="12"/>
  <c r="BC315" i="12" s="1"/>
  <c r="BB316" i="12"/>
  <c r="BC316" i="12" s="1"/>
  <c r="BB317" i="12"/>
  <c r="BC317" i="12" s="1"/>
  <c r="BB318" i="12"/>
  <c r="BC318" i="12" s="1"/>
  <c r="BB319" i="12"/>
  <c r="BC319" i="12" s="1"/>
  <c r="BB320" i="12"/>
  <c r="BC320" i="12" s="1"/>
  <c r="BB321" i="12"/>
  <c r="BB322" i="12"/>
  <c r="BC322" i="12" s="1"/>
  <c r="BB323" i="12"/>
  <c r="BC323" i="12" s="1"/>
  <c r="BB324" i="12"/>
  <c r="BC324" i="12" s="1"/>
  <c r="BB325" i="12"/>
  <c r="BC325" i="12" s="1"/>
  <c r="BB326" i="12"/>
  <c r="BC326" i="12" s="1"/>
  <c r="BB327" i="12"/>
  <c r="BC327" i="12" s="1"/>
  <c r="BB328" i="12"/>
  <c r="BC328" i="12" s="1"/>
  <c r="BB329" i="12"/>
  <c r="BC329" i="12" s="1"/>
  <c r="BB330" i="12"/>
  <c r="BC330" i="12" s="1"/>
  <c r="BB331" i="12"/>
  <c r="BC331" i="12" s="1"/>
  <c r="BB332" i="12"/>
  <c r="BC332" i="12" s="1"/>
  <c r="BB333" i="12"/>
  <c r="BC333" i="12" s="1"/>
  <c r="BB334" i="12"/>
  <c r="BC334" i="12" s="1"/>
  <c r="BB335" i="12"/>
  <c r="BC335" i="12" s="1"/>
  <c r="BB336" i="12"/>
  <c r="BC336" i="12" s="1"/>
  <c r="BB337" i="12"/>
  <c r="BB338" i="12"/>
  <c r="BC338" i="12" s="1"/>
  <c r="BB339" i="12"/>
  <c r="BC339" i="12" s="1"/>
  <c r="BB340" i="12"/>
  <c r="BC340" i="12" s="1"/>
  <c r="BB341" i="12"/>
  <c r="BC341" i="12" s="1"/>
  <c r="BB342" i="12"/>
  <c r="BC342" i="12" s="1"/>
  <c r="BB343" i="12"/>
  <c r="BC343" i="12" s="1"/>
  <c r="BB344" i="12"/>
  <c r="BC344" i="12" s="1"/>
  <c r="BB345" i="12"/>
  <c r="BC345" i="12" s="1"/>
  <c r="BB346" i="12"/>
  <c r="BC346" i="12" s="1"/>
  <c r="BB347" i="12"/>
  <c r="BC347" i="12" s="1"/>
  <c r="BB348" i="12"/>
  <c r="BC348" i="12" s="1"/>
  <c r="BB349" i="12"/>
  <c r="BC349" i="12" s="1"/>
  <c r="BB350" i="12"/>
  <c r="BC350" i="12" s="1"/>
  <c r="BB351" i="12"/>
  <c r="BC351" i="12" s="1"/>
  <c r="BB352" i="12"/>
  <c r="BC352" i="12" s="1"/>
  <c r="BB353" i="12"/>
  <c r="BB354" i="12"/>
  <c r="BC354" i="12" s="1"/>
  <c r="BB355" i="12"/>
  <c r="BC355" i="12" s="1"/>
  <c r="BB356" i="12"/>
  <c r="BC356" i="12" s="1"/>
  <c r="BB357" i="12"/>
  <c r="BC357" i="12" s="1"/>
  <c r="BB358" i="12"/>
  <c r="BC358" i="12" s="1"/>
  <c r="BB359" i="12"/>
  <c r="BC359" i="12" s="1"/>
  <c r="BB360" i="12"/>
  <c r="BC360" i="12" s="1"/>
  <c r="BB361" i="12"/>
  <c r="BC361" i="12" s="1"/>
  <c r="BB362" i="12"/>
  <c r="BC362" i="12" s="1"/>
  <c r="BB363" i="12"/>
  <c r="BC363" i="12" s="1"/>
  <c r="BB364" i="12"/>
  <c r="BC364" i="12" s="1"/>
  <c r="BB365" i="12"/>
  <c r="BC365" i="12" s="1"/>
  <c r="BB366" i="12"/>
  <c r="BC366" i="12" s="1"/>
  <c r="BB367" i="12"/>
  <c r="BC367" i="12" s="1"/>
  <c r="BB368" i="12"/>
  <c r="BC368" i="12" s="1"/>
  <c r="BB369" i="12"/>
  <c r="BB370" i="12"/>
  <c r="BC370" i="12" s="1"/>
  <c r="BB371" i="12"/>
  <c r="BC371" i="12" s="1"/>
  <c r="BB372" i="12"/>
  <c r="BC372" i="12" s="1"/>
  <c r="BB373" i="12"/>
  <c r="BC373" i="12" s="1"/>
  <c r="BB374" i="12"/>
  <c r="BC374" i="12" s="1"/>
  <c r="BB375" i="12"/>
  <c r="BC375" i="12" s="1"/>
  <c r="BB376" i="12"/>
  <c r="BC376" i="12" s="1"/>
  <c r="BB377" i="12"/>
  <c r="BC377" i="12" s="1"/>
  <c r="BB378" i="12"/>
  <c r="BC378" i="12" s="1"/>
  <c r="BB379" i="12"/>
  <c r="BC379" i="12" s="1"/>
  <c r="BB380" i="12"/>
  <c r="BC380" i="12" s="1"/>
  <c r="BB381" i="12"/>
  <c r="BC381" i="12" s="1"/>
  <c r="BB382" i="12"/>
  <c r="BC382" i="12" s="1"/>
  <c r="BB383" i="12"/>
  <c r="BC383" i="12" s="1"/>
  <c r="BB384" i="12"/>
  <c r="BC384" i="12" s="1"/>
  <c r="BB385" i="12"/>
  <c r="BB386" i="12"/>
  <c r="BC386" i="12" s="1"/>
  <c r="BB387" i="12"/>
  <c r="BC387" i="12" s="1"/>
  <c r="BB388" i="12"/>
  <c r="BC388" i="12" s="1"/>
  <c r="BB389" i="12"/>
  <c r="BC389" i="12" s="1"/>
  <c r="BB390" i="12"/>
  <c r="BC390" i="12" s="1"/>
  <c r="BB391" i="12"/>
  <c r="BC391" i="12" s="1"/>
  <c r="BB392" i="12"/>
  <c r="BC392" i="12" s="1"/>
  <c r="BB393" i="12"/>
  <c r="BC393" i="12" s="1"/>
  <c r="BB394" i="12"/>
  <c r="BC394" i="12" s="1"/>
  <c r="BB395" i="12"/>
  <c r="BC395" i="12" s="1"/>
  <c r="BB396" i="12"/>
  <c r="BC396" i="12" s="1"/>
  <c r="BB397" i="12"/>
  <c r="BC397" i="12" s="1"/>
  <c r="BB398" i="12"/>
  <c r="BC398" i="12" s="1"/>
  <c r="BB399" i="12"/>
  <c r="BC399" i="12" s="1"/>
  <c r="BB400" i="12"/>
  <c r="BC400" i="12" s="1"/>
  <c r="BB401" i="12"/>
  <c r="BB402" i="12"/>
  <c r="BC402" i="12" s="1"/>
  <c r="BB403" i="12"/>
  <c r="BC403" i="12" s="1"/>
  <c r="BB404" i="12"/>
  <c r="BC404" i="12" s="1"/>
  <c r="AZ192" i="12"/>
  <c r="BD192" i="12" s="1"/>
  <c r="AZ193" i="12"/>
  <c r="BD193" i="12" s="1"/>
  <c r="AZ194" i="12"/>
  <c r="AZ195" i="12"/>
  <c r="BD195" i="12" s="1"/>
  <c r="AZ196" i="12"/>
  <c r="AZ197" i="12"/>
  <c r="AZ198" i="12"/>
  <c r="BD198" i="12" s="1"/>
  <c r="AZ199" i="12"/>
  <c r="BD199" i="12" s="1"/>
  <c r="AZ200" i="12"/>
  <c r="BD200" i="12" s="1"/>
  <c r="AZ201" i="12"/>
  <c r="BD201" i="12" s="1"/>
  <c r="AZ202" i="12"/>
  <c r="AZ203" i="12"/>
  <c r="BD203" i="12" s="1"/>
  <c r="AZ204" i="12"/>
  <c r="AZ205" i="12"/>
  <c r="AZ206" i="12"/>
  <c r="BD206" i="12" s="1"/>
  <c r="AZ207" i="12"/>
  <c r="BD207" i="12" s="1"/>
  <c r="AZ208" i="12"/>
  <c r="BD208" i="12" s="1"/>
  <c r="AZ209" i="12"/>
  <c r="BD209" i="12" s="1"/>
  <c r="AZ210" i="12"/>
  <c r="AZ211" i="12"/>
  <c r="BD211" i="12" s="1"/>
  <c r="AZ212" i="12"/>
  <c r="AZ213" i="12"/>
  <c r="AZ214" i="12"/>
  <c r="BD214" i="12" s="1"/>
  <c r="AZ215" i="12"/>
  <c r="BD215" i="12" s="1"/>
  <c r="AZ216" i="12"/>
  <c r="BD216" i="12" s="1"/>
  <c r="AZ217" i="12"/>
  <c r="BD217" i="12" s="1"/>
  <c r="AZ218" i="12"/>
  <c r="AZ219" i="12"/>
  <c r="BD219" i="12" s="1"/>
  <c r="AZ220" i="12"/>
  <c r="AZ221" i="12"/>
  <c r="AZ222" i="12"/>
  <c r="BD222" i="12" s="1"/>
  <c r="AZ223" i="12"/>
  <c r="BD223" i="12" s="1"/>
  <c r="AZ224" i="12"/>
  <c r="BD224" i="12" s="1"/>
  <c r="AZ225" i="12"/>
  <c r="BD225" i="12" s="1"/>
  <c r="AZ226" i="12"/>
  <c r="AZ227" i="12"/>
  <c r="BD227" i="12" s="1"/>
  <c r="AZ228" i="12"/>
  <c r="AZ229" i="12"/>
  <c r="AZ230" i="12"/>
  <c r="BD230" i="12" s="1"/>
  <c r="AZ231" i="12"/>
  <c r="BD231" i="12" s="1"/>
  <c r="AZ232" i="12"/>
  <c r="BD232" i="12" s="1"/>
  <c r="AZ233" i="12"/>
  <c r="BD233" i="12" s="1"/>
  <c r="AZ234" i="12"/>
  <c r="AZ235" i="12"/>
  <c r="BD235" i="12" s="1"/>
  <c r="AZ236" i="12"/>
  <c r="AZ237" i="12"/>
  <c r="AZ238" i="12"/>
  <c r="BD238" i="12" s="1"/>
  <c r="AZ239" i="12"/>
  <c r="BD239" i="12" s="1"/>
  <c r="AZ240" i="12"/>
  <c r="BD240" i="12" s="1"/>
  <c r="AZ241" i="12"/>
  <c r="BD241" i="12" s="1"/>
  <c r="AZ242" i="12"/>
  <c r="AZ243" i="12"/>
  <c r="BD243" i="12" s="1"/>
  <c r="AZ244" i="12"/>
  <c r="AZ245" i="12"/>
  <c r="AZ246" i="12"/>
  <c r="BD246" i="12" s="1"/>
  <c r="AZ247" i="12"/>
  <c r="BD247" i="12" s="1"/>
  <c r="AZ248" i="12"/>
  <c r="BD248" i="12" s="1"/>
  <c r="AZ249" i="12"/>
  <c r="BD249" i="12" s="1"/>
  <c r="AZ250" i="12"/>
  <c r="AZ251" i="12"/>
  <c r="BD251" i="12" s="1"/>
  <c r="AZ252" i="12"/>
  <c r="AZ253" i="12"/>
  <c r="AZ254" i="12"/>
  <c r="BD254" i="12" s="1"/>
  <c r="AZ255" i="12"/>
  <c r="BD255" i="12" s="1"/>
  <c r="AZ256" i="12"/>
  <c r="BD256" i="12" s="1"/>
  <c r="AZ257" i="12"/>
  <c r="BD257" i="12" s="1"/>
  <c r="AZ258" i="12"/>
  <c r="AZ259" i="12"/>
  <c r="BD259" i="12" s="1"/>
  <c r="AZ260" i="12"/>
  <c r="AZ261" i="12"/>
  <c r="AZ262" i="12"/>
  <c r="BD262" i="12" s="1"/>
  <c r="AZ263" i="12"/>
  <c r="BD263" i="12" s="1"/>
  <c r="AZ264" i="12"/>
  <c r="BD264" i="12" s="1"/>
  <c r="AZ265" i="12"/>
  <c r="BD265" i="12" s="1"/>
  <c r="AZ266" i="12"/>
  <c r="AZ267" i="12"/>
  <c r="BD267" i="12" s="1"/>
  <c r="AZ268" i="12"/>
  <c r="AZ269" i="12"/>
  <c r="AZ270" i="12"/>
  <c r="BD270" i="12" s="1"/>
  <c r="AZ271" i="12"/>
  <c r="BD271" i="12" s="1"/>
  <c r="AZ272" i="12"/>
  <c r="BD272" i="12" s="1"/>
  <c r="AZ273" i="12"/>
  <c r="BD273" i="12" s="1"/>
  <c r="AZ274" i="12"/>
  <c r="AZ275" i="12"/>
  <c r="BD275" i="12" s="1"/>
  <c r="AZ276" i="12"/>
  <c r="BA276" i="12" s="1"/>
  <c r="AZ277" i="12"/>
  <c r="BA277" i="12" s="1"/>
  <c r="AZ278" i="12"/>
  <c r="BA278" i="12" s="1"/>
  <c r="AZ279" i="12"/>
  <c r="BD279" i="12" s="1"/>
  <c r="AZ280" i="12"/>
  <c r="BA280" i="12" s="1"/>
  <c r="AZ281" i="12"/>
  <c r="BD281" i="12" s="1"/>
  <c r="AZ282" i="12"/>
  <c r="AZ283" i="12"/>
  <c r="BD283" i="12" s="1"/>
  <c r="AZ284" i="12"/>
  <c r="BA284" i="12" s="1"/>
  <c r="AZ285" i="12"/>
  <c r="BA285" i="12" s="1"/>
  <c r="AZ286" i="12"/>
  <c r="BA286" i="12" s="1"/>
  <c r="AZ287" i="12"/>
  <c r="BD287" i="12" s="1"/>
  <c r="AZ288" i="12"/>
  <c r="BA288" i="12" s="1"/>
  <c r="AZ289" i="12"/>
  <c r="BD289" i="12" s="1"/>
  <c r="AZ290" i="12"/>
  <c r="AZ291" i="12"/>
  <c r="BD291" i="12" s="1"/>
  <c r="AZ292" i="12"/>
  <c r="BA292" i="12" s="1"/>
  <c r="AZ293" i="12"/>
  <c r="BA293" i="12" s="1"/>
  <c r="AZ294" i="12"/>
  <c r="BA294" i="12" s="1"/>
  <c r="AZ295" i="12"/>
  <c r="BD295" i="12" s="1"/>
  <c r="AZ296" i="12"/>
  <c r="BA296" i="12" s="1"/>
  <c r="AZ297" i="12"/>
  <c r="BD297" i="12" s="1"/>
  <c r="AZ298" i="12"/>
  <c r="AZ299" i="12"/>
  <c r="BD299" i="12" s="1"/>
  <c r="AZ300" i="12"/>
  <c r="BA300" i="12" s="1"/>
  <c r="AZ301" i="12"/>
  <c r="BA301" i="12" s="1"/>
  <c r="AZ302" i="12"/>
  <c r="BA302" i="12" s="1"/>
  <c r="AZ303" i="12"/>
  <c r="BD303" i="12" s="1"/>
  <c r="AZ304" i="12"/>
  <c r="BA304" i="12" s="1"/>
  <c r="AZ305" i="12"/>
  <c r="BD305" i="12" s="1"/>
  <c r="AZ306" i="12"/>
  <c r="AZ307" i="12"/>
  <c r="BD307" i="12" s="1"/>
  <c r="AZ308" i="12"/>
  <c r="BA308" i="12" s="1"/>
  <c r="AZ309" i="12"/>
  <c r="BA309" i="12" s="1"/>
  <c r="AZ310" i="12"/>
  <c r="BA310" i="12" s="1"/>
  <c r="AZ311" i="12"/>
  <c r="BD311" i="12" s="1"/>
  <c r="AZ312" i="12"/>
  <c r="BA312" i="12" s="1"/>
  <c r="AZ313" i="12"/>
  <c r="BD313" i="12" s="1"/>
  <c r="AZ314" i="12"/>
  <c r="AZ315" i="12"/>
  <c r="BD315" i="12" s="1"/>
  <c r="AZ316" i="12"/>
  <c r="BA316" i="12" s="1"/>
  <c r="AZ317" i="12"/>
  <c r="BA317" i="12" s="1"/>
  <c r="AZ318" i="12"/>
  <c r="BA318" i="12" s="1"/>
  <c r="AZ319" i="12"/>
  <c r="BD319" i="12" s="1"/>
  <c r="AZ320" i="12"/>
  <c r="BA320" i="12" s="1"/>
  <c r="AZ321" i="12"/>
  <c r="BD321" i="12" s="1"/>
  <c r="AZ322" i="12"/>
  <c r="AZ323" i="12"/>
  <c r="BD323" i="12" s="1"/>
  <c r="AZ324" i="12"/>
  <c r="BA324" i="12" s="1"/>
  <c r="AZ325" i="12"/>
  <c r="BA325" i="12" s="1"/>
  <c r="AZ326" i="12"/>
  <c r="BA326" i="12" s="1"/>
  <c r="AZ327" i="12"/>
  <c r="BD327" i="12" s="1"/>
  <c r="AZ328" i="12"/>
  <c r="BA328" i="12" s="1"/>
  <c r="AZ329" i="12"/>
  <c r="BD329" i="12" s="1"/>
  <c r="AZ330" i="12"/>
  <c r="AZ331" i="12"/>
  <c r="BD331" i="12" s="1"/>
  <c r="AZ332" i="12"/>
  <c r="BA332" i="12" s="1"/>
  <c r="AZ333" i="12"/>
  <c r="BA333" i="12" s="1"/>
  <c r="AZ334" i="12"/>
  <c r="BA334" i="12" s="1"/>
  <c r="AZ335" i="12"/>
  <c r="BD335" i="12" s="1"/>
  <c r="AZ336" i="12"/>
  <c r="BA336" i="12" s="1"/>
  <c r="AZ337" i="12"/>
  <c r="BD337" i="12" s="1"/>
  <c r="AZ338" i="12"/>
  <c r="AZ339" i="12"/>
  <c r="BD339" i="12" s="1"/>
  <c r="AZ340" i="12"/>
  <c r="BA340" i="12" s="1"/>
  <c r="AZ341" i="12"/>
  <c r="BA341" i="12" s="1"/>
  <c r="AZ342" i="12"/>
  <c r="BA342" i="12" s="1"/>
  <c r="AZ343" i="12"/>
  <c r="BD343" i="12" s="1"/>
  <c r="AZ344" i="12"/>
  <c r="BA344" i="12" s="1"/>
  <c r="AZ345" i="12"/>
  <c r="BD345" i="12" s="1"/>
  <c r="AZ346" i="12"/>
  <c r="AZ347" i="12"/>
  <c r="BD347" i="12" s="1"/>
  <c r="AZ348" i="12"/>
  <c r="BA348" i="12" s="1"/>
  <c r="AZ349" i="12"/>
  <c r="BA349" i="12" s="1"/>
  <c r="AZ350" i="12"/>
  <c r="BA350" i="12" s="1"/>
  <c r="AZ351" i="12"/>
  <c r="BD351" i="12" s="1"/>
  <c r="AZ352" i="12"/>
  <c r="BA352" i="12" s="1"/>
  <c r="AZ353" i="12"/>
  <c r="BD353" i="12" s="1"/>
  <c r="AZ354" i="12"/>
  <c r="AZ355" i="12"/>
  <c r="BD355" i="12" s="1"/>
  <c r="AZ356" i="12"/>
  <c r="BA356" i="12" s="1"/>
  <c r="AZ357" i="12"/>
  <c r="BA357" i="12" s="1"/>
  <c r="AZ358" i="12"/>
  <c r="BA358" i="12" s="1"/>
  <c r="AZ359" i="12"/>
  <c r="BD359" i="12" s="1"/>
  <c r="AZ360" i="12"/>
  <c r="BA360" i="12" s="1"/>
  <c r="AZ361" i="12"/>
  <c r="BD361" i="12" s="1"/>
  <c r="AZ362" i="12"/>
  <c r="AZ363" i="12"/>
  <c r="BD363" i="12" s="1"/>
  <c r="AZ364" i="12"/>
  <c r="BA364" i="12" s="1"/>
  <c r="AZ365" i="12"/>
  <c r="BA365" i="12" s="1"/>
  <c r="AZ366" i="12"/>
  <c r="BA366" i="12" s="1"/>
  <c r="AZ367" i="12"/>
  <c r="BD367" i="12" s="1"/>
  <c r="AZ368" i="12"/>
  <c r="BA368" i="12" s="1"/>
  <c r="AZ369" i="12"/>
  <c r="BD369" i="12" s="1"/>
  <c r="AZ370" i="12"/>
  <c r="AZ371" i="12"/>
  <c r="BD371" i="12" s="1"/>
  <c r="AZ372" i="12"/>
  <c r="BA372" i="12" s="1"/>
  <c r="AZ373" i="12"/>
  <c r="BA373" i="12" s="1"/>
  <c r="AZ374" i="12"/>
  <c r="BA374" i="12" s="1"/>
  <c r="AZ375" i="12"/>
  <c r="BD375" i="12" s="1"/>
  <c r="AZ376" i="12"/>
  <c r="BA376" i="12" s="1"/>
  <c r="AZ377" i="12"/>
  <c r="BD377" i="12" s="1"/>
  <c r="AZ378" i="12"/>
  <c r="AZ379" i="12"/>
  <c r="BD379" i="12" s="1"/>
  <c r="AZ380" i="12"/>
  <c r="BA380" i="12" s="1"/>
  <c r="AZ381" i="12"/>
  <c r="BA381" i="12" s="1"/>
  <c r="AZ382" i="12"/>
  <c r="BA382" i="12" s="1"/>
  <c r="AZ383" i="12"/>
  <c r="BD383" i="12" s="1"/>
  <c r="AZ384" i="12"/>
  <c r="BA384" i="12" s="1"/>
  <c r="AZ385" i="12"/>
  <c r="BD385" i="12" s="1"/>
  <c r="AZ386" i="12"/>
  <c r="AZ387" i="12"/>
  <c r="BD387" i="12" s="1"/>
  <c r="AZ388" i="12"/>
  <c r="BA388" i="12" s="1"/>
  <c r="AZ389" i="12"/>
  <c r="BA389" i="12" s="1"/>
  <c r="AZ390" i="12"/>
  <c r="BA390" i="12" s="1"/>
  <c r="AZ391" i="12"/>
  <c r="BD391" i="12" s="1"/>
  <c r="AZ392" i="12"/>
  <c r="BA392" i="12" s="1"/>
  <c r="AZ393" i="12"/>
  <c r="BD393" i="12" s="1"/>
  <c r="AZ394" i="12"/>
  <c r="AZ395" i="12"/>
  <c r="BD395" i="12" s="1"/>
  <c r="AZ396" i="12"/>
  <c r="BA396" i="12" s="1"/>
  <c r="AZ397" i="12"/>
  <c r="BA397" i="12" s="1"/>
  <c r="AZ398" i="12"/>
  <c r="BA398" i="12" s="1"/>
  <c r="AZ399" i="12"/>
  <c r="BD399" i="12" s="1"/>
  <c r="AZ400" i="12"/>
  <c r="BA400" i="12" s="1"/>
  <c r="AZ401" i="12"/>
  <c r="BD401" i="12" s="1"/>
  <c r="AZ402" i="12"/>
  <c r="AZ403" i="12"/>
  <c r="BD403" i="12" s="1"/>
  <c r="AZ404" i="12"/>
  <c r="BA404" i="12" s="1"/>
  <c r="AZ3" i="12"/>
  <c r="AZ4" i="12"/>
  <c r="AZ5" i="12"/>
  <c r="AZ6" i="12"/>
  <c r="AZ8" i="12"/>
  <c r="AZ9" i="12"/>
  <c r="AZ10" i="12"/>
  <c r="AZ11" i="12"/>
  <c r="AZ12" i="12"/>
  <c r="AZ13" i="12"/>
  <c r="AZ14" i="12"/>
  <c r="AZ15" i="12"/>
  <c r="AZ16" i="12"/>
  <c r="AZ17" i="12"/>
  <c r="AZ18" i="12"/>
  <c r="AZ19" i="12"/>
  <c r="AZ20" i="12"/>
  <c r="AZ21" i="12"/>
  <c r="AZ22" i="12"/>
  <c r="AZ23" i="12"/>
  <c r="AZ24" i="12"/>
  <c r="AZ25" i="12"/>
  <c r="AZ26" i="12"/>
  <c r="AZ27" i="12"/>
  <c r="AZ28" i="12"/>
  <c r="AZ29" i="12"/>
  <c r="AZ30" i="12"/>
  <c r="AZ31" i="12"/>
  <c r="AZ32" i="12"/>
  <c r="AZ33" i="12"/>
  <c r="AZ34" i="12"/>
  <c r="AZ35" i="12"/>
  <c r="AZ36" i="12"/>
  <c r="AZ37" i="12"/>
  <c r="AZ38" i="12"/>
  <c r="AZ39" i="12"/>
  <c r="AZ40" i="12"/>
  <c r="AZ41" i="12"/>
  <c r="AZ42" i="12"/>
  <c r="AZ43" i="12"/>
  <c r="AZ44" i="12"/>
  <c r="AZ45" i="12"/>
  <c r="AZ46" i="12"/>
  <c r="AZ47" i="12"/>
  <c r="AZ48" i="12"/>
  <c r="AZ49" i="12"/>
  <c r="AZ50" i="12"/>
  <c r="AZ51" i="12"/>
  <c r="AZ52"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6" i="12"/>
  <c r="AZ87" i="12"/>
  <c r="AZ88" i="12"/>
  <c r="AZ89" i="12"/>
  <c r="AZ90" i="12"/>
  <c r="AZ91" i="12"/>
  <c r="AZ92" i="12"/>
  <c r="AZ93" i="12"/>
  <c r="AZ94" i="12"/>
  <c r="AZ95" i="12"/>
  <c r="AZ96" i="12"/>
  <c r="AZ97" i="12"/>
  <c r="AZ98" i="12"/>
  <c r="AZ99" i="12"/>
  <c r="AZ100" i="12"/>
  <c r="AZ101" i="12"/>
  <c r="AZ102" i="12"/>
  <c r="AZ103" i="12"/>
  <c r="AZ104" i="12"/>
  <c r="AZ105" i="12"/>
  <c r="AZ106" i="12"/>
  <c r="AZ107" i="12"/>
  <c r="AZ108" i="12"/>
  <c r="AZ109" i="12"/>
  <c r="AZ110" i="12"/>
  <c r="AZ111" i="12"/>
  <c r="AZ112" i="12"/>
  <c r="AZ113" i="12"/>
  <c r="AZ114" i="12"/>
  <c r="AZ115" i="12"/>
  <c r="AZ116" i="12"/>
  <c r="AZ117" i="12"/>
  <c r="AZ118" i="12"/>
  <c r="AZ119" i="12"/>
  <c r="AZ120" i="12"/>
  <c r="AZ121" i="12"/>
  <c r="AZ122" i="12"/>
  <c r="AZ123" i="12"/>
  <c r="AZ124" i="12"/>
  <c r="AZ125" i="12"/>
  <c r="AZ126" i="12"/>
  <c r="AZ127" i="12"/>
  <c r="AZ128" i="12"/>
  <c r="AZ129" i="12"/>
  <c r="AZ130" i="12"/>
  <c r="AZ131" i="12"/>
  <c r="AZ132" i="12"/>
  <c r="AZ133" i="12"/>
  <c r="AZ134" i="12"/>
  <c r="AZ135" i="12"/>
  <c r="AZ136" i="12"/>
  <c r="AZ137" i="12"/>
  <c r="AZ138" i="12"/>
  <c r="AZ139" i="12"/>
  <c r="AZ140" i="12"/>
  <c r="AZ141" i="12"/>
  <c r="AZ142" i="12"/>
  <c r="AZ143" i="12"/>
  <c r="AZ144" i="12"/>
  <c r="AZ145" i="12"/>
  <c r="AZ146" i="12"/>
  <c r="AZ147" i="12"/>
  <c r="AZ148" i="12"/>
  <c r="AZ149" i="12"/>
  <c r="AZ150" i="12"/>
  <c r="AZ151" i="12"/>
  <c r="AZ152" i="12"/>
  <c r="AZ153" i="12"/>
  <c r="AZ154" i="12"/>
  <c r="AZ155" i="12"/>
  <c r="AZ156" i="12"/>
  <c r="AZ157" i="12"/>
  <c r="AZ158" i="12"/>
  <c r="AZ159" i="12"/>
  <c r="AZ160" i="12"/>
  <c r="AZ161" i="12"/>
  <c r="AZ162" i="12"/>
  <c r="AZ163" i="12"/>
  <c r="AZ164" i="12"/>
  <c r="AZ165" i="12"/>
  <c r="AZ166" i="12"/>
  <c r="AZ167" i="12"/>
  <c r="AZ168" i="12"/>
  <c r="AZ169" i="12"/>
  <c r="AZ170" i="12"/>
  <c r="AZ171" i="12"/>
  <c r="AZ172" i="12"/>
  <c r="AZ173" i="12"/>
  <c r="AZ174" i="12"/>
  <c r="AZ175" i="12"/>
  <c r="AZ176" i="12"/>
  <c r="AZ177" i="12"/>
  <c r="AZ178" i="12"/>
  <c r="AZ179" i="12"/>
  <c r="AZ180" i="12"/>
  <c r="AZ181" i="12"/>
  <c r="AZ182" i="12"/>
  <c r="AZ183" i="12"/>
  <c r="AZ184" i="12"/>
  <c r="AZ185" i="12"/>
  <c r="AZ186" i="12"/>
  <c r="AZ187" i="12"/>
  <c r="AZ188" i="12"/>
  <c r="AZ189" i="12"/>
  <c r="AZ190" i="12"/>
  <c r="AZ191" i="12"/>
  <c r="AZ2" i="12"/>
  <c r="AX221" i="12"/>
  <c r="AX262" i="12"/>
  <c r="AX318" i="12"/>
  <c r="AX341" i="12"/>
  <c r="AW192" i="12"/>
  <c r="AX192" i="12" s="1"/>
  <c r="AW193" i="12"/>
  <c r="AX193" i="12" s="1"/>
  <c r="AW194" i="12"/>
  <c r="AX194" i="12" s="1"/>
  <c r="AW195" i="12"/>
  <c r="AX195" i="12" s="1"/>
  <c r="AW196" i="12"/>
  <c r="AX196" i="12" s="1"/>
  <c r="AW197" i="12"/>
  <c r="AX197" i="12" s="1"/>
  <c r="AW198" i="12"/>
  <c r="AX198" i="12" s="1"/>
  <c r="AW199" i="12"/>
  <c r="AX199" i="12" s="1"/>
  <c r="AW200" i="12"/>
  <c r="AX200" i="12" s="1"/>
  <c r="AW201" i="12"/>
  <c r="AX201" i="12" s="1"/>
  <c r="AW202" i="12"/>
  <c r="AX202" i="12" s="1"/>
  <c r="AW203" i="12"/>
  <c r="AX203" i="12" s="1"/>
  <c r="AW204" i="12"/>
  <c r="AX204" i="12" s="1"/>
  <c r="AW205" i="12"/>
  <c r="AX205" i="12" s="1"/>
  <c r="AW206" i="12"/>
  <c r="AX206" i="12" s="1"/>
  <c r="AW207" i="12"/>
  <c r="AX207" i="12" s="1"/>
  <c r="AW208" i="12"/>
  <c r="AX208" i="12" s="1"/>
  <c r="AW209" i="12"/>
  <c r="AX209" i="12" s="1"/>
  <c r="AW210" i="12"/>
  <c r="AX210" i="12" s="1"/>
  <c r="AW211" i="12"/>
  <c r="AX211" i="12" s="1"/>
  <c r="AW212" i="12"/>
  <c r="AX212" i="12" s="1"/>
  <c r="AW213" i="12"/>
  <c r="AX213" i="12" s="1"/>
  <c r="AW214" i="12"/>
  <c r="AX214" i="12" s="1"/>
  <c r="AW215" i="12"/>
  <c r="AX215" i="12" s="1"/>
  <c r="AW216" i="12"/>
  <c r="AX216" i="12" s="1"/>
  <c r="AW217" i="12"/>
  <c r="AX217" i="12" s="1"/>
  <c r="AW218" i="12"/>
  <c r="AX218" i="12" s="1"/>
  <c r="AW219" i="12"/>
  <c r="AX219" i="12" s="1"/>
  <c r="AW220" i="12"/>
  <c r="AX220" i="12" s="1"/>
  <c r="AW221" i="12"/>
  <c r="AW222" i="12"/>
  <c r="AX222" i="12" s="1"/>
  <c r="AW223" i="12"/>
  <c r="AX223" i="12" s="1"/>
  <c r="AW224" i="12"/>
  <c r="AX224" i="12" s="1"/>
  <c r="AW225" i="12"/>
  <c r="AX225" i="12" s="1"/>
  <c r="AW226" i="12"/>
  <c r="AX226" i="12" s="1"/>
  <c r="AW227" i="12"/>
  <c r="AX227" i="12" s="1"/>
  <c r="AW228" i="12"/>
  <c r="AX228" i="12" s="1"/>
  <c r="AW229" i="12"/>
  <c r="AX229" i="12" s="1"/>
  <c r="AW230" i="12"/>
  <c r="AX230" i="12" s="1"/>
  <c r="AW231" i="12"/>
  <c r="AX231" i="12" s="1"/>
  <c r="AW232" i="12"/>
  <c r="AX232" i="12" s="1"/>
  <c r="AW233" i="12"/>
  <c r="AX233" i="12" s="1"/>
  <c r="AW234" i="12"/>
  <c r="AX234" i="12" s="1"/>
  <c r="AW235" i="12"/>
  <c r="AX235" i="12" s="1"/>
  <c r="AW236" i="12"/>
  <c r="AX236" i="12" s="1"/>
  <c r="AW237" i="12"/>
  <c r="AX237" i="12" s="1"/>
  <c r="AW238" i="12"/>
  <c r="AX238" i="12" s="1"/>
  <c r="AW239" i="12"/>
  <c r="AX239" i="12" s="1"/>
  <c r="AW240" i="12"/>
  <c r="AX240" i="12" s="1"/>
  <c r="AW241" i="12"/>
  <c r="AX241" i="12" s="1"/>
  <c r="AW242" i="12"/>
  <c r="AX242" i="12" s="1"/>
  <c r="AW243" i="12"/>
  <c r="AX243" i="12" s="1"/>
  <c r="AW244" i="12"/>
  <c r="AX244" i="12" s="1"/>
  <c r="AW245" i="12"/>
  <c r="AX245" i="12" s="1"/>
  <c r="AW246" i="12"/>
  <c r="AX246" i="12" s="1"/>
  <c r="AW247" i="12"/>
  <c r="AX247" i="12" s="1"/>
  <c r="AW248" i="12"/>
  <c r="AX248" i="12" s="1"/>
  <c r="AW249" i="12"/>
  <c r="AX249" i="12" s="1"/>
  <c r="AW250" i="12"/>
  <c r="AX250" i="12" s="1"/>
  <c r="AW251" i="12"/>
  <c r="AX251" i="12" s="1"/>
  <c r="AW252" i="12"/>
  <c r="AX252" i="12" s="1"/>
  <c r="AW253" i="12"/>
  <c r="AX253" i="12" s="1"/>
  <c r="AW254" i="12"/>
  <c r="AX254" i="12" s="1"/>
  <c r="AW255" i="12"/>
  <c r="AX255" i="12" s="1"/>
  <c r="AW256" i="12"/>
  <c r="AX256" i="12" s="1"/>
  <c r="AW257" i="12"/>
  <c r="AX257" i="12" s="1"/>
  <c r="AW258" i="12"/>
  <c r="AX258" i="12" s="1"/>
  <c r="AW259" i="12"/>
  <c r="AX259" i="12" s="1"/>
  <c r="AW260" i="12"/>
  <c r="AX260" i="12" s="1"/>
  <c r="AW261" i="12"/>
  <c r="AX261" i="12" s="1"/>
  <c r="AW262" i="12"/>
  <c r="AW263" i="12"/>
  <c r="AX263" i="12" s="1"/>
  <c r="AW264" i="12"/>
  <c r="AX264" i="12" s="1"/>
  <c r="AW265" i="12"/>
  <c r="AX265" i="12" s="1"/>
  <c r="AW266" i="12"/>
  <c r="AX266" i="12" s="1"/>
  <c r="AW267" i="12"/>
  <c r="AX267" i="12" s="1"/>
  <c r="AW268" i="12"/>
  <c r="AX268" i="12" s="1"/>
  <c r="AW269" i="12"/>
  <c r="AX269" i="12" s="1"/>
  <c r="AW270" i="12"/>
  <c r="AX270" i="12" s="1"/>
  <c r="AW271" i="12"/>
  <c r="AX271" i="12" s="1"/>
  <c r="AW272" i="12"/>
  <c r="AX272" i="12" s="1"/>
  <c r="AW273" i="12"/>
  <c r="AX273" i="12" s="1"/>
  <c r="AW274" i="12"/>
  <c r="AX274" i="12" s="1"/>
  <c r="AW275" i="12"/>
  <c r="AX275" i="12" s="1"/>
  <c r="AW276" i="12"/>
  <c r="AX276" i="12" s="1"/>
  <c r="AW277" i="12"/>
  <c r="AX277" i="12" s="1"/>
  <c r="AW278" i="12"/>
  <c r="AX278" i="12" s="1"/>
  <c r="AW279" i="12"/>
  <c r="AX279" i="12" s="1"/>
  <c r="AW280" i="12"/>
  <c r="AX280" i="12" s="1"/>
  <c r="AW281" i="12"/>
  <c r="AX281" i="12" s="1"/>
  <c r="AW282" i="12"/>
  <c r="AX282" i="12" s="1"/>
  <c r="AW283" i="12"/>
  <c r="AX283" i="12" s="1"/>
  <c r="AW284" i="12"/>
  <c r="AX284" i="12" s="1"/>
  <c r="AW285" i="12"/>
  <c r="AX285" i="12" s="1"/>
  <c r="AW286" i="12"/>
  <c r="AX286" i="12" s="1"/>
  <c r="AW287" i="12"/>
  <c r="AX287" i="12" s="1"/>
  <c r="AW288" i="12"/>
  <c r="AX288" i="12" s="1"/>
  <c r="AW289" i="12"/>
  <c r="AX289" i="12" s="1"/>
  <c r="AW290" i="12"/>
  <c r="AX290" i="12" s="1"/>
  <c r="AW291" i="12"/>
  <c r="AX291" i="12" s="1"/>
  <c r="AW292" i="12"/>
  <c r="AX292" i="12" s="1"/>
  <c r="AW293" i="12"/>
  <c r="AX293" i="12" s="1"/>
  <c r="AW294" i="12"/>
  <c r="AX294" i="12" s="1"/>
  <c r="AW295" i="12"/>
  <c r="AX295" i="12" s="1"/>
  <c r="AW296" i="12"/>
  <c r="AX296" i="12" s="1"/>
  <c r="AW297" i="12"/>
  <c r="AX297" i="12" s="1"/>
  <c r="AW298" i="12"/>
  <c r="AX298" i="12" s="1"/>
  <c r="AW299" i="12"/>
  <c r="AX299" i="12" s="1"/>
  <c r="AW300" i="12"/>
  <c r="AX300" i="12" s="1"/>
  <c r="AW301" i="12"/>
  <c r="AX301" i="12" s="1"/>
  <c r="AW302" i="12"/>
  <c r="AX302" i="12" s="1"/>
  <c r="AW303" i="12"/>
  <c r="AX303" i="12" s="1"/>
  <c r="AW304" i="12"/>
  <c r="AX304" i="12" s="1"/>
  <c r="AW305" i="12"/>
  <c r="AX305" i="12" s="1"/>
  <c r="AW306" i="12"/>
  <c r="AX306" i="12" s="1"/>
  <c r="AW307" i="12"/>
  <c r="AX307" i="12" s="1"/>
  <c r="AW308" i="12"/>
  <c r="AX308" i="12" s="1"/>
  <c r="AW309" i="12"/>
  <c r="AX309" i="12" s="1"/>
  <c r="AW310" i="12"/>
  <c r="AX310" i="12" s="1"/>
  <c r="AW311" i="12"/>
  <c r="AX311" i="12" s="1"/>
  <c r="AW312" i="12"/>
  <c r="AX312" i="12" s="1"/>
  <c r="AW313" i="12"/>
  <c r="AX313" i="12" s="1"/>
  <c r="AW314" i="12"/>
  <c r="AX314" i="12" s="1"/>
  <c r="AW315" i="12"/>
  <c r="AX315" i="12" s="1"/>
  <c r="AW316" i="12"/>
  <c r="AX316" i="12" s="1"/>
  <c r="AW317" i="12"/>
  <c r="AX317" i="12" s="1"/>
  <c r="AW318" i="12"/>
  <c r="AW319" i="12"/>
  <c r="AX319" i="12" s="1"/>
  <c r="AW320" i="12"/>
  <c r="AX320" i="12" s="1"/>
  <c r="AW321" i="12"/>
  <c r="AX321" i="12" s="1"/>
  <c r="AW322" i="12"/>
  <c r="AX322" i="12" s="1"/>
  <c r="AW323" i="12"/>
  <c r="AX323" i="12" s="1"/>
  <c r="AW324" i="12"/>
  <c r="AX324" i="12" s="1"/>
  <c r="AW325" i="12"/>
  <c r="AX325" i="12" s="1"/>
  <c r="AW326" i="12"/>
  <c r="AX326" i="12" s="1"/>
  <c r="AW327" i="12"/>
  <c r="AX327" i="12" s="1"/>
  <c r="AW328" i="12"/>
  <c r="AX328" i="12" s="1"/>
  <c r="AW329" i="12"/>
  <c r="AX329" i="12" s="1"/>
  <c r="AW330" i="12"/>
  <c r="AX330" i="12" s="1"/>
  <c r="AW331" i="12"/>
  <c r="AX331" i="12" s="1"/>
  <c r="AW332" i="12"/>
  <c r="AX332" i="12" s="1"/>
  <c r="AW333" i="12"/>
  <c r="AX333" i="12" s="1"/>
  <c r="AW334" i="12"/>
  <c r="AX334" i="12" s="1"/>
  <c r="AW335" i="12"/>
  <c r="AX335" i="12" s="1"/>
  <c r="AW336" i="12"/>
  <c r="AX336" i="12" s="1"/>
  <c r="AW337" i="12"/>
  <c r="AX337" i="12" s="1"/>
  <c r="AW338" i="12"/>
  <c r="AX338" i="12" s="1"/>
  <c r="AW339" i="12"/>
  <c r="AX339" i="12" s="1"/>
  <c r="AW340" i="12"/>
  <c r="AX340" i="12" s="1"/>
  <c r="AW341" i="12"/>
  <c r="AW342" i="12"/>
  <c r="AX342" i="12" s="1"/>
  <c r="AW343" i="12"/>
  <c r="AX343" i="12" s="1"/>
  <c r="AW344" i="12"/>
  <c r="AX344" i="12" s="1"/>
  <c r="AW345" i="12"/>
  <c r="AX345" i="12" s="1"/>
  <c r="AW346" i="12"/>
  <c r="AX346" i="12" s="1"/>
  <c r="AW347" i="12"/>
  <c r="AX347" i="12" s="1"/>
  <c r="AW348" i="12"/>
  <c r="AX348" i="12" s="1"/>
  <c r="AW349" i="12"/>
  <c r="AX349" i="12" s="1"/>
  <c r="AW350" i="12"/>
  <c r="AX350" i="12" s="1"/>
  <c r="AW351" i="12"/>
  <c r="AX351" i="12" s="1"/>
  <c r="AW352" i="12"/>
  <c r="AX352" i="12" s="1"/>
  <c r="AW353" i="12"/>
  <c r="AX353" i="12" s="1"/>
  <c r="AW354" i="12"/>
  <c r="AX354" i="12" s="1"/>
  <c r="AW355" i="12"/>
  <c r="AX355" i="12" s="1"/>
  <c r="AW356" i="12"/>
  <c r="AX356" i="12" s="1"/>
  <c r="AW357" i="12"/>
  <c r="AX357" i="12" s="1"/>
  <c r="AW358" i="12"/>
  <c r="AX358" i="12" s="1"/>
  <c r="AW359" i="12"/>
  <c r="AX359" i="12" s="1"/>
  <c r="AW360" i="12"/>
  <c r="AX360" i="12" s="1"/>
  <c r="AW361" i="12"/>
  <c r="AX361" i="12" s="1"/>
  <c r="AW362" i="12"/>
  <c r="AX362" i="12" s="1"/>
  <c r="AW363" i="12"/>
  <c r="AX363" i="12" s="1"/>
  <c r="AW364" i="12"/>
  <c r="AX364" i="12" s="1"/>
  <c r="AW365" i="12"/>
  <c r="AX365" i="12" s="1"/>
  <c r="AW366" i="12"/>
  <c r="AX366" i="12" s="1"/>
  <c r="AW367" i="12"/>
  <c r="AX367" i="12" s="1"/>
  <c r="AW368" i="12"/>
  <c r="AX368" i="12" s="1"/>
  <c r="AW369" i="12"/>
  <c r="AX369" i="12" s="1"/>
  <c r="AW370" i="12"/>
  <c r="AX370" i="12" s="1"/>
  <c r="AW371" i="12"/>
  <c r="AX371" i="12" s="1"/>
  <c r="AW372" i="12"/>
  <c r="AX372" i="12" s="1"/>
  <c r="AW373" i="12"/>
  <c r="AX373" i="12" s="1"/>
  <c r="AW374" i="12"/>
  <c r="AX374" i="12" s="1"/>
  <c r="AW375" i="12"/>
  <c r="AX375" i="12" s="1"/>
  <c r="AW376" i="12"/>
  <c r="AX376" i="12" s="1"/>
  <c r="AW377" i="12"/>
  <c r="AX377" i="12" s="1"/>
  <c r="AW378" i="12"/>
  <c r="AX378" i="12" s="1"/>
  <c r="AW379" i="12"/>
  <c r="AX379" i="12" s="1"/>
  <c r="AW380" i="12"/>
  <c r="AX380" i="12" s="1"/>
  <c r="AW381" i="12"/>
  <c r="AX381" i="12" s="1"/>
  <c r="AW382" i="12"/>
  <c r="AX382" i="12" s="1"/>
  <c r="AW383" i="12"/>
  <c r="AX383" i="12" s="1"/>
  <c r="AW384" i="12"/>
  <c r="AX384" i="12" s="1"/>
  <c r="AW385" i="12"/>
  <c r="AX385" i="12" s="1"/>
  <c r="AW386" i="12"/>
  <c r="AX386" i="12" s="1"/>
  <c r="AW387" i="12"/>
  <c r="AX387" i="12" s="1"/>
  <c r="AW388" i="12"/>
  <c r="AX388" i="12" s="1"/>
  <c r="AW389" i="12"/>
  <c r="AX389" i="12" s="1"/>
  <c r="AW390" i="12"/>
  <c r="AX390" i="12" s="1"/>
  <c r="AW391" i="12"/>
  <c r="AX391" i="12" s="1"/>
  <c r="AW392" i="12"/>
  <c r="AX392" i="12" s="1"/>
  <c r="AW393" i="12"/>
  <c r="AX393" i="12" s="1"/>
  <c r="AW394" i="12"/>
  <c r="AX394" i="12" s="1"/>
  <c r="AW395" i="12"/>
  <c r="AX395" i="12" s="1"/>
  <c r="AW396" i="12"/>
  <c r="AX396" i="12" s="1"/>
  <c r="AW397" i="12"/>
  <c r="AX397" i="12" s="1"/>
  <c r="AW398" i="12"/>
  <c r="AX398" i="12" s="1"/>
  <c r="AW399" i="12"/>
  <c r="AX399" i="12" s="1"/>
  <c r="AW400" i="12"/>
  <c r="AX400" i="12" s="1"/>
  <c r="AW401" i="12"/>
  <c r="AX401" i="12" s="1"/>
  <c r="AW402" i="12"/>
  <c r="AX402" i="12" s="1"/>
  <c r="AW403" i="12"/>
  <c r="AX403" i="12" s="1"/>
  <c r="AW404" i="12"/>
  <c r="AX404" i="12" s="1"/>
  <c r="AU192" i="12"/>
  <c r="AU193" i="12"/>
  <c r="AV193" i="12" s="1"/>
  <c r="AU194" i="12"/>
  <c r="AU195" i="12"/>
  <c r="AU196" i="12"/>
  <c r="AY196" i="12" s="1"/>
  <c r="AU197" i="12"/>
  <c r="AU198" i="12"/>
  <c r="AU199" i="12"/>
  <c r="AU200" i="12"/>
  <c r="AU201" i="12"/>
  <c r="AV201" i="12" s="1"/>
  <c r="AU202" i="12"/>
  <c r="AU203" i="12"/>
  <c r="AU204" i="12"/>
  <c r="AY204" i="12" s="1"/>
  <c r="AU205" i="12"/>
  <c r="AU206" i="12"/>
  <c r="AU207" i="12"/>
  <c r="AV207" i="12" s="1"/>
  <c r="AU208" i="12"/>
  <c r="AU209" i="12"/>
  <c r="AV209" i="12" s="1"/>
  <c r="AU210" i="12"/>
  <c r="AU211" i="12"/>
  <c r="AU212" i="12"/>
  <c r="AY212" i="12" s="1"/>
  <c r="AU213" i="12"/>
  <c r="AU214" i="12"/>
  <c r="AU215" i="12"/>
  <c r="AU216" i="12"/>
  <c r="AU217" i="12"/>
  <c r="AV217" i="12" s="1"/>
  <c r="AU218" i="12"/>
  <c r="AU219" i="12"/>
  <c r="AU220" i="12"/>
  <c r="AY220" i="12" s="1"/>
  <c r="AU221" i="12"/>
  <c r="AU222" i="12"/>
  <c r="AU223" i="12"/>
  <c r="AU224" i="12"/>
  <c r="AU225" i="12"/>
  <c r="AV225" i="12" s="1"/>
  <c r="AU226" i="12"/>
  <c r="AU227" i="12"/>
  <c r="AU228" i="12"/>
  <c r="AY228" i="12" s="1"/>
  <c r="AU229" i="12"/>
  <c r="AU230" i="12"/>
  <c r="AU231" i="12"/>
  <c r="AU232" i="12"/>
  <c r="AU233" i="12"/>
  <c r="AV233" i="12" s="1"/>
  <c r="AU234" i="12"/>
  <c r="AU235" i="12"/>
  <c r="AU236" i="12"/>
  <c r="AY236" i="12" s="1"/>
  <c r="AU237" i="12"/>
  <c r="AU238" i="12"/>
  <c r="AU239" i="12"/>
  <c r="AV239" i="12" s="1"/>
  <c r="AU240" i="12"/>
  <c r="AU241" i="12"/>
  <c r="AV241" i="12" s="1"/>
  <c r="AU242" i="12"/>
  <c r="AU243" i="12"/>
  <c r="AU244" i="12"/>
  <c r="AY244" i="12" s="1"/>
  <c r="AU245" i="12"/>
  <c r="AU246" i="12"/>
  <c r="AU247" i="12"/>
  <c r="AU248" i="12"/>
  <c r="AU249" i="12"/>
  <c r="AV249" i="12" s="1"/>
  <c r="AU250" i="12"/>
  <c r="AU251" i="12"/>
  <c r="AU252" i="12"/>
  <c r="AY252" i="12" s="1"/>
  <c r="AU253" i="12"/>
  <c r="AU254" i="12"/>
  <c r="AU255" i="12"/>
  <c r="AU256" i="12"/>
  <c r="AU257" i="12"/>
  <c r="AV257" i="12" s="1"/>
  <c r="AU258" i="12"/>
  <c r="AU259" i="12"/>
  <c r="AU260" i="12"/>
  <c r="AY260" i="12" s="1"/>
  <c r="AU261" i="12"/>
  <c r="AU262" i="12"/>
  <c r="AU263" i="12"/>
  <c r="AU264" i="12"/>
  <c r="AU265" i="12"/>
  <c r="AV265" i="12" s="1"/>
  <c r="AU266" i="12"/>
  <c r="AU267" i="12"/>
  <c r="AU268" i="12"/>
  <c r="AY268" i="12" s="1"/>
  <c r="AU269" i="12"/>
  <c r="AU270" i="12"/>
  <c r="AU271" i="12"/>
  <c r="AV271" i="12" s="1"/>
  <c r="AU272" i="12"/>
  <c r="AU273" i="12"/>
  <c r="AV273" i="12" s="1"/>
  <c r="AU274" i="12"/>
  <c r="AU275" i="12"/>
  <c r="AU276" i="12"/>
  <c r="AY276" i="12" s="1"/>
  <c r="AU277" i="12"/>
  <c r="AU278" i="12"/>
  <c r="AU279" i="12"/>
  <c r="AU280" i="12"/>
  <c r="AU281" i="12"/>
  <c r="AV281" i="12" s="1"/>
  <c r="AU282" i="12"/>
  <c r="AU283" i="12"/>
  <c r="AY283" i="12" s="1"/>
  <c r="AU284" i="12"/>
  <c r="AY284" i="12" s="1"/>
  <c r="AU285" i="12"/>
  <c r="AU286" i="12"/>
  <c r="AU287" i="12"/>
  <c r="AU288" i="12"/>
  <c r="AU289" i="12"/>
  <c r="AU290" i="12"/>
  <c r="AU291" i="12"/>
  <c r="AY291" i="12" s="1"/>
  <c r="AU292" i="12"/>
  <c r="AY292" i="12" s="1"/>
  <c r="AU293" i="12"/>
  <c r="AY293" i="12" s="1"/>
  <c r="AU294" i="12"/>
  <c r="AU295" i="12"/>
  <c r="AU296" i="12"/>
  <c r="AU297" i="12"/>
  <c r="AV297" i="12" s="1"/>
  <c r="AU298" i="12"/>
  <c r="AU299" i="12"/>
  <c r="AY299" i="12" s="1"/>
  <c r="AU300" i="12"/>
  <c r="AY300" i="12" s="1"/>
  <c r="AU301" i="12"/>
  <c r="AY301" i="12" s="1"/>
  <c r="AU302" i="12"/>
  <c r="AU303" i="12"/>
  <c r="AV303" i="12" s="1"/>
  <c r="AU304" i="12"/>
  <c r="AU305" i="12"/>
  <c r="AV305" i="12" s="1"/>
  <c r="AU306" i="12"/>
  <c r="AU307" i="12"/>
  <c r="AY307" i="12" s="1"/>
  <c r="AU308" i="12"/>
  <c r="AY308" i="12" s="1"/>
  <c r="AU309" i="12"/>
  <c r="AY309" i="12" s="1"/>
  <c r="AU310" i="12"/>
  <c r="AU311" i="12"/>
  <c r="AU312" i="12"/>
  <c r="AU313" i="12"/>
  <c r="AU314" i="12"/>
  <c r="AU315" i="12"/>
  <c r="AY315" i="12" s="1"/>
  <c r="AU316" i="12"/>
  <c r="AY316" i="12" s="1"/>
  <c r="AU317" i="12"/>
  <c r="AY317" i="12" s="1"/>
  <c r="AU318" i="12"/>
  <c r="AU319" i="12"/>
  <c r="AU320" i="12"/>
  <c r="AU321" i="12"/>
  <c r="AU322" i="12"/>
  <c r="AU323" i="12"/>
  <c r="AY323" i="12" s="1"/>
  <c r="AU324" i="12"/>
  <c r="AY324" i="12" s="1"/>
  <c r="AU325" i="12"/>
  <c r="AY325" i="12" s="1"/>
  <c r="AU326" i="12"/>
  <c r="AU327" i="12"/>
  <c r="AU328" i="12"/>
  <c r="AU329" i="12"/>
  <c r="AV329" i="12" s="1"/>
  <c r="AU330" i="12"/>
  <c r="AU331" i="12"/>
  <c r="AY331" i="12" s="1"/>
  <c r="AU332" i="12"/>
  <c r="AY332" i="12" s="1"/>
  <c r="AU333" i="12"/>
  <c r="AY333" i="12" s="1"/>
  <c r="AU334" i="12"/>
  <c r="AU335" i="12"/>
  <c r="AV335" i="12" s="1"/>
  <c r="AU336" i="12"/>
  <c r="AU337" i="12"/>
  <c r="AV337" i="12" s="1"/>
  <c r="AU338" i="12"/>
  <c r="AU339" i="12"/>
  <c r="AY339" i="12" s="1"/>
  <c r="AU340" i="12"/>
  <c r="AY340" i="12" s="1"/>
  <c r="AU341" i="12"/>
  <c r="AY341" i="12" s="1"/>
  <c r="AU342" i="12"/>
  <c r="AU343" i="12"/>
  <c r="AU344" i="12"/>
  <c r="AU345" i="12"/>
  <c r="AU346" i="12"/>
  <c r="AU347" i="12"/>
  <c r="AY347" i="12" s="1"/>
  <c r="AU348" i="12"/>
  <c r="AY348" i="12" s="1"/>
  <c r="AU349" i="12"/>
  <c r="AY349" i="12" s="1"/>
  <c r="AU350" i="12"/>
  <c r="AU351" i="12"/>
  <c r="AU352" i="12"/>
  <c r="AU353" i="12"/>
  <c r="AV353" i="12" s="1"/>
  <c r="AU354" i="12"/>
  <c r="AU355" i="12"/>
  <c r="AV355" i="12" s="1"/>
  <c r="AU356" i="12"/>
  <c r="AY356" i="12" s="1"/>
  <c r="AU357" i="12"/>
  <c r="AY357" i="12" s="1"/>
  <c r="AU358" i="12"/>
  <c r="AU359" i="12"/>
  <c r="AU360" i="12"/>
  <c r="AU361" i="12"/>
  <c r="AU362" i="12"/>
  <c r="AU363" i="12"/>
  <c r="AY363" i="12" s="1"/>
  <c r="AU364" i="12"/>
  <c r="AY364" i="12" s="1"/>
  <c r="AU365" i="12"/>
  <c r="AY365" i="12" s="1"/>
  <c r="AU366" i="12"/>
  <c r="AU367" i="12"/>
  <c r="AU368" i="12"/>
  <c r="AU369" i="12"/>
  <c r="AU370" i="12"/>
  <c r="AU371" i="12"/>
  <c r="AY371" i="12" s="1"/>
  <c r="AU372" i="12"/>
  <c r="AY372" i="12" s="1"/>
  <c r="AU373" i="12"/>
  <c r="AY373" i="12" s="1"/>
  <c r="AU374" i="12"/>
  <c r="AU375" i="12"/>
  <c r="AU376" i="12"/>
  <c r="AU377" i="12"/>
  <c r="AV377" i="12" s="1"/>
  <c r="AU378" i="12"/>
  <c r="AU379" i="12"/>
  <c r="AV379" i="12" s="1"/>
  <c r="AU380" i="12"/>
  <c r="AY380" i="12" s="1"/>
  <c r="AU381" i="12"/>
  <c r="AY381" i="12" s="1"/>
  <c r="AU382" i="12"/>
  <c r="AU383" i="12"/>
  <c r="AU384" i="12"/>
  <c r="AU385" i="12"/>
  <c r="AU386" i="12"/>
  <c r="AU387" i="12"/>
  <c r="AY387" i="12" s="1"/>
  <c r="AU388" i="12"/>
  <c r="AY388" i="12" s="1"/>
  <c r="AU389" i="12"/>
  <c r="AY389" i="12" s="1"/>
  <c r="AU390" i="12"/>
  <c r="AU391" i="12"/>
  <c r="AU392" i="12"/>
  <c r="AU393" i="12"/>
  <c r="AV393" i="12" s="1"/>
  <c r="AU394" i="12"/>
  <c r="AU395" i="12"/>
  <c r="AY395" i="12" s="1"/>
  <c r="AU396" i="12"/>
  <c r="AY396" i="12" s="1"/>
  <c r="AU397" i="12"/>
  <c r="AY397" i="12" s="1"/>
  <c r="AU398" i="12"/>
  <c r="AU399" i="12"/>
  <c r="AV399" i="12" s="1"/>
  <c r="AU400" i="12"/>
  <c r="AU401" i="12"/>
  <c r="AV401" i="12" s="1"/>
  <c r="AU402" i="12"/>
  <c r="AU403" i="12"/>
  <c r="AY403" i="12" s="1"/>
  <c r="AU404" i="12"/>
  <c r="AY404" i="12" s="1"/>
  <c r="AU3" i="12"/>
  <c r="AU4" i="12"/>
  <c r="AU5" i="12"/>
  <c r="AU6" i="12"/>
  <c r="AU8" i="12"/>
  <c r="AU9" i="12"/>
  <c r="AU10" i="12"/>
  <c r="AU11" i="12"/>
  <c r="AU12" i="12"/>
  <c r="AU13" i="12"/>
  <c r="AU14" i="12"/>
  <c r="AU15" i="12"/>
  <c r="AU16" i="12"/>
  <c r="AU17" i="12"/>
  <c r="AU18" i="12"/>
  <c r="AU19" i="12"/>
  <c r="AU20" i="12"/>
  <c r="AU21" i="12"/>
  <c r="AU22" i="12"/>
  <c r="AU23" i="12"/>
  <c r="AU24" i="12"/>
  <c r="AU25" i="12"/>
  <c r="AU26" i="12"/>
  <c r="AU27" i="12"/>
  <c r="AU28" i="12"/>
  <c r="AU29" i="12"/>
  <c r="AU30" i="12"/>
  <c r="AU31" i="12"/>
  <c r="AU32" i="12"/>
  <c r="AU33" i="12"/>
  <c r="AU34" i="12"/>
  <c r="AU35" i="12"/>
  <c r="AU36" i="12"/>
  <c r="AU37" i="12"/>
  <c r="AU38" i="12"/>
  <c r="AU39" i="12"/>
  <c r="AU40" i="12"/>
  <c r="AU41" i="12"/>
  <c r="AU42" i="12"/>
  <c r="AU43" i="12"/>
  <c r="AU44" i="12"/>
  <c r="AU45" i="12"/>
  <c r="AU46" i="12"/>
  <c r="AU47" i="12"/>
  <c r="AU48" i="12"/>
  <c r="AU49" i="12"/>
  <c r="AU50" i="12"/>
  <c r="AU51" i="12"/>
  <c r="AU52" i="12"/>
  <c r="AU53" i="12"/>
  <c r="AU54" i="12"/>
  <c r="AU55" i="12"/>
  <c r="AU56" i="12"/>
  <c r="AU57" i="12"/>
  <c r="AU58" i="12"/>
  <c r="AU59" i="12"/>
  <c r="AU60" i="12"/>
  <c r="AU61" i="12"/>
  <c r="AU62" i="12"/>
  <c r="AU63" i="12"/>
  <c r="AU64" i="12"/>
  <c r="AU65" i="12"/>
  <c r="AU66" i="12"/>
  <c r="AU67" i="12"/>
  <c r="AU68" i="12"/>
  <c r="AU69" i="12"/>
  <c r="AU70" i="12"/>
  <c r="AU71" i="12"/>
  <c r="AU72" i="12"/>
  <c r="AU73" i="12"/>
  <c r="AU74" i="12"/>
  <c r="AU75" i="12"/>
  <c r="AU76" i="12"/>
  <c r="AU77" i="12"/>
  <c r="AU78" i="12"/>
  <c r="AU79" i="12"/>
  <c r="AU80" i="12"/>
  <c r="AU81" i="12"/>
  <c r="AU82" i="12"/>
  <c r="AU83" i="12"/>
  <c r="AU84" i="12"/>
  <c r="AU85" i="12"/>
  <c r="AU86" i="12"/>
  <c r="AU87" i="12"/>
  <c r="AU88" i="12"/>
  <c r="AU89" i="12"/>
  <c r="AU90" i="12"/>
  <c r="AU91" i="12"/>
  <c r="AU92" i="12"/>
  <c r="AU93" i="12"/>
  <c r="AU94" i="12"/>
  <c r="AU95" i="12"/>
  <c r="AU96" i="12"/>
  <c r="AU97" i="12"/>
  <c r="AU98" i="12"/>
  <c r="AU99" i="12"/>
  <c r="AU100" i="12"/>
  <c r="AU101" i="12"/>
  <c r="AU102" i="12"/>
  <c r="AU103" i="12"/>
  <c r="AU104" i="12"/>
  <c r="AU105" i="12"/>
  <c r="AU106" i="12"/>
  <c r="AU107" i="12"/>
  <c r="AU108" i="12"/>
  <c r="AU109" i="12"/>
  <c r="AU110" i="12"/>
  <c r="AU111" i="12"/>
  <c r="AU112" i="12"/>
  <c r="AU113" i="12"/>
  <c r="AU114" i="12"/>
  <c r="AU115" i="12"/>
  <c r="AU116" i="12"/>
  <c r="AU117" i="12"/>
  <c r="AU118" i="12"/>
  <c r="AU119" i="12"/>
  <c r="AU120" i="12"/>
  <c r="AU121" i="12"/>
  <c r="AU122" i="12"/>
  <c r="AU123" i="12"/>
  <c r="AU124" i="12"/>
  <c r="AU125" i="12"/>
  <c r="AU126" i="12"/>
  <c r="AU127" i="12"/>
  <c r="AU128" i="12"/>
  <c r="AU129" i="12"/>
  <c r="AU130" i="12"/>
  <c r="AU131" i="12"/>
  <c r="AU132" i="12"/>
  <c r="AU133" i="12"/>
  <c r="AU134" i="12"/>
  <c r="AU135" i="12"/>
  <c r="AU136" i="12"/>
  <c r="AU137" i="12"/>
  <c r="AU138" i="12"/>
  <c r="AU139" i="12"/>
  <c r="AU140" i="12"/>
  <c r="AU141" i="12"/>
  <c r="AU142" i="12"/>
  <c r="AU143" i="12"/>
  <c r="AU144" i="12"/>
  <c r="AU145" i="12"/>
  <c r="AU146" i="12"/>
  <c r="AU147" i="12"/>
  <c r="AU148" i="12"/>
  <c r="AU149" i="12"/>
  <c r="AU150" i="12"/>
  <c r="AU151" i="12"/>
  <c r="AU152" i="12"/>
  <c r="AU153" i="12"/>
  <c r="AU154" i="12"/>
  <c r="AU155" i="12"/>
  <c r="AU156" i="12"/>
  <c r="AU157" i="12"/>
  <c r="AU158" i="12"/>
  <c r="AU159" i="12"/>
  <c r="AU160" i="12"/>
  <c r="AU161" i="12"/>
  <c r="AU162" i="12"/>
  <c r="AU163" i="12"/>
  <c r="AU164" i="12"/>
  <c r="AU165" i="12"/>
  <c r="AU166" i="12"/>
  <c r="AU167" i="12"/>
  <c r="AU168" i="12"/>
  <c r="AU169" i="12"/>
  <c r="AU170" i="12"/>
  <c r="AU171" i="12"/>
  <c r="AU172" i="12"/>
  <c r="AU173" i="12"/>
  <c r="AU174" i="12"/>
  <c r="AU175" i="12"/>
  <c r="AU176" i="12"/>
  <c r="AU177" i="12"/>
  <c r="AU178" i="12"/>
  <c r="AU179" i="12"/>
  <c r="AU180" i="12"/>
  <c r="AU181" i="12"/>
  <c r="AU182" i="12"/>
  <c r="AU183" i="12"/>
  <c r="AU184" i="12"/>
  <c r="AU185" i="12"/>
  <c r="AU186" i="12"/>
  <c r="AU187" i="12"/>
  <c r="AU188" i="12"/>
  <c r="AU189" i="12"/>
  <c r="AU190" i="12"/>
  <c r="AU191" i="12"/>
  <c r="AU2" i="12"/>
  <c r="AS194" i="12"/>
  <c r="AS217" i="12"/>
  <c r="AS235" i="12"/>
  <c r="AS258" i="12"/>
  <c r="AS281" i="12"/>
  <c r="AS299" i="12"/>
  <c r="AS322" i="12"/>
  <c r="AS345" i="12"/>
  <c r="AR192" i="12"/>
  <c r="AS192" i="12" s="1"/>
  <c r="AR193" i="12"/>
  <c r="AS193" i="12" s="1"/>
  <c r="AR194" i="12"/>
  <c r="AR195" i="12"/>
  <c r="AS195" i="12" s="1"/>
  <c r="AR196" i="12"/>
  <c r="AS196" i="12" s="1"/>
  <c r="AR197" i="12"/>
  <c r="AS197" i="12" s="1"/>
  <c r="AR198" i="12"/>
  <c r="AS198" i="12" s="1"/>
  <c r="AR199" i="12"/>
  <c r="AS199" i="12" s="1"/>
  <c r="AR200" i="12"/>
  <c r="AS200" i="12" s="1"/>
  <c r="AR201" i="12"/>
  <c r="AS201" i="12" s="1"/>
  <c r="AR202" i="12"/>
  <c r="AS202" i="12" s="1"/>
  <c r="AR203" i="12"/>
  <c r="AS203" i="12" s="1"/>
  <c r="AR204" i="12"/>
  <c r="AS204" i="12" s="1"/>
  <c r="AR205" i="12"/>
  <c r="AS205" i="12" s="1"/>
  <c r="AR206" i="12"/>
  <c r="AS206" i="12" s="1"/>
  <c r="AR207" i="12"/>
  <c r="AS207" i="12" s="1"/>
  <c r="AR208" i="12"/>
  <c r="AS208" i="12" s="1"/>
  <c r="AR209" i="12"/>
  <c r="AS209" i="12" s="1"/>
  <c r="AR210" i="12"/>
  <c r="AS210" i="12" s="1"/>
  <c r="AR211" i="12"/>
  <c r="AS211" i="12" s="1"/>
  <c r="AR212" i="12"/>
  <c r="AS212" i="12" s="1"/>
  <c r="AR213" i="12"/>
  <c r="AS213" i="12" s="1"/>
  <c r="AR214" i="12"/>
  <c r="AS214" i="12" s="1"/>
  <c r="AR215" i="12"/>
  <c r="AS215" i="12" s="1"/>
  <c r="AR216" i="12"/>
  <c r="AS216" i="12" s="1"/>
  <c r="AR217" i="12"/>
  <c r="AR218" i="12"/>
  <c r="AS218" i="12" s="1"/>
  <c r="AR219" i="12"/>
  <c r="AS219" i="12" s="1"/>
  <c r="AR220" i="12"/>
  <c r="AS220" i="12" s="1"/>
  <c r="AR221" i="12"/>
  <c r="AS221" i="12" s="1"/>
  <c r="AR222" i="12"/>
  <c r="AS222" i="12" s="1"/>
  <c r="AR223" i="12"/>
  <c r="AS223" i="12" s="1"/>
  <c r="AR224" i="12"/>
  <c r="AS224" i="12" s="1"/>
  <c r="AR225" i="12"/>
  <c r="AS225" i="12" s="1"/>
  <c r="AR226" i="12"/>
  <c r="AS226" i="12" s="1"/>
  <c r="AR227" i="12"/>
  <c r="AS227" i="12" s="1"/>
  <c r="AR228" i="12"/>
  <c r="AS228" i="12" s="1"/>
  <c r="AR229" i="12"/>
  <c r="AS229" i="12" s="1"/>
  <c r="AR230" i="12"/>
  <c r="AS230" i="12" s="1"/>
  <c r="AR231" i="12"/>
  <c r="AS231" i="12" s="1"/>
  <c r="AR232" i="12"/>
  <c r="AS232" i="12" s="1"/>
  <c r="AR233" i="12"/>
  <c r="AS233" i="12" s="1"/>
  <c r="AR234" i="12"/>
  <c r="AS234" i="12" s="1"/>
  <c r="AR235" i="12"/>
  <c r="AR236" i="12"/>
  <c r="AS236" i="12" s="1"/>
  <c r="AR237" i="12"/>
  <c r="AS237" i="12" s="1"/>
  <c r="AR238" i="12"/>
  <c r="AS238" i="12" s="1"/>
  <c r="AR239" i="12"/>
  <c r="AS239" i="12" s="1"/>
  <c r="AR240" i="12"/>
  <c r="AS240" i="12" s="1"/>
  <c r="AR241" i="12"/>
  <c r="AS241" i="12" s="1"/>
  <c r="AR242" i="12"/>
  <c r="AS242" i="12" s="1"/>
  <c r="AR243" i="12"/>
  <c r="AS243" i="12" s="1"/>
  <c r="AR244" i="12"/>
  <c r="AS244" i="12" s="1"/>
  <c r="AR245" i="12"/>
  <c r="AS245" i="12" s="1"/>
  <c r="AR246" i="12"/>
  <c r="AS246" i="12" s="1"/>
  <c r="AR247" i="12"/>
  <c r="AS247" i="12" s="1"/>
  <c r="AR248" i="12"/>
  <c r="AS248" i="12" s="1"/>
  <c r="AR249" i="12"/>
  <c r="AS249" i="12" s="1"/>
  <c r="AR250" i="12"/>
  <c r="AS250" i="12" s="1"/>
  <c r="AR251" i="12"/>
  <c r="AS251" i="12" s="1"/>
  <c r="AR252" i="12"/>
  <c r="AS252" i="12" s="1"/>
  <c r="AR253" i="12"/>
  <c r="AS253" i="12" s="1"/>
  <c r="AR254" i="12"/>
  <c r="AS254" i="12" s="1"/>
  <c r="AR255" i="12"/>
  <c r="AS255" i="12" s="1"/>
  <c r="AR256" i="12"/>
  <c r="AS256" i="12" s="1"/>
  <c r="AR257" i="12"/>
  <c r="AS257" i="12" s="1"/>
  <c r="AR258" i="12"/>
  <c r="AR259" i="12"/>
  <c r="AS259" i="12" s="1"/>
  <c r="AR260" i="12"/>
  <c r="AS260" i="12" s="1"/>
  <c r="AR261" i="12"/>
  <c r="AS261" i="12" s="1"/>
  <c r="AR262" i="12"/>
  <c r="AS262" i="12" s="1"/>
  <c r="AR263" i="12"/>
  <c r="AS263" i="12" s="1"/>
  <c r="AR264" i="12"/>
  <c r="AS264" i="12" s="1"/>
  <c r="AR265" i="12"/>
  <c r="AS265" i="12" s="1"/>
  <c r="AR266" i="12"/>
  <c r="AS266" i="12" s="1"/>
  <c r="AR267" i="12"/>
  <c r="AS267" i="12" s="1"/>
  <c r="AR268" i="12"/>
  <c r="AS268" i="12" s="1"/>
  <c r="AR269" i="12"/>
  <c r="AS269" i="12" s="1"/>
  <c r="AR270" i="12"/>
  <c r="AS270" i="12" s="1"/>
  <c r="AR271" i="12"/>
  <c r="AS271" i="12" s="1"/>
  <c r="AR272" i="12"/>
  <c r="AS272" i="12" s="1"/>
  <c r="AR273" i="12"/>
  <c r="AS273" i="12" s="1"/>
  <c r="AR274" i="12"/>
  <c r="AS274" i="12" s="1"/>
  <c r="AR275" i="12"/>
  <c r="AS275" i="12" s="1"/>
  <c r="AR276" i="12"/>
  <c r="AS276" i="12" s="1"/>
  <c r="AR277" i="12"/>
  <c r="AS277" i="12" s="1"/>
  <c r="AR278" i="12"/>
  <c r="AS278" i="12" s="1"/>
  <c r="AR279" i="12"/>
  <c r="AS279" i="12" s="1"/>
  <c r="AR280" i="12"/>
  <c r="AS280" i="12" s="1"/>
  <c r="AR281" i="12"/>
  <c r="AR282" i="12"/>
  <c r="AS282" i="12" s="1"/>
  <c r="AR283" i="12"/>
  <c r="AS283" i="12" s="1"/>
  <c r="AR284" i="12"/>
  <c r="AS284" i="12" s="1"/>
  <c r="AR285" i="12"/>
  <c r="AS285" i="12" s="1"/>
  <c r="AR286" i="12"/>
  <c r="AS286" i="12" s="1"/>
  <c r="AR287" i="12"/>
  <c r="AS287" i="12" s="1"/>
  <c r="AR288" i="12"/>
  <c r="AS288" i="12" s="1"/>
  <c r="AR289" i="12"/>
  <c r="AS289" i="12" s="1"/>
  <c r="AR290" i="12"/>
  <c r="AS290" i="12" s="1"/>
  <c r="AR291" i="12"/>
  <c r="AS291" i="12" s="1"/>
  <c r="AR292" i="12"/>
  <c r="AS292" i="12" s="1"/>
  <c r="AR293" i="12"/>
  <c r="AS293" i="12" s="1"/>
  <c r="AR294" i="12"/>
  <c r="AS294" i="12" s="1"/>
  <c r="AR295" i="12"/>
  <c r="AS295" i="12" s="1"/>
  <c r="AR296" i="12"/>
  <c r="AS296" i="12" s="1"/>
  <c r="AR297" i="12"/>
  <c r="AS297" i="12" s="1"/>
  <c r="AR298" i="12"/>
  <c r="AS298" i="12" s="1"/>
  <c r="AR299" i="12"/>
  <c r="AR300" i="12"/>
  <c r="AS300" i="12" s="1"/>
  <c r="AR301" i="12"/>
  <c r="AS301" i="12" s="1"/>
  <c r="AR302" i="12"/>
  <c r="AS302" i="12" s="1"/>
  <c r="AR303" i="12"/>
  <c r="AS303" i="12" s="1"/>
  <c r="AR304" i="12"/>
  <c r="AS304" i="12" s="1"/>
  <c r="AR305" i="12"/>
  <c r="AS305" i="12" s="1"/>
  <c r="AR306" i="12"/>
  <c r="AS306" i="12" s="1"/>
  <c r="AR307" i="12"/>
  <c r="AS307" i="12" s="1"/>
  <c r="AR308" i="12"/>
  <c r="AS308" i="12" s="1"/>
  <c r="AR309" i="12"/>
  <c r="AS309" i="12" s="1"/>
  <c r="AR310" i="12"/>
  <c r="AS310" i="12" s="1"/>
  <c r="AR311" i="12"/>
  <c r="AS311" i="12" s="1"/>
  <c r="AR312" i="12"/>
  <c r="AS312" i="12" s="1"/>
  <c r="AR313" i="12"/>
  <c r="AS313" i="12" s="1"/>
  <c r="AR314" i="12"/>
  <c r="AS314" i="12" s="1"/>
  <c r="AR315" i="12"/>
  <c r="AS315" i="12" s="1"/>
  <c r="AR316" i="12"/>
  <c r="AS316" i="12" s="1"/>
  <c r="AR317" i="12"/>
  <c r="AS317" i="12" s="1"/>
  <c r="AR318" i="12"/>
  <c r="AS318" i="12" s="1"/>
  <c r="AR319" i="12"/>
  <c r="AS319" i="12" s="1"/>
  <c r="AR320" i="12"/>
  <c r="AS320" i="12" s="1"/>
  <c r="AR321" i="12"/>
  <c r="AS321" i="12" s="1"/>
  <c r="AR322" i="12"/>
  <c r="AR323" i="12"/>
  <c r="AS323" i="12" s="1"/>
  <c r="AR324" i="12"/>
  <c r="AS324" i="12" s="1"/>
  <c r="AR325" i="12"/>
  <c r="AS325" i="12" s="1"/>
  <c r="AR326" i="12"/>
  <c r="AS326" i="12" s="1"/>
  <c r="AR327" i="12"/>
  <c r="AS327" i="12" s="1"/>
  <c r="AR328" i="12"/>
  <c r="AS328" i="12" s="1"/>
  <c r="AR329" i="12"/>
  <c r="AS329" i="12" s="1"/>
  <c r="AR330" i="12"/>
  <c r="AS330" i="12" s="1"/>
  <c r="AR331" i="12"/>
  <c r="AS331" i="12" s="1"/>
  <c r="AR332" i="12"/>
  <c r="AS332" i="12" s="1"/>
  <c r="AR333" i="12"/>
  <c r="AS333" i="12" s="1"/>
  <c r="AR334" i="12"/>
  <c r="AS334" i="12" s="1"/>
  <c r="AR335" i="12"/>
  <c r="AS335" i="12" s="1"/>
  <c r="AR336" i="12"/>
  <c r="AS336" i="12" s="1"/>
  <c r="AR337" i="12"/>
  <c r="AS337" i="12" s="1"/>
  <c r="AR338" i="12"/>
  <c r="AS338" i="12" s="1"/>
  <c r="AR339" i="12"/>
  <c r="AS339" i="12" s="1"/>
  <c r="AR340" i="12"/>
  <c r="AS340" i="12" s="1"/>
  <c r="AR341" i="12"/>
  <c r="AS341" i="12" s="1"/>
  <c r="AR342" i="12"/>
  <c r="AS342" i="12" s="1"/>
  <c r="AR343" i="12"/>
  <c r="AS343" i="12" s="1"/>
  <c r="AR344" i="12"/>
  <c r="AS344" i="12" s="1"/>
  <c r="AR345" i="12"/>
  <c r="AR346" i="12"/>
  <c r="AS346" i="12" s="1"/>
  <c r="AR347" i="12"/>
  <c r="AS347" i="12" s="1"/>
  <c r="AR348" i="12"/>
  <c r="AS348" i="12" s="1"/>
  <c r="AR349" i="12"/>
  <c r="AS349" i="12" s="1"/>
  <c r="AR350" i="12"/>
  <c r="AS350" i="12" s="1"/>
  <c r="AR351" i="12"/>
  <c r="AS351" i="12" s="1"/>
  <c r="AR352" i="12"/>
  <c r="AS352" i="12" s="1"/>
  <c r="AR353" i="12"/>
  <c r="AS353" i="12" s="1"/>
  <c r="AR354" i="12"/>
  <c r="AS354" i="12" s="1"/>
  <c r="AR355" i="12"/>
  <c r="AS355" i="12" s="1"/>
  <c r="AR356" i="12"/>
  <c r="AS356" i="12" s="1"/>
  <c r="AR357" i="12"/>
  <c r="AS357" i="12" s="1"/>
  <c r="AR358" i="12"/>
  <c r="AS358" i="12" s="1"/>
  <c r="AR359" i="12"/>
  <c r="AS359" i="12" s="1"/>
  <c r="AR360" i="12"/>
  <c r="AS360" i="12" s="1"/>
  <c r="AR361" i="12"/>
  <c r="AS361" i="12" s="1"/>
  <c r="AR362" i="12"/>
  <c r="AS362" i="12" s="1"/>
  <c r="AR363" i="12"/>
  <c r="AS363" i="12" s="1"/>
  <c r="AR364" i="12"/>
  <c r="AS364" i="12" s="1"/>
  <c r="AR365" i="12"/>
  <c r="AS365" i="12" s="1"/>
  <c r="AR366" i="12"/>
  <c r="AS366" i="12" s="1"/>
  <c r="AR367" i="12"/>
  <c r="AS367" i="12" s="1"/>
  <c r="AR368" i="12"/>
  <c r="AS368" i="12" s="1"/>
  <c r="AR369" i="12"/>
  <c r="AS369" i="12" s="1"/>
  <c r="AR370" i="12"/>
  <c r="AS370" i="12" s="1"/>
  <c r="AR371" i="12"/>
  <c r="AS371" i="12" s="1"/>
  <c r="AR372" i="12"/>
  <c r="AS372" i="12" s="1"/>
  <c r="AR373" i="12"/>
  <c r="AS373" i="12" s="1"/>
  <c r="AR374" i="12"/>
  <c r="AS374" i="12" s="1"/>
  <c r="AR375" i="12"/>
  <c r="AS375" i="12" s="1"/>
  <c r="AR376" i="12"/>
  <c r="AS376" i="12" s="1"/>
  <c r="AR377" i="12"/>
  <c r="AS377" i="12" s="1"/>
  <c r="AR378" i="12"/>
  <c r="AS378" i="12" s="1"/>
  <c r="AR379" i="12"/>
  <c r="AS379" i="12" s="1"/>
  <c r="AR380" i="12"/>
  <c r="AS380" i="12" s="1"/>
  <c r="AR381" i="12"/>
  <c r="AS381" i="12" s="1"/>
  <c r="AR382" i="12"/>
  <c r="AS382" i="12" s="1"/>
  <c r="AR383" i="12"/>
  <c r="AS383" i="12" s="1"/>
  <c r="AR384" i="12"/>
  <c r="AS384" i="12" s="1"/>
  <c r="AR385" i="12"/>
  <c r="AS385" i="12" s="1"/>
  <c r="AR386" i="12"/>
  <c r="AS386" i="12" s="1"/>
  <c r="AR387" i="12"/>
  <c r="AS387" i="12" s="1"/>
  <c r="AR388" i="12"/>
  <c r="AS388" i="12" s="1"/>
  <c r="AR389" i="12"/>
  <c r="AS389" i="12" s="1"/>
  <c r="AR390" i="12"/>
  <c r="AS390" i="12" s="1"/>
  <c r="AR391" i="12"/>
  <c r="AS391" i="12" s="1"/>
  <c r="AR392" i="12"/>
  <c r="AS392" i="12" s="1"/>
  <c r="AR393" i="12"/>
  <c r="AS393" i="12" s="1"/>
  <c r="AR394" i="12"/>
  <c r="AS394" i="12" s="1"/>
  <c r="AR395" i="12"/>
  <c r="AS395" i="12" s="1"/>
  <c r="AR396" i="12"/>
  <c r="AS396" i="12" s="1"/>
  <c r="AR397" i="12"/>
  <c r="AS397" i="12" s="1"/>
  <c r="AR398" i="12"/>
  <c r="AS398" i="12" s="1"/>
  <c r="AR399" i="12"/>
  <c r="AS399" i="12" s="1"/>
  <c r="AR400" i="12"/>
  <c r="AS400" i="12" s="1"/>
  <c r="AR401" i="12"/>
  <c r="AS401" i="12" s="1"/>
  <c r="AR402" i="12"/>
  <c r="AS402" i="12" s="1"/>
  <c r="AR403" i="12"/>
  <c r="AS403" i="12" s="1"/>
  <c r="AR404" i="12"/>
  <c r="AS404" i="12" s="1"/>
  <c r="AP192" i="12"/>
  <c r="AP193" i="12"/>
  <c r="AT193" i="12" s="1"/>
  <c r="AP194" i="12"/>
  <c r="AP195" i="12"/>
  <c r="AT195" i="12" s="1"/>
  <c r="AP196" i="12"/>
  <c r="AP197" i="12"/>
  <c r="AP198" i="12"/>
  <c r="AP199" i="12"/>
  <c r="AT199" i="12" s="1"/>
  <c r="AP200" i="12"/>
  <c r="AP201" i="12"/>
  <c r="AT201" i="12" s="1"/>
  <c r="AP202" i="12"/>
  <c r="AP203" i="12"/>
  <c r="AT203" i="12" s="1"/>
  <c r="AP204" i="12"/>
  <c r="AP205" i="12"/>
  <c r="AP206" i="12"/>
  <c r="AP207" i="12"/>
  <c r="AT207" i="12" s="1"/>
  <c r="AP208" i="12"/>
  <c r="AP209" i="12"/>
  <c r="AT209" i="12" s="1"/>
  <c r="AP210" i="12"/>
  <c r="AP211" i="12"/>
  <c r="AT211" i="12" s="1"/>
  <c r="AP212" i="12"/>
  <c r="AP213" i="12"/>
  <c r="AP214" i="12"/>
  <c r="AP215" i="12"/>
  <c r="AT215" i="12" s="1"/>
  <c r="AP216" i="12"/>
  <c r="AP217" i="12"/>
  <c r="AT217" i="12" s="1"/>
  <c r="AP218" i="12"/>
  <c r="AP219" i="12"/>
  <c r="AT219" i="12" s="1"/>
  <c r="AP220" i="12"/>
  <c r="AQ220" i="12" s="1"/>
  <c r="AP221" i="12"/>
  <c r="AP222" i="12"/>
  <c r="AP223" i="12"/>
  <c r="AT223" i="12" s="1"/>
  <c r="AP224" i="12"/>
  <c r="AP225" i="12"/>
  <c r="AT225" i="12" s="1"/>
  <c r="AP226" i="12"/>
  <c r="AP227" i="12"/>
  <c r="AT227" i="12" s="1"/>
  <c r="AP228" i="12"/>
  <c r="AQ228" i="12" s="1"/>
  <c r="AP229" i="12"/>
  <c r="AP230" i="12"/>
  <c r="AP231" i="12"/>
  <c r="AT231" i="12" s="1"/>
  <c r="AP232" i="12"/>
  <c r="AP233" i="12"/>
  <c r="AT233" i="12" s="1"/>
  <c r="AP234" i="12"/>
  <c r="AP235" i="12"/>
  <c r="AT235" i="12" s="1"/>
  <c r="AP236" i="12"/>
  <c r="AP237" i="12"/>
  <c r="AP238" i="12"/>
  <c r="AP239" i="12"/>
  <c r="AT239" i="12" s="1"/>
  <c r="AP240" i="12"/>
  <c r="AP241" i="12"/>
  <c r="AT241" i="12" s="1"/>
  <c r="AP242" i="12"/>
  <c r="AP243" i="12"/>
  <c r="AT243" i="12" s="1"/>
  <c r="AP244" i="12"/>
  <c r="AQ244" i="12" s="1"/>
  <c r="AP245" i="12"/>
  <c r="AP246" i="12"/>
  <c r="AP247" i="12"/>
  <c r="AT247" i="12" s="1"/>
  <c r="AP248" i="12"/>
  <c r="AP249" i="12"/>
  <c r="AT249" i="12" s="1"/>
  <c r="AP250" i="12"/>
  <c r="AP251" i="12"/>
  <c r="AT251" i="12" s="1"/>
  <c r="AP252" i="12"/>
  <c r="AP253" i="12"/>
  <c r="AP254" i="12"/>
  <c r="AP255" i="12"/>
  <c r="AT255" i="12" s="1"/>
  <c r="AP256" i="12"/>
  <c r="AP257" i="12"/>
  <c r="AT257" i="12" s="1"/>
  <c r="AP258" i="12"/>
  <c r="AP259" i="12"/>
  <c r="AT259" i="12" s="1"/>
  <c r="AP260" i="12"/>
  <c r="AP261" i="12"/>
  <c r="AP262" i="12"/>
  <c r="AP263" i="12"/>
  <c r="AT263" i="12" s="1"/>
  <c r="AP264" i="12"/>
  <c r="AP265" i="12"/>
  <c r="AT265" i="12" s="1"/>
  <c r="AP266" i="12"/>
  <c r="AP267" i="12"/>
  <c r="AT267" i="12" s="1"/>
  <c r="AP268" i="12"/>
  <c r="AQ268" i="12" s="1"/>
  <c r="AP269" i="12"/>
  <c r="AP270" i="12"/>
  <c r="AP271" i="12"/>
  <c r="AT271" i="12" s="1"/>
  <c r="AP272" i="12"/>
  <c r="AP273" i="12"/>
  <c r="AT273" i="12" s="1"/>
  <c r="AP274" i="12"/>
  <c r="AP275" i="12"/>
  <c r="AT275" i="12" s="1"/>
  <c r="AP276" i="12"/>
  <c r="AP277" i="12"/>
  <c r="AP278" i="12"/>
  <c r="AP279" i="12"/>
  <c r="AT279" i="12" s="1"/>
  <c r="AP280" i="12"/>
  <c r="AP281" i="12"/>
  <c r="AT281" i="12" s="1"/>
  <c r="AP282" i="12"/>
  <c r="AP283" i="12"/>
  <c r="AT283" i="12" s="1"/>
  <c r="AP284" i="12"/>
  <c r="AQ284" i="12" s="1"/>
  <c r="AP285" i="12"/>
  <c r="AP286" i="12"/>
  <c r="AP287" i="12"/>
  <c r="AT287" i="12" s="1"/>
  <c r="AP288" i="12"/>
  <c r="AP289" i="12"/>
  <c r="AT289" i="12" s="1"/>
  <c r="AP290" i="12"/>
  <c r="AP291" i="12"/>
  <c r="AT291" i="12" s="1"/>
  <c r="AP292" i="12"/>
  <c r="AQ292" i="12" s="1"/>
  <c r="AP293" i="12"/>
  <c r="AP294" i="12"/>
  <c r="AP295" i="12"/>
  <c r="AT295" i="12" s="1"/>
  <c r="AP296" i="12"/>
  <c r="AP297" i="12"/>
  <c r="AT297" i="12" s="1"/>
  <c r="AP298" i="12"/>
  <c r="AP299" i="12"/>
  <c r="AT299" i="12" s="1"/>
  <c r="AP300" i="12"/>
  <c r="AQ300" i="12" s="1"/>
  <c r="AP301" i="12"/>
  <c r="AP302" i="12"/>
  <c r="AP303" i="12"/>
  <c r="AT303" i="12" s="1"/>
  <c r="AP304" i="12"/>
  <c r="AP305" i="12"/>
  <c r="AT305" i="12" s="1"/>
  <c r="AP306" i="12"/>
  <c r="AP307" i="12"/>
  <c r="AT307" i="12" s="1"/>
  <c r="AP308" i="12"/>
  <c r="AQ308" i="12" s="1"/>
  <c r="AP309" i="12"/>
  <c r="AP310" i="12"/>
  <c r="AP311" i="12"/>
  <c r="AT311" i="12" s="1"/>
  <c r="AP312" i="12"/>
  <c r="AP313" i="12"/>
  <c r="AT313" i="12" s="1"/>
  <c r="AP314" i="12"/>
  <c r="AP315" i="12"/>
  <c r="AT315" i="12" s="1"/>
  <c r="AP316" i="12"/>
  <c r="AP317" i="12"/>
  <c r="AP318" i="12"/>
  <c r="AP319" i="12"/>
  <c r="AT319" i="12" s="1"/>
  <c r="AP320" i="12"/>
  <c r="AP321" i="12"/>
  <c r="AT321" i="12" s="1"/>
  <c r="AP322" i="12"/>
  <c r="AP323" i="12"/>
  <c r="AT323" i="12" s="1"/>
  <c r="AP324" i="12"/>
  <c r="AP325" i="12"/>
  <c r="AP326" i="12"/>
  <c r="AP327" i="12"/>
  <c r="AT327" i="12" s="1"/>
  <c r="AP328" i="12"/>
  <c r="AP329" i="12"/>
  <c r="AT329" i="12" s="1"/>
  <c r="AP330" i="12"/>
  <c r="AP331" i="12"/>
  <c r="AT331" i="12" s="1"/>
  <c r="AP332" i="12"/>
  <c r="AQ332" i="12" s="1"/>
  <c r="AP333" i="12"/>
  <c r="AP334" i="12"/>
  <c r="AP335" i="12"/>
  <c r="AT335" i="12" s="1"/>
  <c r="AP336" i="12"/>
  <c r="AP337" i="12"/>
  <c r="AT337" i="12" s="1"/>
  <c r="AP338" i="12"/>
  <c r="AP339" i="12"/>
  <c r="AT339" i="12" s="1"/>
  <c r="AP340" i="12"/>
  <c r="AQ340" i="12" s="1"/>
  <c r="AP341" i="12"/>
  <c r="AP342" i="12"/>
  <c r="AP343" i="12"/>
  <c r="AT343" i="12" s="1"/>
  <c r="AP344" i="12"/>
  <c r="AP345" i="12"/>
  <c r="AT345" i="12" s="1"/>
  <c r="AP346" i="12"/>
  <c r="AP347" i="12"/>
  <c r="AT347" i="12" s="1"/>
  <c r="AP348" i="12"/>
  <c r="AQ348" i="12" s="1"/>
  <c r="AP349" i="12"/>
  <c r="AP350" i="12"/>
  <c r="AP351" i="12"/>
  <c r="AT351" i="12" s="1"/>
  <c r="AP352" i="12"/>
  <c r="AP353" i="12"/>
  <c r="AT353" i="12" s="1"/>
  <c r="AP354" i="12"/>
  <c r="AP355" i="12"/>
  <c r="AT355" i="12" s="1"/>
  <c r="AP356" i="12"/>
  <c r="AQ356" i="12" s="1"/>
  <c r="AP357" i="12"/>
  <c r="AP358" i="12"/>
  <c r="AP359" i="12"/>
  <c r="AT359" i="12" s="1"/>
  <c r="AP360" i="12"/>
  <c r="AP361" i="12"/>
  <c r="AT361" i="12" s="1"/>
  <c r="AP362" i="12"/>
  <c r="AP363" i="12"/>
  <c r="AT363" i="12" s="1"/>
  <c r="AP364" i="12"/>
  <c r="AQ364" i="12" s="1"/>
  <c r="AP365" i="12"/>
  <c r="AP366" i="12"/>
  <c r="AP367" i="12"/>
  <c r="AT367" i="12" s="1"/>
  <c r="AP368" i="12"/>
  <c r="AP369" i="12"/>
  <c r="AT369" i="12" s="1"/>
  <c r="AP370" i="12"/>
  <c r="AP371" i="12"/>
  <c r="AT371" i="12" s="1"/>
  <c r="AP372" i="12"/>
  <c r="AQ372" i="12" s="1"/>
  <c r="AP373" i="12"/>
  <c r="AP374" i="12"/>
  <c r="AP375" i="12"/>
  <c r="AT375" i="12" s="1"/>
  <c r="AP376" i="12"/>
  <c r="AP377" i="12"/>
  <c r="AT377" i="12" s="1"/>
  <c r="AP378" i="12"/>
  <c r="AP379" i="12"/>
  <c r="AT379" i="12" s="1"/>
  <c r="AP380" i="12"/>
  <c r="AQ380" i="12" s="1"/>
  <c r="AP381" i="12"/>
  <c r="AP382" i="12"/>
  <c r="AP383" i="12"/>
  <c r="AT383" i="12" s="1"/>
  <c r="AP384" i="12"/>
  <c r="AP385" i="12"/>
  <c r="AT385" i="12" s="1"/>
  <c r="AP386" i="12"/>
  <c r="AP387" i="12"/>
  <c r="AT387" i="12" s="1"/>
  <c r="AP388" i="12"/>
  <c r="AP389" i="12"/>
  <c r="AP390" i="12"/>
  <c r="AP391" i="12"/>
  <c r="AT391" i="12" s="1"/>
  <c r="AP392" i="12"/>
  <c r="AP393" i="12"/>
  <c r="AT393" i="12" s="1"/>
  <c r="AP394" i="12"/>
  <c r="AP395" i="12"/>
  <c r="AT395" i="12" s="1"/>
  <c r="AP396" i="12"/>
  <c r="AQ396" i="12" s="1"/>
  <c r="AP397" i="12"/>
  <c r="AP398" i="12"/>
  <c r="AP399" i="12"/>
  <c r="AT399" i="12" s="1"/>
  <c r="AP400" i="12"/>
  <c r="AP401" i="12"/>
  <c r="AT401" i="12" s="1"/>
  <c r="AP402" i="12"/>
  <c r="AP403" i="12"/>
  <c r="AT403" i="12" s="1"/>
  <c r="AP404" i="12"/>
  <c r="AQ404" i="12" s="1"/>
  <c r="AP3" i="12"/>
  <c r="AP4" i="12"/>
  <c r="AP5" i="12"/>
  <c r="AP6" i="12"/>
  <c r="AP8" i="12"/>
  <c r="AP9" i="12"/>
  <c r="AP10" i="12"/>
  <c r="AP11" i="12"/>
  <c r="AP12" i="12"/>
  <c r="AP13" i="12"/>
  <c r="AP14" i="12"/>
  <c r="AP15" i="12"/>
  <c r="AP16" i="12"/>
  <c r="AP17" i="12"/>
  <c r="AP18" i="12"/>
  <c r="AP19" i="12"/>
  <c r="AP20" i="12"/>
  <c r="AP21" i="12"/>
  <c r="AP22" i="12"/>
  <c r="AP23" i="12"/>
  <c r="AP24" i="12"/>
  <c r="AP25" i="12"/>
  <c r="AP26" i="12"/>
  <c r="AP27" i="12"/>
  <c r="AP28" i="12"/>
  <c r="AP29" i="12"/>
  <c r="AP30" i="12"/>
  <c r="AP31" i="12"/>
  <c r="AP32" i="12"/>
  <c r="AP33" i="12"/>
  <c r="AP34" i="12"/>
  <c r="AP35" i="12"/>
  <c r="AP36" i="12"/>
  <c r="AP37" i="12"/>
  <c r="AP38" i="12"/>
  <c r="AP39" i="12"/>
  <c r="AP40" i="12"/>
  <c r="AP41" i="12"/>
  <c r="AP42" i="12"/>
  <c r="AP43" i="12"/>
  <c r="AP44" i="12"/>
  <c r="AP45" i="12"/>
  <c r="AP46" i="12"/>
  <c r="AP47" i="12"/>
  <c r="AP48" i="12"/>
  <c r="AP49" i="12"/>
  <c r="AP50" i="12"/>
  <c r="AP51" i="12"/>
  <c r="AP52" i="12"/>
  <c r="AP53" i="12"/>
  <c r="AP54" i="12"/>
  <c r="AP55" i="12"/>
  <c r="AP56" i="12"/>
  <c r="AP57" i="12"/>
  <c r="AP58" i="12"/>
  <c r="AP59" i="12"/>
  <c r="AP60" i="12"/>
  <c r="AP61" i="12"/>
  <c r="AP62" i="12"/>
  <c r="AP63" i="12"/>
  <c r="AP64" i="12"/>
  <c r="AP65" i="12"/>
  <c r="AP66" i="12"/>
  <c r="AP67" i="12"/>
  <c r="AP68" i="12"/>
  <c r="AP69" i="12"/>
  <c r="AP70" i="12"/>
  <c r="AP71" i="12"/>
  <c r="AP72" i="12"/>
  <c r="AP73" i="12"/>
  <c r="AP74" i="12"/>
  <c r="AP75" i="12"/>
  <c r="AP76" i="12"/>
  <c r="AP77" i="12"/>
  <c r="AP78" i="12"/>
  <c r="AP79" i="12"/>
  <c r="AP80" i="12"/>
  <c r="AP81" i="12"/>
  <c r="AP82" i="12"/>
  <c r="AP83" i="12"/>
  <c r="AP84" i="12"/>
  <c r="AP85" i="12"/>
  <c r="AP86" i="12"/>
  <c r="AP87" i="12"/>
  <c r="AP88" i="12"/>
  <c r="AP89" i="12"/>
  <c r="AP90" i="12"/>
  <c r="AP91" i="12"/>
  <c r="AP92" i="12"/>
  <c r="AP93" i="12"/>
  <c r="AP94" i="12"/>
  <c r="AP95" i="12"/>
  <c r="AP96" i="12"/>
  <c r="AP97" i="12"/>
  <c r="AP98" i="12"/>
  <c r="AP99" i="12"/>
  <c r="AP100" i="12"/>
  <c r="AP101" i="12"/>
  <c r="AP102" i="12"/>
  <c r="AP103" i="12"/>
  <c r="AP104" i="12"/>
  <c r="AP105" i="12"/>
  <c r="AP106" i="12"/>
  <c r="AP107" i="12"/>
  <c r="AP108" i="12"/>
  <c r="AP109" i="12"/>
  <c r="AP110" i="12"/>
  <c r="AP111" i="12"/>
  <c r="AP112" i="12"/>
  <c r="AP113" i="12"/>
  <c r="AP114" i="12"/>
  <c r="AP115" i="12"/>
  <c r="AP116" i="12"/>
  <c r="AP117" i="12"/>
  <c r="AP118" i="12"/>
  <c r="AP119" i="12"/>
  <c r="AP120" i="12"/>
  <c r="AP121" i="12"/>
  <c r="AP122" i="12"/>
  <c r="AP123" i="12"/>
  <c r="AP124" i="12"/>
  <c r="AP125" i="12"/>
  <c r="AP126" i="12"/>
  <c r="AP127" i="12"/>
  <c r="AP128" i="12"/>
  <c r="AP129" i="12"/>
  <c r="AP130" i="12"/>
  <c r="AP131" i="12"/>
  <c r="AP132" i="12"/>
  <c r="AP133" i="12"/>
  <c r="AP134" i="12"/>
  <c r="AP135" i="12"/>
  <c r="AP136" i="12"/>
  <c r="AP137" i="12"/>
  <c r="AP138" i="12"/>
  <c r="AP139" i="12"/>
  <c r="AP140" i="12"/>
  <c r="AP141" i="12"/>
  <c r="AP142" i="12"/>
  <c r="AP143" i="12"/>
  <c r="AP144" i="12"/>
  <c r="AP145" i="12"/>
  <c r="AP146" i="12"/>
  <c r="AP147" i="12"/>
  <c r="AP148" i="12"/>
  <c r="AP149" i="12"/>
  <c r="AP150" i="12"/>
  <c r="AP151" i="12"/>
  <c r="AP152" i="12"/>
  <c r="AP153" i="12"/>
  <c r="AP154" i="12"/>
  <c r="AP155" i="12"/>
  <c r="AP156" i="12"/>
  <c r="AP157" i="12"/>
  <c r="AP158" i="12"/>
  <c r="AP159" i="12"/>
  <c r="AP160" i="12"/>
  <c r="AP161" i="12"/>
  <c r="AP162" i="12"/>
  <c r="AP163" i="12"/>
  <c r="AP164" i="12"/>
  <c r="AP165" i="12"/>
  <c r="AP166" i="12"/>
  <c r="AP167" i="12"/>
  <c r="AP168" i="12"/>
  <c r="AP169" i="12"/>
  <c r="AP170" i="12"/>
  <c r="AP171" i="12"/>
  <c r="AP172" i="12"/>
  <c r="AP173" i="12"/>
  <c r="AP174" i="12"/>
  <c r="AP175" i="12"/>
  <c r="AP176" i="12"/>
  <c r="AP177" i="12"/>
  <c r="AP178" i="12"/>
  <c r="AP179" i="12"/>
  <c r="AP180" i="12"/>
  <c r="AP181" i="12"/>
  <c r="AP182" i="12"/>
  <c r="AP183" i="12"/>
  <c r="AP184" i="12"/>
  <c r="AP185" i="12"/>
  <c r="AP186" i="12"/>
  <c r="AP187" i="12"/>
  <c r="AP188" i="12"/>
  <c r="AP189" i="12"/>
  <c r="AP190" i="12"/>
  <c r="AP191" i="12"/>
  <c r="AP2" i="12"/>
  <c r="AN213" i="12"/>
  <c r="AN253" i="12"/>
  <c r="AM192" i="12"/>
  <c r="AN192" i="12" s="1"/>
  <c r="AM193" i="12"/>
  <c r="AN193" i="12" s="1"/>
  <c r="AM194" i="12"/>
  <c r="AN194" i="12" s="1"/>
  <c r="AM195" i="12"/>
  <c r="AN195" i="12" s="1"/>
  <c r="AM196" i="12"/>
  <c r="AN196" i="12" s="1"/>
  <c r="AM197" i="12"/>
  <c r="AN197" i="12" s="1"/>
  <c r="AM198" i="12"/>
  <c r="AN198" i="12" s="1"/>
  <c r="AM199" i="12"/>
  <c r="AN199" i="12" s="1"/>
  <c r="AM200" i="12"/>
  <c r="AN200" i="12" s="1"/>
  <c r="AM201" i="12"/>
  <c r="AN201" i="12" s="1"/>
  <c r="AM202" i="12"/>
  <c r="AN202" i="12" s="1"/>
  <c r="AM203" i="12"/>
  <c r="AN203" i="12" s="1"/>
  <c r="AM204" i="12"/>
  <c r="AN204" i="12" s="1"/>
  <c r="AM205" i="12"/>
  <c r="AN205" i="12" s="1"/>
  <c r="AM206" i="12"/>
  <c r="AN206" i="12" s="1"/>
  <c r="AM207" i="12"/>
  <c r="AN207" i="12" s="1"/>
  <c r="AM208" i="12"/>
  <c r="AN208" i="12" s="1"/>
  <c r="AM209" i="12"/>
  <c r="AN209" i="12" s="1"/>
  <c r="AM210" i="12"/>
  <c r="AN210" i="12" s="1"/>
  <c r="AM211" i="12"/>
  <c r="AN211" i="12" s="1"/>
  <c r="AM212" i="12"/>
  <c r="AN212" i="12" s="1"/>
  <c r="AM213" i="12"/>
  <c r="AM214" i="12"/>
  <c r="AN214" i="12" s="1"/>
  <c r="AM215" i="12"/>
  <c r="AN215" i="12" s="1"/>
  <c r="AM216" i="12"/>
  <c r="AN216" i="12" s="1"/>
  <c r="AM217" i="12"/>
  <c r="AN217" i="12" s="1"/>
  <c r="AM218" i="12"/>
  <c r="AN218" i="12" s="1"/>
  <c r="AM219" i="12"/>
  <c r="AN219" i="12" s="1"/>
  <c r="AM220" i="12"/>
  <c r="AN220" i="12" s="1"/>
  <c r="AM221" i="12"/>
  <c r="AN221" i="12" s="1"/>
  <c r="AM222" i="12"/>
  <c r="AN222" i="12" s="1"/>
  <c r="AM223" i="12"/>
  <c r="AN223" i="12" s="1"/>
  <c r="AM224" i="12"/>
  <c r="AN224" i="12" s="1"/>
  <c r="AM225" i="12"/>
  <c r="AN225" i="12" s="1"/>
  <c r="AM226" i="12"/>
  <c r="AN226" i="12" s="1"/>
  <c r="AM227" i="12"/>
  <c r="AN227" i="12" s="1"/>
  <c r="AM228" i="12"/>
  <c r="AN228" i="12" s="1"/>
  <c r="AM229" i="12"/>
  <c r="AN229" i="12" s="1"/>
  <c r="AM230" i="12"/>
  <c r="AN230" i="12" s="1"/>
  <c r="AM231" i="12"/>
  <c r="AN231" i="12" s="1"/>
  <c r="AM232" i="12"/>
  <c r="AN232" i="12" s="1"/>
  <c r="AM233" i="12"/>
  <c r="AN233" i="12" s="1"/>
  <c r="AM234" i="12"/>
  <c r="AN234" i="12" s="1"/>
  <c r="AM235" i="12"/>
  <c r="AN235" i="12" s="1"/>
  <c r="AM236" i="12"/>
  <c r="AN236" i="12" s="1"/>
  <c r="AM237" i="12"/>
  <c r="AN237" i="12" s="1"/>
  <c r="AM238" i="12"/>
  <c r="AN238" i="12" s="1"/>
  <c r="AM239" i="12"/>
  <c r="AN239" i="12" s="1"/>
  <c r="AM240" i="12"/>
  <c r="AN240" i="12" s="1"/>
  <c r="AM241" i="12"/>
  <c r="AN241" i="12" s="1"/>
  <c r="AM242" i="12"/>
  <c r="AN242" i="12" s="1"/>
  <c r="AM243" i="12"/>
  <c r="AN243" i="12" s="1"/>
  <c r="AM244" i="12"/>
  <c r="AN244" i="12" s="1"/>
  <c r="AM245" i="12"/>
  <c r="AN245" i="12" s="1"/>
  <c r="AM246" i="12"/>
  <c r="AN246" i="12" s="1"/>
  <c r="AM247" i="12"/>
  <c r="AN247" i="12" s="1"/>
  <c r="AM248" i="12"/>
  <c r="AN248" i="12" s="1"/>
  <c r="AM249" i="12"/>
  <c r="AN249" i="12" s="1"/>
  <c r="AM250" i="12"/>
  <c r="AN250" i="12" s="1"/>
  <c r="AM251" i="12"/>
  <c r="AN251" i="12" s="1"/>
  <c r="AM252" i="12"/>
  <c r="AN252" i="12" s="1"/>
  <c r="AM253" i="12"/>
  <c r="AM254" i="12"/>
  <c r="AN254" i="12" s="1"/>
  <c r="AM255" i="12"/>
  <c r="AN255" i="12" s="1"/>
  <c r="AM256" i="12"/>
  <c r="AN256" i="12" s="1"/>
  <c r="AM257" i="12"/>
  <c r="AN257" i="12" s="1"/>
  <c r="AM258" i="12"/>
  <c r="AN258" i="12" s="1"/>
  <c r="AM259" i="12"/>
  <c r="AN259" i="12" s="1"/>
  <c r="AM260" i="12"/>
  <c r="AN260" i="12" s="1"/>
  <c r="AM261" i="12"/>
  <c r="AN261" i="12" s="1"/>
  <c r="AM262" i="12"/>
  <c r="AN262" i="12" s="1"/>
  <c r="AM263" i="12"/>
  <c r="AN263" i="12" s="1"/>
  <c r="AM264" i="12"/>
  <c r="AN264" i="12" s="1"/>
  <c r="AM265" i="12"/>
  <c r="AN265" i="12" s="1"/>
  <c r="AM266" i="12"/>
  <c r="AN266" i="12" s="1"/>
  <c r="AM267" i="12"/>
  <c r="AN267" i="12" s="1"/>
  <c r="AM268" i="12"/>
  <c r="AN268" i="12" s="1"/>
  <c r="AM269" i="12"/>
  <c r="AN269" i="12" s="1"/>
  <c r="AM270" i="12"/>
  <c r="AN270" i="12" s="1"/>
  <c r="AM271" i="12"/>
  <c r="AN271" i="12" s="1"/>
  <c r="AM272" i="12"/>
  <c r="AN272" i="12" s="1"/>
  <c r="AM273" i="12"/>
  <c r="AN273" i="12" s="1"/>
  <c r="AM274" i="12"/>
  <c r="AN274" i="12" s="1"/>
  <c r="AM275" i="12"/>
  <c r="AN275" i="12" s="1"/>
  <c r="AM276" i="12"/>
  <c r="AN276" i="12" s="1"/>
  <c r="AM277" i="12"/>
  <c r="AN277" i="12" s="1"/>
  <c r="AM278" i="12"/>
  <c r="AN278" i="12" s="1"/>
  <c r="AM279" i="12"/>
  <c r="AN279" i="12" s="1"/>
  <c r="AM280" i="12"/>
  <c r="AN280" i="12" s="1"/>
  <c r="AM281" i="12"/>
  <c r="AN281" i="12" s="1"/>
  <c r="AM282" i="12"/>
  <c r="AN282" i="12" s="1"/>
  <c r="AM283" i="12"/>
  <c r="AN283" i="12" s="1"/>
  <c r="AM284" i="12"/>
  <c r="AN284" i="12" s="1"/>
  <c r="AM285" i="12"/>
  <c r="AN285" i="12" s="1"/>
  <c r="AM286" i="12"/>
  <c r="AN286" i="12" s="1"/>
  <c r="AM287" i="12"/>
  <c r="AN287" i="12" s="1"/>
  <c r="AM288" i="12"/>
  <c r="AN288" i="12" s="1"/>
  <c r="AM289" i="12"/>
  <c r="AN289" i="12" s="1"/>
  <c r="AM290" i="12"/>
  <c r="AN290" i="12" s="1"/>
  <c r="AM291" i="12"/>
  <c r="AN291" i="12" s="1"/>
  <c r="AM292" i="12"/>
  <c r="AN292" i="12" s="1"/>
  <c r="AM293" i="12"/>
  <c r="AN293" i="12" s="1"/>
  <c r="AM294" i="12"/>
  <c r="AN294" i="12" s="1"/>
  <c r="AM295" i="12"/>
  <c r="AN295" i="12" s="1"/>
  <c r="AM296" i="12"/>
  <c r="AN296" i="12" s="1"/>
  <c r="AM297" i="12"/>
  <c r="AN297" i="12" s="1"/>
  <c r="AM298" i="12"/>
  <c r="AN298" i="12" s="1"/>
  <c r="AM299" i="12"/>
  <c r="AN299" i="12" s="1"/>
  <c r="AM300" i="12"/>
  <c r="AN300" i="12" s="1"/>
  <c r="AM301" i="12"/>
  <c r="AN301" i="12" s="1"/>
  <c r="AM302" i="12"/>
  <c r="AN302" i="12" s="1"/>
  <c r="AM303" i="12"/>
  <c r="AN303" i="12" s="1"/>
  <c r="AM304" i="12"/>
  <c r="AN304" i="12" s="1"/>
  <c r="AM305" i="12"/>
  <c r="AN305" i="12" s="1"/>
  <c r="AM306" i="12"/>
  <c r="AN306" i="12" s="1"/>
  <c r="AM307" i="12"/>
  <c r="AN307" i="12" s="1"/>
  <c r="AM308" i="12"/>
  <c r="AN308" i="12" s="1"/>
  <c r="AM309" i="12"/>
  <c r="AN309" i="12" s="1"/>
  <c r="AM310" i="12"/>
  <c r="AN310" i="12" s="1"/>
  <c r="AM311" i="12"/>
  <c r="AN311" i="12" s="1"/>
  <c r="AM312" i="12"/>
  <c r="AN312" i="12" s="1"/>
  <c r="AM313" i="12"/>
  <c r="AN313" i="12" s="1"/>
  <c r="AM314" i="12"/>
  <c r="AN314" i="12" s="1"/>
  <c r="AM315" i="12"/>
  <c r="AN315" i="12" s="1"/>
  <c r="AM316" i="12"/>
  <c r="AN316" i="12" s="1"/>
  <c r="AM317" i="12"/>
  <c r="AN317" i="12" s="1"/>
  <c r="AM318" i="12"/>
  <c r="AN318" i="12" s="1"/>
  <c r="AM319" i="12"/>
  <c r="AN319" i="12" s="1"/>
  <c r="AM320" i="12"/>
  <c r="AN320" i="12" s="1"/>
  <c r="AM321" i="12"/>
  <c r="AN321" i="12" s="1"/>
  <c r="AM322" i="12"/>
  <c r="AN322" i="12" s="1"/>
  <c r="AM323" i="12"/>
  <c r="AN323" i="12" s="1"/>
  <c r="AM324" i="12"/>
  <c r="AN324" i="12" s="1"/>
  <c r="AM325" i="12"/>
  <c r="AN325" i="12" s="1"/>
  <c r="AM326" i="12"/>
  <c r="AN326" i="12" s="1"/>
  <c r="AM327" i="12"/>
  <c r="AN327" i="12" s="1"/>
  <c r="AM328" i="12"/>
  <c r="AN328" i="12" s="1"/>
  <c r="AM329" i="12"/>
  <c r="AN329" i="12" s="1"/>
  <c r="AM330" i="12"/>
  <c r="AN330" i="12" s="1"/>
  <c r="AM331" i="12"/>
  <c r="AN331" i="12" s="1"/>
  <c r="AM332" i="12"/>
  <c r="AN332" i="12" s="1"/>
  <c r="AM333" i="12"/>
  <c r="AN333" i="12" s="1"/>
  <c r="AM334" i="12"/>
  <c r="AN334" i="12" s="1"/>
  <c r="AM335" i="12"/>
  <c r="AN335" i="12" s="1"/>
  <c r="AM336" i="12"/>
  <c r="AN336" i="12" s="1"/>
  <c r="AM337" i="12"/>
  <c r="AN337" i="12" s="1"/>
  <c r="AM338" i="12"/>
  <c r="AN338" i="12" s="1"/>
  <c r="AM339" i="12"/>
  <c r="AN339" i="12" s="1"/>
  <c r="AM340" i="12"/>
  <c r="AN340" i="12" s="1"/>
  <c r="AM341" i="12"/>
  <c r="AN341" i="12" s="1"/>
  <c r="AM342" i="12"/>
  <c r="AN342" i="12" s="1"/>
  <c r="AM343" i="12"/>
  <c r="AN343" i="12" s="1"/>
  <c r="AM344" i="12"/>
  <c r="AN344" i="12" s="1"/>
  <c r="AM345" i="12"/>
  <c r="AN345" i="12" s="1"/>
  <c r="AM346" i="12"/>
  <c r="AN346" i="12" s="1"/>
  <c r="AM347" i="12"/>
  <c r="AN347" i="12" s="1"/>
  <c r="AM348" i="12"/>
  <c r="AN348" i="12" s="1"/>
  <c r="AM349" i="12"/>
  <c r="AN349" i="12" s="1"/>
  <c r="AM350" i="12"/>
  <c r="AN350" i="12" s="1"/>
  <c r="AM351" i="12"/>
  <c r="AN351" i="12" s="1"/>
  <c r="AM352" i="12"/>
  <c r="AN352" i="12" s="1"/>
  <c r="AM353" i="12"/>
  <c r="AN353" i="12" s="1"/>
  <c r="AM354" i="12"/>
  <c r="AN354" i="12" s="1"/>
  <c r="AM355" i="12"/>
  <c r="AN355" i="12" s="1"/>
  <c r="AM356" i="12"/>
  <c r="AN356" i="12" s="1"/>
  <c r="AM357" i="12"/>
  <c r="AN357" i="12" s="1"/>
  <c r="AM358" i="12"/>
  <c r="AN358" i="12" s="1"/>
  <c r="AM359" i="12"/>
  <c r="AN359" i="12" s="1"/>
  <c r="AM360" i="12"/>
  <c r="AN360" i="12" s="1"/>
  <c r="AM361" i="12"/>
  <c r="AN361" i="12" s="1"/>
  <c r="AM362" i="12"/>
  <c r="AN362" i="12" s="1"/>
  <c r="AM363" i="12"/>
  <c r="AN363" i="12" s="1"/>
  <c r="AM364" i="12"/>
  <c r="AN364" i="12" s="1"/>
  <c r="AM365" i="12"/>
  <c r="AN365" i="12" s="1"/>
  <c r="AM366" i="12"/>
  <c r="AN366" i="12" s="1"/>
  <c r="AM367" i="12"/>
  <c r="AN367" i="12" s="1"/>
  <c r="AM368" i="12"/>
  <c r="AN368" i="12" s="1"/>
  <c r="AM369" i="12"/>
  <c r="AN369" i="12" s="1"/>
  <c r="AM370" i="12"/>
  <c r="AN370" i="12" s="1"/>
  <c r="AM371" i="12"/>
  <c r="AN371" i="12" s="1"/>
  <c r="AM372" i="12"/>
  <c r="AN372" i="12" s="1"/>
  <c r="AM373" i="12"/>
  <c r="AN373" i="12" s="1"/>
  <c r="AM374" i="12"/>
  <c r="AN374" i="12" s="1"/>
  <c r="AM375" i="12"/>
  <c r="AN375" i="12" s="1"/>
  <c r="AM376" i="12"/>
  <c r="AN376" i="12" s="1"/>
  <c r="AM377" i="12"/>
  <c r="AN377" i="12" s="1"/>
  <c r="AM378" i="12"/>
  <c r="AN378" i="12" s="1"/>
  <c r="AM379" i="12"/>
  <c r="AN379" i="12" s="1"/>
  <c r="AM380" i="12"/>
  <c r="AN380" i="12" s="1"/>
  <c r="AM381" i="12"/>
  <c r="AN381" i="12" s="1"/>
  <c r="AM382" i="12"/>
  <c r="AN382" i="12" s="1"/>
  <c r="AM383" i="12"/>
  <c r="AN383" i="12" s="1"/>
  <c r="AM384" i="12"/>
  <c r="AN384" i="12" s="1"/>
  <c r="AM385" i="12"/>
  <c r="AN385" i="12" s="1"/>
  <c r="AM386" i="12"/>
  <c r="AN386" i="12" s="1"/>
  <c r="AM387" i="12"/>
  <c r="AN387" i="12" s="1"/>
  <c r="AM388" i="12"/>
  <c r="AN388" i="12" s="1"/>
  <c r="AM389" i="12"/>
  <c r="AN389" i="12" s="1"/>
  <c r="AM390" i="12"/>
  <c r="AN390" i="12" s="1"/>
  <c r="AM391" i="12"/>
  <c r="AN391" i="12" s="1"/>
  <c r="AM392" i="12"/>
  <c r="AN392" i="12" s="1"/>
  <c r="AM393" i="12"/>
  <c r="AN393" i="12" s="1"/>
  <c r="AM394" i="12"/>
  <c r="AN394" i="12" s="1"/>
  <c r="AM395" i="12"/>
  <c r="AN395" i="12" s="1"/>
  <c r="AM396" i="12"/>
  <c r="AN396" i="12" s="1"/>
  <c r="AM397" i="12"/>
  <c r="AN397" i="12" s="1"/>
  <c r="AM398" i="12"/>
  <c r="AN398" i="12" s="1"/>
  <c r="AM399" i="12"/>
  <c r="AN399" i="12" s="1"/>
  <c r="AM400" i="12"/>
  <c r="AN400" i="12" s="1"/>
  <c r="AM401" i="12"/>
  <c r="AN401" i="12" s="1"/>
  <c r="AM402" i="12"/>
  <c r="AN402" i="12" s="1"/>
  <c r="AM403" i="12"/>
  <c r="AN403" i="12" s="1"/>
  <c r="AM404" i="12"/>
  <c r="AN404" i="12" s="1"/>
  <c r="AK192" i="12"/>
  <c r="AK193" i="12"/>
  <c r="AK194" i="12"/>
  <c r="AO194" i="12" s="1"/>
  <c r="AK195" i="12"/>
  <c r="AO195" i="12" s="1"/>
  <c r="AK196" i="12"/>
  <c r="AL196" i="12" s="1"/>
  <c r="AK197" i="12"/>
  <c r="AL197" i="12" s="1"/>
  <c r="AK198" i="12"/>
  <c r="AK199" i="12"/>
  <c r="AL199" i="12" s="1"/>
  <c r="AK200" i="12"/>
  <c r="AL200" i="12" s="1"/>
  <c r="AK201" i="12"/>
  <c r="AK202" i="12"/>
  <c r="AO202" i="12" s="1"/>
  <c r="AK203" i="12"/>
  <c r="AO203" i="12" s="1"/>
  <c r="AK204" i="12"/>
  <c r="AL204" i="12" s="1"/>
  <c r="AK205" i="12"/>
  <c r="AL205" i="12" s="1"/>
  <c r="AK206" i="12"/>
  <c r="AK207" i="12"/>
  <c r="AL207" i="12" s="1"/>
  <c r="AK208" i="12"/>
  <c r="AL208" i="12" s="1"/>
  <c r="AK209" i="12"/>
  <c r="AL209" i="12" s="1"/>
  <c r="AK210" i="12"/>
  <c r="AL210" i="12" s="1"/>
  <c r="AK211" i="12"/>
  <c r="AO211" i="12" s="1"/>
  <c r="AK212" i="12"/>
  <c r="AL212" i="12" s="1"/>
  <c r="AK213" i="12"/>
  <c r="AL213" i="12" s="1"/>
  <c r="AK214" i="12"/>
  <c r="AK215" i="12"/>
  <c r="AL215" i="12" s="1"/>
  <c r="AK216" i="12"/>
  <c r="AL216" i="12" s="1"/>
  <c r="AK217" i="12"/>
  <c r="AL217" i="12" s="1"/>
  <c r="AK218" i="12"/>
  <c r="AO218" i="12" s="1"/>
  <c r="AK219" i="12"/>
  <c r="AO219" i="12" s="1"/>
  <c r="AK220" i="12"/>
  <c r="AL220" i="12" s="1"/>
  <c r="AK221" i="12"/>
  <c r="AL221" i="12" s="1"/>
  <c r="AK222" i="12"/>
  <c r="AK223" i="12"/>
  <c r="AL223" i="12" s="1"/>
  <c r="AK224" i="12"/>
  <c r="AL224" i="12" s="1"/>
  <c r="AK225" i="12"/>
  <c r="AL225" i="12" s="1"/>
  <c r="AK226" i="12"/>
  <c r="AL226" i="12" s="1"/>
  <c r="AK227" i="12"/>
  <c r="AO227" i="12" s="1"/>
  <c r="AK228" i="12"/>
  <c r="AL228" i="12" s="1"/>
  <c r="AK229" i="12"/>
  <c r="AL229" i="12" s="1"/>
  <c r="AK230" i="12"/>
  <c r="AK231" i="12"/>
  <c r="AL231" i="12" s="1"/>
  <c r="AK232" i="12"/>
  <c r="AL232" i="12" s="1"/>
  <c r="AK233" i="12"/>
  <c r="AL233" i="12" s="1"/>
  <c r="AK234" i="12"/>
  <c r="AO234" i="12" s="1"/>
  <c r="AK235" i="12"/>
  <c r="AO235" i="12" s="1"/>
  <c r="AK236" i="12"/>
  <c r="AL236" i="12" s="1"/>
  <c r="AK237" i="12"/>
  <c r="AL237" i="12" s="1"/>
  <c r="AK238" i="12"/>
  <c r="AK239" i="12"/>
  <c r="AL239" i="12" s="1"/>
  <c r="AK240" i="12"/>
  <c r="AL240" i="12" s="1"/>
  <c r="AK241" i="12"/>
  <c r="AL241" i="12" s="1"/>
  <c r="AK242" i="12"/>
  <c r="AO242" i="12" s="1"/>
  <c r="AK243" i="12"/>
  <c r="AO243" i="12" s="1"/>
  <c r="AK244" i="12"/>
  <c r="AL244" i="12" s="1"/>
  <c r="AK245" i="12"/>
  <c r="AL245" i="12" s="1"/>
  <c r="AK246" i="12"/>
  <c r="AK247" i="12"/>
  <c r="AL247" i="12" s="1"/>
  <c r="AK248" i="12"/>
  <c r="AL248" i="12" s="1"/>
  <c r="AK249" i="12"/>
  <c r="AL249" i="12" s="1"/>
  <c r="AK250" i="12"/>
  <c r="AL250" i="12" s="1"/>
  <c r="AK251" i="12"/>
  <c r="AO251" i="12" s="1"/>
  <c r="AK252" i="12"/>
  <c r="AL252" i="12" s="1"/>
  <c r="AK253" i="12"/>
  <c r="AL253" i="12" s="1"/>
  <c r="AK254" i="12"/>
  <c r="AK255" i="12"/>
  <c r="AL255" i="12" s="1"/>
  <c r="AK256" i="12"/>
  <c r="AL256" i="12" s="1"/>
  <c r="AK257" i="12"/>
  <c r="AL257" i="12" s="1"/>
  <c r="AK258" i="12"/>
  <c r="AL258" i="12" s="1"/>
  <c r="AK259" i="12"/>
  <c r="AO259" i="12" s="1"/>
  <c r="AK260" i="12"/>
  <c r="AL260" i="12" s="1"/>
  <c r="AK261" i="12"/>
  <c r="AL261" i="12" s="1"/>
  <c r="AK262" i="12"/>
  <c r="AK263" i="12"/>
  <c r="AL263" i="12" s="1"/>
  <c r="AK264" i="12"/>
  <c r="AL264" i="12" s="1"/>
  <c r="AK265" i="12"/>
  <c r="AL265" i="12" s="1"/>
  <c r="AK266" i="12"/>
  <c r="AO266" i="12" s="1"/>
  <c r="AK267" i="12"/>
  <c r="AO267" i="12" s="1"/>
  <c r="AK268" i="12"/>
  <c r="AL268" i="12" s="1"/>
  <c r="AK269" i="12"/>
  <c r="AL269" i="12" s="1"/>
  <c r="AK270" i="12"/>
  <c r="AK271" i="12"/>
  <c r="AL271" i="12" s="1"/>
  <c r="AK272" i="12"/>
  <c r="AL272" i="12" s="1"/>
  <c r="AK273" i="12"/>
  <c r="AL273" i="12" s="1"/>
  <c r="AK274" i="12"/>
  <c r="AL274" i="12" s="1"/>
  <c r="AK275" i="12"/>
  <c r="AO275" i="12" s="1"/>
  <c r="AK276" i="12"/>
  <c r="AL276" i="12" s="1"/>
  <c r="AK277" i="12"/>
  <c r="AL277" i="12" s="1"/>
  <c r="AK278" i="12"/>
  <c r="AK279" i="12"/>
  <c r="AL279" i="12" s="1"/>
  <c r="AK280" i="12"/>
  <c r="AL280" i="12" s="1"/>
  <c r="AK281" i="12"/>
  <c r="AL281" i="12" s="1"/>
  <c r="AK282" i="12"/>
  <c r="AO282" i="12" s="1"/>
  <c r="AK283" i="12"/>
  <c r="AO283" i="12" s="1"/>
  <c r="AK284" i="12"/>
  <c r="AL284" i="12" s="1"/>
  <c r="AK285" i="12"/>
  <c r="AL285" i="12" s="1"/>
  <c r="AK286" i="12"/>
  <c r="AK287" i="12"/>
  <c r="AL287" i="12" s="1"/>
  <c r="AK288" i="12"/>
  <c r="AL288" i="12" s="1"/>
  <c r="AK289" i="12"/>
  <c r="AL289" i="12" s="1"/>
  <c r="AK290" i="12"/>
  <c r="AL290" i="12" s="1"/>
  <c r="AK291" i="12"/>
  <c r="AO291" i="12" s="1"/>
  <c r="AK292" i="12"/>
  <c r="AL292" i="12" s="1"/>
  <c r="AK293" i="12"/>
  <c r="AL293" i="12" s="1"/>
  <c r="AK294" i="12"/>
  <c r="AK295" i="12"/>
  <c r="AL295" i="12" s="1"/>
  <c r="AK296" i="12"/>
  <c r="AL296" i="12" s="1"/>
  <c r="AK297" i="12"/>
  <c r="AL297" i="12" s="1"/>
  <c r="AK298" i="12"/>
  <c r="AO298" i="12" s="1"/>
  <c r="AK299" i="12"/>
  <c r="AO299" i="12" s="1"/>
  <c r="AK300" i="12"/>
  <c r="AL300" i="12" s="1"/>
  <c r="AK301" i="12"/>
  <c r="AL301" i="12" s="1"/>
  <c r="AK302" i="12"/>
  <c r="AK303" i="12"/>
  <c r="AL303" i="12" s="1"/>
  <c r="AK304" i="12"/>
  <c r="AL304" i="12" s="1"/>
  <c r="AK305" i="12"/>
  <c r="AL305" i="12" s="1"/>
  <c r="AK306" i="12"/>
  <c r="AO306" i="12" s="1"/>
  <c r="AK307" i="12"/>
  <c r="AO307" i="12" s="1"/>
  <c r="AK308" i="12"/>
  <c r="AL308" i="12" s="1"/>
  <c r="AK309" i="12"/>
  <c r="AL309" i="12" s="1"/>
  <c r="AK310" i="12"/>
  <c r="AK311" i="12"/>
  <c r="AL311" i="12" s="1"/>
  <c r="AK312" i="12"/>
  <c r="AL312" i="12" s="1"/>
  <c r="AK313" i="12"/>
  <c r="AL313" i="12" s="1"/>
  <c r="AK314" i="12"/>
  <c r="AL314" i="12" s="1"/>
  <c r="AK315" i="12"/>
  <c r="AO315" i="12" s="1"/>
  <c r="AK316" i="12"/>
  <c r="AL316" i="12" s="1"/>
  <c r="AK317" i="12"/>
  <c r="AL317" i="12" s="1"/>
  <c r="AK318" i="12"/>
  <c r="AK319" i="12"/>
  <c r="AL319" i="12" s="1"/>
  <c r="AK320" i="12"/>
  <c r="AL320" i="12" s="1"/>
  <c r="AK321" i="12"/>
  <c r="AL321" i="12" s="1"/>
  <c r="AK322" i="12"/>
  <c r="AL322" i="12" s="1"/>
  <c r="AK323" i="12"/>
  <c r="AO323" i="12" s="1"/>
  <c r="AK324" i="12"/>
  <c r="AL324" i="12" s="1"/>
  <c r="AK325" i="12"/>
  <c r="AL325" i="12" s="1"/>
  <c r="AK326" i="12"/>
  <c r="AK327" i="12"/>
  <c r="AL327" i="12" s="1"/>
  <c r="AK328" i="12"/>
  <c r="AL328" i="12" s="1"/>
  <c r="AK329" i="12"/>
  <c r="AL329" i="12" s="1"/>
  <c r="AK330" i="12"/>
  <c r="AO330" i="12" s="1"/>
  <c r="AK331" i="12"/>
  <c r="AO331" i="12" s="1"/>
  <c r="AK332" i="12"/>
  <c r="AL332" i="12" s="1"/>
  <c r="AK333" i="12"/>
  <c r="AL333" i="12" s="1"/>
  <c r="AK334" i="12"/>
  <c r="AK335" i="12"/>
  <c r="AL335" i="12" s="1"/>
  <c r="AK336" i="12"/>
  <c r="AL336" i="12" s="1"/>
  <c r="AK337" i="12"/>
  <c r="AL337" i="12" s="1"/>
  <c r="AK338" i="12"/>
  <c r="AL338" i="12" s="1"/>
  <c r="AK339" i="12"/>
  <c r="AO339" i="12" s="1"/>
  <c r="AK340" i="12"/>
  <c r="AL340" i="12" s="1"/>
  <c r="AK341" i="12"/>
  <c r="AL341" i="12" s="1"/>
  <c r="AK342" i="12"/>
  <c r="AK343" i="12"/>
  <c r="AL343" i="12" s="1"/>
  <c r="AK344" i="12"/>
  <c r="AL344" i="12" s="1"/>
  <c r="AK345" i="12"/>
  <c r="AL345" i="12" s="1"/>
  <c r="AK346" i="12"/>
  <c r="AO346" i="12" s="1"/>
  <c r="AK347" i="12"/>
  <c r="AO347" i="12" s="1"/>
  <c r="AK348" i="12"/>
  <c r="AL348" i="12" s="1"/>
  <c r="AK349" i="12"/>
  <c r="AL349" i="12" s="1"/>
  <c r="AK350" i="12"/>
  <c r="AK351" i="12"/>
  <c r="AL351" i="12" s="1"/>
  <c r="AK352" i="12"/>
  <c r="AL352" i="12" s="1"/>
  <c r="AK353" i="12"/>
  <c r="AL353" i="12" s="1"/>
  <c r="AK354" i="12"/>
  <c r="AO354" i="12" s="1"/>
  <c r="AK355" i="12"/>
  <c r="AO355" i="12" s="1"/>
  <c r="AK356" i="12"/>
  <c r="AL356" i="12" s="1"/>
  <c r="AK357" i="12"/>
  <c r="AL357" i="12" s="1"/>
  <c r="AK358" i="12"/>
  <c r="AK359" i="12"/>
  <c r="AL359" i="12" s="1"/>
  <c r="AK360" i="12"/>
  <c r="AL360" i="12" s="1"/>
  <c r="AK361" i="12"/>
  <c r="AL361" i="12" s="1"/>
  <c r="AK362" i="12"/>
  <c r="AO362" i="12" s="1"/>
  <c r="AK363" i="12"/>
  <c r="AO363" i="12" s="1"/>
  <c r="AK364" i="12"/>
  <c r="AL364" i="12" s="1"/>
  <c r="AK365" i="12"/>
  <c r="AL365" i="12" s="1"/>
  <c r="AK366" i="12"/>
  <c r="AK367" i="12"/>
  <c r="AL367" i="12" s="1"/>
  <c r="AK368" i="12"/>
  <c r="AL368" i="12" s="1"/>
  <c r="AK369" i="12"/>
  <c r="AL369" i="12" s="1"/>
  <c r="AK370" i="12"/>
  <c r="AO370" i="12" s="1"/>
  <c r="AK371" i="12"/>
  <c r="AO371" i="12" s="1"/>
  <c r="AK372" i="12"/>
  <c r="AL372" i="12" s="1"/>
  <c r="AK373" i="12"/>
  <c r="AL373" i="12" s="1"/>
  <c r="AK374" i="12"/>
  <c r="AK375" i="12"/>
  <c r="AL375" i="12" s="1"/>
  <c r="AK376" i="12"/>
  <c r="AL376" i="12" s="1"/>
  <c r="AK377" i="12"/>
  <c r="AL377" i="12" s="1"/>
  <c r="AK378" i="12"/>
  <c r="AL378" i="12" s="1"/>
  <c r="AK379" i="12"/>
  <c r="AO379" i="12" s="1"/>
  <c r="AK380" i="12"/>
  <c r="AL380" i="12" s="1"/>
  <c r="AK381" i="12"/>
  <c r="AL381" i="12" s="1"/>
  <c r="AK382" i="12"/>
  <c r="AK383" i="12"/>
  <c r="AL383" i="12" s="1"/>
  <c r="AK384" i="12"/>
  <c r="AL384" i="12" s="1"/>
  <c r="AK385" i="12"/>
  <c r="AL385" i="12" s="1"/>
  <c r="AK386" i="12"/>
  <c r="AL386" i="12" s="1"/>
  <c r="AK387" i="12"/>
  <c r="AO387" i="12" s="1"/>
  <c r="AK388" i="12"/>
  <c r="AL388" i="12" s="1"/>
  <c r="AK389" i="12"/>
  <c r="AL389" i="12" s="1"/>
  <c r="AK390" i="12"/>
  <c r="AK391" i="12"/>
  <c r="AL391" i="12" s="1"/>
  <c r="AK392" i="12"/>
  <c r="AL392" i="12" s="1"/>
  <c r="AK393" i="12"/>
  <c r="AL393" i="12" s="1"/>
  <c r="AK394" i="12"/>
  <c r="AO394" i="12" s="1"/>
  <c r="AK395" i="12"/>
  <c r="AO395" i="12" s="1"/>
  <c r="AK396" i="12"/>
  <c r="AL396" i="12" s="1"/>
  <c r="AK397" i="12"/>
  <c r="AL397" i="12" s="1"/>
  <c r="AK398" i="12"/>
  <c r="AK399" i="12"/>
  <c r="AL399" i="12" s="1"/>
  <c r="AK400" i="12"/>
  <c r="AL400" i="12" s="1"/>
  <c r="AK401" i="12"/>
  <c r="AL401" i="12" s="1"/>
  <c r="AK402" i="12"/>
  <c r="AL402" i="12" s="1"/>
  <c r="AK403" i="12"/>
  <c r="AO403" i="12" s="1"/>
  <c r="AK404" i="12"/>
  <c r="AL404" i="12" s="1"/>
  <c r="AK3" i="12"/>
  <c r="AK4" i="12"/>
  <c r="AK5" i="12"/>
  <c r="AK6" i="12"/>
  <c r="AK8" i="12"/>
  <c r="AK9" i="12"/>
  <c r="AK10" i="12"/>
  <c r="AK11" i="12"/>
  <c r="AK12" i="12"/>
  <c r="AK13" i="12"/>
  <c r="AK14" i="12"/>
  <c r="AK15" i="12"/>
  <c r="AK16" i="12"/>
  <c r="AK17" i="12"/>
  <c r="AK18" i="12"/>
  <c r="AK19" i="12"/>
  <c r="AK20" i="12"/>
  <c r="AK21" i="12"/>
  <c r="AK22" i="12"/>
  <c r="AK23" i="12"/>
  <c r="AK24" i="12"/>
  <c r="AK25" i="12"/>
  <c r="AK26" i="12"/>
  <c r="AK27" i="12"/>
  <c r="AK28" i="12"/>
  <c r="AK29" i="12"/>
  <c r="AK30" i="12"/>
  <c r="AK31" i="12"/>
  <c r="AK32" i="12"/>
  <c r="AK33" i="12"/>
  <c r="AK34" i="12"/>
  <c r="AK35" i="12"/>
  <c r="AK36" i="12"/>
  <c r="AK37" i="12"/>
  <c r="AK38" i="12"/>
  <c r="AK39" i="12"/>
  <c r="AK40" i="12"/>
  <c r="AK41" i="12"/>
  <c r="AK42" i="12"/>
  <c r="AK43" i="12"/>
  <c r="AK44" i="12"/>
  <c r="AK45" i="12"/>
  <c r="AK46" i="12"/>
  <c r="AK47"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159" i="12"/>
  <c r="AK160" i="12"/>
  <c r="AK161" i="12"/>
  <c r="AK162" i="12"/>
  <c r="AK163" i="12"/>
  <c r="AK164" i="12"/>
  <c r="AK165" i="12"/>
  <c r="AK166" i="12"/>
  <c r="AK167" i="12"/>
  <c r="AK168" i="12"/>
  <c r="AK169" i="12"/>
  <c r="AK170" i="12"/>
  <c r="AK171" i="12"/>
  <c r="AK172" i="12"/>
  <c r="AK173" i="12"/>
  <c r="AK174" i="12"/>
  <c r="AK175" i="12"/>
  <c r="AK176" i="12"/>
  <c r="AK177" i="12"/>
  <c r="AK178" i="12"/>
  <c r="AK179" i="12"/>
  <c r="AK180" i="12"/>
  <c r="AK181" i="12"/>
  <c r="AK182" i="12"/>
  <c r="AK183" i="12"/>
  <c r="AK184" i="12"/>
  <c r="AK185" i="12"/>
  <c r="AK186" i="12"/>
  <c r="AK187" i="12"/>
  <c r="AK188" i="12"/>
  <c r="AK189" i="12"/>
  <c r="AK190" i="12"/>
  <c r="AK191" i="12"/>
  <c r="AK2" i="12"/>
  <c r="AI202" i="12"/>
  <c r="AI234" i="12"/>
  <c r="AI266" i="12"/>
  <c r="AI298" i="12"/>
  <c r="AI330" i="12"/>
  <c r="AI362" i="12"/>
  <c r="AI394" i="12"/>
  <c r="AH192" i="12"/>
  <c r="AI192" i="12" s="1"/>
  <c r="AH193" i="12"/>
  <c r="AI193" i="12" s="1"/>
  <c r="AH194" i="12"/>
  <c r="AI194" i="12" s="1"/>
  <c r="AH195" i="12"/>
  <c r="AI195" i="12" s="1"/>
  <c r="AH196" i="12"/>
  <c r="AI196" i="12" s="1"/>
  <c r="AH197" i="12"/>
  <c r="AI197" i="12" s="1"/>
  <c r="AH198" i="12"/>
  <c r="AI198" i="12" s="1"/>
  <c r="AH199" i="12"/>
  <c r="AI199" i="12" s="1"/>
  <c r="AH200" i="12"/>
  <c r="AI200" i="12" s="1"/>
  <c r="AH201" i="12"/>
  <c r="AI201" i="12" s="1"/>
  <c r="AH202" i="12"/>
  <c r="AH203" i="12"/>
  <c r="AI203" i="12" s="1"/>
  <c r="AH204" i="12"/>
  <c r="AI204" i="12" s="1"/>
  <c r="AH205" i="12"/>
  <c r="AI205" i="12" s="1"/>
  <c r="AH206" i="12"/>
  <c r="AI206" i="12" s="1"/>
  <c r="AH207" i="12"/>
  <c r="AI207" i="12" s="1"/>
  <c r="AH208" i="12"/>
  <c r="AI208" i="12" s="1"/>
  <c r="AH209" i="12"/>
  <c r="AI209" i="12" s="1"/>
  <c r="AH210" i="12"/>
  <c r="AI210" i="12" s="1"/>
  <c r="AH211" i="12"/>
  <c r="AI211" i="12" s="1"/>
  <c r="AH212" i="12"/>
  <c r="AI212" i="12" s="1"/>
  <c r="AH213" i="12"/>
  <c r="AI213" i="12" s="1"/>
  <c r="AH214" i="12"/>
  <c r="AI214" i="12" s="1"/>
  <c r="AH215" i="12"/>
  <c r="AI215" i="12" s="1"/>
  <c r="AH216" i="12"/>
  <c r="AI216" i="12" s="1"/>
  <c r="AH217" i="12"/>
  <c r="AI217" i="12" s="1"/>
  <c r="AH218" i="12"/>
  <c r="AI218" i="12" s="1"/>
  <c r="AH219" i="12"/>
  <c r="AI219" i="12" s="1"/>
  <c r="AH220" i="12"/>
  <c r="AI220" i="12" s="1"/>
  <c r="AH221" i="12"/>
  <c r="AI221" i="12" s="1"/>
  <c r="AH222" i="12"/>
  <c r="AI222" i="12" s="1"/>
  <c r="AH223" i="12"/>
  <c r="AI223" i="12" s="1"/>
  <c r="AH224" i="12"/>
  <c r="AI224" i="12" s="1"/>
  <c r="AH225" i="12"/>
  <c r="AI225" i="12" s="1"/>
  <c r="AH226" i="12"/>
  <c r="AI226" i="12" s="1"/>
  <c r="AH227" i="12"/>
  <c r="AI227" i="12" s="1"/>
  <c r="AH228" i="12"/>
  <c r="AI228" i="12" s="1"/>
  <c r="AH229" i="12"/>
  <c r="AI229" i="12" s="1"/>
  <c r="AH230" i="12"/>
  <c r="AI230" i="12" s="1"/>
  <c r="AH231" i="12"/>
  <c r="AI231" i="12" s="1"/>
  <c r="AH232" i="12"/>
  <c r="AI232" i="12" s="1"/>
  <c r="AH233" i="12"/>
  <c r="AI233" i="12" s="1"/>
  <c r="AH234" i="12"/>
  <c r="AH235" i="12"/>
  <c r="AI235" i="12" s="1"/>
  <c r="AH236" i="12"/>
  <c r="AI236" i="12" s="1"/>
  <c r="AH237" i="12"/>
  <c r="AI237" i="12" s="1"/>
  <c r="AH238" i="12"/>
  <c r="AI238" i="12" s="1"/>
  <c r="AH239" i="12"/>
  <c r="AI239" i="12" s="1"/>
  <c r="AH240" i="12"/>
  <c r="AI240" i="12" s="1"/>
  <c r="AH241" i="12"/>
  <c r="AI241" i="12" s="1"/>
  <c r="AH242" i="12"/>
  <c r="AI242" i="12" s="1"/>
  <c r="AH243" i="12"/>
  <c r="AI243" i="12" s="1"/>
  <c r="AH244" i="12"/>
  <c r="AI244" i="12" s="1"/>
  <c r="AH245" i="12"/>
  <c r="AI245" i="12" s="1"/>
  <c r="AH246" i="12"/>
  <c r="AI246" i="12" s="1"/>
  <c r="AH247" i="12"/>
  <c r="AI247" i="12" s="1"/>
  <c r="AH248" i="12"/>
  <c r="AI248" i="12" s="1"/>
  <c r="AH249" i="12"/>
  <c r="AI249" i="12" s="1"/>
  <c r="AH250" i="12"/>
  <c r="AI250" i="12" s="1"/>
  <c r="AH251" i="12"/>
  <c r="AI251" i="12" s="1"/>
  <c r="AH252" i="12"/>
  <c r="AI252" i="12" s="1"/>
  <c r="AH253" i="12"/>
  <c r="AI253" i="12" s="1"/>
  <c r="AH254" i="12"/>
  <c r="AI254" i="12" s="1"/>
  <c r="AH255" i="12"/>
  <c r="AI255" i="12" s="1"/>
  <c r="AH256" i="12"/>
  <c r="AI256" i="12" s="1"/>
  <c r="AH257" i="12"/>
  <c r="AI257" i="12" s="1"/>
  <c r="AH258" i="12"/>
  <c r="AI258" i="12" s="1"/>
  <c r="AH259" i="12"/>
  <c r="AI259" i="12" s="1"/>
  <c r="AH260" i="12"/>
  <c r="AI260" i="12" s="1"/>
  <c r="AH261" i="12"/>
  <c r="AI261" i="12" s="1"/>
  <c r="AH262" i="12"/>
  <c r="AI262" i="12" s="1"/>
  <c r="AH263" i="12"/>
  <c r="AI263" i="12" s="1"/>
  <c r="AH264" i="12"/>
  <c r="AI264" i="12" s="1"/>
  <c r="AH265" i="12"/>
  <c r="AI265" i="12" s="1"/>
  <c r="AH266" i="12"/>
  <c r="AH267" i="12"/>
  <c r="AI267" i="12" s="1"/>
  <c r="AH268" i="12"/>
  <c r="AI268" i="12" s="1"/>
  <c r="AH269" i="12"/>
  <c r="AI269" i="12" s="1"/>
  <c r="AH270" i="12"/>
  <c r="AI270" i="12" s="1"/>
  <c r="AH271" i="12"/>
  <c r="AI271" i="12" s="1"/>
  <c r="AH272" i="12"/>
  <c r="AI272" i="12" s="1"/>
  <c r="AH273" i="12"/>
  <c r="AI273" i="12" s="1"/>
  <c r="AH274" i="12"/>
  <c r="AI274" i="12" s="1"/>
  <c r="AH275" i="12"/>
  <c r="AI275" i="12" s="1"/>
  <c r="AH276" i="12"/>
  <c r="AI276" i="12" s="1"/>
  <c r="AH277" i="12"/>
  <c r="AI277" i="12" s="1"/>
  <c r="AH278" i="12"/>
  <c r="AI278" i="12" s="1"/>
  <c r="AH279" i="12"/>
  <c r="AI279" i="12" s="1"/>
  <c r="AH280" i="12"/>
  <c r="AI280" i="12" s="1"/>
  <c r="AH281" i="12"/>
  <c r="AI281" i="12" s="1"/>
  <c r="AH282" i="12"/>
  <c r="AI282" i="12" s="1"/>
  <c r="AH283" i="12"/>
  <c r="AI283" i="12" s="1"/>
  <c r="AH284" i="12"/>
  <c r="AI284" i="12" s="1"/>
  <c r="AH285" i="12"/>
  <c r="AI285" i="12" s="1"/>
  <c r="AH286" i="12"/>
  <c r="AI286" i="12" s="1"/>
  <c r="AH287" i="12"/>
  <c r="AI287" i="12" s="1"/>
  <c r="AH288" i="12"/>
  <c r="AI288" i="12" s="1"/>
  <c r="AH289" i="12"/>
  <c r="AI289" i="12" s="1"/>
  <c r="AH290" i="12"/>
  <c r="AI290" i="12" s="1"/>
  <c r="AH291" i="12"/>
  <c r="AI291" i="12" s="1"/>
  <c r="AH292" i="12"/>
  <c r="AI292" i="12" s="1"/>
  <c r="AH293" i="12"/>
  <c r="AI293" i="12" s="1"/>
  <c r="AH294" i="12"/>
  <c r="AI294" i="12" s="1"/>
  <c r="AH295" i="12"/>
  <c r="AI295" i="12" s="1"/>
  <c r="AH296" i="12"/>
  <c r="AI296" i="12" s="1"/>
  <c r="AH297" i="12"/>
  <c r="AI297" i="12" s="1"/>
  <c r="AH298" i="12"/>
  <c r="AH299" i="12"/>
  <c r="AI299" i="12" s="1"/>
  <c r="AH300" i="12"/>
  <c r="AI300" i="12" s="1"/>
  <c r="AH301" i="12"/>
  <c r="AI301" i="12" s="1"/>
  <c r="AH302" i="12"/>
  <c r="AI302" i="12" s="1"/>
  <c r="AH303" i="12"/>
  <c r="AI303" i="12" s="1"/>
  <c r="AH304" i="12"/>
  <c r="AI304" i="12" s="1"/>
  <c r="AH305" i="12"/>
  <c r="AI305" i="12" s="1"/>
  <c r="AH306" i="12"/>
  <c r="AI306" i="12" s="1"/>
  <c r="AH307" i="12"/>
  <c r="AI307" i="12" s="1"/>
  <c r="AH308" i="12"/>
  <c r="AI308" i="12" s="1"/>
  <c r="AH309" i="12"/>
  <c r="AI309" i="12" s="1"/>
  <c r="AH310" i="12"/>
  <c r="AI310" i="12" s="1"/>
  <c r="AH311" i="12"/>
  <c r="AI311" i="12" s="1"/>
  <c r="AH312" i="12"/>
  <c r="AI312" i="12" s="1"/>
  <c r="AH313" i="12"/>
  <c r="AI313" i="12" s="1"/>
  <c r="AH314" i="12"/>
  <c r="AI314" i="12" s="1"/>
  <c r="AH315" i="12"/>
  <c r="AI315" i="12" s="1"/>
  <c r="AH316" i="12"/>
  <c r="AI316" i="12" s="1"/>
  <c r="AH317" i="12"/>
  <c r="AI317" i="12" s="1"/>
  <c r="AH318" i="12"/>
  <c r="AI318" i="12" s="1"/>
  <c r="AH319" i="12"/>
  <c r="AI319" i="12" s="1"/>
  <c r="AH320" i="12"/>
  <c r="AI320" i="12" s="1"/>
  <c r="AH321" i="12"/>
  <c r="AI321" i="12" s="1"/>
  <c r="AH322" i="12"/>
  <c r="AI322" i="12" s="1"/>
  <c r="AH323" i="12"/>
  <c r="AI323" i="12" s="1"/>
  <c r="AH324" i="12"/>
  <c r="AI324" i="12" s="1"/>
  <c r="AH325" i="12"/>
  <c r="AI325" i="12" s="1"/>
  <c r="AH326" i="12"/>
  <c r="AI326" i="12" s="1"/>
  <c r="AH327" i="12"/>
  <c r="AI327" i="12" s="1"/>
  <c r="AH328" i="12"/>
  <c r="AI328" i="12" s="1"/>
  <c r="AH329" i="12"/>
  <c r="AI329" i="12" s="1"/>
  <c r="AH330" i="12"/>
  <c r="AH331" i="12"/>
  <c r="AI331" i="12" s="1"/>
  <c r="AH332" i="12"/>
  <c r="AI332" i="12" s="1"/>
  <c r="AH333" i="12"/>
  <c r="AI333" i="12" s="1"/>
  <c r="AH334" i="12"/>
  <c r="AI334" i="12" s="1"/>
  <c r="AH335" i="12"/>
  <c r="AI335" i="12" s="1"/>
  <c r="AH336" i="12"/>
  <c r="AI336" i="12" s="1"/>
  <c r="AH337" i="12"/>
  <c r="AI337" i="12" s="1"/>
  <c r="AH338" i="12"/>
  <c r="AI338" i="12" s="1"/>
  <c r="AH339" i="12"/>
  <c r="AI339" i="12" s="1"/>
  <c r="AH340" i="12"/>
  <c r="AI340" i="12" s="1"/>
  <c r="AH341" i="12"/>
  <c r="AI341" i="12" s="1"/>
  <c r="AH342" i="12"/>
  <c r="AI342" i="12" s="1"/>
  <c r="AH343" i="12"/>
  <c r="AI343" i="12" s="1"/>
  <c r="AH344" i="12"/>
  <c r="AI344" i="12" s="1"/>
  <c r="AH345" i="12"/>
  <c r="AI345" i="12" s="1"/>
  <c r="AH346" i="12"/>
  <c r="AI346" i="12" s="1"/>
  <c r="AH347" i="12"/>
  <c r="AI347" i="12" s="1"/>
  <c r="AH348" i="12"/>
  <c r="AI348" i="12" s="1"/>
  <c r="AH349" i="12"/>
  <c r="AI349" i="12" s="1"/>
  <c r="AH350" i="12"/>
  <c r="AI350" i="12" s="1"/>
  <c r="AH351" i="12"/>
  <c r="AI351" i="12" s="1"/>
  <c r="AH352" i="12"/>
  <c r="AI352" i="12" s="1"/>
  <c r="AH353" i="12"/>
  <c r="AI353" i="12" s="1"/>
  <c r="AH354" i="12"/>
  <c r="AI354" i="12" s="1"/>
  <c r="AH355" i="12"/>
  <c r="AI355" i="12" s="1"/>
  <c r="AH356" i="12"/>
  <c r="AI356" i="12" s="1"/>
  <c r="AH357" i="12"/>
  <c r="AI357" i="12" s="1"/>
  <c r="AH358" i="12"/>
  <c r="AI358" i="12" s="1"/>
  <c r="AH359" i="12"/>
  <c r="AI359" i="12" s="1"/>
  <c r="AH360" i="12"/>
  <c r="AI360" i="12" s="1"/>
  <c r="AH361" i="12"/>
  <c r="AI361" i="12" s="1"/>
  <c r="AH362" i="12"/>
  <c r="AH363" i="12"/>
  <c r="AI363" i="12" s="1"/>
  <c r="AH364" i="12"/>
  <c r="AI364" i="12" s="1"/>
  <c r="AH365" i="12"/>
  <c r="AI365" i="12" s="1"/>
  <c r="AH366" i="12"/>
  <c r="AI366" i="12" s="1"/>
  <c r="AH367" i="12"/>
  <c r="AI367" i="12" s="1"/>
  <c r="AH368" i="12"/>
  <c r="AI368" i="12" s="1"/>
  <c r="AH369" i="12"/>
  <c r="AI369" i="12" s="1"/>
  <c r="AH370" i="12"/>
  <c r="AI370" i="12" s="1"/>
  <c r="AH371" i="12"/>
  <c r="AI371" i="12" s="1"/>
  <c r="AH372" i="12"/>
  <c r="AI372" i="12" s="1"/>
  <c r="AH373" i="12"/>
  <c r="AI373" i="12" s="1"/>
  <c r="AH374" i="12"/>
  <c r="AI374" i="12" s="1"/>
  <c r="AH375" i="12"/>
  <c r="AI375" i="12" s="1"/>
  <c r="AH376" i="12"/>
  <c r="AI376" i="12" s="1"/>
  <c r="AH377" i="12"/>
  <c r="AI377" i="12" s="1"/>
  <c r="AH378" i="12"/>
  <c r="AI378" i="12" s="1"/>
  <c r="AH379" i="12"/>
  <c r="AI379" i="12" s="1"/>
  <c r="AH380" i="12"/>
  <c r="AI380" i="12" s="1"/>
  <c r="AH381" i="12"/>
  <c r="AI381" i="12" s="1"/>
  <c r="AH382" i="12"/>
  <c r="AI382" i="12" s="1"/>
  <c r="AH383" i="12"/>
  <c r="AI383" i="12" s="1"/>
  <c r="AH384" i="12"/>
  <c r="AI384" i="12" s="1"/>
  <c r="AH385" i="12"/>
  <c r="AI385" i="12" s="1"/>
  <c r="AH386" i="12"/>
  <c r="AI386" i="12" s="1"/>
  <c r="AH387" i="12"/>
  <c r="AI387" i="12" s="1"/>
  <c r="AH388" i="12"/>
  <c r="AI388" i="12" s="1"/>
  <c r="AH389" i="12"/>
  <c r="AI389" i="12" s="1"/>
  <c r="AH390" i="12"/>
  <c r="AI390" i="12" s="1"/>
  <c r="AH391" i="12"/>
  <c r="AI391" i="12" s="1"/>
  <c r="AH392" i="12"/>
  <c r="AI392" i="12" s="1"/>
  <c r="AH393" i="12"/>
  <c r="AI393" i="12" s="1"/>
  <c r="AH394" i="12"/>
  <c r="AH395" i="12"/>
  <c r="AI395" i="12" s="1"/>
  <c r="AH396" i="12"/>
  <c r="AI396" i="12" s="1"/>
  <c r="AH397" i="12"/>
  <c r="AI397" i="12" s="1"/>
  <c r="AH398" i="12"/>
  <c r="AI398" i="12" s="1"/>
  <c r="AH399" i="12"/>
  <c r="AI399" i="12" s="1"/>
  <c r="AH400" i="12"/>
  <c r="AI400" i="12" s="1"/>
  <c r="AH401" i="12"/>
  <c r="AI401" i="12" s="1"/>
  <c r="AH402" i="12"/>
  <c r="AI402" i="12" s="1"/>
  <c r="AH403" i="12"/>
  <c r="AI403" i="12" s="1"/>
  <c r="AH404" i="12"/>
  <c r="AI404" i="12" s="1"/>
  <c r="AF192" i="12"/>
  <c r="AJ192" i="12" s="1"/>
  <c r="AF193" i="12"/>
  <c r="AJ193" i="12" s="1"/>
  <c r="AF194" i="12"/>
  <c r="AF195" i="12"/>
  <c r="AG195" i="12" s="1"/>
  <c r="AF196" i="12"/>
  <c r="AF197" i="12"/>
  <c r="AF198" i="12"/>
  <c r="AG198" i="12" s="1"/>
  <c r="AF199" i="12"/>
  <c r="AJ199" i="12" s="1"/>
  <c r="AF200" i="12"/>
  <c r="AJ200" i="12" s="1"/>
  <c r="AF201" i="12"/>
  <c r="AJ201" i="12" s="1"/>
  <c r="AF202" i="12"/>
  <c r="AG202" i="12" s="1"/>
  <c r="AF203" i="12"/>
  <c r="AG203" i="12" s="1"/>
  <c r="AF204" i="12"/>
  <c r="AF205" i="12"/>
  <c r="AF206" i="12"/>
  <c r="AJ206" i="12" s="1"/>
  <c r="AF207" i="12"/>
  <c r="AJ207" i="12" s="1"/>
  <c r="AF208" i="12"/>
  <c r="AJ208" i="12" s="1"/>
  <c r="AF209" i="12"/>
  <c r="AJ209" i="12" s="1"/>
  <c r="AF210" i="12"/>
  <c r="AF211" i="12"/>
  <c r="AJ211" i="12" s="1"/>
  <c r="AF212" i="12"/>
  <c r="AF213" i="12"/>
  <c r="AF214" i="12"/>
  <c r="AJ214" i="12" s="1"/>
  <c r="AF215" i="12"/>
  <c r="AJ215" i="12" s="1"/>
  <c r="AF216" i="12"/>
  <c r="AJ216" i="12" s="1"/>
  <c r="AF217" i="12"/>
  <c r="AJ217" i="12" s="1"/>
  <c r="AF218" i="12"/>
  <c r="AF219" i="12"/>
  <c r="AF220" i="12"/>
  <c r="AF221" i="12"/>
  <c r="AF222" i="12"/>
  <c r="AJ222" i="12" s="1"/>
  <c r="AF223" i="12"/>
  <c r="AJ223" i="12" s="1"/>
  <c r="AF224" i="12"/>
  <c r="AJ224" i="12" s="1"/>
  <c r="AF225" i="12"/>
  <c r="AJ225" i="12" s="1"/>
  <c r="AF226" i="12"/>
  <c r="AF227" i="12"/>
  <c r="AJ227" i="12" s="1"/>
  <c r="AF228" i="12"/>
  <c r="AF229" i="12"/>
  <c r="AF230" i="12"/>
  <c r="AG230" i="12" s="1"/>
  <c r="AF231" i="12"/>
  <c r="AJ231" i="12" s="1"/>
  <c r="AF232" i="12"/>
  <c r="AJ232" i="12" s="1"/>
  <c r="AF233" i="12"/>
  <c r="AJ233" i="12" s="1"/>
  <c r="AF234" i="12"/>
  <c r="AF235" i="12"/>
  <c r="AG235" i="12" s="1"/>
  <c r="AF236" i="12"/>
  <c r="AF237" i="12"/>
  <c r="AF238" i="12"/>
  <c r="AJ238" i="12" s="1"/>
  <c r="AF239" i="12"/>
  <c r="AJ239" i="12" s="1"/>
  <c r="AF240" i="12"/>
  <c r="AJ240" i="12" s="1"/>
  <c r="AF241" i="12"/>
  <c r="AJ241" i="12" s="1"/>
  <c r="AF242" i="12"/>
  <c r="AF243" i="12"/>
  <c r="AG243" i="12" s="1"/>
  <c r="AF244" i="12"/>
  <c r="AF245" i="12"/>
  <c r="AF246" i="12"/>
  <c r="AJ246" i="12" s="1"/>
  <c r="AF247" i="12"/>
  <c r="AJ247" i="12" s="1"/>
  <c r="AF248" i="12"/>
  <c r="AJ248" i="12" s="1"/>
  <c r="AF249" i="12"/>
  <c r="AJ249" i="12" s="1"/>
  <c r="AF250" i="12"/>
  <c r="AF251" i="12"/>
  <c r="AF252" i="12"/>
  <c r="AF253" i="12"/>
  <c r="AF254" i="12"/>
  <c r="AJ254" i="12" s="1"/>
  <c r="AF255" i="12"/>
  <c r="AJ255" i="12" s="1"/>
  <c r="AF256" i="12"/>
  <c r="AJ256" i="12" s="1"/>
  <c r="AF257" i="12"/>
  <c r="AJ257" i="12" s="1"/>
  <c r="AF258" i="12"/>
  <c r="AF259" i="12"/>
  <c r="AG259" i="12" s="1"/>
  <c r="AF260" i="12"/>
  <c r="AF261" i="12"/>
  <c r="AF262" i="12"/>
  <c r="AG262" i="12" s="1"/>
  <c r="AF263" i="12"/>
  <c r="AJ263" i="12" s="1"/>
  <c r="AF264" i="12"/>
  <c r="AJ264" i="12" s="1"/>
  <c r="AF265" i="12"/>
  <c r="AJ265" i="12" s="1"/>
  <c r="AF266" i="12"/>
  <c r="AG266" i="12" s="1"/>
  <c r="AF267" i="12"/>
  <c r="AG267" i="12" s="1"/>
  <c r="AF268" i="12"/>
  <c r="AF269" i="12"/>
  <c r="AF270" i="12"/>
  <c r="AJ270" i="12" s="1"/>
  <c r="AF271" i="12"/>
  <c r="AJ271" i="12" s="1"/>
  <c r="AF272" i="12"/>
  <c r="AJ272" i="12" s="1"/>
  <c r="AF273" i="12"/>
  <c r="AJ273" i="12" s="1"/>
  <c r="AF274" i="12"/>
  <c r="AF275" i="12"/>
  <c r="AJ275" i="12" s="1"/>
  <c r="AF276" i="12"/>
  <c r="AF277" i="12"/>
  <c r="AF278" i="12"/>
  <c r="AJ278" i="12" s="1"/>
  <c r="AF279" i="12"/>
  <c r="AJ279" i="12" s="1"/>
  <c r="AF280" i="12"/>
  <c r="AJ280" i="12" s="1"/>
  <c r="AF281" i="12"/>
  <c r="AJ281" i="12" s="1"/>
  <c r="AF282" i="12"/>
  <c r="AF283" i="12"/>
  <c r="AF284" i="12"/>
  <c r="AF285" i="12"/>
  <c r="AF286" i="12"/>
  <c r="AG286" i="12" s="1"/>
  <c r="AF287" i="12"/>
  <c r="AJ287" i="12" s="1"/>
  <c r="AF288" i="12"/>
  <c r="AJ288" i="12" s="1"/>
  <c r="AF289" i="12"/>
  <c r="AJ289" i="12" s="1"/>
  <c r="AF290" i="12"/>
  <c r="AF291" i="12"/>
  <c r="AJ291" i="12" s="1"/>
  <c r="AF292" i="12"/>
  <c r="AF293" i="12"/>
  <c r="AF294" i="12"/>
  <c r="AJ294" i="12" s="1"/>
  <c r="AF295" i="12"/>
  <c r="AJ295" i="12" s="1"/>
  <c r="AF296" i="12"/>
  <c r="AJ296" i="12" s="1"/>
  <c r="AF297" i="12"/>
  <c r="AJ297" i="12" s="1"/>
  <c r="AF298" i="12"/>
  <c r="AF299" i="12"/>
  <c r="AG299" i="12" s="1"/>
  <c r="AF300" i="12"/>
  <c r="AF301" i="12"/>
  <c r="AF302" i="12"/>
  <c r="AJ302" i="12" s="1"/>
  <c r="AF303" i="12"/>
  <c r="AJ303" i="12" s="1"/>
  <c r="AF304" i="12"/>
  <c r="AJ304" i="12" s="1"/>
  <c r="AF305" i="12"/>
  <c r="AJ305" i="12" s="1"/>
  <c r="AF306" i="12"/>
  <c r="AF307" i="12"/>
  <c r="AF308" i="12"/>
  <c r="AF309" i="12"/>
  <c r="AF310" i="12"/>
  <c r="AJ310" i="12" s="1"/>
  <c r="AF311" i="12"/>
  <c r="AJ311" i="12" s="1"/>
  <c r="AF312" i="12"/>
  <c r="AJ312" i="12" s="1"/>
  <c r="AF313" i="12"/>
  <c r="AJ313" i="12" s="1"/>
  <c r="AF314" i="12"/>
  <c r="AF315" i="12"/>
  <c r="AF316" i="12"/>
  <c r="AF317" i="12"/>
  <c r="AF318" i="12"/>
  <c r="AJ318" i="12" s="1"/>
  <c r="AF319" i="12"/>
  <c r="AJ319" i="12" s="1"/>
  <c r="AF320" i="12"/>
  <c r="AJ320" i="12" s="1"/>
  <c r="AF321" i="12"/>
  <c r="AJ321" i="12" s="1"/>
  <c r="AF322" i="12"/>
  <c r="AF323" i="12"/>
  <c r="AG323" i="12" s="1"/>
  <c r="AF324" i="12"/>
  <c r="AF325" i="12"/>
  <c r="AF326" i="12"/>
  <c r="AJ326" i="12" s="1"/>
  <c r="AF327" i="12"/>
  <c r="AJ327" i="12" s="1"/>
  <c r="AF328" i="12"/>
  <c r="AJ328" i="12" s="1"/>
  <c r="AF329" i="12"/>
  <c r="AJ329" i="12" s="1"/>
  <c r="AF330" i="12"/>
  <c r="AG330" i="12" s="1"/>
  <c r="AF331" i="12"/>
  <c r="AG331" i="12" s="1"/>
  <c r="AF332" i="12"/>
  <c r="AF333" i="12"/>
  <c r="AF334" i="12"/>
  <c r="AJ334" i="12" s="1"/>
  <c r="AF335" i="12"/>
  <c r="AJ335" i="12" s="1"/>
  <c r="AF336" i="12"/>
  <c r="AJ336" i="12" s="1"/>
  <c r="AF337" i="12"/>
  <c r="AJ337" i="12" s="1"/>
  <c r="AF338" i="12"/>
  <c r="AF339" i="12"/>
  <c r="AJ339" i="12" s="1"/>
  <c r="AF340" i="12"/>
  <c r="AF341" i="12"/>
  <c r="AF342" i="12"/>
  <c r="AJ342" i="12" s="1"/>
  <c r="AF343" i="12"/>
  <c r="AJ343" i="12" s="1"/>
  <c r="AF344" i="12"/>
  <c r="AJ344" i="12" s="1"/>
  <c r="AF345" i="12"/>
  <c r="AJ345" i="12" s="1"/>
  <c r="AF346" i="12"/>
  <c r="AF347" i="12"/>
  <c r="AF348" i="12"/>
  <c r="AF349" i="12"/>
  <c r="AG349" i="12" s="1"/>
  <c r="AF350" i="12"/>
  <c r="AJ350" i="12" s="1"/>
  <c r="AF351" i="12"/>
  <c r="AJ351" i="12" s="1"/>
  <c r="AF352" i="12"/>
  <c r="AG352" i="12" s="1"/>
  <c r="AF353" i="12"/>
  <c r="AG353" i="12" s="1"/>
  <c r="AF354" i="12"/>
  <c r="AF355" i="12"/>
  <c r="AG355" i="12" s="1"/>
  <c r="AF356" i="12"/>
  <c r="AG356" i="12" s="1"/>
  <c r="AF357" i="12"/>
  <c r="AG357" i="12" s="1"/>
  <c r="AF358" i="12"/>
  <c r="AJ358" i="12" s="1"/>
  <c r="AF359" i="12"/>
  <c r="AJ359" i="12" s="1"/>
  <c r="AF360" i="12"/>
  <c r="AG360" i="12" s="1"/>
  <c r="AF361" i="12"/>
  <c r="AG361" i="12" s="1"/>
  <c r="AF362" i="12"/>
  <c r="AF363" i="12"/>
  <c r="AG363" i="12" s="1"/>
  <c r="AF364" i="12"/>
  <c r="AG364" i="12" s="1"/>
  <c r="AF365" i="12"/>
  <c r="AG365" i="12" s="1"/>
  <c r="AF366" i="12"/>
  <c r="AJ366" i="12" s="1"/>
  <c r="AF367" i="12"/>
  <c r="AJ367" i="12" s="1"/>
  <c r="AF368" i="12"/>
  <c r="AG368" i="12" s="1"/>
  <c r="AF369" i="12"/>
  <c r="AG369" i="12" s="1"/>
  <c r="AF370" i="12"/>
  <c r="AF371" i="12"/>
  <c r="AG371" i="12" s="1"/>
  <c r="AF372" i="12"/>
  <c r="AG372" i="12" s="1"/>
  <c r="AF373" i="12"/>
  <c r="AG373" i="12" s="1"/>
  <c r="AF374" i="12"/>
  <c r="AJ374" i="12" s="1"/>
  <c r="AF375" i="12"/>
  <c r="AJ375" i="12" s="1"/>
  <c r="AF376" i="12"/>
  <c r="AG376" i="12" s="1"/>
  <c r="AF377" i="12"/>
  <c r="AF378" i="12"/>
  <c r="AF379" i="12"/>
  <c r="AG379" i="12" s="1"/>
  <c r="AF380" i="12"/>
  <c r="AG380" i="12" s="1"/>
  <c r="AF381" i="12"/>
  <c r="AG381" i="12" s="1"/>
  <c r="AF382" i="12"/>
  <c r="AJ382" i="12" s="1"/>
  <c r="AF383" i="12"/>
  <c r="AJ383" i="12" s="1"/>
  <c r="AF384" i="12"/>
  <c r="AG384" i="12" s="1"/>
  <c r="AF385" i="12"/>
  <c r="AF386" i="12"/>
  <c r="AF387" i="12"/>
  <c r="AG387" i="12" s="1"/>
  <c r="AF388" i="12"/>
  <c r="AG388" i="12" s="1"/>
  <c r="AF389" i="12"/>
  <c r="AG389" i="12" s="1"/>
  <c r="AF390" i="12"/>
  <c r="AJ390" i="12" s="1"/>
  <c r="AF391" i="12"/>
  <c r="AJ391" i="12" s="1"/>
  <c r="AF392" i="12"/>
  <c r="AG392" i="12" s="1"/>
  <c r="AF393" i="12"/>
  <c r="AF394" i="12"/>
  <c r="AF395" i="12"/>
  <c r="AG395" i="12" s="1"/>
  <c r="AF396" i="12"/>
  <c r="AG396" i="12" s="1"/>
  <c r="AF397" i="12"/>
  <c r="AG397" i="12" s="1"/>
  <c r="AF398" i="12"/>
  <c r="AJ398" i="12" s="1"/>
  <c r="AF399" i="12"/>
  <c r="AJ399" i="12" s="1"/>
  <c r="AF400" i="12"/>
  <c r="AG400" i="12" s="1"/>
  <c r="AF401" i="12"/>
  <c r="AF402" i="12"/>
  <c r="AF403" i="12"/>
  <c r="AG403" i="12" s="1"/>
  <c r="AF404" i="12"/>
  <c r="AF3" i="12"/>
  <c r="AF4" i="12"/>
  <c r="AF5" i="12"/>
  <c r="AF6" i="12"/>
  <c r="AF8" i="12"/>
  <c r="AF9" i="12"/>
  <c r="AF10" i="12"/>
  <c r="AF11" i="12"/>
  <c r="AF12" i="12"/>
  <c r="AF13" i="12"/>
  <c r="AF14" i="12"/>
  <c r="AF15" i="12"/>
  <c r="AF16" i="12"/>
  <c r="AF17" i="12"/>
  <c r="AF18" i="12"/>
  <c r="AF19" i="12"/>
  <c r="AF20" i="12"/>
  <c r="AF21" i="12"/>
  <c r="AF22" i="12"/>
  <c r="AF23" i="12"/>
  <c r="AF24" i="12"/>
  <c r="AF25" i="12"/>
  <c r="AF26" i="12"/>
  <c r="AF27" i="12"/>
  <c r="AF28" i="12"/>
  <c r="AF29" i="12"/>
  <c r="AF30" i="12"/>
  <c r="AF31" i="12"/>
  <c r="AF32" i="12"/>
  <c r="AF33" i="12"/>
  <c r="AF34" i="12"/>
  <c r="AF35" i="12"/>
  <c r="AF36" i="12"/>
  <c r="AF37" i="12"/>
  <c r="AF38" i="12"/>
  <c r="AF39" i="12"/>
  <c r="AF40" i="12"/>
  <c r="AF41" i="12"/>
  <c r="AF42" i="12"/>
  <c r="AF43" i="12"/>
  <c r="AF44" i="12"/>
  <c r="AF45" i="12"/>
  <c r="AF46" i="12"/>
  <c r="AF47"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159" i="12"/>
  <c r="AF160" i="12"/>
  <c r="AF161" i="12"/>
  <c r="AF162" i="12"/>
  <c r="AF163" i="12"/>
  <c r="AF164" i="12"/>
  <c r="AF165" i="12"/>
  <c r="AF166" i="12"/>
  <c r="AF167" i="12"/>
  <c r="AF168" i="12"/>
  <c r="AF169" i="12"/>
  <c r="AF170" i="12"/>
  <c r="AF171" i="12"/>
  <c r="AF172" i="12"/>
  <c r="AF173" i="12"/>
  <c r="AF174" i="12"/>
  <c r="AF175" i="12"/>
  <c r="AF176" i="12"/>
  <c r="AF177" i="12"/>
  <c r="AF178" i="12"/>
  <c r="AF179" i="12"/>
  <c r="AF180" i="12"/>
  <c r="AF181" i="12"/>
  <c r="AF182" i="12"/>
  <c r="AF183" i="12"/>
  <c r="AF184" i="12"/>
  <c r="AF185" i="12"/>
  <c r="AF186" i="12"/>
  <c r="AF187" i="12"/>
  <c r="AF188" i="12"/>
  <c r="AF189" i="12"/>
  <c r="AF190" i="12"/>
  <c r="AF191" i="12"/>
  <c r="AF2" i="12"/>
  <c r="AC192" i="12"/>
  <c r="AD192" i="12" s="1"/>
  <c r="AC193" i="12"/>
  <c r="AD193" i="12" s="1"/>
  <c r="AC194" i="12"/>
  <c r="AD194" i="12" s="1"/>
  <c r="AC195" i="12"/>
  <c r="AD195" i="12" s="1"/>
  <c r="AC196" i="12"/>
  <c r="AD196" i="12" s="1"/>
  <c r="AC197" i="12"/>
  <c r="AD197" i="12" s="1"/>
  <c r="AC198" i="12"/>
  <c r="AD198" i="12" s="1"/>
  <c r="AC199" i="12"/>
  <c r="AD199" i="12" s="1"/>
  <c r="AC200" i="12"/>
  <c r="AD200" i="12" s="1"/>
  <c r="AC201" i="12"/>
  <c r="AD201" i="12" s="1"/>
  <c r="AC202" i="12"/>
  <c r="AD202" i="12" s="1"/>
  <c r="AC203" i="12"/>
  <c r="AD203" i="12" s="1"/>
  <c r="AC204" i="12"/>
  <c r="AD204" i="12" s="1"/>
  <c r="AC205" i="12"/>
  <c r="AD205" i="12" s="1"/>
  <c r="AC206" i="12"/>
  <c r="AD206" i="12" s="1"/>
  <c r="AC207" i="12"/>
  <c r="AD207" i="12" s="1"/>
  <c r="AC208" i="12"/>
  <c r="AD208" i="12" s="1"/>
  <c r="AC209" i="12"/>
  <c r="AD209" i="12" s="1"/>
  <c r="AC210" i="12"/>
  <c r="AD210" i="12" s="1"/>
  <c r="AC211" i="12"/>
  <c r="AD211" i="12" s="1"/>
  <c r="AC212" i="12"/>
  <c r="AD212" i="12" s="1"/>
  <c r="AC213" i="12"/>
  <c r="AD213" i="12" s="1"/>
  <c r="AC214" i="12"/>
  <c r="AD214" i="12" s="1"/>
  <c r="AC215" i="12"/>
  <c r="AD215" i="12" s="1"/>
  <c r="AC216" i="12"/>
  <c r="AD216" i="12" s="1"/>
  <c r="AC217" i="12"/>
  <c r="AD217" i="12" s="1"/>
  <c r="AC218" i="12"/>
  <c r="AD218" i="12" s="1"/>
  <c r="AC219" i="12"/>
  <c r="AD219" i="12" s="1"/>
  <c r="AC220" i="12"/>
  <c r="AD220" i="12" s="1"/>
  <c r="AC221" i="12"/>
  <c r="AD221" i="12" s="1"/>
  <c r="AC222" i="12"/>
  <c r="AD222" i="12" s="1"/>
  <c r="AC223" i="12"/>
  <c r="AD223" i="12" s="1"/>
  <c r="AC224" i="12"/>
  <c r="AD224" i="12" s="1"/>
  <c r="AC225" i="12"/>
  <c r="AD225" i="12" s="1"/>
  <c r="AC226" i="12"/>
  <c r="AD226" i="12" s="1"/>
  <c r="AC227" i="12"/>
  <c r="AD227" i="12" s="1"/>
  <c r="AC228" i="12"/>
  <c r="AD228" i="12" s="1"/>
  <c r="AC229" i="12"/>
  <c r="AD229" i="12" s="1"/>
  <c r="AC230" i="12"/>
  <c r="AD230" i="12" s="1"/>
  <c r="AC231" i="12"/>
  <c r="AD231" i="12" s="1"/>
  <c r="AC232" i="12"/>
  <c r="AD232" i="12" s="1"/>
  <c r="AC233" i="12"/>
  <c r="AD233" i="12" s="1"/>
  <c r="AC234" i="12"/>
  <c r="AD234" i="12" s="1"/>
  <c r="AC235" i="12"/>
  <c r="AD235" i="12" s="1"/>
  <c r="AC236" i="12"/>
  <c r="AD236" i="12" s="1"/>
  <c r="AC237" i="12"/>
  <c r="AD237" i="12" s="1"/>
  <c r="AC238" i="12"/>
  <c r="AD238" i="12" s="1"/>
  <c r="AC239" i="12"/>
  <c r="AD239" i="12" s="1"/>
  <c r="AC240" i="12"/>
  <c r="AD240" i="12" s="1"/>
  <c r="AC241" i="12"/>
  <c r="AD241" i="12" s="1"/>
  <c r="AC242" i="12"/>
  <c r="AD242" i="12" s="1"/>
  <c r="AC243" i="12"/>
  <c r="AD243" i="12" s="1"/>
  <c r="AC244" i="12"/>
  <c r="AD244" i="12" s="1"/>
  <c r="AC245" i="12"/>
  <c r="AD245" i="12" s="1"/>
  <c r="AC246" i="12"/>
  <c r="AD246" i="12" s="1"/>
  <c r="AC247" i="12"/>
  <c r="AD247" i="12" s="1"/>
  <c r="AC248" i="12"/>
  <c r="AD248" i="12" s="1"/>
  <c r="AC249" i="12"/>
  <c r="AD249" i="12" s="1"/>
  <c r="AC250" i="12"/>
  <c r="AD250" i="12" s="1"/>
  <c r="AC251" i="12"/>
  <c r="AD251" i="12" s="1"/>
  <c r="AC252" i="12"/>
  <c r="AD252" i="12" s="1"/>
  <c r="AC253" i="12"/>
  <c r="AD253" i="12" s="1"/>
  <c r="AC254" i="12"/>
  <c r="AD254" i="12" s="1"/>
  <c r="AC255" i="12"/>
  <c r="AD255" i="12" s="1"/>
  <c r="AC256" i="12"/>
  <c r="AD256" i="12" s="1"/>
  <c r="AC257" i="12"/>
  <c r="AD257" i="12" s="1"/>
  <c r="AC258" i="12"/>
  <c r="AD258" i="12" s="1"/>
  <c r="AC259" i="12"/>
  <c r="AD259" i="12" s="1"/>
  <c r="AC260" i="12"/>
  <c r="AD260" i="12" s="1"/>
  <c r="AC261" i="12"/>
  <c r="AD261" i="12" s="1"/>
  <c r="AC262" i="12"/>
  <c r="AD262" i="12" s="1"/>
  <c r="AC263" i="12"/>
  <c r="AD263" i="12" s="1"/>
  <c r="AC264" i="12"/>
  <c r="AD264" i="12" s="1"/>
  <c r="AC265" i="12"/>
  <c r="AD265" i="12" s="1"/>
  <c r="AC266" i="12"/>
  <c r="AD266" i="12" s="1"/>
  <c r="AC267" i="12"/>
  <c r="AD267" i="12" s="1"/>
  <c r="AC268" i="12"/>
  <c r="AD268" i="12" s="1"/>
  <c r="AC269" i="12"/>
  <c r="AD269" i="12" s="1"/>
  <c r="AC270" i="12"/>
  <c r="AD270" i="12" s="1"/>
  <c r="AC271" i="12"/>
  <c r="AD271" i="12" s="1"/>
  <c r="AC272" i="12"/>
  <c r="AD272" i="12" s="1"/>
  <c r="AC273" i="12"/>
  <c r="AD273" i="12" s="1"/>
  <c r="AC274" i="12"/>
  <c r="AD274" i="12" s="1"/>
  <c r="AC275" i="12"/>
  <c r="AD275" i="12" s="1"/>
  <c r="AC276" i="12"/>
  <c r="AD276" i="12" s="1"/>
  <c r="AC277" i="12"/>
  <c r="AD277" i="12" s="1"/>
  <c r="AC278" i="12"/>
  <c r="AD278" i="12" s="1"/>
  <c r="AC279" i="12"/>
  <c r="AD279" i="12" s="1"/>
  <c r="AC280" i="12"/>
  <c r="AD280" i="12" s="1"/>
  <c r="AC281" i="12"/>
  <c r="AD281" i="12" s="1"/>
  <c r="AC282" i="12"/>
  <c r="AD282" i="12" s="1"/>
  <c r="AC283" i="12"/>
  <c r="AD283" i="12" s="1"/>
  <c r="AC284" i="12"/>
  <c r="AD284" i="12" s="1"/>
  <c r="AC285" i="12"/>
  <c r="AD285" i="12" s="1"/>
  <c r="AC286" i="12"/>
  <c r="AD286" i="12" s="1"/>
  <c r="AC287" i="12"/>
  <c r="AD287" i="12" s="1"/>
  <c r="AC288" i="12"/>
  <c r="AD288" i="12" s="1"/>
  <c r="AC289" i="12"/>
  <c r="AD289" i="12" s="1"/>
  <c r="AC290" i="12"/>
  <c r="AD290" i="12" s="1"/>
  <c r="AC291" i="12"/>
  <c r="AD291" i="12" s="1"/>
  <c r="AC292" i="12"/>
  <c r="AD292" i="12" s="1"/>
  <c r="AC293" i="12"/>
  <c r="AD293" i="12" s="1"/>
  <c r="AC294" i="12"/>
  <c r="AD294" i="12" s="1"/>
  <c r="AC295" i="12"/>
  <c r="AD295" i="12" s="1"/>
  <c r="AC296" i="12"/>
  <c r="AD296" i="12" s="1"/>
  <c r="AC297" i="12"/>
  <c r="AD297" i="12" s="1"/>
  <c r="AC298" i="12"/>
  <c r="AD298" i="12" s="1"/>
  <c r="AC299" i="12"/>
  <c r="AD299" i="12" s="1"/>
  <c r="AC300" i="12"/>
  <c r="AD300" i="12" s="1"/>
  <c r="AC301" i="12"/>
  <c r="AD301" i="12" s="1"/>
  <c r="AC302" i="12"/>
  <c r="AD302" i="12" s="1"/>
  <c r="AC303" i="12"/>
  <c r="AD303" i="12" s="1"/>
  <c r="AC304" i="12"/>
  <c r="AD304" i="12" s="1"/>
  <c r="AC305" i="12"/>
  <c r="AD305" i="12" s="1"/>
  <c r="AC306" i="12"/>
  <c r="AD306" i="12" s="1"/>
  <c r="AC307" i="12"/>
  <c r="AD307" i="12" s="1"/>
  <c r="AC308" i="12"/>
  <c r="AD308" i="12" s="1"/>
  <c r="AC309" i="12"/>
  <c r="AD309" i="12" s="1"/>
  <c r="AC310" i="12"/>
  <c r="AD310" i="12" s="1"/>
  <c r="AC311" i="12"/>
  <c r="AD311" i="12" s="1"/>
  <c r="AC312" i="12"/>
  <c r="AD312" i="12" s="1"/>
  <c r="AC313" i="12"/>
  <c r="AD313" i="12" s="1"/>
  <c r="AC314" i="12"/>
  <c r="AD314" i="12" s="1"/>
  <c r="AC315" i="12"/>
  <c r="AD315" i="12" s="1"/>
  <c r="AC316" i="12"/>
  <c r="AD316" i="12" s="1"/>
  <c r="AC317" i="12"/>
  <c r="AD317" i="12" s="1"/>
  <c r="AC318" i="12"/>
  <c r="AD318" i="12" s="1"/>
  <c r="AC319" i="12"/>
  <c r="AD319" i="12" s="1"/>
  <c r="AC320" i="12"/>
  <c r="AD320" i="12" s="1"/>
  <c r="AC321" i="12"/>
  <c r="AD321" i="12" s="1"/>
  <c r="AC322" i="12"/>
  <c r="AD322" i="12" s="1"/>
  <c r="AC323" i="12"/>
  <c r="AD323" i="12" s="1"/>
  <c r="AC324" i="12"/>
  <c r="AD324" i="12" s="1"/>
  <c r="AC325" i="12"/>
  <c r="AD325" i="12" s="1"/>
  <c r="AC326" i="12"/>
  <c r="AD326" i="12" s="1"/>
  <c r="AC327" i="12"/>
  <c r="AD327" i="12" s="1"/>
  <c r="AC328" i="12"/>
  <c r="AD328" i="12" s="1"/>
  <c r="AC329" i="12"/>
  <c r="AD329" i="12" s="1"/>
  <c r="AC330" i="12"/>
  <c r="AD330" i="12" s="1"/>
  <c r="AC331" i="12"/>
  <c r="AD331" i="12" s="1"/>
  <c r="AC332" i="12"/>
  <c r="AD332" i="12" s="1"/>
  <c r="AC333" i="12"/>
  <c r="AD333" i="12" s="1"/>
  <c r="AC334" i="12"/>
  <c r="AD334" i="12" s="1"/>
  <c r="AC335" i="12"/>
  <c r="AD335" i="12" s="1"/>
  <c r="AC336" i="12"/>
  <c r="AD336" i="12" s="1"/>
  <c r="AC337" i="12"/>
  <c r="AD337" i="12" s="1"/>
  <c r="AC338" i="12"/>
  <c r="AD338" i="12" s="1"/>
  <c r="AC339" i="12"/>
  <c r="AD339" i="12" s="1"/>
  <c r="AC340" i="12"/>
  <c r="AD340" i="12" s="1"/>
  <c r="AC341" i="12"/>
  <c r="AD341" i="12" s="1"/>
  <c r="AC342" i="12"/>
  <c r="AD342" i="12" s="1"/>
  <c r="AC343" i="12"/>
  <c r="AD343" i="12" s="1"/>
  <c r="AC344" i="12"/>
  <c r="AD344" i="12" s="1"/>
  <c r="AC345" i="12"/>
  <c r="AD345" i="12" s="1"/>
  <c r="AC346" i="12"/>
  <c r="AD346" i="12" s="1"/>
  <c r="AC347" i="12"/>
  <c r="AD347" i="12" s="1"/>
  <c r="AC348" i="12"/>
  <c r="AD348" i="12" s="1"/>
  <c r="AC349" i="12"/>
  <c r="AD349" i="12" s="1"/>
  <c r="AC350" i="12"/>
  <c r="AD350" i="12" s="1"/>
  <c r="AC351" i="12"/>
  <c r="AD351" i="12" s="1"/>
  <c r="AC352" i="12"/>
  <c r="AD352" i="12" s="1"/>
  <c r="AC353" i="12"/>
  <c r="AD353" i="12" s="1"/>
  <c r="AC354" i="12"/>
  <c r="AD354" i="12" s="1"/>
  <c r="AC355" i="12"/>
  <c r="AD355" i="12" s="1"/>
  <c r="AC356" i="12"/>
  <c r="AD356" i="12" s="1"/>
  <c r="AC357" i="12"/>
  <c r="AD357" i="12" s="1"/>
  <c r="AC358" i="12"/>
  <c r="AD358" i="12" s="1"/>
  <c r="AC359" i="12"/>
  <c r="AD359" i="12" s="1"/>
  <c r="AC360" i="12"/>
  <c r="AD360" i="12" s="1"/>
  <c r="AC361" i="12"/>
  <c r="AD361" i="12" s="1"/>
  <c r="AC362" i="12"/>
  <c r="AD362" i="12" s="1"/>
  <c r="AC363" i="12"/>
  <c r="AD363" i="12" s="1"/>
  <c r="AC364" i="12"/>
  <c r="AD364" i="12" s="1"/>
  <c r="AC365" i="12"/>
  <c r="AD365" i="12" s="1"/>
  <c r="AC366" i="12"/>
  <c r="AD366" i="12" s="1"/>
  <c r="AC367" i="12"/>
  <c r="AD367" i="12" s="1"/>
  <c r="AC368" i="12"/>
  <c r="AD368" i="12" s="1"/>
  <c r="AC369" i="12"/>
  <c r="AD369" i="12" s="1"/>
  <c r="AC370" i="12"/>
  <c r="AD370" i="12" s="1"/>
  <c r="AC371" i="12"/>
  <c r="AD371" i="12" s="1"/>
  <c r="AC372" i="12"/>
  <c r="AD372" i="12" s="1"/>
  <c r="AC373" i="12"/>
  <c r="AD373" i="12" s="1"/>
  <c r="AC374" i="12"/>
  <c r="AD374" i="12" s="1"/>
  <c r="AC375" i="12"/>
  <c r="AD375" i="12" s="1"/>
  <c r="AC376" i="12"/>
  <c r="AD376" i="12" s="1"/>
  <c r="AC377" i="12"/>
  <c r="AD377" i="12" s="1"/>
  <c r="AC378" i="12"/>
  <c r="AD378" i="12" s="1"/>
  <c r="AC379" i="12"/>
  <c r="AD379" i="12" s="1"/>
  <c r="AC380" i="12"/>
  <c r="AD380" i="12" s="1"/>
  <c r="AC381" i="12"/>
  <c r="AD381" i="12" s="1"/>
  <c r="AC382" i="12"/>
  <c r="AD382" i="12" s="1"/>
  <c r="AC383" i="12"/>
  <c r="AD383" i="12" s="1"/>
  <c r="AC384" i="12"/>
  <c r="AD384" i="12" s="1"/>
  <c r="AC385" i="12"/>
  <c r="AD385" i="12" s="1"/>
  <c r="AC386" i="12"/>
  <c r="AD386" i="12" s="1"/>
  <c r="AC387" i="12"/>
  <c r="AD387" i="12" s="1"/>
  <c r="AC388" i="12"/>
  <c r="AD388" i="12" s="1"/>
  <c r="AC389" i="12"/>
  <c r="AD389" i="12" s="1"/>
  <c r="AC390" i="12"/>
  <c r="AD390" i="12" s="1"/>
  <c r="AC391" i="12"/>
  <c r="AD391" i="12" s="1"/>
  <c r="AC392" i="12"/>
  <c r="AD392" i="12" s="1"/>
  <c r="AC393" i="12"/>
  <c r="AD393" i="12" s="1"/>
  <c r="AC394" i="12"/>
  <c r="AD394" i="12" s="1"/>
  <c r="AC395" i="12"/>
  <c r="AD395" i="12" s="1"/>
  <c r="AC396" i="12"/>
  <c r="AD396" i="12" s="1"/>
  <c r="AC397" i="12"/>
  <c r="AD397" i="12" s="1"/>
  <c r="AC398" i="12"/>
  <c r="AD398" i="12" s="1"/>
  <c r="AC399" i="12"/>
  <c r="AD399" i="12" s="1"/>
  <c r="AC400" i="12"/>
  <c r="AD400" i="12" s="1"/>
  <c r="AC401" i="12"/>
  <c r="AD401" i="12" s="1"/>
  <c r="AC402" i="12"/>
  <c r="AD402" i="12" s="1"/>
  <c r="AC403" i="12"/>
  <c r="AD403" i="12" s="1"/>
  <c r="AC404" i="12"/>
  <c r="AD404" i="12" s="1"/>
  <c r="AA192" i="12"/>
  <c r="AE192" i="12" s="1"/>
  <c r="AA193" i="12"/>
  <c r="AE193" i="12" s="1"/>
  <c r="AA194" i="12"/>
  <c r="AA195" i="12"/>
  <c r="AA196" i="12"/>
  <c r="AA197" i="12"/>
  <c r="AB197" i="12" s="1"/>
  <c r="AA198" i="12"/>
  <c r="AB198" i="12" s="1"/>
  <c r="AA199" i="12"/>
  <c r="AA200" i="12"/>
  <c r="AE200" i="12" s="1"/>
  <c r="AA201" i="12"/>
  <c r="AA202" i="12"/>
  <c r="AA203" i="12"/>
  <c r="AA204" i="12"/>
  <c r="AA205" i="12"/>
  <c r="AA206" i="12"/>
  <c r="AB206" i="12" s="1"/>
  <c r="AA207" i="12"/>
  <c r="AB207" i="12" s="1"/>
  <c r="AA208" i="12"/>
  <c r="AE208" i="12" s="1"/>
  <c r="AA209" i="12"/>
  <c r="AA210" i="12"/>
  <c r="AA211" i="12"/>
  <c r="AA212" i="12"/>
  <c r="AA213" i="12"/>
  <c r="AA214" i="12"/>
  <c r="AB214" i="12" s="1"/>
  <c r="AA215" i="12"/>
  <c r="AB215" i="12" s="1"/>
  <c r="AA216" i="12"/>
  <c r="AE216" i="12" s="1"/>
  <c r="AA217" i="12"/>
  <c r="AA218" i="12"/>
  <c r="AA219" i="12"/>
  <c r="AA220" i="12"/>
  <c r="AA221" i="12"/>
  <c r="AA222" i="12"/>
  <c r="AB222" i="12" s="1"/>
  <c r="AA223" i="12"/>
  <c r="AB223" i="12" s="1"/>
  <c r="AA224" i="12"/>
  <c r="AE224" i="12" s="1"/>
  <c r="AA225" i="12"/>
  <c r="AA226" i="12"/>
  <c r="AA227" i="12"/>
  <c r="AA228" i="12"/>
  <c r="AA229" i="12"/>
  <c r="AA230" i="12"/>
  <c r="AB230" i="12" s="1"/>
  <c r="AA231" i="12"/>
  <c r="AA232" i="12"/>
  <c r="AE232" i="12" s="1"/>
  <c r="AA233" i="12"/>
  <c r="AA234" i="12"/>
  <c r="AA235" i="12"/>
  <c r="AA236" i="12"/>
  <c r="AA237" i="12"/>
  <c r="AA238" i="12"/>
  <c r="AB238" i="12" s="1"/>
  <c r="AA239" i="12"/>
  <c r="AB239" i="12" s="1"/>
  <c r="AA240" i="12"/>
  <c r="AE240" i="12" s="1"/>
  <c r="AA241" i="12"/>
  <c r="AA242" i="12"/>
  <c r="AA243" i="12"/>
  <c r="AA244" i="12"/>
  <c r="AA245" i="12"/>
  <c r="AA246" i="12"/>
  <c r="AB246" i="12" s="1"/>
  <c r="AA247" i="12"/>
  <c r="AB247" i="12" s="1"/>
  <c r="AA248" i="12"/>
  <c r="AE248" i="12" s="1"/>
  <c r="AA249" i="12"/>
  <c r="AA250" i="12"/>
  <c r="AA251" i="12"/>
  <c r="AA252" i="12"/>
  <c r="AA253" i="12"/>
  <c r="AA254" i="12"/>
  <c r="AB254" i="12" s="1"/>
  <c r="AA255" i="12"/>
  <c r="AB255" i="12" s="1"/>
  <c r="AA256" i="12"/>
  <c r="AE256" i="12" s="1"/>
  <c r="AA257" i="12"/>
  <c r="AA258" i="12"/>
  <c r="AA259" i="12"/>
  <c r="AA260" i="12"/>
  <c r="AA261" i="12"/>
  <c r="AA262" i="12"/>
  <c r="AB262" i="12" s="1"/>
  <c r="AA263" i="12"/>
  <c r="AA264" i="12"/>
  <c r="AE264" i="12" s="1"/>
  <c r="AA265" i="12"/>
  <c r="AA266" i="12"/>
  <c r="AA267" i="12"/>
  <c r="AA268" i="12"/>
  <c r="AA269" i="12"/>
  <c r="AA270" i="12"/>
  <c r="AB270" i="12" s="1"/>
  <c r="AA271" i="12"/>
  <c r="AB271" i="12" s="1"/>
  <c r="AA272" i="12"/>
  <c r="AE272" i="12" s="1"/>
  <c r="AA273" i="12"/>
  <c r="AA274" i="12"/>
  <c r="AA275" i="12"/>
  <c r="AA276" i="12"/>
  <c r="AA277" i="12"/>
  <c r="AA278" i="12"/>
  <c r="AB278" i="12" s="1"/>
  <c r="AA279" i="12"/>
  <c r="AB279" i="12" s="1"/>
  <c r="AA280" i="12"/>
  <c r="AE280" i="12" s="1"/>
  <c r="AA281" i="12"/>
  <c r="AA282" i="12"/>
  <c r="AA283" i="12"/>
  <c r="AA284" i="12"/>
  <c r="AA285" i="12"/>
  <c r="AA286" i="12"/>
  <c r="AB286" i="12" s="1"/>
  <c r="AA287" i="12"/>
  <c r="AB287" i="12" s="1"/>
  <c r="AA288" i="12"/>
  <c r="AE288" i="12" s="1"/>
  <c r="AA289" i="12"/>
  <c r="AA290" i="12"/>
  <c r="AA291" i="12"/>
  <c r="AA292" i="12"/>
  <c r="AA293" i="12"/>
  <c r="AA294" i="12"/>
  <c r="AB294" i="12" s="1"/>
  <c r="AA295" i="12"/>
  <c r="AA296" i="12"/>
  <c r="AE296" i="12" s="1"/>
  <c r="AA297" i="12"/>
  <c r="AA298" i="12"/>
  <c r="AA299" i="12"/>
  <c r="AA300" i="12"/>
  <c r="AA301" i="12"/>
  <c r="AA302" i="12"/>
  <c r="AB302" i="12" s="1"/>
  <c r="AA303" i="12"/>
  <c r="AB303" i="12" s="1"/>
  <c r="AA304" i="12"/>
  <c r="AE304" i="12" s="1"/>
  <c r="AA305" i="12"/>
  <c r="AA306" i="12"/>
  <c r="AA307" i="12"/>
  <c r="AA308" i="12"/>
  <c r="AA309" i="12"/>
  <c r="AA310" i="12"/>
  <c r="AB310" i="12" s="1"/>
  <c r="AA311" i="12"/>
  <c r="AB311" i="12" s="1"/>
  <c r="AA312" i="12"/>
  <c r="AE312" i="12" s="1"/>
  <c r="AA313" i="12"/>
  <c r="AA314" i="12"/>
  <c r="AA315" i="12"/>
  <c r="AA316" i="12"/>
  <c r="AA317" i="12"/>
  <c r="AA318" i="12"/>
  <c r="AB318" i="12" s="1"/>
  <c r="AA319" i="12"/>
  <c r="AB319" i="12" s="1"/>
  <c r="AA320" i="12"/>
  <c r="AE320" i="12" s="1"/>
  <c r="AA321" i="12"/>
  <c r="AA322" i="12"/>
  <c r="AA323" i="12"/>
  <c r="AA324" i="12"/>
  <c r="AA325" i="12"/>
  <c r="AA326" i="12"/>
  <c r="AB326" i="12" s="1"/>
  <c r="AA327" i="12"/>
  <c r="AA328" i="12"/>
  <c r="AE328" i="12" s="1"/>
  <c r="AA329" i="12"/>
  <c r="AA330" i="12"/>
  <c r="AA331" i="12"/>
  <c r="AA332" i="12"/>
  <c r="AA333" i="12"/>
  <c r="AA334" i="12"/>
  <c r="AB334" i="12" s="1"/>
  <c r="AA335" i="12"/>
  <c r="AB335" i="12" s="1"/>
  <c r="AA336" i="12"/>
  <c r="AE336" i="12" s="1"/>
  <c r="AA337" i="12"/>
  <c r="AA338" i="12"/>
  <c r="AA339" i="12"/>
  <c r="AA340" i="12"/>
  <c r="AA341" i="12"/>
  <c r="AA342" i="12"/>
  <c r="AB342" i="12" s="1"/>
  <c r="AA343" i="12"/>
  <c r="AB343" i="12" s="1"/>
  <c r="AA344" i="12"/>
  <c r="AE344" i="12" s="1"/>
  <c r="AA345" i="12"/>
  <c r="AA346" i="12"/>
  <c r="AA347" i="12"/>
  <c r="AA348" i="12"/>
  <c r="AA349" i="12"/>
  <c r="AA350" i="12"/>
  <c r="AB350" i="12" s="1"/>
  <c r="AA351" i="12"/>
  <c r="AB351" i="12" s="1"/>
  <c r="AA352" i="12"/>
  <c r="AE352" i="12" s="1"/>
  <c r="AA353" i="12"/>
  <c r="AA354" i="12"/>
  <c r="AA355" i="12"/>
  <c r="AA356" i="12"/>
  <c r="AA357" i="12"/>
  <c r="AA358" i="12"/>
  <c r="AB358" i="12" s="1"/>
  <c r="AA359" i="12"/>
  <c r="AA360" i="12"/>
  <c r="AE360" i="12" s="1"/>
  <c r="AA361" i="12"/>
  <c r="AA362" i="12"/>
  <c r="AA363" i="12"/>
  <c r="AA364" i="12"/>
  <c r="AA365" i="12"/>
  <c r="AA366" i="12"/>
  <c r="AB366" i="12" s="1"/>
  <c r="AA367" i="12"/>
  <c r="AB367" i="12" s="1"/>
  <c r="AA368" i="12"/>
  <c r="AE368" i="12" s="1"/>
  <c r="AA369" i="12"/>
  <c r="AA370" i="12"/>
  <c r="AA371" i="12"/>
  <c r="AA372" i="12"/>
  <c r="AA373" i="12"/>
  <c r="AA374" i="12"/>
  <c r="AB374" i="12" s="1"/>
  <c r="AA375" i="12"/>
  <c r="AB375" i="12" s="1"/>
  <c r="AA376" i="12"/>
  <c r="AE376" i="12" s="1"/>
  <c r="AA377" i="12"/>
  <c r="AA378" i="12"/>
  <c r="AA379" i="12"/>
  <c r="AA380" i="12"/>
  <c r="AA381" i="12"/>
  <c r="AA382" i="12"/>
  <c r="AB382" i="12" s="1"/>
  <c r="AA383" i="12"/>
  <c r="AB383" i="12" s="1"/>
  <c r="AA384" i="12"/>
  <c r="AE384" i="12" s="1"/>
  <c r="AA385" i="12"/>
  <c r="AA386" i="12"/>
  <c r="AA387" i="12"/>
  <c r="AA388" i="12"/>
  <c r="AA389" i="12"/>
  <c r="AA390" i="12"/>
  <c r="AB390" i="12" s="1"/>
  <c r="AA391" i="12"/>
  <c r="AA392" i="12"/>
  <c r="AE392" i="12" s="1"/>
  <c r="AA393" i="12"/>
  <c r="AA394" i="12"/>
  <c r="AA395" i="12"/>
  <c r="AA396" i="12"/>
  <c r="AA397" i="12"/>
  <c r="AA398" i="12"/>
  <c r="AB398" i="12" s="1"/>
  <c r="AA399" i="12"/>
  <c r="AB399" i="12" s="1"/>
  <c r="AA400" i="12"/>
  <c r="AE400" i="12" s="1"/>
  <c r="AA401" i="12"/>
  <c r="AA402" i="12"/>
  <c r="AA403" i="12"/>
  <c r="AA404" i="12"/>
  <c r="AA3" i="12"/>
  <c r="AA4" i="12"/>
  <c r="AA5" i="12"/>
  <c r="AA6"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2" i="12"/>
  <c r="Y208" i="12"/>
  <c r="Y240" i="12"/>
  <c r="Y272" i="12"/>
  <c r="X192" i="12"/>
  <c r="Y192" i="12" s="1"/>
  <c r="X193" i="12"/>
  <c r="Y193" i="12" s="1"/>
  <c r="X194" i="12"/>
  <c r="Y194" i="12" s="1"/>
  <c r="X195" i="12"/>
  <c r="Y195" i="12" s="1"/>
  <c r="X196" i="12"/>
  <c r="Y196" i="12" s="1"/>
  <c r="X197" i="12"/>
  <c r="Y197" i="12" s="1"/>
  <c r="X198" i="12"/>
  <c r="Y198" i="12" s="1"/>
  <c r="X199" i="12"/>
  <c r="Y199" i="12" s="1"/>
  <c r="X200" i="12"/>
  <c r="Y200" i="12" s="1"/>
  <c r="X201" i="12"/>
  <c r="Y201" i="12" s="1"/>
  <c r="X202" i="12"/>
  <c r="Y202" i="12" s="1"/>
  <c r="X203" i="12"/>
  <c r="Y203" i="12" s="1"/>
  <c r="X204" i="12"/>
  <c r="Y204" i="12" s="1"/>
  <c r="X205" i="12"/>
  <c r="Y205" i="12" s="1"/>
  <c r="X206" i="12"/>
  <c r="Y206" i="12" s="1"/>
  <c r="X207" i="12"/>
  <c r="Y207" i="12" s="1"/>
  <c r="X208" i="12"/>
  <c r="X209" i="12"/>
  <c r="Y209" i="12" s="1"/>
  <c r="X210" i="12"/>
  <c r="Y210" i="12" s="1"/>
  <c r="X211" i="12"/>
  <c r="Y211" i="12" s="1"/>
  <c r="X212" i="12"/>
  <c r="Y212" i="12" s="1"/>
  <c r="X213" i="12"/>
  <c r="Y213" i="12" s="1"/>
  <c r="X214" i="12"/>
  <c r="Y214" i="12" s="1"/>
  <c r="X215" i="12"/>
  <c r="Y215" i="12" s="1"/>
  <c r="X216" i="12"/>
  <c r="Y216" i="12" s="1"/>
  <c r="X217" i="12"/>
  <c r="Y217" i="12" s="1"/>
  <c r="X218" i="12"/>
  <c r="Y218" i="12" s="1"/>
  <c r="X219" i="12"/>
  <c r="Y219" i="12" s="1"/>
  <c r="X220" i="12"/>
  <c r="Y220" i="12" s="1"/>
  <c r="X221" i="12"/>
  <c r="Y221" i="12" s="1"/>
  <c r="X222" i="12"/>
  <c r="Y222" i="12" s="1"/>
  <c r="X223" i="12"/>
  <c r="Y223" i="12" s="1"/>
  <c r="X224" i="12"/>
  <c r="Y224" i="12" s="1"/>
  <c r="X225" i="12"/>
  <c r="Y225" i="12" s="1"/>
  <c r="X226" i="12"/>
  <c r="Y226" i="12" s="1"/>
  <c r="X227" i="12"/>
  <c r="Y227" i="12" s="1"/>
  <c r="X228" i="12"/>
  <c r="Y228" i="12" s="1"/>
  <c r="X229" i="12"/>
  <c r="Y229" i="12" s="1"/>
  <c r="X230" i="12"/>
  <c r="Y230" i="12" s="1"/>
  <c r="X231" i="12"/>
  <c r="Y231" i="12" s="1"/>
  <c r="X232" i="12"/>
  <c r="Y232" i="12" s="1"/>
  <c r="X233" i="12"/>
  <c r="Y233" i="12" s="1"/>
  <c r="X234" i="12"/>
  <c r="Y234" i="12" s="1"/>
  <c r="X235" i="12"/>
  <c r="Y235" i="12" s="1"/>
  <c r="X236" i="12"/>
  <c r="Y236" i="12" s="1"/>
  <c r="X237" i="12"/>
  <c r="Y237" i="12" s="1"/>
  <c r="X238" i="12"/>
  <c r="Y238" i="12" s="1"/>
  <c r="X239" i="12"/>
  <c r="Y239" i="12" s="1"/>
  <c r="X240" i="12"/>
  <c r="X241" i="12"/>
  <c r="Y241" i="12" s="1"/>
  <c r="X242" i="12"/>
  <c r="Y242" i="12" s="1"/>
  <c r="X243" i="12"/>
  <c r="Y243" i="12" s="1"/>
  <c r="X244" i="12"/>
  <c r="Y244" i="12" s="1"/>
  <c r="X245" i="12"/>
  <c r="Y245" i="12" s="1"/>
  <c r="X246" i="12"/>
  <c r="Y246" i="12" s="1"/>
  <c r="X247" i="12"/>
  <c r="Y247" i="12" s="1"/>
  <c r="X248" i="12"/>
  <c r="Y248" i="12" s="1"/>
  <c r="X249" i="12"/>
  <c r="Y249" i="12" s="1"/>
  <c r="X250" i="12"/>
  <c r="Y250" i="12" s="1"/>
  <c r="X251" i="12"/>
  <c r="Y251" i="12" s="1"/>
  <c r="X252" i="12"/>
  <c r="Y252" i="12" s="1"/>
  <c r="X253" i="12"/>
  <c r="Y253" i="12" s="1"/>
  <c r="X254" i="12"/>
  <c r="Y254" i="12" s="1"/>
  <c r="X255" i="12"/>
  <c r="Y255" i="12" s="1"/>
  <c r="X256" i="12"/>
  <c r="Y256" i="12" s="1"/>
  <c r="X257" i="12"/>
  <c r="Y257" i="12" s="1"/>
  <c r="X258" i="12"/>
  <c r="Y258" i="12" s="1"/>
  <c r="X259" i="12"/>
  <c r="Y259" i="12" s="1"/>
  <c r="X260" i="12"/>
  <c r="Y260" i="12" s="1"/>
  <c r="X261" i="12"/>
  <c r="Y261" i="12" s="1"/>
  <c r="X262" i="12"/>
  <c r="Y262" i="12" s="1"/>
  <c r="X263" i="12"/>
  <c r="Y263" i="12" s="1"/>
  <c r="X264" i="12"/>
  <c r="Y264" i="12" s="1"/>
  <c r="X265" i="12"/>
  <c r="Y265" i="12" s="1"/>
  <c r="X266" i="12"/>
  <c r="Y266" i="12" s="1"/>
  <c r="X267" i="12"/>
  <c r="Y267" i="12" s="1"/>
  <c r="X268" i="12"/>
  <c r="Y268" i="12" s="1"/>
  <c r="X269" i="12"/>
  <c r="Y269" i="12" s="1"/>
  <c r="X270" i="12"/>
  <c r="Y270" i="12" s="1"/>
  <c r="X271" i="12"/>
  <c r="Y271" i="12" s="1"/>
  <c r="X272" i="12"/>
  <c r="X273" i="12"/>
  <c r="Y273" i="12" s="1"/>
  <c r="X274" i="12"/>
  <c r="Y274" i="12" s="1"/>
  <c r="X275" i="12"/>
  <c r="Y275" i="12" s="1"/>
  <c r="X276" i="12"/>
  <c r="Y276" i="12" s="1"/>
  <c r="X277" i="12"/>
  <c r="Y277" i="12" s="1"/>
  <c r="X278" i="12"/>
  <c r="Y278" i="12" s="1"/>
  <c r="X279" i="12"/>
  <c r="Y279" i="12" s="1"/>
  <c r="X280" i="12"/>
  <c r="Y280" i="12" s="1"/>
  <c r="X281" i="12"/>
  <c r="Y281" i="12" s="1"/>
  <c r="X282" i="12"/>
  <c r="Y282" i="12" s="1"/>
  <c r="X283" i="12"/>
  <c r="Y283" i="12" s="1"/>
  <c r="X284" i="12"/>
  <c r="Y284" i="12" s="1"/>
  <c r="X285" i="12"/>
  <c r="Y285" i="12" s="1"/>
  <c r="X286" i="12"/>
  <c r="Y286" i="12" s="1"/>
  <c r="X287" i="12"/>
  <c r="Y287" i="12" s="1"/>
  <c r="X288" i="12"/>
  <c r="Y288" i="12" s="1"/>
  <c r="X289" i="12"/>
  <c r="Y289" i="12" s="1"/>
  <c r="X290" i="12"/>
  <c r="Y290" i="12" s="1"/>
  <c r="X291" i="12"/>
  <c r="Y291" i="12" s="1"/>
  <c r="X292" i="12"/>
  <c r="Y292" i="12" s="1"/>
  <c r="X293" i="12"/>
  <c r="Y293" i="12" s="1"/>
  <c r="X294" i="12"/>
  <c r="Y294" i="12" s="1"/>
  <c r="X295" i="12"/>
  <c r="Y295" i="12" s="1"/>
  <c r="X296" i="12"/>
  <c r="Y296" i="12" s="1"/>
  <c r="X297" i="12"/>
  <c r="Y297" i="12" s="1"/>
  <c r="X298" i="12"/>
  <c r="Y298" i="12" s="1"/>
  <c r="X299" i="12"/>
  <c r="Y299" i="12" s="1"/>
  <c r="X300" i="12"/>
  <c r="Y300" i="12" s="1"/>
  <c r="X301" i="12"/>
  <c r="Y301" i="12" s="1"/>
  <c r="X302" i="12"/>
  <c r="Y302" i="12" s="1"/>
  <c r="X303" i="12"/>
  <c r="Y303" i="12" s="1"/>
  <c r="X304" i="12"/>
  <c r="Y304" i="12" s="1"/>
  <c r="X305" i="12"/>
  <c r="Y305" i="12" s="1"/>
  <c r="X306" i="12"/>
  <c r="Y306" i="12" s="1"/>
  <c r="X307" i="12"/>
  <c r="Y307" i="12" s="1"/>
  <c r="X308" i="12"/>
  <c r="Y308" i="12" s="1"/>
  <c r="X309" i="12"/>
  <c r="Y309" i="12" s="1"/>
  <c r="X310" i="12"/>
  <c r="Y310" i="12" s="1"/>
  <c r="X311" i="12"/>
  <c r="Y311" i="12" s="1"/>
  <c r="X312" i="12"/>
  <c r="Y312" i="12" s="1"/>
  <c r="X313" i="12"/>
  <c r="Y313" i="12" s="1"/>
  <c r="X314" i="12"/>
  <c r="Y314" i="12" s="1"/>
  <c r="X315" i="12"/>
  <c r="Y315" i="12" s="1"/>
  <c r="X316" i="12"/>
  <c r="Y316" i="12" s="1"/>
  <c r="X317" i="12"/>
  <c r="Y317" i="12" s="1"/>
  <c r="X318" i="12"/>
  <c r="Y318" i="12" s="1"/>
  <c r="X319" i="12"/>
  <c r="Y319" i="12" s="1"/>
  <c r="X320" i="12"/>
  <c r="Y320" i="12" s="1"/>
  <c r="X321" i="12"/>
  <c r="Y321" i="12" s="1"/>
  <c r="X322" i="12"/>
  <c r="Y322" i="12" s="1"/>
  <c r="X323" i="12"/>
  <c r="Y323" i="12" s="1"/>
  <c r="X324" i="12"/>
  <c r="Y324" i="12" s="1"/>
  <c r="X325" i="12"/>
  <c r="Y325" i="12" s="1"/>
  <c r="X326" i="12"/>
  <c r="Y326" i="12" s="1"/>
  <c r="X327" i="12"/>
  <c r="Y327" i="12" s="1"/>
  <c r="X328" i="12"/>
  <c r="Y328" i="12" s="1"/>
  <c r="X329" i="12"/>
  <c r="Y329" i="12" s="1"/>
  <c r="X330" i="12"/>
  <c r="Y330" i="12" s="1"/>
  <c r="X331" i="12"/>
  <c r="Y331" i="12" s="1"/>
  <c r="X332" i="12"/>
  <c r="Y332" i="12" s="1"/>
  <c r="X333" i="12"/>
  <c r="Y333" i="12" s="1"/>
  <c r="X334" i="12"/>
  <c r="Y334" i="12" s="1"/>
  <c r="X335" i="12"/>
  <c r="Y335" i="12" s="1"/>
  <c r="X336" i="12"/>
  <c r="Y336" i="12" s="1"/>
  <c r="X337" i="12"/>
  <c r="Y337" i="12" s="1"/>
  <c r="X338" i="12"/>
  <c r="Y338" i="12" s="1"/>
  <c r="X339" i="12"/>
  <c r="Y339" i="12" s="1"/>
  <c r="X340" i="12"/>
  <c r="Y340" i="12" s="1"/>
  <c r="X341" i="12"/>
  <c r="Y341" i="12" s="1"/>
  <c r="X342" i="12"/>
  <c r="Y342" i="12" s="1"/>
  <c r="X343" i="12"/>
  <c r="Y343" i="12" s="1"/>
  <c r="X344" i="12"/>
  <c r="Y344" i="12" s="1"/>
  <c r="X345" i="12"/>
  <c r="Y345" i="12" s="1"/>
  <c r="X346" i="12"/>
  <c r="Y346" i="12" s="1"/>
  <c r="X347" i="12"/>
  <c r="Y347" i="12" s="1"/>
  <c r="X348" i="12"/>
  <c r="Y348" i="12" s="1"/>
  <c r="X349" i="12"/>
  <c r="Y349" i="12" s="1"/>
  <c r="X350" i="12"/>
  <c r="Y350" i="12" s="1"/>
  <c r="X351" i="12"/>
  <c r="Y351" i="12" s="1"/>
  <c r="X352" i="12"/>
  <c r="Y352" i="12" s="1"/>
  <c r="X353" i="12"/>
  <c r="Y353" i="12" s="1"/>
  <c r="X354" i="12"/>
  <c r="Y354" i="12" s="1"/>
  <c r="X355" i="12"/>
  <c r="Y355" i="12" s="1"/>
  <c r="X356" i="12"/>
  <c r="Y356" i="12" s="1"/>
  <c r="X357" i="12"/>
  <c r="Y357" i="12" s="1"/>
  <c r="X358" i="12"/>
  <c r="Y358" i="12" s="1"/>
  <c r="X359" i="12"/>
  <c r="Y359" i="12" s="1"/>
  <c r="X360" i="12"/>
  <c r="Y360" i="12" s="1"/>
  <c r="X361" i="12"/>
  <c r="Y361" i="12" s="1"/>
  <c r="X362" i="12"/>
  <c r="Y362" i="12" s="1"/>
  <c r="X363" i="12"/>
  <c r="Y363" i="12" s="1"/>
  <c r="X364" i="12"/>
  <c r="Y364" i="12" s="1"/>
  <c r="X365" i="12"/>
  <c r="Y365" i="12" s="1"/>
  <c r="X366" i="12"/>
  <c r="Y366" i="12" s="1"/>
  <c r="X367" i="12"/>
  <c r="Y367" i="12" s="1"/>
  <c r="X368" i="12"/>
  <c r="Y368" i="12" s="1"/>
  <c r="X369" i="12"/>
  <c r="Y369" i="12" s="1"/>
  <c r="X370" i="12"/>
  <c r="Y370" i="12" s="1"/>
  <c r="X371" i="12"/>
  <c r="Y371" i="12" s="1"/>
  <c r="X372" i="12"/>
  <c r="Y372" i="12" s="1"/>
  <c r="X373" i="12"/>
  <c r="Y373" i="12" s="1"/>
  <c r="X374" i="12"/>
  <c r="Y374" i="12" s="1"/>
  <c r="X375" i="12"/>
  <c r="Y375" i="12" s="1"/>
  <c r="X376" i="12"/>
  <c r="Y376" i="12" s="1"/>
  <c r="X377" i="12"/>
  <c r="Y377" i="12" s="1"/>
  <c r="X378" i="12"/>
  <c r="Y378" i="12" s="1"/>
  <c r="X379" i="12"/>
  <c r="Y379" i="12" s="1"/>
  <c r="X380" i="12"/>
  <c r="Y380" i="12" s="1"/>
  <c r="X381" i="12"/>
  <c r="Y381" i="12" s="1"/>
  <c r="X382" i="12"/>
  <c r="Y382" i="12" s="1"/>
  <c r="X383" i="12"/>
  <c r="Y383" i="12" s="1"/>
  <c r="X384" i="12"/>
  <c r="Y384" i="12" s="1"/>
  <c r="X385" i="12"/>
  <c r="Y385" i="12" s="1"/>
  <c r="X386" i="12"/>
  <c r="Y386" i="12" s="1"/>
  <c r="X387" i="12"/>
  <c r="Y387" i="12" s="1"/>
  <c r="X388" i="12"/>
  <c r="Y388" i="12" s="1"/>
  <c r="X389" i="12"/>
  <c r="Y389" i="12" s="1"/>
  <c r="X390" i="12"/>
  <c r="Y390" i="12" s="1"/>
  <c r="X391" i="12"/>
  <c r="Y391" i="12" s="1"/>
  <c r="X392" i="12"/>
  <c r="Y392" i="12" s="1"/>
  <c r="X393" i="12"/>
  <c r="Y393" i="12" s="1"/>
  <c r="X394" i="12"/>
  <c r="Y394" i="12" s="1"/>
  <c r="X395" i="12"/>
  <c r="Y395" i="12" s="1"/>
  <c r="X396" i="12"/>
  <c r="Y396" i="12" s="1"/>
  <c r="X397" i="12"/>
  <c r="Y397" i="12" s="1"/>
  <c r="X398" i="12"/>
  <c r="Y398" i="12" s="1"/>
  <c r="X399" i="12"/>
  <c r="Y399" i="12" s="1"/>
  <c r="X400" i="12"/>
  <c r="Y400" i="12" s="1"/>
  <c r="X401" i="12"/>
  <c r="Y401" i="12" s="1"/>
  <c r="X402" i="12"/>
  <c r="Y402" i="12" s="1"/>
  <c r="X403" i="12"/>
  <c r="Y403" i="12" s="1"/>
  <c r="X404" i="12"/>
  <c r="Y404" i="12" s="1"/>
  <c r="V192" i="12"/>
  <c r="W192" i="12" s="1"/>
  <c r="V193" i="12"/>
  <c r="V194" i="12"/>
  <c r="V195" i="12"/>
  <c r="V196" i="12"/>
  <c r="V197" i="12"/>
  <c r="Z197" i="12" s="1"/>
  <c r="V198" i="12"/>
  <c r="V199" i="12"/>
  <c r="W199" i="12" s="1"/>
  <c r="V200" i="12"/>
  <c r="W200" i="12" s="1"/>
  <c r="V201" i="12"/>
  <c r="V202" i="12"/>
  <c r="V203" i="12"/>
  <c r="W203" i="12" s="1"/>
  <c r="V204" i="12"/>
  <c r="V205" i="12"/>
  <c r="V206" i="12"/>
  <c r="V207" i="12"/>
  <c r="W207" i="12" s="1"/>
  <c r="V208" i="12"/>
  <c r="W208" i="12" s="1"/>
  <c r="V209" i="12"/>
  <c r="V210" i="12"/>
  <c r="V211" i="12"/>
  <c r="V212" i="12"/>
  <c r="V213" i="12"/>
  <c r="V214" i="12"/>
  <c r="V215" i="12"/>
  <c r="W215" i="12" s="1"/>
  <c r="V216" i="12"/>
  <c r="W216" i="12" s="1"/>
  <c r="V217" i="12"/>
  <c r="V218" i="12"/>
  <c r="V219" i="12"/>
  <c r="V220" i="12"/>
  <c r="V221" i="12"/>
  <c r="V222" i="12"/>
  <c r="V223" i="12"/>
  <c r="W223" i="12" s="1"/>
  <c r="V224" i="12"/>
  <c r="W224" i="12" s="1"/>
  <c r="V225" i="12"/>
  <c r="V226" i="12"/>
  <c r="W226" i="12" s="1"/>
  <c r="V227" i="12"/>
  <c r="V228" i="12"/>
  <c r="V229" i="12"/>
  <c r="V230" i="12"/>
  <c r="V231" i="12"/>
  <c r="W231" i="12" s="1"/>
  <c r="V232" i="12"/>
  <c r="W232" i="12" s="1"/>
  <c r="V233" i="12"/>
  <c r="V234" i="12"/>
  <c r="V235" i="12"/>
  <c r="V236" i="12"/>
  <c r="V237" i="12"/>
  <c r="V238" i="12"/>
  <c r="V239" i="12"/>
  <c r="V240" i="12"/>
  <c r="W240" i="12" s="1"/>
  <c r="V241" i="12"/>
  <c r="Z241" i="12" s="1"/>
  <c r="V242" i="12"/>
  <c r="V243" i="12"/>
  <c r="V244" i="12"/>
  <c r="V245" i="12"/>
  <c r="W245" i="12" s="1"/>
  <c r="V246" i="12"/>
  <c r="V247" i="12"/>
  <c r="V248" i="12"/>
  <c r="W248" i="12" s="1"/>
  <c r="V249" i="12"/>
  <c r="V250" i="12"/>
  <c r="V251" i="12"/>
  <c r="V252" i="12"/>
  <c r="V253" i="12"/>
  <c r="V254" i="12"/>
  <c r="V255" i="12"/>
  <c r="V256" i="12"/>
  <c r="W256" i="12" s="1"/>
  <c r="V257" i="12"/>
  <c r="V258" i="12"/>
  <c r="V259" i="12"/>
  <c r="V260" i="12"/>
  <c r="V261" i="12"/>
  <c r="Z261" i="12" s="1"/>
  <c r="V262" i="12"/>
  <c r="V263" i="12"/>
  <c r="V264" i="12"/>
  <c r="W264" i="12" s="1"/>
  <c r="V265" i="12"/>
  <c r="V266" i="12"/>
  <c r="V267" i="12"/>
  <c r="W267" i="12" s="1"/>
  <c r="V268" i="12"/>
  <c r="V269" i="12"/>
  <c r="V270" i="12"/>
  <c r="V271" i="12"/>
  <c r="V272" i="12"/>
  <c r="W272" i="12" s="1"/>
  <c r="V273" i="12"/>
  <c r="V274" i="12"/>
  <c r="V275" i="12"/>
  <c r="V276" i="12"/>
  <c r="V277" i="12"/>
  <c r="V278" i="12"/>
  <c r="V279" i="12"/>
  <c r="V280" i="12"/>
  <c r="W280" i="12" s="1"/>
  <c r="V281" i="12"/>
  <c r="V282" i="12"/>
  <c r="V283" i="12"/>
  <c r="V284" i="12"/>
  <c r="V285" i="12"/>
  <c r="V286" i="12"/>
  <c r="V287" i="12"/>
  <c r="V288" i="12"/>
  <c r="W288" i="12" s="1"/>
  <c r="V289" i="12"/>
  <c r="V290" i="12"/>
  <c r="W290" i="12" s="1"/>
  <c r="V291" i="12"/>
  <c r="V292" i="12"/>
  <c r="V293" i="12"/>
  <c r="Z293" i="12" s="1"/>
  <c r="V294" i="12"/>
  <c r="V295" i="12"/>
  <c r="V296" i="12"/>
  <c r="W296" i="12" s="1"/>
  <c r="V297" i="12"/>
  <c r="V298" i="12"/>
  <c r="V299" i="12"/>
  <c r="V300" i="12"/>
  <c r="V301" i="12"/>
  <c r="Z301" i="12" s="1"/>
  <c r="V302" i="12"/>
  <c r="V303" i="12"/>
  <c r="V304" i="12"/>
  <c r="W304" i="12" s="1"/>
  <c r="V305" i="12"/>
  <c r="Z305" i="12" s="1"/>
  <c r="V306" i="12"/>
  <c r="V307" i="12"/>
  <c r="V308" i="12"/>
  <c r="V309" i="12"/>
  <c r="Z309" i="12" s="1"/>
  <c r="V310" i="12"/>
  <c r="V311" i="12"/>
  <c r="V312" i="12"/>
  <c r="W312" i="12" s="1"/>
  <c r="V313" i="12"/>
  <c r="Z313" i="12" s="1"/>
  <c r="V314" i="12"/>
  <c r="V315" i="12"/>
  <c r="V316" i="12"/>
  <c r="V317" i="12"/>
  <c r="Z317" i="12" s="1"/>
  <c r="V318" i="12"/>
  <c r="V319" i="12"/>
  <c r="V320" i="12"/>
  <c r="W320" i="12" s="1"/>
  <c r="V321" i="12"/>
  <c r="Z321" i="12" s="1"/>
  <c r="V322" i="12"/>
  <c r="V323" i="12"/>
  <c r="V324" i="12"/>
  <c r="V325" i="12"/>
  <c r="Z325" i="12" s="1"/>
  <c r="V326" i="12"/>
  <c r="V327" i="12"/>
  <c r="V328" i="12"/>
  <c r="W328" i="12" s="1"/>
  <c r="V329" i="12"/>
  <c r="Z329" i="12" s="1"/>
  <c r="V330" i="12"/>
  <c r="V331" i="12"/>
  <c r="W331" i="12" s="1"/>
  <c r="V332" i="12"/>
  <c r="V333" i="12"/>
  <c r="Z333" i="12" s="1"/>
  <c r="V334" i="12"/>
  <c r="V335" i="12"/>
  <c r="V336" i="12"/>
  <c r="W336" i="12" s="1"/>
  <c r="V337" i="12"/>
  <c r="Z337" i="12" s="1"/>
  <c r="V338" i="12"/>
  <c r="V339" i="12"/>
  <c r="V340" i="12"/>
  <c r="V341" i="12"/>
  <c r="Z341" i="12" s="1"/>
  <c r="V342" i="12"/>
  <c r="V343" i="12"/>
  <c r="V344" i="12"/>
  <c r="W344" i="12" s="1"/>
  <c r="V345" i="12"/>
  <c r="Z345" i="12" s="1"/>
  <c r="V346" i="12"/>
  <c r="V347" i="12"/>
  <c r="V348" i="12"/>
  <c r="V349" i="12"/>
  <c r="Z349" i="12" s="1"/>
  <c r="V350" i="12"/>
  <c r="V351" i="12"/>
  <c r="V352" i="12"/>
  <c r="W352" i="12" s="1"/>
  <c r="V353" i="12"/>
  <c r="Z353" i="12" s="1"/>
  <c r="V354" i="12"/>
  <c r="W354" i="12" s="1"/>
  <c r="V355" i="12"/>
  <c r="V356" i="12"/>
  <c r="V357" i="12"/>
  <c r="Z357" i="12" s="1"/>
  <c r="V358" i="12"/>
  <c r="V359" i="12"/>
  <c r="V360" i="12"/>
  <c r="W360" i="12" s="1"/>
  <c r="V361" i="12"/>
  <c r="Z361" i="12" s="1"/>
  <c r="V362" i="12"/>
  <c r="V363" i="12"/>
  <c r="V364" i="12"/>
  <c r="V365" i="12"/>
  <c r="Z365" i="12" s="1"/>
  <c r="V366" i="12"/>
  <c r="V367" i="12"/>
  <c r="V368" i="12"/>
  <c r="W368" i="12" s="1"/>
  <c r="V369" i="12"/>
  <c r="Z369" i="12" s="1"/>
  <c r="V370" i="12"/>
  <c r="V371" i="12"/>
  <c r="V372" i="12"/>
  <c r="V373" i="12"/>
  <c r="W373" i="12" s="1"/>
  <c r="V374" i="12"/>
  <c r="V375" i="12"/>
  <c r="V376" i="12"/>
  <c r="W376" i="12" s="1"/>
  <c r="V377" i="12"/>
  <c r="Z377" i="12" s="1"/>
  <c r="V378" i="12"/>
  <c r="V379" i="12"/>
  <c r="V380" i="12"/>
  <c r="V381" i="12"/>
  <c r="Z381" i="12" s="1"/>
  <c r="V382" i="12"/>
  <c r="V383" i="12"/>
  <c r="V384" i="12"/>
  <c r="W384" i="12" s="1"/>
  <c r="V385" i="12"/>
  <c r="Z385" i="12" s="1"/>
  <c r="V386" i="12"/>
  <c r="V387" i="12"/>
  <c r="V388" i="12"/>
  <c r="V389" i="12"/>
  <c r="Z389" i="12" s="1"/>
  <c r="V390" i="12"/>
  <c r="V391" i="12"/>
  <c r="V392" i="12"/>
  <c r="W392" i="12" s="1"/>
  <c r="V393" i="12"/>
  <c r="Z393" i="12" s="1"/>
  <c r="V394" i="12"/>
  <c r="V395" i="12"/>
  <c r="W395" i="12" s="1"/>
  <c r="V396" i="12"/>
  <c r="V397" i="12"/>
  <c r="Z397" i="12" s="1"/>
  <c r="V398" i="12"/>
  <c r="V399" i="12"/>
  <c r="V400" i="12"/>
  <c r="W400" i="12" s="1"/>
  <c r="V401" i="12"/>
  <c r="Z401" i="12" s="1"/>
  <c r="V402" i="12"/>
  <c r="V403" i="12"/>
  <c r="V404" i="12"/>
  <c r="V3" i="12"/>
  <c r="V4" i="12"/>
  <c r="V5" i="12"/>
  <c r="V6" i="12"/>
  <c r="V8" i="12"/>
  <c r="V9" i="12"/>
  <c r="V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2" i="12"/>
  <c r="S192" i="12"/>
  <c r="T192" i="12" s="1"/>
  <c r="S193" i="12"/>
  <c r="T193" i="12" s="1"/>
  <c r="S194" i="12"/>
  <c r="T194" i="12" s="1"/>
  <c r="S195" i="12"/>
  <c r="T195" i="12" s="1"/>
  <c r="S196" i="12"/>
  <c r="T196" i="12" s="1"/>
  <c r="S197" i="12"/>
  <c r="T197" i="12" s="1"/>
  <c r="S198" i="12"/>
  <c r="T198" i="12" s="1"/>
  <c r="S199" i="12"/>
  <c r="T199" i="12" s="1"/>
  <c r="S200" i="12"/>
  <c r="T200" i="12" s="1"/>
  <c r="S201" i="12"/>
  <c r="T201" i="12" s="1"/>
  <c r="S202" i="12"/>
  <c r="T202" i="12" s="1"/>
  <c r="S203" i="12"/>
  <c r="T203" i="12" s="1"/>
  <c r="S204" i="12"/>
  <c r="T204" i="12" s="1"/>
  <c r="S205" i="12"/>
  <c r="T205" i="12" s="1"/>
  <c r="S206" i="12"/>
  <c r="T206" i="12" s="1"/>
  <c r="S207" i="12"/>
  <c r="T207" i="12" s="1"/>
  <c r="S208" i="12"/>
  <c r="T208" i="12" s="1"/>
  <c r="S209" i="12"/>
  <c r="T209" i="12" s="1"/>
  <c r="S210" i="12"/>
  <c r="T210" i="12" s="1"/>
  <c r="S211" i="12"/>
  <c r="T211" i="12" s="1"/>
  <c r="S212" i="12"/>
  <c r="T212" i="12" s="1"/>
  <c r="S213" i="12"/>
  <c r="T213" i="12" s="1"/>
  <c r="S214" i="12"/>
  <c r="T214" i="12" s="1"/>
  <c r="S215" i="12"/>
  <c r="T215" i="12" s="1"/>
  <c r="S216" i="12"/>
  <c r="T216" i="12" s="1"/>
  <c r="S217" i="12"/>
  <c r="T217" i="12" s="1"/>
  <c r="S218" i="12"/>
  <c r="T218" i="12" s="1"/>
  <c r="S219" i="12"/>
  <c r="T219" i="12" s="1"/>
  <c r="S220" i="12"/>
  <c r="T220" i="12" s="1"/>
  <c r="S221" i="12"/>
  <c r="T221" i="12" s="1"/>
  <c r="S222" i="12"/>
  <c r="T222" i="12" s="1"/>
  <c r="S223" i="12"/>
  <c r="T223" i="12" s="1"/>
  <c r="S224" i="12"/>
  <c r="T224" i="12" s="1"/>
  <c r="S225" i="12"/>
  <c r="T225" i="12" s="1"/>
  <c r="S226" i="12"/>
  <c r="T226" i="12" s="1"/>
  <c r="S227" i="12"/>
  <c r="T227" i="12" s="1"/>
  <c r="S228" i="12"/>
  <c r="T228" i="12" s="1"/>
  <c r="S229" i="12"/>
  <c r="T229" i="12" s="1"/>
  <c r="S230" i="12"/>
  <c r="T230" i="12" s="1"/>
  <c r="S231" i="12"/>
  <c r="T231" i="12" s="1"/>
  <c r="S232" i="12"/>
  <c r="T232" i="12" s="1"/>
  <c r="S233" i="12"/>
  <c r="T233" i="12" s="1"/>
  <c r="S234" i="12"/>
  <c r="T234" i="12" s="1"/>
  <c r="S235" i="12"/>
  <c r="T235" i="12" s="1"/>
  <c r="S236" i="12"/>
  <c r="T236" i="12" s="1"/>
  <c r="S237" i="12"/>
  <c r="T237" i="12" s="1"/>
  <c r="S238" i="12"/>
  <c r="T238" i="12" s="1"/>
  <c r="S239" i="12"/>
  <c r="T239" i="12" s="1"/>
  <c r="S240" i="12"/>
  <c r="T240" i="12" s="1"/>
  <c r="S241" i="12"/>
  <c r="T241" i="12" s="1"/>
  <c r="S242" i="12"/>
  <c r="T242" i="12" s="1"/>
  <c r="S243" i="12"/>
  <c r="T243" i="12" s="1"/>
  <c r="S244" i="12"/>
  <c r="T244" i="12" s="1"/>
  <c r="S245" i="12"/>
  <c r="T245" i="12" s="1"/>
  <c r="S246" i="12"/>
  <c r="T246" i="12" s="1"/>
  <c r="S247" i="12"/>
  <c r="T247" i="12" s="1"/>
  <c r="S248" i="12"/>
  <c r="T248" i="12" s="1"/>
  <c r="S249" i="12"/>
  <c r="T249" i="12" s="1"/>
  <c r="S250" i="12"/>
  <c r="T250" i="12" s="1"/>
  <c r="S251" i="12"/>
  <c r="T251" i="12" s="1"/>
  <c r="S252" i="12"/>
  <c r="T252" i="12" s="1"/>
  <c r="S253" i="12"/>
  <c r="T253" i="12" s="1"/>
  <c r="S254" i="12"/>
  <c r="T254" i="12" s="1"/>
  <c r="S255" i="12"/>
  <c r="T255" i="12" s="1"/>
  <c r="S256" i="12"/>
  <c r="T256" i="12" s="1"/>
  <c r="S257" i="12"/>
  <c r="T257" i="12" s="1"/>
  <c r="S258" i="12"/>
  <c r="T258" i="12" s="1"/>
  <c r="S259" i="12"/>
  <c r="T259" i="12" s="1"/>
  <c r="S260" i="12"/>
  <c r="T260" i="12" s="1"/>
  <c r="S261" i="12"/>
  <c r="T261" i="12" s="1"/>
  <c r="S262" i="12"/>
  <c r="T262" i="12" s="1"/>
  <c r="S263" i="12"/>
  <c r="T263" i="12" s="1"/>
  <c r="S264" i="12"/>
  <c r="T264" i="12" s="1"/>
  <c r="S265" i="12"/>
  <c r="T265" i="12" s="1"/>
  <c r="S266" i="12"/>
  <c r="T266" i="12" s="1"/>
  <c r="S267" i="12"/>
  <c r="T267" i="12" s="1"/>
  <c r="S268" i="12"/>
  <c r="T268" i="12" s="1"/>
  <c r="S269" i="12"/>
  <c r="T269" i="12" s="1"/>
  <c r="S270" i="12"/>
  <c r="T270" i="12" s="1"/>
  <c r="S271" i="12"/>
  <c r="T271" i="12" s="1"/>
  <c r="S272" i="12"/>
  <c r="T272" i="12" s="1"/>
  <c r="S273" i="12"/>
  <c r="T273" i="12" s="1"/>
  <c r="S274" i="12"/>
  <c r="T274" i="12" s="1"/>
  <c r="S275" i="12"/>
  <c r="T275" i="12" s="1"/>
  <c r="S276" i="12"/>
  <c r="T276" i="12" s="1"/>
  <c r="S277" i="12"/>
  <c r="T277" i="12" s="1"/>
  <c r="S278" i="12"/>
  <c r="T278" i="12" s="1"/>
  <c r="S279" i="12"/>
  <c r="T279" i="12" s="1"/>
  <c r="S280" i="12"/>
  <c r="T280" i="12" s="1"/>
  <c r="S281" i="12"/>
  <c r="T281" i="12" s="1"/>
  <c r="S282" i="12"/>
  <c r="T282" i="12" s="1"/>
  <c r="S283" i="12"/>
  <c r="T283" i="12" s="1"/>
  <c r="S284" i="12"/>
  <c r="T284" i="12" s="1"/>
  <c r="S285" i="12"/>
  <c r="T285" i="12" s="1"/>
  <c r="S286" i="12"/>
  <c r="T286" i="12" s="1"/>
  <c r="S287" i="12"/>
  <c r="T287" i="12" s="1"/>
  <c r="S288" i="12"/>
  <c r="T288" i="12" s="1"/>
  <c r="S289" i="12"/>
  <c r="T289" i="12" s="1"/>
  <c r="S290" i="12"/>
  <c r="T290" i="12" s="1"/>
  <c r="S291" i="12"/>
  <c r="T291" i="12" s="1"/>
  <c r="S292" i="12"/>
  <c r="T292" i="12" s="1"/>
  <c r="S293" i="12"/>
  <c r="T293" i="12" s="1"/>
  <c r="S294" i="12"/>
  <c r="T294" i="12" s="1"/>
  <c r="S295" i="12"/>
  <c r="T295" i="12" s="1"/>
  <c r="S296" i="12"/>
  <c r="T296" i="12" s="1"/>
  <c r="S297" i="12"/>
  <c r="T297" i="12" s="1"/>
  <c r="S298" i="12"/>
  <c r="T298" i="12" s="1"/>
  <c r="S299" i="12"/>
  <c r="T299" i="12" s="1"/>
  <c r="S300" i="12"/>
  <c r="T300" i="12" s="1"/>
  <c r="S301" i="12"/>
  <c r="T301" i="12" s="1"/>
  <c r="S302" i="12"/>
  <c r="T302" i="12" s="1"/>
  <c r="S303" i="12"/>
  <c r="T303" i="12" s="1"/>
  <c r="S304" i="12"/>
  <c r="T304" i="12" s="1"/>
  <c r="S305" i="12"/>
  <c r="T305" i="12" s="1"/>
  <c r="S306" i="12"/>
  <c r="T306" i="12" s="1"/>
  <c r="S307" i="12"/>
  <c r="T307" i="12" s="1"/>
  <c r="S308" i="12"/>
  <c r="T308" i="12" s="1"/>
  <c r="S309" i="12"/>
  <c r="T309" i="12" s="1"/>
  <c r="S310" i="12"/>
  <c r="T310" i="12" s="1"/>
  <c r="S311" i="12"/>
  <c r="T311" i="12" s="1"/>
  <c r="S312" i="12"/>
  <c r="T312" i="12" s="1"/>
  <c r="S313" i="12"/>
  <c r="T313" i="12" s="1"/>
  <c r="S314" i="12"/>
  <c r="T314" i="12" s="1"/>
  <c r="S315" i="12"/>
  <c r="T315" i="12" s="1"/>
  <c r="S316" i="12"/>
  <c r="T316" i="12" s="1"/>
  <c r="S317" i="12"/>
  <c r="T317" i="12" s="1"/>
  <c r="S318" i="12"/>
  <c r="T318" i="12" s="1"/>
  <c r="S319" i="12"/>
  <c r="T319" i="12" s="1"/>
  <c r="S320" i="12"/>
  <c r="T320" i="12" s="1"/>
  <c r="S321" i="12"/>
  <c r="T321" i="12" s="1"/>
  <c r="S322" i="12"/>
  <c r="T322" i="12" s="1"/>
  <c r="S323" i="12"/>
  <c r="T323" i="12" s="1"/>
  <c r="S324" i="12"/>
  <c r="T324" i="12" s="1"/>
  <c r="S325" i="12"/>
  <c r="T325" i="12" s="1"/>
  <c r="S326" i="12"/>
  <c r="T326" i="12" s="1"/>
  <c r="S327" i="12"/>
  <c r="T327" i="12" s="1"/>
  <c r="S328" i="12"/>
  <c r="T328" i="12" s="1"/>
  <c r="S329" i="12"/>
  <c r="T329" i="12" s="1"/>
  <c r="S330" i="12"/>
  <c r="T330" i="12" s="1"/>
  <c r="S331" i="12"/>
  <c r="T331" i="12" s="1"/>
  <c r="S332" i="12"/>
  <c r="T332" i="12" s="1"/>
  <c r="S333" i="12"/>
  <c r="T333" i="12" s="1"/>
  <c r="S334" i="12"/>
  <c r="T334" i="12" s="1"/>
  <c r="S335" i="12"/>
  <c r="T335" i="12" s="1"/>
  <c r="S336" i="12"/>
  <c r="T336" i="12" s="1"/>
  <c r="S337" i="12"/>
  <c r="T337" i="12" s="1"/>
  <c r="S338" i="12"/>
  <c r="T338" i="12" s="1"/>
  <c r="S339" i="12"/>
  <c r="T339" i="12" s="1"/>
  <c r="S340" i="12"/>
  <c r="T340" i="12" s="1"/>
  <c r="S341" i="12"/>
  <c r="T341" i="12" s="1"/>
  <c r="S342" i="12"/>
  <c r="T342" i="12" s="1"/>
  <c r="S343" i="12"/>
  <c r="T343" i="12" s="1"/>
  <c r="S344" i="12"/>
  <c r="T344" i="12" s="1"/>
  <c r="S345" i="12"/>
  <c r="T345" i="12" s="1"/>
  <c r="S346" i="12"/>
  <c r="T346" i="12" s="1"/>
  <c r="S347" i="12"/>
  <c r="T347" i="12" s="1"/>
  <c r="S348" i="12"/>
  <c r="T348" i="12" s="1"/>
  <c r="S349" i="12"/>
  <c r="T349" i="12" s="1"/>
  <c r="S350" i="12"/>
  <c r="T350" i="12" s="1"/>
  <c r="S351" i="12"/>
  <c r="T351" i="12" s="1"/>
  <c r="S352" i="12"/>
  <c r="T352" i="12" s="1"/>
  <c r="S353" i="12"/>
  <c r="T353" i="12" s="1"/>
  <c r="S354" i="12"/>
  <c r="T354" i="12" s="1"/>
  <c r="S355" i="12"/>
  <c r="T355" i="12" s="1"/>
  <c r="S356" i="12"/>
  <c r="T356" i="12" s="1"/>
  <c r="S357" i="12"/>
  <c r="T357" i="12" s="1"/>
  <c r="S358" i="12"/>
  <c r="T358" i="12" s="1"/>
  <c r="S359" i="12"/>
  <c r="T359" i="12" s="1"/>
  <c r="S360" i="12"/>
  <c r="T360" i="12" s="1"/>
  <c r="S361" i="12"/>
  <c r="T361" i="12" s="1"/>
  <c r="S362" i="12"/>
  <c r="T362" i="12" s="1"/>
  <c r="S363" i="12"/>
  <c r="T363" i="12" s="1"/>
  <c r="S364" i="12"/>
  <c r="T364" i="12" s="1"/>
  <c r="S365" i="12"/>
  <c r="T365" i="12" s="1"/>
  <c r="S366" i="12"/>
  <c r="T366" i="12" s="1"/>
  <c r="S367" i="12"/>
  <c r="T367" i="12" s="1"/>
  <c r="S368" i="12"/>
  <c r="T368" i="12" s="1"/>
  <c r="S369" i="12"/>
  <c r="T369" i="12" s="1"/>
  <c r="S370" i="12"/>
  <c r="T370" i="12" s="1"/>
  <c r="S371" i="12"/>
  <c r="T371" i="12" s="1"/>
  <c r="S372" i="12"/>
  <c r="T372" i="12" s="1"/>
  <c r="S373" i="12"/>
  <c r="T373" i="12" s="1"/>
  <c r="S374" i="12"/>
  <c r="T374" i="12" s="1"/>
  <c r="S375" i="12"/>
  <c r="T375" i="12" s="1"/>
  <c r="S376" i="12"/>
  <c r="T376" i="12" s="1"/>
  <c r="S377" i="12"/>
  <c r="T377" i="12" s="1"/>
  <c r="S378" i="12"/>
  <c r="T378" i="12" s="1"/>
  <c r="S379" i="12"/>
  <c r="T379" i="12" s="1"/>
  <c r="S380" i="12"/>
  <c r="T380" i="12" s="1"/>
  <c r="S381" i="12"/>
  <c r="T381" i="12" s="1"/>
  <c r="S382" i="12"/>
  <c r="T382" i="12" s="1"/>
  <c r="S383" i="12"/>
  <c r="T383" i="12" s="1"/>
  <c r="S384" i="12"/>
  <c r="T384" i="12" s="1"/>
  <c r="S385" i="12"/>
  <c r="T385" i="12" s="1"/>
  <c r="S386" i="12"/>
  <c r="T386" i="12" s="1"/>
  <c r="S387" i="12"/>
  <c r="T387" i="12" s="1"/>
  <c r="S388" i="12"/>
  <c r="T388" i="12" s="1"/>
  <c r="S389" i="12"/>
  <c r="T389" i="12" s="1"/>
  <c r="S390" i="12"/>
  <c r="T390" i="12" s="1"/>
  <c r="S391" i="12"/>
  <c r="T391" i="12" s="1"/>
  <c r="S392" i="12"/>
  <c r="T392" i="12" s="1"/>
  <c r="S393" i="12"/>
  <c r="T393" i="12" s="1"/>
  <c r="S394" i="12"/>
  <c r="T394" i="12" s="1"/>
  <c r="S395" i="12"/>
  <c r="T395" i="12" s="1"/>
  <c r="S396" i="12"/>
  <c r="T396" i="12" s="1"/>
  <c r="S397" i="12"/>
  <c r="T397" i="12" s="1"/>
  <c r="S398" i="12"/>
  <c r="T398" i="12" s="1"/>
  <c r="S399" i="12"/>
  <c r="T399" i="12" s="1"/>
  <c r="S400" i="12"/>
  <c r="T400" i="12" s="1"/>
  <c r="S401" i="12"/>
  <c r="T401" i="12" s="1"/>
  <c r="S402" i="12"/>
  <c r="T402" i="12" s="1"/>
  <c r="S403" i="12"/>
  <c r="T403" i="12" s="1"/>
  <c r="S404" i="12"/>
  <c r="T404" i="12" s="1"/>
  <c r="S3" i="12"/>
  <c r="S4" i="12"/>
  <c r="S5" i="12"/>
  <c r="S6"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Q192" i="12"/>
  <c r="U192" i="12" s="1"/>
  <c r="Q193" i="12"/>
  <c r="U193" i="12" s="1"/>
  <c r="Q194" i="12"/>
  <c r="U194" i="12" s="1"/>
  <c r="Q195" i="12"/>
  <c r="U195" i="12" s="1"/>
  <c r="Q196" i="12"/>
  <c r="R196" i="12" s="1"/>
  <c r="Q197" i="12"/>
  <c r="R197" i="12" s="1"/>
  <c r="Q198" i="12"/>
  <c r="R198" i="12" s="1"/>
  <c r="Q199" i="12"/>
  <c r="Q200" i="12"/>
  <c r="U200" i="12" s="1"/>
  <c r="Q201" i="12"/>
  <c r="U201" i="12" s="1"/>
  <c r="Q202" i="12"/>
  <c r="U202" i="12" s="1"/>
  <c r="Q203" i="12"/>
  <c r="U203" i="12" s="1"/>
  <c r="Q204" i="12"/>
  <c r="Q205" i="12"/>
  <c r="U205" i="12" s="1"/>
  <c r="Q206" i="12"/>
  <c r="U206" i="12" s="1"/>
  <c r="Q207" i="12"/>
  <c r="Q208" i="12"/>
  <c r="U208" i="12" s="1"/>
  <c r="Q209" i="12"/>
  <c r="U209" i="12" s="1"/>
  <c r="Q210" i="12"/>
  <c r="U210" i="12" s="1"/>
  <c r="Q211" i="12"/>
  <c r="U211" i="12" s="1"/>
  <c r="Q212" i="12"/>
  <c r="R212" i="12" s="1"/>
  <c r="Q213" i="12"/>
  <c r="R213" i="12" s="1"/>
  <c r="Q214" i="12"/>
  <c r="U214" i="12" s="1"/>
  <c r="Q215" i="12"/>
  <c r="Q216" i="12"/>
  <c r="U216" i="12" s="1"/>
  <c r="Q217" i="12"/>
  <c r="R217" i="12" s="1"/>
  <c r="Q218" i="12"/>
  <c r="U218" i="12" s="1"/>
  <c r="Q219" i="12"/>
  <c r="R219" i="12" s="1"/>
  <c r="Q220" i="12"/>
  <c r="R220" i="12" s="1"/>
  <c r="Q221" i="12"/>
  <c r="R221" i="12" s="1"/>
  <c r="Q222" i="12"/>
  <c r="R222" i="12" s="1"/>
  <c r="Q223" i="12"/>
  <c r="Q224" i="12"/>
  <c r="U224" i="12" s="1"/>
  <c r="Q225" i="12"/>
  <c r="U225" i="12" s="1"/>
  <c r="Q226" i="12"/>
  <c r="U226" i="12" s="1"/>
  <c r="Q227" i="12"/>
  <c r="U227" i="12" s="1"/>
  <c r="Q228" i="12"/>
  <c r="Q229" i="12"/>
  <c r="U229" i="12" s="1"/>
  <c r="Q230" i="12"/>
  <c r="U230" i="12" s="1"/>
  <c r="Q231" i="12"/>
  <c r="Q232" i="12"/>
  <c r="U232" i="12" s="1"/>
  <c r="Q233" i="12"/>
  <c r="U233" i="12" s="1"/>
  <c r="Q234" i="12"/>
  <c r="U234" i="12" s="1"/>
  <c r="Q235" i="12"/>
  <c r="R235" i="12" s="1"/>
  <c r="Q236" i="12"/>
  <c r="R236" i="12" s="1"/>
  <c r="Q237" i="12"/>
  <c r="R237" i="12" s="1"/>
  <c r="Q238" i="12"/>
  <c r="U238" i="12" s="1"/>
  <c r="Q239" i="12"/>
  <c r="Q240" i="12"/>
  <c r="U240" i="12" s="1"/>
  <c r="Q241" i="12"/>
  <c r="U241" i="12" s="1"/>
  <c r="Q242" i="12"/>
  <c r="U242" i="12" s="1"/>
  <c r="Q243" i="12"/>
  <c r="U243" i="12" s="1"/>
  <c r="Q244" i="12"/>
  <c r="Q245" i="12"/>
  <c r="U245" i="12" s="1"/>
  <c r="Q246" i="12"/>
  <c r="U246" i="12" s="1"/>
  <c r="Q247" i="12"/>
  <c r="Q248" i="12"/>
  <c r="U248" i="12" s="1"/>
  <c r="Q249" i="12"/>
  <c r="U249" i="12" s="1"/>
  <c r="Q250" i="12"/>
  <c r="U250" i="12" s="1"/>
  <c r="Q251" i="12"/>
  <c r="U251" i="12" s="1"/>
  <c r="Q252" i="12"/>
  <c r="Q253" i="12"/>
  <c r="U253" i="12" s="1"/>
  <c r="Q254" i="12"/>
  <c r="U254" i="12" s="1"/>
  <c r="Q255" i="12"/>
  <c r="Q256" i="12"/>
  <c r="U256" i="12" s="1"/>
  <c r="Q257" i="12"/>
  <c r="U257" i="12" s="1"/>
  <c r="Q258" i="12"/>
  <c r="U258" i="12" s="1"/>
  <c r="Q259" i="12"/>
  <c r="U259" i="12" s="1"/>
  <c r="Q260" i="12"/>
  <c r="R260" i="12" s="1"/>
  <c r="Q261" i="12"/>
  <c r="R261" i="12" s="1"/>
  <c r="Q262" i="12"/>
  <c r="R262" i="12" s="1"/>
  <c r="Q263" i="12"/>
  <c r="Q264" i="12"/>
  <c r="U264" i="12" s="1"/>
  <c r="Q265" i="12"/>
  <c r="R265" i="12" s="1"/>
  <c r="Q266" i="12"/>
  <c r="U266" i="12" s="1"/>
  <c r="Q267" i="12"/>
  <c r="R267" i="12" s="1"/>
  <c r="Q268" i="12"/>
  <c r="Q269" i="12"/>
  <c r="U269" i="12" s="1"/>
  <c r="Q270" i="12"/>
  <c r="U270" i="12" s="1"/>
  <c r="Q271" i="12"/>
  <c r="Q272" i="12"/>
  <c r="U272" i="12" s="1"/>
  <c r="Q273" i="12"/>
  <c r="U273" i="12" s="1"/>
  <c r="Q274" i="12"/>
  <c r="U274" i="12" s="1"/>
  <c r="Q275" i="12"/>
  <c r="U275" i="12" s="1"/>
  <c r="Q276" i="12"/>
  <c r="R276" i="12" s="1"/>
  <c r="Q277" i="12"/>
  <c r="R277" i="12" s="1"/>
  <c r="Q278" i="12"/>
  <c r="U278" i="12" s="1"/>
  <c r="Q279" i="12"/>
  <c r="Q280" i="12"/>
  <c r="R280" i="12" s="1"/>
  <c r="Q281" i="12"/>
  <c r="U281" i="12" s="1"/>
  <c r="Q282" i="12"/>
  <c r="U282" i="12" s="1"/>
  <c r="Q283" i="12"/>
  <c r="U283" i="12" s="1"/>
  <c r="Q284" i="12"/>
  <c r="R284" i="12" s="1"/>
  <c r="Q285" i="12"/>
  <c r="R285" i="12" s="1"/>
  <c r="Q286" i="12"/>
  <c r="R286" i="12" s="1"/>
  <c r="Q287" i="12"/>
  <c r="Q288" i="12"/>
  <c r="R288" i="12" s="1"/>
  <c r="Q289" i="12"/>
  <c r="U289" i="12" s="1"/>
  <c r="Q290" i="12"/>
  <c r="U290" i="12" s="1"/>
  <c r="Q291" i="12"/>
  <c r="U291" i="12" s="1"/>
  <c r="Q292" i="12"/>
  <c r="Q293" i="12"/>
  <c r="U293" i="12" s="1"/>
  <c r="Q294" i="12"/>
  <c r="U294" i="12" s="1"/>
  <c r="Q295" i="12"/>
  <c r="Q296" i="12"/>
  <c r="R296" i="12" s="1"/>
  <c r="Q297" i="12"/>
  <c r="U297" i="12" s="1"/>
  <c r="Q298" i="12"/>
  <c r="U298" i="12" s="1"/>
  <c r="Q299" i="12"/>
  <c r="R299" i="12" s="1"/>
  <c r="Q300" i="12"/>
  <c r="Q301" i="12"/>
  <c r="U301" i="12" s="1"/>
  <c r="Q302" i="12"/>
  <c r="U302" i="12" s="1"/>
  <c r="Q303" i="12"/>
  <c r="Q304" i="12"/>
  <c r="U304" i="12" s="1"/>
  <c r="Q305" i="12"/>
  <c r="U305" i="12" s="1"/>
  <c r="Q306" i="12"/>
  <c r="U306" i="12" s="1"/>
  <c r="Q307" i="12"/>
  <c r="U307" i="12" s="1"/>
  <c r="Q308" i="12"/>
  <c r="R308" i="12" s="1"/>
  <c r="Q309" i="12"/>
  <c r="R309" i="12" s="1"/>
  <c r="Q310" i="12"/>
  <c r="U310" i="12" s="1"/>
  <c r="Q311" i="12"/>
  <c r="Q312" i="12"/>
  <c r="R312" i="12" s="1"/>
  <c r="Q313" i="12"/>
  <c r="U313" i="12" s="1"/>
  <c r="Q314" i="12"/>
  <c r="U314" i="12" s="1"/>
  <c r="Q315" i="12"/>
  <c r="U315" i="12" s="1"/>
  <c r="Q316" i="12"/>
  <c r="R316" i="12" s="1"/>
  <c r="Q317" i="12"/>
  <c r="R317" i="12" s="1"/>
  <c r="Q318" i="12"/>
  <c r="R318" i="12" s="1"/>
  <c r="Q319" i="12"/>
  <c r="Q320" i="12"/>
  <c r="R320" i="12" s="1"/>
  <c r="Q321" i="12"/>
  <c r="U321" i="12" s="1"/>
  <c r="Q322" i="12"/>
  <c r="U322" i="12" s="1"/>
  <c r="Q323" i="12"/>
  <c r="R323" i="12" s="1"/>
  <c r="Q324" i="12"/>
  <c r="U324" i="12" s="1"/>
  <c r="Q325" i="12"/>
  <c r="U325" i="12" s="1"/>
  <c r="Q326" i="12"/>
  <c r="U326" i="12" s="1"/>
  <c r="Q327" i="12"/>
  <c r="Q328" i="12"/>
  <c r="R328" i="12" s="1"/>
  <c r="Q329" i="12"/>
  <c r="U329" i="12" s="1"/>
  <c r="Q330" i="12"/>
  <c r="U330" i="12" s="1"/>
  <c r="Q331" i="12"/>
  <c r="R331" i="12" s="1"/>
  <c r="Q332" i="12"/>
  <c r="U332" i="12" s="1"/>
  <c r="Q333" i="12"/>
  <c r="U333" i="12" s="1"/>
  <c r="Q334" i="12"/>
  <c r="U334" i="12" s="1"/>
  <c r="Q335" i="12"/>
  <c r="U335" i="12" s="1"/>
  <c r="Q336" i="12"/>
  <c r="U336" i="12" s="1"/>
  <c r="Q337" i="12"/>
  <c r="U337" i="12" s="1"/>
  <c r="Q338" i="12"/>
  <c r="U338" i="12" s="1"/>
  <c r="Q339" i="12"/>
  <c r="U339" i="12" s="1"/>
  <c r="Q340" i="12"/>
  <c r="R340" i="12" s="1"/>
  <c r="Q341" i="12"/>
  <c r="R341" i="12" s="1"/>
  <c r="Q342" i="12"/>
  <c r="U342" i="12" s="1"/>
  <c r="Q343" i="12"/>
  <c r="U343" i="12" s="1"/>
  <c r="Q344" i="12"/>
  <c r="R344" i="12" s="1"/>
  <c r="Q345" i="12"/>
  <c r="U345" i="12" s="1"/>
  <c r="Q346" i="12"/>
  <c r="U346" i="12" s="1"/>
  <c r="Q347" i="12"/>
  <c r="U347" i="12" s="1"/>
  <c r="Q348" i="12"/>
  <c r="R348" i="12" s="1"/>
  <c r="Q349" i="12"/>
  <c r="R349" i="12" s="1"/>
  <c r="Q350" i="12"/>
  <c r="R350" i="12" s="1"/>
  <c r="Q351" i="12"/>
  <c r="U351" i="12" s="1"/>
  <c r="Q352" i="12"/>
  <c r="R352" i="12" s="1"/>
  <c r="Q353" i="12"/>
  <c r="U353" i="12" s="1"/>
  <c r="Q354" i="12"/>
  <c r="U354" i="12" s="1"/>
  <c r="Q355" i="12"/>
  <c r="U355" i="12" s="1"/>
  <c r="Q356" i="12"/>
  <c r="U356" i="12" s="1"/>
  <c r="Q357" i="12"/>
  <c r="U357" i="12" s="1"/>
  <c r="Q358" i="12"/>
  <c r="U358" i="12" s="1"/>
  <c r="Q359" i="12"/>
  <c r="U359" i="12" s="1"/>
  <c r="Q360" i="12"/>
  <c r="R360" i="12" s="1"/>
  <c r="Q361" i="12"/>
  <c r="U361" i="12" s="1"/>
  <c r="Q362" i="12"/>
  <c r="U362" i="12" s="1"/>
  <c r="Q363" i="12"/>
  <c r="R363" i="12" s="1"/>
  <c r="Q364" i="12"/>
  <c r="U364" i="12" s="1"/>
  <c r="Q365" i="12"/>
  <c r="U365" i="12" s="1"/>
  <c r="Q366" i="12"/>
  <c r="U366" i="12" s="1"/>
  <c r="Q367" i="12"/>
  <c r="U367" i="12" s="1"/>
  <c r="Q368" i="12"/>
  <c r="U368" i="12" s="1"/>
  <c r="Q369" i="12"/>
  <c r="U369" i="12" s="1"/>
  <c r="Q370" i="12"/>
  <c r="U370" i="12" s="1"/>
  <c r="Q371" i="12"/>
  <c r="U371" i="12" s="1"/>
  <c r="Q372" i="12"/>
  <c r="R372" i="12" s="1"/>
  <c r="Q373" i="12"/>
  <c r="R373" i="12" s="1"/>
  <c r="Q374" i="12"/>
  <c r="U374" i="12" s="1"/>
  <c r="Q375" i="12"/>
  <c r="U375" i="12" s="1"/>
  <c r="Q376" i="12"/>
  <c r="R376" i="12" s="1"/>
  <c r="Q377" i="12"/>
  <c r="U377" i="12" s="1"/>
  <c r="Q378" i="12"/>
  <c r="U378" i="12" s="1"/>
  <c r="Q379" i="12"/>
  <c r="U379" i="12" s="1"/>
  <c r="Q380" i="12"/>
  <c r="R380" i="12" s="1"/>
  <c r="Q381" i="12"/>
  <c r="R381" i="12" s="1"/>
  <c r="Q382" i="12"/>
  <c r="R382" i="12" s="1"/>
  <c r="Q383" i="12"/>
  <c r="U383" i="12" s="1"/>
  <c r="Q384" i="12"/>
  <c r="R384" i="12" s="1"/>
  <c r="Q385" i="12"/>
  <c r="U385" i="12" s="1"/>
  <c r="Q386" i="12"/>
  <c r="U386" i="12" s="1"/>
  <c r="Q387" i="12"/>
  <c r="R387" i="12" s="1"/>
  <c r="Q388" i="12"/>
  <c r="U388" i="12" s="1"/>
  <c r="Q389" i="12"/>
  <c r="U389" i="12" s="1"/>
  <c r="Q390" i="12"/>
  <c r="U390" i="12" s="1"/>
  <c r="Q391" i="12"/>
  <c r="Q392" i="12"/>
  <c r="R392" i="12" s="1"/>
  <c r="Q393" i="12"/>
  <c r="U393" i="12" s="1"/>
  <c r="Q394" i="12"/>
  <c r="U394" i="12" s="1"/>
  <c r="Q395" i="12"/>
  <c r="R395" i="12" s="1"/>
  <c r="Q396" i="12"/>
  <c r="U396" i="12" s="1"/>
  <c r="Q397" i="12"/>
  <c r="U397" i="12" s="1"/>
  <c r="Q398" i="12"/>
  <c r="U398" i="12" s="1"/>
  <c r="Q399" i="12"/>
  <c r="U399" i="12" s="1"/>
  <c r="Q400" i="12"/>
  <c r="U400" i="12" s="1"/>
  <c r="Q401" i="12"/>
  <c r="U401" i="12" s="1"/>
  <c r="Q402" i="12"/>
  <c r="U402" i="12" s="1"/>
  <c r="Q403" i="12"/>
  <c r="U403" i="12" s="1"/>
  <c r="Q404" i="12"/>
  <c r="R404" i="12" s="1"/>
  <c r="Q3" i="12"/>
  <c r="Q4" i="12"/>
  <c r="Q5" i="12"/>
  <c r="Q6"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2"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3" i="12"/>
  <c r="P4" i="12"/>
  <c r="P5" i="12"/>
  <c r="P6"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3" i="12"/>
  <c r="O4" i="12"/>
  <c r="O5" i="12"/>
  <c r="O6"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2"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3" i="12"/>
  <c r="N4" i="12"/>
  <c r="N5" i="12"/>
  <c r="N6"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3" i="12"/>
  <c r="M4" i="12"/>
  <c r="M5" i="12"/>
  <c r="M6"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2"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3" i="12"/>
  <c r="L4" i="12"/>
  <c r="L5" i="12"/>
  <c r="L6"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3" i="12"/>
  <c r="K4" i="12"/>
  <c r="K5" i="12"/>
  <c r="K6"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2"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3" i="12"/>
  <c r="J4" i="12"/>
  <c r="J5" i="12"/>
  <c r="J6"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3" i="12"/>
  <c r="I4" i="12"/>
  <c r="I5" i="12"/>
  <c r="I6"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2"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3" i="12"/>
  <c r="H4" i="12"/>
  <c r="H5" i="12"/>
  <c r="H6"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3" i="12"/>
  <c r="G4" i="12"/>
  <c r="G5" i="12"/>
  <c r="G6"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2"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3" i="12"/>
  <c r="F4" i="12"/>
  <c r="F5" i="12"/>
  <c r="F6"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3" i="12"/>
  <c r="E4" i="12"/>
  <c r="E5" i="12"/>
  <c r="E6"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2"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3" i="12"/>
  <c r="D4" i="12"/>
  <c r="D5" i="12"/>
  <c r="D6"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2" i="12"/>
  <c r="B3" i="12"/>
  <c r="B4" i="12"/>
  <c r="B5" i="12"/>
  <c r="B6"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2"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3" i="12"/>
  <c r="C4" i="12"/>
  <c r="C5" i="12"/>
  <c r="C6"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2"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3" i="12"/>
  <c r="A4" i="12"/>
  <c r="A5" i="12"/>
  <c r="A6"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2" i="12"/>
  <c r="G57" i="10"/>
  <c r="G45" i="10"/>
  <c r="G31" i="10"/>
  <c r="G44" i="10"/>
  <c r="G30" i="10"/>
  <c r="G55" i="10"/>
  <c r="G25" i="10"/>
  <c r="G24" i="10"/>
  <c r="G37" i="10"/>
  <c r="G56" i="10"/>
  <c r="G67" i="10"/>
  <c r="G66" i="10"/>
  <c r="G64" i="10"/>
  <c r="G52" i="10"/>
  <c r="G36" i="10"/>
  <c r="G22" i="10"/>
  <c r="G63" i="10"/>
  <c r="G51" i="10"/>
  <c r="G15" i="10"/>
  <c r="G21" i="10"/>
  <c r="G54" i="10"/>
  <c r="G53" i="10"/>
  <c r="G58" i="10"/>
  <c r="G46" i="10"/>
  <c r="G14" i="10"/>
  <c r="G20" i="10"/>
  <c r="G39" i="10"/>
  <c r="G38" i="10"/>
  <c r="G65" i="10"/>
  <c r="G23" i="10"/>
  <c r="BA159" i="21" l="1"/>
  <c r="U391" i="12"/>
  <c r="U327" i="12"/>
  <c r="U319" i="12"/>
  <c r="U311" i="12"/>
  <c r="U303" i="12"/>
  <c r="U295" i="12"/>
  <c r="U287" i="12"/>
  <c r="U279" i="12"/>
  <c r="U271" i="12"/>
  <c r="U263" i="12"/>
  <c r="U255" i="12"/>
  <c r="U247" i="12"/>
  <c r="U239" i="12"/>
  <c r="U231" i="12"/>
  <c r="U223" i="12"/>
  <c r="U215" i="12"/>
  <c r="U207" i="12"/>
  <c r="U199" i="12"/>
  <c r="U300" i="12"/>
  <c r="U292" i="12"/>
  <c r="U268" i="12"/>
  <c r="U252" i="12"/>
  <c r="U244" i="12"/>
  <c r="U228" i="12"/>
  <c r="U204" i="12"/>
  <c r="Z403" i="12"/>
  <c r="Z387" i="12"/>
  <c r="Z379" i="12"/>
  <c r="Z371" i="12"/>
  <c r="Z363" i="12"/>
  <c r="Z355" i="12"/>
  <c r="Z347" i="12"/>
  <c r="Z339" i="12"/>
  <c r="Z323" i="12"/>
  <c r="Z315" i="12"/>
  <c r="Z299" i="12"/>
  <c r="Z283" i="12"/>
  <c r="Z219" i="12"/>
  <c r="AE391" i="12"/>
  <c r="AE359" i="12"/>
  <c r="AE327" i="12"/>
  <c r="AE295" i="12"/>
  <c r="AE263" i="12"/>
  <c r="AE231" i="12"/>
  <c r="AE199" i="12"/>
  <c r="AJ341" i="12"/>
  <c r="AJ333" i="12"/>
  <c r="AJ325" i="12"/>
  <c r="AJ317" i="12"/>
  <c r="AJ309" i="12"/>
  <c r="AJ301" i="12"/>
  <c r="AJ293" i="12"/>
  <c r="AJ285" i="12"/>
  <c r="AJ277" i="12"/>
  <c r="AJ269" i="12"/>
  <c r="AJ261" i="12"/>
  <c r="AJ253" i="12"/>
  <c r="AJ245" i="12"/>
  <c r="AJ237" i="12"/>
  <c r="AJ229" i="12"/>
  <c r="AJ221" i="12"/>
  <c r="AJ213" i="12"/>
  <c r="AJ205" i="12"/>
  <c r="AJ197" i="12"/>
  <c r="AO201" i="12"/>
  <c r="AO193" i="12"/>
  <c r="AJ404" i="12"/>
  <c r="AJ348" i="12"/>
  <c r="AJ340" i="12"/>
  <c r="AJ332" i="12"/>
  <c r="AJ324" i="12"/>
  <c r="AJ316" i="12"/>
  <c r="AJ308" i="12"/>
  <c r="AJ300" i="12"/>
  <c r="AJ292" i="12"/>
  <c r="AJ284" i="12"/>
  <c r="AJ276" i="12"/>
  <c r="AJ268" i="12"/>
  <c r="AJ260" i="12"/>
  <c r="AJ252" i="12"/>
  <c r="AJ244" i="12"/>
  <c r="AJ236" i="12"/>
  <c r="AJ228" i="12"/>
  <c r="AJ220" i="12"/>
  <c r="AJ212" i="12"/>
  <c r="AJ204" i="12"/>
  <c r="AJ196" i="12"/>
  <c r="AO192" i="12"/>
  <c r="AY402" i="12"/>
  <c r="AY394" i="12"/>
  <c r="AY386" i="12"/>
  <c r="AY378" i="12"/>
  <c r="AY370" i="12"/>
  <c r="AY362" i="12"/>
  <c r="AY354" i="12"/>
  <c r="AY346" i="12"/>
  <c r="AY338" i="12"/>
  <c r="AY330" i="12"/>
  <c r="AY322" i="12"/>
  <c r="AY314" i="12"/>
  <c r="AY306" i="12"/>
  <c r="AY298" i="12"/>
  <c r="AY290" i="12"/>
  <c r="AY282" i="12"/>
  <c r="AY274" i="12"/>
  <c r="AY266" i="12"/>
  <c r="AY258" i="12"/>
  <c r="AY250" i="12"/>
  <c r="AY242" i="12"/>
  <c r="AY234" i="12"/>
  <c r="AY226" i="12"/>
  <c r="AY218" i="12"/>
  <c r="AY210" i="12"/>
  <c r="AY202" i="12"/>
  <c r="AY194" i="12"/>
  <c r="AT397" i="12"/>
  <c r="AT389" i="12"/>
  <c r="AT381" i="12"/>
  <c r="AT373" i="12"/>
  <c r="AT365" i="12"/>
  <c r="AT357" i="12"/>
  <c r="AT349" i="12"/>
  <c r="AT341" i="12"/>
  <c r="AT333" i="12"/>
  <c r="AT325" i="12"/>
  <c r="AT317" i="12"/>
  <c r="AT309" i="12"/>
  <c r="AT301" i="12"/>
  <c r="AT293" i="12"/>
  <c r="AT285" i="12"/>
  <c r="AT277" i="12"/>
  <c r="AT269" i="12"/>
  <c r="AT261" i="12"/>
  <c r="AT253" i="12"/>
  <c r="AT245" i="12"/>
  <c r="AT237" i="12"/>
  <c r="AT229" i="12"/>
  <c r="AT221" i="12"/>
  <c r="AT213" i="12"/>
  <c r="AT205" i="12"/>
  <c r="AT197" i="12"/>
  <c r="AY385" i="12"/>
  <c r="AY369" i="12"/>
  <c r="AY361" i="12"/>
  <c r="AY345" i="12"/>
  <c r="AY321" i="12"/>
  <c r="AY313" i="12"/>
  <c r="AY289" i="12"/>
  <c r="AY400" i="12"/>
  <c r="AY392" i="12"/>
  <c r="AY384" i="12"/>
  <c r="AY376" i="12"/>
  <c r="AY368" i="12"/>
  <c r="AY360" i="12"/>
  <c r="AY352" i="12"/>
  <c r="AY344" i="12"/>
  <c r="AY336" i="12"/>
  <c r="AY328" i="12"/>
  <c r="AY320" i="12"/>
  <c r="AY312" i="12"/>
  <c r="AY304" i="12"/>
  <c r="AY296" i="12"/>
  <c r="AY288" i="12"/>
  <c r="AY280" i="12"/>
  <c r="AY272" i="12"/>
  <c r="AY264" i="12"/>
  <c r="AY256" i="12"/>
  <c r="AY248" i="12"/>
  <c r="AY240" i="12"/>
  <c r="AY232" i="12"/>
  <c r="AY224" i="12"/>
  <c r="AY216" i="12"/>
  <c r="AY208" i="12"/>
  <c r="AY200" i="12"/>
  <c r="AY192" i="12"/>
  <c r="BD269" i="12"/>
  <c r="BD261" i="12"/>
  <c r="BD253" i="12"/>
  <c r="BD245" i="12"/>
  <c r="BD237" i="12"/>
  <c r="BD229" i="12"/>
  <c r="BD221" i="12"/>
  <c r="BD213" i="12"/>
  <c r="BD205" i="12"/>
  <c r="BD197" i="12"/>
  <c r="BI353" i="12"/>
  <c r="BI289" i="12"/>
  <c r="BI225" i="12"/>
  <c r="BD268" i="12"/>
  <c r="BD260" i="12"/>
  <c r="BD252" i="12"/>
  <c r="BD244" i="12"/>
  <c r="BD236" i="12"/>
  <c r="BD228" i="12"/>
  <c r="BD220" i="12"/>
  <c r="BD212" i="12"/>
  <c r="BD204" i="12"/>
  <c r="BD196" i="12"/>
  <c r="AL362" i="12"/>
  <c r="BF405" i="21"/>
  <c r="BA275" i="12"/>
  <c r="AJ262" i="12"/>
  <c r="AV396" i="12"/>
  <c r="BA267" i="12"/>
  <c r="AQ327" i="12"/>
  <c r="R361" i="12"/>
  <c r="AV228" i="12"/>
  <c r="BA199" i="12"/>
  <c r="AG310" i="12"/>
  <c r="AO250" i="12"/>
  <c r="AV322" i="12"/>
  <c r="BA347" i="12"/>
  <c r="BD358" i="12"/>
  <c r="AJ310" i="21"/>
  <c r="BB340" i="21"/>
  <c r="BA80" i="21"/>
  <c r="AG231" i="12"/>
  <c r="AL371" i="12"/>
  <c r="AV236" i="12"/>
  <c r="BA339" i="12"/>
  <c r="AI361" i="21"/>
  <c r="BA113" i="21"/>
  <c r="BA40" i="21"/>
  <c r="W369" i="12"/>
  <c r="AE350" i="12"/>
  <c r="AL283" i="12"/>
  <c r="AJ286" i="12"/>
  <c r="AL202" i="12"/>
  <c r="AQ391" i="12"/>
  <c r="BA203" i="12"/>
  <c r="BB329" i="21"/>
  <c r="R339" i="12"/>
  <c r="U299" i="12"/>
  <c r="AQ263" i="12"/>
  <c r="AV386" i="12"/>
  <c r="BI264" i="12"/>
  <c r="AJ330" i="21"/>
  <c r="U267" i="12"/>
  <c r="AG319" i="12"/>
  <c r="AO274" i="12"/>
  <c r="AQ199" i="12"/>
  <c r="AV332" i="12"/>
  <c r="BI200" i="12"/>
  <c r="AI312" i="21"/>
  <c r="BA229" i="21"/>
  <c r="BB14" i="21"/>
  <c r="BB120" i="21"/>
  <c r="BA174" i="21"/>
  <c r="Z324" i="21"/>
  <c r="BB220" i="21"/>
  <c r="Y101" i="21"/>
  <c r="BB47" i="21"/>
  <c r="BB357" i="21"/>
  <c r="BB365" i="21"/>
  <c r="BA359" i="21"/>
  <c r="BB62" i="21"/>
  <c r="BB364" i="21"/>
  <c r="Z11" i="21"/>
  <c r="BA227" i="21"/>
  <c r="BA372" i="21"/>
  <c r="AJ105" i="21"/>
  <c r="BB79" i="21"/>
  <c r="BB98" i="21"/>
  <c r="BB297" i="21"/>
  <c r="BB226" i="21"/>
  <c r="BA240" i="21"/>
  <c r="BA61" i="21"/>
  <c r="BA167" i="21"/>
  <c r="BB102" i="21"/>
  <c r="BA102" i="21"/>
  <c r="AI161" i="21"/>
  <c r="BB46" i="21"/>
  <c r="BB155" i="21"/>
  <c r="BA339" i="21"/>
  <c r="BB114" i="21"/>
  <c r="BB57" i="21"/>
  <c r="BB81" i="21"/>
  <c r="BB285" i="21"/>
  <c r="BA128" i="21"/>
  <c r="BB327" i="21"/>
  <c r="BB54" i="21"/>
  <c r="BB266" i="21"/>
  <c r="BB110" i="21"/>
  <c r="BB263" i="21"/>
  <c r="BA112" i="21"/>
  <c r="BA117" i="21"/>
  <c r="BA104" i="21"/>
  <c r="BB55" i="21"/>
  <c r="BA56" i="21"/>
  <c r="BA111" i="21"/>
  <c r="BA175" i="21"/>
  <c r="BA103" i="21"/>
  <c r="BB295" i="21"/>
  <c r="BB217" i="21"/>
  <c r="BB331" i="21"/>
  <c r="BA88" i="21"/>
  <c r="BB328" i="21"/>
  <c r="BB111" i="21"/>
  <c r="BA98" i="21"/>
  <c r="BB213" i="21"/>
  <c r="BB202" i="21"/>
  <c r="BB369" i="21"/>
  <c r="BB156" i="21"/>
  <c r="BA105" i="21"/>
  <c r="BB316" i="21"/>
  <c r="BB160" i="21"/>
  <c r="BB74" i="21"/>
  <c r="BA336" i="21"/>
  <c r="BA110" i="21"/>
  <c r="BB99" i="21"/>
  <c r="BB172" i="21"/>
  <c r="BB11" i="21"/>
  <c r="BB116" i="21"/>
  <c r="AJ122" i="21"/>
  <c r="BA158" i="21"/>
  <c r="BB281" i="21"/>
  <c r="BA373" i="21"/>
  <c r="BB332" i="21"/>
  <c r="BA298" i="21"/>
  <c r="BB348" i="21"/>
  <c r="BB95" i="21"/>
  <c r="BB7" i="21"/>
  <c r="BB70" i="21"/>
  <c r="BB354" i="21"/>
  <c r="Z337" i="21"/>
  <c r="AJ322" i="21"/>
  <c r="AJ68" i="21"/>
  <c r="AJ302" i="21"/>
  <c r="Z66" i="21"/>
  <c r="AJ203" i="21"/>
  <c r="AJ199" i="21"/>
  <c r="AJ229" i="21"/>
  <c r="AJ109" i="21"/>
  <c r="Y114" i="21"/>
  <c r="AJ97" i="21"/>
  <c r="AJ219" i="21"/>
  <c r="AJ13" i="21"/>
  <c r="Y113" i="21"/>
  <c r="AJ49" i="21"/>
  <c r="AJ358" i="21"/>
  <c r="Z361" i="21"/>
  <c r="AJ101" i="21"/>
  <c r="Z161" i="21"/>
  <c r="AJ343" i="21"/>
  <c r="AJ242" i="21"/>
  <c r="AI107" i="21"/>
  <c r="Z181" i="21"/>
  <c r="AJ264" i="21"/>
  <c r="AJ280" i="21"/>
  <c r="Z226" i="21"/>
  <c r="AJ55" i="21"/>
  <c r="AJ158" i="21"/>
  <c r="AJ113" i="21"/>
  <c r="Z99" i="21"/>
  <c r="AJ64" i="21"/>
  <c r="Z231" i="21"/>
  <c r="Z303" i="21"/>
  <c r="Z51" i="21"/>
  <c r="Z78" i="21"/>
  <c r="Z111" i="21"/>
  <c r="Z301" i="21"/>
  <c r="Y171" i="21"/>
  <c r="Z160" i="21"/>
  <c r="Z369" i="21"/>
  <c r="Z296" i="21"/>
  <c r="Z278" i="21"/>
  <c r="Z103" i="21"/>
  <c r="Z282" i="21"/>
  <c r="Z152" i="21"/>
  <c r="Z120" i="21"/>
  <c r="Y109" i="21"/>
  <c r="AG391" i="12"/>
  <c r="AQ253" i="12"/>
  <c r="R297" i="12"/>
  <c r="U222" i="12"/>
  <c r="W349" i="12"/>
  <c r="W261" i="12"/>
  <c r="AE262" i="12"/>
  <c r="AG383" i="12"/>
  <c r="AG295" i="12"/>
  <c r="AG214" i="12"/>
  <c r="AL347" i="12"/>
  <c r="AL266" i="12"/>
  <c r="AO226" i="12"/>
  <c r="AQ375" i="12"/>
  <c r="AQ311" i="12"/>
  <c r="AQ247" i="12"/>
  <c r="AV380" i="12"/>
  <c r="AV316" i="12"/>
  <c r="AV194" i="12"/>
  <c r="BA403" i="12"/>
  <c r="BA331" i="12"/>
  <c r="BA263" i="12"/>
  <c r="BD334" i="12"/>
  <c r="W365" i="12"/>
  <c r="AL275" i="12"/>
  <c r="R275" i="12"/>
  <c r="W347" i="12"/>
  <c r="W197" i="12"/>
  <c r="AB400" i="12"/>
  <c r="AE222" i="12"/>
  <c r="AG374" i="12"/>
  <c r="AG287" i="12"/>
  <c r="AG199" i="12"/>
  <c r="AL339" i="12"/>
  <c r="AL251" i="12"/>
  <c r="AO402" i="12"/>
  <c r="AO210" i="12"/>
  <c r="AQ365" i="12"/>
  <c r="AQ301" i="12"/>
  <c r="AQ237" i="12"/>
  <c r="AT228" i="12"/>
  <c r="AV370" i="12"/>
  <c r="AV306" i="12"/>
  <c r="BA395" i="12"/>
  <c r="BA327" i="12"/>
  <c r="BA241" i="12"/>
  <c r="BD326" i="12"/>
  <c r="R233" i="12"/>
  <c r="W341" i="12"/>
  <c r="AB320" i="12"/>
  <c r="AE206" i="12"/>
  <c r="AG359" i="12"/>
  <c r="AG278" i="12"/>
  <c r="AL330" i="12"/>
  <c r="AL243" i="12"/>
  <c r="AO378" i="12"/>
  <c r="AQ359" i="12"/>
  <c r="AQ295" i="12"/>
  <c r="AQ231" i="12"/>
  <c r="AV364" i="12"/>
  <c r="AV300" i="12"/>
  <c r="BA391" i="12"/>
  <c r="BA305" i="12"/>
  <c r="BA233" i="12"/>
  <c r="BD398" i="12"/>
  <c r="BD312" i="12"/>
  <c r="W293" i="12"/>
  <c r="AG223" i="12"/>
  <c r="AQ381" i="12"/>
  <c r="R211" i="12"/>
  <c r="U395" i="12"/>
  <c r="W329" i="12"/>
  <c r="AB232" i="12"/>
  <c r="AE198" i="12"/>
  <c r="AG351" i="12"/>
  <c r="AG263" i="12"/>
  <c r="AL403" i="12"/>
  <c r="AL315" i="12"/>
  <c r="AL234" i="12"/>
  <c r="AO338" i="12"/>
  <c r="AQ349" i="12"/>
  <c r="AQ285" i="12"/>
  <c r="AQ221" i="12"/>
  <c r="AV354" i="12"/>
  <c r="AV290" i="12"/>
  <c r="AY399" i="12"/>
  <c r="BA369" i="12"/>
  <c r="BA297" i="12"/>
  <c r="BA225" i="12"/>
  <c r="BD390" i="12"/>
  <c r="BD302" i="12"/>
  <c r="BD344" i="12"/>
  <c r="U363" i="12"/>
  <c r="W393" i="12"/>
  <c r="W325" i="12"/>
  <c r="Z267" i="12"/>
  <c r="AB200" i="12"/>
  <c r="AG342" i="12"/>
  <c r="AG255" i="12"/>
  <c r="AJ376" i="12"/>
  <c r="AL394" i="12"/>
  <c r="AL307" i="12"/>
  <c r="AL219" i="12"/>
  <c r="AO314" i="12"/>
  <c r="AQ343" i="12"/>
  <c r="AQ279" i="12"/>
  <c r="AQ215" i="12"/>
  <c r="AV348" i="12"/>
  <c r="AV268" i="12"/>
  <c r="AY239" i="12"/>
  <c r="BA361" i="12"/>
  <c r="BA289" i="12"/>
  <c r="BA219" i="12"/>
  <c r="BD376" i="12"/>
  <c r="BD294" i="12"/>
  <c r="BI392" i="12"/>
  <c r="W301" i="12"/>
  <c r="AQ317" i="12"/>
  <c r="R403" i="12"/>
  <c r="U331" i="12"/>
  <c r="W389" i="12"/>
  <c r="W305" i="12"/>
  <c r="Z245" i="12"/>
  <c r="AG327" i="12"/>
  <c r="AG246" i="12"/>
  <c r="AJ330" i="12"/>
  <c r="AL379" i="12"/>
  <c r="AL298" i="12"/>
  <c r="AL211" i="12"/>
  <c r="AO290" i="12"/>
  <c r="AQ397" i="12"/>
  <c r="AQ333" i="12"/>
  <c r="AQ269" i="12"/>
  <c r="AQ205" i="12"/>
  <c r="AV402" i="12"/>
  <c r="AV338" i="12"/>
  <c r="AV260" i="12"/>
  <c r="BA353" i="12"/>
  <c r="BA283" i="12"/>
  <c r="BA211" i="12"/>
  <c r="BD366" i="12"/>
  <c r="BD280" i="12"/>
  <c r="BI328" i="12"/>
  <c r="R401" i="12"/>
  <c r="R379" i="12"/>
  <c r="R359" i="12"/>
  <c r="R337" i="12"/>
  <c r="R315" i="12"/>
  <c r="R295" i="12"/>
  <c r="R273" i="12"/>
  <c r="R251" i="12"/>
  <c r="R231" i="12"/>
  <c r="R209" i="12"/>
  <c r="U392" i="12"/>
  <c r="U360" i="12"/>
  <c r="U328" i="12"/>
  <c r="U296" i="12"/>
  <c r="U265" i="12"/>
  <c r="U219" i="12"/>
  <c r="Z297" i="12"/>
  <c r="W297" i="12"/>
  <c r="Z289" i="12"/>
  <c r="W289" i="12"/>
  <c r="Z281" i="12"/>
  <c r="W281" i="12"/>
  <c r="Z273" i="12"/>
  <c r="W273" i="12"/>
  <c r="Z265" i="12"/>
  <c r="W265" i="12"/>
  <c r="Z257" i="12"/>
  <c r="W257" i="12"/>
  <c r="Z249" i="12"/>
  <c r="W249" i="12"/>
  <c r="Z233" i="12"/>
  <c r="W233" i="12"/>
  <c r="Z225" i="12"/>
  <c r="W225" i="12"/>
  <c r="Z217" i="12"/>
  <c r="W217" i="12"/>
  <c r="Z209" i="12"/>
  <c r="W209" i="12"/>
  <c r="Z201" i="12"/>
  <c r="W201" i="12"/>
  <c r="Z193" i="12"/>
  <c r="W193" i="12"/>
  <c r="W387" i="12"/>
  <c r="W345" i="12"/>
  <c r="W323" i="12"/>
  <c r="W299" i="12"/>
  <c r="AG347" i="12"/>
  <c r="AJ347" i="12"/>
  <c r="AG315" i="12"/>
  <c r="AJ315" i="12"/>
  <c r="AG307" i="12"/>
  <c r="AJ307" i="12"/>
  <c r="AG283" i="12"/>
  <c r="AJ283" i="12"/>
  <c r="AG251" i="12"/>
  <c r="AJ251" i="12"/>
  <c r="AG219" i="12"/>
  <c r="AJ219" i="12"/>
  <c r="BF353" i="12"/>
  <c r="W402" i="12"/>
  <c r="Z402" i="12"/>
  <c r="W386" i="12"/>
  <c r="Z386" i="12"/>
  <c r="W362" i="12"/>
  <c r="Z362" i="12"/>
  <c r="W346" i="12"/>
  <c r="Z346" i="12"/>
  <c r="W330" i="12"/>
  <c r="Z330" i="12"/>
  <c r="W274" i="12"/>
  <c r="Z274" i="12"/>
  <c r="W258" i="12"/>
  <c r="Z258" i="12"/>
  <c r="W210" i="12"/>
  <c r="Z210" i="12"/>
  <c r="W202" i="12"/>
  <c r="Z202" i="12"/>
  <c r="W194" i="12"/>
  <c r="Z194" i="12"/>
  <c r="R399" i="12"/>
  <c r="R377" i="12"/>
  <c r="R355" i="12"/>
  <c r="R335" i="12"/>
  <c r="R313" i="12"/>
  <c r="R291" i="12"/>
  <c r="R271" i="12"/>
  <c r="R249" i="12"/>
  <c r="R227" i="12"/>
  <c r="R207" i="12"/>
  <c r="U387" i="12"/>
  <c r="U323" i="12"/>
  <c r="U261" i="12"/>
  <c r="U217" i="12"/>
  <c r="W385" i="12"/>
  <c r="W363" i="12"/>
  <c r="W321" i="12"/>
  <c r="Z395" i="12"/>
  <c r="Z226" i="12"/>
  <c r="BF289" i="12"/>
  <c r="R375" i="12"/>
  <c r="R353" i="12"/>
  <c r="R311" i="12"/>
  <c r="R289" i="12"/>
  <c r="R247" i="12"/>
  <c r="R225" i="12"/>
  <c r="R203" i="12"/>
  <c r="U384" i="12"/>
  <c r="U352" i="12"/>
  <c r="U320" i="12"/>
  <c r="U288" i="12"/>
  <c r="U213" i="12"/>
  <c r="W403" i="12"/>
  <c r="W381" i="12"/>
  <c r="W361" i="12"/>
  <c r="W339" i="12"/>
  <c r="W317" i="12"/>
  <c r="W283" i="12"/>
  <c r="Z373" i="12"/>
  <c r="Z203" i="12"/>
  <c r="BF225" i="12"/>
  <c r="R255" i="12"/>
  <c r="W378" i="12"/>
  <c r="Z378" i="12"/>
  <c r="R393" i="12"/>
  <c r="R371" i="12"/>
  <c r="R351" i="12"/>
  <c r="R329" i="12"/>
  <c r="R307" i="12"/>
  <c r="R287" i="12"/>
  <c r="R243" i="12"/>
  <c r="R223" i="12"/>
  <c r="R201" i="12"/>
  <c r="U381" i="12"/>
  <c r="U349" i="12"/>
  <c r="U317" i="12"/>
  <c r="U285" i="12"/>
  <c r="W401" i="12"/>
  <c r="W379" i="12"/>
  <c r="W357" i="12"/>
  <c r="W337" i="12"/>
  <c r="W315" i="12"/>
  <c r="Z354" i="12"/>
  <c r="R391" i="12"/>
  <c r="R369" i="12"/>
  <c r="R347" i="12"/>
  <c r="R327" i="12"/>
  <c r="R305" i="12"/>
  <c r="R283" i="12"/>
  <c r="R263" i="12"/>
  <c r="R241" i="12"/>
  <c r="R199" i="12"/>
  <c r="U376" i="12"/>
  <c r="U344" i="12"/>
  <c r="U312" i="12"/>
  <c r="U280" i="12"/>
  <c r="U236" i="12"/>
  <c r="W285" i="12"/>
  <c r="Z285" i="12"/>
  <c r="Z277" i="12"/>
  <c r="W277" i="12"/>
  <c r="Z269" i="12"/>
  <c r="W269" i="12"/>
  <c r="Z253" i="12"/>
  <c r="W253" i="12"/>
  <c r="Z237" i="12"/>
  <c r="W237" i="12"/>
  <c r="Z229" i="12"/>
  <c r="W229" i="12"/>
  <c r="W221" i="12"/>
  <c r="Z221" i="12"/>
  <c r="Z213" i="12"/>
  <c r="W213" i="12"/>
  <c r="Z205" i="12"/>
  <c r="W205" i="12"/>
  <c r="W397" i="12"/>
  <c r="W377" i="12"/>
  <c r="W355" i="12"/>
  <c r="W333" i="12"/>
  <c r="W313" i="12"/>
  <c r="W241" i="12"/>
  <c r="Z331" i="12"/>
  <c r="AY398" i="12"/>
  <c r="AV398" i="12"/>
  <c r="AY390" i="12"/>
  <c r="AV390" i="12"/>
  <c r="AY382" i="12"/>
  <c r="AV382" i="12"/>
  <c r="AY374" i="12"/>
  <c r="AV374" i="12"/>
  <c r="AY366" i="12"/>
  <c r="AV366" i="12"/>
  <c r="AY358" i="12"/>
  <c r="AV358" i="12"/>
  <c r="AY350" i="12"/>
  <c r="AV350" i="12"/>
  <c r="AY342" i="12"/>
  <c r="AV342" i="12"/>
  <c r="AY334" i="12"/>
  <c r="AV334" i="12"/>
  <c r="AY326" i="12"/>
  <c r="AV326" i="12"/>
  <c r="AY318" i="12"/>
  <c r="AV318" i="12"/>
  <c r="AY310" i="12"/>
  <c r="AV310" i="12"/>
  <c r="AY302" i="12"/>
  <c r="AV302" i="12"/>
  <c r="AY294" i="12"/>
  <c r="AV294" i="12"/>
  <c r="AY286" i="12"/>
  <c r="AV286" i="12"/>
  <c r="R319" i="12"/>
  <c r="W394" i="12"/>
  <c r="Z394" i="12"/>
  <c r="W370" i="12"/>
  <c r="Z370" i="12"/>
  <c r="W338" i="12"/>
  <c r="Z338" i="12"/>
  <c r="W322" i="12"/>
  <c r="Z322" i="12"/>
  <c r="W314" i="12"/>
  <c r="Z314" i="12"/>
  <c r="W306" i="12"/>
  <c r="Z306" i="12"/>
  <c r="W298" i="12"/>
  <c r="Z298" i="12"/>
  <c r="W282" i="12"/>
  <c r="Z282" i="12"/>
  <c r="W266" i="12"/>
  <c r="Z266" i="12"/>
  <c r="W250" i="12"/>
  <c r="Z250" i="12"/>
  <c r="W242" i="12"/>
  <c r="Z242" i="12"/>
  <c r="W234" i="12"/>
  <c r="Z234" i="12"/>
  <c r="W218" i="12"/>
  <c r="Z218" i="12"/>
  <c r="R367" i="12"/>
  <c r="R345" i="12"/>
  <c r="R303" i="12"/>
  <c r="R281" i="12"/>
  <c r="R259" i="12"/>
  <c r="R239" i="12"/>
  <c r="R195" i="12"/>
  <c r="U373" i="12"/>
  <c r="U341" i="12"/>
  <c r="U309" i="12"/>
  <c r="U277" i="12"/>
  <c r="U235" i="12"/>
  <c r="W353" i="12"/>
  <c r="W309" i="12"/>
  <c r="W219" i="12"/>
  <c r="AJ243" i="12"/>
  <c r="R383" i="12"/>
  <c r="R385" i="12"/>
  <c r="R343" i="12"/>
  <c r="R321" i="12"/>
  <c r="R279" i="12"/>
  <c r="R257" i="12"/>
  <c r="R215" i="12"/>
  <c r="R193" i="12"/>
  <c r="U197" i="12"/>
  <c r="W307" i="12"/>
  <c r="Z307" i="12"/>
  <c r="Z291" i="12"/>
  <c r="W291" i="12"/>
  <c r="Z275" i="12"/>
  <c r="W275" i="12"/>
  <c r="Z259" i="12"/>
  <c r="W259" i="12"/>
  <c r="Z251" i="12"/>
  <c r="W251" i="12"/>
  <c r="W243" i="12"/>
  <c r="Z243" i="12"/>
  <c r="Z235" i="12"/>
  <c r="W235" i="12"/>
  <c r="Z227" i="12"/>
  <c r="W227" i="12"/>
  <c r="Z211" i="12"/>
  <c r="W211" i="12"/>
  <c r="Z195" i="12"/>
  <c r="W195" i="12"/>
  <c r="W371" i="12"/>
  <c r="Z290" i="12"/>
  <c r="AQ388" i="12"/>
  <c r="AT388" i="12"/>
  <c r="AQ324" i="12"/>
  <c r="AT324" i="12"/>
  <c r="AQ316" i="12"/>
  <c r="AT316" i="12"/>
  <c r="AQ276" i="12"/>
  <c r="AT276" i="12"/>
  <c r="AQ260" i="12"/>
  <c r="AT260" i="12"/>
  <c r="AQ252" i="12"/>
  <c r="AT252" i="12"/>
  <c r="AQ236" i="12"/>
  <c r="AT236" i="12"/>
  <c r="AQ212" i="12"/>
  <c r="AT212" i="12"/>
  <c r="AQ204" i="12"/>
  <c r="AT204" i="12"/>
  <c r="AQ196" i="12"/>
  <c r="AT196" i="12"/>
  <c r="BI401" i="12"/>
  <c r="BF401" i="12"/>
  <c r="BI393" i="12"/>
  <c r="BF393" i="12"/>
  <c r="BI385" i="12"/>
  <c r="BF385" i="12"/>
  <c r="BI377" i="12"/>
  <c r="BF377" i="12"/>
  <c r="BI369" i="12"/>
  <c r="BF369" i="12"/>
  <c r="BI361" i="12"/>
  <c r="BF361" i="12"/>
  <c r="BI345" i="12"/>
  <c r="BF345" i="12"/>
  <c r="BI337" i="12"/>
  <c r="BF337" i="12"/>
  <c r="BI329" i="12"/>
  <c r="BF329" i="12"/>
  <c r="BI321" i="12"/>
  <c r="BF321" i="12"/>
  <c r="BI313" i="12"/>
  <c r="BF313" i="12"/>
  <c r="BI305" i="12"/>
  <c r="BF305" i="12"/>
  <c r="BI297" i="12"/>
  <c r="BF297" i="12"/>
  <c r="BI281" i="12"/>
  <c r="BF281" i="12"/>
  <c r="BI273" i="12"/>
  <c r="BF273" i="12"/>
  <c r="BI265" i="12"/>
  <c r="BF265" i="12"/>
  <c r="BI257" i="12"/>
  <c r="BF257" i="12"/>
  <c r="BI249" i="12"/>
  <c r="BF249" i="12"/>
  <c r="BI241" i="12"/>
  <c r="BF241" i="12"/>
  <c r="BI233" i="12"/>
  <c r="BF233" i="12"/>
  <c r="BI217" i="12"/>
  <c r="BF217" i="12"/>
  <c r="BI209" i="12"/>
  <c r="BF209" i="12"/>
  <c r="BI201" i="12"/>
  <c r="BF201" i="12"/>
  <c r="BI193" i="12"/>
  <c r="BF193" i="12"/>
  <c r="AB392" i="12"/>
  <c r="AB304" i="12"/>
  <c r="AB224" i="12"/>
  <c r="AE318" i="12"/>
  <c r="AG382" i="12"/>
  <c r="AG350" i="12"/>
  <c r="AG318" i="12"/>
  <c r="AG254" i="12"/>
  <c r="AG222" i="12"/>
  <c r="AJ373" i="12"/>
  <c r="AJ230" i="12"/>
  <c r="AL370" i="12"/>
  <c r="AL306" i="12"/>
  <c r="AL242" i="12"/>
  <c r="AO200" i="12"/>
  <c r="AQ395" i="12"/>
  <c r="AQ379" i="12"/>
  <c r="AQ363" i="12"/>
  <c r="AQ347" i="12"/>
  <c r="AQ331" i="12"/>
  <c r="AQ315" i="12"/>
  <c r="AQ299" i="12"/>
  <c r="AQ283" i="12"/>
  <c r="AQ267" i="12"/>
  <c r="AQ251" i="12"/>
  <c r="AQ235" i="12"/>
  <c r="AQ219" i="12"/>
  <c r="AQ203" i="12"/>
  <c r="AV400" i="12"/>
  <c r="AV384" i="12"/>
  <c r="AV368" i="12"/>
  <c r="AV352" i="12"/>
  <c r="AV336" i="12"/>
  <c r="AV320" i="12"/>
  <c r="AV304" i="12"/>
  <c r="AV288" i="12"/>
  <c r="AV258" i="12"/>
  <c r="AV226" i="12"/>
  <c r="BA387" i="12"/>
  <c r="BA367" i="12"/>
  <c r="BA345" i="12"/>
  <c r="BA323" i="12"/>
  <c r="BA303" i="12"/>
  <c r="BA281" i="12"/>
  <c r="BA259" i="12"/>
  <c r="BA239" i="12"/>
  <c r="BA217" i="12"/>
  <c r="BA195" i="12"/>
  <c r="BD384" i="12"/>
  <c r="BD352" i="12"/>
  <c r="BD320" i="12"/>
  <c r="BD288" i="12"/>
  <c r="BI384" i="12"/>
  <c r="BI320" i="12"/>
  <c r="BI256" i="12"/>
  <c r="BI192" i="12"/>
  <c r="AB384" i="12"/>
  <c r="AB296" i="12"/>
  <c r="AB208" i="12"/>
  <c r="AE286" i="12"/>
  <c r="AG375" i="12"/>
  <c r="AG343" i="12"/>
  <c r="AG311" i="12"/>
  <c r="AG279" i="12"/>
  <c r="AG247" i="12"/>
  <c r="AG215" i="12"/>
  <c r="AJ400" i="12"/>
  <c r="AJ368" i="12"/>
  <c r="AL395" i="12"/>
  <c r="AL363" i="12"/>
  <c r="AL331" i="12"/>
  <c r="AL299" i="12"/>
  <c r="AL267" i="12"/>
  <c r="AL235" i="12"/>
  <c r="AL203" i="12"/>
  <c r="AO386" i="12"/>
  <c r="AO322" i="12"/>
  <c r="AO258" i="12"/>
  <c r="AQ393" i="12"/>
  <c r="AQ377" i="12"/>
  <c r="AQ361" i="12"/>
  <c r="AQ345" i="12"/>
  <c r="AQ329" i="12"/>
  <c r="AQ313" i="12"/>
  <c r="AQ297" i="12"/>
  <c r="AQ281" i="12"/>
  <c r="AQ265" i="12"/>
  <c r="AQ249" i="12"/>
  <c r="AQ233" i="12"/>
  <c r="AQ217" i="12"/>
  <c r="AQ201" i="12"/>
  <c r="AV252" i="12"/>
  <c r="AV220" i="12"/>
  <c r="BA385" i="12"/>
  <c r="BA363" i="12"/>
  <c r="BA343" i="12"/>
  <c r="BA321" i="12"/>
  <c r="BA299" i="12"/>
  <c r="BA279" i="12"/>
  <c r="BA257" i="12"/>
  <c r="BA235" i="12"/>
  <c r="BA215" i="12"/>
  <c r="BA193" i="12"/>
  <c r="BD382" i="12"/>
  <c r="BD350" i="12"/>
  <c r="BD318" i="12"/>
  <c r="BD286" i="12"/>
  <c r="BI376" i="12"/>
  <c r="BI312" i="12"/>
  <c r="BI248" i="12"/>
  <c r="AB368" i="12"/>
  <c r="AB288" i="12"/>
  <c r="AJ397" i="12"/>
  <c r="AJ365" i="12"/>
  <c r="AV283" i="12"/>
  <c r="AV248" i="12"/>
  <c r="AV216" i="12"/>
  <c r="BA383" i="12"/>
  <c r="BA319" i="12"/>
  <c r="BA255" i="12"/>
  <c r="BI368" i="12"/>
  <c r="BI304" i="12"/>
  <c r="BI240" i="12"/>
  <c r="AB360" i="12"/>
  <c r="AB272" i="12"/>
  <c r="AB192" i="12"/>
  <c r="AE254" i="12"/>
  <c r="AG399" i="12"/>
  <c r="AG367" i="12"/>
  <c r="AG335" i="12"/>
  <c r="AG303" i="12"/>
  <c r="AG271" i="12"/>
  <c r="AG239" i="12"/>
  <c r="AG207" i="12"/>
  <c r="AJ392" i="12"/>
  <c r="AJ360" i="12"/>
  <c r="AJ198" i="12"/>
  <c r="AL387" i="12"/>
  <c r="AL355" i="12"/>
  <c r="AL323" i="12"/>
  <c r="AL291" i="12"/>
  <c r="AL259" i="12"/>
  <c r="AL227" i="12"/>
  <c r="AL195" i="12"/>
  <c r="AQ389" i="12"/>
  <c r="AQ373" i="12"/>
  <c r="AQ357" i="12"/>
  <c r="AQ341" i="12"/>
  <c r="AQ325" i="12"/>
  <c r="AQ309" i="12"/>
  <c r="AQ293" i="12"/>
  <c r="AQ277" i="12"/>
  <c r="AQ261" i="12"/>
  <c r="AQ245" i="12"/>
  <c r="AQ229" i="12"/>
  <c r="AQ213" i="12"/>
  <c r="AQ197" i="12"/>
  <c r="AV394" i="12"/>
  <c r="AV378" i="12"/>
  <c r="AV362" i="12"/>
  <c r="AV346" i="12"/>
  <c r="AV330" i="12"/>
  <c r="AV314" i="12"/>
  <c r="AV298" i="12"/>
  <c r="AV280" i="12"/>
  <c r="AV242" i="12"/>
  <c r="AV208" i="12"/>
  <c r="AY377" i="12"/>
  <c r="BA401" i="12"/>
  <c r="BA379" i="12"/>
  <c r="BA359" i="12"/>
  <c r="BA337" i="12"/>
  <c r="BA315" i="12"/>
  <c r="BA295" i="12"/>
  <c r="BA273" i="12"/>
  <c r="BA251" i="12"/>
  <c r="BA231" i="12"/>
  <c r="BA209" i="12"/>
  <c r="BD374" i="12"/>
  <c r="BD342" i="12"/>
  <c r="BD310" i="12"/>
  <c r="BD278" i="12"/>
  <c r="BI360" i="12"/>
  <c r="BI296" i="12"/>
  <c r="BI232" i="12"/>
  <c r="AB352" i="12"/>
  <c r="AB264" i="12"/>
  <c r="AE230" i="12"/>
  <c r="AG398" i="12"/>
  <c r="AG366" i="12"/>
  <c r="AG334" i="12"/>
  <c r="AG302" i="12"/>
  <c r="AG270" i="12"/>
  <c r="AG238" i="12"/>
  <c r="AG206" i="12"/>
  <c r="AJ389" i="12"/>
  <c r="AJ357" i="12"/>
  <c r="AJ266" i="12"/>
  <c r="AL354" i="12"/>
  <c r="AL194" i="12"/>
  <c r="AQ403" i="12"/>
  <c r="AQ387" i="12"/>
  <c r="AQ371" i="12"/>
  <c r="AQ355" i="12"/>
  <c r="AQ339" i="12"/>
  <c r="AQ323" i="12"/>
  <c r="AQ307" i="12"/>
  <c r="AQ291" i="12"/>
  <c r="AQ275" i="12"/>
  <c r="AQ259" i="12"/>
  <c r="AQ243" i="12"/>
  <c r="AQ227" i="12"/>
  <c r="AQ211" i="12"/>
  <c r="AQ195" i="12"/>
  <c r="AV392" i="12"/>
  <c r="AV376" i="12"/>
  <c r="AV360" i="12"/>
  <c r="AV344" i="12"/>
  <c r="AV328" i="12"/>
  <c r="AV312" i="12"/>
  <c r="AV296" i="12"/>
  <c r="AV272" i="12"/>
  <c r="AV240" i="12"/>
  <c r="AV204" i="12"/>
  <c r="AY355" i="12"/>
  <c r="BA399" i="12"/>
  <c r="BA377" i="12"/>
  <c r="BA355" i="12"/>
  <c r="BA335" i="12"/>
  <c r="BA313" i="12"/>
  <c r="BA291" i="12"/>
  <c r="BA271" i="12"/>
  <c r="BA249" i="12"/>
  <c r="BA227" i="12"/>
  <c r="BA207" i="12"/>
  <c r="BD400" i="12"/>
  <c r="BD368" i="12"/>
  <c r="BD336" i="12"/>
  <c r="BD304" i="12"/>
  <c r="BI352" i="12"/>
  <c r="BI288" i="12"/>
  <c r="BI224" i="12"/>
  <c r="AB336" i="12"/>
  <c r="AB256" i="12"/>
  <c r="AJ384" i="12"/>
  <c r="AJ352" i="12"/>
  <c r="AQ401" i="12"/>
  <c r="AQ385" i="12"/>
  <c r="AQ369" i="12"/>
  <c r="AQ353" i="12"/>
  <c r="AQ337" i="12"/>
  <c r="AQ321" i="12"/>
  <c r="AQ305" i="12"/>
  <c r="AQ289" i="12"/>
  <c r="AQ273" i="12"/>
  <c r="AQ257" i="12"/>
  <c r="AQ241" i="12"/>
  <c r="AQ225" i="12"/>
  <c r="AQ209" i="12"/>
  <c r="AQ193" i="12"/>
  <c r="AV200" i="12"/>
  <c r="BA375" i="12"/>
  <c r="BA311" i="12"/>
  <c r="BA247" i="12"/>
  <c r="BI344" i="12"/>
  <c r="BI280" i="12"/>
  <c r="BI216" i="12"/>
  <c r="AB328" i="12"/>
  <c r="AB240" i="12"/>
  <c r="AE382" i="12"/>
  <c r="AG390" i="12"/>
  <c r="AG358" i="12"/>
  <c r="AG326" i="12"/>
  <c r="AG294" i="12"/>
  <c r="AJ381" i="12"/>
  <c r="AL346" i="12"/>
  <c r="AL282" i="12"/>
  <c r="AL218" i="12"/>
  <c r="AQ399" i="12"/>
  <c r="AQ383" i="12"/>
  <c r="AQ367" i="12"/>
  <c r="AQ351" i="12"/>
  <c r="AQ335" i="12"/>
  <c r="AQ319" i="12"/>
  <c r="AQ303" i="12"/>
  <c r="AQ287" i="12"/>
  <c r="AQ271" i="12"/>
  <c r="AQ255" i="12"/>
  <c r="AQ239" i="12"/>
  <c r="AQ223" i="12"/>
  <c r="AQ207" i="12"/>
  <c r="AV404" i="12"/>
  <c r="AV388" i="12"/>
  <c r="AV372" i="12"/>
  <c r="AV356" i="12"/>
  <c r="AV340" i="12"/>
  <c r="AV324" i="12"/>
  <c r="AV308" i="12"/>
  <c r="AV292" i="12"/>
  <c r="AV264" i="12"/>
  <c r="AV232" i="12"/>
  <c r="AV196" i="12"/>
  <c r="AY207" i="12"/>
  <c r="BA393" i="12"/>
  <c r="BA371" i="12"/>
  <c r="BA351" i="12"/>
  <c r="BA329" i="12"/>
  <c r="BA307" i="12"/>
  <c r="BA287" i="12"/>
  <c r="BA265" i="12"/>
  <c r="BA243" i="12"/>
  <c r="BA223" i="12"/>
  <c r="BA201" i="12"/>
  <c r="BD392" i="12"/>
  <c r="BD360" i="12"/>
  <c r="BD328" i="12"/>
  <c r="BD296" i="12"/>
  <c r="BI400" i="12"/>
  <c r="BI336" i="12"/>
  <c r="BI272" i="12"/>
  <c r="BI208" i="12"/>
  <c r="R400" i="12"/>
  <c r="R368" i="12"/>
  <c r="R336" i="12"/>
  <c r="R304" i="12"/>
  <c r="R272" i="12"/>
  <c r="R264" i="12"/>
  <c r="R256" i="12"/>
  <c r="R248" i="12"/>
  <c r="R240" i="12"/>
  <c r="R232" i="12"/>
  <c r="R224" i="12"/>
  <c r="R216" i="12"/>
  <c r="R208" i="12"/>
  <c r="R200" i="12"/>
  <c r="R192" i="12"/>
  <c r="U404" i="12"/>
  <c r="U382" i="12"/>
  <c r="U372" i="12"/>
  <c r="U350" i="12"/>
  <c r="U340" i="12"/>
  <c r="U318" i="12"/>
  <c r="U308" i="12"/>
  <c r="U286" i="12"/>
  <c r="U276" i="12"/>
  <c r="U262" i="12"/>
  <c r="U237" i="12"/>
  <c r="U212" i="12"/>
  <c r="U198" i="12"/>
  <c r="W399" i="12"/>
  <c r="Z399" i="12"/>
  <c r="W391" i="12"/>
  <c r="Z391" i="12"/>
  <c r="W383" i="12"/>
  <c r="Z383" i="12"/>
  <c r="W375" i="12"/>
  <c r="Z375" i="12"/>
  <c r="W367" i="12"/>
  <c r="Z367" i="12"/>
  <c r="W359" i="12"/>
  <c r="Z359" i="12"/>
  <c r="W351" i="12"/>
  <c r="Z351" i="12"/>
  <c r="W343" i="12"/>
  <c r="Z343" i="12"/>
  <c r="W335" i="12"/>
  <c r="Z335" i="12"/>
  <c r="W327" i="12"/>
  <c r="Z327" i="12"/>
  <c r="W319" i="12"/>
  <c r="Z319" i="12"/>
  <c r="W311" i="12"/>
  <c r="Z311" i="12"/>
  <c r="W303" i="12"/>
  <c r="Z303" i="12"/>
  <c r="W295" i="12"/>
  <c r="Z295" i="12"/>
  <c r="W287" i="12"/>
  <c r="Z287" i="12"/>
  <c r="W279" i="12"/>
  <c r="Z279" i="12"/>
  <c r="W271" i="12"/>
  <c r="Z271" i="12"/>
  <c r="W263" i="12"/>
  <c r="Z263" i="12"/>
  <c r="W255" i="12"/>
  <c r="Z255" i="12"/>
  <c r="W247" i="12"/>
  <c r="Z247" i="12"/>
  <c r="W239" i="12"/>
  <c r="Z239" i="12"/>
  <c r="Z392" i="12"/>
  <c r="Z376" i="12"/>
  <c r="Z360" i="12"/>
  <c r="Z344" i="12"/>
  <c r="Z328" i="12"/>
  <c r="Z312" i="12"/>
  <c r="Z296" i="12"/>
  <c r="Z280" i="12"/>
  <c r="Z264" i="12"/>
  <c r="Z248" i="12"/>
  <c r="Z232" i="12"/>
  <c r="Z216" i="12"/>
  <c r="Z200" i="12"/>
  <c r="R398" i="12"/>
  <c r="R390" i="12"/>
  <c r="R374" i="12"/>
  <c r="R366" i="12"/>
  <c r="R358" i="12"/>
  <c r="R342" i="12"/>
  <c r="R334" i="12"/>
  <c r="R326" i="12"/>
  <c r="R310" i="12"/>
  <c r="R302" i="12"/>
  <c r="R294" i="12"/>
  <c r="R278" i="12"/>
  <c r="R270" i="12"/>
  <c r="R254" i="12"/>
  <c r="R246" i="12"/>
  <c r="R238" i="12"/>
  <c r="R230" i="12"/>
  <c r="R214" i="12"/>
  <c r="R206" i="12"/>
  <c r="U380" i="12"/>
  <c r="U348" i="12"/>
  <c r="U316" i="12"/>
  <c r="U284" i="12"/>
  <c r="U260" i="12"/>
  <c r="U221" i="12"/>
  <c r="U196" i="12"/>
  <c r="AG401" i="12"/>
  <c r="AJ401" i="12"/>
  <c r="AG393" i="12"/>
  <c r="AJ393" i="12"/>
  <c r="AG385" i="12"/>
  <c r="AJ385" i="12"/>
  <c r="AG377" i="12"/>
  <c r="AJ377" i="12"/>
  <c r="W198" i="12"/>
  <c r="Z198" i="12"/>
  <c r="R397" i="12"/>
  <c r="R389" i="12"/>
  <c r="R365" i="12"/>
  <c r="R357" i="12"/>
  <c r="R333" i="12"/>
  <c r="R325" i="12"/>
  <c r="R301" i="12"/>
  <c r="R293" i="12"/>
  <c r="R269" i="12"/>
  <c r="R253" i="12"/>
  <c r="R245" i="12"/>
  <c r="R229" i="12"/>
  <c r="R205" i="12"/>
  <c r="U220" i="12"/>
  <c r="W404" i="12"/>
  <c r="Z404" i="12"/>
  <c r="W396" i="12"/>
  <c r="Z396" i="12"/>
  <c r="W388" i="12"/>
  <c r="Z388" i="12"/>
  <c r="W380" i="12"/>
  <c r="Z380" i="12"/>
  <c r="W372" i="12"/>
  <c r="Z372" i="12"/>
  <c r="W364" i="12"/>
  <c r="Z364" i="12"/>
  <c r="W356" i="12"/>
  <c r="Z356" i="12"/>
  <c r="W348" i="12"/>
  <c r="Z348" i="12"/>
  <c r="W340" i="12"/>
  <c r="Z340" i="12"/>
  <c r="W332" i="12"/>
  <c r="Z332" i="12"/>
  <c r="W324" i="12"/>
  <c r="Z324" i="12"/>
  <c r="W316" i="12"/>
  <c r="Z316" i="12"/>
  <c r="W308" i="12"/>
  <c r="Z308" i="12"/>
  <c r="W300" i="12"/>
  <c r="Z300" i="12"/>
  <c r="W292" i="12"/>
  <c r="Z292" i="12"/>
  <c r="W284" i="12"/>
  <c r="Z284" i="12"/>
  <c r="W276" i="12"/>
  <c r="Z276" i="12"/>
  <c r="W268" i="12"/>
  <c r="Z268" i="12"/>
  <c r="W260" i="12"/>
  <c r="Z260" i="12"/>
  <c r="W252" i="12"/>
  <c r="Z252" i="12"/>
  <c r="W244" i="12"/>
  <c r="Z244" i="12"/>
  <c r="W236" i="12"/>
  <c r="Z236" i="12"/>
  <c r="W228" i="12"/>
  <c r="Z228" i="12"/>
  <c r="W220" i="12"/>
  <c r="Z220" i="12"/>
  <c r="W212" i="12"/>
  <c r="Z212" i="12"/>
  <c r="W204" i="12"/>
  <c r="Z204" i="12"/>
  <c r="W196" i="12"/>
  <c r="Z196" i="12"/>
  <c r="R396" i="12"/>
  <c r="R388" i="12"/>
  <c r="R364" i="12"/>
  <c r="R356" i="12"/>
  <c r="R332" i="12"/>
  <c r="R324" i="12"/>
  <c r="R300" i="12"/>
  <c r="R292" i="12"/>
  <c r="R268" i="12"/>
  <c r="R252" i="12"/>
  <c r="R244" i="12"/>
  <c r="R228" i="12"/>
  <c r="R204" i="12"/>
  <c r="Z400" i="12"/>
  <c r="Z384" i="12"/>
  <c r="Z368" i="12"/>
  <c r="Z352" i="12"/>
  <c r="Z336" i="12"/>
  <c r="Z320" i="12"/>
  <c r="Z304" i="12"/>
  <c r="Z288" i="12"/>
  <c r="Z272" i="12"/>
  <c r="Z256" i="12"/>
  <c r="Z240" i="12"/>
  <c r="Z224" i="12"/>
  <c r="Z208" i="12"/>
  <c r="Z192" i="12"/>
  <c r="AB403" i="12"/>
  <c r="AE403" i="12"/>
  <c r="AB395" i="12"/>
  <c r="AE395" i="12"/>
  <c r="AB387" i="12"/>
  <c r="AE387" i="12"/>
  <c r="AB379" i="12"/>
  <c r="AE379" i="12"/>
  <c r="AB371" i="12"/>
  <c r="AE371" i="12"/>
  <c r="AB363" i="12"/>
  <c r="AE363" i="12"/>
  <c r="AB355" i="12"/>
  <c r="AE355" i="12"/>
  <c r="AB347" i="12"/>
  <c r="AE347" i="12"/>
  <c r="AB339" i="12"/>
  <c r="AE339" i="12"/>
  <c r="AB331" i="12"/>
  <c r="AE331" i="12"/>
  <c r="AB323" i="12"/>
  <c r="AE323" i="12"/>
  <c r="AB315" i="12"/>
  <c r="AE315" i="12"/>
  <c r="AB307" i="12"/>
  <c r="AE307" i="12"/>
  <c r="AB299" i="12"/>
  <c r="AE299" i="12"/>
  <c r="AB291" i="12"/>
  <c r="AE291" i="12"/>
  <c r="AB283" i="12"/>
  <c r="AE283" i="12"/>
  <c r="AB275" i="12"/>
  <c r="AE275" i="12"/>
  <c r="AB267" i="12"/>
  <c r="AE267" i="12"/>
  <c r="AB259" i="12"/>
  <c r="AE259" i="12"/>
  <c r="AB251" i="12"/>
  <c r="AE251" i="12"/>
  <c r="AB243" i="12"/>
  <c r="AE243" i="12"/>
  <c r="AB235" i="12"/>
  <c r="AE235" i="12"/>
  <c r="AB227" i="12"/>
  <c r="AE227" i="12"/>
  <c r="AB219" i="12"/>
  <c r="AE219" i="12"/>
  <c r="AB211" i="12"/>
  <c r="AE211" i="12"/>
  <c r="AB203" i="12"/>
  <c r="AE203" i="12"/>
  <c r="AB195" i="12"/>
  <c r="AE195" i="12"/>
  <c r="W398" i="12"/>
  <c r="Z398" i="12"/>
  <c r="W382" i="12"/>
  <c r="Z382" i="12"/>
  <c r="W366" i="12"/>
  <c r="Z366" i="12"/>
  <c r="W350" i="12"/>
  <c r="Z350" i="12"/>
  <c r="W334" i="12"/>
  <c r="Z334" i="12"/>
  <c r="W318" i="12"/>
  <c r="Z318" i="12"/>
  <c r="W302" i="12"/>
  <c r="Z302" i="12"/>
  <c r="W286" i="12"/>
  <c r="Z286" i="12"/>
  <c r="W270" i="12"/>
  <c r="Z270" i="12"/>
  <c r="W254" i="12"/>
  <c r="Z254" i="12"/>
  <c r="W238" i="12"/>
  <c r="Z238" i="12"/>
  <c r="W222" i="12"/>
  <c r="Z222" i="12"/>
  <c r="W206" i="12"/>
  <c r="Z206" i="12"/>
  <c r="AL390" i="12"/>
  <c r="AO390" i="12"/>
  <c r="AL374" i="12"/>
  <c r="AO374" i="12"/>
  <c r="AL358" i="12"/>
  <c r="AO358" i="12"/>
  <c r="AL342" i="12"/>
  <c r="AO342" i="12"/>
  <c r="AL326" i="12"/>
  <c r="AO326" i="12"/>
  <c r="AL310" i="12"/>
  <c r="AO310" i="12"/>
  <c r="AL294" i="12"/>
  <c r="AO294" i="12"/>
  <c r="AL278" i="12"/>
  <c r="AO278" i="12"/>
  <c r="AL262" i="12"/>
  <c r="AO262" i="12"/>
  <c r="AL246" i="12"/>
  <c r="AO246" i="12"/>
  <c r="AL230" i="12"/>
  <c r="AO230" i="12"/>
  <c r="AL222" i="12"/>
  <c r="AO222" i="12"/>
  <c r="AO198" i="12"/>
  <c r="AL198" i="12"/>
  <c r="R402" i="12"/>
  <c r="R394" i="12"/>
  <c r="R386" i="12"/>
  <c r="R378" i="12"/>
  <c r="R370" i="12"/>
  <c r="R362" i="12"/>
  <c r="R354" i="12"/>
  <c r="R346" i="12"/>
  <c r="R338" i="12"/>
  <c r="R330" i="12"/>
  <c r="R322" i="12"/>
  <c r="R314" i="12"/>
  <c r="R306" i="12"/>
  <c r="R298" i="12"/>
  <c r="R290" i="12"/>
  <c r="R282" i="12"/>
  <c r="R274" i="12"/>
  <c r="R266" i="12"/>
  <c r="R258" i="12"/>
  <c r="R250" i="12"/>
  <c r="R242" i="12"/>
  <c r="R234" i="12"/>
  <c r="R226" i="12"/>
  <c r="R218" i="12"/>
  <c r="R210" i="12"/>
  <c r="R202" i="12"/>
  <c r="R194" i="12"/>
  <c r="W390" i="12"/>
  <c r="Z390" i="12"/>
  <c r="W374" i="12"/>
  <c r="Z374" i="12"/>
  <c r="W358" i="12"/>
  <c r="Z358" i="12"/>
  <c r="W342" i="12"/>
  <c r="Z342" i="12"/>
  <c r="W326" i="12"/>
  <c r="Z326" i="12"/>
  <c r="W310" i="12"/>
  <c r="Z310" i="12"/>
  <c r="W294" i="12"/>
  <c r="Z294" i="12"/>
  <c r="W278" i="12"/>
  <c r="Z278" i="12"/>
  <c r="W262" i="12"/>
  <c r="Z262" i="12"/>
  <c r="W246" i="12"/>
  <c r="Z246" i="12"/>
  <c r="W230" i="12"/>
  <c r="Z230" i="12"/>
  <c r="W214" i="12"/>
  <c r="Z214" i="12"/>
  <c r="AL398" i="12"/>
  <c r="AO398" i="12"/>
  <c r="AL382" i="12"/>
  <c r="AO382" i="12"/>
  <c r="AL366" i="12"/>
  <c r="AO366" i="12"/>
  <c r="AL350" i="12"/>
  <c r="AO350" i="12"/>
  <c r="AL334" i="12"/>
  <c r="AO334" i="12"/>
  <c r="AL318" i="12"/>
  <c r="AO318" i="12"/>
  <c r="AL302" i="12"/>
  <c r="AO302" i="12"/>
  <c r="AL286" i="12"/>
  <c r="AO286" i="12"/>
  <c r="AL270" i="12"/>
  <c r="AO270" i="12"/>
  <c r="AL254" i="12"/>
  <c r="AO254" i="12"/>
  <c r="AL238" i="12"/>
  <c r="AO238" i="12"/>
  <c r="AL214" i="12"/>
  <c r="AO214" i="12"/>
  <c r="AO206" i="12"/>
  <c r="AL206" i="12"/>
  <c r="AB404" i="12"/>
  <c r="AE404" i="12"/>
  <c r="AB396" i="12"/>
  <c r="AE396" i="12"/>
  <c r="AB388" i="12"/>
  <c r="AE388" i="12"/>
  <c r="AB380" i="12"/>
  <c r="AE380" i="12"/>
  <c r="AB372" i="12"/>
  <c r="AE372" i="12"/>
  <c r="AB364" i="12"/>
  <c r="AE364" i="12"/>
  <c r="AB356" i="12"/>
  <c r="AE356" i="12"/>
  <c r="AB348" i="12"/>
  <c r="AE348" i="12"/>
  <c r="AB340" i="12"/>
  <c r="AE340" i="12"/>
  <c r="AB332" i="12"/>
  <c r="AE332" i="12"/>
  <c r="AB324" i="12"/>
  <c r="AE324" i="12"/>
  <c r="AB316" i="12"/>
  <c r="AE316" i="12"/>
  <c r="AB308" i="12"/>
  <c r="AE308" i="12"/>
  <c r="AB300" i="12"/>
  <c r="AE300" i="12"/>
  <c r="AB292" i="12"/>
  <c r="AE292" i="12"/>
  <c r="AB284" i="12"/>
  <c r="AE284" i="12"/>
  <c r="AB276" i="12"/>
  <c r="AE276" i="12"/>
  <c r="AB268" i="12"/>
  <c r="AE268" i="12"/>
  <c r="AB260" i="12"/>
  <c r="AE260" i="12"/>
  <c r="AB252" i="12"/>
  <c r="AE252" i="12"/>
  <c r="AB244" i="12"/>
  <c r="AE244" i="12"/>
  <c r="AB236" i="12"/>
  <c r="AE236" i="12"/>
  <c r="AB228" i="12"/>
  <c r="AE228" i="12"/>
  <c r="AB220" i="12"/>
  <c r="AE220" i="12"/>
  <c r="AB212" i="12"/>
  <c r="AE212" i="12"/>
  <c r="AB204" i="12"/>
  <c r="AE204" i="12"/>
  <c r="AB196" i="12"/>
  <c r="AE196" i="12"/>
  <c r="AB391" i="12"/>
  <c r="AB359" i="12"/>
  <c r="AB327" i="12"/>
  <c r="AB295" i="12"/>
  <c r="AB263" i="12"/>
  <c r="AB231" i="12"/>
  <c r="AB199" i="12"/>
  <c r="AE383" i="12"/>
  <c r="AE351" i="12"/>
  <c r="AE319" i="12"/>
  <c r="AE287" i="12"/>
  <c r="AE255" i="12"/>
  <c r="AE223" i="12"/>
  <c r="AG402" i="12"/>
  <c r="AJ402" i="12"/>
  <c r="AG394" i="12"/>
  <c r="AJ394" i="12"/>
  <c r="AG386" i="12"/>
  <c r="AJ386" i="12"/>
  <c r="AG378" i="12"/>
  <c r="AJ378" i="12"/>
  <c r="AG370" i="12"/>
  <c r="AJ370" i="12"/>
  <c r="AG362" i="12"/>
  <c r="AJ362" i="12"/>
  <c r="AG354" i="12"/>
  <c r="AJ354" i="12"/>
  <c r="AG346" i="12"/>
  <c r="AJ346" i="12"/>
  <c r="AJ338" i="12"/>
  <c r="AG338" i="12"/>
  <c r="AG322" i="12"/>
  <c r="AJ322" i="12"/>
  <c r="AJ314" i="12"/>
  <c r="AG314" i="12"/>
  <c r="AG306" i="12"/>
  <c r="AJ306" i="12"/>
  <c r="AG298" i="12"/>
  <c r="AJ298" i="12"/>
  <c r="AG290" i="12"/>
  <c r="AJ290" i="12"/>
  <c r="AG282" i="12"/>
  <c r="AJ282" i="12"/>
  <c r="AJ274" i="12"/>
  <c r="AG274" i="12"/>
  <c r="AG258" i="12"/>
  <c r="AJ258" i="12"/>
  <c r="AJ250" i="12"/>
  <c r="AG250" i="12"/>
  <c r="AG242" i="12"/>
  <c r="AJ242" i="12"/>
  <c r="AG234" i="12"/>
  <c r="AJ234" i="12"/>
  <c r="AG226" i="12"/>
  <c r="AJ226" i="12"/>
  <c r="AG218" i="12"/>
  <c r="AJ218" i="12"/>
  <c r="AJ210" i="12"/>
  <c r="AG210" i="12"/>
  <c r="AG194" i="12"/>
  <c r="AJ194" i="12"/>
  <c r="Z231" i="12"/>
  <c r="Z223" i="12"/>
  <c r="Z215" i="12"/>
  <c r="Z207" i="12"/>
  <c r="Z199" i="12"/>
  <c r="AB402" i="12"/>
  <c r="AE402" i="12"/>
  <c r="AB394" i="12"/>
  <c r="AE394" i="12"/>
  <c r="AB386" i="12"/>
  <c r="AE386" i="12"/>
  <c r="AB378" i="12"/>
  <c r="AE378" i="12"/>
  <c r="AB370" i="12"/>
  <c r="AE370" i="12"/>
  <c r="AB362" i="12"/>
  <c r="AE362" i="12"/>
  <c r="AB354" i="12"/>
  <c r="AE354" i="12"/>
  <c r="AB346" i="12"/>
  <c r="AE346" i="12"/>
  <c r="AB338" i="12"/>
  <c r="AE338" i="12"/>
  <c r="AB330" i="12"/>
  <c r="AE330" i="12"/>
  <c r="AB322" i="12"/>
  <c r="AE322" i="12"/>
  <c r="AB314" i="12"/>
  <c r="AE314" i="12"/>
  <c r="AB306" i="12"/>
  <c r="AE306" i="12"/>
  <c r="AB298" i="12"/>
  <c r="AE298" i="12"/>
  <c r="AB290" i="12"/>
  <c r="AE290" i="12"/>
  <c r="AB282" i="12"/>
  <c r="AE282" i="12"/>
  <c r="AB274" i="12"/>
  <c r="AE274" i="12"/>
  <c r="AB266" i="12"/>
  <c r="AE266" i="12"/>
  <c r="AB258" i="12"/>
  <c r="AE258" i="12"/>
  <c r="AB250" i="12"/>
  <c r="AE250" i="12"/>
  <c r="AB242" i="12"/>
  <c r="AE242" i="12"/>
  <c r="AB234" i="12"/>
  <c r="AE234" i="12"/>
  <c r="AB226" i="12"/>
  <c r="AE226" i="12"/>
  <c r="AB218" i="12"/>
  <c r="AE218" i="12"/>
  <c r="AB210" i="12"/>
  <c r="AE210" i="12"/>
  <c r="AB202" i="12"/>
  <c r="AE202" i="12"/>
  <c r="AB194" i="12"/>
  <c r="AE194" i="12"/>
  <c r="AE375" i="12"/>
  <c r="AE343" i="12"/>
  <c r="AE311" i="12"/>
  <c r="AE279" i="12"/>
  <c r="AE247" i="12"/>
  <c r="AE215" i="12"/>
  <c r="AE401" i="12"/>
  <c r="AB401" i="12"/>
  <c r="AE393" i="12"/>
  <c r="AB393" i="12"/>
  <c r="AE385" i="12"/>
  <c r="AB385" i="12"/>
  <c r="AE377" i="12"/>
  <c r="AB377" i="12"/>
  <c r="AE369" i="12"/>
  <c r="AB369" i="12"/>
  <c r="AE361" i="12"/>
  <c r="AB361" i="12"/>
  <c r="AE353" i="12"/>
  <c r="AB353" i="12"/>
  <c r="AE345" i="12"/>
  <c r="AB345" i="12"/>
  <c r="AE337" i="12"/>
  <c r="AB337" i="12"/>
  <c r="AE329" i="12"/>
  <c r="AB329" i="12"/>
  <c r="AE321" i="12"/>
  <c r="AB321" i="12"/>
  <c r="AE313" i="12"/>
  <c r="AB313" i="12"/>
  <c r="AE305" i="12"/>
  <c r="AB305" i="12"/>
  <c r="AE297" i="12"/>
  <c r="AB297" i="12"/>
  <c r="AE289" i="12"/>
  <c r="AB289" i="12"/>
  <c r="AE281" i="12"/>
  <c r="AB281" i="12"/>
  <c r="AE273" i="12"/>
  <c r="AB273" i="12"/>
  <c r="AE265" i="12"/>
  <c r="AB265" i="12"/>
  <c r="AE257" i="12"/>
  <c r="AB257" i="12"/>
  <c r="AE249" i="12"/>
  <c r="AB249" i="12"/>
  <c r="AE241" i="12"/>
  <c r="AB241" i="12"/>
  <c r="AE233" i="12"/>
  <c r="AB233" i="12"/>
  <c r="AE225" i="12"/>
  <c r="AB225" i="12"/>
  <c r="AE217" i="12"/>
  <c r="AB217" i="12"/>
  <c r="AE209" i="12"/>
  <c r="AB209" i="12"/>
  <c r="AE201" i="12"/>
  <c r="AB201" i="12"/>
  <c r="AB376" i="12"/>
  <c r="AB344" i="12"/>
  <c r="AB312" i="12"/>
  <c r="AB280" i="12"/>
  <c r="AB248" i="12"/>
  <c r="AB216" i="12"/>
  <c r="AE374" i="12"/>
  <c r="AE342" i="12"/>
  <c r="AE310" i="12"/>
  <c r="AE278" i="12"/>
  <c r="AE246" i="12"/>
  <c r="AE214" i="12"/>
  <c r="AJ202" i="12"/>
  <c r="AE399" i="12"/>
  <c r="AE367" i="12"/>
  <c r="AE335" i="12"/>
  <c r="AE303" i="12"/>
  <c r="AE271" i="12"/>
  <c r="AE239" i="12"/>
  <c r="AE207" i="12"/>
  <c r="AE398" i="12"/>
  <c r="AE366" i="12"/>
  <c r="AE334" i="12"/>
  <c r="AE302" i="12"/>
  <c r="AE270" i="12"/>
  <c r="AE238" i="12"/>
  <c r="AB397" i="12"/>
  <c r="AE397" i="12"/>
  <c r="AB389" i="12"/>
  <c r="AE389" i="12"/>
  <c r="AB381" i="12"/>
  <c r="AE381" i="12"/>
  <c r="AB373" i="12"/>
  <c r="AE373" i="12"/>
  <c r="AB365" i="12"/>
  <c r="AE365" i="12"/>
  <c r="AB357" i="12"/>
  <c r="AE357" i="12"/>
  <c r="AB349" i="12"/>
  <c r="AE349" i="12"/>
  <c r="AB341" i="12"/>
  <c r="AE341" i="12"/>
  <c r="AB333" i="12"/>
  <c r="AE333" i="12"/>
  <c r="AB325" i="12"/>
  <c r="AE325" i="12"/>
  <c r="AB317" i="12"/>
  <c r="AE317" i="12"/>
  <c r="AB309" i="12"/>
  <c r="AE309" i="12"/>
  <c r="AB301" i="12"/>
  <c r="AE301" i="12"/>
  <c r="AB293" i="12"/>
  <c r="AE293" i="12"/>
  <c r="AB285" i="12"/>
  <c r="AE285" i="12"/>
  <c r="AB277" i="12"/>
  <c r="AE277" i="12"/>
  <c r="AB269" i="12"/>
  <c r="AE269" i="12"/>
  <c r="AB261" i="12"/>
  <c r="AE261" i="12"/>
  <c r="AB253" i="12"/>
  <c r="AE253" i="12"/>
  <c r="AB245" i="12"/>
  <c r="AE245" i="12"/>
  <c r="AB237" i="12"/>
  <c r="AE237" i="12"/>
  <c r="AB229" i="12"/>
  <c r="AE229" i="12"/>
  <c r="AB221" i="12"/>
  <c r="AE221" i="12"/>
  <c r="AB213" i="12"/>
  <c r="AE213" i="12"/>
  <c r="AB205" i="12"/>
  <c r="AE205" i="12"/>
  <c r="AE390" i="12"/>
  <c r="AE358" i="12"/>
  <c r="AE326" i="12"/>
  <c r="AE294" i="12"/>
  <c r="AB193" i="12"/>
  <c r="AG344" i="12"/>
  <c r="AG336" i="12"/>
  <c r="AG328" i="12"/>
  <c r="AG320" i="12"/>
  <c r="AG312" i="12"/>
  <c r="AG304" i="12"/>
  <c r="AG296" i="12"/>
  <c r="AG288" i="12"/>
  <c r="AG280" i="12"/>
  <c r="AG272" i="12"/>
  <c r="AG264" i="12"/>
  <c r="AG256" i="12"/>
  <c r="AG248" i="12"/>
  <c r="AG240" i="12"/>
  <c r="AG232" i="12"/>
  <c r="AG224" i="12"/>
  <c r="AG216" i="12"/>
  <c r="AG208" i="12"/>
  <c r="AG200" i="12"/>
  <c r="AG192" i="12"/>
  <c r="AJ349" i="12"/>
  <c r="AJ331" i="12"/>
  <c r="AJ267" i="12"/>
  <c r="AJ203" i="12"/>
  <c r="AJ396" i="12"/>
  <c r="AJ388" i="12"/>
  <c r="AJ380" i="12"/>
  <c r="AJ372" i="12"/>
  <c r="AJ364" i="12"/>
  <c r="AJ356" i="12"/>
  <c r="AE197" i="12"/>
  <c r="AG341" i="12"/>
  <c r="AG333" i="12"/>
  <c r="AG325" i="12"/>
  <c r="AG317" i="12"/>
  <c r="AG309" i="12"/>
  <c r="AG301" i="12"/>
  <c r="AG293" i="12"/>
  <c r="AG285" i="12"/>
  <c r="AG277" i="12"/>
  <c r="AG269" i="12"/>
  <c r="AG261" i="12"/>
  <c r="AG253" i="12"/>
  <c r="AG245" i="12"/>
  <c r="AG237" i="12"/>
  <c r="AG229" i="12"/>
  <c r="AG221" i="12"/>
  <c r="AG213" i="12"/>
  <c r="AG205" i="12"/>
  <c r="AG197" i="12"/>
  <c r="AJ403" i="12"/>
  <c r="AJ395" i="12"/>
  <c r="AJ387" i="12"/>
  <c r="AJ379" i="12"/>
  <c r="AJ371" i="12"/>
  <c r="AJ363" i="12"/>
  <c r="AJ355" i="12"/>
  <c r="AJ323" i="12"/>
  <c r="AJ259" i="12"/>
  <c r="AJ195" i="12"/>
  <c r="AG404" i="12"/>
  <c r="AG348" i="12"/>
  <c r="AG340" i="12"/>
  <c r="AG332" i="12"/>
  <c r="AG324" i="12"/>
  <c r="AG316" i="12"/>
  <c r="AG308" i="12"/>
  <c r="AG300" i="12"/>
  <c r="AG292" i="12"/>
  <c r="AG284" i="12"/>
  <c r="AG276" i="12"/>
  <c r="AG268" i="12"/>
  <c r="AG260" i="12"/>
  <c r="AG252" i="12"/>
  <c r="AG244" i="12"/>
  <c r="AG236" i="12"/>
  <c r="AG228" i="12"/>
  <c r="AG220" i="12"/>
  <c r="AG212" i="12"/>
  <c r="AG204" i="12"/>
  <c r="AG196" i="12"/>
  <c r="AJ299" i="12"/>
  <c r="AJ235" i="12"/>
  <c r="AG339" i="12"/>
  <c r="AG291" i="12"/>
  <c r="AG275" i="12"/>
  <c r="AG227" i="12"/>
  <c r="AG211" i="12"/>
  <c r="AJ369" i="12"/>
  <c r="AJ361" i="12"/>
  <c r="AJ353" i="12"/>
  <c r="AG345" i="12"/>
  <c r="AG337" i="12"/>
  <c r="AG329" i="12"/>
  <c r="AG321" i="12"/>
  <c r="AG313" i="12"/>
  <c r="AG305" i="12"/>
  <c r="AG297" i="12"/>
  <c r="AG289" i="12"/>
  <c r="AG281" i="12"/>
  <c r="AG273" i="12"/>
  <c r="AG265" i="12"/>
  <c r="AG257" i="12"/>
  <c r="AG249" i="12"/>
  <c r="AG241" i="12"/>
  <c r="AG233" i="12"/>
  <c r="AG225" i="12"/>
  <c r="AG217" i="12"/>
  <c r="AG209" i="12"/>
  <c r="AG201" i="12"/>
  <c r="AG193" i="12"/>
  <c r="AO401" i="12"/>
  <c r="AO393" i="12"/>
  <c r="AO385" i="12"/>
  <c r="AO377" i="12"/>
  <c r="AO369" i="12"/>
  <c r="AO361" i="12"/>
  <c r="AO353" i="12"/>
  <c r="AO345" i="12"/>
  <c r="AO337" i="12"/>
  <c r="AO329" i="12"/>
  <c r="AO321" i="12"/>
  <c r="AO313" i="12"/>
  <c r="AO305" i="12"/>
  <c r="AO297" i="12"/>
  <c r="AO289" i="12"/>
  <c r="AO281" i="12"/>
  <c r="AO273" i="12"/>
  <c r="AO265" i="12"/>
  <c r="AO257" i="12"/>
  <c r="AO249" i="12"/>
  <c r="AO241" i="12"/>
  <c r="AO233" i="12"/>
  <c r="AO225" i="12"/>
  <c r="AO217" i="12"/>
  <c r="AO209" i="12"/>
  <c r="AO199" i="12"/>
  <c r="AQ400" i="12"/>
  <c r="AT400" i="12"/>
  <c r="AQ392" i="12"/>
  <c r="AT392" i="12"/>
  <c r="AQ384" i="12"/>
  <c r="AT384" i="12"/>
  <c r="AQ376" i="12"/>
  <c r="AT376" i="12"/>
  <c r="AQ368" i="12"/>
  <c r="AT368" i="12"/>
  <c r="AQ360" i="12"/>
  <c r="AT360" i="12"/>
  <c r="AQ352" i="12"/>
  <c r="AT352" i="12"/>
  <c r="AQ344" i="12"/>
  <c r="AT344" i="12"/>
  <c r="AQ336" i="12"/>
  <c r="AT336" i="12"/>
  <c r="AQ328" i="12"/>
  <c r="AT328" i="12"/>
  <c r="AQ320" i="12"/>
  <c r="AT320" i="12"/>
  <c r="AQ312" i="12"/>
  <c r="AT312" i="12"/>
  <c r="AQ304" i="12"/>
  <c r="AT304" i="12"/>
  <c r="AQ296" i="12"/>
  <c r="AT296" i="12"/>
  <c r="AQ288" i="12"/>
  <c r="AT288" i="12"/>
  <c r="AQ280" i="12"/>
  <c r="AT280" i="12"/>
  <c r="AQ272" i="12"/>
  <c r="AT272" i="12"/>
  <c r="AQ264" i="12"/>
  <c r="AT264" i="12"/>
  <c r="AQ256" i="12"/>
  <c r="AT256" i="12"/>
  <c r="AQ248" i="12"/>
  <c r="AT248" i="12"/>
  <c r="AQ240" i="12"/>
  <c r="AT240" i="12"/>
  <c r="AQ232" i="12"/>
  <c r="AT232" i="12"/>
  <c r="AQ224" i="12"/>
  <c r="AT224" i="12"/>
  <c r="AQ216" i="12"/>
  <c r="AT216" i="12"/>
  <c r="AQ208" i="12"/>
  <c r="AT208" i="12"/>
  <c r="AQ200" i="12"/>
  <c r="AT200" i="12"/>
  <c r="AQ192" i="12"/>
  <c r="AT192" i="12"/>
  <c r="AT380" i="12"/>
  <c r="AL201" i="12"/>
  <c r="AL193" i="12"/>
  <c r="AO400" i="12"/>
  <c r="AO392" i="12"/>
  <c r="AO384" i="12"/>
  <c r="AO376" i="12"/>
  <c r="AO368" i="12"/>
  <c r="AO360" i="12"/>
  <c r="AO352" i="12"/>
  <c r="AO344" i="12"/>
  <c r="AO336" i="12"/>
  <c r="AO328" i="12"/>
  <c r="AO320" i="12"/>
  <c r="AO312" i="12"/>
  <c r="AO304" i="12"/>
  <c r="AO296" i="12"/>
  <c r="AO288" i="12"/>
  <c r="AO280" i="12"/>
  <c r="AO272" i="12"/>
  <c r="AO264" i="12"/>
  <c r="AO256" i="12"/>
  <c r="AO248" i="12"/>
  <c r="AO240" i="12"/>
  <c r="AO232" i="12"/>
  <c r="AO224" i="12"/>
  <c r="AO216" i="12"/>
  <c r="AO208" i="12"/>
  <c r="AO197" i="12"/>
  <c r="AT372" i="12"/>
  <c r="AT308" i="12"/>
  <c r="AT244" i="12"/>
  <c r="AL192" i="12"/>
  <c r="AO399" i="12"/>
  <c r="AO391" i="12"/>
  <c r="AO383" i="12"/>
  <c r="AO375" i="12"/>
  <c r="AO367" i="12"/>
  <c r="AO359" i="12"/>
  <c r="AO351" i="12"/>
  <c r="AO343" i="12"/>
  <c r="AO335" i="12"/>
  <c r="AO327" i="12"/>
  <c r="AO319" i="12"/>
  <c r="AO311" i="12"/>
  <c r="AO303" i="12"/>
  <c r="AO295" i="12"/>
  <c r="AO287" i="12"/>
  <c r="AO279" i="12"/>
  <c r="AO271" i="12"/>
  <c r="AO263" i="12"/>
  <c r="AO255" i="12"/>
  <c r="AO247" i="12"/>
  <c r="AO239" i="12"/>
  <c r="AO231" i="12"/>
  <c r="AO223" i="12"/>
  <c r="AO215" i="12"/>
  <c r="AO207" i="12"/>
  <c r="AO196" i="12"/>
  <c r="AT398" i="12"/>
  <c r="AQ398" i="12"/>
  <c r="AT390" i="12"/>
  <c r="AQ390" i="12"/>
  <c r="AT382" i="12"/>
  <c r="AQ382" i="12"/>
  <c r="AT374" i="12"/>
  <c r="AQ374" i="12"/>
  <c r="AT366" i="12"/>
  <c r="AQ366" i="12"/>
  <c r="AT358" i="12"/>
  <c r="AQ358" i="12"/>
  <c r="AT350" i="12"/>
  <c r="AQ350" i="12"/>
  <c r="AT342" i="12"/>
  <c r="AQ342" i="12"/>
  <c r="AT334" i="12"/>
  <c r="AQ334" i="12"/>
  <c r="AT326" i="12"/>
  <c r="AQ326" i="12"/>
  <c r="AT318" i="12"/>
  <c r="AQ318" i="12"/>
  <c r="AT310" i="12"/>
  <c r="AQ310" i="12"/>
  <c r="AT302" i="12"/>
  <c r="AQ302" i="12"/>
  <c r="AT294" i="12"/>
  <c r="AQ294" i="12"/>
  <c r="AT286" i="12"/>
  <c r="AQ286" i="12"/>
  <c r="AT278" i="12"/>
  <c r="AQ278" i="12"/>
  <c r="AT270" i="12"/>
  <c r="AQ270" i="12"/>
  <c r="AT262" i="12"/>
  <c r="AQ262" i="12"/>
  <c r="AT254" i="12"/>
  <c r="AQ254" i="12"/>
  <c r="AT246" i="12"/>
  <c r="AQ246" i="12"/>
  <c r="AT238" i="12"/>
  <c r="AQ238" i="12"/>
  <c r="AT230" i="12"/>
  <c r="AQ230" i="12"/>
  <c r="AT222" i="12"/>
  <c r="AQ222" i="12"/>
  <c r="AT214" i="12"/>
  <c r="AQ214" i="12"/>
  <c r="AT206" i="12"/>
  <c r="AQ206" i="12"/>
  <c r="AT198" i="12"/>
  <c r="AQ198" i="12"/>
  <c r="AT364" i="12"/>
  <c r="AT300" i="12"/>
  <c r="AY335" i="12"/>
  <c r="AO205" i="12"/>
  <c r="AT356" i="12"/>
  <c r="AT292" i="12"/>
  <c r="AV391" i="12"/>
  <c r="AY391" i="12"/>
  <c r="AY383" i="12"/>
  <c r="AV383" i="12"/>
  <c r="AV375" i="12"/>
  <c r="AY375" i="12"/>
  <c r="AV367" i="12"/>
  <c r="AY367" i="12"/>
  <c r="AV359" i="12"/>
  <c r="AY359" i="12"/>
  <c r="AV351" i="12"/>
  <c r="AY351" i="12"/>
  <c r="AY343" i="12"/>
  <c r="AV343" i="12"/>
  <c r="AV327" i="12"/>
  <c r="AY327" i="12"/>
  <c r="AV319" i="12"/>
  <c r="AY319" i="12"/>
  <c r="AY311" i="12"/>
  <c r="AV311" i="12"/>
  <c r="AV295" i="12"/>
  <c r="AY295" i="12"/>
  <c r="AV287" i="12"/>
  <c r="AY287" i="12"/>
  <c r="AV279" i="12"/>
  <c r="AY279" i="12"/>
  <c r="AV263" i="12"/>
  <c r="AY263" i="12"/>
  <c r="AV255" i="12"/>
  <c r="AY255" i="12"/>
  <c r="AV247" i="12"/>
  <c r="AY247" i="12"/>
  <c r="AV231" i="12"/>
  <c r="AY231" i="12"/>
  <c r="AV223" i="12"/>
  <c r="AY223" i="12"/>
  <c r="AV215" i="12"/>
  <c r="AY215" i="12"/>
  <c r="AV199" i="12"/>
  <c r="AY199" i="12"/>
  <c r="AY303" i="12"/>
  <c r="AO397" i="12"/>
  <c r="AO389" i="12"/>
  <c r="AO381" i="12"/>
  <c r="AO373" i="12"/>
  <c r="AO365" i="12"/>
  <c r="AO357" i="12"/>
  <c r="AO349" i="12"/>
  <c r="AO341" i="12"/>
  <c r="AO333" i="12"/>
  <c r="AO325" i="12"/>
  <c r="AO317" i="12"/>
  <c r="AO309" i="12"/>
  <c r="AO301" i="12"/>
  <c r="AO293" i="12"/>
  <c r="AO285" i="12"/>
  <c r="AO277" i="12"/>
  <c r="AO269" i="12"/>
  <c r="AO261" i="12"/>
  <c r="AO253" i="12"/>
  <c r="AO245" i="12"/>
  <c r="AO237" i="12"/>
  <c r="AO229" i="12"/>
  <c r="AO221" i="12"/>
  <c r="AO213" i="12"/>
  <c r="AO204" i="12"/>
  <c r="AT348" i="12"/>
  <c r="AT284" i="12"/>
  <c r="AT220" i="12"/>
  <c r="AY271" i="12"/>
  <c r="AO404" i="12"/>
  <c r="AO396" i="12"/>
  <c r="AO388" i="12"/>
  <c r="AO380" i="12"/>
  <c r="AO372" i="12"/>
  <c r="AO364" i="12"/>
  <c r="AO356" i="12"/>
  <c r="AO348" i="12"/>
  <c r="AO340" i="12"/>
  <c r="AO332" i="12"/>
  <c r="AO324" i="12"/>
  <c r="AO316" i="12"/>
  <c r="AO308" i="12"/>
  <c r="AO300" i="12"/>
  <c r="AO292" i="12"/>
  <c r="AO284" i="12"/>
  <c r="AO276" i="12"/>
  <c r="AO268" i="12"/>
  <c r="AO260" i="12"/>
  <c r="AO252" i="12"/>
  <c r="AO244" i="12"/>
  <c r="AO236" i="12"/>
  <c r="AO228" i="12"/>
  <c r="AO220" i="12"/>
  <c r="AO212" i="12"/>
  <c r="AT404" i="12"/>
  <c r="AT340" i="12"/>
  <c r="AQ402" i="12"/>
  <c r="AT402" i="12"/>
  <c r="AQ394" i="12"/>
  <c r="AT394" i="12"/>
  <c r="AQ386" i="12"/>
  <c r="AT386" i="12"/>
  <c r="AQ378" i="12"/>
  <c r="AT378" i="12"/>
  <c r="AQ370" i="12"/>
  <c r="AT370" i="12"/>
  <c r="AQ362" i="12"/>
  <c r="AT362" i="12"/>
  <c r="AQ354" i="12"/>
  <c r="AT354" i="12"/>
  <c r="AQ346" i="12"/>
  <c r="AT346" i="12"/>
  <c r="AQ338" i="12"/>
  <c r="AT338" i="12"/>
  <c r="AQ330" i="12"/>
  <c r="AT330" i="12"/>
  <c r="AQ322" i="12"/>
  <c r="AT322" i="12"/>
  <c r="AQ314" i="12"/>
  <c r="AT314" i="12"/>
  <c r="AQ306" i="12"/>
  <c r="AT306" i="12"/>
  <c r="AQ298" i="12"/>
  <c r="AT298" i="12"/>
  <c r="AQ290" i="12"/>
  <c r="AT290" i="12"/>
  <c r="AQ282" i="12"/>
  <c r="AT282" i="12"/>
  <c r="AQ274" i="12"/>
  <c r="AT274" i="12"/>
  <c r="AQ266" i="12"/>
  <c r="AT266" i="12"/>
  <c r="AQ258" i="12"/>
  <c r="AT258" i="12"/>
  <c r="AQ250" i="12"/>
  <c r="AT250" i="12"/>
  <c r="AQ242" i="12"/>
  <c r="AT242" i="12"/>
  <c r="AQ234" i="12"/>
  <c r="AT234" i="12"/>
  <c r="AQ226" i="12"/>
  <c r="AT226" i="12"/>
  <c r="AQ218" i="12"/>
  <c r="AT218" i="12"/>
  <c r="AQ210" i="12"/>
  <c r="AT210" i="12"/>
  <c r="AQ202" i="12"/>
  <c r="AT202" i="12"/>
  <c r="AQ194" i="12"/>
  <c r="AT194" i="12"/>
  <c r="AT396" i="12"/>
  <c r="AT332" i="12"/>
  <c r="AT268" i="12"/>
  <c r="AV397" i="12"/>
  <c r="AV389" i="12"/>
  <c r="AV381" i="12"/>
  <c r="AV373" i="12"/>
  <c r="AV365" i="12"/>
  <c r="AV357" i="12"/>
  <c r="AV349" i="12"/>
  <c r="AV341" i="12"/>
  <c r="AV333" i="12"/>
  <c r="AV325" i="12"/>
  <c r="AV317" i="12"/>
  <c r="AV309" i="12"/>
  <c r="AV301" i="12"/>
  <c r="AV293" i="12"/>
  <c r="AV284" i="12"/>
  <c r="AV266" i="12"/>
  <c r="AV244" i="12"/>
  <c r="AV224" i="12"/>
  <c r="AV202" i="12"/>
  <c r="AY401" i="12"/>
  <c r="AY379" i="12"/>
  <c r="AY337" i="12"/>
  <c r="AY305" i="12"/>
  <c r="AY273" i="12"/>
  <c r="AY241" i="12"/>
  <c r="AY209" i="12"/>
  <c r="AV278" i="12"/>
  <c r="AY278" i="12"/>
  <c r="AV270" i="12"/>
  <c r="AY270" i="12"/>
  <c r="AV262" i="12"/>
  <c r="AY262" i="12"/>
  <c r="AV254" i="12"/>
  <c r="AY254" i="12"/>
  <c r="AV246" i="12"/>
  <c r="AY246" i="12"/>
  <c r="AV238" i="12"/>
  <c r="AY238" i="12"/>
  <c r="AV230" i="12"/>
  <c r="AY230" i="12"/>
  <c r="AV222" i="12"/>
  <c r="AY222" i="12"/>
  <c r="AV214" i="12"/>
  <c r="AY214" i="12"/>
  <c r="AV206" i="12"/>
  <c r="AY206" i="12"/>
  <c r="AV198" i="12"/>
  <c r="AY198" i="12"/>
  <c r="AV403" i="12"/>
  <c r="AV395" i="12"/>
  <c r="AV387" i="12"/>
  <c r="AV371" i="12"/>
  <c r="AV363" i="12"/>
  <c r="AV347" i="12"/>
  <c r="AV339" i="12"/>
  <c r="AV331" i="12"/>
  <c r="AV323" i="12"/>
  <c r="AV315" i="12"/>
  <c r="AV307" i="12"/>
  <c r="AV299" i="12"/>
  <c r="AV291" i="12"/>
  <c r="AV282" i="12"/>
  <c r="AV218" i="12"/>
  <c r="AY353" i="12"/>
  <c r="AY329" i="12"/>
  <c r="AY297" i="12"/>
  <c r="AY265" i="12"/>
  <c r="AY233" i="12"/>
  <c r="AY201" i="12"/>
  <c r="AV285" i="12"/>
  <c r="AY285" i="12"/>
  <c r="AV277" i="12"/>
  <c r="AY277" i="12"/>
  <c r="AV269" i="12"/>
  <c r="AY269" i="12"/>
  <c r="AV261" i="12"/>
  <c r="AY261" i="12"/>
  <c r="AV253" i="12"/>
  <c r="AY253" i="12"/>
  <c r="AV245" i="12"/>
  <c r="AY245" i="12"/>
  <c r="AV237" i="12"/>
  <c r="AY237" i="12"/>
  <c r="AV229" i="12"/>
  <c r="AY229" i="12"/>
  <c r="AV221" i="12"/>
  <c r="AY221" i="12"/>
  <c r="AV213" i="12"/>
  <c r="AY213" i="12"/>
  <c r="AV205" i="12"/>
  <c r="AY205" i="12"/>
  <c r="AV197" i="12"/>
  <c r="AY197" i="12"/>
  <c r="AY393" i="12"/>
  <c r="AV385" i="12"/>
  <c r="AV369" i="12"/>
  <c r="AV361" i="12"/>
  <c r="AV345" i="12"/>
  <c r="AV321" i="12"/>
  <c r="AV313" i="12"/>
  <c r="AV289" i="12"/>
  <c r="AV276" i="12"/>
  <c r="AV256" i="12"/>
  <c r="AV234" i="12"/>
  <c r="AV212" i="12"/>
  <c r="AV192" i="12"/>
  <c r="AY257" i="12"/>
  <c r="AY225" i="12"/>
  <c r="AY193" i="12"/>
  <c r="AV275" i="12"/>
  <c r="AY275" i="12"/>
  <c r="AV267" i="12"/>
  <c r="AY267" i="12"/>
  <c r="AV259" i="12"/>
  <c r="AY259" i="12"/>
  <c r="AV251" i="12"/>
  <c r="AY251" i="12"/>
  <c r="AV243" i="12"/>
  <c r="AY243" i="12"/>
  <c r="AV235" i="12"/>
  <c r="AY235" i="12"/>
  <c r="AV227" i="12"/>
  <c r="AY227" i="12"/>
  <c r="AV219" i="12"/>
  <c r="AY219" i="12"/>
  <c r="AV211" i="12"/>
  <c r="AY211" i="12"/>
  <c r="AV203" i="12"/>
  <c r="AY203" i="12"/>
  <c r="AV195" i="12"/>
  <c r="AY195" i="12"/>
  <c r="AV274" i="12"/>
  <c r="AV210" i="12"/>
  <c r="BA402" i="12"/>
  <c r="BD402" i="12"/>
  <c r="BA394" i="12"/>
  <c r="BD394" i="12"/>
  <c r="BA386" i="12"/>
  <c r="BD386" i="12"/>
  <c r="BA378" i="12"/>
  <c r="BD378" i="12"/>
  <c r="BA370" i="12"/>
  <c r="BD370" i="12"/>
  <c r="BA362" i="12"/>
  <c r="BD362" i="12"/>
  <c r="BA354" i="12"/>
  <c r="BD354" i="12"/>
  <c r="BA346" i="12"/>
  <c r="BD346" i="12"/>
  <c r="BA338" i="12"/>
  <c r="BD338" i="12"/>
  <c r="BA330" i="12"/>
  <c r="BD330" i="12"/>
  <c r="BA322" i="12"/>
  <c r="BD322" i="12"/>
  <c r="BA314" i="12"/>
  <c r="BD314" i="12"/>
  <c r="BA306" i="12"/>
  <c r="BD306" i="12"/>
  <c r="BA298" i="12"/>
  <c r="BD298" i="12"/>
  <c r="BA290" i="12"/>
  <c r="BD290" i="12"/>
  <c r="BA282" i="12"/>
  <c r="BD282" i="12"/>
  <c r="BD274" i="12"/>
  <c r="BA274" i="12"/>
  <c r="BD266" i="12"/>
  <c r="BA266" i="12"/>
  <c r="BD258" i="12"/>
  <c r="BA258" i="12"/>
  <c r="BD250" i="12"/>
  <c r="BA250" i="12"/>
  <c r="BD242" i="12"/>
  <c r="BA242" i="12"/>
  <c r="BD234" i="12"/>
  <c r="BA234" i="12"/>
  <c r="BD226" i="12"/>
  <c r="BA226" i="12"/>
  <c r="BD218" i="12"/>
  <c r="BA218" i="12"/>
  <c r="BD210" i="12"/>
  <c r="BA210" i="12"/>
  <c r="BD202" i="12"/>
  <c r="BA202" i="12"/>
  <c r="BD194" i="12"/>
  <c r="BA194" i="12"/>
  <c r="AV250" i="12"/>
  <c r="AY281" i="12"/>
  <c r="AY249" i="12"/>
  <c r="AY217" i="12"/>
  <c r="BA270" i="12"/>
  <c r="BA262" i="12"/>
  <c r="BA254" i="12"/>
  <c r="BA246" i="12"/>
  <c r="BA238" i="12"/>
  <c r="BA230" i="12"/>
  <c r="BA222" i="12"/>
  <c r="BA214" i="12"/>
  <c r="BA206" i="12"/>
  <c r="BA198" i="12"/>
  <c r="BD397" i="12"/>
  <c r="BD389" i="12"/>
  <c r="BD381" i="12"/>
  <c r="BD373" i="12"/>
  <c r="BD365" i="12"/>
  <c r="BD357" i="12"/>
  <c r="BD349" i="12"/>
  <c r="BD341" i="12"/>
  <c r="BD333" i="12"/>
  <c r="BD325" i="12"/>
  <c r="BD317" i="12"/>
  <c r="BD309" i="12"/>
  <c r="BD301" i="12"/>
  <c r="BD293" i="12"/>
  <c r="BD285" i="12"/>
  <c r="BD277" i="12"/>
  <c r="BA269" i="12"/>
  <c r="BA261" i="12"/>
  <c r="BA253" i="12"/>
  <c r="BA245" i="12"/>
  <c r="BA237" i="12"/>
  <c r="BA229" i="12"/>
  <c r="BA221" i="12"/>
  <c r="BA213" i="12"/>
  <c r="BA205" i="12"/>
  <c r="BA197" i="12"/>
  <c r="BD404" i="12"/>
  <c r="BD396" i="12"/>
  <c r="BD388" i="12"/>
  <c r="BD380" i="12"/>
  <c r="BD372" i="12"/>
  <c r="BD364" i="12"/>
  <c r="BD356" i="12"/>
  <c r="BD348" i="12"/>
  <c r="BD340" i="12"/>
  <c r="BD332" i="12"/>
  <c r="BD324" i="12"/>
  <c r="BD316" i="12"/>
  <c r="BD308" i="12"/>
  <c r="BD300" i="12"/>
  <c r="BD292" i="12"/>
  <c r="BD284" i="12"/>
  <c r="BD276" i="12"/>
  <c r="BA268" i="12"/>
  <c r="BA260" i="12"/>
  <c r="BA252" i="12"/>
  <c r="BA244" i="12"/>
  <c r="BA236" i="12"/>
  <c r="BA228" i="12"/>
  <c r="BA220" i="12"/>
  <c r="BA212" i="12"/>
  <c r="BA204" i="12"/>
  <c r="BA196" i="12"/>
  <c r="BI404" i="12"/>
  <c r="BF404" i="12"/>
  <c r="BI396" i="12"/>
  <c r="BF396" i="12"/>
  <c r="BI388" i="12"/>
  <c r="BF388" i="12"/>
  <c r="BI380" i="12"/>
  <c r="BF380" i="12"/>
  <c r="BI372" i="12"/>
  <c r="BF372" i="12"/>
  <c r="BI364" i="12"/>
  <c r="BF364" i="12"/>
  <c r="BI356" i="12"/>
  <c r="BF356" i="12"/>
  <c r="BI348" i="12"/>
  <c r="BF348" i="12"/>
  <c r="BI340" i="12"/>
  <c r="BF340" i="12"/>
  <c r="BI332" i="12"/>
  <c r="BF332" i="12"/>
  <c r="BI324" i="12"/>
  <c r="BF324" i="12"/>
  <c r="BI316" i="12"/>
  <c r="BF316" i="12"/>
  <c r="BI308" i="12"/>
  <c r="BF308" i="12"/>
  <c r="BI300" i="12"/>
  <c r="BF300" i="12"/>
  <c r="BI292" i="12"/>
  <c r="BF292" i="12"/>
  <c r="BI284" i="12"/>
  <c r="BF284" i="12"/>
  <c r="BI276" i="12"/>
  <c r="BF276" i="12"/>
  <c r="BI268" i="12"/>
  <c r="BF268" i="12"/>
  <c r="BI260" i="12"/>
  <c r="BF260" i="12"/>
  <c r="BI252" i="12"/>
  <c r="BF252" i="12"/>
  <c r="BI244" i="12"/>
  <c r="BF244" i="12"/>
  <c r="BI236" i="12"/>
  <c r="BF236" i="12"/>
  <c r="BI228" i="12"/>
  <c r="BF228" i="12"/>
  <c r="BI220" i="12"/>
  <c r="BF220" i="12"/>
  <c r="BI212" i="12"/>
  <c r="BF212" i="12"/>
  <c r="BI204" i="12"/>
  <c r="BF204" i="12"/>
  <c r="BI196" i="12"/>
  <c r="BF196" i="12"/>
  <c r="BA272" i="12"/>
  <c r="BA264" i="12"/>
  <c r="BA256" i="12"/>
  <c r="BA248" i="12"/>
  <c r="BA240" i="12"/>
  <c r="BA232" i="12"/>
  <c r="BA224" i="12"/>
  <c r="BA216" i="12"/>
  <c r="BA208" i="12"/>
  <c r="BA200" i="12"/>
  <c r="BA192" i="12"/>
  <c r="BI403" i="12"/>
  <c r="BI395" i="12"/>
  <c r="BI387" i="12"/>
  <c r="BI379" i="12"/>
  <c r="BI371" i="12"/>
  <c r="BI363" i="12"/>
  <c r="BI355" i="12"/>
  <c r="BI347" i="12"/>
  <c r="BI339" i="12"/>
  <c r="BI331" i="12"/>
  <c r="BI323" i="12"/>
  <c r="BI315" i="12"/>
  <c r="BI307" i="12"/>
  <c r="BI299" i="12"/>
  <c r="BI291" i="12"/>
  <c r="BI283" i="12"/>
  <c r="BI275" i="12"/>
  <c r="BI267" i="12"/>
  <c r="BI259" i="12"/>
  <c r="BI251" i="12"/>
  <c r="BI243" i="12"/>
  <c r="BI235" i="12"/>
  <c r="BI227" i="12"/>
  <c r="BI219" i="12"/>
  <c r="BI211" i="12"/>
  <c r="BI203" i="12"/>
  <c r="BI195" i="12"/>
  <c r="BI402" i="12"/>
  <c r="BI394" i="12"/>
  <c r="BI386" i="12"/>
  <c r="BI378" i="12"/>
  <c r="BI370" i="12"/>
  <c r="BI362" i="12"/>
  <c r="BI354" i="12"/>
  <c r="BI346" i="12"/>
  <c r="BI338" i="12"/>
  <c r="BI330" i="12"/>
  <c r="BI322" i="12"/>
  <c r="BI314" i="12"/>
  <c r="BI306" i="12"/>
  <c r="BI298" i="12"/>
  <c r="BI290" i="12"/>
  <c r="BI282" i="12"/>
  <c r="BI274" i="12"/>
  <c r="BI266" i="12"/>
  <c r="BI258" i="12"/>
  <c r="BI250" i="12"/>
  <c r="BI242" i="12"/>
  <c r="BI234" i="12"/>
  <c r="BI226" i="12"/>
  <c r="BI218" i="12"/>
  <c r="BI210" i="12"/>
  <c r="BI202" i="12"/>
  <c r="BI194" i="12"/>
  <c r="BI399" i="12"/>
  <c r="BI391" i="12"/>
  <c r="BI383" i="12"/>
  <c r="BI375" i="12"/>
  <c r="BI367" i="12"/>
  <c r="BI359" i="12"/>
  <c r="BI351" i="12"/>
  <c r="BI343" i="12"/>
  <c r="BI335" i="12"/>
  <c r="BI327" i="12"/>
  <c r="BI319" i="12"/>
  <c r="BI311" i="12"/>
  <c r="BI303" i="12"/>
  <c r="BI295" i="12"/>
  <c r="BI287" i="12"/>
  <c r="BI279" i="12"/>
  <c r="BI271" i="12"/>
  <c r="BI263" i="12"/>
  <c r="BI255" i="12"/>
  <c r="BI247" i="12"/>
  <c r="BI239" i="12"/>
  <c r="BI231" i="12"/>
  <c r="BI223" i="12"/>
  <c r="BI215" i="12"/>
  <c r="BI207" i="12"/>
  <c r="BI199" i="12"/>
  <c r="BI398" i="12"/>
  <c r="BI390" i="12"/>
  <c r="BI382" i="12"/>
  <c r="BI374" i="12"/>
  <c r="BI366" i="12"/>
  <c r="BI358" i="12"/>
  <c r="BI350" i="12"/>
  <c r="BI342" i="12"/>
  <c r="BI334" i="12"/>
  <c r="BI326" i="12"/>
  <c r="BI318" i="12"/>
  <c r="BI310" i="12"/>
  <c r="BI302" i="12"/>
  <c r="BI294" i="12"/>
  <c r="BI286" i="12"/>
  <c r="BI278" i="12"/>
  <c r="BI270" i="12"/>
  <c r="BI262" i="12"/>
  <c r="BI254" i="12"/>
  <c r="BI246" i="12"/>
  <c r="BI238" i="12"/>
  <c r="BI230" i="12"/>
  <c r="BI222" i="12"/>
  <c r="BI214" i="12"/>
  <c r="BI206" i="12"/>
  <c r="BI198" i="12"/>
  <c r="BI397" i="12"/>
  <c r="BI389" i="12"/>
  <c r="BI381" i="12"/>
  <c r="BI373" i="12"/>
  <c r="BI365" i="12"/>
  <c r="BI357" i="12"/>
  <c r="BI349" i="12"/>
  <c r="BI341" i="12"/>
  <c r="BI333" i="12"/>
  <c r="BI325" i="12"/>
  <c r="BI317" i="12"/>
  <c r="BI309" i="12"/>
  <c r="BI301" i="12"/>
  <c r="BI293" i="12"/>
  <c r="BI285" i="12"/>
  <c r="BI277" i="12"/>
  <c r="BI269" i="12"/>
  <c r="BI261" i="12"/>
  <c r="BI253" i="12"/>
  <c r="BI245" i="12"/>
  <c r="BI237" i="12"/>
  <c r="BI229" i="12"/>
  <c r="BI221" i="12"/>
  <c r="BI213" i="12"/>
  <c r="BI205" i="12"/>
  <c r="BI197" i="12"/>
  <c r="G68" i="10"/>
  <c r="G59" i="10"/>
  <c r="G47" i="10"/>
  <c r="G40" i="10"/>
  <c r="G26" i="10"/>
  <c r="G32" i="10"/>
  <c r="AA405" i="19"/>
  <c r="F10" i="10" s="1"/>
  <c r="X405" i="19"/>
  <c r="F9" i="10" s="1"/>
  <c r="U405" i="19"/>
  <c r="F8" i="10" s="1"/>
  <c r="R405" i="19"/>
  <c r="F7" i="10" s="1"/>
  <c r="O405" i="19"/>
  <c r="F6" i="10" s="1"/>
  <c r="L405" i="19"/>
  <c r="F5" i="10" s="1"/>
  <c r="I405" i="19"/>
  <c r="F4" i="10" s="1"/>
  <c r="C405" i="19"/>
  <c r="F2" i="10" s="1"/>
  <c r="F405" i="19"/>
  <c r="F3" i="10" s="1"/>
  <c r="BG27" i="12"/>
  <c r="BG28" i="12"/>
  <c r="BG29" i="12"/>
  <c r="BG30" i="12"/>
  <c r="BG31" i="12"/>
  <c r="BG32" i="12"/>
  <c r="BH32" i="12" s="1"/>
  <c r="BG33" i="12"/>
  <c r="BH33" i="12" s="1"/>
  <c r="BG34" i="12"/>
  <c r="BH34" i="12" s="1"/>
  <c r="BG35" i="12"/>
  <c r="BG36" i="12"/>
  <c r="BG37" i="12"/>
  <c r="BG38" i="12"/>
  <c r="BG39" i="12"/>
  <c r="BG40" i="12"/>
  <c r="BH40" i="12" s="1"/>
  <c r="BG41" i="12"/>
  <c r="BH41" i="12" s="1"/>
  <c r="BG42" i="12"/>
  <c r="BH42" i="12" s="1"/>
  <c r="BG43" i="12"/>
  <c r="BG44" i="12"/>
  <c r="BG45" i="12"/>
  <c r="BG46" i="12"/>
  <c r="BG47" i="12"/>
  <c r="BG48" i="12"/>
  <c r="BH48" i="12" s="1"/>
  <c r="BG49" i="12"/>
  <c r="BH49" i="12" s="1"/>
  <c r="BG50" i="12"/>
  <c r="BH50" i="12" s="1"/>
  <c r="BG51" i="12"/>
  <c r="BG52" i="12"/>
  <c r="BG53" i="12"/>
  <c r="BG54" i="12"/>
  <c r="BG55" i="12"/>
  <c r="BG56" i="12"/>
  <c r="BH56" i="12" s="1"/>
  <c r="BG57" i="12"/>
  <c r="BH57" i="12" s="1"/>
  <c r="BG58" i="12"/>
  <c r="BH58" i="12" s="1"/>
  <c r="BG59" i="12"/>
  <c r="BG60" i="12"/>
  <c r="BG61" i="12"/>
  <c r="BG62" i="12"/>
  <c r="BG63" i="12"/>
  <c r="BG64" i="12"/>
  <c r="BH64" i="12" s="1"/>
  <c r="BG65" i="12"/>
  <c r="BH65" i="12" s="1"/>
  <c r="BG66" i="12"/>
  <c r="BH66" i="12" s="1"/>
  <c r="BG67" i="12"/>
  <c r="BG68" i="12"/>
  <c r="BG69" i="12"/>
  <c r="BG70" i="12"/>
  <c r="BG71" i="12"/>
  <c r="BG72" i="12"/>
  <c r="BH72" i="12" s="1"/>
  <c r="BG73" i="12"/>
  <c r="BH73" i="12" s="1"/>
  <c r="BG74" i="12"/>
  <c r="BH74" i="12" s="1"/>
  <c r="BG75" i="12"/>
  <c r="BG76" i="12"/>
  <c r="BG77" i="12"/>
  <c r="BG78" i="12"/>
  <c r="BG79" i="12"/>
  <c r="BG80" i="12"/>
  <c r="BH80" i="12" s="1"/>
  <c r="BG81" i="12"/>
  <c r="BH81" i="12" s="1"/>
  <c r="BG82" i="12"/>
  <c r="BH82" i="12" s="1"/>
  <c r="BG83" i="12"/>
  <c r="BG84" i="12"/>
  <c r="BG85" i="12"/>
  <c r="BG86" i="12"/>
  <c r="BG87" i="12"/>
  <c r="BG88" i="12"/>
  <c r="BH88" i="12" s="1"/>
  <c r="BG89" i="12"/>
  <c r="BH89" i="12" s="1"/>
  <c r="BG90" i="12"/>
  <c r="BH90" i="12" s="1"/>
  <c r="BG91" i="12"/>
  <c r="BG92" i="12"/>
  <c r="BG93" i="12"/>
  <c r="BG94" i="12"/>
  <c r="BG95" i="12"/>
  <c r="BG96" i="12"/>
  <c r="BH96" i="12" s="1"/>
  <c r="BG97" i="12"/>
  <c r="BH97" i="12" s="1"/>
  <c r="BG98" i="12"/>
  <c r="BH98" i="12" s="1"/>
  <c r="BG99" i="12"/>
  <c r="BG100" i="12"/>
  <c r="BG101" i="12"/>
  <c r="BG102" i="12"/>
  <c r="BG103" i="12"/>
  <c r="BG104" i="12"/>
  <c r="BH104" i="12" s="1"/>
  <c r="BG105" i="12"/>
  <c r="BH105" i="12" s="1"/>
  <c r="BG106" i="12"/>
  <c r="BH106" i="12" s="1"/>
  <c r="BG107" i="12"/>
  <c r="BG108" i="12"/>
  <c r="BG109" i="12"/>
  <c r="BG110" i="12"/>
  <c r="BG111" i="12"/>
  <c r="BG112" i="12"/>
  <c r="BH112" i="12" s="1"/>
  <c r="BG113" i="12"/>
  <c r="BH113" i="12" s="1"/>
  <c r="BG114" i="12"/>
  <c r="BH114" i="12" s="1"/>
  <c r="BG115" i="12"/>
  <c r="BG116" i="12"/>
  <c r="BG117" i="12"/>
  <c r="BG118" i="12"/>
  <c r="BG119" i="12"/>
  <c r="BG120" i="12"/>
  <c r="BH120" i="12" s="1"/>
  <c r="BG121" i="12"/>
  <c r="BH121" i="12" s="1"/>
  <c r="BG122" i="12"/>
  <c r="BH122" i="12" s="1"/>
  <c r="BG123" i="12"/>
  <c r="BG124" i="12"/>
  <c r="BG125" i="12"/>
  <c r="BG126" i="12"/>
  <c r="BG127" i="12"/>
  <c r="BG128" i="12"/>
  <c r="BH128" i="12" s="1"/>
  <c r="BG129" i="12"/>
  <c r="BH129" i="12" s="1"/>
  <c r="BG130" i="12"/>
  <c r="BH130" i="12" s="1"/>
  <c r="BG131" i="12"/>
  <c r="BG132" i="12"/>
  <c r="BG133" i="12"/>
  <c r="BG134" i="12"/>
  <c r="BG135" i="12"/>
  <c r="BG136" i="12"/>
  <c r="BH136" i="12" s="1"/>
  <c r="BG137" i="12"/>
  <c r="BH137" i="12" s="1"/>
  <c r="BG138" i="12"/>
  <c r="BH138" i="12" s="1"/>
  <c r="BG139" i="12"/>
  <c r="BG140" i="12"/>
  <c r="BG141" i="12"/>
  <c r="BG142" i="12"/>
  <c r="BG143" i="12"/>
  <c r="BG144" i="12"/>
  <c r="BH144" i="12" s="1"/>
  <c r="BG145" i="12"/>
  <c r="BH145" i="12" s="1"/>
  <c r="BG146" i="12"/>
  <c r="BH146" i="12" s="1"/>
  <c r="BG147" i="12"/>
  <c r="BG148" i="12"/>
  <c r="BG149" i="12"/>
  <c r="BG150" i="12"/>
  <c r="BG151" i="12"/>
  <c r="BG152" i="12"/>
  <c r="BH152" i="12" s="1"/>
  <c r="BG153" i="12"/>
  <c r="BH153" i="12" s="1"/>
  <c r="BG154" i="12"/>
  <c r="BH154" i="12" s="1"/>
  <c r="BG155" i="12"/>
  <c r="BG156" i="12"/>
  <c r="BG157" i="12"/>
  <c r="BG158" i="12"/>
  <c r="BG159" i="12"/>
  <c r="BG160" i="12"/>
  <c r="BH160" i="12" s="1"/>
  <c r="BG161" i="12"/>
  <c r="BH161" i="12" s="1"/>
  <c r="BG162" i="12"/>
  <c r="BH162" i="12" s="1"/>
  <c r="BG163" i="12"/>
  <c r="BG164" i="12"/>
  <c r="BG165" i="12"/>
  <c r="BG166" i="12"/>
  <c r="BG167" i="12"/>
  <c r="BG168" i="12"/>
  <c r="BH168" i="12" s="1"/>
  <c r="BG169" i="12"/>
  <c r="BH169" i="12" s="1"/>
  <c r="BG170" i="12"/>
  <c r="BH170" i="12" s="1"/>
  <c r="BG171" i="12"/>
  <c r="BG172" i="12"/>
  <c r="BG173" i="12"/>
  <c r="BG174" i="12"/>
  <c r="BG175" i="12"/>
  <c r="BG176" i="12"/>
  <c r="BH176" i="12" s="1"/>
  <c r="BG177" i="12"/>
  <c r="BH177" i="12" s="1"/>
  <c r="BG178" i="12"/>
  <c r="BH178" i="12" s="1"/>
  <c r="BG179" i="12"/>
  <c r="BG180" i="12"/>
  <c r="BG181" i="12"/>
  <c r="BG182" i="12"/>
  <c r="BG183" i="12"/>
  <c r="BG184" i="12"/>
  <c r="BH184" i="12" s="1"/>
  <c r="BG185" i="12"/>
  <c r="BH185" i="12" s="1"/>
  <c r="BG186" i="12"/>
  <c r="BH186" i="12" s="1"/>
  <c r="BG187" i="12"/>
  <c r="BG188" i="12"/>
  <c r="BG189" i="12"/>
  <c r="BG190" i="12"/>
  <c r="BG191" i="12"/>
  <c r="BG3" i="12"/>
  <c r="BH3" i="12" s="1"/>
  <c r="BG4" i="12"/>
  <c r="BG5" i="12"/>
  <c r="BG6" i="12"/>
  <c r="BH6" i="12" s="1"/>
  <c r="BG8" i="12"/>
  <c r="BH8" i="12" s="1"/>
  <c r="BG9" i="12"/>
  <c r="BG10" i="12"/>
  <c r="BH10" i="12" s="1"/>
  <c r="BG11" i="12"/>
  <c r="BH11" i="12" s="1"/>
  <c r="BG12" i="12"/>
  <c r="BG13" i="12"/>
  <c r="BH13" i="12" s="1"/>
  <c r="BG14" i="12"/>
  <c r="BH14" i="12" s="1"/>
  <c r="BG15" i="12"/>
  <c r="BH15" i="12" s="1"/>
  <c r="BG16" i="12"/>
  <c r="BH16" i="12" s="1"/>
  <c r="BG17" i="12"/>
  <c r="BG18" i="12"/>
  <c r="BG19" i="12"/>
  <c r="BH19" i="12" s="1"/>
  <c r="BG20" i="12"/>
  <c r="BG21" i="12"/>
  <c r="BH21" i="12" s="1"/>
  <c r="BG22" i="12"/>
  <c r="BH22" i="12" s="1"/>
  <c r="BG23" i="12"/>
  <c r="BH23" i="12" s="1"/>
  <c r="BG24" i="12"/>
  <c r="BH24" i="12" s="1"/>
  <c r="BG25" i="12"/>
  <c r="BG26" i="12"/>
  <c r="BH26" i="12" s="1"/>
  <c r="BG2" i="12"/>
  <c r="BH2" i="12" s="1"/>
  <c r="BF41" i="12"/>
  <c r="BF80" i="12"/>
  <c r="BF81" i="12"/>
  <c r="BF137" i="12"/>
  <c r="BF144" i="12"/>
  <c r="BF27" i="12"/>
  <c r="BF28" i="12"/>
  <c r="BF29" i="12"/>
  <c r="BF30" i="12"/>
  <c r="BF31" i="12"/>
  <c r="BF32" i="12"/>
  <c r="BF33" i="12"/>
  <c r="BF34" i="12"/>
  <c r="BF35" i="12"/>
  <c r="BF36" i="12"/>
  <c r="BF37" i="12"/>
  <c r="BF38" i="12"/>
  <c r="BF39" i="12"/>
  <c r="BF40" i="12"/>
  <c r="BF42" i="12"/>
  <c r="BF43" i="12"/>
  <c r="BF44" i="12"/>
  <c r="BF45" i="12"/>
  <c r="BF46" i="12"/>
  <c r="BF47" i="12"/>
  <c r="BF48" i="12"/>
  <c r="BF49" i="12"/>
  <c r="BF50" i="12"/>
  <c r="BF51" i="12"/>
  <c r="BF52" i="12"/>
  <c r="BF53" i="12"/>
  <c r="BF54" i="12"/>
  <c r="BF55" i="12"/>
  <c r="BF56" i="12"/>
  <c r="BF57" i="12"/>
  <c r="BF58" i="12"/>
  <c r="BF59" i="12"/>
  <c r="BF60" i="12"/>
  <c r="BF61" i="12"/>
  <c r="BF62" i="12"/>
  <c r="BF63" i="12"/>
  <c r="BF64" i="12"/>
  <c r="BF65" i="12"/>
  <c r="BF66" i="12"/>
  <c r="BF67" i="12"/>
  <c r="BF68" i="12"/>
  <c r="BF69" i="12"/>
  <c r="BF70" i="12"/>
  <c r="BF71" i="12"/>
  <c r="BF72" i="12"/>
  <c r="BF73" i="12"/>
  <c r="BF74" i="12"/>
  <c r="BF75" i="12"/>
  <c r="BF76" i="12"/>
  <c r="BF77" i="12"/>
  <c r="BF78" i="12"/>
  <c r="BF79" i="12"/>
  <c r="BF82" i="12"/>
  <c r="BF83" i="12"/>
  <c r="BF84" i="12"/>
  <c r="BF85" i="12"/>
  <c r="BF86" i="12"/>
  <c r="BF87" i="12"/>
  <c r="BF88" i="12"/>
  <c r="BF89" i="12"/>
  <c r="BF90" i="12"/>
  <c r="BF91" i="12"/>
  <c r="BF92" i="12"/>
  <c r="BF93" i="12"/>
  <c r="BF94" i="12"/>
  <c r="BF95" i="12"/>
  <c r="BF96" i="12"/>
  <c r="BF97" i="12"/>
  <c r="BF98" i="12"/>
  <c r="BF99" i="12"/>
  <c r="BF100" i="12"/>
  <c r="BF101" i="12"/>
  <c r="BF102" i="12"/>
  <c r="BF103" i="12"/>
  <c r="BF104" i="12"/>
  <c r="BF105" i="12"/>
  <c r="BF106" i="12"/>
  <c r="BF107" i="12"/>
  <c r="BF108" i="12"/>
  <c r="BF109" i="12"/>
  <c r="BF110" i="12"/>
  <c r="BF111" i="12"/>
  <c r="BF112" i="12"/>
  <c r="BF113" i="12"/>
  <c r="BF114" i="12"/>
  <c r="BF115" i="12"/>
  <c r="BF116" i="12"/>
  <c r="BF117" i="12"/>
  <c r="BF118" i="12"/>
  <c r="BF119" i="12"/>
  <c r="BF120" i="12"/>
  <c r="BF121" i="12"/>
  <c r="BF122" i="12"/>
  <c r="BF123" i="12"/>
  <c r="BF124" i="12"/>
  <c r="BF125" i="12"/>
  <c r="BF126" i="12"/>
  <c r="BF127" i="12"/>
  <c r="BF128" i="12"/>
  <c r="BF129" i="12"/>
  <c r="BF130" i="12"/>
  <c r="BF131" i="12"/>
  <c r="BF132" i="12"/>
  <c r="BF133" i="12"/>
  <c r="BF134" i="12"/>
  <c r="BF135" i="12"/>
  <c r="BF136" i="12"/>
  <c r="BF138" i="12"/>
  <c r="BF139" i="12"/>
  <c r="BF140" i="12"/>
  <c r="BF141" i="12"/>
  <c r="BF142" i="12"/>
  <c r="BF143" i="12"/>
  <c r="BF145" i="12"/>
  <c r="BF146" i="12"/>
  <c r="BF147" i="12"/>
  <c r="BF148" i="12"/>
  <c r="BF149" i="12"/>
  <c r="BF150" i="12"/>
  <c r="BF151" i="12"/>
  <c r="BF152" i="12"/>
  <c r="BF153" i="12"/>
  <c r="BF154" i="12"/>
  <c r="BF155" i="12"/>
  <c r="BF156" i="12"/>
  <c r="BF157" i="12"/>
  <c r="BF158" i="12"/>
  <c r="BF159" i="12"/>
  <c r="BF160" i="12"/>
  <c r="BF161" i="12"/>
  <c r="BF162" i="12"/>
  <c r="BF163" i="12"/>
  <c r="BF164" i="12"/>
  <c r="BF165" i="12"/>
  <c r="BF166" i="12"/>
  <c r="BF167" i="12"/>
  <c r="BF168" i="12"/>
  <c r="BF169" i="12"/>
  <c r="BF170" i="12"/>
  <c r="BF171" i="12"/>
  <c r="BF172" i="12"/>
  <c r="BF173" i="12"/>
  <c r="BF174" i="12"/>
  <c r="BF175" i="12"/>
  <c r="BF176" i="12"/>
  <c r="BF177" i="12"/>
  <c r="BF178" i="12"/>
  <c r="BF179" i="12"/>
  <c r="BF180" i="12"/>
  <c r="BF181" i="12"/>
  <c r="BF182" i="12"/>
  <c r="BF183" i="12"/>
  <c r="BF184" i="12"/>
  <c r="BF185" i="12"/>
  <c r="BF186" i="12"/>
  <c r="BF187" i="12"/>
  <c r="BF188" i="12"/>
  <c r="BF189" i="12"/>
  <c r="BF190" i="12"/>
  <c r="BF191" i="12"/>
  <c r="BF15" i="12"/>
  <c r="BB27" i="12"/>
  <c r="BB28" i="12"/>
  <c r="BC28" i="12" s="1"/>
  <c r="BB29" i="12"/>
  <c r="BC29" i="12" s="1"/>
  <c r="BB30" i="12"/>
  <c r="BC30" i="12" s="1"/>
  <c r="BB31" i="12"/>
  <c r="BB32" i="12"/>
  <c r="BB33" i="12"/>
  <c r="BC33" i="12" s="1"/>
  <c r="BB34" i="12"/>
  <c r="BC34" i="12" s="1"/>
  <c r="BB35" i="12"/>
  <c r="BC35" i="12" s="1"/>
  <c r="BB36" i="12"/>
  <c r="BC36" i="12" s="1"/>
  <c r="BB37" i="12"/>
  <c r="BC37" i="12" s="1"/>
  <c r="BB38" i="12"/>
  <c r="BC38" i="12" s="1"/>
  <c r="BB39" i="12"/>
  <c r="BB40" i="12"/>
  <c r="BB41" i="12"/>
  <c r="BC41" i="12" s="1"/>
  <c r="BB42" i="12"/>
  <c r="BC42" i="12" s="1"/>
  <c r="BB43" i="12"/>
  <c r="BC43" i="12" s="1"/>
  <c r="BB44" i="12"/>
  <c r="BC44" i="12" s="1"/>
  <c r="BB45" i="12"/>
  <c r="BC45" i="12" s="1"/>
  <c r="BB46" i="12"/>
  <c r="BC46" i="12" s="1"/>
  <c r="BB47" i="12"/>
  <c r="BB48" i="12"/>
  <c r="BB49" i="12"/>
  <c r="BC49" i="12" s="1"/>
  <c r="BB50" i="12"/>
  <c r="BC50" i="12" s="1"/>
  <c r="BB51" i="12"/>
  <c r="BC51" i="12" s="1"/>
  <c r="BB52" i="12"/>
  <c r="BC52" i="12" s="1"/>
  <c r="BB53" i="12"/>
  <c r="BC53" i="12" s="1"/>
  <c r="BB54" i="12"/>
  <c r="BC54" i="12" s="1"/>
  <c r="BB55" i="12"/>
  <c r="BB56" i="12"/>
  <c r="BB57" i="12"/>
  <c r="BC57" i="12" s="1"/>
  <c r="BB58" i="12"/>
  <c r="BC58" i="12" s="1"/>
  <c r="BB59" i="12"/>
  <c r="BC59" i="12" s="1"/>
  <c r="BB60" i="12"/>
  <c r="BC60" i="12" s="1"/>
  <c r="BB61" i="12"/>
  <c r="BC61" i="12" s="1"/>
  <c r="BB62" i="12"/>
  <c r="BC62" i="12" s="1"/>
  <c r="BB63" i="12"/>
  <c r="BB64" i="12"/>
  <c r="BB65" i="12"/>
  <c r="BC65" i="12" s="1"/>
  <c r="BB66" i="12"/>
  <c r="BC66" i="12" s="1"/>
  <c r="BB67" i="12"/>
  <c r="BC67" i="12" s="1"/>
  <c r="BB68" i="12"/>
  <c r="BC68" i="12" s="1"/>
  <c r="BB69" i="12"/>
  <c r="BC69" i="12" s="1"/>
  <c r="BB70" i="12"/>
  <c r="BC70" i="12" s="1"/>
  <c r="BB71" i="12"/>
  <c r="BB72" i="12"/>
  <c r="BB73" i="12"/>
  <c r="BC73" i="12" s="1"/>
  <c r="BB74" i="12"/>
  <c r="BC74" i="12" s="1"/>
  <c r="BB75" i="12"/>
  <c r="BC75" i="12" s="1"/>
  <c r="BB76" i="12"/>
  <c r="BC76" i="12" s="1"/>
  <c r="BB77" i="12"/>
  <c r="BC77" i="12" s="1"/>
  <c r="BB78" i="12"/>
  <c r="BC78" i="12" s="1"/>
  <c r="BB79" i="12"/>
  <c r="BB80" i="12"/>
  <c r="BB81" i="12"/>
  <c r="BC81" i="12" s="1"/>
  <c r="BB82" i="12"/>
  <c r="BC82" i="12" s="1"/>
  <c r="BB83" i="12"/>
  <c r="BC83" i="12" s="1"/>
  <c r="BB84" i="12"/>
  <c r="BC84" i="12" s="1"/>
  <c r="BB85" i="12"/>
  <c r="BC85" i="12" s="1"/>
  <c r="BB86" i="12"/>
  <c r="BC86" i="12" s="1"/>
  <c r="BB87" i="12"/>
  <c r="BB88" i="12"/>
  <c r="BB89" i="12"/>
  <c r="BC89" i="12" s="1"/>
  <c r="BB90" i="12"/>
  <c r="BC90" i="12" s="1"/>
  <c r="BB91" i="12"/>
  <c r="BC91" i="12" s="1"/>
  <c r="BB92" i="12"/>
  <c r="BC92" i="12" s="1"/>
  <c r="BB93" i="12"/>
  <c r="BC93" i="12" s="1"/>
  <c r="BB94" i="12"/>
  <c r="BC94" i="12" s="1"/>
  <c r="BB95" i="12"/>
  <c r="BB96" i="12"/>
  <c r="BB97" i="12"/>
  <c r="BC97" i="12" s="1"/>
  <c r="BB98" i="12"/>
  <c r="BC98" i="12" s="1"/>
  <c r="BB99" i="12"/>
  <c r="BC99" i="12" s="1"/>
  <c r="BB100" i="12"/>
  <c r="BC100" i="12" s="1"/>
  <c r="BB101" i="12"/>
  <c r="BC101" i="12" s="1"/>
  <c r="BB102" i="12"/>
  <c r="BC102" i="12" s="1"/>
  <c r="BB103" i="12"/>
  <c r="BB104" i="12"/>
  <c r="BB105" i="12"/>
  <c r="BC105" i="12" s="1"/>
  <c r="BB106" i="12"/>
  <c r="BC106" i="12" s="1"/>
  <c r="BB107" i="12"/>
  <c r="BC107" i="12" s="1"/>
  <c r="BB108" i="12"/>
  <c r="BC108" i="12" s="1"/>
  <c r="BB109" i="12"/>
  <c r="BC109" i="12" s="1"/>
  <c r="BB110" i="12"/>
  <c r="BC110" i="12" s="1"/>
  <c r="BB111" i="12"/>
  <c r="BB112" i="12"/>
  <c r="BB113" i="12"/>
  <c r="BC113" i="12" s="1"/>
  <c r="BB114" i="12"/>
  <c r="BC114" i="12" s="1"/>
  <c r="BB115" i="12"/>
  <c r="BC115" i="12" s="1"/>
  <c r="BB116" i="12"/>
  <c r="BC116" i="12" s="1"/>
  <c r="BB117" i="12"/>
  <c r="BC117" i="12" s="1"/>
  <c r="BB118" i="12"/>
  <c r="BC118" i="12" s="1"/>
  <c r="BB119" i="12"/>
  <c r="BB120" i="12"/>
  <c r="BB121" i="12"/>
  <c r="BC121" i="12" s="1"/>
  <c r="BB122" i="12"/>
  <c r="BC122" i="12" s="1"/>
  <c r="BB123" i="12"/>
  <c r="BC123" i="12" s="1"/>
  <c r="BB124" i="12"/>
  <c r="BC124" i="12" s="1"/>
  <c r="BB125" i="12"/>
  <c r="BC125" i="12" s="1"/>
  <c r="BB126" i="12"/>
  <c r="BC126" i="12" s="1"/>
  <c r="BB127" i="12"/>
  <c r="BB128" i="12"/>
  <c r="BB129" i="12"/>
  <c r="BC129" i="12" s="1"/>
  <c r="BB130" i="12"/>
  <c r="BC130" i="12" s="1"/>
  <c r="BB131" i="12"/>
  <c r="BC131" i="12" s="1"/>
  <c r="BB132" i="12"/>
  <c r="BC132" i="12" s="1"/>
  <c r="BB133" i="12"/>
  <c r="BC133" i="12" s="1"/>
  <c r="BB134" i="12"/>
  <c r="BC134" i="12" s="1"/>
  <c r="BB135" i="12"/>
  <c r="BB136" i="12"/>
  <c r="BB137" i="12"/>
  <c r="BC137" i="12" s="1"/>
  <c r="BB138" i="12"/>
  <c r="BC138" i="12" s="1"/>
  <c r="BB139" i="12"/>
  <c r="BC139" i="12" s="1"/>
  <c r="BB140" i="12"/>
  <c r="BC140" i="12" s="1"/>
  <c r="BB141" i="12"/>
  <c r="BC141" i="12" s="1"/>
  <c r="BB142" i="12"/>
  <c r="BC142" i="12" s="1"/>
  <c r="BB143" i="12"/>
  <c r="BB144" i="12"/>
  <c r="BB145" i="12"/>
  <c r="BC145" i="12" s="1"/>
  <c r="BB146" i="12"/>
  <c r="BC146" i="12" s="1"/>
  <c r="BB147" i="12"/>
  <c r="BC147" i="12" s="1"/>
  <c r="BB148" i="12"/>
  <c r="BC148" i="12" s="1"/>
  <c r="BB149" i="12"/>
  <c r="BC149" i="12" s="1"/>
  <c r="BB150" i="12"/>
  <c r="BC150" i="12" s="1"/>
  <c r="BB151" i="12"/>
  <c r="BB152" i="12"/>
  <c r="BB153" i="12"/>
  <c r="BC153" i="12" s="1"/>
  <c r="BB154" i="12"/>
  <c r="BC154" i="12" s="1"/>
  <c r="BB155" i="12"/>
  <c r="BC155" i="12" s="1"/>
  <c r="BB156" i="12"/>
  <c r="BC156" i="12" s="1"/>
  <c r="BB157" i="12"/>
  <c r="BC157" i="12" s="1"/>
  <c r="BB158" i="12"/>
  <c r="BC158" i="12" s="1"/>
  <c r="BB159" i="12"/>
  <c r="BB160" i="12"/>
  <c r="BB161" i="12"/>
  <c r="BC161" i="12" s="1"/>
  <c r="BB162" i="12"/>
  <c r="BC162" i="12" s="1"/>
  <c r="BB163" i="12"/>
  <c r="BC163" i="12" s="1"/>
  <c r="BB164" i="12"/>
  <c r="BC164" i="12" s="1"/>
  <c r="BB165" i="12"/>
  <c r="BC165" i="12" s="1"/>
  <c r="BB166" i="12"/>
  <c r="BC166" i="12" s="1"/>
  <c r="BB167" i="12"/>
  <c r="BB168" i="12"/>
  <c r="BB169" i="12"/>
  <c r="BC169" i="12" s="1"/>
  <c r="BB170" i="12"/>
  <c r="BC170" i="12" s="1"/>
  <c r="BB171" i="12"/>
  <c r="BC171" i="12" s="1"/>
  <c r="BB172" i="12"/>
  <c r="BC172" i="12" s="1"/>
  <c r="BB173" i="12"/>
  <c r="BC173" i="12" s="1"/>
  <c r="BB174" i="12"/>
  <c r="BC174" i="12" s="1"/>
  <c r="BB175" i="12"/>
  <c r="BB176" i="12"/>
  <c r="BB177" i="12"/>
  <c r="BC177" i="12" s="1"/>
  <c r="BB178" i="12"/>
  <c r="BC178" i="12" s="1"/>
  <c r="BB179" i="12"/>
  <c r="BC179" i="12" s="1"/>
  <c r="BB180" i="12"/>
  <c r="BC180" i="12" s="1"/>
  <c r="BB181" i="12"/>
  <c r="BC181" i="12" s="1"/>
  <c r="BB182" i="12"/>
  <c r="BC182" i="12" s="1"/>
  <c r="BB183" i="12"/>
  <c r="BB184" i="12"/>
  <c r="BB185" i="12"/>
  <c r="BC185" i="12" s="1"/>
  <c r="BB186" i="12"/>
  <c r="BC186" i="12" s="1"/>
  <c r="BB187" i="12"/>
  <c r="BC187" i="12" s="1"/>
  <c r="BB188" i="12"/>
  <c r="BC188" i="12" s="1"/>
  <c r="BB189" i="12"/>
  <c r="BC189" i="12" s="1"/>
  <c r="BB190" i="12"/>
  <c r="BC190" i="12" s="1"/>
  <c r="BB191" i="12"/>
  <c r="BB3" i="12"/>
  <c r="BB4" i="12"/>
  <c r="BC4" i="12" s="1"/>
  <c r="BB5" i="12"/>
  <c r="BB6" i="12"/>
  <c r="BD6" i="12" s="1"/>
  <c r="BB8" i="12"/>
  <c r="BC8" i="12" s="1"/>
  <c r="BB9" i="12"/>
  <c r="BC9" i="12" s="1"/>
  <c r="BB10" i="12"/>
  <c r="BB11" i="12"/>
  <c r="BB12" i="12"/>
  <c r="BB13" i="12"/>
  <c r="BD13" i="12" s="1"/>
  <c r="BB14" i="12"/>
  <c r="BB15" i="12"/>
  <c r="BB16" i="12"/>
  <c r="BC16" i="12" s="1"/>
  <c r="BB17" i="12"/>
  <c r="BB18" i="12"/>
  <c r="BB19" i="12"/>
  <c r="BB20" i="12"/>
  <c r="BC20" i="12" s="1"/>
  <c r="BB21" i="12"/>
  <c r="BD21" i="12" s="1"/>
  <c r="BB22" i="12"/>
  <c r="BB23" i="12"/>
  <c r="BB24" i="12"/>
  <c r="BC24" i="12" s="1"/>
  <c r="BB25" i="12"/>
  <c r="BC25" i="12" s="1"/>
  <c r="BB26" i="12"/>
  <c r="BB2" i="12"/>
  <c r="BA66" i="12"/>
  <c r="BA27" i="12"/>
  <c r="BA28" i="12"/>
  <c r="BA29" i="12"/>
  <c r="BA30" i="12"/>
  <c r="BA31" i="12"/>
  <c r="BA32" i="12"/>
  <c r="BA33" i="12"/>
  <c r="BA34" i="12"/>
  <c r="BA35" i="12"/>
  <c r="BA36" i="12"/>
  <c r="BA37" i="12"/>
  <c r="BA38" i="12"/>
  <c r="BA39" i="12"/>
  <c r="BA40" i="12"/>
  <c r="BA41" i="12"/>
  <c r="BA42" i="12"/>
  <c r="BA43" i="12"/>
  <c r="BA44" i="12"/>
  <c r="BA45" i="12"/>
  <c r="BA46" i="12"/>
  <c r="BA47" i="12"/>
  <c r="BA48" i="12"/>
  <c r="BA49" i="12"/>
  <c r="BA50" i="12"/>
  <c r="BA51" i="12"/>
  <c r="BA52" i="12"/>
  <c r="BA53" i="12"/>
  <c r="BA54" i="12"/>
  <c r="BA55" i="12"/>
  <c r="BA56" i="12"/>
  <c r="BA57" i="12"/>
  <c r="BD58" i="12"/>
  <c r="BA59" i="12"/>
  <c r="BA60" i="12"/>
  <c r="BA61" i="12"/>
  <c r="BA62" i="12"/>
  <c r="BA63" i="12"/>
  <c r="BA64" i="12"/>
  <c r="BA65" i="12"/>
  <c r="BA67" i="12"/>
  <c r="BA68" i="12"/>
  <c r="BA69" i="12"/>
  <c r="BA70" i="12"/>
  <c r="BA71" i="12"/>
  <c r="BA72" i="12"/>
  <c r="BA73" i="12"/>
  <c r="BA74" i="12"/>
  <c r="BA75" i="12"/>
  <c r="BA76" i="12"/>
  <c r="BA77" i="12"/>
  <c r="BA78" i="12"/>
  <c r="BA79" i="12"/>
  <c r="BA80" i="12"/>
  <c r="BA81" i="12"/>
  <c r="BA82" i="12"/>
  <c r="BA83" i="12"/>
  <c r="BA84" i="12"/>
  <c r="BA85" i="12"/>
  <c r="BA86" i="12"/>
  <c r="BA87" i="12"/>
  <c r="BA88" i="12"/>
  <c r="BA89" i="12"/>
  <c r="BA90" i="12"/>
  <c r="BA91" i="12"/>
  <c r="BA92" i="12"/>
  <c r="BA93" i="12"/>
  <c r="BA94" i="12"/>
  <c r="BA95" i="12"/>
  <c r="BA96" i="12"/>
  <c r="BA97" i="12"/>
  <c r="BA98" i="12"/>
  <c r="BA99" i="12"/>
  <c r="BA100" i="12"/>
  <c r="BA101" i="12"/>
  <c r="BA102" i="12"/>
  <c r="BA103" i="12"/>
  <c r="BA104" i="12"/>
  <c r="BA105" i="12"/>
  <c r="BA106" i="12"/>
  <c r="BA107" i="12"/>
  <c r="BA108" i="12"/>
  <c r="BA109" i="12"/>
  <c r="BA110" i="12"/>
  <c r="BA111" i="12"/>
  <c r="BA112" i="12"/>
  <c r="BA113" i="12"/>
  <c r="BA114" i="12"/>
  <c r="BA115" i="12"/>
  <c r="BA116" i="12"/>
  <c r="BA117" i="12"/>
  <c r="BA118" i="12"/>
  <c r="BA119" i="12"/>
  <c r="BA120" i="12"/>
  <c r="BA121" i="12"/>
  <c r="BA122" i="12"/>
  <c r="BA123" i="12"/>
  <c r="BA124" i="12"/>
  <c r="BA125" i="12"/>
  <c r="BA126" i="12"/>
  <c r="BA127" i="12"/>
  <c r="BA128" i="12"/>
  <c r="BA129" i="12"/>
  <c r="BA130" i="12"/>
  <c r="BA131" i="12"/>
  <c r="BA132" i="12"/>
  <c r="BA133" i="12"/>
  <c r="BA134" i="12"/>
  <c r="BA135" i="12"/>
  <c r="BA136" i="12"/>
  <c r="BA137" i="12"/>
  <c r="BA138" i="12"/>
  <c r="BA139" i="12"/>
  <c r="BA140" i="12"/>
  <c r="BA141" i="12"/>
  <c r="BA142" i="12"/>
  <c r="BA143" i="12"/>
  <c r="BA144" i="12"/>
  <c r="BA145" i="12"/>
  <c r="BA146" i="12"/>
  <c r="BA147" i="12"/>
  <c r="BA148" i="12"/>
  <c r="BA149" i="12"/>
  <c r="BA150" i="12"/>
  <c r="BA151" i="12"/>
  <c r="BA152" i="12"/>
  <c r="BA153" i="12"/>
  <c r="BA154" i="12"/>
  <c r="BA155" i="12"/>
  <c r="BA156" i="12"/>
  <c r="BA157" i="12"/>
  <c r="BA158" i="12"/>
  <c r="BA159" i="12"/>
  <c r="BA160" i="12"/>
  <c r="BA161" i="12"/>
  <c r="BA162" i="12"/>
  <c r="BA163" i="12"/>
  <c r="BA164" i="12"/>
  <c r="BA165" i="12"/>
  <c r="BA166" i="12"/>
  <c r="BA167" i="12"/>
  <c r="BA168" i="12"/>
  <c r="BA169" i="12"/>
  <c r="BA170" i="12"/>
  <c r="BA171" i="12"/>
  <c r="BA172" i="12"/>
  <c r="BA173" i="12"/>
  <c r="BA174" i="12"/>
  <c r="BA175" i="12"/>
  <c r="BA176" i="12"/>
  <c r="BA177" i="12"/>
  <c r="BA178" i="12"/>
  <c r="BA179" i="12"/>
  <c r="BA180" i="12"/>
  <c r="BA181" i="12"/>
  <c r="BA182" i="12"/>
  <c r="BA183" i="12"/>
  <c r="BA184" i="12"/>
  <c r="BA185" i="12"/>
  <c r="BA186" i="12"/>
  <c r="BA187" i="12"/>
  <c r="BA188" i="12"/>
  <c r="BA189" i="12"/>
  <c r="BA190" i="12"/>
  <c r="BA191" i="12"/>
  <c r="BA3" i="12"/>
  <c r="BA9" i="12"/>
  <c r="BA10" i="12"/>
  <c r="BA11" i="12"/>
  <c r="BD14" i="12"/>
  <c r="BA17" i="12"/>
  <c r="BA18" i="12"/>
  <c r="BA19" i="12"/>
  <c r="BD22" i="12"/>
  <c r="BA25" i="12"/>
  <c r="BA26" i="12"/>
  <c r="BA2" i="12"/>
  <c r="AW27" i="12"/>
  <c r="AX27" i="12" s="1"/>
  <c r="AW28" i="12"/>
  <c r="AX28" i="12" s="1"/>
  <c r="AW29" i="12"/>
  <c r="AW30" i="12"/>
  <c r="AX30" i="12" s="1"/>
  <c r="AW31" i="12"/>
  <c r="AW32" i="12"/>
  <c r="AX32" i="12" s="1"/>
  <c r="AW33" i="12"/>
  <c r="AX33" i="12" s="1"/>
  <c r="AW34" i="12"/>
  <c r="AX34" i="12" s="1"/>
  <c r="AW35" i="12"/>
  <c r="AX35" i="12" s="1"/>
  <c r="AW36" i="12"/>
  <c r="AX36" i="12" s="1"/>
  <c r="AW37" i="12"/>
  <c r="AW38" i="12"/>
  <c r="AX38" i="12" s="1"/>
  <c r="AW39" i="12"/>
  <c r="AW40" i="12"/>
  <c r="AX40" i="12" s="1"/>
  <c r="AW41" i="12"/>
  <c r="AX41" i="12" s="1"/>
  <c r="AW42" i="12"/>
  <c r="AX42" i="12" s="1"/>
  <c r="AW43" i="12"/>
  <c r="AX43" i="12" s="1"/>
  <c r="AW44" i="12"/>
  <c r="AX44" i="12" s="1"/>
  <c r="AW45" i="12"/>
  <c r="AW46" i="12"/>
  <c r="AX46" i="12" s="1"/>
  <c r="AW47" i="12"/>
  <c r="AW48" i="12"/>
  <c r="AX48" i="12" s="1"/>
  <c r="AW49" i="12"/>
  <c r="AX49" i="12" s="1"/>
  <c r="AW50" i="12"/>
  <c r="AX50" i="12" s="1"/>
  <c r="AW51" i="12"/>
  <c r="AX51" i="12" s="1"/>
  <c r="AW52" i="12"/>
  <c r="AX52" i="12" s="1"/>
  <c r="AW53" i="12"/>
  <c r="AW54" i="12"/>
  <c r="AX54" i="12" s="1"/>
  <c r="AW55" i="12"/>
  <c r="AW56" i="12"/>
  <c r="AX56" i="12" s="1"/>
  <c r="AW57" i="12"/>
  <c r="AX57" i="12" s="1"/>
  <c r="AW58" i="12"/>
  <c r="AX58" i="12" s="1"/>
  <c r="AW59" i="12"/>
  <c r="AX59" i="12" s="1"/>
  <c r="AW60" i="12"/>
  <c r="AX60" i="12" s="1"/>
  <c r="AW61" i="12"/>
  <c r="AW62" i="12"/>
  <c r="AX62" i="12" s="1"/>
  <c r="AW63" i="12"/>
  <c r="AW64" i="12"/>
  <c r="AX64" i="12" s="1"/>
  <c r="AW65" i="12"/>
  <c r="AX65" i="12" s="1"/>
  <c r="AW66" i="12"/>
  <c r="AX66" i="12" s="1"/>
  <c r="AW67" i="12"/>
  <c r="AX67" i="12" s="1"/>
  <c r="AW68" i="12"/>
  <c r="AX68" i="12" s="1"/>
  <c r="AW69" i="12"/>
  <c r="AW70" i="12"/>
  <c r="AX70" i="12" s="1"/>
  <c r="AW71" i="12"/>
  <c r="AW72" i="12"/>
  <c r="AX72" i="12" s="1"/>
  <c r="AW73" i="12"/>
  <c r="AX73" i="12" s="1"/>
  <c r="AW74" i="12"/>
  <c r="AX74" i="12" s="1"/>
  <c r="AW75" i="12"/>
  <c r="AW76" i="12"/>
  <c r="AX76" i="12" s="1"/>
  <c r="AW77" i="12"/>
  <c r="AW78" i="12"/>
  <c r="AX78" i="12" s="1"/>
  <c r="AW79" i="12"/>
  <c r="AW80" i="12"/>
  <c r="AW81" i="12"/>
  <c r="AX81" i="12" s="1"/>
  <c r="AW82" i="12"/>
  <c r="AX82" i="12" s="1"/>
  <c r="AW83" i="12"/>
  <c r="AW84" i="12"/>
  <c r="AX84" i="12" s="1"/>
  <c r="AW85" i="12"/>
  <c r="AW86" i="12"/>
  <c r="AX86" i="12" s="1"/>
  <c r="AW87" i="12"/>
  <c r="AW88" i="12"/>
  <c r="AX88" i="12" s="1"/>
  <c r="AW89" i="12"/>
  <c r="AX89" i="12" s="1"/>
  <c r="AW90" i="12"/>
  <c r="AX90" i="12" s="1"/>
  <c r="AW91" i="12"/>
  <c r="AW92" i="12"/>
  <c r="AX92" i="12" s="1"/>
  <c r="AW93" i="12"/>
  <c r="AW94" i="12"/>
  <c r="AX94" i="12" s="1"/>
  <c r="AW95" i="12"/>
  <c r="AW96" i="12"/>
  <c r="AX96" i="12" s="1"/>
  <c r="AW97" i="12"/>
  <c r="AX97" i="12" s="1"/>
  <c r="AW98" i="12"/>
  <c r="AX98" i="12" s="1"/>
  <c r="AW99" i="12"/>
  <c r="AX99" i="12" s="1"/>
  <c r="AW100" i="12"/>
  <c r="AX100" i="12" s="1"/>
  <c r="AW101" i="12"/>
  <c r="AW102" i="12"/>
  <c r="AX102" i="12" s="1"/>
  <c r="AW103" i="12"/>
  <c r="AW104" i="12"/>
  <c r="AX104" i="12" s="1"/>
  <c r="AW105" i="12"/>
  <c r="AX105" i="12" s="1"/>
  <c r="AW106" i="12"/>
  <c r="AX106" i="12" s="1"/>
  <c r="AW107" i="12"/>
  <c r="AX107" i="12" s="1"/>
  <c r="AW108" i="12"/>
  <c r="AX108" i="12" s="1"/>
  <c r="AW109" i="12"/>
  <c r="AW110" i="12"/>
  <c r="AX110" i="12" s="1"/>
  <c r="AW111" i="12"/>
  <c r="AW112" i="12"/>
  <c r="AX112" i="12" s="1"/>
  <c r="AW113" i="12"/>
  <c r="AX113" i="12" s="1"/>
  <c r="AW114" i="12"/>
  <c r="AX114" i="12" s="1"/>
  <c r="AW115" i="12"/>
  <c r="AX115" i="12" s="1"/>
  <c r="AW116" i="12"/>
  <c r="AX116" i="12" s="1"/>
  <c r="AW117" i="12"/>
  <c r="AW118" i="12"/>
  <c r="AX118" i="12" s="1"/>
  <c r="AW119" i="12"/>
  <c r="AW120" i="12"/>
  <c r="AX120" i="12" s="1"/>
  <c r="AW121" i="12"/>
  <c r="AX121" i="12" s="1"/>
  <c r="AW122" i="12"/>
  <c r="AX122" i="12" s="1"/>
  <c r="AW123" i="12"/>
  <c r="AW124" i="12"/>
  <c r="AX124" i="12" s="1"/>
  <c r="AW125" i="12"/>
  <c r="AW126" i="12"/>
  <c r="AX126" i="12" s="1"/>
  <c r="AW127" i="12"/>
  <c r="AW128" i="12"/>
  <c r="AX128" i="12" s="1"/>
  <c r="AW129" i="12"/>
  <c r="AX129" i="12" s="1"/>
  <c r="AW130" i="12"/>
  <c r="AX130" i="12" s="1"/>
  <c r="AW131" i="12"/>
  <c r="AW132" i="12"/>
  <c r="AX132" i="12" s="1"/>
  <c r="AW133" i="12"/>
  <c r="AW134" i="12"/>
  <c r="AX134" i="12" s="1"/>
  <c r="AW135" i="12"/>
  <c r="AW136" i="12"/>
  <c r="AX136" i="12" s="1"/>
  <c r="AW137" i="12"/>
  <c r="AX137" i="12" s="1"/>
  <c r="AW138" i="12"/>
  <c r="AX138" i="12" s="1"/>
  <c r="AW139" i="12"/>
  <c r="AW140" i="12"/>
  <c r="AX140" i="12" s="1"/>
  <c r="AW141" i="12"/>
  <c r="AW142" i="12"/>
  <c r="AX142" i="12" s="1"/>
  <c r="AW143" i="12"/>
  <c r="AW144" i="12"/>
  <c r="AW145" i="12"/>
  <c r="AX145" i="12" s="1"/>
  <c r="AW146" i="12"/>
  <c r="AX146" i="12" s="1"/>
  <c r="AW147" i="12"/>
  <c r="AX147" i="12" s="1"/>
  <c r="AW148" i="12"/>
  <c r="AX148" i="12" s="1"/>
  <c r="AW149" i="12"/>
  <c r="AW150" i="12"/>
  <c r="AX150" i="12" s="1"/>
  <c r="AW151" i="12"/>
  <c r="AW152" i="12"/>
  <c r="AX152" i="12" s="1"/>
  <c r="AW153" i="12"/>
  <c r="AX153" i="12" s="1"/>
  <c r="AW154" i="12"/>
  <c r="AX154" i="12" s="1"/>
  <c r="AW155" i="12"/>
  <c r="AX155" i="12" s="1"/>
  <c r="AW156" i="12"/>
  <c r="AX156" i="12" s="1"/>
  <c r="AW157" i="12"/>
  <c r="AW158" i="12"/>
  <c r="AX158" i="12" s="1"/>
  <c r="AW159" i="12"/>
  <c r="AW160" i="12"/>
  <c r="AX160" i="12" s="1"/>
  <c r="AW161" i="12"/>
  <c r="AX161" i="12" s="1"/>
  <c r="AW162" i="12"/>
  <c r="AX162" i="12" s="1"/>
  <c r="AW163" i="12"/>
  <c r="AX163" i="12" s="1"/>
  <c r="AW164" i="12"/>
  <c r="AX164" i="12" s="1"/>
  <c r="AW165" i="12"/>
  <c r="AW166" i="12"/>
  <c r="AX166" i="12" s="1"/>
  <c r="AW167" i="12"/>
  <c r="AW168" i="12"/>
  <c r="AX168" i="12" s="1"/>
  <c r="AW169" i="12"/>
  <c r="AX169" i="12" s="1"/>
  <c r="AW170" i="12"/>
  <c r="AX170" i="12" s="1"/>
  <c r="AW171" i="12"/>
  <c r="AX171" i="12" s="1"/>
  <c r="AW172" i="12"/>
  <c r="AX172" i="12" s="1"/>
  <c r="AW173" i="12"/>
  <c r="AW174" i="12"/>
  <c r="AX174" i="12" s="1"/>
  <c r="AW175" i="12"/>
  <c r="AW176" i="12"/>
  <c r="AW177" i="12"/>
  <c r="AX177" i="12" s="1"/>
  <c r="AW178" i="12"/>
  <c r="AX178" i="12" s="1"/>
  <c r="AW179" i="12"/>
  <c r="AW180" i="12"/>
  <c r="AX180" i="12" s="1"/>
  <c r="AW181" i="12"/>
  <c r="AW182" i="12"/>
  <c r="AX182" i="12" s="1"/>
  <c r="AW183" i="12"/>
  <c r="AW184" i="12"/>
  <c r="AX184" i="12" s="1"/>
  <c r="AW185" i="12"/>
  <c r="AX185" i="12" s="1"/>
  <c r="AW186" i="12"/>
  <c r="AX186" i="12" s="1"/>
  <c r="AW187" i="12"/>
  <c r="AW188" i="12"/>
  <c r="AX188" i="12" s="1"/>
  <c r="AW189" i="12"/>
  <c r="AW190" i="12"/>
  <c r="AX190" i="12" s="1"/>
  <c r="AW191" i="12"/>
  <c r="AW3" i="12"/>
  <c r="AX3" i="12" s="1"/>
  <c r="AW4" i="12"/>
  <c r="AW5" i="12"/>
  <c r="AW6" i="12"/>
  <c r="AW8" i="12"/>
  <c r="AW9" i="12"/>
  <c r="AW10" i="12"/>
  <c r="AW11" i="12"/>
  <c r="AW12" i="12"/>
  <c r="AW13" i="12"/>
  <c r="AX13" i="12" s="1"/>
  <c r="AW14" i="12"/>
  <c r="AW15" i="12"/>
  <c r="AW16" i="12"/>
  <c r="AW17" i="12"/>
  <c r="AW18" i="12"/>
  <c r="AW19" i="12"/>
  <c r="AW20" i="12"/>
  <c r="AX20" i="12" s="1"/>
  <c r="AW21" i="12"/>
  <c r="AX21" i="12" s="1"/>
  <c r="AW22" i="12"/>
  <c r="AW23" i="12"/>
  <c r="AW24" i="12"/>
  <c r="AW25" i="12"/>
  <c r="AW26" i="12"/>
  <c r="AW2" i="12"/>
  <c r="AV27" i="12"/>
  <c r="AV28" i="12"/>
  <c r="AV29" i="12"/>
  <c r="AV30" i="12"/>
  <c r="AV31" i="12"/>
  <c r="AV32" i="12"/>
  <c r="AV33" i="12"/>
  <c r="AV35" i="12"/>
  <c r="AV36" i="12"/>
  <c r="AV37" i="12"/>
  <c r="AV38" i="12"/>
  <c r="AV39" i="12"/>
  <c r="AV40" i="12"/>
  <c r="AV41" i="12"/>
  <c r="AV43" i="12"/>
  <c r="AV44" i="12"/>
  <c r="AV45" i="12"/>
  <c r="AV46" i="12"/>
  <c r="AV47" i="12"/>
  <c r="AV48" i="12"/>
  <c r="AV49" i="12"/>
  <c r="AV51" i="12"/>
  <c r="AV52" i="12"/>
  <c r="AV53" i="12"/>
  <c r="AV54" i="12"/>
  <c r="AV55" i="12"/>
  <c r="AV56" i="12"/>
  <c r="AV57" i="12"/>
  <c r="AV59" i="12"/>
  <c r="AV60" i="12"/>
  <c r="AV61" i="12"/>
  <c r="AV62" i="12"/>
  <c r="AV63" i="12"/>
  <c r="AV64" i="12"/>
  <c r="AV65" i="12"/>
  <c r="AV67" i="12"/>
  <c r="AV68" i="12"/>
  <c r="AV69" i="12"/>
  <c r="AV70" i="12"/>
  <c r="AV71" i="12"/>
  <c r="AV72" i="12"/>
  <c r="AV73" i="12"/>
  <c r="AV75" i="12"/>
  <c r="AV76" i="12"/>
  <c r="AV77" i="12"/>
  <c r="AV78" i="12"/>
  <c r="AV79" i="12"/>
  <c r="AV80" i="12"/>
  <c r="AV81" i="12"/>
  <c r="AV83" i="12"/>
  <c r="AV84" i="12"/>
  <c r="AV85" i="12"/>
  <c r="AV86" i="12"/>
  <c r="AV87" i="12"/>
  <c r="AV88" i="12"/>
  <c r="AV89" i="12"/>
  <c r="AV91" i="12"/>
  <c r="AV92" i="12"/>
  <c r="AV93" i="12"/>
  <c r="AV94" i="12"/>
  <c r="AV95" i="12"/>
  <c r="AV96" i="12"/>
  <c r="AV97" i="12"/>
  <c r="AV99" i="12"/>
  <c r="AV100" i="12"/>
  <c r="AV101" i="12"/>
  <c r="AV102" i="12"/>
  <c r="AV103" i="12"/>
  <c r="AV104" i="12"/>
  <c r="AV105" i="12"/>
  <c r="AV107" i="12"/>
  <c r="AV108" i="12"/>
  <c r="AV109" i="12"/>
  <c r="AV110" i="12"/>
  <c r="AV111" i="12"/>
  <c r="AV112" i="12"/>
  <c r="AV113" i="12"/>
  <c r="AV115" i="12"/>
  <c r="AV116" i="12"/>
  <c r="AV117" i="12"/>
  <c r="AV118" i="12"/>
  <c r="AV119" i="12"/>
  <c r="AV120" i="12"/>
  <c r="AV121" i="12"/>
  <c r="AV123" i="12"/>
  <c r="AV124" i="12"/>
  <c r="AV125" i="12"/>
  <c r="AV126" i="12"/>
  <c r="AV127" i="12"/>
  <c r="AV128" i="12"/>
  <c r="AV129" i="12"/>
  <c r="AV131" i="12"/>
  <c r="AV132" i="12"/>
  <c r="AV133" i="12"/>
  <c r="AV134" i="12"/>
  <c r="AV135" i="12"/>
  <c r="AV136" i="12"/>
  <c r="AV137" i="12"/>
  <c r="AV139" i="12"/>
  <c r="AV140" i="12"/>
  <c r="AV141" i="12"/>
  <c r="AV142" i="12"/>
  <c r="AV143" i="12"/>
  <c r="AV144" i="12"/>
  <c r="AV145" i="12"/>
  <c r="AV147" i="12"/>
  <c r="AV148" i="12"/>
  <c r="AV149" i="12"/>
  <c r="AV150" i="12"/>
  <c r="AV151" i="12"/>
  <c r="AV152" i="12"/>
  <c r="AV153" i="12"/>
  <c r="AV155" i="12"/>
  <c r="AV156" i="12"/>
  <c r="AV157" i="12"/>
  <c r="AV158" i="12"/>
  <c r="AV159" i="12"/>
  <c r="AV160" i="12"/>
  <c r="AV161" i="12"/>
  <c r="AV163" i="12"/>
  <c r="AV164" i="12"/>
  <c r="AV165" i="12"/>
  <c r="AV166" i="12"/>
  <c r="AV167" i="12"/>
  <c r="AV168" i="12"/>
  <c r="AV169" i="12"/>
  <c r="AV171" i="12"/>
  <c r="AV172" i="12"/>
  <c r="AV173" i="12"/>
  <c r="AV174" i="12"/>
  <c r="AV175" i="12"/>
  <c r="AV176" i="12"/>
  <c r="AV177" i="12"/>
  <c r="AV179" i="12"/>
  <c r="AV180" i="12"/>
  <c r="AV181" i="12"/>
  <c r="AV182" i="12"/>
  <c r="AV183" i="12"/>
  <c r="AV184" i="12"/>
  <c r="AV185" i="12"/>
  <c r="AV187" i="12"/>
  <c r="AV188" i="12"/>
  <c r="AV189" i="12"/>
  <c r="AV190" i="12"/>
  <c r="AV191" i="12"/>
  <c r="AV8" i="12"/>
  <c r="AV9" i="12"/>
  <c r="AV10" i="12"/>
  <c r="AV16" i="12"/>
  <c r="AV17" i="12"/>
  <c r="AV18" i="12"/>
  <c r="AV24" i="12"/>
  <c r="AV25" i="12"/>
  <c r="AV26" i="12"/>
  <c r="AR27" i="12"/>
  <c r="AS27" i="12" s="1"/>
  <c r="AR28" i="12"/>
  <c r="AS28" i="12" s="1"/>
  <c r="AR29" i="12"/>
  <c r="AS29" i="12" s="1"/>
  <c r="AR30" i="12"/>
  <c r="AR31" i="12"/>
  <c r="AR32" i="12"/>
  <c r="AR33" i="12"/>
  <c r="AS33" i="12" s="1"/>
  <c r="AR34" i="12"/>
  <c r="AS34" i="12" s="1"/>
  <c r="AR35" i="12"/>
  <c r="AS35" i="12" s="1"/>
  <c r="AR36" i="12"/>
  <c r="AS36" i="12" s="1"/>
  <c r="AR37" i="12"/>
  <c r="AS37" i="12" s="1"/>
  <c r="AR38" i="12"/>
  <c r="AR39" i="12"/>
  <c r="AR40" i="12"/>
  <c r="AR41" i="12"/>
  <c r="AS41" i="12" s="1"/>
  <c r="AR42" i="12"/>
  <c r="AS42" i="12" s="1"/>
  <c r="AR43" i="12"/>
  <c r="AS43" i="12" s="1"/>
  <c r="AR44" i="12"/>
  <c r="AS44" i="12" s="1"/>
  <c r="AR45" i="12"/>
  <c r="AS45" i="12" s="1"/>
  <c r="AR46" i="12"/>
  <c r="AR47" i="12"/>
  <c r="AR48" i="12"/>
  <c r="AR49" i="12"/>
  <c r="AS49" i="12" s="1"/>
  <c r="AR50" i="12"/>
  <c r="AS50" i="12" s="1"/>
  <c r="AR51" i="12"/>
  <c r="AS51" i="12" s="1"/>
  <c r="AR52" i="12"/>
  <c r="AS52" i="12" s="1"/>
  <c r="AR53" i="12"/>
  <c r="AS53" i="12" s="1"/>
  <c r="AR54" i="12"/>
  <c r="AR55" i="12"/>
  <c r="AR56" i="12"/>
  <c r="AR57" i="12"/>
  <c r="AS57" i="12" s="1"/>
  <c r="AR58" i="12"/>
  <c r="AS58" i="12" s="1"/>
  <c r="AR59" i="12"/>
  <c r="AS59" i="12" s="1"/>
  <c r="AR60" i="12"/>
  <c r="AS60" i="12" s="1"/>
  <c r="AR61" i="12"/>
  <c r="AS61" i="12" s="1"/>
  <c r="AR62" i="12"/>
  <c r="AR63" i="12"/>
  <c r="AR64" i="12"/>
  <c r="AR65" i="12"/>
  <c r="AS65" i="12" s="1"/>
  <c r="AR66" i="12"/>
  <c r="AS66" i="12" s="1"/>
  <c r="AR67" i="12"/>
  <c r="AS67" i="12" s="1"/>
  <c r="AR68" i="12"/>
  <c r="AS68" i="12" s="1"/>
  <c r="AR69" i="12"/>
  <c r="AS69" i="12" s="1"/>
  <c r="AR70" i="12"/>
  <c r="AR71" i="12"/>
  <c r="AR72" i="12"/>
  <c r="AR73" i="12"/>
  <c r="AS73" i="12" s="1"/>
  <c r="AR74" i="12"/>
  <c r="AS74" i="12" s="1"/>
  <c r="AR75" i="12"/>
  <c r="AS75" i="12" s="1"/>
  <c r="AR76" i="12"/>
  <c r="AS76" i="12" s="1"/>
  <c r="AR77" i="12"/>
  <c r="AS77" i="12" s="1"/>
  <c r="AR78" i="12"/>
  <c r="AR79" i="12"/>
  <c r="AR80" i="12"/>
  <c r="AR81" i="12"/>
  <c r="AS81" i="12" s="1"/>
  <c r="AR82" i="12"/>
  <c r="AS82" i="12" s="1"/>
  <c r="AR83" i="12"/>
  <c r="AS83" i="12" s="1"/>
  <c r="AR84" i="12"/>
  <c r="AS84" i="12" s="1"/>
  <c r="AR85" i="12"/>
  <c r="AS85" i="12" s="1"/>
  <c r="AR86" i="12"/>
  <c r="AR87" i="12"/>
  <c r="AR88" i="12"/>
  <c r="AR89" i="12"/>
  <c r="AS89" i="12" s="1"/>
  <c r="AR90" i="12"/>
  <c r="AS90" i="12" s="1"/>
  <c r="AR91" i="12"/>
  <c r="AS91" i="12" s="1"/>
  <c r="AR92" i="12"/>
  <c r="AS92" i="12" s="1"/>
  <c r="AR93" i="12"/>
  <c r="AS93" i="12" s="1"/>
  <c r="AR94" i="12"/>
  <c r="AR95" i="12"/>
  <c r="AR96" i="12"/>
  <c r="AR97" i="12"/>
  <c r="AS97" i="12" s="1"/>
  <c r="AR98" i="12"/>
  <c r="AS98" i="12" s="1"/>
  <c r="AR99" i="12"/>
  <c r="AS99" i="12" s="1"/>
  <c r="AR100" i="12"/>
  <c r="AS100" i="12" s="1"/>
  <c r="AR101" i="12"/>
  <c r="AS101" i="12" s="1"/>
  <c r="AR102" i="12"/>
  <c r="AR103" i="12"/>
  <c r="AR104" i="12"/>
  <c r="AR105" i="12"/>
  <c r="AS105" i="12" s="1"/>
  <c r="AR106" i="12"/>
  <c r="AS106" i="12" s="1"/>
  <c r="AR107" i="12"/>
  <c r="AS107" i="12" s="1"/>
  <c r="AR108" i="12"/>
  <c r="AS108" i="12" s="1"/>
  <c r="AR109" i="12"/>
  <c r="AS109" i="12" s="1"/>
  <c r="AR110" i="12"/>
  <c r="AR111" i="12"/>
  <c r="AR112" i="12"/>
  <c r="AR113" i="12"/>
  <c r="AS113" i="12" s="1"/>
  <c r="AR114" i="12"/>
  <c r="AS114" i="12" s="1"/>
  <c r="AR115" i="12"/>
  <c r="AS115" i="12" s="1"/>
  <c r="AR116" i="12"/>
  <c r="AS116" i="12" s="1"/>
  <c r="AR117" i="12"/>
  <c r="AS117" i="12" s="1"/>
  <c r="AR118" i="12"/>
  <c r="AR119" i="12"/>
  <c r="AR120" i="12"/>
  <c r="AR121" i="12"/>
  <c r="AS121" i="12" s="1"/>
  <c r="AR122" i="12"/>
  <c r="AS122" i="12" s="1"/>
  <c r="AR123" i="12"/>
  <c r="AS123" i="12" s="1"/>
  <c r="AR124" i="12"/>
  <c r="AS124" i="12" s="1"/>
  <c r="AR125" i="12"/>
  <c r="AS125" i="12" s="1"/>
  <c r="AR126" i="12"/>
  <c r="AR127" i="12"/>
  <c r="AR128" i="12"/>
  <c r="AR129" i="12"/>
  <c r="AS129" i="12" s="1"/>
  <c r="AR130" i="12"/>
  <c r="AS130" i="12" s="1"/>
  <c r="AR131" i="12"/>
  <c r="AS131" i="12" s="1"/>
  <c r="AR132" i="12"/>
  <c r="AS132" i="12" s="1"/>
  <c r="AR133" i="12"/>
  <c r="AS133" i="12" s="1"/>
  <c r="AR134" i="12"/>
  <c r="AR135" i="12"/>
  <c r="AR136" i="12"/>
  <c r="AR137" i="12"/>
  <c r="AS137" i="12" s="1"/>
  <c r="AR138" i="12"/>
  <c r="AS138" i="12" s="1"/>
  <c r="AR139" i="12"/>
  <c r="AS139" i="12" s="1"/>
  <c r="AR140" i="12"/>
  <c r="AS140" i="12" s="1"/>
  <c r="AR141" i="12"/>
  <c r="AS141" i="12" s="1"/>
  <c r="AR142" i="12"/>
  <c r="AR143" i="12"/>
  <c r="AR144" i="12"/>
  <c r="AR145" i="12"/>
  <c r="AS145" i="12" s="1"/>
  <c r="AR146" i="12"/>
  <c r="AR147" i="12"/>
  <c r="AS147" i="12" s="1"/>
  <c r="AR148" i="12"/>
  <c r="AS148" i="12" s="1"/>
  <c r="AR149" i="12"/>
  <c r="AS149" i="12" s="1"/>
  <c r="AR150" i="12"/>
  <c r="AR151" i="12"/>
  <c r="AR152" i="12"/>
  <c r="AR153" i="12"/>
  <c r="AS153" i="12" s="1"/>
  <c r="AR154" i="12"/>
  <c r="AS154" i="12" s="1"/>
  <c r="AR155" i="12"/>
  <c r="AS155" i="12" s="1"/>
  <c r="AR156" i="12"/>
  <c r="AS156" i="12" s="1"/>
  <c r="AR157" i="12"/>
  <c r="AS157" i="12" s="1"/>
  <c r="AR158" i="12"/>
  <c r="AR159" i="12"/>
  <c r="AR160" i="12"/>
  <c r="AR161" i="12"/>
  <c r="AS161" i="12" s="1"/>
  <c r="AR162" i="12"/>
  <c r="AS162" i="12" s="1"/>
  <c r="AR163" i="12"/>
  <c r="AS163" i="12" s="1"/>
  <c r="AR164" i="12"/>
  <c r="AS164" i="12" s="1"/>
  <c r="AR165" i="12"/>
  <c r="AS165" i="12" s="1"/>
  <c r="AR166" i="12"/>
  <c r="AR167" i="12"/>
  <c r="AR168" i="12"/>
  <c r="AR169" i="12"/>
  <c r="AS169" i="12" s="1"/>
  <c r="AR170" i="12"/>
  <c r="AS170" i="12" s="1"/>
  <c r="AR171" i="12"/>
  <c r="AS171" i="12" s="1"/>
  <c r="AR172" i="12"/>
  <c r="AS172" i="12" s="1"/>
  <c r="AR173" i="12"/>
  <c r="AS173" i="12" s="1"/>
  <c r="AR174" i="12"/>
  <c r="AR175" i="12"/>
  <c r="AR176" i="12"/>
  <c r="AR177" i="12"/>
  <c r="AS177" i="12" s="1"/>
  <c r="AR178" i="12"/>
  <c r="AS178" i="12" s="1"/>
  <c r="AR179" i="12"/>
  <c r="AS179" i="12" s="1"/>
  <c r="AR180" i="12"/>
  <c r="AS180" i="12" s="1"/>
  <c r="AR181" i="12"/>
  <c r="AS181" i="12" s="1"/>
  <c r="AR182" i="12"/>
  <c r="AR183" i="12"/>
  <c r="AR184" i="12"/>
  <c r="AR185" i="12"/>
  <c r="AS185" i="12" s="1"/>
  <c r="AR186" i="12"/>
  <c r="AS186" i="12" s="1"/>
  <c r="AR187" i="12"/>
  <c r="AS187" i="12" s="1"/>
  <c r="AR188" i="12"/>
  <c r="AS188" i="12" s="1"/>
  <c r="AR189" i="12"/>
  <c r="AS189" i="12" s="1"/>
  <c r="AR190" i="12"/>
  <c r="AR191" i="12"/>
  <c r="AR3" i="12"/>
  <c r="AR4" i="12"/>
  <c r="AR5" i="12"/>
  <c r="AR6" i="12"/>
  <c r="AT6" i="12" s="1"/>
  <c r="AR8" i="12"/>
  <c r="AS8" i="12" s="1"/>
  <c r="AR9" i="12"/>
  <c r="AR10" i="12"/>
  <c r="AR11" i="12"/>
  <c r="AR12" i="12"/>
  <c r="AS12" i="12" s="1"/>
  <c r="AR13" i="12"/>
  <c r="AT13" i="12" s="1"/>
  <c r="AR14" i="12"/>
  <c r="AR15" i="12"/>
  <c r="AR16" i="12"/>
  <c r="AS16" i="12" s="1"/>
  <c r="AR17" i="12"/>
  <c r="AR18" i="12"/>
  <c r="AR19" i="12"/>
  <c r="AR20" i="12"/>
  <c r="AR21" i="12"/>
  <c r="AR22" i="12"/>
  <c r="AR23" i="12"/>
  <c r="AR24" i="12"/>
  <c r="AS24" i="12" s="1"/>
  <c r="AR25" i="12"/>
  <c r="AR26" i="12"/>
  <c r="AR2" i="12"/>
  <c r="AS2" i="12" s="1"/>
  <c r="AQ28" i="12"/>
  <c r="AQ29" i="12"/>
  <c r="AQ30" i="12"/>
  <c r="AQ31" i="12"/>
  <c r="AQ32" i="12"/>
  <c r="AT34" i="12"/>
  <c r="AQ35" i="12"/>
  <c r="AQ36" i="12"/>
  <c r="AQ37" i="12"/>
  <c r="AQ38" i="12"/>
  <c r="AQ39" i="12"/>
  <c r="AQ40" i="12"/>
  <c r="AQ41" i="12"/>
  <c r="AT42" i="12"/>
  <c r="AQ43" i="12"/>
  <c r="AQ44" i="12"/>
  <c r="AQ45" i="12"/>
  <c r="AQ46" i="12"/>
  <c r="AQ47" i="12"/>
  <c r="AQ48" i="12"/>
  <c r="AQ49" i="12"/>
  <c r="AQ50" i="12"/>
  <c r="AQ51" i="12"/>
  <c r="AQ52" i="12"/>
  <c r="AQ53" i="12"/>
  <c r="AQ54" i="12"/>
  <c r="AQ55" i="12"/>
  <c r="AQ56" i="12"/>
  <c r="AT58" i="12"/>
  <c r="AQ59" i="12"/>
  <c r="AQ60" i="12"/>
  <c r="AQ61" i="12"/>
  <c r="AQ62" i="12"/>
  <c r="AQ63" i="12"/>
  <c r="AQ64" i="12"/>
  <c r="AT66" i="12"/>
  <c r="AQ67" i="12"/>
  <c r="AQ68" i="12"/>
  <c r="AQ69" i="12"/>
  <c r="AQ70" i="12"/>
  <c r="AQ71" i="12"/>
  <c r="AQ72" i="12"/>
  <c r="AT74" i="12"/>
  <c r="AQ75" i="12"/>
  <c r="AQ76" i="12"/>
  <c r="AQ77" i="12"/>
  <c r="AQ78" i="12"/>
  <c r="AQ79" i="12"/>
  <c r="AQ80" i="12"/>
  <c r="AQ82" i="12"/>
  <c r="AQ83" i="12"/>
  <c r="AQ84" i="12"/>
  <c r="AQ85" i="12"/>
  <c r="AQ86" i="12"/>
  <c r="AQ87" i="12"/>
  <c r="AQ88" i="12"/>
  <c r="AQ89" i="12"/>
  <c r="AT90" i="12"/>
  <c r="AQ91" i="12"/>
  <c r="AQ92" i="12"/>
  <c r="AQ93" i="12"/>
  <c r="AQ94" i="12"/>
  <c r="AQ95" i="12"/>
  <c r="AQ96" i="12"/>
  <c r="AT98" i="12"/>
  <c r="AQ99" i="12"/>
  <c r="AQ100" i="12"/>
  <c r="AQ101" i="12"/>
  <c r="AQ102" i="12"/>
  <c r="AQ103" i="12"/>
  <c r="AQ104" i="12"/>
  <c r="AQ105" i="12"/>
  <c r="AT106" i="12"/>
  <c r="AQ107" i="12"/>
  <c r="AQ108" i="12"/>
  <c r="AQ109" i="12"/>
  <c r="AQ110" i="12"/>
  <c r="AQ111" i="12"/>
  <c r="AQ112" i="12"/>
  <c r="AQ113" i="12"/>
  <c r="AQ114" i="12"/>
  <c r="AQ115" i="12"/>
  <c r="AQ116" i="12"/>
  <c r="AQ117" i="12"/>
  <c r="AQ118" i="12"/>
  <c r="AQ119" i="12"/>
  <c r="AQ120" i="12"/>
  <c r="AT122" i="12"/>
  <c r="AQ123" i="12"/>
  <c r="AQ124" i="12"/>
  <c r="AQ125" i="12"/>
  <c r="AQ126" i="12"/>
  <c r="AQ127" i="12"/>
  <c r="AQ128" i="12"/>
  <c r="AT130" i="12"/>
  <c r="AQ131" i="12"/>
  <c r="AQ132" i="12"/>
  <c r="AQ133" i="12"/>
  <c r="AQ134" i="12"/>
  <c r="AQ135" i="12"/>
  <c r="AQ136" i="12"/>
  <c r="AT138" i="12"/>
  <c r="AQ139" i="12"/>
  <c r="AQ140" i="12"/>
  <c r="AQ141" i="12"/>
  <c r="AQ142" i="12"/>
  <c r="AQ143" i="12"/>
  <c r="AQ144" i="12"/>
  <c r="AQ146" i="12"/>
  <c r="AQ147" i="12"/>
  <c r="AQ148" i="12"/>
  <c r="AQ149" i="12"/>
  <c r="AQ150" i="12"/>
  <c r="AQ151" i="12"/>
  <c r="AQ152" i="12"/>
  <c r="AQ153" i="12"/>
  <c r="AT154" i="12"/>
  <c r="AQ155" i="12"/>
  <c r="AQ156" i="12"/>
  <c r="AQ157" i="12"/>
  <c r="AQ158" i="12"/>
  <c r="AQ159" i="12"/>
  <c r="AQ160" i="12"/>
  <c r="AT162" i="12"/>
  <c r="AQ163" i="12"/>
  <c r="AQ164" i="12"/>
  <c r="AQ165" i="12"/>
  <c r="AQ166" i="12"/>
  <c r="AQ167" i="12"/>
  <c r="AQ168" i="12"/>
  <c r="AQ169" i="12"/>
  <c r="AT170" i="12"/>
  <c r="AQ171" i="12"/>
  <c r="AQ172" i="12"/>
  <c r="AQ173" i="12"/>
  <c r="AQ174" i="12"/>
  <c r="AQ175" i="12"/>
  <c r="AQ176" i="12"/>
  <c r="AQ178" i="12"/>
  <c r="AQ179" i="12"/>
  <c r="AQ180" i="12"/>
  <c r="AQ181" i="12"/>
  <c r="AQ182" i="12"/>
  <c r="AQ183" i="12"/>
  <c r="AQ184" i="12"/>
  <c r="AT186" i="12"/>
  <c r="AQ187" i="12"/>
  <c r="AQ188" i="12"/>
  <c r="AQ189" i="12"/>
  <c r="AQ190" i="12"/>
  <c r="AQ191" i="12"/>
  <c r="AQ3" i="12"/>
  <c r="AT5" i="12"/>
  <c r="AQ9" i="12"/>
  <c r="AQ10" i="12"/>
  <c r="AQ11" i="12"/>
  <c r="AT14" i="12"/>
  <c r="AQ15" i="12"/>
  <c r="AQ17" i="12"/>
  <c r="AQ18" i="12"/>
  <c r="AQ19" i="12"/>
  <c r="AT22" i="12"/>
  <c r="AQ23" i="12"/>
  <c r="AQ25" i="12"/>
  <c r="AQ26" i="12"/>
  <c r="AQ2" i="12"/>
  <c r="AM27" i="12"/>
  <c r="AM28" i="12"/>
  <c r="AN28" i="12" s="1"/>
  <c r="AM29" i="12"/>
  <c r="AM30" i="12"/>
  <c r="AN30" i="12" s="1"/>
  <c r="AM31" i="12"/>
  <c r="AM32" i="12"/>
  <c r="AN32" i="12" s="1"/>
  <c r="AM33" i="12"/>
  <c r="AN33" i="12" s="1"/>
  <c r="AM34" i="12"/>
  <c r="AN34" i="12" s="1"/>
  <c r="AM35" i="12"/>
  <c r="AN35" i="12" s="1"/>
  <c r="AM36" i="12"/>
  <c r="AN36" i="12" s="1"/>
  <c r="AM37" i="12"/>
  <c r="AM38" i="12"/>
  <c r="AN38" i="12" s="1"/>
  <c r="AM39" i="12"/>
  <c r="AM40" i="12"/>
  <c r="AN40" i="12" s="1"/>
  <c r="AM41" i="12"/>
  <c r="AN41" i="12" s="1"/>
  <c r="AM42" i="12"/>
  <c r="AN42" i="12" s="1"/>
  <c r="AM43" i="12"/>
  <c r="AN43" i="12" s="1"/>
  <c r="AM44" i="12"/>
  <c r="AN44" i="12" s="1"/>
  <c r="AM45" i="12"/>
  <c r="AM46" i="12"/>
  <c r="AN46" i="12" s="1"/>
  <c r="AM47" i="12"/>
  <c r="AM48" i="12"/>
  <c r="AN48" i="12" s="1"/>
  <c r="AM49" i="12"/>
  <c r="AN49" i="12" s="1"/>
  <c r="AM50" i="12"/>
  <c r="AN50" i="12" s="1"/>
  <c r="AM51" i="12"/>
  <c r="AN51" i="12" s="1"/>
  <c r="AM52" i="12"/>
  <c r="AN52" i="12" s="1"/>
  <c r="AM53" i="12"/>
  <c r="AM54" i="12"/>
  <c r="AN54" i="12" s="1"/>
  <c r="AM55" i="12"/>
  <c r="AM56" i="12"/>
  <c r="AN56" i="12" s="1"/>
  <c r="AM57" i="12"/>
  <c r="AN57" i="12" s="1"/>
  <c r="AM58" i="12"/>
  <c r="AN58" i="12" s="1"/>
  <c r="AM59" i="12"/>
  <c r="AN59" i="12" s="1"/>
  <c r="AM60" i="12"/>
  <c r="AN60" i="12" s="1"/>
  <c r="AM61" i="12"/>
  <c r="AM62" i="12"/>
  <c r="AN62" i="12" s="1"/>
  <c r="AM63" i="12"/>
  <c r="AM64" i="12"/>
  <c r="AN64" i="12" s="1"/>
  <c r="AM65" i="12"/>
  <c r="AN65" i="12" s="1"/>
  <c r="AM66" i="12"/>
  <c r="AN66" i="12" s="1"/>
  <c r="AM67" i="12"/>
  <c r="AN67" i="12" s="1"/>
  <c r="AM68" i="12"/>
  <c r="AN68" i="12" s="1"/>
  <c r="AM69" i="12"/>
  <c r="AN69" i="12" s="1"/>
  <c r="AM70" i="12"/>
  <c r="AN70" i="12" s="1"/>
  <c r="AM71" i="12"/>
  <c r="AM72" i="12"/>
  <c r="AN72" i="12" s="1"/>
  <c r="AM73" i="12"/>
  <c r="AN73" i="12" s="1"/>
  <c r="AM74" i="12"/>
  <c r="AN74" i="12" s="1"/>
  <c r="AM75" i="12"/>
  <c r="AN75" i="12" s="1"/>
  <c r="AM76" i="12"/>
  <c r="AN76" i="12" s="1"/>
  <c r="AM77" i="12"/>
  <c r="AM78" i="12"/>
  <c r="AN78" i="12" s="1"/>
  <c r="AM79" i="12"/>
  <c r="AM80" i="12"/>
  <c r="AN80" i="12" s="1"/>
  <c r="AM81" i="12"/>
  <c r="AN81" i="12" s="1"/>
  <c r="AM82" i="12"/>
  <c r="AN82" i="12" s="1"/>
  <c r="AM83" i="12"/>
  <c r="AN83" i="12" s="1"/>
  <c r="AM84" i="12"/>
  <c r="AN84" i="12" s="1"/>
  <c r="AM85" i="12"/>
  <c r="AN85" i="12" s="1"/>
  <c r="AM86" i="12"/>
  <c r="AN86" i="12" s="1"/>
  <c r="AM87" i="12"/>
  <c r="AM88" i="12"/>
  <c r="AN88" i="12" s="1"/>
  <c r="AM89" i="12"/>
  <c r="AN89" i="12" s="1"/>
  <c r="AM90" i="12"/>
  <c r="AN90" i="12" s="1"/>
  <c r="AM91" i="12"/>
  <c r="AN91" i="12" s="1"/>
  <c r="AM92" i="12"/>
  <c r="AN92" i="12" s="1"/>
  <c r="AM93" i="12"/>
  <c r="AM94" i="12"/>
  <c r="AN94" i="12" s="1"/>
  <c r="AM95" i="12"/>
  <c r="AM96" i="12"/>
  <c r="AN96" i="12" s="1"/>
  <c r="AM97" i="12"/>
  <c r="AN97" i="12" s="1"/>
  <c r="AM98" i="12"/>
  <c r="AN98" i="12" s="1"/>
  <c r="AM99" i="12"/>
  <c r="AN99" i="12" s="1"/>
  <c r="AM100" i="12"/>
  <c r="AN100" i="12" s="1"/>
  <c r="AM101" i="12"/>
  <c r="AN101" i="12" s="1"/>
  <c r="AM102" i="12"/>
  <c r="AN102" i="12" s="1"/>
  <c r="AM103" i="12"/>
  <c r="AM104" i="12"/>
  <c r="AN104" i="12" s="1"/>
  <c r="AM105" i="12"/>
  <c r="AN105" i="12" s="1"/>
  <c r="AM106" i="12"/>
  <c r="AN106" i="12" s="1"/>
  <c r="AM107" i="12"/>
  <c r="AN107" i="12" s="1"/>
  <c r="AM108" i="12"/>
  <c r="AN108" i="12" s="1"/>
  <c r="AM109" i="12"/>
  <c r="AM110" i="12"/>
  <c r="AN110" i="12" s="1"/>
  <c r="AM111" i="12"/>
  <c r="AM112" i="12"/>
  <c r="AN112" i="12" s="1"/>
  <c r="AM113" i="12"/>
  <c r="AN113" i="12" s="1"/>
  <c r="AM114" i="12"/>
  <c r="AN114" i="12" s="1"/>
  <c r="AM115" i="12"/>
  <c r="AN115" i="12" s="1"/>
  <c r="AM116" i="12"/>
  <c r="AN116" i="12" s="1"/>
  <c r="AM117" i="12"/>
  <c r="AN117" i="12" s="1"/>
  <c r="AM118" i="12"/>
  <c r="AN118" i="12" s="1"/>
  <c r="AM119" i="12"/>
  <c r="AM120" i="12"/>
  <c r="AN120" i="12" s="1"/>
  <c r="AM121" i="12"/>
  <c r="AN121" i="12" s="1"/>
  <c r="AM122" i="12"/>
  <c r="AN122" i="12" s="1"/>
  <c r="AM123" i="12"/>
  <c r="AN123" i="12" s="1"/>
  <c r="AM124" i="12"/>
  <c r="AN124" i="12" s="1"/>
  <c r="AM125" i="12"/>
  <c r="AM126" i="12"/>
  <c r="AN126" i="12" s="1"/>
  <c r="AM127" i="12"/>
  <c r="AM128" i="12"/>
  <c r="AN128" i="12" s="1"/>
  <c r="AM129" i="12"/>
  <c r="AN129" i="12" s="1"/>
  <c r="AM130" i="12"/>
  <c r="AN130" i="12" s="1"/>
  <c r="AM131" i="12"/>
  <c r="AN131" i="12" s="1"/>
  <c r="AM132" i="12"/>
  <c r="AN132" i="12" s="1"/>
  <c r="AM133" i="12"/>
  <c r="AN133" i="12" s="1"/>
  <c r="AM134" i="12"/>
  <c r="AN134" i="12" s="1"/>
  <c r="AM135" i="12"/>
  <c r="AM136" i="12"/>
  <c r="AN136" i="12" s="1"/>
  <c r="AM137" i="12"/>
  <c r="AN137" i="12" s="1"/>
  <c r="AM138" i="12"/>
  <c r="AN138" i="12" s="1"/>
  <c r="AM139" i="12"/>
  <c r="AN139" i="12" s="1"/>
  <c r="AM140" i="12"/>
  <c r="AN140" i="12" s="1"/>
  <c r="AM141" i="12"/>
  <c r="AM142" i="12"/>
  <c r="AN142" i="12" s="1"/>
  <c r="AM143" i="12"/>
  <c r="AM144" i="12"/>
  <c r="AN144" i="12" s="1"/>
  <c r="AM145" i="12"/>
  <c r="AN145" i="12" s="1"/>
  <c r="AM146" i="12"/>
  <c r="AN146" i="12" s="1"/>
  <c r="AM147" i="12"/>
  <c r="AN147" i="12" s="1"/>
  <c r="AM148" i="12"/>
  <c r="AN148" i="12" s="1"/>
  <c r="AM149" i="12"/>
  <c r="AN149" i="12" s="1"/>
  <c r="AM150" i="12"/>
  <c r="AN150" i="12" s="1"/>
  <c r="AM151" i="12"/>
  <c r="AM152" i="12"/>
  <c r="AN152" i="12" s="1"/>
  <c r="AM153" i="12"/>
  <c r="AN153" i="12" s="1"/>
  <c r="AM154" i="12"/>
  <c r="AN154" i="12" s="1"/>
  <c r="AM155" i="12"/>
  <c r="AM156" i="12"/>
  <c r="AN156" i="12" s="1"/>
  <c r="AM157" i="12"/>
  <c r="AM158" i="12"/>
  <c r="AN158" i="12" s="1"/>
  <c r="AM159" i="12"/>
  <c r="AM160" i="12"/>
  <c r="AN160" i="12" s="1"/>
  <c r="AM161" i="12"/>
  <c r="AN161" i="12" s="1"/>
  <c r="AM162" i="12"/>
  <c r="AN162" i="12" s="1"/>
  <c r="AM163" i="12"/>
  <c r="AN163" i="12" s="1"/>
  <c r="AM164" i="12"/>
  <c r="AN164" i="12" s="1"/>
  <c r="AM165" i="12"/>
  <c r="AN165" i="12" s="1"/>
  <c r="AM166" i="12"/>
  <c r="AN166" i="12" s="1"/>
  <c r="AM167" i="12"/>
  <c r="AM168" i="12"/>
  <c r="AN168" i="12" s="1"/>
  <c r="AM169" i="12"/>
  <c r="AN169" i="12" s="1"/>
  <c r="AM170" i="12"/>
  <c r="AN170" i="12" s="1"/>
  <c r="AM171" i="12"/>
  <c r="AN171" i="12" s="1"/>
  <c r="AM172" i="12"/>
  <c r="AN172" i="12" s="1"/>
  <c r="AM173" i="12"/>
  <c r="AM174" i="12"/>
  <c r="AN174" i="12" s="1"/>
  <c r="AM175" i="12"/>
  <c r="AM176" i="12"/>
  <c r="AN176" i="12" s="1"/>
  <c r="AM177" i="12"/>
  <c r="AN177" i="12" s="1"/>
  <c r="AM178" i="12"/>
  <c r="AN178" i="12" s="1"/>
  <c r="AM179" i="12"/>
  <c r="AN179" i="12" s="1"/>
  <c r="AM180" i="12"/>
  <c r="AN180" i="12" s="1"/>
  <c r="AM181" i="12"/>
  <c r="AN181" i="12" s="1"/>
  <c r="AM182" i="12"/>
  <c r="AN182" i="12" s="1"/>
  <c r="AM183" i="12"/>
  <c r="AM184" i="12"/>
  <c r="AN184" i="12" s="1"/>
  <c r="AM185" i="12"/>
  <c r="AN185" i="12" s="1"/>
  <c r="AM186" i="12"/>
  <c r="AN186" i="12" s="1"/>
  <c r="AM187" i="12"/>
  <c r="AN187" i="12" s="1"/>
  <c r="AM188" i="12"/>
  <c r="AN188" i="12" s="1"/>
  <c r="AM189" i="12"/>
  <c r="AM190" i="12"/>
  <c r="AN190" i="12" s="1"/>
  <c r="AM191" i="12"/>
  <c r="AM3" i="12"/>
  <c r="AM4" i="12"/>
  <c r="AM5" i="12"/>
  <c r="AM6" i="12"/>
  <c r="AM8" i="12"/>
  <c r="AN8" i="12" s="1"/>
  <c r="AM9" i="12"/>
  <c r="AN9" i="12" s="1"/>
  <c r="AM10" i="12"/>
  <c r="AM11" i="12"/>
  <c r="AM12" i="12"/>
  <c r="AN12" i="12" s="1"/>
  <c r="AM13" i="12"/>
  <c r="AN13" i="12" s="1"/>
  <c r="AM14" i="12"/>
  <c r="AM15" i="12"/>
  <c r="AM16" i="12"/>
  <c r="AM17" i="12"/>
  <c r="AM18" i="12"/>
  <c r="AM19" i="12"/>
  <c r="AM20" i="12"/>
  <c r="AN20" i="12" s="1"/>
  <c r="AM21" i="12"/>
  <c r="AM22" i="12"/>
  <c r="AM23" i="12"/>
  <c r="AM24" i="12"/>
  <c r="AM25" i="12"/>
  <c r="AM26" i="12"/>
  <c r="AM2" i="12"/>
  <c r="AL27" i="12"/>
  <c r="AL28" i="12"/>
  <c r="AL29" i="12"/>
  <c r="AL30" i="12"/>
  <c r="AL31" i="12"/>
  <c r="AL32" i="12"/>
  <c r="AL33" i="12"/>
  <c r="AL35" i="12"/>
  <c r="AL36" i="12"/>
  <c r="AL37" i="12"/>
  <c r="AL38" i="12"/>
  <c r="AL39" i="12"/>
  <c r="AL40" i="12"/>
  <c r="AL41" i="12"/>
  <c r="AL43" i="12"/>
  <c r="AL44" i="12"/>
  <c r="AL45" i="12"/>
  <c r="AL46" i="12"/>
  <c r="AL47" i="12"/>
  <c r="AL48" i="12"/>
  <c r="AL49" i="12"/>
  <c r="AL50" i="12"/>
  <c r="AL51" i="12"/>
  <c r="AL52" i="12"/>
  <c r="AL53" i="12"/>
  <c r="AL54" i="12"/>
  <c r="AL55" i="12"/>
  <c r="AL56" i="12"/>
  <c r="AL57" i="12"/>
  <c r="AL59" i="12"/>
  <c r="AL60" i="12"/>
  <c r="AL61" i="12"/>
  <c r="AL62" i="12"/>
  <c r="AL63" i="12"/>
  <c r="AL64" i="12"/>
  <c r="AL65" i="12"/>
  <c r="AL66" i="12"/>
  <c r="AL67" i="12"/>
  <c r="AL68" i="12"/>
  <c r="AL69" i="12"/>
  <c r="AL70" i="12"/>
  <c r="AL71" i="12"/>
  <c r="AL72" i="12"/>
  <c r="AL73" i="12"/>
  <c r="AL75" i="12"/>
  <c r="AL76" i="12"/>
  <c r="AL77" i="12"/>
  <c r="AL78" i="12"/>
  <c r="AL79" i="12"/>
  <c r="AL80" i="12"/>
  <c r="AL81" i="12"/>
  <c r="AL82" i="12"/>
  <c r="AL83" i="12"/>
  <c r="AL84" i="12"/>
  <c r="AL85" i="12"/>
  <c r="AL86" i="12"/>
  <c r="AL87" i="12"/>
  <c r="AL88" i="12"/>
  <c r="AL89" i="12"/>
  <c r="AL91" i="12"/>
  <c r="AL92" i="12"/>
  <c r="AL93" i="12"/>
  <c r="AL94" i="12"/>
  <c r="AL95" i="12"/>
  <c r="AL96" i="12"/>
  <c r="AL97" i="12"/>
  <c r="AL99" i="12"/>
  <c r="AL100" i="12"/>
  <c r="AL101" i="12"/>
  <c r="AL102" i="12"/>
  <c r="AL103" i="12"/>
  <c r="AL104" i="12"/>
  <c r="AL105" i="12"/>
  <c r="AL107" i="12"/>
  <c r="AL108" i="12"/>
  <c r="AL109" i="12"/>
  <c r="AL110" i="12"/>
  <c r="AL111" i="12"/>
  <c r="AL112" i="12"/>
  <c r="AL113" i="12"/>
  <c r="AL114" i="12"/>
  <c r="AL115" i="12"/>
  <c r="AL116" i="12"/>
  <c r="AL117" i="12"/>
  <c r="AL118" i="12"/>
  <c r="AL119" i="12"/>
  <c r="AL120" i="12"/>
  <c r="AL121" i="12"/>
  <c r="AL123" i="12"/>
  <c r="AL124" i="12"/>
  <c r="AL125" i="12"/>
  <c r="AL126" i="12"/>
  <c r="AL127" i="12"/>
  <c r="AL128" i="12"/>
  <c r="AL129" i="12"/>
  <c r="AL130" i="12"/>
  <c r="AL131" i="12"/>
  <c r="AL132" i="12"/>
  <c r="AL133" i="12"/>
  <c r="AL134" i="12"/>
  <c r="AL135" i="12"/>
  <c r="AL136" i="12"/>
  <c r="AL137" i="12"/>
  <c r="AL139" i="12"/>
  <c r="AL140" i="12"/>
  <c r="AL141" i="12"/>
  <c r="AL142" i="12"/>
  <c r="AL143" i="12"/>
  <c r="AL144" i="12"/>
  <c r="AL145" i="12"/>
  <c r="AL146" i="12"/>
  <c r="AL147" i="12"/>
  <c r="AL148" i="12"/>
  <c r="AL149" i="12"/>
  <c r="AL150" i="12"/>
  <c r="AL151" i="12"/>
  <c r="AL152" i="12"/>
  <c r="AL153" i="12"/>
  <c r="AL155" i="12"/>
  <c r="AL156" i="12"/>
  <c r="AL157" i="12"/>
  <c r="AL158" i="12"/>
  <c r="AL159" i="12"/>
  <c r="AL160" i="12"/>
  <c r="AL161" i="12"/>
  <c r="AL163" i="12"/>
  <c r="AL164" i="12"/>
  <c r="AL165" i="12"/>
  <c r="AL166" i="12"/>
  <c r="AL167" i="12"/>
  <c r="AL168" i="12"/>
  <c r="AL169" i="12"/>
  <c r="AL171" i="12"/>
  <c r="AL172" i="12"/>
  <c r="AL173" i="12"/>
  <c r="AL174" i="12"/>
  <c r="AL175" i="12"/>
  <c r="AL176" i="12"/>
  <c r="AL177" i="12"/>
  <c r="AL178" i="12"/>
  <c r="AL179" i="12"/>
  <c r="AL180" i="12"/>
  <c r="AL181" i="12"/>
  <c r="AL182" i="12"/>
  <c r="AL183" i="12"/>
  <c r="AL184" i="12"/>
  <c r="AL185" i="12"/>
  <c r="AL187" i="12"/>
  <c r="AL188" i="12"/>
  <c r="AL189" i="12"/>
  <c r="AL190" i="12"/>
  <c r="AL191" i="12"/>
  <c r="AL3" i="12"/>
  <c r="AL4" i="12"/>
  <c r="AL6" i="12"/>
  <c r="AL8" i="12"/>
  <c r="AL9" i="12"/>
  <c r="AL10" i="12"/>
  <c r="AL11" i="12"/>
  <c r="AL12" i="12"/>
  <c r="AL14" i="12"/>
  <c r="AL15" i="12"/>
  <c r="AL16" i="12"/>
  <c r="AL17" i="12"/>
  <c r="AL18" i="12"/>
  <c r="AL19" i="12"/>
  <c r="AL22" i="12"/>
  <c r="AL23" i="12"/>
  <c r="AL24" i="12"/>
  <c r="AL25" i="12"/>
  <c r="AL26" i="12"/>
  <c r="AL2" i="12"/>
  <c r="AH27" i="12"/>
  <c r="AI27" i="12" s="1"/>
  <c r="AH28" i="12"/>
  <c r="AI28" i="12" s="1"/>
  <c r="AH29" i="12"/>
  <c r="AI29" i="12" s="1"/>
  <c r="AH30" i="12"/>
  <c r="AI30" i="12" s="1"/>
  <c r="AH31" i="12"/>
  <c r="AH32" i="12"/>
  <c r="AH33" i="12"/>
  <c r="AI33" i="12" s="1"/>
  <c r="AH34" i="12"/>
  <c r="AI34" i="12" s="1"/>
  <c r="AH35" i="12"/>
  <c r="AI35" i="12" s="1"/>
  <c r="AH36" i="12"/>
  <c r="AI36" i="12" s="1"/>
  <c r="AH37" i="12"/>
  <c r="AI37" i="12" s="1"/>
  <c r="AH38" i="12"/>
  <c r="AI38" i="12" s="1"/>
  <c r="AH39" i="12"/>
  <c r="AI39" i="12" s="1"/>
  <c r="AH40" i="12"/>
  <c r="AI40" i="12" s="1"/>
  <c r="AH41" i="12"/>
  <c r="AI41" i="12" s="1"/>
  <c r="AH42" i="12"/>
  <c r="AI42" i="12" s="1"/>
  <c r="AH43" i="12"/>
  <c r="AI43" i="12" s="1"/>
  <c r="AH44" i="12"/>
  <c r="AI44" i="12" s="1"/>
  <c r="AH45" i="12"/>
  <c r="AI45" i="12" s="1"/>
  <c r="AH46" i="12"/>
  <c r="AI46" i="12" s="1"/>
  <c r="AH47" i="12"/>
  <c r="AH48" i="12"/>
  <c r="AI48" i="12" s="1"/>
  <c r="AH49" i="12"/>
  <c r="AI49" i="12" s="1"/>
  <c r="AH50" i="12"/>
  <c r="AI50" i="12" s="1"/>
  <c r="AH51" i="12"/>
  <c r="AI51" i="12" s="1"/>
  <c r="AH52" i="12"/>
  <c r="AH53" i="12"/>
  <c r="AH54" i="12"/>
  <c r="AI54" i="12" s="1"/>
  <c r="AH55" i="12"/>
  <c r="AI55" i="12" s="1"/>
  <c r="AH56" i="12"/>
  <c r="AI56" i="12" s="1"/>
  <c r="AH57" i="12"/>
  <c r="AI57" i="12" s="1"/>
  <c r="AH58" i="12"/>
  <c r="AI58" i="12" s="1"/>
  <c r="AH59" i="12"/>
  <c r="AI59" i="12" s="1"/>
  <c r="AH60" i="12"/>
  <c r="AI60" i="12" s="1"/>
  <c r="AH61" i="12"/>
  <c r="AI61" i="12" s="1"/>
  <c r="AH62" i="12"/>
  <c r="AI62" i="12" s="1"/>
  <c r="AH63" i="12"/>
  <c r="AH64" i="12"/>
  <c r="AI64" i="12" s="1"/>
  <c r="AH65" i="12"/>
  <c r="AI65" i="12" s="1"/>
  <c r="AH66" i="12"/>
  <c r="AI66" i="12" s="1"/>
  <c r="AH67" i="12"/>
  <c r="AI67" i="12" s="1"/>
  <c r="AH68" i="12"/>
  <c r="AI68" i="12" s="1"/>
  <c r="AH69" i="12"/>
  <c r="AI69" i="12" s="1"/>
  <c r="AH70" i="12"/>
  <c r="AI70" i="12" s="1"/>
  <c r="AH71" i="12"/>
  <c r="AI71" i="12" s="1"/>
  <c r="AH72" i="12"/>
  <c r="AI72" i="12" s="1"/>
  <c r="AH73" i="12"/>
  <c r="AI73" i="12" s="1"/>
  <c r="AH74" i="12"/>
  <c r="AI74" i="12" s="1"/>
  <c r="AH75" i="12"/>
  <c r="AI75" i="12" s="1"/>
  <c r="AH76" i="12"/>
  <c r="AI76" i="12" s="1"/>
  <c r="AH77" i="12"/>
  <c r="AH78" i="12"/>
  <c r="AI78" i="12" s="1"/>
  <c r="AH79" i="12"/>
  <c r="AH80" i="12"/>
  <c r="AI80" i="12" s="1"/>
  <c r="AH81" i="12"/>
  <c r="AI81" i="12" s="1"/>
  <c r="AH82" i="12"/>
  <c r="AI82" i="12" s="1"/>
  <c r="AH83" i="12"/>
  <c r="AI83" i="12" s="1"/>
  <c r="AH84" i="12"/>
  <c r="AI84" i="12" s="1"/>
  <c r="AH85" i="12"/>
  <c r="AI85" i="12" s="1"/>
  <c r="AH86" i="12"/>
  <c r="AH87" i="12"/>
  <c r="AI87" i="12" s="1"/>
  <c r="AH88" i="12"/>
  <c r="AI88" i="12" s="1"/>
  <c r="AH89" i="12"/>
  <c r="AI89" i="12" s="1"/>
  <c r="AH90" i="12"/>
  <c r="AI90" i="12" s="1"/>
  <c r="AH91" i="12"/>
  <c r="AI91" i="12" s="1"/>
  <c r="AH92" i="12"/>
  <c r="AI92" i="12" s="1"/>
  <c r="AH93" i="12"/>
  <c r="AI93" i="12" s="1"/>
  <c r="AH94" i="12"/>
  <c r="AH95" i="12"/>
  <c r="AH96" i="12"/>
  <c r="AI96" i="12" s="1"/>
  <c r="AH97" i="12"/>
  <c r="AI97" i="12" s="1"/>
  <c r="AH98" i="12"/>
  <c r="AI98" i="12" s="1"/>
  <c r="AH99" i="12"/>
  <c r="AI99" i="12" s="1"/>
  <c r="AH100" i="12"/>
  <c r="AI100" i="12" s="1"/>
  <c r="AH101" i="12"/>
  <c r="AI101" i="12" s="1"/>
  <c r="AH102" i="12"/>
  <c r="AH103" i="12"/>
  <c r="AI103" i="12" s="1"/>
  <c r="AH104" i="12"/>
  <c r="AI104" i="12" s="1"/>
  <c r="AH105" i="12"/>
  <c r="AI105" i="12" s="1"/>
  <c r="AH106" i="12"/>
  <c r="AI106" i="12" s="1"/>
  <c r="AH107" i="12"/>
  <c r="AI107" i="12" s="1"/>
  <c r="AH108" i="12"/>
  <c r="AI108" i="12" s="1"/>
  <c r="AH109" i="12"/>
  <c r="AI109" i="12" s="1"/>
  <c r="AH110" i="12"/>
  <c r="AH111" i="12"/>
  <c r="AH112" i="12"/>
  <c r="AI112" i="12" s="1"/>
  <c r="AH113" i="12"/>
  <c r="AI113" i="12" s="1"/>
  <c r="AH114" i="12"/>
  <c r="AI114" i="12" s="1"/>
  <c r="AH115" i="12"/>
  <c r="AI115" i="12" s="1"/>
  <c r="AH116" i="12"/>
  <c r="AH117" i="12"/>
  <c r="AH118" i="12"/>
  <c r="AH119" i="12"/>
  <c r="AI119" i="12" s="1"/>
  <c r="AH120" i="12"/>
  <c r="AI120" i="12" s="1"/>
  <c r="AH121" i="12"/>
  <c r="AI121" i="12" s="1"/>
  <c r="AH122" i="12"/>
  <c r="AI122" i="12" s="1"/>
  <c r="AH123" i="12"/>
  <c r="AI123" i="12" s="1"/>
  <c r="AH124" i="12"/>
  <c r="AI124" i="12" s="1"/>
  <c r="AH125" i="12"/>
  <c r="AI125" i="12" s="1"/>
  <c r="AH126" i="12"/>
  <c r="AH127" i="12"/>
  <c r="AI127" i="12" s="1"/>
  <c r="AH128" i="12"/>
  <c r="AI128" i="12" s="1"/>
  <c r="AH129" i="12"/>
  <c r="AI129" i="12" s="1"/>
  <c r="AH130" i="12"/>
  <c r="AI130" i="12" s="1"/>
  <c r="AH131" i="12"/>
  <c r="AI131" i="12" s="1"/>
  <c r="AH132" i="12"/>
  <c r="AI132" i="12" s="1"/>
  <c r="AH133" i="12"/>
  <c r="AI133" i="12" s="1"/>
  <c r="AH134" i="12"/>
  <c r="AH135" i="12"/>
  <c r="AI135" i="12" s="1"/>
  <c r="AH136" i="12"/>
  <c r="AI136" i="12" s="1"/>
  <c r="AH137" i="12"/>
  <c r="AI137" i="12" s="1"/>
  <c r="AH138" i="12"/>
  <c r="AI138" i="12" s="1"/>
  <c r="AH139" i="12"/>
  <c r="AI139" i="12" s="1"/>
  <c r="AH140" i="12"/>
  <c r="AI140" i="12" s="1"/>
  <c r="AH141" i="12"/>
  <c r="AH142" i="12"/>
  <c r="AH143" i="12"/>
  <c r="AI143" i="12" s="1"/>
  <c r="AH144" i="12"/>
  <c r="AI144" i="12" s="1"/>
  <c r="AH145" i="12"/>
  <c r="AI145" i="12" s="1"/>
  <c r="AH146" i="12"/>
  <c r="AI146" i="12" s="1"/>
  <c r="AH147" i="12"/>
  <c r="AI147" i="12" s="1"/>
  <c r="AH148" i="12"/>
  <c r="AI148" i="12" s="1"/>
  <c r="AH149" i="12"/>
  <c r="AI149" i="12" s="1"/>
  <c r="AH150" i="12"/>
  <c r="AH151" i="12"/>
  <c r="AI151" i="12" s="1"/>
  <c r="AH152" i="12"/>
  <c r="AI152" i="12" s="1"/>
  <c r="AH153" i="12"/>
  <c r="AI153" i="12" s="1"/>
  <c r="AH154" i="12"/>
  <c r="AI154" i="12" s="1"/>
  <c r="AH155" i="12"/>
  <c r="AI155" i="12" s="1"/>
  <c r="AH156" i="12"/>
  <c r="AI156" i="12" s="1"/>
  <c r="AH157" i="12"/>
  <c r="AI157" i="12" s="1"/>
  <c r="AH158" i="12"/>
  <c r="AH159" i="12"/>
  <c r="AI159" i="12" s="1"/>
  <c r="AH160" i="12"/>
  <c r="AI160" i="12" s="1"/>
  <c r="AH161" i="12"/>
  <c r="AI161" i="12" s="1"/>
  <c r="AH162" i="12"/>
  <c r="AI162" i="12" s="1"/>
  <c r="AH163" i="12"/>
  <c r="AI163" i="12" s="1"/>
  <c r="AH164" i="12"/>
  <c r="AI164" i="12" s="1"/>
  <c r="AH165" i="12"/>
  <c r="AI165" i="12" s="1"/>
  <c r="AH166" i="12"/>
  <c r="AH167" i="12"/>
  <c r="AI167" i="12" s="1"/>
  <c r="AH168" i="12"/>
  <c r="AI168" i="12" s="1"/>
  <c r="AH169" i="12"/>
  <c r="AI169" i="12" s="1"/>
  <c r="AH170" i="12"/>
  <c r="AI170" i="12" s="1"/>
  <c r="AH171" i="12"/>
  <c r="AI171" i="12" s="1"/>
  <c r="AH172" i="12"/>
  <c r="AI172" i="12" s="1"/>
  <c r="AH173" i="12"/>
  <c r="AI173" i="12" s="1"/>
  <c r="AH174" i="12"/>
  <c r="AH175" i="12"/>
  <c r="AI175" i="12" s="1"/>
  <c r="AH176" i="12"/>
  <c r="AI176" i="12" s="1"/>
  <c r="AH177" i="12"/>
  <c r="AI177" i="12" s="1"/>
  <c r="AH178" i="12"/>
  <c r="AI178" i="12" s="1"/>
  <c r="AH179" i="12"/>
  <c r="AI179" i="12" s="1"/>
  <c r="AH180" i="12"/>
  <c r="AH181" i="12"/>
  <c r="AH182" i="12"/>
  <c r="AH183" i="12"/>
  <c r="AI183" i="12" s="1"/>
  <c r="AH184" i="12"/>
  <c r="AI184" i="12" s="1"/>
  <c r="AH185" i="12"/>
  <c r="AI185" i="12" s="1"/>
  <c r="AH186" i="12"/>
  <c r="AI186" i="12" s="1"/>
  <c r="AH187" i="12"/>
  <c r="AI187" i="12" s="1"/>
  <c r="AH188" i="12"/>
  <c r="AI188" i="12" s="1"/>
  <c r="AH189" i="12"/>
  <c r="AI189" i="12" s="1"/>
  <c r="AH190" i="12"/>
  <c r="AH191" i="12"/>
  <c r="AH3" i="12"/>
  <c r="AH4" i="12"/>
  <c r="AH5" i="12"/>
  <c r="AI5" i="12" s="1"/>
  <c r="AH6" i="12"/>
  <c r="AH8" i="12"/>
  <c r="AI8" i="12" s="1"/>
  <c r="AH9" i="12"/>
  <c r="AH10" i="12"/>
  <c r="AH11" i="12"/>
  <c r="AH12" i="12"/>
  <c r="AH13" i="12"/>
  <c r="AI13" i="12" s="1"/>
  <c r="AH14" i="12"/>
  <c r="AH15" i="12"/>
  <c r="AI15" i="12" s="1"/>
  <c r="AH16" i="12"/>
  <c r="AI16" i="12" s="1"/>
  <c r="AH17" i="12"/>
  <c r="AH18" i="12"/>
  <c r="AH19" i="12"/>
  <c r="AH20" i="12"/>
  <c r="AH21" i="12"/>
  <c r="AI21" i="12" s="1"/>
  <c r="AH22" i="12"/>
  <c r="AH23" i="12"/>
  <c r="AH24" i="12"/>
  <c r="AI24" i="12" s="1"/>
  <c r="AH25" i="12"/>
  <c r="AH26" i="12"/>
  <c r="AH2" i="12"/>
  <c r="AG27" i="12"/>
  <c r="AG28" i="12"/>
  <c r="AG29" i="12"/>
  <c r="AG30" i="12"/>
  <c r="AG31" i="12"/>
  <c r="AG32" i="12"/>
  <c r="AG35" i="12"/>
  <c r="AG36" i="12"/>
  <c r="AG37" i="12"/>
  <c r="AG38" i="12"/>
  <c r="AG39" i="12"/>
  <c r="AG40" i="12"/>
  <c r="AG43" i="12"/>
  <c r="AG44" i="12"/>
  <c r="AG45" i="12"/>
  <c r="AG46" i="12"/>
  <c r="AG47" i="12"/>
  <c r="AG48" i="12"/>
  <c r="AG51" i="12"/>
  <c r="AG52" i="12"/>
  <c r="AG53" i="12"/>
  <c r="AG54" i="12"/>
  <c r="AG55" i="12"/>
  <c r="AG56" i="12"/>
  <c r="AG58" i="12"/>
  <c r="AG59" i="12"/>
  <c r="AG60" i="12"/>
  <c r="AG61" i="12"/>
  <c r="AG62" i="12"/>
  <c r="AG63" i="12"/>
  <c r="AG64" i="12"/>
  <c r="AG67" i="12"/>
  <c r="AG68" i="12"/>
  <c r="AG69" i="12"/>
  <c r="AG70" i="12"/>
  <c r="AG71" i="12"/>
  <c r="AG72" i="12"/>
  <c r="AG74" i="12"/>
  <c r="AG75" i="12"/>
  <c r="AG76" i="12"/>
  <c r="AG77" i="12"/>
  <c r="AG78" i="12"/>
  <c r="AG79" i="12"/>
  <c r="AG80" i="12"/>
  <c r="AG81" i="12"/>
  <c r="AG82" i="12"/>
  <c r="AG83" i="12"/>
  <c r="AG84" i="12"/>
  <c r="AG85" i="12"/>
  <c r="AG86" i="12"/>
  <c r="AG87" i="12"/>
  <c r="AG88" i="12"/>
  <c r="AG89" i="12"/>
  <c r="AG91" i="12"/>
  <c r="AG92" i="12"/>
  <c r="AG93" i="12"/>
  <c r="AG94" i="12"/>
  <c r="AG95" i="12"/>
  <c r="AG96" i="12"/>
  <c r="AG99" i="12"/>
  <c r="AG100" i="12"/>
  <c r="AG101" i="12"/>
  <c r="AG102" i="12"/>
  <c r="AG103" i="12"/>
  <c r="AG104" i="12"/>
  <c r="AG107" i="12"/>
  <c r="AG108" i="12"/>
  <c r="AG109" i="12"/>
  <c r="AG110" i="12"/>
  <c r="AG111" i="12"/>
  <c r="AG112" i="12"/>
  <c r="AG115" i="12"/>
  <c r="AG116" i="12"/>
  <c r="AG117" i="12"/>
  <c r="AG118" i="12"/>
  <c r="AG119" i="12"/>
  <c r="AG120" i="12"/>
  <c r="AG122" i="12"/>
  <c r="AG123" i="12"/>
  <c r="AG124" i="12"/>
  <c r="AG125" i="12"/>
  <c r="AG126" i="12"/>
  <c r="AG127" i="12"/>
  <c r="AG128" i="12"/>
  <c r="AG131" i="12"/>
  <c r="AG132" i="12"/>
  <c r="AG133" i="12"/>
  <c r="AG134" i="12"/>
  <c r="AG135" i="12"/>
  <c r="AG136" i="12"/>
  <c r="AG138" i="12"/>
  <c r="AG139" i="12"/>
  <c r="AG140" i="12"/>
  <c r="AG141" i="12"/>
  <c r="AG142" i="12"/>
  <c r="AG143" i="12"/>
  <c r="AG144" i="12"/>
  <c r="AG145" i="12"/>
  <c r="AG146" i="12"/>
  <c r="AG147" i="12"/>
  <c r="AG148" i="12"/>
  <c r="AG149" i="12"/>
  <c r="AG150" i="12"/>
  <c r="AG151" i="12"/>
  <c r="AG152" i="12"/>
  <c r="AG153" i="12"/>
  <c r="AG155" i="12"/>
  <c r="AG156" i="12"/>
  <c r="AG157" i="12"/>
  <c r="AG158" i="12"/>
  <c r="AG159" i="12"/>
  <c r="AG160" i="12"/>
  <c r="AG163" i="12"/>
  <c r="AG164" i="12"/>
  <c r="AG165" i="12"/>
  <c r="AG166" i="12"/>
  <c r="AG167" i="12"/>
  <c r="AG168" i="12"/>
  <c r="AG171" i="12"/>
  <c r="AG172" i="12"/>
  <c r="AG173" i="12"/>
  <c r="AG174" i="12"/>
  <c r="AG175" i="12"/>
  <c r="AG176" i="12"/>
  <c r="AG179" i="12"/>
  <c r="AG180" i="12"/>
  <c r="AG181" i="12"/>
  <c r="AG182" i="12"/>
  <c r="AG183" i="12"/>
  <c r="AG184" i="12"/>
  <c r="AG186" i="12"/>
  <c r="AG187" i="12"/>
  <c r="AG188" i="12"/>
  <c r="AG189" i="12"/>
  <c r="AG190" i="12"/>
  <c r="AG191" i="12"/>
  <c r="AG3" i="12"/>
  <c r="AG4" i="12"/>
  <c r="AG6" i="12"/>
  <c r="AG9" i="12"/>
  <c r="AG10" i="12"/>
  <c r="AG11" i="12"/>
  <c r="AG12" i="12"/>
  <c r="AG14" i="12"/>
  <c r="AG17" i="12"/>
  <c r="AG18" i="12"/>
  <c r="AG19" i="12"/>
  <c r="AG20" i="12"/>
  <c r="AG22" i="12"/>
  <c r="AG23" i="12"/>
  <c r="AG25" i="12"/>
  <c r="AG26" i="12"/>
  <c r="AG2" i="12"/>
  <c r="AC27" i="12"/>
  <c r="AC28" i="12"/>
  <c r="AD28" i="12" s="1"/>
  <c r="AC29" i="12"/>
  <c r="AD29" i="12" s="1"/>
  <c r="AC30" i="12"/>
  <c r="AD30" i="12" s="1"/>
  <c r="AC31" i="12"/>
  <c r="AC32" i="12"/>
  <c r="AC33" i="12"/>
  <c r="AD33" i="12" s="1"/>
  <c r="AC34" i="12"/>
  <c r="AD34" i="12" s="1"/>
  <c r="AC35" i="12"/>
  <c r="AD35" i="12" s="1"/>
  <c r="AC36" i="12"/>
  <c r="AD36" i="12" s="1"/>
  <c r="AC37" i="12"/>
  <c r="AD37" i="12" s="1"/>
  <c r="AC38" i="12"/>
  <c r="AD38" i="12" s="1"/>
  <c r="AC39" i="12"/>
  <c r="AC40" i="12"/>
  <c r="AC41" i="12"/>
  <c r="AD41" i="12" s="1"/>
  <c r="AC42" i="12"/>
  <c r="AD42" i="12" s="1"/>
  <c r="AC43" i="12"/>
  <c r="AD43" i="12" s="1"/>
  <c r="AC44" i="12"/>
  <c r="AD44" i="12" s="1"/>
  <c r="AC45" i="12"/>
  <c r="AD45" i="12" s="1"/>
  <c r="AC46" i="12"/>
  <c r="AD46" i="12" s="1"/>
  <c r="AC47" i="12"/>
  <c r="AC48" i="12"/>
  <c r="AC49" i="12"/>
  <c r="AD49" i="12" s="1"/>
  <c r="AC50" i="12"/>
  <c r="AD50" i="12" s="1"/>
  <c r="AC51" i="12"/>
  <c r="AD51" i="12" s="1"/>
  <c r="AC52" i="12"/>
  <c r="AD52" i="12" s="1"/>
  <c r="AC53" i="12"/>
  <c r="AD53" i="12" s="1"/>
  <c r="AC54" i="12"/>
  <c r="AD54" i="12" s="1"/>
  <c r="AC55" i="12"/>
  <c r="AC56" i="12"/>
  <c r="AC57" i="12"/>
  <c r="AD57" i="12" s="1"/>
  <c r="AC58" i="12"/>
  <c r="AD58" i="12" s="1"/>
  <c r="AC59" i="12"/>
  <c r="AD59" i="12" s="1"/>
  <c r="AC60" i="12"/>
  <c r="AD60" i="12" s="1"/>
  <c r="AC61" i="12"/>
  <c r="AD61" i="12" s="1"/>
  <c r="AC62" i="12"/>
  <c r="AD62" i="12" s="1"/>
  <c r="AC63" i="12"/>
  <c r="AC64" i="12"/>
  <c r="AC65" i="12"/>
  <c r="AD65" i="12" s="1"/>
  <c r="AC66" i="12"/>
  <c r="AC67" i="12"/>
  <c r="AD67" i="12" s="1"/>
  <c r="AC68" i="12"/>
  <c r="AC69" i="12"/>
  <c r="AD69" i="12" s="1"/>
  <c r="AC70" i="12"/>
  <c r="AD70" i="12" s="1"/>
  <c r="AC71" i="12"/>
  <c r="AC72" i="12"/>
  <c r="AC73" i="12"/>
  <c r="AD73" i="12" s="1"/>
  <c r="AC74" i="12"/>
  <c r="AC75" i="12"/>
  <c r="AD75" i="12" s="1"/>
  <c r="AC76" i="12"/>
  <c r="AD76" i="12" s="1"/>
  <c r="AC77" i="12"/>
  <c r="AD77" i="12" s="1"/>
  <c r="AC78" i="12"/>
  <c r="AD78" i="12" s="1"/>
  <c r="AC79" i="12"/>
  <c r="AC80" i="12"/>
  <c r="AC81" i="12"/>
  <c r="AD81" i="12" s="1"/>
  <c r="AC82" i="12"/>
  <c r="AC83" i="12"/>
  <c r="AD83" i="12" s="1"/>
  <c r="AC84" i="12"/>
  <c r="AD84" i="12" s="1"/>
  <c r="AC85" i="12"/>
  <c r="AD85" i="12" s="1"/>
  <c r="AC86" i="12"/>
  <c r="AD86" i="12" s="1"/>
  <c r="AC87" i="12"/>
  <c r="AC88" i="12"/>
  <c r="AC89" i="12"/>
  <c r="AD89" i="12" s="1"/>
  <c r="AC90" i="12"/>
  <c r="AD90" i="12" s="1"/>
  <c r="AC91" i="12"/>
  <c r="AD91" i="12" s="1"/>
  <c r="AC92" i="12"/>
  <c r="AD92" i="12" s="1"/>
  <c r="AC93" i="12"/>
  <c r="AD93" i="12" s="1"/>
  <c r="AC94" i="12"/>
  <c r="AD94" i="12" s="1"/>
  <c r="AC95" i="12"/>
  <c r="AC96" i="12"/>
  <c r="AC97" i="12"/>
  <c r="AD97" i="12" s="1"/>
  <c r="AC98" i="12"/>
  <c r="AD98" i="12" s="1"/>
  <c r="AC99" i="12"/>
  <c r="AD99" i="12" s="1"/>
  <c r="AC100" i="12"/>
  <c r="AD100" i="12" s="1"/>
  <c r="AC101" i="12"/>
  <c r="AD101" i="12" s="1"/>
  <c r="AC102" i="12"/>
  <c r="AD102" i="12" s="1"/>
  <c r="AC103" i="12"/>
  <c r="AC104" i="12"/>
  <c r="AC105" i="12"/>
  <c r="AD105" i="12" s="1"/>
  <c r="AC106" i="12"/>
  <c r="AD106" i="12" s="1"/>
  <c r="AC107" i="12"/>
  <c r="AD107" i="12" s="1"/>
  <c r="AC108" i="12"/>
  <c r="AD108" i="12" s="1"/>
  <c r="AC109" i="12"/>
  <c r="AD109" i="12" s="1"/>
  <c r="AC110" i="12"/>
  <c r="AD110" i="12" s="1"/>
  <c r="AC111" i="12"/>
  <c r="AC112" i="12"/>
  <c r="AC113" i="12"/>
  <c r="AD113" i="12" s="1"/>
  <c r="AC114" i="12"/>
  <c r="AD114" i="12" s="1"/>
  <c r="AC115" i="12"/>
  <c r="AC116" i="12"/>
  <c r="AC117" i="12"/>
  <c r="AD117" i="12" s="1"/>
  <c r="AC118" i="12"/>
  <c r="AD118" i="12" s="1"/>
  <c r="AC119" i="12"/>
  <c r="AC120" i="12"/>
  <c r="AC121" i="12"/>
  <c r="AD121" i="12" s="1"/>
  <c r="AC122" i="12"/>
  <c r="AC123" i="12"/>
  <c r="AD123" i="12" s="1"/>
  <c r="AC124" i="12"/>
  <c r="AD124" i="12" s="1"/>
  <c r="AC125" i="12"/>
  <c r="AD125" i="12" s="1"/>
  <c r="AC126" i="12"/>
  <c r="AD126" i="12" s="1"/>
  <c r="AC127" i="12"/>
  <c r="AC128" i="12"/>
  <c r="AC129" i="12"/>
  <c r="AD129" i="12" s="1"/>
  <c r="AC130" i="12"/>
  <c r="AC131" i="12"/>
  <c r="AD131" i="12" s="1"/>
  <c r="AC132" i="12"/>
  <c r="AC133" i="12"/>
  <c r="AD133" i="12" s="1"/>
  <c r="AC134" i="12"/>
  <c r="AD134" i="12" s="1"/>
  <c r="AC135" i="12"/>
  <c r="AC136" i="12"/>
  <c r="AC137" i="12"/>
  <c r="AD137" i="12" s="1"/>
  <c r="AC138" i="12"/>
  <c r="AD138" i="12" s="1"/>
  <c r="AC139" i="12"/>
  <c r="AD139" i="12" s="1"/>
  <c r="AC140" i="12"/>
  <c r="AD140" i="12" s="1"/>
  <c r="AC141" i="12"/>
  <c r="AD141" i="12" s="1"/>
  <c r="AC142" i="12"/>
  <c r="AD142" i="12" s="1"/>
  <c r="AC143" i="12"/>
  <c r="AC144" i="12"/>
  <c r="AC145" i="12"/>
  <c r="AD145" i="12" s="1"/>
  <c r="AC146" i="12"/>
  <c r="AD146" i="12" s="1"/>
  <c r="AC147" i="12"/>
  <c r="AD147" i="12" s="1"/>
  <c r="AC148" i="12"/>
  <c r="AC149" i="12"/>
  <c r="AD149" i="12" s="1"/>
  <c r="AC150" i="12"/>
  <c r="AD150" i="12" s="1"/>
  <c r="AC151" i="12"/>
  <c r="AC152" i="12"/>
  <c r="AC153" i="12"/>
  <c r="AD153" i="12" s="1"/>
  <c r="AC154" i="12"/>
  <c r="AD154" i="12" s="1"/>
  <c r="AC155" i="12"/>
  <c r="AD155" i="12" s="1"/>
  <c r="AC156" i="12"/>
  <c r="AC157" i="12"/>
  <c r="AD157" i="12" s="1"/>
  <c r="AC158" i="12"/>
  <c r="AD158" i="12" s="1"/>
  <c r="AC159" i="12"/>
  <c r="AC160" i="12"/>
  <c r="AC161" i="12"/>
  <c r="AD161" i="12" s="1"/>
  <c r="AC162" i="12"/>
  <c r="AD162" i="12" s="1"/>
  <c r="AC163" i="12"/>
  <c r="AD163" i="12" s="1"/>
  <c r="AC164" i="12"/>
  <c r="AD164" i="12" s="1"/>
  <c r="AC165" i="12"/>
  <c r="AD165" i="12" s="1"/>
  <c r="AC166" i="12"/>
  <c r="AD166" i="12" s="1"/>
  <c r="AC167" i="12"/>
  <c r="AC168" i="12"/>
  <c r="AC169" i="12"/>
  <c r="AD169" i="12" s="1"/>
  <c r="AC170" i="12"/>
  <c r="AC171" i="12"/>
  <c r="AD171" i="12" s="1"/>
  <c r="AC172" i="12"/>
  <c r="AC173" i="12"/>
  <c r="AD173" i="12" s="1"/>
  <c r="AC174" i="12"/>
  <c r="AD174" i="12" s="1"/>
  <c r="AC175" i="12"/>
  <c r="AC176" i="12"/>
  <c r="AC177" i="12"/>
  <c r="AD177" i="12" s="1"/>
  <c r="AC178" i="12"/>
  <c r="AC179" i="12"/>
  <c r="AC180" i="12"/>
  <c r="AC181" i="12"/>
  <c r="AD181" i="12" s="1"/>
  <c r="AC182" i="12"/>
  <c r="AD182" i="12" s="1"/>
  <c r="AC183" i="12"/>
  <c r="AC184" i="12"/>
  <c r="AC185" i="12"/>
  <c r="AD185" i="12" s="1"/>
  <c r="AC186" i="12"/>
  <c r="AD186" i="12" s="1"/>
  <c r="AC187" i="12"/>
  <c r="AD187" i="12" s="1"/>
  <c r="AC188" i="12"/>
  <c r="AC189" i="12"/>
  <c r="AD189" i="12" s="1"/>
  <c r="AC190" i="12"/>
  <c r="AD190" i="12" s="1"/>
  <c r="AC191" i="12"/>
  <c r="AC3" i="12"/>
  <c r="AC4" i="12"/>
  <c r="AD4" i="12" s="1"/>
  <c r="AC5" i="12"/>
  <c r="AD5" i="12" s="1"/>
  <c r="AC6" i="12"/>
  <c r="AD6" i="12" s="1"/>
  <c r="AC8" i="12"/>
  <c r="AC9" i="12"/>
  <c r="AC10" i="12"/>
  <c r="AC11" i="12"/>
  <c r="AC12" i="12"/>
  <c r="AD12" i="12" s="1"/>
  <c r="AC13" i="12"/>
  <c r="AC14" i="12"/>
  <c r="AD14" i="12" s="1"/>
  <c r="AC15" i="12"/>
  <c r="AD15" i="12" s="1"/>
  <c r="AC16" i="12"/>
  <c r="AC17" i="12"/>
  <c r="AC18" i="12"/>
  <c r="AC19" i="12"/>
  <c r="AD19" i="12" s="1"/>
  <c r="AC20" i="12"/>
  <c r="AC21" i="12"/>
  <c r="AC22" i="12"/>
  <c r="AD22" i="12" s="1"/>
  <c r="AC23" i="12"/>
  <c r="AD23" i="12" s="1"/>
  <c r="AC24" i="12"/>
  <c r="AD24" i="12" s="1"/>
  <c r="AC25" i="12"/>
  <c r="AC26" i="12"/>
  <c r="AC2" i="12"/>
  <c r="AB27" i="12"/>
  <c r="AB28" i="12"/>
  <c r="AB29" i="12"/>
  <c r="AB30" i="12"/>
  <c r="AB31" i="12"/>
  <c r="AB32" i="12"/>
  <c r="AB34" i="12"/>
  <c r="AB35" i="12"/>
  <c r="AB36" i="12"/>
  <c r="AB37" i="12"/>
  <c r="AB38" i="12"/>
  <c r="AB39" i="12"/>
  <c r="AB40" i="12"/>
  <c r="AB41" i="12"/>
  <c r="AB42" i="12"/>
  <c r="AB43" i="12"/>
  <c r="AB44" i="12"/>
  <c r="AB45" i="12"/>
  <c r="AB46" i="12"/>
  <c r="AB47" i="12"/>
  <c r="AB48" i="12"/>
  <c r="AB50" i="12"/>
  <c r="AB51" i="12"/>
  <c r="AB52" i="12"/>
  <c r="AB53" i="12"/>
  <c r="AB54" i="12"/>
  <c r="AB55" i="12"/>
  <c r="AB56" i="12"/>
  <c r="AB58" i="12"/>
  <c r="AB59" i="12"/>
  <c r="AB60" i="12"/>
  <c r="AB61" i="12"/>
  <c r="AB62" i="12"/>
  <c r="AB63" i="12"/>
  <c r="AB64" i="12"/>
  <c r="AB66" i="12"/>
  <c r="AB67" i="12"/>
  <c r="AB68" i="12"/>
  <c r="AB69" i="12"/>
  <c r="AB70" i="12"/>
  <c r="AB71" i="12"/>
  <c r="AB72" i="12"/>
  <c r="AB74" i="12"/>
  <c r="AB75" i="12"/>
  <c r="AB76" i="12"/>
  <c r="AB77" i="12"/>
  <c r="AB78" i="12"/>
  <c r="AB79" i="12"/>
  <c r="AB80" i="12"/>
  <c r="AB82" i="12"/>
  <c r="AB83" i="12"/>
  <c r="AB84" i="12"/>
  <c r="AB85" i="12"/>
  <c r="AB86" i="12"/>
  <c r="AB87" i="12"/>
  <c r="AB88" i="12"/>
  <c r="AB90" i="12"/>
  <c r="AB91" i="12"/>
  <c r="AB92" i="12"/>
  <c r="AB93" i="12"/>
  <c r="AB94" i="12"/>
  <c r="AB95" i="12"/>
  <c r="AB96" i="12"/>
  <c r="AB98" i="12"/>
  <c r="AB99" i="12"/>
  <c r="AB100" i="12"/>
  <c r="AB101" i="12"/>
  <c r="AB102" i="12"/>
  <c r="AB103" i="12"/>
  <c r="AB104" i="12"/>
  <c r="AB106" i="12"/>
  <c r="AB107" i="12"/>
  <c r="AB108" i="12"/>
  <c r="AB109" i="12"/>
  <c r="AB110" i="12"/>
  <c r="AB111" i="12"/>
  <c r="AB112" i="12"/>
  <c r="AB114" i="12"/>
  <c r="AB115" i="12"/>
  <c r="AB116" i="12"/>
  <c r="AB117" i="12"/>
  <c r="AB118" i="12"/>
  <c r="AB119" i="12"/>
  <c r="AB120" i="12"/>
  <c r="AB122" i="12"/>
  <c r="AB123" i="12"/>
  <c r="AB124" i="12"/>
  <c r="AB125" i="12"/>
  <c r="AB126" i="12"/>
  <c r="AB127" i="12"/>
  <c r="AB128" i="12"/>
  <c r="AB130" i="12"/>
  <c r="AB131" i="12"/>
  <c r="AB132" i="12"/>
  <c r="AB133" i="12"/>
  <c r="AB134" i="12"/>
  <c r="AB135" i="12"/>
  <c r="AB136" i="12"/>
  <c r="AB138" i="12"/>
  <c r="AB139" i="12"/>
  <c r="AB140" i="12"/>
  <c r="AB141" i="12"/>
  <c r="AB142" i="12"/>
  <c r="AB143" i="12"/>
  <c r="AB144" i="12"/>
  <c r="AB146" i="12"/>
  <c r="AB147" i="12"/>
  <c r="AB148" i="12"/>
  <c r="AB149" i="12"/>
  <c r="AB150" i="12"/>
  <c r="AB151" i="12"/>
  <c r="AB152" i="12"/>
  <c r="AB154" i="12"/>
  <c r="AB155" i="12"/>
  <c r="AB156" i="12"/>
  <c r="AB157" i="12"/>
  <c r="AB158" i="12"/>
  <c r="AB159" i="12"/>
  <c r="AB160" i="12"/>
  <c r="AB162" i="12"/>
  <c r="AB163" i="12"/>
  <c r="AB164" i="12"/>
  <c r="AB165" i="12"/>
  <c r="AB166" i="12"/>
  <c r="AB167" i="12"/>
  <c r="AB168" i="12"/>
  <c r="AB170" i="12"/>
  <c r="AB171" i="12"/>
  <c r="AB172" i="12"/>
  <c r="AB173" i="12"/>
  <c r="AB174" i="12"/>
  <c r="AB175" i="12"/>
  <c r="AB176" i="12"/>
  <c r="AB178" i="12"/>
  <c r="AB179" i="12"/>
  <c r="AB180" i="12"/>
  <c r="AB181" i="12"/>
  <c r="AB182" i="12"/>
  <c r="AB183" i="12"/>
  <c r="AB184" i="12"/>
  <c r="AB186" i="12"/>
  <c r="AB187" i="12"/>
  <c r="AB188" i="12"/>
  <c r="AB189" i="12"/>
  <c r="AB190" i="12"/>
  <c r="AB191" i="12"/>
  <c r="AB3" i="12"/>
  <c r="AB5" i="12"/>
  <c r="AB9" i="12"/>
  <c r="AB10" i="12"/>
  <c r="AB11" i="12"/>
  <c r="AB13" i="12"/>
  <c r="AB17" i="12"/>
  <c r="AB19" i="12"/>
  <c r="AB21" i="12"/>
  <c r="AB22" i="12"/>
  <c r="AB23" i="12"/>
  <c r="AB24" i="12"/>
  <c r="AB25" i="12"/>
  <c r="AB2" i="12"/>
  <c r="X27" i="12"/>
  <c r="X28" i="12"/>
  <c r="Y28" i="12" s="1"/>
  <c r="X29" i="12"/>
  <c r="Y29" i="12" s="1"/>
  <c r="X30" i="12"/>
  <c r="X31" i="12"/>
  <c r="X32" i="12"/>
  <c r="Y32" i="12" s="1"/>
  <c r="X33" i="12"/>
  <c r="Y33" i="12" s="1"/>
  <c r="X34" i="12"/>
  <c r="Y34" i="12" s="1"/>
  <c r="X35" i="12"/>
  <c r="X36" i="12"/>
  <c r="Y36" i="12" s="1"/>
  <c r="X37" i="12"/>
  <c r="Y37" i="12" s="1"/>
  <c r="X38" i="12"/>
  <c r="X39" i="12"/>
  <c r="X40" i="12"/>
  <c r="X41" i="12"/>
  <c r="Y41" i="12" s="1"/>
  <c r="X42" i="12"/>
  <c r="Y42" i="12" s="1"/>
  <c r="X43" i="12"/>
  <c r="Y43" i="12" s="1"/>
  <c r="X44" i="12"/>
  <c r="Y44" i="12" s="1"/>
  <c r="X45" i="12"/>
  <c r="X46" i="12"/>
  <c r="X47" i="12"/>
  <c r="X48" i="12"/>
  <c r="Y48" i="12" s="1"/>
  <c r="X49" i="12"/>
  <c r="Y49" i="12" s="1"/>
  <c r="X50" i="12"/>
  <c r="Y50" i="12" s="1"/>
  <c r="X51" i="12"/>
  <c r="Y51" i="12" s="1"/>
  <c r="X52" i="12"/>
  <c r="Y52" i="12" s="1"/>
  <c r="X53" i="12"/>
  <c r="Y53" i="12" s="1"/>
  <c r="X54" i="12"/>
  <c r="Y54" i="12" s="1"/>
  <c r="X55" i="12"/>
  <c r="X56" i="12"/>
  <c r="X57" i="12"/>
  <c r="Y57" i="12" s="1"/>
  <c r="X58" i="12"/>
  <c r="Y58" i="12" s="1"/>
  <c r="X59" i="12"/>
  <c r="Y59" i="12" s="1"/>
  <c r="X60" i="12"/>
  <c r="Y60" i="12" s="1"/>
  <c r="X61" i="12"/>
  <c r="X62" i="12"/>
  <c r="X63" i="12"/>
  <c r="X64" i="12"/>
  <c r="X65" i="12"/>
  <c r="Y65" i="12" s="1"/>
  <c r="X66" i="12"/>
  <c r="X67" i="12"/>
  <c r="Y67" i="12" s="1"/>
  <c r="X68" i="12"/>
  <c r="Y68" i="12" s="1"/>
  <c r="X69" i="12"/>
  <c r="X70" i="12"/>
  <c r="X71" i="12"/>
  <c r="X72" i="12"/>
  <c r="Y72" i="12" s="1"/>
  <c r="X73" i="12"/>
  <c r="Y73" i="12" s="1"/>
  <c r="X74" i="12"/>
  <c r="Y74" i="12" s="1"/>
  <c r="X75" i="12"/>
  <c r="Y75" i="12" s="1"/>
  <c r="X76" i="12"/>
  <c r="Y76" i="12" s="1"/>
  <c r="X77" i="12"/>
  <c r="Y77" i="12" s="1"/>
  <c r="X78" i="12"/>
  <c r="X79" i="12"/>
  <c r="X80" i="12"/>
  <c r="Y80" i="12" s="1"/>
  <c r="X81" i="12"/>
  <c r="Y81" i="12" s="1"/>
  <c r="X82" i="12"/>
  <c r="Y82" i="12" s="1"/>
  <c r="X83" i="12"/>
  <c r="Y83" i="12" s="1"/>
  <c r="X84" i="12"/>
  <c r="Y84" i="12" s="1"/>
  <c r="X85" i="12"/>
  <c r="X86" i="12"/>
  <c r="X87" i="12"/>
  <c r="X88" i="12"/>
  <c r="Y88" i="12" s="1"/>
  <c r="X89" i="12"/>
  <c r="Y89" i="12" s="1"/>
  <c r="X90" i="12"/>
  <c r="X91" i="12"/>
  <c r="Y91" i="12" s="1"/>
  <c r="X92" i="12"/>
  <c r="Y92" i="12" s="1"/>
  <c r="X93" i="12"/>
  <c r="Y93" i="12" s="1"/>
  <c r="X94" i="12"/>
  <c r="X95" i="12"/>
  <c r="X96" i="12"/>
  <c r="Y96" i="12" s="1"/>
  <c r="X97" i="12"/>
  <c r="Y97" i="12" s="1"/>
  <c r="X98" i="12"/>
  <c r="Y98" i="12" s="1"/>
  <c r="X99" i="12"/>
  <c r="X100" i="12"/>
  <c r="Y100" i="12" s="1"/>
  <c r="X101" i="12"/>
  <c r="Y101" i="12" s="1"/>
  <c r="X102" i="12"/>
  <c r="X103" i="12"/>
  <c r="X104" i="12"/>
  <c r="X105" i="12"/>
  <c r="Y105" i="12" s="1"/>
  <c r="X106" i="12"/>
  <c r="X107" i="12"/>
  <c r="X108" i="12"/>
  <c r="Y108" i="12" s="1"/>
  <c r="X109" i="12"/>
  <c r="X110" i="12"/>
  <c r="X111" i="12"/>
  <c r="X112" i="12"/>
  <c r="Y112" i="12" s="1"/>
  <c r="X113" i="12"/>
  <c r="Y113" i="12" s="1"/>
  <c r="X114" i="12"/>
  <c r="Y114" i="12" s="1"/>
  <c r="X115" i="12"/>
  <c r="Y115" i="12" s="1"/>
  <c r="X116" i="12"/>
  <c r="Y116" i="12" s="1"/>
  <c r="X117" i="12"/>
  <c r="X118" i="12"/>
  <c r="X119" i="12"/>
  <c r="X120" i="12"/>
  <c r="X121" i="12"/>
  <c r="Y121" i="12" s="1"/>
  <c r="X122" i="12"/>
  <c r="Y122" i="12" s="1"/>
  <c r="X123" i="12"/>
  <c r="Y123" i="12" s="1"/>
  <c r="X124" i="12"/>
  <c r="Y124" i="12" s="1"/>
  <c r="X125" i="12"/>
  <c r="Y125" i="12" s="1"/>
  <c r="X126" i="12"/>
  <c r="X127" i="12"/>
  <c r="X128" i="12"/>
  <c r="X129" i="12"/>
  <c r="Y129" i="12" s="1"/>
  <c r="X130" i="12"/>
  <c r="Y130" i="12" s="1"/>
  <c r="X131" i="12"/>
  <c r="X132" i="12"/>
  <c r="Y132" i="12" s="1"/>
  <c r="X133" i="12"/>
  <c r="X134" i="12"/>
  <c r="X135" i="12"/>
  <c r="X136" i="12"/>
  <c r="Y136" i="12" s="1"/>
  <c r="X137" i="12"/>
  <c r="Y137" i="12" s="1"/>
  <c r="X138" i="12"/>
  <c r="Y138" i="12" s="1"/>
  <c r="X139" i="12"/>
  <c r="Y139" i="12" s="1"/>
  <c r="X140" i="12"/>
  <c r="Y140" i="12" s="1"/>
  <c r="X141" i="12"/>
  <c r="Y141" i="12" s="1"/>
  <c r="X142" i="12"/>
  <c r="X143" i="12"/>
  <c r="X144" i="12"/>
  <c r="Y144" i="12" s="1"/>
  <c r="X145" i="12"/>
  <c r="Y145" i="12" s="1"/>
  <c r="X146" i="12"/>
  <c r="Y146" i="12" s="1"/>
  <c r="X147" i="12"/>
  <c r="Y147" i="12" s="1"/>
  <c r="X148" i="12"/>
  <c r="Y148" i="12" s="1"/>
  <c r="X149" i="12"/>
  <c r="X150" i="12"/>
  <c r="X151" i="12"/>
  <c r="X152" i="12"/>
  <c r="X153" i="12"/>
  <c r="X154" i="12"/>
  <c r="Y154" i="12" s="1"/>
  <c r="X155" i="12"/>
  <c r="Y155" i="12" s="1"/>
  <c r="X156" i="12"/>
  <c r="Y156" i="12" s="1"/>
  <c r="X157" i="12"/>
  <c r="Y157" i="12" s="1"/>
  <c r="X158" i="12"/>
  <c r="X159" i="12"/>
  <c r="X160" i="12"/>
  <c r="Y160" i="12" s="1"/>
  <c r="X161" i="12"/>
  <c r="X162" i="12"/>
  <c r="Y162" i="12" s="1"/>
  <c r="X163" i="12"/>
  <c r="X164" i="12"/>
  <c r="Y164" i="12" s="1"/>
  <c r="X165" i="12"/>
  <c r="X166" i="12"/>
  <c r="X167" i="12"/>
  <c r="X168" i="12"/>
  <c r="Y168" i="12" s="1"/>
  <c r="X169" i="12"/>
  <c r="Y169" i="12" s="1"/>
  <c r="X170" i="12"/>
  <c r="Y170" i="12" s="1"/>
  <c r="X171" i="12"/>
  <c r="Y171" i="12" s="1"/>
  <c r="X172" i="12"/>
  <c r="Y172" i="12" s="1"/>
  <c r="X173" i="12"/>
  <c r="Y173" i="12" s="1"/>
  <c r="X174" i="12"/>
  <c r="X175" i="12"/>
  <c r="X176" i="12"/>
  <c r="Y176" i="12" s="1"/>
  <c r="X177" i="12"/>
  <c r="Y177" i="12" s="1"/>
  <c r="X178" i="12"/>
  <c r="Y178" i="12" s="1"/>
  <c r="X179" i="12"/>
  <c r="X180" i="12"/>
  <c r="Y180" i="12" s="1"/>
  <c r="X181" i="12"/>
  <c r="X182" i="12"/>
  <c r="X183" i="12"/>
  <c r="X184" i="12"/>
  <c r="X185" i="12"/>
  <c r="X186" i="12"/>
  <c r="Y186" i="12" s="1"/>
  <c r="X187" i="12"/>
  <c r="Y187" i="12" s="1"/>
  <c r="X188" i="12"/>
  <c r="Y188" i="12" s="1"/>
  <c r="X189" i="12"/>
  <c r="Y189" i="12" s="1"/>
  <c r="X190" i="12"/>
  <c r="X191" i="12"/>
  <c r="X3" i="12"/>
  <c r="X4" i="12"/>
  <c r="X5" i="12"/>
  <c r="X6" i="12"/>
  <c r="X8" i="12"/>
  <c r="X9" i="12"/>
  <c r="X10" i="12"/>
  <c r="X11" i="12"/>
  <c r="X12" i="12"/>
  <c r="Y12" i="12" s="1"/>
  <c r="X13" i="12"/>
  <c r="Y13" i="12" s="1"/>
  <c r="X14" i="12"/>
  <c r="X15" i="12"/>
  <c r="X16" i="12"/>
  <c r="X17" i="12"/>
  <c r="X18" i="12"/>
  <c r="X19" i="12"/>
  <c r="Y19" i="12" s="1"/>
  <c r="X20" i="12"/>
  <c r="Y20" i="12" s="1"/>
  <c r="X21" i="12"/>
  <c r="X22" i="12"/>
  <c r="X23" i="12"/>
  <c r="X24" i="12"/>
  <c r="X25" i="12"/>
  <c r="X26" i="12"/>
  <c r="X2" i="12"/>
  <c r="W27" i="12"/>
  <c r="W28" i="12"/>
  <c r="W29" i="12"/>
  <c r="W30" i="12"/>
  <c r="W31" i="12"/>
  <c r="W32" i="12"/>
  <c r="W33"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4" i="12"/>
  <c r="W5" i="12"/>
  <c r="W6" i="12"/>
  <c r="W8" i="12"/>
  <c r="W9" i="12"/>
  <c r="W10" i="12"/>
  <c r="W12" i="12"/>
  <c r="W15" i="12"/>
  <c r="W16" i="12"/>
  <c r="W17" i="12"/>
  <c r="W18" i="12"/>
  <c r="W20" i="12"/>
  <c r="W22" i="12"/>
  <c r="W23" i="12"/>
  <c r="W24" i="12"/>
  <c r="W25" i="12"/>
  <c r="W26" i="12"/>
  <c r="T28" i="12"/>
  <c r="T30" i="12"/>
  <c r="T31" i="12"/>
  <c r="T32" i="12"/>
  <c r="T34" i="12"/>
  <c r="T35" i="12"/>
  <c r="T36" i="12"/>
  <c r="T37" i="12"/>
  <c r="T38" i="12"/>
  <c r="T39" i="12"/>
  <c r="T40" i="12"/>
  <c r="T41" i="12"/>
  <c r="T42" i="12"/>
  <c r="T44" i="12"/>
  <c r="T46" i="12"/>
  <c r="T47" i="12"/>
  <c r="T48" i="12"/>
  <c r="T49" i="12"/>
  <c r="T50" i="12"/>
  <c r="T54" i="12"/>
  <c r="T55" i="12"/>
  <c r="T56" i="12"/>
  <c r="T57" i="12"/>
  <c r="T58" i="12"/>
  <c r="T59" i="12"/>
  <c r="T61" i="12"/>
  <c r="T62" i="12"/>
  <c r="T63" i="12"/>
  <c r="T64" i="12"/>
  <c r="T65" i="12"/>
  <c r="T69" i="12"/>
  <c r="T70" i="12"/>
  <c r="T71" i="12"/>
  <c r="T72" i="12"/>
  <c r="T73" i="12"/>
  <c r="T77" i="12"/>
  <c r="T78" i="12"/>
  <c r="T79" i="12"/>
  <c r="T80" i="12"/>
  <c r="T81" i="12"/>
  <c r="T82" i="12"/>
  <c r="T86" i="12"/>
  <c r="T87" i="12"/>
  <c r="T88" i="12"/>
  <c r="T90" i="12"/>
  <c r="T93" i="12"/>
  <c r="T94" i="12"/>
  <c r="T95" i="12"/>
  <c r="T96" i="12"/>
  <c r="T98" i="12"/>
  <c r="T101" i="12"/>
  <c r="T102" i="12"/>
  <c r="T103" i="12"/>
  <c r="T104" i="12"/>
  <c r="T105" i="12"/>
  <c r="T106" i="12"/>
  <c r="T110" i="12"/>
  <c r="T111" i="12"/>
  <c r="T112" i="12"/>
  <c r="T113" i="12"/>
  <c r="T114" i="12"/>
  <c r="T115" i="12"/>
  <c r="T118" i="12"/>
  <c r="T119" i="12"/>
  <c r="T120" i="12"/>
  <c r="T121" i="12"/>
  <c r="T122" i="12"/>
  <c r="T125" i="12"/>
  <c r="T126" i="12"/>
  <c r="T127" i="12"/>
  <c r="T128" i="12"/>
  <c r="T129" i="12"/>
  <c r="T131" i="12"/>
  <c r="T133" i="12"/>
  <c r="T134" i="12"/>
  <c r="T135" i="12"/>
  <c r="T136" i="12"/>
  <c r="T137" i="12"/>
  <c r="T141" i="12"/>
  <c r="T142" i="12"/>
  <c r="T143" i="12"/>
  <c r="T144" i="12"/>
  <c r="T145" i="12"/>
  <c r="T146" i="12"/>
  <c r="T149" i="12"/>
  <c r="T150" i="12"/>
  <c r="T151" i="12"/>
  <c r="T152" i="12"/>
  <c r="T154" i="12"/>
  <c r="T157" i="12"/>
  <c r="T158" i="12"/>
  <c r="T159" i="12"/>
  <c r="T160" i="12"/>
  <c r="T162" i="12"/>
  <c r="T165" i="12"/>
  <c r="T166" i="12"/>
  <c r="T167" i="12"/>
  <c r="T168" i="12"/>
  <c r="T169" i="12"/>
  <c r="T170" i="12"/>
  <c r="T171" i="12"/>
  <c r="T174" i="12"/>
  <c r="T175" i="12"/>
  <c r="T176" i="12"/>
  <c r="T177" i="12"/>
  <c r="T178" i="12"/>
  <c r="T182" i="12"/>
  <c r="T183" i="12"/>
  <c r="T184" i="12"/>
  <c r="T185" i="12"/>
  <c r="T186" i="12"/>
  <c r="T187" i="12"/>
  <c r="T189" i="12"/>
  <c r="T190" i="12"/>
  <c r="T191" i="12"/>
  <c r="T8" i="12"/>
  <c r="T9" i="12"/>
  <c r="T10" i="12"/>
  <c r="T16" i="12"/>
  <c r="T18" i="12"/>
  <c r="T22" i="12"/>
  <c r="T24" i="12"/>
  <c r="T25" i="12"/>
  <c r="T26" i="12"/>
  <c r="S2" i="12"/>
  <c r="R27" i="12"/>
  <c r="R28" i="12"/>
  <c r="R29" i="12"/>
  <c r="R30" i="12"/>
  <c r="R31" i="12"/>
  <c r="R32" i="12"/>
  <c r="R33" i="12"/>
  <c r="R34" i="12"/>
  <c r="R35" i="12"/>
  <c r="R36" i="12"/>
  <c r="R37" i="12"/>
  <c r="R38" i="12"/>
  <c r="R39" i="12"/>
  <c r="R40"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3" i="12"/>
  <c r="R164" i="12"/>
  <c r="R165" i="12"/>
  <c r="R166" i="12"/>
  <c r="R167" i="12"/>
  <c r="R168" i="12"/>
  <c r="R169" i="12"/>
  <c r="R170" i="12"/>
  <c r="R171" i="12"/>
  <c r="R172" i="12"/>
  <c r="R173" i="12"/>
  <c r="R174" i="12"/>
  <c r="R175" i="12"/>
  <c r="R176" i="12"/>
  <c r="R177" i="12"/>
  <c r="R178" i="12"/>
  <c r="R179" i="12"/>
  <c r="R180" i="12"/>
  <c r="R181" i="12"/>
  <c r="R182" i="12"/>
  <c r="R183" i="12"/>
  <c r="R184" i="12"/>
  <c r="R187" i="12"/>
  <c r="R188" i="12"/>
  <c r="R189" i="12"/>
  <c r="R190" i="12"/>
  <c r="R191" i="12"/>
  <c r="R3" i="12"/>
  <c r="R4" i="12"/>
  <c r="R5" i="12"/>
  <c r="R6" i="12"/>
  <c r="R9" i="12"/>
  <c r="R10" i="12"/>
  <c r="R11" i="12"/>
  <c r="R12" i="12"/>
  <c r="R13" i="12"/>
  <c r="R14" i="12"/>
  <c r="R15" i="12"/>
  <c r="R17" i="12"/>
  <c r="R18" i="12"/>
  <c r="R19" i="12"/>
  <c r="R20" i="12"/>
  <c r="R21" i="12"/>
  <c r="R22" i="12"/>
  <c r="R23" i="12"/>
  <c r="R24" i="12"/>
  <c r="R25" i="12"/>
  <c r="R26" i="12"/>
  <c r="R2" i="12"/>
  <c r="P2" i="12"/>
  <c r="N2" i="12"/>
  <c r="L2" i="12"/>
  <c r="J2" i="12"/>
  <c r="H2" i="12"/>
  <c r="F2" i="12"/>
  <c r="BH4" i="12"/>
  <c r="BH5" i="12"/>
  <c r="BH9" i="12"/>
  <c r="BH12" i="12"/>
  <c r="BH17" i="12"/>
  <c r="BH18" i="12"/>
  <c r="BH20" i="12"/>
  <c r="BH25" i="12"/>
  <c r="BF4" i="12"/>
  <c r="BF12" i="12"/>
  <c r="BF13" i="12"/>
  <c r="BF20" i="12"/>
  <c r="BC15" i="12"/>
  <c r="BC23" i="12"/>
  <c r="BA4" i="12"/>
  <c r="BA5" i="12"/>
  <c r="BA6" i="12"/>
  <c r="BA8" i="12"/>
  <c r="BA12" i="12"/>
  <c r="BA13" i="12"/>
  <c r="BA14" i="12"/>
  <c r="BA15" i="12"/>
  <c r="BA16" i="12"/>
  <c r="BA20" i="12"/>
  <c r="BA21" i="12"/>
  <c r="BA22" i="12"/>
  <c r="BA23" i="12"/>
  <c r="BA24" i="12"/>
  <c r="AX4" i="12"/>
  <c r="AX5" i="12"/>
  <c r="AX19" i="12"/>
  <c r="AX2" i="12"/>
  <c r="AV3" i="12"/>
  <c r="AV4" i="12"/>
  <c r="AV6" i="12"/>
  <c r="AV11" i="12"/>
  <c r="AV12" i="12"/>
  <c r="AV14" i="12"/>
  <c r="AV15" i="12"/>
  <c r="AV19" i="12"/>
  <c r="AV20" i="12"/>
  <c r="AV22" i="12"/>
  <c r="AV23" i="12"/>
  <c r="AV2" i="12"/>
  <c r="AQ4" i="12"/>
  <c r="AQ5" i="12"/>
  <c r="AQ8" i="12"/>
  <c r="AQ12" i="12"/>
  <c r="AQ16" i="12"/>
  <c r="AQ20" i="12"/>
  <c r="AQ21" i="12"/>
  <c r="AQ24" i="12"/>
  <c r="AN15" i="12"/>
  <c r="AN16" i="12"/>
  <c r="AN23" i="12"/>
  <c r="AI6" i="12"/>
  <c r="AI14" i="12"/>
  <c r="AI22" i="12"/>
  <c r="AI23" i="12"/>
  <c r="AG15" i="12"/>
  <c r="AD8" i="12"/>
  <c r="AD2" i="12"/>
  <c r="AB4" i="12"/>
  <c r="AB8" i="12"/>
  <c r="AB15" i="12"/>
  <c r="AB16" i="12"/>
  <c r="AB18" i="12"/>
  <c r="AB20" i="12"/>
  <c r="AB26" i="12"/>
  <c r="Y6" i="12"/>
  <c r="Y22" i="12"/>
  <c r="W3" i="12"/>
  <c r="W11" i="12"/>
  <c r="W14" i="12"/>
  <c r="W19" i="12"/>
  <c r="W21" i="12"/>
  <c r="W2" i="12"/>
  <c r="T21" i="12"/>
  <c r="BC405" i="21" l="1"/>
  <c r="BD405" i="21"/>
  <c r="BI189" i="12"/>
  <c r="BI181" i="12"/>
  <c r="BI173" i="12"/>
  <c r="BI165" i="12"/>
  <c r="BI157" i="12"/>
  <c r="BI149" i="12"/>
  <c r="BI141" i="12"/>
  <c r="BI133" i="12"/>
  <c r="BI125" i="12"/>
  <c r="BI117" i="12"/>
  <c r="BI109" i="12"/>
  <c r="BI101" i="12"/>
  <c r="BI93" i="12"/>
  <c r="BI85" i="12"/>
  <c r="BI77" i="12"/>
  <c r="BI69" i="12"/>
  <c r="BI61" i="12"/>
  <c r="BI53" i="12"/>
  <c r="BI45" i="12"/>
  <c r="BI37" i="12"/>
  <c r="BI29" i="12"/>
  <c r="BD155" i="12"/>
  <c r="BI34" i="12"/>
  <c r="BD19" i="12"/>
  <c r="BD11" i="12"/>
  <c r="BD3" i="12"/>
  <c r="AY9" i="12"/>
  <c r="BD26" i="12"/>
  <c r="BD18" i="12"/>
  <c r="BD10" i="12"/>
  <c r="BI188" i="12"/>
  <c r="BI180" i="12"/>
  <c r="BI172" i="12"/>
  <c r="BI164" i="12"/>
  <c r="BI156" i="12"/>
  <c r="BI148" i="12"/>
  <c r="BI140" i="12"/>
  <c r="BI132" i="12"/>
  <c r="BI124" i="12"/>
  <c r="BI116" i="12"/>
  <c r="BI108" i="12"/>
  <c r="BI100" i="12"/>
  <c r="BI92" i="12"/>
  <c r="BI84" i="12"/>
  <c r="BI76" i="12"/>
  <c r="BI68" i="12"/>
  <c r="BI60" i="12"/>
  <c r="BI52" i="12"/>
  <c r="BI44" i="12"/>
  <c r="BI36" i="12"/>
  <c r="BI28" i="12"/>
  <c r="AY22" i="12"/>
  <c r="AY14" i="12"/>
  <c r="BD82" i="12"/>
  <c r="BI187" i="12"/>
  <c r="BI179" i="12"/>
  <c r="BI171" i="12"/>
  <c r="BI163" i="12"/>
  <c r="BI155" i="12"/>
  <c r="BI147" i="12"/>
  <c r="BI139" i="12"/>
  <c r="BI131" i="12"/>
  <c r="BI123" i="12"/>
  <c r="BI115" i="12"/>
  <c r="BI107" i="12"/>
  <c r="BI99" i="12"/>
  <c r="BI91" i="12"/>
  <c r="BI83" i="12"/>
  <c r="BI75" i="12"/>
  <c r="BI67" i="12"/>
  <c r="BI59" i="12"/>
  <c r="BI51" i="12"/>
  <c r="BI43" i="12"/>
  <c r="BI35" i="12"/>
  <c r="BI27" i="12"/>
  <c r="BD50" i="12"/>
  <c r="BH116" i="12"/>
  <c r="BH84" i="12"/>
  <c r="BI186" i="12"/>
  <c r="BI154" i="12"/>
  <c r="BI122" i="12"/>
  <c r="BI90" i="12"/>
  <c r="BI58" i="12"/>
  <c r="BD154" i="12"/>
  <c r="BH172" i="12"/>
  <c r="BH140" i="12"/>
  <c r="BH52" i="12"/>
  <c r="BI185" i="12"/>
  <c r="BI153" i="12"/>
  <c r="BI121" i="12"/>
  <c r="BI89" i="12"/>
  <c r="BI57" i="12"/>
  <c r="BD130" i="12"/>
  <c r="BH108" i="12"/>
  <c r="BH76" i="12"/>
  <c r="BI178" i="12"/>
  <c r="BI146" i="12"/>
  <c r="BI114" i="12"/>
  <c r="BI82" i="12"/>
  <c r="BI50" i="12"/>
  <c r="BD98" i="12"/>
  <c r="BH164" i="12"/>
  <c r="BH132" i="12"/>
  <c r="BH44" i="12"/>
  <c r="BI177" i="12"/>
  <c r="BI145" i="12"/>
  <c r="BI113" i="12"/>
  <c r="BI81" i="12"/>
  <c r="BI49" i="12"/>
  <c r="BH131" i="12"/>
  <c r="BH100" i="12"/>
  <c r="BH68" i="12"/>
  <c r="BI170" i="12"/>
  <c r="BI138" i="12"/>
  <c r="BI106" i="12"/>
  <c r="BI74" i="12"/>
  <c r="BI42" i="12"/>
  <c r="BH188" i="12"/>
  <c r="BH156" i="12"/>
  <c r="BH67" i="12"/>
  <c r="BH36" i="12"/>
  <c r="BI169" i="12"/>
  <c r="BI137" i="12"/>
  <c r="BI105" i="12"/>
  <c r="BI73" i="12"/>
  <c r="BI41" i="12"/>
  <c r="AY21" i="12"/>
  <c r="AY13" i="12"/>
  <c r="AY5" i="12"/>
  <c r="AY186" i="12"/>
  <c r="AY178" i="12"/>
  <c r="AY170" i="12"/>
  <c r="AY162" i="12"/>
  <c r="AY154" i="12"/>
  <c r="AY146" i="12"/>
  <c r="AY138" i="12"/>
  <c r="AY130" i="12"/>
  <c r="AY122" i="12"/>
  <c r="AY114" i="12"/>
  <c r="AY106" i="12"/>
  <c r="AY98" i="12"/>
  <c r="AY90" i="12"/>
  <c r="AY82" i="12"/>
  <c r="AY74" i="12"/>
  <c r="AY27" i="12"/>
  <c r="BH124" i="12"/>
  <c r="BH92" i="12"/>
  <c r="BI162" i="12"/>
  <c r="BI130" i="12"/>
  <c r="BI98" i="12"/>
  <c r="BI66" i="12"/>
  <c r="BD186" i="12"/>
  <c r="BH180" i="12"/>
  <c r="BH148" i="12"/>
  <c r="BH60" i="12"/>
  <c r="BH28" i="12"/>
  <c r="BI161" i="12"/>
  <c r="BI129" i="12"/>
  <c r="BI97" i="12"/>
  <c r="BI65" i="12"/>
  <c r="BI33" i="12"/>
  <c r="AE6" i="12"/>
  <c r="BH147" i="12"/>
  <c r="BH83" i="12"/>
  <c r="AE14" i="12"/>
  <c r="BH171" i="12"/>
  <c r="BH107" i="12"/>
  <c r="BH43" i="12"/>
  <c r="BH187" i="12"/>
  <c r="BH123" i="12"/>
  <c r="BH59" i="12"/>
  <c r="BA58" i="12"/>
  <c r="BD106" i="12"/>
  <c r="BI184" i="12"/>
  <c r="BI176" i="12"/>
  <c r="BI168" i="12"/>
  <c r="BI160" i="12"/>
  <c r="BI152" i="12"/>
  <c r="BI144" i="12"/>
  <c r="BI136" i="12"/>
  <c r="BI128" i="12"/>
  <c r="BI120" i="12"/>
  <c r="BI112" i="12"/>
  <c r="BI104" i="12"/>
  <c r="BI96" i="12"/>
  <c r="BI88" i="12"/>
  <c r="BI80" i="12"/>
  <c r="BI72" i="12"/>
  <c r="BI64" i="12"/>
  <c r="BI56" i="12"/>
  <c r="BI48" i="12"/>
  <c r="BI40" i="12"/>
  <c r="BI32" i="12"/>
  <c r="BH163" i="12"/>
  <c r="BH99" i="12"/>
  <c r="BH35" i="12"/>
  <c r="BH191" i="12"/>
  <c r="BI191" i="12"/>
  <c r="BH183" i="12"/>
  <c r="BI183" i="12"/>
  <c r="BH175" i="12"/>
  <c r="BI175" i="12"/>
  <c r="BH167" i="12"/>
  <c r="BI167" i="12"/>
  <c r="BH159" i="12"/>
  <c r="BI159" i="12"/>
  <c r="BH151" i="12"/>
  <c r="BI151" i="12"/>
  <c r="BH143" i="12"/>
  <c r="BI143" i="12"/>
  <c r="BH135" i="12"/>
  <c r="BI135" i="12"/>
  <c r="BH127" i="12"/>
  <c r="BI127" i="12"/>
  <c r="BH119" i="12"/>
  <c r="BI119" i="12"/>
  <c r="BH111" i="12"/>
  <c r="BI111" i="12"/>
  <c r="BH103" i="12"/>
  <c r="BI103" i="12"/>
  <c r="BH95" i="12"/>
  <c r="BI95" i="12"/>
  <c r="BH87" i="12"/>
  <c r="BI87" i="12"/>
  <c r="BH79" i="12"/>
  <c r="BI79" i="12"/>
  <c r="BH71" i="12"/>
  <c r="BI71" i="12"/>
  <c r="BH63" i="12"/>
  <c r="BI63" i="12"/>
  <c r="BH55" i="12"/>
  <c r="BI55" i="12"/>
  <c r="BH47" i="12"/>
  <c r="BI47" i="12"/>
  <c r="BH39" i="12"/>
  <c r="BI39" i="12"/>
  <c r="BH31" i="12"/>
  <c r="BI31" i="12"/>
  <c r="BH139" i="12"/>
  <c r="BH75" i="12"/>
  <c r="AY25" i="12"/>
  <c r="BH190" i="12"/>
  <c r="BI190" i="12"/>
  <c r="BH182" i="12"/>
  <c r="BI182" i="12"/>
  <c r="BH174" i="12"/>
  <c r="BI174" i="12"/>
  <c r="BH166" i="12"/>
  <c r="BI166" i="12"/>
  <c r="BH158" i="12"/>
  <c r="BI158" i="12"/>
  <c r="BH150" i="12"/>
  <c r="BI150" i="12"/>
  <c r="BH142" i="12"/>
  <c r="BI142" i="12"/>
  <c r="BH134" i="12"/>
  <c r="BI134" i="12"/>
  <c r="BH126" i="12"/>
  <c r="BI126" i="12"/>
  <c r="BH118" i="12"/>
  <c r="BI118" i="12"/>
  <c r="BH110" i="12"/>
  <c r="BI110" i="12"/>
  <c r="BH102" i="12"/>
  <c r="BI102" i="12"/>
  <c r="BH94" i="12"/>
  <c r="BI94" i="12"/>
  <c r="BH86" i="12"/>
  <c r="BI86" i="12"/>
  <c r="BH78" i="12"/>
  <c r="BI78" i="12"/>
  <c r="BH70" i="12"/>
  <c r="BI70" i="12"/>
  <c r="BH62" i="12"/>
  <c r="BI62" i="12"/>
  <c r="BH54" i="12"/>
  <c r="BI54" i="12"/>
  <c r="BH46" i="12"/>
  <c r="BI46" i="12"/>
  <c r="BH38" i="12"/>
  <c r="BI38" i="12"/>
  <c r="BH30" i="12"/>
  <c r="BI30" i="12"/>
  <c r="BH179" i="12"/>
  <c r="BH115" i="12"/>
  <c r="BH51" i="12"/>
  <c r="AY17" i="12"/>
  <c r="BD5" i="12"/>
  <c r="BH155" i="12"/>
  <c r="BH91" i="12"/>
  <c r="BH27" i="12"/>
  <c r="AY66" i="12"/>
  <c r="AY58" i="12"/>
  <c r="AY50" i="12"/>
  <c r="AY42" i="12"/>
  <c r="AY34" i="12"/>
  <c r="BD20" i="12"/>
  <c r="BD12" i="12"/>
  <c r="BD4" i="12"/>
  <c r="BD162" i="12"/>
  <c r="BD114" i="12"/>
  <c r="BD59" i="12"/>
  <c r="BH189" i="12"/>
  <c r="BH181" i="12"/>
  <c r="BH173" i="12"/>
  <c r="BH165" i="12"/>
  <c r="BH157" i="12"/>
  <c r="BH149" i="12"/>
  <c r="BH141" i="12"/>
  <c r="BH133" i="12"/>
  <c r="BH125" i="12"/>
  <c r="BH117" i="12"/>
  <c r="BH109" i="12"/>
  <c r="BH101" i="12"/>
  <c r="BH93" i="12"/>
  <c r="BH85" i="12"/>
  <c r="BH77" i="12"/>
  <c r="BH69" i="12"/>
  <c r="BH61" i="12"/>
  <c r="BH53" i="12"/>
  <c r="BH45" i="12"/>
  <c r="BH37" i="12"/>
  <c r="BH29" i="12"/>
  <c r="AY19" i="12"/>
  <c r="AY11" i="12"/>
  <c r="BD146" i="12"/>
  <c r="BD91" i="12"/>
  <c r="BD42" i="12"/>
  <c r="BD187" i="12"/>
  <c r="BD138" i="12"/>
  <c r="BD90" i="12"/>
  <c r="BD34" i="12"/>
  <c r="AY115" i="12"/>
  <c r="BD178" i="12"/>
  <c r="BD123" i="12"/>
  <c r="BD74" i="12"/>
  <c r="BD170" i="12"/>
  <c r="BD122" i="12"/>
  <c r="BD66" i="12"/>
  <c r="AT19" i="12"/>
  <c r="AT11" i="12"/>
  <c r="AT3" i="12"/>
  <c r="AY24" i="12"/>
  <c r="AY16" i="12"/>
  <c r="AY8" i="12"/>
  <c r="AY189" i="12"/>
  <c r="AY181" i="12"/>
  <c r="AY173" i="12"/>
  <c r="AY165" i="12"/>
  <c r="AY157" i="12"/>
  <c r="AY149" i="12"/>
  <c r="AY141" i="12"/>
  <c r="AY133" i="12"/>
  <c r="AY125" i="12"/>
  <c r="AY117" i="12"/>
  <c r="AY112" i="12"/>
  <c r="AY107" i="12"/>
  <c r="BC184" i="12"/>
  <c r="BD184" i="12"/>
  <c r="BC176" i="12"/>
  <c r="BD176" i="12"/>
  <c r="BC168" i="12"/>
  <c r="BD168" i="12"/>
  <c r="BC160" i="12"/>
  <c r="BD160" i="12"/>
  <c r="BC152" i="12"/>
  <c r="BD152" i="12"/>
  <c r="BC144" i="12"/>
  <c r="BD144" i="12"/>
  <c r="BC136" i="12"/>
  <c r="BD136" i="12"/>
  <c r="BC128" i="12"/>
  <c r="BD128" i="12"/>
  <c r="BC120" i="12"/>
  <c r="BD120" i="12"/>
  <c r="BC112" i="12"/>
  <c r="BD112" i="12"/>
  <c r="BC104" i="12"/>
  <c r="BD104" i="12"/>
  <c r="BC96" i="12"/>
  <c r="BD96" i="12"/>
  <c r="BC88" i="12"/>
  <c r="BD88" i="12"/>
  <c r="BC80" i="12"/>
  <c r="BD80" i="12"/>
  <c r="BC72" i="12"/>
  <c r="BD72" i="12"/>
  <c r="BC64" i="12"/>
  <c r="BD64" i="12"/>
  <c r="BC56" i="12"/>
  <c r="BD56" i="12"/>
  <c r="BC48" i="12"/>
  <c r="BD48" i="12"/>
  <c r="BC40" i="12"/>
  <c r="BD40" i="12"/>
  <c r="BC32" i="12"/>
  <c r="BD32" i="12"/>
  <c r="BD179" i="12"/>
  <c r="BD147" i="12"/>
  <c r="BD115" i="12"/>
  <c r="BD83" i="12"/>
  <c r="BD51" i="12"/>
  <c r="AY6" i="12"/>
  <c r="AX187" i="12"/>
  <c r="AY187" i="12"/>
  <c r="AX179" i="12"/>
  <c r="AY179" i="12"/>
  <c r="AX139" i="12"/>
  <c r="AY139" i="12"/>
  <c r="AX131" i="12"/>
  <c r="AY131" i="12"/>
  <c r="AX123" i="12"/>
  <c r="AY123" i="12"/>
  <c r="AX91" i="12"/>
  <c r="AY91" i="12"/>
  <c r="AX83" i="12"/>
  <c r="AY83" i="12"/>
  <c r="AX75" i="12"/>
  <c r="AY75" i="12"/>
  <c r="AY99" i="12"/>
  <c r="BC191" i="12"/>
  <c r="BD191" i="12"/>
  <c r="BC183" i="12"/>
  <c r="BD183" i="12"/>
  <c r="BC175" i="12"/>
  <c r="BD175" i="12"/>
  <c r="BC167" i="12"/>
  <c r="BD167" i="12"/>
  <c r="BC159" i="12"/>
  <c r="BD159" i="12"/>
  <c r="BC151" i="12"/>
  <c r="BD151" i="12"/>
  <c r="BC143" i="12"/>
  <c r="BD143" i="12"/>
  <c r="BC135" i="12"/>
  <c r="BD135" i="12"/>
  <c r="BC127" i="12"/>
  <c r="BD127" i="12"/>
  <c r="BC119" i="12"/>
  <c r="BD119" i="12"/>
  <c r="BC111" i="12"/>
  <c r="BD111" i="12"/>
  <c r="BC103" i="12"/>
  <c r="BD103" i="12"/>
  <c r="BC95" i="12"/>
  <c r="BD95" i="12"/>
  <c r="BC87" i="12"/>
  <c r="BD87" i="12"/>
  <c r="BC79" i="12"/>
  <c r="BD79" i="12"/>
  <c r="BC71" i="12"/>
  <c r="BD71" i="12"/>
  <c r="BC63" i="12"/>
  <c r="BD63" i="12"/>
  <c r="BC55" i="12"/>
  <c r="BD55" i="12"/>
  <c r="BC47" i="12"/>
  <c r="BD47" i="12"/>
  <c r="BC39" i="12"/>
  <c r="BD39" i="12"/>
  <c r="BC31" i="12"/>
  <c r="BD31" i="12"/>
  <c r="U185" i="12"/>
  <c r="AY171" i="12"/>
  <c r="AY67" i="12"/>
  <c r="BD17" i="12"/>
  <c r="BD171" i="12"/>
  <c r="BD139" i="12"/>
  <c r="BD107" i="12"/>
  <c r="BD75" i="12"/>
  <c r="BD43" i="12"/>
  <c r="AE97" i="12"/>
  <c r="AE89" i="12"/>
  <c r="AE81" i="12"/>
  <c r="AE73" i="12"/>
  <c r="AE65" i="12"/>
  <c r="AE57" i="12"/>
  <c r="AE49" i="12"/>
  <c r="AE41" i="12"/>
  <c r="AE33" i="12"/>
  <c r="AY20" i="12"/>
  <c r="AY12" i="12"/>
  <c r="AY4" i="12"/>
  <c r="AY163" i="12"/>
  <c r="AY59" i="12"/>
  <c r="BD16" i="12"/>
  <c r="BD189" i="12"/>
  <c r="BD181" i="12"/>
  <c r="BD173" i="12"/>
  <c r="BD165" i="12"/>
  <c r="BD157" i="12"/>
  <c r="BD149" i="12"/>
  <c r="BD141" i="12"/>
  <c r="BD133" i="12"/>
  <c r="BD125" i="12"/>
  <c r="BD117" i="12"/>
  <c r="BD109" i="12"/>
  <c r="BD101" i="12"/>
  <c r="BD93" i="12"/>
  <c r="BD85" i="12"/>
  <c r="BD77" i="12"/>
  <c r="BD69" i="12"/>
  <c r="BD61" i="12"/>
  <c r="BD53" i="12"/>
  <c r="BD45" i="12"/>
  <c r="BD37" i="12"/>
  <c r="BD29" i="12"/>
  <c r="AT21" i="12"/>
  <c r="AT146" i="12"/>
  <c r="AT114" i="12"/>
  <c r="AX176" i="12"/>
  <c r="AY176" i="12"/>
  <c r="AX144" i="12"/>
  <c r="AY144" i="12"/>
  <c r="AX80" i="12"/>
  <c r="AY80" i="12"/>
  <c r="AY155" i="12"/>
  <c r="AY51" i="12"/>
  <c r="BD23" i="12"/>
  <c r="BD15" i="12"/>
  <c r="BD188" i="12"/>
  <c r="BD180" i="12"/>
  <c r="BD172" i="12"/>
  <c r="BD164" i="12"/>
  <c r="BD156" i="12"/>
  <c r="BD148" i="12"/>
  <c r="BD140" i="12"/>
  <c r="BD132" i="12"/>
  <c r="BD124" i="12"/>
  <c r="BD116" i="12"/>
  <c r="BD108" i="12"/>
  <c r="BD100" i="12"/>
  <c r="BD92" i="12"/>
  <c r="BD84" i="12"/>
  <c r="BD76" i="12"/>
  <c r="BD68" i="12"/>
  <c r="BD60" i="12"/>
  <c r="BD52" i="12"/>
  <c r="BD44" i="12"/>
  <c r="BD36" i="12"/>
  <c r="BD28" i="12"/>
  <c r="BD163" i="12"/>
  <c r="BD131" i="12"/>
  <c r="BD99" i="12"/>
  <c r="BD67" i="12"/>
  <c r="BD35" i="12"/>
  <c r="AY26" i="12"/>
  <c r="AY10" i="12"/>
  <c r="AY147" i="12"/>
  <c r="AY48" i="12"/>
  <c r="BD27" i="12"/>
  <c r="BC27" i="12"/>
  <c r="BD185" i="12"/>
  <c r="BD177" i="12"/>
  <c r="BD169" i="12"/>
  <c r="BD161" i="12"/>
  <c r="BD153" i="12"/>
  <c r="BD145" i="12"/>
  <c r="BD137" i="12"/>
  <c r="BD129" i="12"/>
  <c r="BD121" i="12"/>
  <c r="BD113" i="12"/>
  <c r="BD105" i="12"/>
  <c r="BD97" i="12"/>
  <c r="BD89" i="12"/>
  <c r="BD81" i="12"/>
  <c r="BD73" i="12"/>
  <c r="BD65" i="12"/>
  <c r="BD57" i="12"/>
  <c r="BD49" i="12"/>
  <c r="BD41" i="12"/>
  <c r="BD33" i="12"/>
  <c r="AY109" i="12"/>
  <c r="AY101" i="12"/>
  <c r="AY93" i="12"/>
  <c r="AY85" i="12"/>
  <c r="AY77" i="12"/>
  <c r="AY69" i="12"/>
  <c r="AY61" i="12"/>
  <c r="AY53" i="12"/>
  <c r="AY45" i="12"/>
  <c r="AY37" i="12"/>
  <c r="AY29" i="12"/>
  <c r="AY43" i="12"/>
  <c r="AY35" i="12"/>
  <c r="BD25" i="12"/>
  <c r="BD9" i="12"/>
  <c r="BD190" i="12"/>
  <c r="BD182" i="12"/>
  <c r="BD174" i="12"/>
  <c r="BD166" i="12"/>
  <c r="BD158" i="12"/>
  <c r="BD150" i="12"/>
  <c r="BD142" i="12"/>
  <c r="BD134" i="12"/>
  <c r="BD126" i="12"/>
  <c r="BD118" i="12"/>
  <c r="BD110" i="12"/>
  <c r="BD102" i="12"/>
  <c r="BD94" i="12"/>
  <c r="BD86" i="12"/>
  <c r="BD78" i="12"/>
  <c r="BD70" i="12"/>
  <c r="BD62" i="12"/>
  <c r="BD54" i="12"/>
  <c r="BD46" i="12"/>
  <c r="BD38" i="12"/>
  <c r="BD30" i="12"/>
  <c r="BD24" i="12"/>
  <c r="BD8" i="12"/>
  <c r="AV146" i="12"/>
  <c r="AV82" i="12"/>
  <c r="AX133" i="12"/>
  <c r="AQ22" i="12"/>
  <c r="AJ178" i="12"/>
  <c r="AJ170" i="12"/>
  <c r="AJ162" i="12"/>
  <c r="AJ154" i="12"/>
  <c r="AJ130" i="12"/>
  <c r="AJ114" i="12"/>
  <c r="AJ106" i="12"/>
  <c r="AJ98" i="12"/>
  <c r="AJ90" i="12"/>
  <c r="AJ66" i="12"/>
  <c r="AJ42" i="12"/>
  <c r="AJ34" i="12"/>
  <c r="AO22" i="12"/>
  <c r="AO18" i="12"/>
  <c r="AT59" i="12"/>
  <c r="AV186" i="12"/>
  <c r="AV122" i="12"/>
  <c r="AV58" i="12"/>
  <c r="AY23" i="12"/>
  <c r="AY15" i="12"/>
  <c r="AY188" i="12"/>
  <c r="AY180" i="12"/>
  <c r="AY172" i="12"/>
  <c r="AY164" i="12"/>
  <c r="AY156" i="12"/>
  <c r="AY148" i="12"/>
  <c r="AY140" i="12"/>
  <c r="AY132" i="12"/>
  <c r="AY124" i="12"/>
  <c r="AY116" i="12"/>
  <c r="AY108" i="12"/>
  <c r="AY100" i="12"/>
  <c r="AY92" i="12"/>
  <c r="AY84" i="12"/>
  <c r="AY76" i="12"/>
  <c r="AY68" i="12"/>
  <c r="AY60" i="12"/>
  <c r="AY52" i="12"/>
  <c r="AY44" i="12"/>
  <c r="AY36" i="12"/>
  <c r="AY28" i="12"/>
  <c r="AX173" i="12"/>
  <c r="AX109" i="12"/>
  <c r="AX45" i="12"/>
  <c r="AY184" i="12"/>
  <c r="AY152" i="12"/>
  <c r="AY120" i="12"/>
  <c r="AY88" i="12"/>
  <c r="AY56" i="12"/>
  <c r="AT91" i="12"/>
  <c r="AX69" i="12"/>
  <c r="AE20" i="12"/>
  <c r="AE12" i="12"/>
  <c r="AE4" i="12"/>
  <c r="AE185" i="12"/>
  <c r="AE177" i="12"/>
  <c r="AE169" i="12"/>
  <c r="AE161" i="12"/>
  <c r="AE153" i="12"/>
  <c r="AE145" i="12"/>
  <c r="AE137" i="12"/>
  <c r="AE129" i="12"/>
  <c r="AE121" i="12"/>
  <c r="AE113" i="12"/>
  <c r="AE105" i="12"/>
  <c r="AO21" i="12"/>
  <c r="AO13" i="12"/>
  <c r="AO5" i="12"/>
  <c r="AO186" i="12"/>
  <c r="AO170" i="12"/>
  <c r="AO162" i="12"/>
  <c r="AO154" i="12"/>
  <c r="AO138" i="12"/>
  <c r="AO122" i="12"/>
  <c r="AO106" i="12"/>
  <c r="AO98" i="12"/>
  <c r="AO90" i="12"/>
  <c r="AO74" i="12"/>
  <c r="AO58" i="12"/>
  <c r="AO42" i="12"/>
  <c r="AO34" i="12"/>
  <c r="AT20" i="12"/>
  <c r="AT12" i="12"/>
  <c r="AT4" i="12"/>
  <c r="AT185" i="12"/>
  <c r="AQ185" i="12"/>
  <c r="AT177" i="12"/>
  <c r="AT169" i="12"/>
  <c r="AT161" i="12"/>
  <c r="AQ161" i="12"/>
  <c r="AT153" i="12"/>
  <c r="AT145" i="12"/>
  <c r="AQ145" i="12"/>
  <c r="AT137" i="12"/>
  <c r="AQ137" i="12"/>
  <c r="AT129" i="12"/>
  <c r="AQ129" i="12"/>
  <c r="AT121" i="12"/>
  <c r="AQ121" i="12"/>
  <c r="AT113" i="12"/>
  <c r="AT105" i="12"/>
  <c r="AT97" i="12"/>
  <c r="AQ97" i="12"/>
  <c r="AT89" i="12"/>
  <c r="AT81" i="12"/>
  <c r="AQ81" i="12"/>
  <c r="AT73" i="12"/>
  <c r="AQ73" i="12"/>
  <c r="AT65" i="12"/>
  <c r="AQ65" i="12"/>
  <c r="AT57" i="12"/>
  <c r="AQ57" i="12"/>
  <c r="AT49" i="12"/>
  <c r="AT41" i="12"/>
  <c r="AT33" i="12"/>
  <c r="AQ33" i="12"/>
  <c r="AQ177" i="12"/>
  <c r="AT25" i="12"/>
  <c r="AT17" i="12"/>
  <c r="AT9" i="12"/>
  <c r="AV162" i="12"/>
  <c r="AV98" i="12"/>
  <c r="AV34" i="12"/>
  <c r="AX149" i="12"/>
  <c r="AX85" i="12"/>
  <c r="AV74" i="12"/>
  <c r="AX189" i="12"/>
  <c r="AX61" i="12"/>
  <c r="AV178" i="12"/>
  <c r="AV114" i="12"/>
  <c r="AV50" i="12"/>
  <c r="AX165" i="12"/>
  <c r="AX101" i="12"/>
  <c r="AX37" i="12"/>
  <c r="AX125" i="12"/>
  <c r="AV21" i="12"/>
  <c r="AT155" i="12"/>
  <c r="AT123" i="12"/>
  <c r="AV154" i="12"/>
  <c r="AV90" i="12"/>
  <c r="AX141" i="12"/>
  <c r="AX77" i="12"/>
  <c r="AY168" i="12"/>
  <c r="AY136" i="12"/>
  <c r="AY104" i="12"/>
  <c r="AY72" i="12"/>
  <c r="AY40" i="12"/>
  <c r="AV138" i="12"/>
  <c r="AQ6" i="12"/>
  <c r="AS11" i="12"/>
  <c r="AV13" i="12"/>
  <c r="AV5" i="12"/>
  <c r="AT187" i="12"/>
  <c r="AV130" i="12"/>
  <c r="AV66" i="12"/>
  <c r="AX18" i="12"/>
  <c r="AY18" i="12"/>
  <c r="AX191" i="12"/>
  <c r="AY191" i="12"/>
  <c r="AX183" i="12"/>
  <c r="AY183" i="12"/>
  <c r="AX175" i="12"/>
  <c r="AY175" i="12"/>
  <c r="AX167" i="12"/>
  <c r="AY167" i="12"/>
  <c r="AX159" i="12"/>
  <c r="AY159" i="12"/>
  <c r="AX151" i="12"/>
  <c r="AY151" i="12"/>
  <c r="AX143" i="12"/>
  <c r="AY143" i="12"/>
  <c r="AX135" i="12"/>
  <c r="AY135" i="12"/>
  <c r="AX127" i="12"/>
  <c r="AY127" i="12"/>
  <c r="AX119" i="12"/>
  <c r="AY119" i="12"/>
  <c r="AX111" i="12"/>
  <c r="AY111" i="12"/>
  <c r="AX103" i="12"/>
  <c r="AY103" i="12"/>
  <c r="AX95" i="12"/>
  <c r="AY95" i="12"/>
  <c r="AX87" i="12"/>
  <c r="AY87" i="12"/>
  <c r="AX79" i="12"/>
  <c r="AY79" i="12"/>
  <c r="AX71" i="12"/>
  <c r="AY71" i="12"/>
  <c r="AX63" i="12"/>
  <c r="AY63" i="12"/>
  <c r="AX55" i="12"/>
  <c r="AY55" i="12"/>
  <c r="AX47" i="12"/>
  <c r="AY47" i="12"/>
  <c r="AX39" i="12"/>
  <c r="AY39" i="12"/>
  <c r="AX31" i="12"/>
  <c r="AY31" i="12"/>
  <c r="AX181" i="12"/>
  <c r="AX117" i="12"/>
  <c r="AX53" i="12"/>
  <c r="AQ14" i="12"/>
  <c r="AO20" i="12"/>
  <c r="AO12" i="12"/>
  <c r="AO4" i="12"/>
  <c r="AV170" i="12"/>
  <c r="AV106" i="12"/>
  <c r="AV42" i="12"/>
  <c r="AX157" i="12"/>
  <c r="AX93" i="12"/>
  <c r="AX29" i="12"/>
  <c r="AY3" i="12"/>
  <c r="AY160" i="12"/>
  <c r="AY128" i="12"/>
  <c r="AY96" i="12"/>
  <c r="AY64" i="12"/>
  <c r="AY32" i="12"/>
  <c r="AT26" i="12"/>
  <c r="AT10" i="12"/>
  <c r="AT82" i="12"/>
  <c r="AY185" i="12"/>
  <c r="AY177" i="12"/>
  <c r="AY169" i="12"/>
  <c r="AY161" i="12"/>
  <c r="AY153" i="12"/>
  <c r="AY145" i="12"/>
  <c r="AY137" i="12"/>
  <c r="AY129" i="12"/>
  <c r="AY121" i="12"/>
  <c r="AY113" i="12"/>
  <c r="AY105" i="12"/>
  <c r="AY97" i="12"/>
  <c r="AY89" i="12"/>
  <c r="AY81" i="12"/>
  <c r="AY73" i="12"/>
  <c r="AY65" i="12"/>
  <c r="AY57" i="12"/>
  <c r="AY49" i="12"/>
  <c r="AY41" i="12"/>
  <c r="AY33" i="12"/>
  <c r="AT178" i="12"/>
  <c r="AT50" i="12"/>
  <c r="AY190" i="12"/>
  <c r="AY182" i="12"/>
  <c r="AY174" i="12"/>
  <c r="AY166" i="12"/>
  <c r="AY158" i="12"/>
  <c r="AY150" i="12"/>
  <c r="AY142" i="12"/>
  <c r="AY134" i="12"/>
  <c r="AY126" i="12"/>
  <c r="AY118" i="12"/>
  <c r="AY110" i="12"/>
  <c r="AY102" i="12"/>
  <c r="AY94" i="12"/>
  <c r="AY86" i="12"/>
  <c r="AY78" i="12"/>
  <c r="AY70" i="12"/>
  <c r="AY62" i="12"/>
  <c r="AY54" i="12"/>
  <c r="AY46" i="12"/>
  <c r="AY38" i="12"/>
  <c r="AY30" i="12"/>
  <c r="AS146" i="12"/>
  <c r="AO25" i="12"/>
  <c r="AO17" i="12"/>
  <c r="AO43" i="12"/>
  <c r="AQ186" i="12"/>
  <c r="AQ170" i="12"/>
  <c r="AQ154" i="12"/>
  <c r="AQ138" i="12"/>
  <c r="AQ122" i="12"/>
  <c r="AQ106" i="12"/>
  <c r="AQ90" i="12"/>
  <c r="AQ74" i="12"/>
  <c r="AQ58" i="12"/>
  <c r="AQ42" i="12"/>
  <c r="AS184" i="12"/>
  <c r="AT184" i="12"/>
  <c r="AS176" i="12"/>
  <c r="AT176" i="12"/>
  <c r="AS168" i="12"/>
  <c r="AT168" i="12"/>
  <c r="AS160" i="12"/>
  <c r="AT160" i="12"/>
  <c r="AS152" i="12"/>
  <c r="AT152" i="12"/>
  <c r="AS144" i="12"/>
  <c r="AT144" i="12"/>
  <c r="AS136" i="12"/>
  <c r="AT136" i="12"/>
  <c r="AS128" i="12"/>
  <c r="AT128" i="12"/>
  <c r="AS120" i="12"/>
  <c r="AT120" i="12"/>
  <c r="AS112" i="12"/>
  <c r="AT112" i="12"/>
  <c r="AS104" i="12"/>
  <c r="AT104" i="12"/>
  <c r="AS96" i="12"/>
  <c r="AT96" i="12"/>
  <c r="AS88" i="12"/>
  <c r="AT88" i="12"/>
  <c r="AS80" i="12"/>
  <c r="AT80" i="12"/>
  <c r="AS72" i="12"/>
  <c r="AT72" i="12"/>
  <c r="AS64" i="12"/>
  <c r="AT64" i="12"/>
  <c r="AS56" i="12"/>
  <c r="AT56" i="12"/>
  <c r="AS48" i="12"/>
  <c r="AT48" i="12"/>
  <c r="AS40" i="12"/>
  <c r="AT40" i="12"/>
  <c r="AS32" i="12"/>
  <c r="AT32" i="12"/>
  <c r="AO72" i="12"/>
  <c r="AQ13" i="12"/>
  <c r="AS18" i="12"/>
  <c r="AT18" i="12"/>
  <c r="AS191" i="12"/>
  <c r="AT191" i="12"/>
  <c r="AS183" i="12"/>
  <c r="AT183" i="12"/>
  <c r="AS175" i="12"/>
  <c r="AT175" i="12"/>
  <c r="AS167" i="12"/>
  <c r="AT167" i="12"/>
  <c r="AS159" i="12"/>
  <c r="AT159" i="12"/>
  <c r="AS151" i="12"/>
  <c r="AT151" i="12"/>
  <c r="AS143" i="12"/>
  <c r="AT143" i="12"/>
  <c r="AS135" i="12"/>
  <c r="AT135" i="12"/>
  <c r="AS127" i="12"/>
  <c r="AT127" i="12"/>
  <c r="AS119" i="12"/>
  <c r="AT119" i="12"/>
  <c r="AS111" i="12"/>
  <c r="AT111" i="12"/>
  <c r="AS103" i="12"/>
  <c r="AT103" i="12"/>
  <c r="AS95" i="12"/>
  <c r="AT95" i="12"/>
  <c r="AS87" i="12"/>
  <c r="AT87" i="12"/>
  <c r="AS79" i="12"/>
  <c r="AT79" i="12"/>
  <c r="AS71" i="12"/>
  <c r="AT71" i="12"/>
  <c r="AS63" i="12"/>
  <c r="AT63" i="12"/>
  <c r="AS55" i="12"/>
  <c r="AT55" i="12"/>
  <c r="AS47" i="12"/>
  <c r="AT47" i="12"/>
  <c r="AS39" i="12"/>
  <c r="AT39" i="12"/>
  <c r="AS31" i="12"/>
  <c r="AT31" i="12"/>
  <c r="AT179" i="12"/>
  <c r="AT147" i="12"/>
  <c r="AT115" i="12"/>
  <c r="AT83" i="12"/>
  <c r="AT51" i="12"/>
  <c r="AS190" i="12"/>
  <c r="AT190" i="12"/>
  <c r="AS174" i="12"/>
  <c r="AT174" i="12"/>
  <c r="AS158" i="12"/>
  <c r="AT158" i="12"/>
  <c r="AS102" i="12"/>
  <c r="AT102" i="12"/>
  <c r="AO155" i="12"/>
  <c r="AN155" i="12"/>
  <c r="AO35" i="12"/>
  <c r="AO27" i="12"/>
  <c r="AN27" i="12"/>
  <c r="AT24" i="12"/>
  <c r="AT16" i="12"/>
  <c r="AT8" i="12"/>
  <c r="AT189" i="12"/>
  <c r="AT181" i="12"/>
  <c r="AT173" i="12"/>
  <c r="AT165" i="12"/>
  <c r="AT157" i="12"/>
  <c r="AT149" i="12"/>
  <c r="AT141" i="12"/>
  <c r="AT133" i="12"/>
  <c r="AT125" i="12"/>
  <c r="AT117" i="12"/>
  <c r="AT109" i="12"/>
  <c r="AT101" i="12"/>
  <c r="AT93" i="12"/>
  <c r="AT85" i="12"/>
  <c r="AT77" i="12"/>
  <c r="AT69" i="12"/>
  <c r="AT61" i="12"/>
  <c r="AT53" i="12"/>
  <c r="AT45" i="12"/>
  <c r="AT37" i="12"/>
  <c r="AT29" i="12"/>
  <c r="AT171" i="12"/>
  <c r="AT139" i="12"/>
  <c r="AT107" i="12"/>
  <c r="AT75" i="12"/>
  <c r="AT43" i="12"/>
  <c r="AS182" i="12"/>
  <c r="AT182" i="12"/>
  <c r="AS166" i="12"/>
  <c r="AT166" i="12"/>
  <c r="AS150" i="12"/>
  <c r="AT150" i="12"/>
  <c r="AS142" i="12"/>
  <c r="AT142" i="12"/>
  <c r="AS134" i="12"/>
  <c r="AT134" i="12"/>
  <c r="AS126" i="12"/>
  <c r="AT126" i="12"/>
  <c r="AS118" i="12"/>
  <c r="AT118" i="12"/>
  <c r="AS110" i="12"/>
  <c r="AT110" i="12"/>
  <c r="AS94" i="12"/>
  <c r="AT94" i="12"/>
  <c r="AS86" i="12"/>
  <c r="AT86" i="12"/>
  <c r="AS78" i="12"/>
  <c r="AT78" i="12"/>
  <c r="AS70" i="12"/>
  <c r="AT70" i="12"/>
  <c r="AS62" i="12"/>
  <c r="AT62" i="12"/>
  <c r="AS54" i="12"/>
  <c r="AT54" i="12"/>
  <c r="AS46" i="12"/>
  <c r="AT46" i="12"/>
  <c r="AS38" i="12"/>
  <c r="AT38" i="12"/>
  <c r="AS30" i="12"/>
  <c r="AT30" i="12"/>
  <c r="AS17" i="12"/>
  <c r="AI47" i="12"/>
  <c r="AJ47" i="12"/>
  <c r="AQ162" i="12"/>
  <c r="AQ130" i="12"/>
  <c r="AQ98" i="12"/>
  <c r="AQ66" i="12"/>
  <c r="AQ34" i="12"/>
  <c r="AT23" i="12"/>
  <c r="AT15" i="12"/>
  <c r="AT188" i="12"/>
  <c r="AT180" i="12"/>
  <c r="AT172" i="12"/>
  <c r="AT164" i="12"/>
  <c r="AT156" i="12"/>
  <c r="AT148" i="12"/>
  <c r="AT140" i="12"/>
  <c r="AT132" i="12"/>
  <c r="AT124" i="12"/>
  <c r="AT116" i="12"/>
  <c r="AT108" i="12"/>
  <c r="AT100" i="12"/>
  <c r="AT92" i="12"/>
  <c r="AT84" i="12"/>
  <c r="AT76" i="12"/>
  <c r="AT68" i="12"/>
  <c r="AT60" i="12"/>
  <c r="AT52" i="12"/>
  <c r="AT44" i="12"/>
  <c r="AT36" i="12"/>
  <c r="AT28" i="12"/>
  <c r="U186" i="12"/>
  <c r="U162" i="12"/>
  <c r="Z5" i="12"/>
  <c r="Z90" i="12"/>
  <c r="Z66" i="12"/>
  <c r="AO136" i="12"/>
  <c r="AT163" i="12"/>
  <c r="AT131" i="12"/>
  <c r="AT99" i="12"/>
  <c r="AT67" i="12"/>
  <c r="AT35" i="12"/>
  <c r="Z145" i="12"/>
  <c r="AB105" i="12"/>
  <c r="AJ185" i="12"/>
  <c r="AJ177" i="12"/>
  <c r="AJ169" i="12"/>
  <c r="AJ161" i="12"/>
  <c r="AJ153" i="12"/>
  <c r="AJ145" i="12"/>
  <c r="AJ137" i="12"/>
  <c r="AJ129" i="12"/>
  <c r="AJ121" i="12"/>
  <c r="AJ113" i="12"/>
  <c r="AJ105" i="12"/>
  <c r="AJ97" i="12"/>
  <c r="AJ89" i="12"/>
  <c r="AJ81" i="12"/>
  <c r="AJ73" i="12"/>
  <c r="AJ65" i="12"/>
  <c r="AJ57" i="12"/>
  <c r="AJ49" i="12"/>
  <c r="AJ41" i="12"/>
  <c r="AJ33" i="12"/>
  <c r="AO19" i="12"/>
  <c r="AO11" i="12"/>
  <c r="AO3" i="12"/>
  <c r="AO91" i="12"/>
  <c r="AQ27" i="12"/>
  <c r="AT27" i="12"/>
  <c r="AO53" i="12"/>
  <c r="AO45" i="12"/>
  <c r="AO37" i="12"/>
  <c r="AO29" i="12"/>
  <c r="AO178" i="12"/>
  <c r="AO50" i="12"/>
  <c r="Y5" i="12"/>
  <c r="AL5" i="12"/>
  <c r="Z20" i="12"/>
  <c r="Z12" i="12"/>
  <c r="Z4" i="12"/>
  <c r="Z81" i="12"/>
  <c r="AB169" i="12"/>
  <c r="AB33" i="12"/>
  <c r="AJ50" i="12"/>
  <c r="AG50" i="12"/>
  <c r="AI191" i="12"/>
  <c r="AJ191" i="12"/>
  <c r="AI111" i="12"/>
  <c r="AJ111" i="12"/>
  <c r="AI95" i="12"/>
  <c r="AJ95" i="12"/>
  <c r="AI79" i="12"/>
  <c r="AJ79" i="12"/>
  <c r="AI63" i="12"/>
  <c r="AJ63" i="12"/>
  <c r="AJ40" i="12"/>
  <c r="AL186" i="12"/>
  <c r="AL170" i="12"/>
  <c r="AL154" i="12"/>
  <c r="AL138" i="12"/>
  <c r="AL122" i="12"/>
  <c r="AL106" i="12"/>
  <c r="AL90" i="12"/>
  <c r="AL74" i="12"/>
  <c r="AL58" i="12"/>
  <c r="AL42" i="12"/>
  <c r="AO6" i="12"/>
  <c r="AO176" i="12"/>
  <c r="AO131" i="12"/>
  <c r="AO112" i="12"/>
  <c r="AO67" i="12"/>
  <c r="AO48" i="12"/>
  <c r="AE13" i="12"/>
  <c r="AO114" i="12"/>
  <c r="Z11" i="12"/>
  <c r="Z3" i="12"/>
  <c r="Z128" i="12"/>
  <c r="Z120" i="12"/>
  <c r="Z40" i="12"/>
  <c r="AB97" i="12"/>
  <c r="AE154" i="12"/>
  <c r="AG170" i="12"/>
  <c r="AG65" i="12"/>
  <c r="AJ175" i="12"/>
  <c r="AN26" i="12"/>
  <c r="AO26" i="12"/>
  <c r="AN10" i="12"/>
  <c r="AO10" i="12"/>
  <c r="AN191" i="12"/>
  <c r="AO191" i="12"/>
  <c r="AN183" i="12"/>
  <c r="AO183" i="12"/>
  <c r="AN175" i="12"/>
  <c r="AO175" i="12"/>
  <c r="AN167" i="12"/>
  <c r="AO167" i="12"/>
  <c r="AN159" i="12"/>
  <c r="AO159" i="12"/>
  <c r="AN151" i="12"/>
  <c r="AO151" i="12"/>
  <c r="AN143" i="12"/>
  <c r="AO143" i="12"/>
  <c r="AN135" i="12"/>
  <c r="AO135" i="12"/>
  <c r="AN127" i="12"/>
  <c r="AO127" i="12"/>
  <c r="AN119" i="12"/>
  <c r="AO119" i="12"/>
  <c r="AN111" i="12"/>
  <c r="AO111" i="12"/>
  <c r="AN103" i="12"/>
  <c r="AO103" i="12"/>
  <c r="AN95" i="12"/>
  <c r="AO95" i="12"/>
  <c r="AN87" i="12"/>
  <c r="AO87" i="12"/>
  <c r="AN79" i="12"/>
  <c r="AO79" i="12"/>
  <c r="AN71" i="12"/>
  <c r="AO71" i="12"/>
  <c r="AN63" i="12"/>
  <c r="AO63" i="12"/>
  <c r="AN55" i="12"/>
  <c r="AO55" i="12"/>
  <c r="AN47" i="12"/>
  <c r="AO47" i="12"/>
  <c r="AN39" i="12"/>
  <c r="AO39" i="12"/>
  <c r="AN31" i="12"/>
  <c r="AO31" i="12"/>
  <c r="AO171" i="12"/>
  <c r="AO152" i="12"/>
  <c r="AO130" i="12"/>
  <c r="AO107" i="12"/>
  <c r="AO88" i="12"/>
  <c r="AO66" i="12"/>
  <c r="AB161" i="12"/>
  <c r="AG106" i="12"/>
  <c r="AG42" i="12"/>
  <c r="AJ159" i="12"/>
  <c r="AN53" i="12"/>
  <c r="AN37" i="12"/>
  <c r="AO147" i="12"/>
  <c r="AO128" i="12"/>
  <c r="AO83" i="12"/>
  <c r="AO64" i="12"/>
  <c r="AL21" i="12"/>
  <c r="AJ143" i="12"/>
  <c r="AO24" i="12"/>
  <c r="AO16" i="12"/>
  <c r="AO8" i="12"/>
  <c r="AO189" i="12"/>
  <c r="AO181" i="12"/>
  <c r="AO173" i="12"/>
  <c r="AO165" i="12"/>
  <c r="AO157" i="12"/>
  <c r="AO149" i="12"/>
  <c r="AO141" i="12"/>
  <c r="AO133" i="12"/>
  <c r="AO125" i="12"/>
  <c r="AO117" i="12"/>
  <c r="AO109" i="12"/>
  <c r="AO101" i="12"/>
  <c r="AO93" i="12"/>
  <c r="AO85" i="12"/>
  <c r="AO77" i="12"/>
  <c r="AO69" i="12"/>
  <c r="AO61" i="12"/>
  <c r="AO187" i="12"/>
  <c r="AO168" i="12"/>
  <c r="AO146" i="12"/>
  <c r="AO123" i="12"/>
  <c r="AO104" i="12"/>
  <c r="AO82" i="12"/>
  <c r="AO59" i="12"/>
  <c r="AO40" i="12"/>
  <c r="AJ127" i="12"/>
  <c r="AL162" i="12"/>
  <c r="AL98" i="12"/>
  <c r="AL34" i="12"/>
  <c r="AO23" i="12"/>
  <c r="AO15" i="12"/>
  <c r="AO188" i="12"/>
  <c r="AO180" i="12"/>
  <c r="AO172" i="12"/>
  <c r="AO164" i="12"/>
  <c r="AO156" i="12"/>
  <c r="AO148" i="12"/>
  <c r="AO140" i="12"/>
  <c r="AO132" i="12"/>
  <c r="AO124" i="12"/>
  <c r="AO116" i="12"/>
  <c r="AO108" i="12"/>
  <c r="AO100" i="12"/>
  <c r="AO92" i="12"/>
  <c r="AO84" i="12"/>
  <c r="AO76" i="12"/>
  <c r="AO68" i="12"/>
  <c r="AO60" i="12"/>
  <c r="AO52" i="12"/>
  <c r="AO44" i="12"/>
  <c r="AO36" i="12"/>
  <c r="AO28" i="12"/>
  <c r="AO163" i="12"/>
  <c r="AO144" i="12"/>
  <c r="AO99" i="12"/>
  <c r="AO80" i="12"/>
  <c r="AI32" i="12"/>
  <c r="AJ32" i="12"/>
  <c r="AL13" i="12"/>
  <c r="AG178" i="12"/>
  <c r="AJ56" i="12"/>
  <c r="AO14" i="12"/>
  <c r="AO184" i="12"/>
  <c r="AO139" i="12"/>
  <c r="AO120" i="12"/>
  <c r="AO75" i="12"/>
  <c r="AO56" i="12"/>
  <c r="AE21" i="12"/>
  <c r="AE22" i="12"/>
  <c r="AG114" i="12"/>
  <c r="AJ48" i="12"/>
  <c r="AN189" i="12"/>
  <c r="AN173" i="12"/>
  <c r="AN157" i="12"/>
  <c r="AN141" i="12"/>
  <c r="AN125" i="12"/>
  <c r="AN109" i="12"/>
  <c r="AN93" i="12"/>
  <c r="AN77" i="12"/>
  <c r="AN61" i="12"/>
  <c r="AN45" i="12"/>
  <c r="AN29" i="12"/>
  <c r="AO179" i="12"/>
  <c r="AO160" i="12"/>
  <c r="AO115" i="12"/>
  <c r="AO96" i="12"/>
  <c r="AO51" i="12"/>
  <c r="AO32" i="12"/>
  <c r="AO185" i="12"/>
  <c r="AO177" i="12"/>
  <c r="AO169" i="12"/>
  <c r="AO161" i="12"/>
  <c r="AO153" i="12"/>
  <c r="AO145" i="12"/>
  <c r="AO137" i="12"/>
  <c r="AO129" i="12"/>
  <c r="AO121" i="12"/>
  <c r="AO113" i="12"/>
  <c r="AO105" i="12"/>
  <c r="AO97" i="12"/>
  <c r="AO89" i="12"/>
  <c r="AO81" i="12"/>
  <c r="AO73" i="12"/>
  <c r="AO65" i="12"/>
  <c r="AO57" i="12"/>
  <c r="AO49" i="12"/>
  <c r="AO41" i="12"/>
  <c r="AO33" i="12"/>
  <c r="AO9" i="12"/>
  <c r="AO190" i="12"/>
  <c r="AO182" i="12"/>
  <c r="AO174" i="12"/>
  <c r="AO166" i="12"/>
  <c r="AO158" i="12"/>
  <c r="AO150" i="12"/>
  <c r="AO142" i="12"/>
  <c r="AO134" i="12"/>
  <c r="AO126" i="12"/>
  <c r="AO118" i="12"/>
  <c r="AO110" i="12"/>
  <c r="AO102" i="12"/>
  <c r="AO94" i="12"/>
  <c r="AO86" i="12"/>
  <c r="AO78" i="12"/>
  <c r="AO70" i="12"/>
  <c r="AO62" i="12"/>
  <c r="AO54" i="12"/>
  <c r="AO46" i="12"/>
  <c r="AO38" i="12"/>
  <c r="AO30" i="12"/>
  <c r="AE83" i="12"/>
  <c r="AB14" i="12"/>
  <c r="AD13" i="12"/>
  <c r="Z49" i="12"/>
  <c r="AB145" i="12"/>
  <c r="AB81" i="12"/>
  <c r="AE15" i="12"/>
  <c r="AE188" i="12"/>
  <c r="AE180" i="12"/>
  <c r="AD180" i="12"/>
  <c r="AE172" i="12"/>
  <c r="AE164" i="12"/>
  <c r="AE156" i="12"/>
  <c r="AD156" i="12"/>
  <c r="AE148" i="12"/>
  <c r="AE140" i="12"/>
  <c r="AE132" i="12"/>
  <c r="AD132" i="12"/>
  <c r="AE124" i="12"/>
  <c r="AE116" i="12"/>
  <c r="AD116" i="12"/>
  <c r="AE147" i="12"/>
  <c r="AE58" i="12"/>
  <c r="AG169" i="12"/>
  <c r="AG130" i="12"/>
  <c r="AG105" i="12"/>
  <c r="AG66" i="12"/>
  <c r="AG41" i="12"/>
  <c r="AJ187" i="12"/>
  <c r="AJ171" i="12"/>
  <c r="AJ155" i="12"/>
  <c r="AJ139" i="12"/>
  <c r="AJ123" i="12"/>
  <c r="AJ107" i="12"/>
  <c r="AJ91" i="12"/>
  <c r="AJ75" i="12"/>
  <c r="AJ59" i="12"/>
  <c r="AJ43" i="12"/>
  <c r="Z41" i="12"/>
  <c r="AB185" i="12"/>
  <c r="AB121" i="12"/>
  <c r="AB57" i="12"/>
  <c r="AD179" i="12"/>
  <c r="AE179" i="12"/>
  <c r="AE115" i="12"/>
  <c r="AD115" i="12"/>
  <c r="AE27" i="12"/>
  <c r="AD27" i="12"/>
  <c r="AE146" i="12"/>
  <c r="AE51" i="12"/>
  <c r="AG154" i="12"/>
  <c r="AG129" i="12"/>
  <c r="AG90" i="12"/>
  <c r="AJ186" i="12"/>
  <c r="AJ138" i="12"/>
  <c r="AJ122" i="12"/>
  <c r="AJ74" i="12"/>
  <c r="AJ58" i="12"/>
  <c r="AI31" i="12"/>
  <c r="AJ31" i="12"/>
  <c r="AJ184" i="12"/>
  <c r="AJ168" i="12"/>
  <c r="AJ152" i="12"/>
  <c r="AJ136" i="12"/>
  <c r="AJ120" i="12"/>
  <c r="AJ104" i="12"/>
  <c r="AJ88" i="12"/>
  <c r="AJ72" i="12"/>
  <c r="AD170" i="12"/>
  <c r="AE170" i="12"/>
  <c r="AD122" i="12"/>
  <c r="AE122" i="12"/>
  <c r="AD66" i="12"/>
  <c r="AE66" i="12"/>
  <c r="AE138" i="12"/>
  <c r="Z13" i="12"/>
  <c r="Z138" i="12"/>
  <c r="Z74" i="12"/>
  <c r="Z137" i="12"/>
  <c r="AB137" i="12"/>
  <c r="AB73" i="12"/>
  <c r="AD188" i="12"/>
  <c r="AE114" i="12"/>
  <c r="AE42" i="12"/>
  <c r="AG177" i="12"/>
  <c r="AG113" i="12"/>
  <c r="AG49" i="12"/>
  <c r="AI190" i="12"/>
  <c r="AJ190" i="12"/>
  <c r="AI182" i="12"/>
  <c r="AJ182" i="12"/>
  <c r="AI174" i="12"/>
  <c r="AJ174" i="12"/>
  <c r="AI166" i="12"/>
  <c r="AJ166" i="12"/>
  <c r="AI158" i="12"/>
  <c r="AJ158" i="12"/>
  <c r="AI150" i="12"/>
  <c r="AJ150" i="12"/>
  <c r="AI142" i="12"/>
  <c r="AJ142" i="12"/>
  <c r="AI134" i="12"/>
  <c r="AJ134" i="12"/>
  <c r="AI126" i="12"/>
  <c r="AJ126" i="12"/>
  <c r="AI118" i="12"/>
  <c r="AJ118" i="12"/>
  <c r="AI110" i="12"/>
  <c r="AJ110" i="12"/>
  <c r="AI102" i="12"/>
  <c r="AJ102" i="12"/>
  <c r="AI94" i="12"/>
  <c r="AJ94" i="12"/>
  <c r="AI86" i="12"/>
  <c r="AJ86" i="12"/>
  <c r="AJ183" i="12"/>
  <c r="AJ167" i="12"/>
  <c r="AJ151" i="12"/>
  <c r="AJ135" i="12"/>
  <c r="AJ119" i="12"/>
  <c r="AJ103" i="12"/>
  <c r="AJ87" i="12"/>
  <c r="AJ71" i="12"/>
  <c r="AJ55" i="12"/>
  <c r="AJ39" i="12"/>
  <c r="AD21" i="12"/>
  <c r="Z115" i="12"/>
  <c r="AB177" i="12"/>
  <c r="AB113" i="12"/>
  <c r="AB49" i="12"/>
  <c r="AE19" i="12"/>
  <c r="AE11" i="12"/>
  <c r="AE3" i="12"/>
  <c r="AD148" i="12"/>
  <c r="AE5" i="12"/>
  <c r="AE106" i="12"/>
  <c r="AE34" i="12"/>
  <c r="AG162" i="12"/>
  <c r="AG137" i="12"/>
  <c r="AG98" i="12"/>
  <c r="AG73" i="12"/>
  <c r="AG34" i="12"/>
  <c r="AJ189" i="12"/>
  <c r="AJ181" i="12"/>
  <c r="AJ173" i="12"/>
  <c r="AJ165" i="12"/>
  <c r="AJ157" i="12"/>
  <c r="AJ149" i="12"/>
  <c r="AJ141" i="12"/>
  <c r="AJ133" i="12"/>
  <c r="AJ125" i="12"/>
  <c r="AJ117" i="12"/>
  <c r="AJ109" i="12"/>
  <c r="AJ101" i="12"/>
  <c r="AJ93" i="12"/>
  <c r="AJ85" i="12"/>
  <c r="AJ77" i="12"/>
  <c r="AJ69" i="12"/>
  <c r="AJ61" i="12"/>
  <c r="AJ53" i="12"/>
  <c r="AJ45" i="12"/>
  <c r="AJ37" i="12"/>
  <c r="AJ29" i="12"/>
  <c r="AI181" i="12"/>
  <c r="AI117" i="12"/>
  <c r="AI53" i="12"/>
  <c r="AJ179" i="12"/>
  <c r="AJ163" i="12"/>
  <c r="AJ147" i="12"/>
  <c r="AJ131" i="12"/>
  <c r="AJ115" i="12"/>
  <c r="AJ99" i="12"/>
  <c r="AJ83" i="12"/>
  <c r="AJ67" i="12"/>
  <c r="AJ51" i="12"/>
  <c r="AJ35" i="12"/>
  <c r="AD178" i="12"/>
  <c r="AE178" i="12"/>
  <c r="AD130" i="12"/>
  <c r="AE130" i="12"/>
  <c r="AD82" i="12"/>
  <c r="AE82" i="12"/>
  <c r="AE50" i="12"/>
  <c r="Z113" i="12"/>
  <c r="AB153" i="12"/>
  <c r="AB89" i="12"/>
  <c r="AE186" i="12"/>
  <c r="AE98" i="12"/>
  <c r="AG161" i="12"/>
  <c r="AG97" i="12"/>
  <c r="AG33" i="12"/>
  <c r="AJ188" i="12"/>
  <c r="AJ180" i="12"/>
  <c r="AJ172" i="12"/>
  <c r="AJ164" i="12"/>
  <c r="AJ156" i="12"/>
  <c r="AJ148" i="12"/>
  <c r="AJ140" i="12"/>
  <c r="AJ132" i="12"/>
  <c r="AJ124" i="12"/>
  <c r="AJ116" i="12"/>
  <c r="AJ108" i="12"/>
  <c r="AJ100" i="12"/>
  <c r="AJ92" i="12"/>
  <c r="AJ84" i="12"/>
  <c r="AJ76" i="12"/>
  <c r="AJ68" i="12"/>
  <c r="AJ60" i="12"/>
  <c r="AJ52" i="12"/>
  <c r="AJ44" i="12"/>
  <c r="AJ36" i="12"/>
  <c r="AJ28" i="12"/>
  <c r="AI180" i="12"/>
  <c r="AI141" i="12"/>
  <c r="AI116" i="12"/>
  <c r="AI77" i="12"/>
  <c r="AI52" i="12"/>
  <c r="AJ146" i="12"/>
  <c r="AJ82" i="12"/>
  <c r="AD74" i="12"/>
  <c r="AE74" i="12"/>
  <c r="AB6" i="12"/>
  <c r="Y66" i="12"/>
  <c r="Z105" i="12"/>
  <c r="AB129" i="12"/>
  <c r="AB65" i="12"/>
  <c r="AE25" i="12"/>
  <c r="AE17" i="12"/>
  <c r="AE9" i="12"/>
  <c r="AD172" i="12"/>
  <c r="AE162" i="12"/>
  <c r="AE90" i="12"/>
  <c r="AG185" i="12"/>
  <c r="AG121" i="12"/>
  <c r="AG57" i="12"/>
  <c r="AJ27" i="12"/>
  <c r="AJ176" i="12"/>
  <c r="AJ160" i="12"/>
  <c r="AJ144" i="12"/>
  <c r="AJ128" i="12"/>
  <c r="AJ112" i="12"/>
  <c r="AJ96" i="12"/>
  <c r="AJ80" i="12"/>
  <c r="AJ64" i="12"/>
  <c r="AJ78" i="12"/>
  <c r="AJ70" i="12"/>
  <c r="AJ62" i="12"/>
  <c r="AJ54" i="12"/>
  <c r="AJ46" i="12"/>
  <c r="AJ38" i="12"/>
  <c r="AJ30" i="12"/>
  <c r="AE108" i="12"/>
  <c r="AE100" i="12"/>
  <c r="AE92" i="12"/>
  <c r="AE84" i="12"/>
  <c r="AE76" i="12"/>
  <c r="AE68" i="12"/>
  <c r="AE60" i="12"/>
  <c r="AE52" i="12"/>
  <c r="AE44" i="12"/>
  <c r="AE36" i="12"/>
  <c r="AE28" i="12"/>
  <c r="AD68" i="12"/>
  <c r="Y104" i="12"/>
  <c r="Z104" i="12"/>
  <c r="Y185" i="12"/>
  <c r="Z185" i="12"/>
  <c r="Y161" i="12"/>
  <c r="Z161" i="12"/>
  <c r="Y153" i="12"/>
  <c r="Z153" i="12"/>
  <c r="Y40" i="12"/>
  <c r="Z144" i="12"/>
  <c r="Z51" i="12"/>
  <c r="AE16" i="12"/>
  <c r="AE8" i="12"/>
  <c r="AE189" i="12"/>
  <c r="AE181" i="12"/>
  <c r="AE173" i="12"/>
  <c r="AE165" i="12"/>
  <c r="AE157" i="12"/>
  <c r="AE149" i="12"/>
  <c r="AE141" i="12"/>
  <c r="AE133" i="12"/>
  <c r="AE125" i="12"/>
  <c r="AE117" i="12"/>
  <c r="AE109" i="12"/>
  <c r="AE101" i="12"/>
  <c r="AE93" i="12"/>
  <c r="AE85" i="12"/>
  <c r="AE77" i="12"/>
  <c r="AE69" i="12"/>
  <c r="AE61" i="12"/>
  <c r="AE53" i="12"/>
  <c r="AE45" i="12"/>
  <c r="AE37" i="12"/>
  <c r="AE29" i="12"/>
  <c r="AE187" i="12"/>
  <c r="AE155" i="12"/>
  <c r="AE123" i="12"/>
  <c r="AE91" i="12"/>
  <c r="AE59" i="12"/>
  <c r="Y11" i="12"/>
  <c r="Z25" i="12"/>
  <c r="Z17" i="12"/>
  <c r="Z9" i="12"/>
  <c r="Y182" i="12"/>
  <c r="Z182" i="12"/>
  <c r="Y118" i="12"/>
  <c r="Z118" i="12"/>
  <c r="Z177" i="12"/>
  <c r="AE171" i="12"/>
  <c r="AE139" i="12"/>
  <c r="AE107" i="12"/>
  <c r="AE75" i="12"/>
  <c r="AE43" i="12"/>
  <c r="U15" i="12"/>
  <c r="U84" i="12"/>
  <c r="Z34" i="12"/>
  <c r="W34" i="12"/>
  <c r="Y128" i="12"/>
  <c r="Z169" i="12"/>
  <c r="Z88" i="12"/>
  <c r="AD184" i="12"/>
  <c r="AE184" i="12"/>
  <c r="AD176" i="12"/>
  <c r="AE176" i="12"/>
  <c r="AD168" i="12"/>
  <c r="AE168" i="12"/>
  <c r="AD160" i="12"/>
  <c r="AE160" i="12"/>
  <c r="AD152" i="12"/>
  <c r="AE152" i="12"/>
  <c r="AD144" i="12"/>
  <c r="AE144" i="12"/>
  <c r="AD136" i="12"/>
  <c r="AE136" i="12"/>
  <c r="AD128" i="12"/>
  <c r="AE128" i="12"/>
  <c r="AD120" i="12"/>
  <c r="AE120" i="12"/>
  <c r="AD112" i="12"/>
  <c r="AE112" i="12"/>
  <c r="AD104" i="12"/>
  <c r="AE104" i="12"/>
  <c r="AD96" i="12"/>
  <c r="AE96" i="12"/>
  <c r="AD88" i="12"/>
  <c r="AE88" i="12"/>
  <c r="AD80" i="12"/>
  <c r="AE80" i="12"/>
  <c r="AD72" i="12"/>
  <c r="AE72" i="12"/>
  <c r="AD64" i="12"/>
  <c r="AE64" i="12"/>
  <c r="AD56" i="12"/>
  <c r="AE56" i="12"/>
  <c r="AD48" i="12"/>
  <c r="AE48" i="12"/>
  <c r="AD40" i="12"/>
  <c r="AE40" i="12"/>
  <c r="AD32" i="12"/>
  <c r="AE32" i="12"/>
  <c r="Z184" i="12"/>
  <c r="Y184" i="12"/>
  <c r="Z64" i="12"/>
  <c r="Y64" i="12"/>
  <c r="Y3" i="12"/>
  <c r="U22" i="12"/>
  <c r="U14" i="12"/>
  <c r="U171" i="12"/>
  <c r="U115" i="12"/>
  <c r="T75" i="12"/>
  <c r="U75" i="12"/>
  <c r="U59" i="12"/>
  <c r="U51" i="12"/>
  <c r="U43" i="12"/>
  <c r="U131" i="12"/>
  <c r="Z22" i="12"/>
  <c r="Z14" i="12"/>
  <c r="Z6" i="12"/>
  <c r="Y179" i="12"/>
  <c r="Z179" i="12"/>
  <c r="Z171" i="12"/>
  <c r="Z163" i="12"/>
  <c r="Z168" i="12"/>
  <c r="AD26" i="12"/>
  <c r="AE26" i="12"/>
  <c r="AD18" i="12"/>
  <c r="AE18" i="12"/>
  <c r="AD10" i="12"/>
  <c r="AE10" i="12"/>
  <c r="AD191" i="12"/>
  <c r="AE191" i="12"/>
  <c r="AD183" i="12"/>
  <c r="AE183" i="12"/>
  <c r="AD175" i="12"/>
  <c r="AE175" i="12"/>
  <c r="AD167" i="12"/>
  <c r="AE167" i="12"/>
  <c r="AD159" i="12"/>
  <c r="AE159" i="12"/>
  <c r="AD151" i="12"/>
  <c r="AE151" i="12"/>
  <c r="AD143" i="12"/>
  <c r="AE143" i="12"/>
  <c r="AD135" i="12"/>
  <c r="AE135" i="12"/>
  <c r="AD127" i="12"/>
  <c r="AE127" i="12"/>
  <c r="AD119" i="12"/>
  <c r="AE119" i="12"/>
  <c r="AD111" i="12"/>
  <c r="AE111" i="12"/>
  <c r="AD103" i="12"/>
  <c r="AE103" i="12"/>
  <c r="AD95" i="12"/>
  <c r="AE95" i="12"/>
  <c r="AD87" i="12"/>
  <c r="AE87" i="12"/>
  <c r="AD79" i="12"/>
  <c r="AE79" i="12"/>
  <c r="AD71" i="12"/>
  <c r="AE71" i="12"/>
  <c r="AD63" i="12"/>
  <c r="AE63" i="12"/>
  <c r="AD55" i="12"/>
  <c r="AE55" i="12"/>
  <c r="AD47" i="12"/>
  <c r="AE47" i="12"/>
  <c r="AD39" i="12"/>
  <c r="AE39" i="12"/>
  <c r="AD31" i="12"/>
  <c r="AE31" i="12"/>
  <c r="AE163" i="12"/>
  <c r="AE131" i="12"/>
  <c r="AE99" i="12"/>
  <c r="AE67" i="12"/>
  <c r="AE35" i="12"/>
  <c r="Y152" i="12"/>
  <c r="Z152" i="12"/>
  <c r="Z56" i="12"/>
  <c r="Y56" i="12"/>
  <c r="Z19" i="12"/>
  <c r="Z21" i="12"/>
  <c r="Z154" i="12"/>
  <c r="Y120" i="12"/>
  <c r="Z80" i="12"/>
  <c r="Y90" i="12"/>
  <c r="Z130" i="12"/>
  <c r="Z73" i="12"/>
  <c r="Z155" i="12"/>
  <c r="Z129" i="12"/>
  <c r="Z97" i="12"/>
  <c r="Z33" i="12"/>
  <c r="Z131" i="12"/>
  <c r="Z107" i="12"/>
  <c r="Z99" i="12"/>
  <c r="Z67" i="12"/>
  <c r="Z43" i="12"/>
  <c r="Z35" i="12"/>
  <c r="Z27" i="12"/>
  <c r="Y107" i="12"/>
  <c r="Z91" i="12"/>
  <c r="Z65" i="12"/>
  <c r="AE190" i="12"/>
  <c r="AE182" i="12"/>
  <c r="AE174" i="12"/>
  <c r="AE166" i="12"/>
  <c r="AE158" i="12"/>
  <c r="AE150" i="12"/>
  <c r="AE142" i="12"/>
  <c r="AE134" i="12"/>
  <c r="AE126" i="12"/>
  <c r="AE118" i="12"/>
  <c r="AE110" i="12"/>
  <c r="AE102" i="12"/>
  <c r="AE94" i="12"/>
  <c r="AE86" i="12"/>
  <c r="AE78" i="12"/>
  <c r="AE70" i="12"/>
  <c r="AE62" i="12"/>
  <c r="AE54" i="12"/>
  <c r="AE46" i="12"/>
  <c r="AE38" i="12"/>
  <c r="AE30" i="12"/>
  <c r="Z170" i="12"/>
  <c r="Z146" i="12"/>
  <c r="Z106" i="12"/>
  <c r="Z82" i="12"/>
  <c r="Z42" i="12"/>
  <c r="Y131" i="12"/>
  <c r="Y106" i="12"/>
  <c r="Z121" i="12"/>
  <c r="AE24" i="12"/>
  <c r="Z89" i="12"/>
  <c r="Z57" i="12"/>
  <c r="AE23" i="12"/>
  <c r="R186" i="12"/>
  <c r="U105" i="12"/>
  <c r="Z54" i="12"/>
  <c r="R162" i="12"/>
  <c r="U49" i="12"/>
  <c r="R42" i="12"/>
  <c r="U42" i="12"/>
  <c r="R41" i="12"/>
  <c r="U41" i="12"/>
  <c r="U188" i="12"/>
  <c r="T188" i="12"/>
  <c r="U156" i="12"/>
  <c r="T156" i="12"/>
  <c r="U124" i="12"/>
  <c r="T124" i="12"/>
  <c r="U92" i="12"/>
  <c r="T92" i="12"/>
  <c r="Y174" i="12"/>
  <c r="Z174" i="12"/>
  <c r="U172" i="12"/>
  <c r="T172" i="12"/>
  <c r="U140" i="12"/>
  <c r="T140" i="12"/>
  <c r="U100" i="12"/>
  <c r="T100" i="12"/>
  <c r="Y158" i="12"/>
  <c r="Z158" i="12"/>
  <c r="T163" i="12"/>
  <c r="U163" i="12"/>
  <c r="T155" i="12"/>
  <c r="U155" i="12"/>
  <c r="T147" i="12"/>
  <c r="U147" i="12"/>
  <c r="T123" i="12"/>
  <c r="U123" i="12"/>
  <c r="U107" i="12"/>
  <c r="T107" i="12"/>
  <c r="T99" i="12"/>
  <c r="U99" i="12"/>
  <c r="T91" i="12"/>
  <c r="U91" i="12"/>
  <c r="U83" i="12"/>
  <c r="T83" i="12"/>
  <c r="T67" i="12"/>
  <c r="U67" i="12"/>
  <c r="U129" i="12"/>
  <c r="R129" i="12"/>
  <c r="R73" i="12"/>
  <c r="U73" i="12"/>
  <c r="R185" i="12"/>
  <c r="U164" i="12"/>
  <c r="T164" i="12"/>
  <c r="U132" i="12"/>
  <c r="T132" i="12"/>
  <c r="U108" i="12"/>
  <c r="T108" i="12"/>
  <c r="U60" i="12"/>
  <c r="T60" i="12"/>
  <c r="Y190" i="12"/>
  <c r="Z190" i="12"/>
  <c r="Y102" i="12"/>
  <c r="Z102" i="12"/>
  <c r="Y86" i="12"/>
  <c r="Z86" i="12"/>
  <c r="Y78" i="12"/>
  <c r="Z78" i="12"/>
  <c r="Y70" i="12"/>
  <c r="Z70" i="12"/>
  <c r="Y62" i="12"/>
  <c r="Z62" i="12"/>
  <c r="Y38" i="12"/>
  <c r="Z38" i="12"/>
  <c r="U6" i="12"/>
  <c r="T6" i="12"/>
  <c r="U179" i="12"/>
  <c r="T179" i="12"/>
  <c r="T139" i="12"/>
  <c r="U139" i="12"/>
  <c r="U21" i="12"/>
  <c r="U187" i="12"/>
  <c r="U23" i="12"/>
  <c r="T23" i="12"/>
  <c r="U180" i="12"/>
  <c r="T180" i="12"/>
  <c r="U148" i="12"/>
  <c r="T148" i="12"/>
  <c r="U116" i="12"/>
  <c r="T116" i="12"/>
  <c r="U76" i="12"/>
  <c r="T76" i="12"/>
  <c r="U68" i="12"/>
  <c r="T68" i="12"/>
  <c r="U52" i="12"/>
  <c r="T52" i="12"/>
  <c r="Y166" i="12"/>
  <c r="Z166" i="12"/>
  <c r="Y150" i="12"/>
  <c r="Z150" i="12"/>
  <c r="Y142" i="12"/>
  <c r="Z142" i="12"/>
  <c r="Y134" i="12"/>
  <c r="Z134" i="12"/>
  <c r="Y126" i="12"/>
  <c r="Z126" i="12"/>
  <c r="Y110" i="12"/>
  <c r="Z110" i="12"/>
  <c r="Y94" i="12"/>
  <c r="Z94" i="12"/>
  <c r="Y46" i="12"/>
  <c r="Z46" i="12"/>
  <c r="Y30" i="12"/>
  <c r="Z30" i="12"/>
  <c r="U20" i="12"/>
  <c r="U12" i="12"/>
  <c r="U4" i="12"/>
  <c r="T84" i="12"/>
  <c r="Z16" i="12"/>
  <c r="Z109" i="12"/>
  <c r="U13" i="12"/>
  <c r="U5" i="12"/>
  <c r="T138" i="12"/>
  <c r="U138" i="12"/>
  <c r="T130" i="12"/>
  <c r="U130" i="12"/>
  <c r="T74" i="12"/>
  <c r="U74" i="12"/>
  <c r="T66" i="12"/>
  <c r="U66" i="12"/>
  <c r="T51" i="12"/>
  <c r="U154" i="12"/>
  <c r="U98" i="12"/>
  <c r="W138" i="12"/>
  <c r="W74" i="12"/>
  <c r="Z23" i="12"/>
  <c r="Z15" i="12"/>
  <c r="Z188" i="12"/>
  <c r="Z180" i="12"/>
  <c r="Z172" i="12"/>
  <c r="Z164" i="12"/>
  <c r="Z156" i="12"/>
  <c r="Z148" i="12"/>
  <c r="Z140" i="12"/>
  <c r="Z132" i="12"/>
  <c r="Z124" i="12"/>
  <c r="Z116" i="12"/>
  <c r="Z108" i="12"/>
  <c r="Z100" i="12"/>
  <c r="Z92" i="12"/>
  <c r="Z84" i="12"/>
  <c r="Z76" i="12"/>
  <c r="Z68" i="12"/>
  <c r="Z60" i="12"/>
  <c r="Z52" i="12"/>
  <c r="Z44" i="12"/>
  <c r="Z36" i="12"/>
  <c r="Z28" i="12"/>
  <c r="Y27" i="12"/>
  <c r="Z178" i="12"/>
  <c r="Z139" i="12"/>
  <c r="Z114" i="12"/>
  <c r="Z75" i="12"/>
  <c r="Z50" i="12"/>
  <c r="U27" i="12"/>
  <c r="T27" i="12"/>
  <c r="Z8" i="12"/>
  <c r="Z165" i="12"/>
  <c r="Z133" i="12"/>
  <c r="Z93" i="12"/>
  <c r="Z61" i="12"/>
  <c r="Z29" i="12"/>
  <c r="T161" i="12"/>
  <c r="U161" i="12"/>
  <c r="U35" i="12"/>
  <c r="Y165" i="12"/>
  <c r="U19" i="12"/>
  <c r="U11" i="12"/>
  <c r="U3" i="12"/>
  <c r="T43" i="12"/>
  <c r="U177" i="12"/>
  <c r="U146" i="12"/>
  <c r="U121" i="12"/>
  <c r="U90" i="12"/>
  <c r="U34" i="12"/>
  <c r="Y61" i="12"/>
  <c r="Z187" i="12"/>
  <c r="Z176" i="12"/>
  <c r="Z162" i="12"/>
  <c r="Z123" i="12"/>
  <c r="Z112" i="12"/>
  <c r="Z98" i="12"/>
  <c r="Z59" i="12"/>
  <c r="Z48" i="12"/>
  <c r="Z181" i="12"/>
  <c r="Z149" i="12"/>
  <c r="Z117" i="12"/>
  <c r="Z85" i="12"/>
  <c r="Z53" i="12"/>
  <c r="Y117" i="12"/>
  <c r="T89" i="12"/>
  <c r="U89" i="12"/>
  <c r="T33" i="12"/>
  <c r="U33" i="12"/>
  <c r="U178" i="12"/>
  <c r="U65" i="12"/>
  <c r="U170" i="12"/>
  <c r="U145" i="12"/>
  <c r="U114" i="12"/>
  <c r="U58" i="12"/>
  <c r="Y163" i="12"/>
  <c r="Y149" i="12"/>
  <c r="Y99" i="12"/>
  <c r="Y85" i="12"/>
  <c r="Y35" i="12"/>
  <c r="Z186" i="12"/>
  <c r="Z147" i="12"/>
  <c r="Z136" i="12"/>
  <c r="Z122" i="12"/>
  <c r="Z83" i="12"/>
  <c r="Z72" i="12"/>
  <c r="Z58" i="12"/>
  <c r="Z189" i="12"/>
  <c r="Z157" i="12"/>
  <c r="Z125" i="12"/>
  <c r="Z77" i="12"/>
  <c r="Z45" i="12"/>
  <c r="Y181" i="12"/>
  <c r="T153" i="12"/>
  <c r="U153" i="12"/>
  <c r="T5" i="12"/>
  <c r="U17" i="12"/>
  <c r="U169" i="12"/>
  <c r="U113" i="12"/>
  <c r="U82" i="12"/>
  <c r="U57" i="12"/>
  <c r="Y109" i="12"/>
  <c r="Y45" i="12"/>
  <c r="Z160" i="12"/>
  <c r="Z96" i="12"/>
  <c r="Z32" i="12"/>
  <c r="Z24" i="12"/>
  <c r="Z173" i="12"/>
  <c r="Z141" i="12"/>
  <c r="Z101" i="12"/>
  <c r="Z69" i="12"/>
  <c r="Z37" i="12"/>
  <c r="T97" i="12"/>
  <c r="U97" i="12"/>
  <c r="U122" i="12"/>
  <c r="BI24" i="12"/>
  <c r="BI16" i="12"/>
  <c r="U24" i="12"/>
  <c r="U16" i="12"/>
  <c r="U8" i="12"/>
  <c r="U189" i="12"/>
  <c r="U181" i="12"/>
  <c r="T181" i="12"/>
  <c r="U173" i="12"/>
  <c r="T173" i="12"/>
  <c r="U165" i="12"/>
  <c r="U157" i="12"/>
  <c r="U149" i="12"/>
  <c r="U141" i="12"/>
  <c r="U133" i="12"/>
  <c r="U125" i="12"/>
  <c r="U117" i="12"/>
  <c r="T117" i="12"/>
  <c r="U109" i="12"/>
  <c r="T109" i="12"/>
  <c r="U101" i="12"/>
  <c r="U93" i="12"/>
  <c r="U85" i="12"/>
  <c r="U77" i="12"/>
  <c r="U69" i="12"/>
  <c r="U61" i="12"/>
  <c r="U53" i="12"/>
  <c r="T53" i="12"/>
  <c r="U45" i="12"/>
  <c r="T45" i="12"/>
  <c r="U37" i="12"/>
  <c r="U29" i="12"/>
  <c r="T85" i="12"/>
  <c r="T29" i="12"/>
  <c r="U137" i="12"/>
  <c r="U106" i="12"/>
  <c r="U81" i="12"/>
  <c r="U50" i="12"/>
  <c r="Z26" i="12"/>
  <c r="Z18" i="12"/>
  <c r="Z10" i="12"/>
  <c r="Y191" i="12"/>
  <c r="Z191" i="12"/>
  <c r="Y183" i="12"/>
  <c r="Z183" i="12"/>
  <c r="Y175" i="12"/>
  <c r="Z175" i="12"/>
  <c r="Y167" i="12"/>
  <c r="Z167" i="12"/>
  <c r="Y159" i="12"/>
  <c r="Z159" i="12"/>
  <c r="Y151" i="12"/>
  <c r="Z151" i="12"/>
  <c r="Y143" i="12"/>
  <c r="Z143" i="12"/>
  <c r="Y135" i="12"/>
  <c r="Z135" i="12"/>
  <c r="Y127" i="12"/>
  <c r="Z127" i="12"/>
  <c r="Y119" i="12"/>
  <c r="Z119" i="12"/>
  <c r="Y111" i="12"/>
  <c r="Z111" i="12"/>
  <c r="Y103" i="12"/>
  <c r="Z103" i="12"/>
  <c r="Y95" i="12"/>
  <c r="Z95" i="12"/>
  <c r="Y87" i="12"/>
  <c r="Z87" i="12"/>
  <c r="Y79" i="12"/>
  <c r="Z79" i="12"/>
  <c r="Y71" i="12"/>
  <c r="Z71" i="12"/>
  <c r="Y63" i="12"/>
  <c r="Z63" i="12"/>
  <c r="Y55" i="12"/>
  <c r="Z55" i="12"/>
  <c r="Y47" i="12"/>
  <c r="Z47" i="12"/>
  <c r="Y39" i="12"/>
  <c r="Z39" i="12"/>
  <c r="Y31" i="12"/>
  <c r="Z31" i="12"/>
  <c r="Y133" i="12"/>
  <c r="Y69" i="12"/>
  <c r="U44" i="12"/>
  <c r="U36" i="12"/>
  <c r="U28" i="12"/>
  <c r="T17" i="12"/>
  <c r="U184" i="12"/>
  <c r="U176" i="12"/>
  <c r="U168" i="12"/>
  <c r="U160" i="12"/>
  <c r="U152" i="12"/>
  <c r="U144" i="12"/>
  <c r="U136" i="12"/>
  <c r="U128" i="12"/>
  <c r="U120" i="12"/>
  <c r="U112" i="12"/>
  <c r="U104" i="12"/>
  <c r="U96" i="12"/>
  <c r="U88" i="12"/>
  <c r="U80" i="12"/>
  <c r="U72" i="12"/>
  <c r="U64" i="12"/>
  <c r="U56" i="12"/>
  <c r="U48" i="12"/>
  <c r="U40" i="12"/>
  <c r="U32" i="12"/>
  <c r="U26" i="12"/>
  <c r="U18" i="12"/>
  <c r="U10" i="12"/>
  <c r="U191" i="12"/>
  <c r="U183" i="12"/>
  <c r="U175" i="12"/>
  <c r="U167" i="12"/>
  <c r="U159" i="12"/>
  <c r="U151" i="12"/>
  <c r="U143" i="12"/>
  <c r="U135" i="12"/>
  <c r="U127" i="12"/>
  <c r="U119" i="12"/>
  <c r="U111" i="12"/>
  <c r="U103" i="12"/>
  <c r="U95" i="12"/>
  <c r="U87" i="12"/>
  <c r="U79" i="12"/>
  <c r="U71" i="12"/>
  <c r="U63" i="12"/>
  <c r="U55" i="12"/>
  <c r="U47" i="12"/>
  <c r="U39" i="12"/>
  <c r="U31" i="12"/>
  <c r="U25" i="12"/>
  <c r="U9" i="12"/>
  <c r="U190" i="12"/>
  <c r="U182" i="12"/>
  <c r="U174" i="12"/>
  <c r="U166" i="12"/>
  <c r="U158" i="12"/>
  <c r="U150" i="12"/>
  <c r="U142" i="12"/>
  <c r="U134" i="12"/>
  <c r="U126" i="12"/>
  <c r="U118" i="12"/>
  <c r="U110" i="12"/>
  <c r="U102" i="12"/>
  <c r="U94" i="12"/>
  <c r="U86" i="12"/>
  <c r="U78" i="12"/>
  <c r="U70" i="12"/>
  <c r="U62" i="12"/>
  <c r="U54" i="12"/>
  <c r="U46" i="12"/>
  <c r="U38" i="12"/>
  <c r="U30" i="12"/>
  <c r="BI2" i="12"/>
  <c r="BI19" i="12"/>
  <c r="BI11" i="12"/>
  <c r="BI3" i="12"/>
  <c r="BI26" i="12"/>
  <c r="BI18" i="12"/>
  <c r="BI10" i="12"/>
  <c r="BI25" i="12"/>
  <c r="BI17" i="12"/>
  <c r="BI9" i="12"/>
  <c r="BI8" i="12"/>
  <c r="BI23" i="12"/>
  <c r="AJ24" i="12"/>
  <c r="AJ16" i="12"/>
  <c r="AJ8" i="12"/>
  <c r="BI22" i="12"/>
  <c r="BI14" i="12"/>
  <c r="BI6" i="12"/>
  <c r="BI21" i="12"/>
  <c r="BI5" i="12"/>
  <c r="G16" i="10"/>
  <c r="BF11" i="12"/>
  <c r="BF19" i="12"/>
  <c r="BI13" i="12"/>
  <c r="BF2" i="12"/>
  <c r="BI15" i="12"/>
  <c r="BF3" i="12"/>
  <c r="BF21" i="12"/>
  <c r="BF23" i="12"/>
  <c r="BF5" i="12"/>
  <c r="BF6" i="12"/>
  <c r="BF14" i="12"/>
  <c r="BF22" i="12"/>
  <c r="BI4" i="12"/>
  <c r="BI12" i="12"/>
  <c r="BI20" i="12"/>
  <c r="BF8" i="12"/>
  <c r="BF16" i="12"/>
  <c r="BF24" i="12"/>
  <c r="BF9" i="12"/>
  <c r="BF17" i="12"/>
  <c r="BF25" i="12"/>
  <c r="BF10" i="12"/>
  <c r="BF18" i="12"/>
  <c r="BF26" i="12"/>
  <c r="BC13" i="12"/>
  <c r="BC5" i="12"/>
  <c r="BC21" i="12"/>
  <c r="BD2" i="12"/>
  <c r="BC12" i="12"/>
  <c r="BC17" i="12"/>
  <c r="BC2" i="12"/>
  <c r="BC10" i="12"/>
  <c r="BC18" i="12"/>
  <c r="BC26" i="12"/>
  <c r="BC3" i="12"/>
  <c r="BC11" i="12"/>
  <c r="BC19" i="12"/>
  <c r="AX12" i="12"/>
  <c r="BC6" i="12"/>
  <c r="BC14" i="12"/>
  <c r="BC22" i="12"/>
  <c r="AX26" i="12"/>
  <c r="AX10" i="12"/>
  <c r="AX11" i="12"/>
  <c r="AY2" i="12"/>
  <c r="AS19" i="12"/>
  <c r="AS21" i="12"/>
  <c r="AX6" i="12"/>
  <c r="AX14" i="12"/>
  <c r="AX22" i="12"/>
  <c r="AX15" i="12"/>
  <c r="AX23" i="12"/>
  <c r="AX8" i="12"/>
  <c r="AX16" i="12"/>
  <c r="AX24" i="12"/>
  <c r="AX9" i="12"/>
  <c r="AX17" i="12"/>
  <c r="AX25" i="12"/>
  <c r="AS5" i="12"/>
  <c r="AS3" i="12"/>
  <c r="AS4" i="12"/>
  <c r="AS20" i="12"/>
  <c r="AT2" i="12"/>
  <c r="AS9" i="12"/>
  <c r="AS25" i="12"/>
  <c r="AS13" i="12"/>
  <c r="AS10" i="12"/>
  <c r="AS26" i="12"/>
  <c r="AS6" i="12"/>
  <c r="AS14" i="12"/>
  <c r="AS22" i="12"/>
  <c r="AL20" i="12"/>
  <c r="AS15" i="12"/>
  <c r="AS23" i="12"/>
  <c r="AN4" i="12"/>
  <c r="AJ21" i="12"/>
  <c r="AJ13" i="12"/>
  <c r="AJ5" i="12"/>
  <c r="AN21" i="12"/>
  <c r="AN17" i="12"/>
  <c r="AN24" i="12"/>
  <c r="AN5" i="12"/>
  <c r="AN25" i="12"/>
  <c r="AJ15" i="12"/>
  <c r="AO2" i="12"/>
  <c r="AJ12" i="12"/>
  <c r="AN2" i="12"/>
  <c r="AN18" i="12"/>
  <c r="AJ14" i="12"/>
  <c r="AN3" i="12"/>
  <c r="AN11" i="12"/>
  <c r="AN19" i="12"/>
  <c r="AJ4" i="12"/>
  <c r="AG16" i="12"/>
  <c r="AJ23" i="12"/>
  <c r="AN6" i="12"/>
  <c r="AN14" i="12"/>
  <c r="AN22" i="12"/>
  <c r="AJ20" i="12"/>
  <c r="AJ22" i="12"/>
  <c r="AI12" i="12"/>
  <c r="AJ2" i="12"/>
  <c r="AJ19" i="12"/>
  <c r="AJ3" i="12"/>
  <c r="AJ10" i="12"/>
  <c r="AJ17" i="12"/>
  <c r="AI20" i="12"/>
  <c r="AG24" i="12"/>
  <c r="AI4" i="12"/>
  <c r="AJ11" i="12"/>
  <c r="AJ26" i="12"/>
  <c r="AJ18" i="12"/>
  <c r="AJ25" i="12"/>
  <c r="AJ9" i="12"/>
  <c r="AD20" i="12"/>
  <c r="AG8" i="12"/>
  <c r="AJ6" i="12"/>
  <c r="AI9" i="12"/>
  <c r="AI17" i="12"/>
  <c r="AI25" i="12"/>
  <c r="AB12" i="12"/>
  <c r="AI2" i="12"/>
  <c r="AI10" i="12"/>
  <c r="AI18" i="12"/>
  <c r="AI26" i="12"/>
  <c r="AI3" i="12"/>
  <c r="AI11" i="12"/>
  <c r="AI19" i="12"/>
  <c r="AG21" i="12"/>
  <c r="AG5" i="12"/>
  <c r="AG13" i="12"/>
  <c r="AE2" i="12"/>
  <c r="AD11" i="12"/>
  <c r="AD16" i="12"/>
  <c r="AD3" i="12"/>
  <c r="Y4" i="12"/>
  <c r="AD17" i="12"/>
  <c r="AD9" i="12"/>
  <c r="AD25" i="12"/>
  <c r="Z2" i="12"/>
  <c r="W13" i="12"/>
  <c r="Y23" i="12"/>
  <c r="Y14" i="12"/>
  <c r="B4" i="2" s="1"/>
  <c r="Y15" i="12"/>
  <c r="Y21" i="12"/>
  <c r="Y8" i="12"/>
  <c r="Y16" i="12"/>
  <c r="Y24" i="12"/>
  <c r="Y9" i="12"/>
  <c r="Y17" i="12"/>
  <c r="Y25" i="12"/>
  <c r="Y2" i="12"/>
  <c r="Y10" i="12"/>
  <c r="Y18" i="12"/>
  <c r="Y26" i="12"/>
  <c r="U2" i="12"/>
  <c r="R8" i="12"/>
  <c r="T15" i="12"/>
  <c r="T14" i="12"/>
  <c r="T13" i="12"/>
  <c r="T20" i="12"/>
  <c r="T12" i="12"/>
  <c r="T4" i="12"/>
  <c r="T2" i="12"/>
  <c r="T19" i="12"/>
  <c r="T11" i="12"/>
  <c r="T3" i="12"/>
  <c r="R16" i="12"/>
  <c r="AX406" i="12" l="1"/>
  <c r="AX409" i="12" s="1"/>
  <c r="H8" i="10" s="1"/>
  <c r="AX407" i="12"/>
  <c r="AD406" i="12"/>
  <c r="AX408" i="12"/>
  <c r="B4" i="1"/>
  <c r="AS408" i="12"/>
  <c r="BH408" i="12"/>
  <c r="D3" i="2"/>
  <c r="AS407" i="12"/>
  <c r="AN408" i="12"/>
  <c r="AN407" i="12"/>
  <c r="AN406" i="12"/>
  <c r="BC407" i="12"/>
  <c r="BC406" i="12"/>
  <c r="BC408" i="12"/>
  <c r="C4" i="3"/>
  <c r="B2" i="2"/>
  <c r="T406" i="12"/>
  <c r="T407" i="12"/>
  <c r="T408" i="12"/>
  <c r="C4" i="2"/>
  <c r="D3" i="8"/>
  <c r="B2" i="1"/>
  <c r="C3" i="11" s="1"/>
  <c r="AS406" i="12"/>
  <c r="B3" i="1"/>
  <c r="BH406" i="12"/>
  <c r="AI408" i="12"/>
  <c r="AI407" i="12"/>
  <c r="AI406" i="12"/>
  <c r="BH407" i="12"/>
  <c r="AD408" i="12"/>
  <c r="B3" i="5"/>
  <c r="AD407" i="12"/>
  <c r="AD409" i="12" s="1"/>
  <c r="G4" i="10" s="1"/>
  <c r="Y408" i="12"/>
  <c r="Y407" i="12"/>
  <c r="Y406" i="12"/>
  <c r="B3" i="2"/>
  <c r="R407" i="12"/>
  <c r="B3" i="7"/>
  <c r="D4" i="6"/>
  <c r="B2" i="9"/>
  <c r="C81" i="11" s="1"/>
  <c r="C3" i="5"/>
  <c r="C3" i="4"/>
  <c r="AT405" i="12"/>
  <c r="B7" i="10" s="1"/>
  <c r="D2" i="3"/>
  <c r="E22" i="11" s="1"/>
  <c r="C3" i="6"/>
  <c r="D2" i="7"/>
  <c r="D4" i="4"/>
  <c r="B4" i="4"/>
  <c r="C2" i="7"/>
  <c r="B4" i="3"/>
  <c r="AY405" i="12"/>
  <c r="B8" i="10" s="1"/>
  <c r="BD405" i="12"/>
  <c r="B9" i="10" s="1"/>
  <c r="B3" i="6"/>
  <c r="D2" i="6"/>
  <c r="D4" i="1"/>
  <c r="D3" i="5"/>
  <c r="W407" i="12"/>
  <c r="D3" i="6"/>
  <c r="C2" i="1"/>
  <c r="B3" i="3"/>
  <c r="C4" i="8"/>
  <c r="AB407" i="12"/>
  <c r="C4" i="7"/>
  <c r="D3" i="4"/>
  <c r="C2" i="2"/>
  <c r="D4" i="5"/>
  <c r="D3" i="3"/>
  <c r="R408" i="12"/>
  <c r="AJ405" i="12"/>
  <c r="B5" i="10" s="1"/>
  <c r="C2" i="9"/>
  <c r="C4" i="9"/>
  <c r="C3" i="9"/>
  <c r="BI405" i="12"/>
  <c r="B10" i="10" s="1"/>
  <c r="D4" i="2"/>
  <c r="AQ406" i="12"/>
  <c r="C3" i="1"/>
  <c r="D4" i="11" s="1"/>
  <c r="B2" i="3"/>
  <c r="B2" i="8"/>
  <c r="C71" i="11" s="1"/>
  <c r="C2" i="3"/>
  <c r="C3" i="7"/>
  <c r="AG408" i="12"/>
  <c r="C3" i="2"/>
  <c r="AL406" i="12"/>
  <c r="D2" i="1"/>
  <c r="U405" i="12"/>
  <c r="B2" i="10" s="1"/>
  <c r="Z405" i="12"/>
  <c r="B3" i="10" s="1"/>
  <c r="AE405" i="12"/>
  <c r="B4" i="10" s="1"/>
  <c r="W406" i="12"/>
  <c r="AQ408" i="12"/>
  <c r="AV406" i="12"/>
  <c r="D4" i="8"/>
  <c r="AB408" i="12"/>
  <c r="C4" i="4"/>
  <c r="B3" i="9"/>
  <c r="C82" i="11" s="1"/>
  <c r="D2" i="5"/>
  <c r="E42" i="11" s="1"/>
  <c r="D3" i="1"/>
  <c r="E4" i="11" s="1"/>
  <c r="AO405" i="12"/>
  <c r="B6" i="10" s="1"/>
  <c r="W408" i="12"/>
  <c r="AV407" i="12"/>
  <c r="B4" i="8"/>
  <c r="C73" i="11" s="1"/>
  <c r="BA406" i="12"/>
  <c r="C3" i="3"/>
  <c r="D23" i="11" s="1"/>
  <c r="C2" i="5"/>
  <c r="D42" i="11" s="1"/>
  <c r="C2" i="4"/>
  <c r="D32" i="11" s="1"/>
  <c r="B4" i="9"/>
  <c r="AL407" i="12"/>
  <c r="D2" i="2"/>
  <c r="E12" i="11" s="1"/>
  <c r="B4" i="5"/>
  <c r="D3" i="7"/>
  <c r="BA408" i="12"/>
  <c r="C2" i="8"/>
  <c r="D71" i="11" s="1"/>
  <c r="C4" i="5"/>
  <c r="D44" i="11" s="1"/>
  <c r="AL408" i="12"/>
  <c r="B2" i="4"/>
  <c r="R406" i="12"/>
  <c r="B2" i="5"/>
  <c r="C42" i="11" s="1"/>
  <c r="AV408" i="12"/>
  <c r="B3" i="8"/>
  <c r="C72" i="11" s="1"/>
  <c r="BA407" i="12"/>
  <c r="B2" i="6"/>
  <c r="C52" i="11" s="1"/>
  <c r="AG406" i="12"/>
  <c r="C4" i="6"/>
  <c r="D54" i="11" s="1"/>
  <c r="B3" i="4"/>
  <c r="C33" i="11" s="1"/>
  <c r="B4" i="7"/>
  <c r="C64" i="11" s="1"/>
  <c r="AQ407" i="12"/>
  <c r="D4" i="7"/>
  <c r="E64" i="11" s="1"/>
  <c r="C3" i="8"/>
  <c r="D72" i="11" s="1"/>
  <c r="D2" i="8"/>
  <c r="E71" i="11" s="1"/>
  <c r="B4" i="6"/>
  <c r="C54" i="11" s="1"/>
  <c r="D2" i="4"/>
  <c r="E32" i="11" s="1"/>
  <c r="AG407" i="12"/>
  <c r="C2" i="6"/>
  <c r="D52" i="11" s="1"/>
  <c r="D4" i="3"/>
  <c r="E24" i="11" s="1"/>
  <c r="B2" i="7"/>
  <c r="C62" i="11" s="1"/>
  <c r="D4" i="9"/>
  <c r="E83" i="11" s="1"/>
  <c r="BF408" i="12"/>
  <c r="BF407" i="12"/>
  <c r="BF406" i="12"/>
  <c r="D3" i="9"/>
  <c r="E82" i="11" s="1"/>
  <c r="D2" i="9"/>
  <c r="E81" i="11" s="1"/>
  <c r="C4" i="1"/>
  <c r="D5" i="11" s="1"/>
  <c r="AB406" i="12"/>
  <c r="C83" i="11"/>
  <c r="D73" i="11"/>
  <c r="E72" i="11"/>
  <c r="E13" i="11"/>
  <c r="C5" i="11"/>
  <c r="C23" i="11"/>
  <c r="D53" i="11"/>
  <c r="E63" i="11"/>
  <c r="C24" i="11"/>
  <c r="E54" i="11"/>
  <c r="E14" i="11"/>
  <c r="E44" i="11"/>
  <c r="D64" i="11"/>
  <c r="C53" i="11"/>
  <c r="C14" i="11"/>
  <c r="C13" i="11"/>
  <c r="C12" i="11"/>
  <c r="D63" i="11"/>
  <c r="E43" i="11"/>
  <c r="E3" i="11"/>
  <c r="C34" i="11"/>
  <c r="C63" i="11"/>
  <c r="E53" i="11"/>
  <c r="C32" i="11"/>
  <c r="E52" i="11"/>
  <c r="E23" i="11"/>
  <c r="E73" i="11"/>
  <c r="C22" i="11"/>
  <c r="C4" i="11"/>
  <c r="C44" i="11"/>
  <c r="D43" i="11"/>
  <c r="E62" i="11"/>
  <c r="D62" i="11"/>
  <c r="D3" i="11"/>
  <c r="D14" i="11"/>
  <c r="C43" i="11"/>
  <c r="D34" i="11"/>
  <c r="E34" i="11"/>
  <c r="E5" i="11"/>
  <c r="D24" i="11"/>
  <c r="E33" i="11"/>
  <c r="D33" i="11"/>
  <c r="D13" i="11"/>
  <c r="D22" i="11"/>
  <c r="D12" i="11"/>
  <c r="D83" i="11"/>
  <c r="D82" i="11"/>
  <c r="D81" i="11"/>
  <c r="BC409" i="12" l="1"/>
  <c r="I9" i="10" s="1"/>
  <c r="G9" i="10"/>
  <c r="I4" i="10"/>
  <c r="AI409" i="12"/>
  <c r="H5" i="10" s="1"/>
  <c r="H9" i="10"/>
  <c r="Y409" i="12"/>
  <c r="G3" i="10" s="1"/>
  <c r="AN409" i="12"/>
  <c r="I6" i="10" s="1"/>
  <c r="H3" i="10"/>
  <c r="I8" i="10"/>
  <c r="I3" i="10"/>
  <c r="BH409" i="12"/>
  <c r="I10" i="10" s="1"/>
  <c r="G2" i="10"/>
  <c r="T409" i="12"/>
  <c r="H2" i="10" s="1"/>
  <c r="H4" i="10"/>
  <c r="G8" i="10"/>
  <c r="AS409" i="12"/>
  <c r="I7" i="10" s="1"/>
  <c r="BA409" i="12"/>
  <c r="L9" i="10" s="1"/>
  <c r="BF409" i="12"/>
  <c r="K10" i="10" s="1"/>
  <c r="R409" i="12"/>
  <c r="K2" i="10" s="1"/>
  <c r="AL409" i="12"/>
  <c r="J6" i="10" s="1"/>
  <c r="AQ409" i="12"/>
  <c r="K7" i="10" s="1"/>
  <c r="AV409" i="12"/>
  <c r="K8" i="10" s="1"/>
  <c r="AG409" i="12"/>
  <c r="L5" i="10" s="1"/>
  <c r="W409" i="12"/>
  <c r="L3" i="10" s="1"/>
  <c r="AB409" i="12"/>
  <c r="K4" i="10" s="1"/>
  <c r="C84" i="11"/>
  <c r="F71" i="11"/>
  <c r="D65" i="11"/>
  <c r="G65" i="11"/>
  <c r="F64" i="11"/>
  <c r="F73" i="11"/>
  <c r="F54" i="11"/>
  <c r="E74" i="11"/>
  <c r="F63" i="11"/>
  <c r="G74" i="11"/>
  <c r="D45" i="11"/>
  <c r="F12" i="11"/>
  <c r="F44" i="11"/>
  <c r="C35" i="11"/>
  <c r="F72" i="11"/>
  <c r="F42" i="11"/>
  <c r="E65" i="11"/>
  <c r="C74" i="11"/>
  <c r="C6" i="11"/>
  <c r="E55" i="11"/>
  <c r="E15" i="11"/>
  <c r="F14" i="11"/>
  <c r="D55" i="11"/>
  <c r="E45" i="11"/>
  <c r="E25" i="11"/>
  <c r="C65" i="11"/>
  <c r="F62" i="11"/>
  <c r="F4" i="11"/>
  <c r="F3" i="11"/>
  <c r="G45" i="11"/>
  <c r="F24" i="11"/>
  <c r="G55" i="11"/>
  <c r="F43" i="11"/>
  <c r="C25" i="11"/>
  <c r="F53" i="11"/>
  <c r="C55" i="11"/>
  <c r="D74" i="11"/>
  <c r="F52" i="11"/>
  <c r="C15" i="11"/>
  <c r="F34" i="11"/>
  <c r="F5" i="11"/>
  <c r="C45" i="11"/>
  <c r="E84" i="11"/>
  <c r="E35" i="11"/>
  <c r="E6" i="11"/>
  <c r="F83" i="11"/>
  <c r="G6" i="11"/>
  <c r="F81" i="11"/>
  <c r="D84" i="11"/>
  <c r="D35" i="11"/>
  <c r="F32" i="11"/>
  <c r="D25" i="11"/>
  <c r="F22" i="11"/>
  <c r="F23" i="11"/>
  <c r="G25" i="11"/>
  <c r="D6" i="11"/>
  <c r="F33" i="11"/>
  <c r="G35" i="11"/>
  <c r="G84" i="11"/>
  <c r="F82" i="11"/>
  <c r="F13" i="11"/>
  <c r="G15" i="11"/>
  <c r="D15" i="11"/>
  <c r="I5" i="10" l="1"/>
  <c r="G5" i="10"/>
  <c r="G7" i="10"/>
  <c r="G10" i="10"/>
  <c r="G6" i="10"/>
  <c r="I2" i="10"/>
  <c r="H7" i="10"/>
  <c r="H6" i="10"/>
  <c r="H10" i="10"/>
  <c r="L6" i="10"/>
  <c r="K3" i="10"/>
  <c r="K6" i="10"/>
  <c r="J9" i="10"/>
  <c r="K9" i="10"/>
  <c r="L2" i="10"/>
  <c r="J2" i="10"/>
  <c r="L8" i="10"/>
  <c r="J4" i="10"/>
  <c r="J5" i="10"/>
  <c r="J10" i="10"/>
  <c r="L10" i="10"/>
  <c r="J7" i="10"/>
  <c r="J3" i="10"/>
  <c r="L4" i="10"/>
  <c r="K5" i="10"/>
  <c r="J8" i="10"/>
  <c r="L7" i="10"/>
  <c r="J65" i="11"/>
  <c r="J74" i="11"/>
  <c r="J45" i="11"/>
  <c r="I65" i="11"/>
  <c r="I55" i="11"/>
  <c r="J6" i="11"/>
  <c r="H65" i="11"/>
  <c r="F65" i="11"/>
  <c r="E66" i="11" s="1"/>
  <c r="C8" i="10" s="1"/>
  <c r="J15" i="11"/>
  <c r="H74" i="11"/>
  <c r="J55" i="11"/>
  <c r="F55" i="11"/>
  <c r="E56" i="11" s="1"/>
  <c r="C7" i="10" s="1"/>
  <c r="I74" i="11"/>
  <c r="F74" i="11"/>
  <c r="E75" i="11" s="1"/>
  <c r="C9" i="10" s="1"/>
  <c r="H55" i="11"/>
  <c r="F45" i="11"/>
  <c r="E46" i="11" s="1"/>
  <c r="C6" i="10" s="1"/>
  <c r="I45" i="11"/>
  <c r="H45" i="11"/>
  <c r="H6" i="11"/>
  <c r="I6" i="11"/>
  <c r="F6" i="11"/>
  <c r="E7" i="11" s="1"/>
  <c r="C2" i="10" s="1"/>
  <c r="J35" i="11"/>
  <c r="H35" i="11"/>
  <c r="I15" i="11"/>
  <c r="F15" i="11"/>
  <c r="E16" i="11" s="1"/>
  <c r="C3" i="10" s="1"/>
  <c r="F35" i="11"/>
  <c r="E36" i="11" s="1"/>
  <c r="C5" i="10" s="1"/>
  <c r="I35" i="11"/>
  <c r="H15" i="11"/>
  <c r="J25" i="11"/>
  <c r="H25" i="11"/>
  <c r="F25" i="11"/>
  <c r="E26" i="11" s="1"/>
  <c r="C4" i="10" s="1"/>
  <c r="I25" i="11"/>
  <c r="I84" i="11"/>
  <c r="F84" i="11"/>
  <c r="E85" i="11" s="1"/>
  <c r="C10" i="10" s="1"/>
  <c r="J84" i="11"/>
  <c r="H84" i="11"/>
  <c r="M6" i="10" l="1"/>
  <c r="E9" i="10"/>
  <c r="M9" i="10"/>
  <c r="M2" i="10"/>
  <c r="E6" i="10"/>
  <c r="E2" i="10"/>
  <c r="E8" i="10"/>
  <c r="M8" i="10"/>
  <c r="E3" i="10"/>
  <c r="M3" i="10"/>
  <c r="M7" i="10"/>
  <c r="E7" i="10"/>
  <c r="M4" i="10"/>
  <c r="E4" i="10"/>
  <c r="E10" i="10"/>
  <c r="M10" i="10"/>
  <c r="E5" i="10"/>
  <c r="M5" i="10"/>
  <c r="E67" i="11"/>
  <c r="D8" i="10" s="1"/>
  <c r="E57" i="11"/>
  <c r="D7" i="10" s="1"/>
  <c r="E76" i="11"/>
  <c r="D9" i="10" s="1"/>
  <c r="E86" i="11"/>
  <c r="D10" i="10" s="1"/>
  <c r="E37" i="11"/>
  <c r="D5" i="10" s="1"/>
  <c r="E17" i="11"/>
  <c r="D3" i="10" s="1"/>
  <c r="E27" i="11"/>
  <c r="D4" i="10" s="1"/>
  <c r="E47" i="11"/>
  <c r="D6" i="10" s="1"/>
  <c r="E8" i="11"/>
  <c r="D2"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9B0B4-4D97-45AD-9987-311FC05C933D}" keepAlive="1" name="Query - interview_responses" description="Connection to the 'interview_responses' query in the workbook." type="5" refreshedVersion="8" background="1" saveData="1">
    <dbPr connection="Provider=Microsoft.Mashup.OleDb.1;Data Source=$Workbook$;Location=interview_responses;Extended Properties=&quot;&quot;" command="SELECT * FROM [interview_responses]"/>
  </connection>
  <connection id="2" xr16:uid="{D0345BBE-78E8-4375-9EB2-3905412D32D4}" keepAlive="1" name="Query - step2_raw_simulation" description="Connection to the 'step2_raw_simulation' query in the workbook." type="5" refreshedVersion="8" background="1" saveData="1">
    <dbPr connection="Provider=Microsoft.Mashup.OleDb.1;Data Source=$Workbook$;Location=step2_raw_simulation;Extended Properties=&quot;&quot;" command="SELECT * FROM [step2_raw_simulation]"/>
  </connection>
  <connection id="3" xr16:uid="{59800C96-21D8-47A3-B294-5457B01DAA7D}" keepAlive="1" name="Query - step2_raw_simulation (2)" description="Connection to the 'step2_raw_simulation (2)' query in the workbook." type="5" refreshedVersion="0" background="1" saveData="1">
    <dbPr connection="Provider=Microsoft.Mashup.OleDb.1;Data Source=$Workbook$;Location=&quot;step2_raw_simulation (2)&quot;;Extended Properties=&quot;&quot;" command="SELECT * FROM [step2_raw_simulation (2)]"/>
  </connection>
  <connection id="4" xr16:uid="{CD2CBEC7-DD68-4DE4-9807-64F4D1652185}" keepAlive="1" name="Query - step3_survey_simulation_results" description="Connection to the 'step3_survey_simulation_results' query in the workbook." type="5" refreshedVersion="8" background="1" saveData="1">
    <dbPr connection="Provider=Microsoft.Mashup.OleDb.1;Data Source=$Workbook$;Location=step3_survey_simulation_results;Extended Properties=&quot;&quot;" command="SELECT * FROM [step3_survey_simulation_results]"/>
  </connection>
  <connection id="5" xr16:uid="{68518907-6C44-4E2F-B44A-369417B2F34F}" keepAlive="1" name="Query - step3_validation" description="Connection to the 'step3_validation' query in the workbook." type="5" refreshedVersion="8" background="1" saveData="1">
    <dbPr connection="Provider=Microsoft.Mashup.OleDb.1;Data Source=$Workbook$;Location=step3_validation;Extended Properties=&quot;&quot;" command="SELECT * FROM [step3_validation]"/>
  </connection>
  <connection id="6" xr16:uid="{087CA380-0F42-4DAE-9364-8A6A73D4D6A8}" keepAlive="1" name="Query - step3_validation (2)" description="Connection to the 'step3_validation (2)' query in the workbook." type="5" refreshedVersion="8" background="1" saveData="1">
    <dbPr connection="Provider=Microsoft.Mashup.OleDb.1;Data Source=$Workbook$;Location=&quot;step3_validation (2)&quot;;Extended Properties=&quot;&quot;" command="SELECT * FROM [step3_validation (2)]"/>
  </connection>
  <connection id="7" xr16:uid="{76288996-789D-46B7-B1F3-F67C7AA1DC2E}" keepAlive="1" name="Query - step3_validation (3)" description="Connection to the 'step3_validation (3)' query in the workbook." type="5" refreshedVersion="0" background="1" saveData="1">
    <dbPr connection="Provider=Microsoft.Mashup.OleDb.1;Data Source=$Workbook$;Location=&quot;step3_validation (3)&quot;;Extended Properties=&quot;&quot;" command="SELECT * FROM [step3_validation (3)]"/>
  </connection>
  <connection id="8" xr16:uid="{F7EC4F26-98E3-4CD2-958A-1E8005FC2274}" keepAlive="1" name="Query - step3_validation (4)" description="Connection to the 'step3_validation (4)' query in the workbook." type="5" refreshedVersion="8" background="1" saveData="1">
    <dbPr connection="Provider=Microsoft.Mashup.OleDb.1;Data Source=$Workbook$;Location=&quot;step3_validation (4)&quot;;Extended Properties=&quot;&quot;" command="SELECT * FROM [step3_validation (4)]"/>
  </connection>
  <connection id="9" xr16:uid="{14EA6238-7AB9-4BDA-8602-510C19C4330E}" keepAlive="1" name="Query - step3_validation (5)" description="Connection to the 'step3_validation (5)' query in the workbook." type="5" refreshedVersion="0" background="1" saveData="1">
    <dbPr connection="Provider=Microsoft.Mashup.OleDb.1;Data Source=$Workbook$;Location=&quot;step3_validation (5)&quot;;Extended Properties=&quot;&quot;" command="SELECT * FROM [step3_validation (5)]"/>
  </connection>
  <connection id="10" xr16:uid="{02C3DBCE-6892-4139-BD44-9AFCDEEFB437}" keepAlive="1" name="Query - step3_validation (6)" description="Connection to the 'step3_validation (6)' query in the workbook." type="5" refreshedVersion="0" background="1" saveData="1">
    <dbPr connection="Provider=Microsoft.Mashup.OleDb.1;Data Source=$Workbook$;Location=&quot;step3_validation (6)&quot;;Extended Properties=&quot;&quot;" command="SELECT * FROM [step3_validation (6)]"/>
  </connection>
  <connection id="11" xr16:uid="{FB9CB0FF-B451-4710-BDB0-026ED9E7C8C9}" keepAlive="1" name="Query - step3_validation (7)" description="Connection to the 'step3_validation (7)' query in the workbook." type="5" refreshedVersion="0" background="1" saveData="1">
    <dbPr connection="Provider=Microsoft.Mashup.OleDb.1;Data Source=$Workbook$;Location=&quot;step3_validation (7)&quot;;Extended Properties=&quot;&quot;" command="SELECT * FROM [step3_validation (7)]"/>
  </connection>
  <connection id="12" xr16:uid="{F572EC63-C73E-4F9E-BAC2-A805F8AF7CF6}" keepAlive="1" name="Query - survey_responses" description="Connection to the 'survey_responses' query in the workbook." type="5" refreshedVersion="8" background="1" saveData="1">
    <dbPr connection="Provider=Microsoft.Mashup.OleDb.1;Data Source=$Workbook$;Location=survey_responses;Extended Properties=&quot;&quot;" command="SELECT * FROM [survey_responses]"/>
  </connection>
  <connection id="13" xr16:uid="{6ACD503F-7304-41B4-8BFB-2AC6A26B719C}" keepAlive="1" name="Query - survey_responses (2)" description="Connection to the 'survey_responses (2)' query in the workbook." type="5" refreshedVersion="0" background="1" saveData="1">
    <dbPr connection="Provider=Microsoft.Mashup.OleDb.1;Data Source=$Workbook$;Location=&quot;survey_responses (2)&quot;;Extended Properties=&quot;&quot;" command="SELECT * FROM [survey_responses (2)]"/>
  </connection>
</connections>
</file>

<file path=xl/sharedStrings.xml><?xml version="1.0" encoding="utf-8"?>
<sst xmlns="http://schemas.openxmlformats.org/spreadsheetml/2006/main" count="9222" uniqueCount="3815">
  <si>
    <t>HUMAN</t>
  </si>
  <si>
    <t>Oppose</t>
  </si>
  <si>
    <t>Neutral</t>
  </si>
  <si>
    <t>Support</t>
  </si>
  <si>
    <t>Metric</t>
  </si>
  <si>
    <t>MAE (Intensity)</t>
  </si>
  <si>
    <t>Agreement Rate (%)</t>
  </si>
  <si>
    <t>Human_Oppose (%)</t>
  </si>
  <si>
    <t>Human_Neutral (%)</t>
  </si>
  <si>
    <t>Human_Support (%)</t>
  </si>
  <si>
    <t>AI_Oppose (%)</t>
  </si>
  <si>
    <t>AI_Neutral (%)</t>
  </si>
  <si>
    <t>AI_Support (%)</t>
  </si>
  <si>
    <t>ENF1</t>
  </si>
  <si>
    <t>ENF2</t>
  </si>
  <si>
    <t>FAC1</t>
  </si>
  <si>
    <t>FAC2</t>
  </si>
  <si>
    <t>TRU1</t>
  </si>
  <si>
    <t>TRU2</t>
  </si>
  <si>
    <t>TRU3</t>
  </si>
  <si>
    <t>TRU4</t>
  </si>
  <si>
    <t>OUT1</t>
  </si>
  <si>
    <t>Confusion Matrix_ENF1</t>
  </si>
  <si>
    <t>Human</t>
  </si>
  <si>
    <t>AI</t>
  </si>
  <si>
    <t>Agreement rate (%)</t>
  </si>
  <si>
    <t>Confusion Matrix_ENF2</t>
  </si>
  <si>
    <t>Confusion Matrix_FAC1</t>
  </si>
  <si>
    <t>Confusion Matrix_FAC2</t>
  </si>
  <si>
    <t>Confusion Matrix_TRU1</t>
  </si>
  <si>
    <t>Confusion Matrix_TRU2</t>
  </si>
  <si>
    <t>Confusion Matrix_TRU3</t>
  </si>
  <si>
    <t>Confusion Matrix_TRU4</t>
  </si>
  <si>
    <t>Confusion Matrix_OUT1</t>
  </si>
  <si>
    <t>Total</t>
  </si>
  <si>
    <t>MCC</t>
  </si>
  <si>
    <t>c</t>
  </si>
  <si>
    <t>Persona_ID</t>
  </si>
  <si>
    <t>Gender</t>
  </si>
  <si>
    <t>Age</t>
  </si>
  <si>
    <t>Region</t>
  </si>
  <si>
    <t>Education</t>
  </si>
  <si>
    <t>Employment</t>
  </si>
  <si>
    <t>Income_Mil</t>
  </si>
  <si>
    <t>Dependents</t>
  </si>
  <si>
    <t>AI_ENF1_Score</t>
  </si>
  <si>
    <t>Human_ENF1</t>
  </si>
  <si>
    <t>AI_ENF1_Reason</t>
  </si>
  <si>
    <t>AI_ENF2_Score</t>
  </si>
  <si>
    <t>Human_ENF2</t>
  </si>
  <si>
    <t>AI_ENF2_Reason</t>
  </si>
  <si>
    <t>AI_FAC1_Score</t>
  </si>
  <si>
    <t>Human_FAC1</t>
  </si>
  <si>
    <t>AI_FAC1_Reason</t>
  </si>
  <si>
    <t>AI_FAC2_Score</t>
  </si>
  <si>
    <t>Human_FAC2</t>
  </si>
  <si>
    <t>AI_FAC2_Reason</t>
  </si>
  <si>
    <t>AI_TRU1_Score</t>
  </si>
  <si>
    <t>Human_TRU1</t>
  </si>
  <si>
    <t>AI_TRU1_Reason</t>
  </si>
  <si>
    <t>AI_TRU2_Score</t>
  </si>
  <si>
    <t>Human_TRU2</t>
  </si>
  <si>
    <t>AI_TRU2_Reason</t>
  </si>
  <si>
    <t>AI_TRU3_Score</t>
  </si>
  <si>
    <t>Human_TRU3</t>
  </si>
  <si>
    <t>AI_TRU3_Reason</t>
  </si>
  <si>
    <t>AI_TRU4_Score</t>
  </si>
  <si>
    <t>Human_TRU4</t>
  </si>
  <si>
    <t>AI_TRU4_Reason</t>
  </si>
  <si>
    <t>AI_OUT1_Score</t>
  </si>
  <si>
    <t>Human_OUT1</t>
  </si>
  <si>
    <t>AI_OUT1_Reason</t>
  </si>
  <si>
    <t>Nữ</t>
  </si>
  <si>
    <t>30 - 39</t>
  </si>
  <si>
    <t>Thành thị</t>
  </si>
  <si>
    <t>Sau Đại học</t>
  </si>
  <si>
    <t>Chính thức</t>
  </si>
  <si>
    <t>Đại học</t>
  </si>
  <si>
    <t>Nam</t>
  </si>
  <si>
    <t>40 - 49</t>
  </si>
  <si>
    <t>Nông thôn</t>
  </si>
  <si>
    <t>25 - 29</t>
  </si>
  <si>
    <t>Tôi tin rằng số tiền thuế đóng sẽ được sử dụng hiệu quả để cải thiện dịch vụ công</t>
  </si>
  <si>
    <t>Timestamp</t>
  </si>
  <si>
    <t>Giới tính của bạn:</t>
  </si>
  <si>
    <t>Độ tuổi của bạn:</t>
  </si>
  <si>
    <t>Khu vực bạn đang sinh sống:</t>
  </si>
  <si>
    <t>Trình độ học vấn cao nhất:</t>
  </si>
  <si>
    <t>Tình trạng việc làm chính:</t>
  </si>
  <si>
    <t>Thu nhập bình quân tháng theo Hợp đồng lao động của bạn là bao nhiêu? (Vui lòng điền tổng thu nhập trước khi khấu trừ các loại Bảo hiểm (BHXH, BHYT, BHTN) và Thuế TNCN)</t>
  </si>
  <si>
    <t>Số người phụ thuộc (con nhỏ, cha mẹ già...) đủ điều kiện giảm trừ gia cảnh:</t>
  </si>
  <si>
    <t>Tôi tin rằng với các quy định quản lý thuế hiện nay, hành vi gian lận hoặc trốn thuế sẽ dễ dàng bị phát hiện và xử lý nghiêm. - HUMAN-ENF1</t>
  </si>
  <si>
    <t>Tôi tin rằng Nhà nước, cơ quan thuế có đủ khả năng và công nghệ để phát hiện, xử lý nghiêm các hành vi trốn thuế. - HUMAN-ENF2</t>
  </si>
  <si>
    <t>Các thủ tục khai báo thuế VÀ/HOẶC quy trình làm việc với cơ quan thuế đơn giản, tiện lợi, nhanh chóng hơn so với trước đây. - HUMAN-FAC1</t>
  </si>
  <si>
    <t>So với trước đây, tôi thấy cách tính thuế và các bậc thuế trong phương án mới đơn giản, dễ hiểu và dễ thực hiện hơn. - HUMAN-FAC2</t>
  </si>
  <si>
    <t>Tôi tin rằng Nhà nước, cơ quan thuế sẽ thực thi chính sách mới một cách khách quan, công tâm và đối xử bình đẳng với mọi người nộp thuế.  - HUMAN-TRU1</t>
  </si>
  <si>
    <t>Tôi thấy mức thuế tôi phải đóng theo phương án mới là công bằng (người thu nhập như tôi đóng mức này là hợp lý). - HUMAN-TRU2</t>
  </si>
  <si>
    <t>Tôi tin tưởng số tiền thuế tôi đóng sẽ được Nhà nước sử dụng hiệu quả để cải thiện dịch vụ công (y tế, đường xá...). - HUMAN-TRU3</t>
  </si>
  <si>
    <t>Tôi thấy Nhà nước đã giải thích rõ ràng, minh bạch về lý do và mục tiêu của việc sửa đổi thuế lần này. - HUMAN-TRU4</t>
  </si>
  <si>
    <t>Sau khi xem xét các quyền lợi và nghĩa vụ, bạn có ủng hộ và tuân thủ chính sách mới hiện nay? - HUMAN-OUT1</t>
  </si>
  <si>
    <t>Khu vực chính thức (Có Hợp đồng lao động, đóng BHXH)</t>
  </si>
  <si>
    <t>Từ 23 - 32 triệu VNĐ</t>
  </si>
  <si>
    <t>1 người</t>
  </si>
  <si>
    <t>Khu vực phi chính thức (Lao động tự do, không có HĐLĐ)</t>
  </si>
  <si>
    <t>Từ 12 - 18 triệu VNĐ</t>
  </si>
  <si>
    <t>2 người</t>
  </si>
  <si>
    <t>3 người</t>
  </si>
  <si>
    <t>Từ 70 - 102 triệu VNĐ</t>
  </si>
  <si>
    <t>Trên 102 triệu VNĐ</t>
  </si>
  <si>
    <t>Từ 32 - 48 triệu VNĐ</t>
  </si>
  <si>
    <t>0 người</t>
  </si>
  <si>
    <t>Từ 48 - 70 triệu VNĐ</t>
  </si>
  <si>
    <t>AI_Gender</t>
  </si>
  <si>
    <t>Human_Gender</t>
  </si>
  <si>
    <t>AI_Age</t>
  </si>
  <si>
    <t>Human_Age</t>
  </si>
  <si>
    <t>AI_Region</t>
  </si>
  <si>
    <t>Human_Region</t>
  </si>
  <si>
    <t>AI_Education</t>
  </si>
  <si>
    <t>Human_Education</t>
  </si>
  <si>
    <t>AI_Employment</t>
  </si>
  <si>
    <t>Human_Employment</t>
  </si>
  <si>
    <t>AI_Income_Mil</t>
  </si>
  <si>
    <t>Human_Income_Mil</t>
  </si>
  <si>
    <t>AI_Dependents</t>
  </si>
  <si>
    <t>Human_Dependents</t>
  </si>
  <si>
    <t>Human_ENF1_Score</t>
  </si>
  <si>
    <t>AI_ENF1_Category</t>
  </si>
  <si>
    <t>Human_ENF1_Category</t>
  </si>
  <si>
    <t>MAE_ENF1</t>
  </si>
  <si>
    <t>AI_ENF2_Category</t>
  </si>
  <si>
    <t>Human_ENF2_Score</t>
  </si>
  <si>
    <t>Human_ENF2_Category</t>
  </si>
  <si>
    <t>MAE_ENF2</t>
  </si>
  <si>
    <t>AI_FAC1_Category</t>
  </si>
  <si>
    <t>Human_FAC1_Score</t>
  </si>
  <si>
    <t>Human_FAC1_Category</t>
  </si>
  <si>
    <t>MAE_FAC1</t>
  </si>
  <si>
    <t>AI_FAC2_Category</t>
  </si>
  <si>
    <t>Human_FAC2_Score</t>
  </si>
  <si>
    <t>Human_FAC2_Category</t>
  </si>
  <si>
    <t>MAE_FAC2</t>
  </si>
  <si>
    <t>AI_TRU1_Category</t>
  </si>
  <si>
    <t>Human_TRU1_Score</t>
  </si>
  <si>
    <t>Human_TRU1_Category</t>
  </si>
  <si>
    <t>MAE_TRU1</t>
  </si>
  <si>
    <t>AI_TRU2_Category</t>
  </si>
  <si>
    <t>Human_TRU2_Score</t>
  </si>
  <si>
    <t>Human_TRU2_Category</t>
  </si>
  <si>
    <t>MAE_TRU2</t>
  </si>
  <si>
    <t>AI_TRU3_Category</t>
  </si>
  <si>
    <t>Human_TRU3_Score</t>
  </si>
  <si>
    <t>Human_TRU3_Category</t>
  </si>
  <si>
    <t>MAE_TRU3</t>
  </si>
  <si>
    <t>AI_TRU4_Category</t>
  </si>
  <si>
    <t>Human_TRU4_Score</t>
  </si>
  <si>
    <t>Human_TRU4_Category</t>
  </si>
  <si>
    <t>MAE_TRU4</t>
  </si>
  <si>
    <t>AI_OUT1_Category</t>
  </si>
  <si>
    <t>Human_OUT1_Score</t>
  </si>
  <si>
    <t>Human_OUT1_Category</t>
  </si>
  <si>
    <t>MAE_OUT1</t>
  </si>
  <si>
    <t>Phi chính thức</t>
  </si>
  <si>
    <t>tk</t>
  </si>
  <si>
    <t>pk</t>
  </si>
  <si>
    <t>tk x pk</t>
  </si>
  <si>
    <t>Male</t>
  </si>
  <si>
    <t>Female</t>
  </si>
  <si>
    <t>Number of participants</t>
  </si>
  <si>
    <t>Rate (%)</t>
  </si>
  <si>
    <t>Age_Group</t>
  </si>
  <si>
    <t>AI_ENF1</t>
  </si>
  <si>
    <t>d_ENF1</t>
  </si>
  <si>
    <t>AI_ENF2</t>
  </si>
  <si>
    <t>d_ENF2</t>
  </si>
  <si>
    <t>AI_FAC1</t>
  </si>
  <si>
    <t>d_FAC1</t>
  </si>
  <si>
    <t>AI_FAC2</t>
  </si>
  <si>
    <t>d_FAC2</t>
  </si>
  <si>
    <t>AI_TRU1</t>
  </si>
  <si>
    <t>d_TRU1</t>
  </si>
  <si>
    <t>AI_TRU2</t>
  </si>
  <si>
    <t>d_TRU2</t>
  </si>
  <si>
    <t>AI_TRU3</t>
  </si>
  <si>
    <t>d_TRU3</t>
  </si>
  <si>
    <t>AI_TRU4</t>
  </si>
  <si>
    <t>d_TRU4</t>
  </si>
  <si>
    <t>AI_OUT1</t>
  </si>
  <si>
    <t>d_OUT1</t>
  </si>
  <si>
    <t>18 - 24</t>
  </si>
  <si>
    <t>Tôi tin rằng số tiền thuế đóng sẽ được sử dụng hiệu quả để cải thiện dịch vụ công.</t>
  </si>
  <si>
    <t>Cao đẳng</t>
  </si>
  <si>
    <t>50 - 54</t>
  </si>
  <si>
    <t>Trung học phổ thông</t>
  </si>
  <si>
    <t>55 - 64</t>
  </si>
  <si>
    <t>Dưới 12 triệu VNĐ</t>
  </si>
  <si>
    <t>4 người trở lên</t>
  </si>
  <si>
    <t>Từ 18 - 23 triệu VNĐ</t>
  </si>
  <si>
    <t>Khác (Về hưu, nội trợ, sinh viên)</t>
  </si>
  <si>
    <t>Used_Seed</t>
  </si>
  <si>
    <t>Tôi tin rằng Nhà nước sẽ thực thi chính sách một cách công bằng đối với mọi người nộp thuế.</t>
  </si>
  <si>
    <t>Tôi tin rằng Nhà nước sẽ thực thi chính sách một cách công bằng và khách quan đối với mọi người nộp thuế.</t>
  </si>
  <si>
    <t/>
  </si>
  <si>
    <t>EMD</t>
  </si>
  <si>
    <t>TVD</t>
  </si>
  <si>
    <t>EMD_ENF1</t>
  </si>
  <si>
    <t>EMD_ENF2</t>
  </si>
  <si>
    <t>EMD_FAC1</t>
  </si>
  <si>
    <t>EMD_FAC2</t>
  </si>
  <si>
    <t>EMD_TRU1</t>
  </si>
  <si>
    <t>EMD_TRU2</t>
  </si>
  <si>
    <t>EMD_TRU3</t>
  </si>
  <si>
    <t>EMD_TRU4</t>
  </si>
  <si>
    <t>EMD_OUT1</t>
  </si>
  <si>
    <t>Count of Độ tuổi của bạn:</t>
  </si>
  <si>
    <t>Count of Khu vực bạn đang sinh sống:</t>
  </si>
  <si>
    <t>Count of Trình độ học vấn cao nhất:</t>
  </si>
  <si>
    <t>Count of Tình trạng việc làm chính:</t>
  </si>
  <si>
    <t>Count of Thu nhập bình quân tháng theo Hợp đồng lao động của bạn là bao nhiêu? (Vui lòng điền tổng thu nhập trước khi khấu trừ các loại Bảo hiểm (BHXH, BHYT, BHTN) và Thuế TNCN)</t>
  </si>
  <si>
    <t>Income</t>
  </si>
  <si>
    <t>Count of Số người phụ thuộc (con nhỏ, cha mẹ già...) đủ điều kiện giảm trừ gia cảnh:</t>
  </si>
  <si>
    <t>Biểu thuế mới có ít bậc hơn, dễ hiểu và thực hiện nhanh chóng hơn so với trước đây.</t>
  </si>
  <si>
    <t>Việc tăng mức giảm trừ gia cảnh và đơn giản hóa biểu thuế có thể làm giảm khả năng phát hiện hành vi gian lận hoặc trốn thuế.</t>
  </si>
  <si>
    <t>Nhà nước đã giải thích rõ ràng về mục tiêu và lý do của việc sửa đổi chính sách thuế lần này.</t>
  </si>
  <si>
    <t>Quy trình làm việc với cơ quan thuế trở nên đơn giản hơn, thủ tục khai báo thuế thuận tiện hơn so với trước đây.</t>
  </si>
  <si>
    <t>Tôi tin rằng cơ quan thuế sẽ công bằng trong việc áp dụng chính sách mới.</t>
  </si>
  <si>
    <t>AI_ENF1_Norm</t>
  </si>
  <si>
    <t>Human_ENF1_Norm</t>
  </si>
  <si>
    <t>AI_ENF2_Norm</t>
  </si>
  <si>
    <t>Human_ENF2_Norm</t>
  </si>
  <si>
    <t>AI_FAC1_Norm</t>
  </si>
  <si>
    <t>Human_FAC1_Norm</t>
  </si>
  <si>
    <t>AI_FAC2_Norm</t>
  </si>
  <si>
    <t>Human_FAC2_Norm</t>
  </si>
  <si>
    <t>AI_TRU1_Norm</t>
  </si>
  <si>
    <t>Human_TRU1_Norm</t>
  </si>
  <si>
    <t>AI_TRU2_Norm</t>
  </si>
  <si>
    <t>Human_TRU2_Norm</t>
  </si>
  <si>
    <t>AI_TRU3_Norm</t>
  </si>
  <si>
    <t>Human_TRU3_Norm</t>
  </si>
  <si>
    <t>AI_TRU4_Norm</t>
  </si>
  <si>
    <t>AI_OUT1_Norm</t>
  </si>
  <si>
    <t>Human_OUT1_Norm</t>
  </si>
  <si>
    <t>AI_ENF</t>
  </si>
  <si>
    <t>Human_ENF</t>
  </si>
  <si>
    <t>AI_FAC</t>
  </si>
  <si>
    <t>Human_FAC</t>
  </si>
  <si>
    <t>AI_TRU</t>
  </si>
  <si>
    <t>Human_TRU</t>
  </si>
  <si>
    <t>AI_AIx</t>
  </si>
  <si>
    <t>Human_AIx</t>
  </si>
  <si>
    <t>Tôi tin rằng số tiền thuế đóng sẽ được sử dụng hiệu quả để cải thiện các dịch vụ công.</t>
  </si>
  <si>
    <t>Tôi ủng hộ và tuân thủ chính sách mới vì lợi ích tài chính và sự đơn giản hóa quy trình khai báo thuế.</t>
  </si>
  <si>
    <t>Sau khi xem xét tác động tài chính tích cực và sự đơn giản hóa quy định, tôi ủng hộ và tuân thủ chính sách mới.</t>
  </si>
  <si>
    <t>Thủ tục khai báo thuế trở nên đơn giản hơn với mức giảm trừ gia cảnh cao hơn và số bậc thuế ít đi, thuận tiện cho người dân.</t>
  </si>
  <si>
    <t>Tôi tin rằng số tiền thuế đóng sẽ được sử dụng hiệu quả để cải thiện các dịch vụ công và hạ tầng cơ sở.</t>
  </si>
  <si>
    <t>Dựa trên tác động tài chính tích cực và sự đơn giản hóa quy trình khai thuế, tôi ủng hộ và tuân thủ chính sách mới.</t>
  </si>
  <si>
    <t>Biểu thuế mới đơn giản hóa các bậc thuế, dễ hiểu và thực hiện hơn so với trước đây.</t>
  </si>
  <si>
    <t>Tôi tin rằng số tiền thuế tôi đóng sẽ được sử dụng hiệu quả để cải thiện các dịch vụ công, như y tế và giao thông.</t>
  </si>
  <si>
    <t>Tôi ủng hộ và tuân thủ chính sách mới vì nó mang lại nhiều lợi ích cho tôi</t>
  </si>
  <si>
    <t>Tôi tin rằng số tiền thuế tôi đóng sẽ được sử dụng hiệu quả để cải thiện dịch vụ công và phát triển đất nước.</t>
  </si>
  <si>
    <t>Nhà nước đã giải thích rõ ràng về lý do và mục tiêu của việc sửa đổi chính sách thuế, tạo niềm tin cho người dân.</t>
  </si>
  <si>
    <t>Nhà nước và cơ quan thuế có nhiều biện pháp quản lý, công nghệ hiện đại nên tôi tin rằng hành vi gian lận sẽ bị phát hiện.</t>
  </si>
  <si>
    <t>Mức thuế mới giảm đáng kể so với trước đây, tôi thấy điều này là hợp lý vì thu nhập của tôi không quá cao.</t>
  </si>
  <si>
    <t>Biểu thuế mới có ít bậc hơn, dễ hiểu và thực hiện thuận tiện hơn so với trước đây</t>
  </si>
  <si>
    <t>Nhà nước đã giải thích rõ ràng về mục tiêu của việc sửa đổi thuế lần này.</t>
  </si>
  <si>
    <t>Nhà nước có thể chưa đủ năng lực phát hiện trốn thuế do mức giảm trừ gia cảnh cao và số bậc thuế đơn giản, nhưng vẫn có khả năng xử lý nghiêm hành vi gian lận.</t>
  </si>
  <si>
    <t>Cơ quan thuế có công nghệ tốt để theo dõi thu nhập cá nhân qua các hệ thống điện tử.</t>
  </si>
  <si>
    <t>Quy trình khai báo và làm việc với cơ quan thuế đơn giản hơn, nhưng vẫn cần thời gian làm quen.</t>
  </si>
  <si>
    <t>Cách tính thuế đơn giản hóa đáng kể so với trước đây, dễ dàng hiểu và thực hiện.</t>
  </si>
  <si>
    <t>Niềm tin vào sự công bằng trong việc áp dụng chính sách mới còn thấp do mức giảm trừ gia cảnh cao nhưng thu nhập không lớn.</t>
  </si>
  <si>
    <t>Mức thuế giảm đáng kể nên cảm thấy hợp lý, đặc biệt là khi không phải đóng thuế.</t>
  </si>
  <si>
    <t>Thuế được sử dụng hiệu quả vào các dịch vụ công có thể tăng niềm tin</t>
  </si>
  <si>
    <t>Nhà nước đã giải thích rõ ràng về mục tiêu của việc cải cách thuế, nhưng cần minh bạch hơn về chi tiêu thuế</t>
  </si>
  <si>
    <t>Cần ủng hộ chính sách mới để khuyến khích tuân thủ và giúp cải thiện hệ thống thuế.</t>
  </si>
  <si>
    <t>Hiện nay, công nghệ giám sát thuế đã phát triển mạnh mẽ với sự hỗ trợ của AI và Big Data. Tuy nhiên, vẫn còn khả năng gian lận thông qua việc khai báo sai lệch thu nhập.</t>
  </si>
  <si>
    <t>Cơ quan thuế có nhiều nguồn lực để phát hiện các hành vi trốn thuế với sự hỗ trợ của công nghệ. Tuy nhiên, vẫn cần nâng cao năng lực và quy trình giám sát.</t>
  </si>
  <si>
    <t>Quy trình khai thuế và làm việc với cơ quan thuế trở nên đơn giản hơn, đặc biệt là khi áp dụng các công nghệ số. Tuy nhiên, vẫn còn một số rào cản về hiểu biết của người dân.</t>
  </si>
  <si>
    <t>Biểu thuế mới đơn giản hóa quá trình tính thuế nhưng cần thêm thời gian để mọi người nắm bắt và sử dụng. Số bậc thuế giảm giúp việc tính toán dễ dàng hơn.</t>
  </si>
  <si>
    <t>Việc tăng giảm trừ gia cảnh và số bậc thuế mới tạo cảm giác công bằng. Tuy nhiên, vẫn cần thêm thời gian để tin tưởng vào sự thực thi chính sách.</t>
  </si>
  <si>
    <t>Thuế tôi phải đóng theo phương án mới là hợp lý so với thu nhập của mình. Mức thuế giảm giúp cảm thấy công bằng hơn.</t>
  </si>
  <si>
    <t>Số tiền thuế sẽ được sử dụng hiệu quả cho các dịch vụ công, nhưng cần thêm minh bạch về cách sử dụng để tăng niềm tin.</t>
  </si>
  <si>
    <t>Nhà nước đã giải thích rõ ràng mục tiêu cải cách, nhưng có thể cần thêm thông tin chi tiết về hiệu quả cụ thể của chính sách mới.</t>
  </si>
  <si>
    <t>Đồng ý ủng hộ và tuân thủ chính sách mới vì giảm thuế và tăng mức giảm trừ gia cảnh. Tuy nhiên, vẫn có một số nghi ngờ về thực thi.</t>
  </si>
  <si>
    <t>Công nghệ hiện đại và hệ thống quản lý thuế đã được cải thiện đáng kể, tuy nhiên việc phát hiện hành vi gian lận vẫn cần thời gian để điều chỉnh.</t>
  </si>
  <si>
    <t>Nhà nước và cơ quan thuế đã đầu tư vào công nghệ và nhân lực để xử lý các trường hợp trốn thuế, nhưng hiệu quả thực tế còn phụ thuộc vào nhiều yếu tố.</t>
  </si>
  <si>
    <t>Trình tự khai báo thuế và làm việc với cơ quan thuế đã đơn giản hơn so với trước đây, tuy nhiên vẫn cần cải tiến thêm để thuận tiện hơn nữa</t>
  </si>
  <si>
    <t>Bảng thuế mới có ít bậc hơn và dễ hiểu hơn nhưng người dân cần thời gian để quen thuộc.</t>
  </si>
  <si>
    <t>Tôi tin rằng cơ quan thuế sẽ thực hiện chính sách một cách công tâm, nhưng hiệu quả cụ thể vẫn chưa rõ ràng.</t>
  </si>
  <si>
    <t>Thuế mới có mức giảm trừ gia cảnh lớn hơn và số bậc thuế ít hơn nên tôi thấy hợp lý đối với thu nhập của mình</t>
  </si>
  <si>
    <t>Tôi tin rằng tiền thuế đóng sẽ được sử dụng hiệu quả cho các dịch vụ công, nhưng cần thêm thông tin về cách sử dụng cụ thể.</t>
  </si>
  <si>
    <t>Nhà nước đã giải thích rõ ràng mục đích của việc sửa đổi chính sách thuế, tuy nhiên vẫn có nhiều ý kiến trái chiều.</t>
  </si>
  <si>
    <t>Tôi ủng hộ và tuân thủ chính sách mới vì mức thuế giảm và dễ dàng hơn trong khai báo</t>
  </si>
  <si>
    <t>Việc tăng mức giảm trừ gia cảnh và đơn giản hóa biểu thuế có thể làm giảm động lực cho hành vi gian lận, nhưng thực tế giám sát và xử lý vẫn cần thời gian để cải thiện.</t>
  </si>
  <si>
    <t>Nhà nước đã đầu tư công nghệ để hỗ trợ quản lý thuế, tuy nhiên hiệu quả thực tế còn phụ thuộc vào việc triển khai.</t>
  </si>
  <si>
    <t>Quy trình làm việc với cơ quan thuế trở nên đơn giản hơn, thủ tục khai báo thuận tiện hơn, nhưng vẫn cần thêm thời gian để mọi người quen thuộc.</t>
  </si>
  <si>
    <t>Biểu thuế mới rõ ràng và dễ hiểu hơn so với trước đây, giảm bớt sự phức tạp cho người dân trong việc tính toán thuế.</t>
  </si>
  <si>
    <t>Nhà nước đã tăng mức giảm trừ gia cảnh và đơn giản hóa biểu thuế, tạo cảm giác công bằng đối với những người có thu nhập như tôi.</t>
  </si>
  <si>
    <t>Mức thuế mới phù hợp với thu nhập của tôi, tạo cảm giác rằng mình đóng góp đúng mức cho xã hội.</t>
  </si>
  <si>
    <t>Thuế mà tôi đóng sẽ được sử dụng hiệu quả để cải thiện các dịch vụ công, tạo niềm tin vào việc quản lý chi tiêu của Nhà nước.</t>
  </si>
  <si>
    <t>Nhà nước đã giải thích rõ ràng về mục đích và lý do sửa đổi thuế, tăng sự hiểu biết và ủng hộ từ phía người dân.</t>
  </si>
  <si>
    <t>Chính sách mới mang lại lợi ích cho tôi thông qua việc giảm thuế và đơn giản hóa quy trình khai báo, tôi sẽ ủng hộ và tuân thủ chính sách này.</t>
  </si>
  <si>
    <t>Nhà nước đã có nhiều nỗ lực trong việc quản lý thuế và công nghệ hiện đại cũng giúp phát hiện hành vi gian lận, nhưng vẫn còn những trường hợp khó phát hiện.</t>
  </si>
  <si>
    <t>Cơ quan thuế có đủ nguồn lực để xử lý nghiêm các hành vi trốn thuế, nhưng cần tiếp tục nâng cao hiệu quả quản lý.</t>
  </si>
  <si>
    <t>Quy trình khai báo thuế và làm việc với cơ quan thuế đã đơn giản hơn so với trước đây, nhưng vẫn còn một số thủ tục rườm rà.</t>
  </si>
  <si>
    <t>Bảng thuế mới có ít bậc hơn, dễ hiểu và thực hiện thuận tiện hơn, giúp tôi giảm bớt thời gian quản lý thuế</t>
  </si>
  <si>
    <t>Tôi tin rằng Nhà nước sẽ thực thi chính sách một cách công bằng với mọi người nộp thuế.</t>
  </si>
  <si>
    <t>Mức thuế mới giảm đáng kể so với trước đây, do đó tôi cảm thấy mức thuế này là công bằng đối với thu nhập của mình</t>
  </si>
  <si>
    <t>Tôi tin rằng số tiền thuế đóng sẽ được sử dụng hiệu quả để cải thiện các dịch vụ công cho người dân.</t>
  </si>
  <si>
    <t>Nhà nước đã giải thích rõ về mục tiêu và lý do của việc sửa đổi thuế lần này, giúp tôi hiểu hơn về chính sách mới</t>
  </si>
  <si>
    <t>Tôi ủng hộ chính sách mới vì nó giảm bớt gánh nặng tài chính cho người dân và đơn giản hóa quy trình quản lý thuế.</t>
  </si>
  <si>
    <t>Nếu các quy định quản lý thuế hiện nay được thực thi nghiêm túc, tôi tin rằng hành vi gian lận hoặc trốn thuế sẽ dễ dàng bị phát hiện. Tuy nhiên, do chưa có thông tin cụ thể về khả năng và công nghệ của cơ quan thuế, điểm số không quá cao.</t>
  </si>
  <si>
    <t>Nhà nước đã đầu tư vào công nghệ để cải thiện việc quản lý thuế, điều này tăng cường khả năng phát hiện hành vi trốn thuế. Tuy nhiên, việc thực thi vẫn phụ thuộc vào sự cam kết của cơ quan thuế.</t>
  </si>
  <si>
    <t>So với trước đây, quy trình khai báo thuế và làm việc với cơ quan thuế đã đơn giản hơn nhiều. Các thủ tục cũng nhanh chóng hơn, giúp tiết kiệm thời gian cho người dân.</t>
  </si>
  <si>
    <t>Biểu thuế mới có ít bậc hơn, dễ hiểu và thực hiện thuận lợi hơn so với trước đây. Điều này làm giảm rào cản đối với người nộp thuế trong việc tính toán và khai báo thuế.</t>
  </si>
  <si>
    <t>Tôi tin rằng Nhà nước sẽ thực thi chính sách một cách công bằng, nhưng vẫn có lo ngại về khả năng thực hiện. Việc tăng giảm trừ gia cảnh giúp tạo ra sự công bằng trong việc phân bổ thuế.</t>
  </si>
  <si>
    <t>Mức thuế mới phù hợp với thu nhập của tôi và người phụ thuộc, tạo cảm giác rằng mức đóng thuế là công bằng. Tuy nhiên, cần xem xét thêm về cách sử dụng nguồn thu thuế để đánh giá đầy đủ.</t>
  </si>
  <si>
    <t>Tôi tin tưởng rằng số tiền thuế tôi đóng sẽ được sử dụng hiệu quả cho lợi ích cộng đồng, nhưng vẫn cần thông tin rõ ràng hơn về cách sử dụng nguồn thu nhập này.</t>
  </si>
  <si>
    <t>Nhà nước đã giải thích khá rõ về mục tiêu của việc sửa đổi thuế. Tuy nhiên, việc cung cấp thêm chi tiết cụ thể về các dự án đầu tư từ nguồn thu thuế sẽ tăng niềm tin.</t>
  </si>
  <si>
    <t>Sau khi xem xét tác động tài chính và sự đơn giản hóa quy trình làm việc với cơ quan thuế, tôi ủng hộ và tuân thủ chính sách mới. Việc giảm thuế giúp cải thiện cuộc sống của gia đình.</t>
  </si>
  <si>
    <t>Chính phủ đã tăng mức giảm trừ gia cảnh và đơn giản hóa biểu thuế, giảm đáng kể số tiền thuế phải nộp. Tuy nhiên, việc thực thi vẫn phụ thuộc vào hiệu quả của cơ quan thuế trong việc phát hiện trốn thuế.</t>
  </si>
  <si>
    <t>Cơ quan thuế có khả năng và công nghệ để phát hiện trốn thuế với biểu thuế mới đơn giản hơn, tuy nhiên vẫn cần thời gian để chứng minh hiệu quả thực tế.</t>
  </si>
  <si>
    <t>Quy trình làm việc với cơ quan thuế trở nên đơn giản hơn do giảm số bậc thuế và tăng mức giảm trừ gia cảnh. Khai báo thuế cũng dễ dàng hơn đối với người dân.</t>
  </si>
  <si>
    <t>Biểu thuế mới đơn giản, dễ hiểu và dễ thực hiện hơn so với trước đây, giảm đáng kể thời gian và công sức cho người nộp thuế.</t>
  </si>
  <si>
    <t>Nhà nước đã cải cách thuế một cách khách quan, công bằng và đối xử bình đẳng với mọi người dân. Việc giảm bớt số bậc thuế tạo cảm giác công bằng hơn.</t>
  </si>
  <si>
    <t>Mức thuế mới được tính toán hợp lý cho thu nhập của mình. Mức giảm trừ gia cảnh tăng mạnh giúp cân đối mức thuế cần đóng.</t>
  </si>
  <si>
    <t>Thuế tôi đóng sẽ được sử dụng hiệu quả để cải thiện các dịch vụ công, tạo niềm tin vào việc đầu tư công của Nhà nước.</t>
  </si>
  <si>
    <t>Nhà nước đã giải thích rõ ràng về mục tiêu và lý do của việc sửa đổi thuế lần này. Tuy nhiên, cần thêm thông tin cụ thể hơn để tăng niềm tin.</t>
  </si>
  <si>
    <t>Chính sách mới có nhiều ưu điểm như giảm mức thuế, đơn giản hóa quy trình khai báo và tăng niềm tin vào công bằng trong việc áp dụng luật. Tôi ủng hộ và sẽ tuân thủ.</t>
  </si>
  <si>
    <t>Việc tăng giảm trừ gia cảnh và đơn giản hóa biểu thuế có thể khiến việc phát hiện trốn thuế khó khăn hơn, nhưng vẫn tin rằng cơ quan thuế sẽ có biện pháp phù hợp để thực thi.</t>
  </si>
  <si>
    <t>Tăng mức giảm trừ gia cảnh giúp đảm bảo công bằng và giảm áp lực về thuế cho người dân, tuy nhiên khả năng kiểm soát của nhà nước vẫn được duy trì.</t>
  </si>
  <si>
    <t>Thủ tục khai báo thuế trở nên đơn giản hơn khi chỉ còn 5 bậc thuế so với trước đây, việc này giúp thuận tiện cho người dân hơn.</t>
  </si>
  <si>
    <t>Biểu thuế mới có ít bậc hơn và mức thuế suất phù hợp hơn với thu nhập cá nhân của tôi, dễ hiểu và thực hiện hơn.</t>
  </si>
  <si>
    <t>Tăng giảm trừ gia cảnh giúp đảm bảo công bằng trong việc đánh giá thu nhập và áp dụng thuế.</t>
  </si>
  <si>
    <t>Nhìn chung, mức thuế mới là hợp lý cho người dân như tôi với mức thu nhập hiện tại.</t>
  </si>
  <si>
    <t>Tăng giảm trừ gia cảnh giúp đảm bảo số tiền thuế đóng sẽ được sử dụng hiệu quả để cải thiện chất lượng cuộc sống.</t>
  </si>
  <si>
    <t>Quyết định sửa đổi thuế đã được giải thích rõ ràng, mục tiêu là nhằm tăng công bằng và giảm áp lực cho người dân.</t>
  </si>
  <si>
    <t>Dựa trên mức thuế mới, tôi thấy đây là chính sách tốt và phù hợp với tình hình hiện tại của tôi. Tôi ủng hộ và tuân thủ.</t>
  </si>
  <si>
    <t>Hiện nay, với mức giảm trừ gia cảnh cao hơn và quy định đơn giản, tôi không thấy có nhiều cơ sở để tin rằng hành vi gian lận hoặc trốn thuế sẽ dễ bị phát hiện.</t>
  </si>
  <si>
    <t>Nhà nước đã cải cách hệ thống thuế một cách hiệu quả nên khả năng quản lý và xử lý các hành vi trốn thuế có thể được nâng cao, nhưng không phải hoàn toàn chắc chắn.</t>
  </si>
  <si>
    <t>Quy trình khai báo thuế trở nên đơn giản hơn, nhưng do tôi là người phi chính thức và không nhận lương qua hệ thống, việc làm việc với cơ quan thuế vẫn có thể gặp nhiều khó khăn.</t>
  </si>
  <si>
    <t>Thống nhất hóa biểu thuế từ 7 bậc xuống 5 đã giúp tôi dễ dàng tính toán hơn và dễ hiểu hơn so với trước đây, nhưng do thu nhập của tôi không vượt quá mức chịu thuế nên sự thay đổi này không tạo nhiều lợi ích.</t>
  </si>
  <si>
    <t>Tôi tin rằng cơ quan thuế sẽ thực thi chính sách một cách công bằng và khách quan, nhưng do tôi không phải đóng thuế nên cảm giác công bằng không cao.</t>
  </si>
  <si>
    <t>Các mức thuế mới được thiết lập hợp lý với thu nhập của tôi, nhưng việc giảm trừ gia cảnh cao hơn đã giúp tôi tránh đóng thuế hoàn toàn, do đó tôi thấy rất công bằng.</t>
  </si>
  <si>
    <t>Thuế mà tôi không phải đóng có thể được sử dụng hiệu quả để cải thiện dịch vụ công, nhưng do tôi phi chính thức nên lợi ích trực tiếp của mình không lớn.</t>
  </si>
  <si>
    <t>Nhà nước đã giải thích rõ ràng về mục tiêu của việc sửa đổi thuế này, nhưng như một người phi chính thức, tôi thấy thông tin hữu ích cho những người có thu nhập cao hơn nhiều so với tôi.</t>
  </si>
  <si>
    <t>Tôi ủng hộ và tuân thủ chính sách mới vì nó giúp giảm gánh nặng về thuế cho tôi, nhưng do là phi chính thức nên việc thực hiện chính sách này còn gặp nhiều khó khăn.</t>
  </si>
  <si>
    <t>Với các quy định quản lý thuế hiện nay, tôi tin rằng hành vi gian lận hoặc trốn thuế sẽ dễ dàng bị phát hiện. Tuy nhiên, việc xử lý nghiêm vẫn phụ thuộc vào hiệu quả của cơ quan chức năng.</t>
  </si>
  <si>
    <t>Nhà nước và cơ quan thuế đã đầu tư công nghệ để hỗ trợ quản lý thuế hiệu quả hơn. Điều này làm giảm nguy cơ trốn thuế, tăng khả năng phát hiện hành vi không tuân thủ.</t>
  </si>
  <si>
    <t>So với trước đây, quy trình khai báo và làm việc với cơ quan thuế trở nên đơn giản hơn. Tuy nhiên, tôi vẫn thấy có thể cải thiện thêm về sự tiện lợi trong quá trình giao dịch trực tuyến.</t>
  </si>
  <si>
    <t>Cách tính thuế mới đơn giản hóa bậc thuế và mức giảm trừ gia cảnh, giúp việc tính toán và tuân thủ pháp luật trở nên dễ dàng hơn. Điều này làm tăng sự hiểu biết của người dân về chính sách thuế.</t>
  </si>
  <si>
    <t>Tôi tin rằng Nhà nước sẽ thực thi chính sách một cách công tâm, nhưng điều này vẫn phụ thuộc vào hiệu quả quản lý và minh bạch trong quá trình thực thi.</t>
  </si>
  <si>
    <t>Mức thuế mới là hợp lý so với thu nhập của tôi. Điều này làm tăng niềm tin rằng chính sách thuế đang được điều chỉnh theo hướng công bằng đối với người dân.</t>
  </si>
  <si>
    <t>Tôi tin tưởng rằng số tiền thuế đóng sẽ được sử dụng hiệu quả để cải thiện các dịch vụ công. Tuy nhiên, việc minh bạch trong quản lý chi tiêu vẫn cần cải thiện hơn.</t>
  </si>
  <si>
    <t>Nhà nước đã giải thích rõ ràng về lý do và mục tiêu của việc sửa đổi thuế lần này. Điều này giúp tôi hiểu được tính hợp lý của chính sách mới.</t>
  </si>
  <si>
    <t>Sau khi xem xét các quyền lợi và nghĩa vụ, tôi ủng hộ và tuân thủ chính sách mới hiện nay. Tuy nhiên, sự cải thiện trong quản lý thuế và minh bạch vẫn cần được chú trọng.</t>
  </si>
  <si>
    <t>Việc tăng mức giảm trừ gia cảnh và đơn giản hóa biểu thuế có thể làm giảm động cơ trốn thuế, nhưng tôi vẫn lo ngại về khả năng thực thi.</t>
  </si>
  <si>
    <t>Nhà nước đã đầu tư vào công nghệ để cải thiện quản lý thuế, tuy nhiên, hiệu quả của việc này chưa rõ ràng.</t>
  </si>
  <si>
    <t>Quy trình làm việc với cơ quan thuế có thể đơn giản hơn nhưng vẫn còn nhiều thủ tục rườm rà cần cải thiện.</t>
  </si>
  <si>
    <t>Biểu thuế mới đơn giản hơn, dễ hiểu và dễ thực hiện hơn so với trước đây.</t>
  </si>
  <si>
    <t>Nhà nước đã cố gắng thực thi chính sách một cách công bằng nhưng vẫn có mối lo ngại về khả năng thực thi.</t>
  </si>
  <si>
    <t>Mức thuế mới phù hợp với thu nhập của tôi, tăng niềm tin vào tính công bằng của hệ thống thuế.</t>
  </si>
  <si>
    <t>Thuế được sử dụng để cải thiện dịch vụ công là điều cần thiết nhưng hiệu quả thực tế còn phụ thuộc nhiều yếu tố khác.</t>
  </si>
  <si>
    <t>Nhà nước đã giải thích rõ ràng về mục tiêu của việc sửa đổi thuế, tuy nhiên, tôi vẫn mong muốn có thêm thông tin chi tiết hơn.</t>
  </si>
  <si>
    <t>Sau khi xem xét các quyền lợi và nghĩa vụ, tôi ủng hộ chính sách mới vì nó mang lại nhiều lợi ích thực tế cho người dân.</t>
  </si>
  <si>
    <t>Nhà nước đã tăng cường công nghệ và cơ chế giám sát, tôi tin rằng hành vi gian lận sẽ bị phát hiện.</t>
  </si>
  <si>
    <t>Cơ quan thuế có nhiều nguồn lực hơn để xử lý các vụ việc trốn thuế.</t>
  </si>
  <si>
    <t>Quy trình khai báo thuế và tương tác với cơ quan thuế trở nên đơn giản hơn, thuận tiện hơn cho người dân.</t>
  </si>
  <si>
    <t>Biểu thuế mới đơn giản hóa các bậc thuế, giúp tính toán dễ dàng hơn.</t>
  </si>
  <si>
    <t>Nhà nước đã công khai thông tin về chính sách mới và cam kết thực thi công bằng.</t>
  </si>
  <si>
    <t>Mức thuế giảm khiến tôi cảm thấy việc đóng góp vào xã hội là hợp lý.</t>
  </si>
  <si>
    <t>Thuế được sử dụng hiệu quả để cải thiện dịch vụ công, tạo niềm tin vào sự quản lý của nhà nước.</t>
  </si>
  <si>
    <t>Nhà nước đã giải thích rõ ràng mục tiêu và quy định mới, tôi cảm thấy mình được thông báo đầy đủ.</t>
  </si>
  <si>
    <t>Tôi ủng hộ chính sách mới vì nó đơn giản hóa thủ tục thuế và giảm gánh nặng về tài chính.</t>
  </si>
  <si>
    <t>Dù không có nhiều thông tin về khả năng phát hiện trốn thuế, nhưng với mức giảm trừ gia cảnh cao hơn, người dân khó có thể lợi dụng để trốn thuế.</t>
  </si>
  <si>
    <t>Cơ quan thuế có công nghệ và quy định quản lý thuế tốt nên khả năng phát hiện trốn thuế sẽ tăng lên.</t>
  </si>
  <si>
    <t>Quy trình khai báo thuế đơn giản hơn, chỉ cần điền số tiền thu nhập và mức giảm trừ gia cảnh, không còn nhiều bước phức tạp như trước.</t>
  </si>
  <si>
    <t>Bảng thuế mới đơn giản hóa các bậc thuế và ngưỡng chịu thuế nên dễ hiểu và thực hiện hơn so với trước đây.</t>
  </si>
  <si>
    <t>Chính phủ đã tăng mức giảm trừ gia cảnh, tôi tin họ sẽ công bằng trong việc áp dụng chính sách mới.</t>
  </si>
  <si>
    <t>Nhờ mức thuế giảm và giảm trừ gia cảnh cao hơn, tôi cảm thấy mức thuế này là hợp lý với thu nhập của mình.</t>
  </si>
  <si>
    <t>Thuế đóng sẽ được sử dụng để cải thiện dịch vụ công, tôi tin Nhà nước sẽ quản lý hiệu quả nguồn vốn này.</t>
  </si>
  <si>
    <t>Chính phủ đã giải thích rõ về mục tiêu của việc sửa đổi thuế mới, nhưng cần nhiều thông tin hơn về cách sử dụng số tiền thuế.</t>
  </si>
  <si>
    <t>Tôi ủng hộ chính sách mới vì nó đơn giản hóa quy trình và giảm bớt gánh nặng tài chính cho tôi.</t>
  </si>
  <si>
    <t>Tôi đồng ý với mức độ quản lý thuế hiện nay, nhưng do không có thông tin cụ thể về khả năng phát hiện và xử lý gian lận hoặc trốn thuế nên điểm số không cao.</t>
  </si>
  <si>
    <t>Nhà nước đã đầu tư công nghệ hiện đại để quản lý thuế, tuy nhiên vẫn cần cải thiện hơn nữa về mặt thực thi pháp luật.</t>
  </si>
  <si>
    <t>Thủ tục khai báo thuế và quy trình làm việc với cơ quan thuế dễ dàng hơn so với trước đây nên tôi đồng ý cao với điểm số này.</t>
  </si>
  <si>
    <t>Cách tính thuế mới đơn giản, dễ hiểu nhưng vẫn cần thêm hướng dẫn cụ thể để người dân nắm bắt nhanh chóng.</t>
  </si>
  <si>
    <t>Tôi tin rằng Nhà nước sẽ thực thi chính sách một cách công bằng và khách quan, nhưng vẫn có sự nghi ngờ về việc xử lý không đồng đều cho các đối tượng nộp thuế.</t>
  </si>
  <si>
    <t>Mức thuế mới có vẻ công bằng với thu nhập của tôi so với trước đây nên tôi đồng ý cao.</t>
  </si>
  <si>
    <t>Tôi tin rằng số tiền thuế đóng sẽ được sử dụng hiệu quả để cải thiện dịch vụ công, nhưng cần thêm thông tin cụ thể về cách sử dụng nguồn lực này.</t>
  </si>
  <si>
    <t>Nhà nước đã giải thích rõ ràng về mục tiêu của việc sửa đổi thuế lần này nên tôi đồng ý cao với điểm số này.</t>
  </si>
  <si>
    <t>Tôi ủng hộ chính sách mới vì nó phù hợp hơn với thực tế và giảm gánh nặng tài chính cho người dân.</t>
  </si>
  <si>
    <t>Thuế TNCN có nhiều biện pháp quản lý và xử lý gian lận, trốn thuế. Với sự hỗ trợ của công nghệ hiện đại, khả năng phát hiện vi phạm ngày càng cao.</t>
  </si>
  <si>
    <t>Cơ quan thuế đã có nhiều cải tiến trong việc quản lý và xử lý các vụ án trốn thuế, nhưng vẫn cần cải thiện hơn nữa về nguồn lực và công nghệ.</t>
  </si>
  <si>
    <t>Quy trình khai báo thuế trở nên đơn giản và dễ dàng hơn với mức giảm trừ gia cảnh cao hơn. Tuy nhiên, việc nộp thuế qua mạng vẫn cần có cải tiến để thuận tiện hơn.</t>
  </si>
  <si>
    <t>Biểu thuế mới rõ ràng, dễ hiểu và đơn giản hơn so với trước đây. Các bậc thuế đã được đơn giản hóa đáng kể.</t>
  </si>
  <si>
    <t>Nhà nước đã thực hiện công bằng trong việc tính toán mức thuế đối với thu nhập của tôi. Mức giảm trừ gia cảnh cao hơn giúp tiết kiệm chi phí.</t>
  </si>
  <si>
    <t>Mức thuế mới được xem xét kỹ lưỡng và phù hợp với tình hình tài chính cá nhân, do đó tôi thấy nó là công bằng.</t>
  </si>
  <si>
    <t>Thuế đóng góp vào việc cải thiện các dịch vụ công như y tế, giáo dục và cơ sở hạ tầng. Tôi tin tưởng số tiền thuế đóng sẽ được sử dụng hiệu quả.</t>
  </si>
  <si>
    <t>Nhà nước đã giải thích đầy đủ về lý do và mục tiêu của việc sửa đổi thuế lần này. Thông tin công khai giúp tăng niềm tin.</t>
  </si>
  <si>
    <t>Tôi ủng hộ chính sách mới vì nó đơn giản hóa quy trình và giảm gánh nặng tài chính cho tôi, đồng thời cải thiện dịch vụ công.</t>
  </si>
  <si>
    <t>Dựa trên các quy định quản lý thuế hiện tại, tôi nghĩ rằng hành vi gian lận hoặc trốn thuế sẽ dễ dàng bị phát hiện. Cơ quan thuế có nhiều công cụ kỹ thuật để giám sát.</t>
  </si>
  <si>
    <t>Nhà nước và cơ quan thuế đã đầu tư vào công nghệ và nhân lực cần thiết, cho thấy họ có khả năng xử lý nghiêm các hành vi trốn thuế.</t>
  </si>
  <si>
    <t>Các quy trình khai báo thuế trở nên đơn giản hơn với việc giảm số bậc thuế, giúp quá trình làm việc với cơ quan thuế thuận lợi hơn.</t>
  </si>
  <si>
    <t>Với số bậc thuế ít hơn và ngưỡng chịu thuế rõ ràng hơn, tôi thấy cách tính thuế trở nên đơn giản và dễ hiểu hơn.</t>
  </si>
  <si>
    <t>Tôi tin rằng cơ quan thuế sẽ thực thi chính sách một cách công bằng và khách quan, dù mức thu thuế có thay đổi.</t>
  </si>
  <si>
    <t>Dựa trên mức giảm trừ gia cảnh tăng lên, tôi thấy mình đóng thuế hợp lý hơn so với trước đây.</t>
  </si>
  <si>
    <t>Thuế của tôi sẽ được sử dụng hiệu quả để cải thiện các dịch vụ công như y tế và đường xá, điều này tạo niềm tin cho tôi.</t>
  </si>
  <si>
    <t>Nhà nước đã giải thích rõ ràng về mục tiêu của việc sửa đổi thuế, giúp tôi hiểu rõ hơn về chính sách mới.</t>
  </si>
  <si>
    <t>Do lợi ích tài chính và sự công bằng trong mức thu thuế, tôi ủng hộ và tuân thủ chính sách mới.</t>
  </si>
  <si>
    <t>Nếu cơ quan thuế có công nghệ và khả năng phát hiện gian lận, trốn thuế tốt hơn thì các hành vi không tuân thủ luật sẽ dễ bị phát hiện. Tuy nhiên, dựa trên thực tế hiện nay, tôi nghĩ rằng điều này còn phụ thuộc vào nhiều yếu tố khác nên mức độ tin tưởng chưa cao.</t>
  </si>
  <si>
    <t>Nhà nước đã cải thiện công nghệ quản lý thuế và có nhiều cơ sở để phát hiện hành vi gian lận. Tuy nhiên, việc xử lý nghiêm vẫn phụ thuộc vào yếu tố con người nên tôi cho mức độ tin tưởng ở mức trung bình.</t>
  </si>
  <si>
    <t>So với trước đây, quy trình khai báo thuế và làm việc với cơ quan thuế đã đơn giản hơn. Tuy nhiên, do tôi vẫn chưa có nhiều kinh nghiệm trong việc khai báo thuế nên cảm thấy có thể còn gặp khó khăn.</t>
  </si>
  <si>
    <t>Biểu thuế mới có số bậc giảm đi và dễ hiểu hơn, nhưng do tôi không quen với biểu thuế cũ nên cần thời gian để thích nghi. Tuy nhiên, việc đơn giản hóa này giúp tôi dễ thực hiện.</t>
  </si>
  <si>
    <t>Tôi tin rằng Nhà nước sẽ thực thi chính sách một cách công bằng, nhưng do không biết cụ thể cách họ xử lý nên mức độ tin tưởng chưa cao.</t>
  </si>
  <si>
    <t>Dựa trên sự thay đổi về giảm trừ gia cảnh và bậc thuế mới, tôi thấy rằng mức thuế mà tôi phải đóng là hợp lý. Tuy nhiên, do không rõ ràng về cách tính thuế nên còn một số băn khoăn.</t>
  </si>
  <si>
    <t>Tôi tin rằng số tiền thuế tôi đóng sẽ được sử dụng hiệu quả để cải thiện dịch vụ công, nhưng cần có thêm thông tin cụ thể về việc này để tăng độ tin tưởng.</t>
  </si>
  <si>
    <t>Cơ quan thuế đã giải thích rõ ràng về mục tiêu của chính sách mới, nhưng tôi mong muốn có thêm thông tin chi tiết về cách thực hiện và hiệu quả trong tương lai.</t>
  </si>
  <si>
    <t>Dựa trên các quyền lợi và nghĩa vụ theo chính sách mới, tôi ủng hộ và sẽ tuân thủ. Tuy nhiên, do vẫn có một số băn khoăn về cách tính thuế nên mức độ ủng hộ không quá cao.</t>
  </si>
  <si>
    <t>Việc tăng mức giảm trừ gia cảnh và đơn giản hóa biểu thuế có thể làm giảm động lực để trốn thuế, nhưng vẫn cần công nghệ tiên tiến để phát hiện gian lận.</t>
  </si>
  <si>
    <t>Cơ quan thuế có khả năng cao trong việc sử dụng công nghệ hiện đại để phát hiện và xử lý các hành vi trốn thuế, do đó tăng cường tính minh bạch.</t>
  </si>
  <si>
    <t>Quy trình khai báo thuế và làm việc với cơ quan thuế trở nên đơn giản hơn, nhưng vẫn cần thời gian để người dân thích nghi.</t>
  </si>
  <si>
    <t>Biểu thuế mới có số bậc ít hơn, dễ hiểu và dễ thực hiện hơn, giảm bớt sự phức tạp cho người nộp thuế.</t>
  </si>
  <si>
    <t>Nhà nước đã tăng mức giảm trừ gia cảnh và đơn giản hóa biểu thuế, tạo cảm giác công bằng trong việc phân chia gánh nặng thuế.</t>
  </si>
  <si>
    <t>Mức thuế mới được thiết lập công bằng cho thu nhập của tôi, phù hợp với quy định mới.</t>
  </si>
  <si>
    <t>Thuế mà tôi đóng sẽ được sử dụng hiệu quả để cải thiện dịch vụ công, tạo niềm tin vào sự quản lý tài chính quốc gia.</t>
  </si>
  <si>
    <t>Nhà nước đã giải thích rõ ràng về mục tiêu của việc sửa đổi thuế và cách thức thực hiện, tăng tính minh bạch.</t>
  </si>
  <si>
    <t>Dựa trên các lợi ích tài chính và sự đơn giản hóa quy trình, tôi ủng hộ và sẽ tuân thủ chính sách mới.</t>
  </si>
  <si>
    <t>Với mức giảm trừ gia cảnh tăng lên, việc phát hiện hành vi gian lận hoặc trốn thuế sẽ khó khăn hơn đối với cá nhân. Tuy nhiên, cơ quan thuế có công nghệ và khả năng xử lý mạnh mẽ, nên tôi tin rằng họ vẫn có thể phát hiện các trường hợp không tuân thủ.</t>
  </si>
  <si>
    <t>Nhà nước đã đầu tư vào công nghệ và đào tạo cho nhân viên thuế, do đó khả năng phát hiện và xử lý nghiêm các hành vi trốn thuế được cải thiện đáng kể so với trước đây.</t>
  </si>
  <si>
    <t>Quy trình khai báo thuế và làm việc với cơ quan thuế trở nên đơn giản hơn, đặc biệt là sau khi giảm số bậc thuế. Điều này giúp tôi tiết kiệm thời gian và công sức.</t>
  </si>
  <si>
    <t>Số bậc thuế ít đi và mức thuế suất rõ ràng hơn, dễ hiểu và thực hiện thuận tiện hơn so với trước đây.</t>
  </si>
  <si>
    <t>Tôi tin rằng Nhà nước sẽ thực thi chính sách một cách công bằng và khách quan. Việc tăng giảm trừ gia cảnh và đơn giản hóa thuế suất đều mang tính công bằng đối với mọi người dân.</t>
  </si>
  <si>
    <t>Thuế tôi phải đóng theo phương án mới là hợp lý, vì đã được điều chỉnh phù hợp với mức thu nhập hiện tại của tôi. Việc giảm trừ gia cảnh tăng lên cũng giúp tôi tiết kiệm tiền thuế.</t>
  </si>
  <si>
    <t>Tôi tin rằng số tiền thuế đóng sẽ được sử dụng hiệu quả để cải thiện các dịch vụ công, như y tế và giao thông. Điều này góp phần nâng cao chất lượng cuộc sống cho mọi người dân.</t>
  </si>
  <si>
    <t>Nhà nước đã giải thích rõ ràng về mục tiêu của việc sửa đổi thuế lần này, giúp tôi hiểu được lý do và tầm quan trọng của chính sách mới.</t>
  </si>
  <si>
    <t>Sau khi xem xét các quyền lợi và nghĩa vụ, tôi ủng hộ và tuân thủ chính sách mới. Việc giảm thuế và đơn giản hóa quy trình khai báo thuế giúp tôi thấy rằng việc này là cần thiết và công bằng.</t>
  </si>
  <si>
    <t>Nếu thuế được quản lý chặt chẽ, việc gian lận và trốn thuế sẽ dễ dàng bị phát hiện. Với sự cải cách về mức giảm trừ gia cảnh và đơn giản hóa biểu thuế, việc khai báo trở nên rõ ràng hơn.</t>
  </si>
  <si>
    <t>Cơ quan thuế có nhiều công cụ và khả năng để xử lý các vấn đề liên quan đến gian lận thuế. Việc tăng mức giảm trừ gia cảnh cũng góp phần làm giảm nguy cơ trốn thuế.</t>
  </si>
  <si>
    <t>Quy trình khai báo thuế trở nên đơn giản hơn với các mức giảm trừ mới và biểu thuế được rút gọn, thuận tiện cho người nộp thuế.</t>
  </si>
  <si>
    <t>Biểu thuế mới rõ ràng hơn, dễ dàng nắm bắt. Mức thuế giảm đi cũng giúp việc tính toán trở nên dễ dàng hơn.</t>
  </si>
  <si>
    <t>Nhà nước có vẻ đã cố gắng thực hiện chính sách một cách công bằng và khách quan. Mức thuế mới được thiết lập phù hợp với thu nhập của tôi, tạo ra sự cảm thấy công bằng.</t>
  </si>
  <si>
    <t>Mức thuế giảm đi cho phép tôi giữ lại nhiều tiền hơn từ lương thực tế, điều này thể hiện mức thuế mới là công bằng.</t>
  </si>
  <si>
    <t>Nhà nước đã giải thích các mục tiêu của chính sách cải cách thuế, giúp tôi tin tưởng rằng số tiền đóng thuế sẽ được sử dụng hiệu quả cho lợi ích cộng đồng.</t>
  </si>
  <si>
    <t>Quy trình sửa đổi thuế lần này rõ ràng và minh bạch. Nhà nước đã cung cấp thông tin đầy đủ về lý do và mục tiêu của chính sách mới, làm tăng niềm tin vào quyết định của họ.</t>
  </si>
  <si>
    <t>Dựa trên các quyền lợi và nghĩa vụ cải cách thuế, tôi ủng hộ và sẽ tuân thủ chính sách mới. Việc giảm thuế giúp tôi cảm thấy công bằng hơn và tin tưởng rằng mình đang đóng góp đúng mức.</t>
  </si>
  <si>
    <t>Nếu các quy định quản lý thuế được thực thi nghiêm ngặt, tôi tin rằng hành vi gian lận hoặc trốn thuế sẽ bị phát hiện nhanh chóng. Tuy nhiên, mức độ phát hiện và xử lý còn phụ thuộc vào sự tận lực của cơ quan thuế.</t>
  </si>
  <si>
    <t>Nhà nước và cơ quan thuế đã đầu tư công nghệ để giám sát và kiểm soát hoạt động kinh doanh, do đó tôi tin rằng khả năng phát hiện trốn thuế sẽ tăng lên.</t>
  </si>
  <si>
    <t>So với trước đây, quy trình khai báo thuế đã đơn giản hơn nhiều. Việc giảm số bậc thuế và mức độ phức tạp giúp việc làm thủ tục dễ dàng hơn cho người dân.</t>
  </si>
  <si>
    <t>Với số bậc thuế được rút gọn và cách tính thuế rõ ràng, tôi thấy việc tính toán và thực hiện thuế trở nên đơn giản và dễ hiểu hơn.</t>
  </si>
  <si>
    <t>Tôi tin rằng cơ quan thuế sẽ thực thi chính sách một cách công bằng. Sự tăng mức giảm trừ gia cảnh và số bậc thuế đã giúp tôi tiết kiệm được chi phí, điều này thể hiện sự công bằng trong việc phân bổ thuế.</t>
  </si>
  <si>
    <t>Thuế theo phương án mới là hợp lý vì nó dựa trên mức thu nhập của cá nhân và số người phụ thuộc. Mức giảm trừ gia cảnh tăng lên giúp tôi tiết kiệm được chi phí, thể hiện sự công bằng.</t>
  </si>
  <si>
    <t>Thuế mà tôi đóng sẽ được sử dụng để cải thiện dịch vụ công như y tế và cơ sở hạ tầng. Điều này cho thấy Nhà nước đang tận dụng nguồn lực một cách hiệu quả.</t>
  </si>
  <si>
    <t>Nhà nước đã giải thích rõ ràng về mục tiêu của việc sửa đổi thuế, tuy nhiên, tôi mong rằng sẽ có thêm thông tin về hiệu suất sử dụng khoản thu từ thuế để tăng sự minh bạch.</t>
  </si>
  <si>
    <t>Tôi ủng hộ và tuân thủ chính sách mới vì nó giúp tôi tiết kiệm chi phí và đơn giản hóa quy trình khai báo. Việc cải cách này tạo ra một môi trường thuế công bằng hơn cho người dân.</t>
  </si>
  <si>
    <t>Nếu các quy định quản lý thuế không rõ ràng và thiếu công nghệ, việc phát hiện gian lận sẽ khó khăn. Tuy nhiên, với mức giảm trừ gia cảnh tăng lên, tôi tin rằng cơ quan thuế có thể xử lý hiệu quả hơn.</t>
  </si>
  <si>
    <t>Cơ quan thuế đã cải thiện đáng kể trong việc sử dụng công nghệ, nhưng vẫn cần thêm đầu tư để phát hiện gian lận một cách nhanh chóng và chính xác.</t>
  </si>
  <si>
    <t>Thủ tục khai báo thuế trở nên đơn giản hơn, nhưng vẫn cần thời gian để mọi người quen với quy trình mới.</t>
  </si>
  <si>
    <t>Cách tính thuế và các bậc thuế trong phương án mới rõ ràng và dễ hiểu hơn so với trước đây.</t>
  </si>
  <si>
    <t>Tôi tin rằng cơ quan thuế sẽ công tâm trong việc thực thi chính sách, nhưng cần thêm thời gian để kiểm chứng.</t>
  </si>
  <si>
    <t>Mức thuế mới là phù hợp với thu nhập của tôi và giảm đáng kể so với trước đây, tạo cảm giác công bằng.</t>
  </si>
  <si>
    <t>Tiền thuế đóng góp vào việc cải thiện dịch vụ công như y tế, giáo dục..., nhưng cần thêm minh bạch về cách sử dụng nguồn thu.</t>
  </si>
  <si>
    <t>Nhà nước đã giải thích rõ ràng mục tiêu của việc sửa đổi thuế, tuy nhiên, tôi mong muốn có thêm thông tin về hiệu quả sử dụng ngân sách.</t>
  </si>
  <si>
    <t>Tăng mức giảm trừ gia cảnh và đơn giản hóa quy trình làm việc với cơ quan thuế tạo ra lợi ích đáng kể cho người dân. Tôi ủng hộ chính sách mới.</t>
  </si>
  <si>
    <t>Hiện nay có nhiều biện pháp quản lý thuế, tuy nhiên với tình hình hiện tại tôi đánh giá mức độ thực thi còn hạn chế.</t>
  </si>
  <si>
    <t>Công nghệ và cơ sở vật chất của Nhà nước đã được cải thiện đáng kể trong thời gian gần đây, nhưng vẫn chưa đủ để phát hiện hoàn toàn các hành vi trốn thuế.</t>
  </si>
  <si>
    <t>So với trước đây, quy trình khai báo thuế đơn giản hơn nhiều và nhanh chóng hơn, tôi thấy rất thuận tiện cho người dân.</t>
  </si>
  <si>
    <t>Cách tính thuế mới rõ ràng, dễ hiểu và thực hiện dễ dàng hơn so với trước đây, giảm bớt sự phức tạp.</t>
  </si>
  <si>
    <t>Tôi tin rằng Nhà nước sẽ công bằng trong việc áp dụng chính sách mới, nhưng cần có thêm nhiều biện pháp để ngăn chặn gian lận.</t>
  </si>
  <si>
    <t>Mức thuế tôi phải đóng theo phương án mới hợp lý và công bằng với thu nhập hiện tại của tôi.</t>
  </si>
  <si>
    <t>Tôi tin rằng số tiền thuế đóng sẽ được sử dụng hiệu quả để cải thiện dịch vụ công, nhưng cần có minh bạch hơn về cách sử dụng.</t>
  </si>
  <si>
    <t>Nhà nước đã giải thích rõ ràng lý do và mục tiêu của việc sửa đổi thuế lần này, tôi thấy đây là một quyết định đúng đắn.</t>
  </si>
  <si>
    <t>Tôi ủng hộ chính sách mới vì nó giúp giảm gánh nặng tài chính cho người dân và cải thiện tính công bằng trong việc đánh thuế.</t>
  </si>
  <si>
    <t>Cơ quan thuế có nhiều công cụ và nguồn lực để phát hiện các hành vi gian lận, đặc biệt với sự hỗ trợ của công nghệ. Tuy nhiên, thực tế vẫn còn một số vấn đề về hiệu quả quản lý.</t>
  </si>
  <si>
    <t>Nhà nước và cơ quan thuế đã đầu tư vào hệ thống công nghệ thông tin để tăng cường giám sát và xử lý các hành vi trốn thuế. Tuy nhiên, sự hiệu quả của việc này còn phụ thuộc vào cách sử dụng.</t>
  </si>
  <si>
    <t>So với trước đây, quy trình khai báo thuế trở nên đơn giản hơn, nhưng vẫn cần cải thiện về mặt thuận tiện và minh bạch.</t>
  </si>
  <si>
    <t>Biểu thuế mới có ít bậc hơn, dễ hiểu và thực hiện đơn giản hơn. Điều này giúp người dân nắm bắt và tuân thủ luật thuế một cách hiệu quả hơn.</t>
  </si>
  <si>
    <t>Tôi tin rằng Nhà nước sẽ công bằng trong việc áp dụng chính sách mới vì mức giảm trừ gia cảnh và sự đơn giản hóa quy định giúp giảm gánh nặng cho người dân.</t>
  </si>
  <si>
    <t>Nhìn chung, mức thuế tôi phải đóng theo phương án mới là hợp lý. Thu nhập của tôi nằm ở bậc thuế thứ ba, với mức thu nhập hiện tại, tỷ lệ 20% là phù hợp.</t>
  </si>
  <si>
    <t>Tôi tin rằng số tiền thuế mình đóng sẽ được sử dụng hiệu quả để cải thiện các dịch vụ công. Tuy nhiên, cần có thêm thông tin cụ thể về cách sử dụng nguồn thu thuế này.</t>
  </si>
  <si>
    <t>Nhà nước đã giải thích rõ ràng về mục tiêu và lý do của việc sửa đổi Luật Thuế TNCN. Thông qua các kênh truyền thông, người dân dễ dàng tiếp cận với thông tin này.</t>
  </si>
  <si>
    <t>Tôi ủng hộ và sẽ tuân thủ chính sách mới vì nó mang lại lợi ích tài chính rõ ràng cho tôi và giảm gánh nặng thuế. Tuy nhiên, vẫn cần cải thiện về mặt thuận tiện trong quá trình khai báo thuế.</t>
  </si>
  <si>
    <t>Cơ quan thuế có nhiều công cụ hiện đại để phát hiện trốn thuế, nhưng việc quản lý vẫn phụ thuộc vào nguồn lực và quyết tâm của họ. Tuy nhiên, với sự cải cách, khả năng phát hiện sẽ được nâng cao.</t>
  </si>
  <si>
    <t>Nhà nước có nhiều cơ sở hạ tầng công nghệ để hỗ trợ việc quản lý thuế, nhưng hiệu quả thực tế còn phụ thuộc vào cách triển khai và sử dụng công nghệ này.</t>
  </si>
  <si>
    <t>Các quy trình giờ đây đơn giản hơn, giảm bớt thủ tục rườm rà. Việc áp dụng thuế cũng trở nên dễ dàng hơn cho người dân.</t>
  </si>
  <si>
    <t>Biểu thuế mới rõ ràng và dễ hiểu hơn so với trước đây, giúp việc tính toán thuế trở nên đơn giản và nhanh chóng.</t>
  </si>
  <si>
    <t>Tôi tin rằng Nhà nước sẽ thực thi chính sách một cách công bằng. Việc giảm trừ gia cảnh và số bậc thuế đã được tối ưu hóa, tạo ra sự công bằng trong việc đóng thuế.</t>
  </si>
  <si>
    <t>Mức thuế mới theo quy định hiện tại phù hợp với thu nhập của tôi, giúp tôi cảm thấy rằng mức đóng thuế là công bằng và không quá nặng nề.</t>
  </si>
  <si>
    <t>Thiết kế chính sách mới nhằm tối ưu hóa việc sử dụng nguồn lực cho lợi ích chung. Việc giảm trừ gia cảnh và đơn giản hóa quy trình giúp cải thiện dịch vụ công, từ đó nâng cao chất lượng cuộc sống.</t>
  </si>
  <si>
    <t>Nhà nước đã cung cấp thông tin đầy đủ về lý do và mục tiêu của việc sửa đổi thuế lần này. Việc minh bạch giúp tôi cảm thấy rằng chính sách mới được thực hiện một cách công bằng.</t>
  </si>
  <si>
    <t>Tác động tài chính tích cực từ chính sách mới đã khiến tôi ủng hộ và tuân thủ nó, đồng thời tin tưởng vào sự cải thiện dịch vụ công nhờ việc sử dụng hiệu quả nguồn lực thuế.</t>
  </si>
  <si>
    <t>Dù thu nhập của tôi cao nhưng mức giảm trừ gia cảnh đã tăng đáng kể nên không phải đóng thuế, do đó việc phát hiện và xử lý gian lận có thể khó khăn hơn.</t>
  </si>
  <si>
    <t>Cơ quan thuế có khả năng phát hiện trốn thuế nhờ công nghệ nhưng mức giảm trừ gia cảnh cao khiến nhiều người không cần khai báo, từ đó giảm hiệu quả quản lý.</t>
  </si>
  <si>
    <t>Quy trình làm việc với cơ quan thuế đã đơn giản hơn so với trước đây nhờ giảm bớt các bước và thủ tục.</t>
  </si>
  <si>
    <t>Biểu thuế mới đơn giản hơn, dễ hiểu hơn nhưng vẫn cần thời gian để người dân nắm bắt.</t>
  </si>
  <si>
    <t>Việc giảm trừ gia cảnh cao khiến tôi không phải đóng thuế, từ đó tin tưởng vào sự công bằng trong quản lý thuế của Nhà nước.</t>
  </si>
  <si>
    <t>Mức thuế mới được thiết kế phù hợp với thu nhập của tôi, cho thấy việc giảm trừ gia cảnh đã giúp cải thiện tính công bằng.</t>
  </si>
  <si>
    <t>Thuế đóng góp vào sự phát triển hạ tầng và y tế, do đó tin tưởng số tiền thuế đóng sẽ được sử dụng hiệu quả.</t>
  </si>
  <si>
    <t>Nhà nước đã giải thích rõ ràng về mục tiêu và lý do của việc cải cách thuế, làm tăng niềm tin vào quyết định này.</t>
  </si>
  <si>
    <t>Sau khi xem xét các quyền lợi và nghĩa vụ, tôi ủng hộ và tuân thủ chính sách mới vì nó giảm gánh nặng thuế cho người dân.</t>
  </si>
  <si>
    <t>Hiện nay, cơ quan thuế có nhiều công cụ và nguồn lực để phát hiện hành vi gian lận hoặc trốn thuế. Tuy nhiên, việc xử lý nghiêm túc vẫn phụ thuộc vào sự hiệu quả của bộ máy quản lý.</t>
  </si>
  <si>
    <t>Cơ quan thuế đã nâng cấp hệ thống công nghệ và quy trình làm việc, nhưng hoàn toàn tin tưởng rằng họ có đủ năng lực để xử lý các trường hợp trốn thuế một cách hiệu quả.</t>
  </si>
  <si>
    <t>Trình tự khai báo thuế đã đơn giản hơn, nhưng vẫn cần cải thiện thêm về mặt giao diện và hỗ trợ người dùng.</t>
  </si>
  <si>
    <t>Biểu thuế mới có ít bậc hơn, dễ hiểu và dễ thực hiện hơn. Tuy nhiên, việc áp dụng các mức thuế cụ thể vào từng trường hợp cần thêm thời gian để làm quen.</t>
  </si>
  <si>
    <t>Tôi tin rằng cơ quan thuế sẽ công tâm trong quá trình thực thi chính sách mới. Tuy nhiên, còn cần thêm thời gian để đánh giá hiệu quả của việc thực thi.</t>
  </si>
  <si>
    <t>Mức thuế mới phù hợp với thu nhập hiện tại và có sự giảm trừ gia cảnh lớn hơn. Điều này thể hiện tính công bằng trong việc phân bổ thuế.</t>
  </si>
  <si>
    <t>Thuế đóng góp vào các dịch vụ công như y tế, giáo dục và hạ tầng. Tuy nhiên, hiệu quả sử dụng nguồn lực vẫn cần được cải thiện hơn nữa.</t>
  </si>
  <si>
    <t>Nhà nước đã giải thích rõ mục đích của việc sửa đổi thuế, nhưng có thể làm rõ thêm về các biện pháp thực thi và giám sát.</t>
  </si>
  <si>
    <t>Tôi ủng hộ chính sách mới vì nó giúp tôi giảm bớt gánh nặng thuế. Tuy nhiên, cần cải thiện thêm về mặt công nghệ và hỗ trợ người dùng.</t>
  </si>
  <si>
    <t>Dù các quy định quản lý thuế hiện nay có thể chưa hoàn hảo, nhưng với mức giảm trừ gia cảnh cao hơn và số bậc thuế đơn giản hóa, hành vi gian lận hoặc trốn thuế sẽ khó xảy ra. Cơ quan thuế cũng đã phát triển công nghệ để giám sát.</t>
  </si>
  <si>
    <t>Nhà nước có đủ nguồn lực và công nghệ để quản lý hiệu quả hệ thống thuế, đặc biệt là với sự đơn giản hóa của biểu thuế</t>
  </si>
  <si>
    <t>So với trước đây, quy trình khai báo thuế và làm việc với cơ quan thuế trở nên dễ dàng hơn nhiều. Mức giảm trừ gia cảnh cao giúp thủ tục thuận tiện hơn.</t>
  </si>
  <si>
    <t>Biểu thuế đơn giản hóa từ 7 bậc xuống 5 bậc, đồng nghĩa với việc người nộp thuế dễ hiểu và thực hiện quy trình tính thuế</t>
  </si>
  <si>
    <t>Nhà nước đã áp dụng mức giảm trừ gia cảnh cao hơn cho bản thân và người phụ thuộc, tạo nên sự công bằng trong việc đánh giá thu nhập chịu thuế.</t>
  </si>
  <si>
    <t>Mức thuế mới mà tôi phải đóng là công bằng vì nó được tính dựa trên mức độ thu nhập của bản thân</t>
  </si>
  <si>
    <t>Thuế được sử dụng hiệu quả để cải thiện dịch vụ công, tạo ra niềm tin vào việc các khoản thuế này mang lại lợi ích cho cộng đồng.</t>
  </si>
  <si>
    <t>Nhà nước đã giải thích rõ về mục tiêu và lý do của việc sửa đổi thuế mới, giúp tôi hiểu rõ hơn về chính sách</t>
  </si>
  <si>
    <t>Tôi ủng hộ và tuân thủ chính sách mới vì nó tạo ra sự công bằng và thuận tiện cho người nộp thuế.</t>
  </si>
  <si>
    <t>Như một công dân, tôi tin rằng các cơ quan chức năng có đủ khả năng để phát hiện và xử lý nghiêm minh hành vi gian lận hoặc trốn thuế. Tuy nhiên, việc thực thi vẫn phụ thuộc vào sự cam kết của nhà nước.</t>
  </si>
  <si>
    <t>Việc ứng dụng công nghệ tiên tiến giúp tăng cường khả năng phát hiện và xử lý các hành vi gian lận thuế. Điều này làm giảm cơ hội cho những người muốn trốn tránh nghĩa vụ đóng thuế.</t>
  </si>
  <si>
    <t>So với trước đây, quy trình khai báo thuế và làm việc với cơ quan thuế trở nên đơn giản hơn nhờ sự tinh gọn hóa các bước. Điều này giúp tôi tiết kiệm thời gian và công sức.</t>
  </si>
  <si>
    <t>Số bậc thuế được giảm từ 7 xuống còn 5, làm cho việc tính toán thuế trở nên dễ dàng hơn. Mức thuế suất mới cũng phù hợp với thu nhập của tôi.</t>
  </si>
  <si>
    <t>Tôi tin rằng nhà nước sẽ thực thi chính sách một cách công bằng và khách quan, không phân biệt đối xử giữa các nhóm người nộp thuế.</t>
  </si>
  <si>
    <t>Thuế của tôi đã giảm đáng kể so với trước đây. Điều này cho thấy mức thuế mới là hợp lý và công bằng.</t>
  </si>
  <si>
    <t>Tôi tin tưởng rằng số tiền thuế đóng sẽ được sử dụng hiệu quả để cải thiện các dịch vụ công, từ đó góp phần nâng cao chất lượng cuộc sống cho người dân.</t>
  </si>
  <si>
    <t>Nhà nước đã giải thích rõ ràng về mục tiêu và lý do của việc sửa đổi thuế. Điều này làm tăng niềm tin vào quyết định của họ.</t>
  </si>
  <si>
    <t>Sau khi xem xét các quyền lợi mới, tôi ủng hộ và sẽ tuân thủ chính sách mới vì nó mang lại nhiều lợi ích cho tôi và cộng đồng</t>
  </si>
  <si>
    <t>Dựa trên thông tin, các quy định quản lý thuế mới có nhiều cải tiến, nhưng do chưa rõ ràng về khả năng phát hiện của cơ quan thuế, nên chỉ ở mức trung bình.</t>
  </si>
  <si>
    <t>Nhà nước đã đầu tư công nghệ và nguồn lực để quản lý thuế hiệu quả hơn, giúp tăng khả năng phát hiện hành vi gian lận hoặc trốn thuế. Tuy nhiên, vẫn cần thời gian thực nghiệm.</t>
  </si>
  <si>
    <t>Quy trình làm việc với cơ quan thuế nhanh chóng hơn và đơn giản hóa các bước khai báo, thuận lợi cho người dân nộp thuế.</t>
  </si>
  <si>
    <t>Biểu thuế mới có ít bậc hơn và dễ hiểu, giảm thiểu rào cản trong quá trình tính toán và thực hiện.</t>
  </si>
  <si>
    <t>Việc cải cách thuế đã tăng giảm trừ gia cảnh, đảm bảo công bằng hơn giữa các mức thu nhập. Tuy nhiên, vẫn còn nghi ngại về sự công khai trong quá trình thực thi.</t>
  </si>
  <si>
    <t>Mức thuế mới phù hợp với thu nhập hiện tại của mình, giảm gánh nặng và cho thấy tính công bằng hơn so với trước đây.</t>
  </si>
  <si>
    <t>Tăng giảm trừ gia cảnh giúp số tiền thuế được sử dụng hiệu quả hơn để cải thiện các dịch vụ công</t>
  </si>
  <si>
    <t>Các giải thích về mục tiêu và lý do của chính sách mới khá rõ ràng, tăng niềm tin vào quyết định của Nhà nước.</t>
  </si>
  <si>
    <t>Hiện nay, cơ quan thuế có nhiều công cụ để phát hiện gian lận và trốn thuế, tuy nhiên mức độ hiệu quả phụ thuộc vào việc thực thi. Với số tiền thuế tôi giảm được, tôi thấy Nhà nước có thể sử dụng thêm nguồn lực để tăng cường quản lý.</t>
  </si>
  <si>
    <t>Cơ quan thuế đã nâng cấp công nghệ và nhân sự, giúp phát hiện trốn thuế nhanh chóng hơn. Tuy nhiên, vẫn cần cải thiện về mặt thực thi.</t>
  </si>
  <si>
    <t>Những thay đổi trong quy trình khai báo và làm việc với cơ quan thuế đã đơn giản hóa nhiều so với trước đây, giúp tôi tiết kiệm thời gian hơn.</t>
  </si>
  <si>
    <t>Biểu thuế mới có ít bậc hơn, dễ hiểu và thực hiện đơn giản hơn. Điều này giúp tôi không mất quá nhiều thời gian để tính toán</t>
  </si>
  <si>
    <t>Tôi tin rằng Nhà nước sẽ thực thi chính sách một cách công bằng, nhưng cần có thêm các biện pháp cụ thể về quản lý và giám sát.</t>
  </si>
  <si>
    <t>Thuế tôi đóng sẽ được sử dụng để cải thiện dịch vụ công, tuy nhiên cần có báo cáo chi tiết hơn về cách sử dụng nguồn thuế đó</t>
  </si>
  <si>
    <t>Nhà nước đã giải thích rõ ràng về mục tiêu của việc sửa đổi thuế, nhưng vẫn cần thêm thông tin cụ thể về các biện pháp thực thi.</t>
  </si>
  <si>
    <t>Sau khi xem xét tác động tài chính và sự đơn giản hóa quy trình, tôi ủng hộ và sẽ tuân thủ chính sách mới.</t>
  </si>
  <si>
    <t>Nhà nước và cơ quan thuế có nhiều biện pháp công nghệ hiện đại, nhưng vẫn cần cải thiện về quy định quản lý để ngăn ngừa gian lận.</t>
  </si>
  <si>
    <t>Cơ quan thuế đã tăng cường năng lực kiểm soát thông qua công nghệ và hệ thống quản lý điện tử, tuy nhiên còn hạn chế trong việc phát hiện trốn thuế hiệu quả.</t>
  </si>
  <si>
    <t>Thủ tục khai báo thuế đơn giản hơn so với trước đây, nhưng vẫn cần cải thiện về độ tiện lợi và minh bạch.</t>
  </si>
  <si>
    <t>Biểu thuế mới đơn giản hóa nhiều so với cũ, dễ hiểu và thực hiện hơn, làm tăng niềm tin vào chính sách.</t>
  </si>
  <si>
    <t>Tôi tin rằng Nhà nước sẽ công bằng trong việc áp dụng các quy định mới, nhưng cần thêm minh bạch về cách thức thực thi.</t>
  </si>
  <si>
    <t>Mức thuế mới phù hợp với thu nhập của tôi, tuy nhiên vẫn có sự bất đồng giữa người dân về mức độ công bằng.</t>
  </si>
  <si>
    <t>Thuế đóng góp vào việc cải thiện dịch vụ công nhưng cần minh bạch hơn trong cách sử dụng ngân sách.</t>
  </si>
  <si>
    <t>Nhà nước đã giải thích rõ về mục tiêu của chính sách mới, nhưng có thể cải thiện thêm về chi tiết và minh bạch.</t>
  </si>
  <si>
    <t>Tôi ủng hộ và tuân thủ chính sách mới vì nó đơn giản hóa quy trình tính thuế và giảm gánh nặng tài chính cho tôi.</t>
  </si>
  <si>
    <t>Do không có thay đổi trong khả năng phát hiện và xử lý gian lận, việc thuế được miễn trừ vì mức giảm trừ gia cảnh cao hơn thu nhập cũng không tạo ra niềm tin về việc kiểm soát tax evasion.</t>
  </si>
  <si>
    <t>Công nghệ và cơ sở hạ tầng của cơ quan thuế đã tiến bộ, nhưng vẫn chưa đủ để phát hiện trốn thuế hiệu quả với thu nhập cao hoặc từ các tổ chức tài chính.</t>
  </si>
  <si>
    <t>Quy trình khai báo và làm việc với cơ quan thuế đã đơn giản hơn so với trước đây, nhưng vẫn cần cải thiện về mặt kỹ thuật và hỗ trợ trực tuyến.</t>
  </si>
  <si>
    <t>Số bậc thuế được giảm đi, khiến việc tính toán thuế trở nên dễ dàng hơn. Tuy nhiên, sự phức tạp của các điều kiện chịu thuế vẫn còn tồn tại một chút.</t>
  </si>
  <si>
    <t>Tôi tin rằng cơ quan thuế sẽ thực thi chính sách công bằng và khách quan, nhưng cần thêm minh bạch về cách sử dụng số tiền thuế để tăng niềm tin.</t>
  </si>
  <si>
    <t>Mức giảm trừ gia cảnh cao hơn thu nhập của tôi khiến tôi cảm thấy mức thuế này hợp lý. Tuy nhiên, việc không có thay đổi trong khả năng phát hiện trốn thuế làm giảm độ tin cậy.</t>
  </si>
  <si>
    <t>Thuê được sử dụng hiệu quả sẽ tạo ra niềm tin về sự công bằng, nhưng cần thêm minh bạch về cách chi tiêu của chính phủ.</t>
  </si>
  <si>
    <t>Tôi đồng ý với mục đích cải cách thuế để giảm gánh nặng cho người dân và tăng tính đơn giản hóa quy trình, nhưng việc giải thích đầy đủ về mục tiêu vẫn còn thiếu.</t>
  </si>
  <si>
    <t>Chính sách mới tạo ra lợi ích rõ ràng cho tôi, do đó tôi sẽ ủng hộ và tuân thủ. Tuy nhiên, cần cải thiện thêm về minh bạch và kiểm soát để tăng độ tin cậy.</t>
  </si>
  <si>
    <t>Việc thuế được điều chỉnh theo hướng đơn giản hóa và tăng giảm trừ gia cảnh khiến việc gian lận trở nên khó khăn hơn. Thuế mới dựa trên mức thu nhập thực tế và có giảm trừ gia cảnh cao, do đó hành vi trốn thuế khó xảy ra.</t>
  </si>
  <si>
    <t>Cơ quan thuế có nhiều công cụ hiện đại để theo dõi và xử lý việc gian lận. Mức tăng giảm trừ gia cảnh cao cũng làm cho hành vi trốn thuế không lợi nhuận.</t>
  </si>
  <si>
    <t>Quy trình khai báo thuế trở nên đơn giản hơn, chỉ cần cung cấp thông tin cơ bản về thu nhập và người phụ thuộc. Điều này giúp việc làm thủ tục với cơ quan thuế thuận tiện hơn.</t>
  </si>
  <si>
    <t>Số bậc thuế giảm từ 7 xuống 5, khiến việc tính toán thuế dễ dàng hơn. Mức tăng giảm trừ gia cảnh cao cũng giúp đơn giản hóa quy trình tính thuế.</t>
  </si>
  <si>
    <t>Nhà nước đã thực hiện điều chỉnh theo hướng công bằng với tất cả các đối tượng nộp thuế, đặc biệt là những người có thu nhập thấp như tôi. Điều này thể hiện sự khách quan và công tâm.</t>
  </si>
  <si>
    <t>Mức thuế tôi phải đóng giảm so với trước đây, do tăng mức giảm trừ gia cảnh. Điều này cho thấy mức thuế là hợp lý và công bằng.</t>
  </si>
  <si>
    <t>Thuế tôi đóng sẽ được sử dụng hiệu quả để cải thiện dịch vụ công, tạo ra lợi ích trực tiếp cho người dân như tôi</t>
  </si>
  <si>
    <t>Nhà nước đã giải thích rõ về mục tiêu và lý do của việc điều chỉnh thuế. Điều này giúp tôi hiểu được mục đích cải cách.</t>
  </si>
  <si>
    <t>Tôi ủng hộ chính sách mới vì mức thuế giảm, quy trình đơn giản hóa và sự công bằng trong việc áp dụng luật lệ</t>
  </si>
  <si>
    <t>Dù quy định quản lý thuế hiện nay có thể không hoàn hảo, nhưng việc tăng mức giảm trừ gia cảnh và đơn giản hóa biểu thuế đã làm giảm rủi ro cho người dân. Điều này cũng khiến hành vi gian lận hay trốn thuế khó khăn hơn.</t>
  </si>
  <si>
    <t>Cơ quan thuế có nhiều công cụ để phát hiện và xử lý các hành vi trốn thuế, đặc biệt là với sự hỗ trợ của công nghệ. Tuy nhiên, vẫn cần cải thiện về mặt khả năng giám sát.</t>
  </si>
  <si>
    <t>So với trước đây, quy trình khai báo thuế và làm việc với cơ quan thuế đơn giản hơn rất nhiều. Điều này giúp người dân dễ dàng thực hiện các thủ tục thuế một cách thuận lợi.</t>
  </si>
  <si>
    <t>Biểu thuế mới có ít bậc hơn, dễ hiểu và dễ áp dụng hơn. Việc giảm số bậc thuế đã làm cho quá trình tính toán thuế trở nên đơn giản hơn so với trước đây</t>
  </si>
  <si>
    <t>Tôi tin rằng Nhà nước sẽ thực thi chính sách một cách công bằng, nhưng vẫn cần thêm các biện pháp để đảm bảo minh bạch và kiểm soát.</t>
  </si>
  <si>
    <t>Tuy mức thuế mới có giảm đáng kể so với trước đây, nhưng tôi cho rằng điều này là hợp lý vì thu nhập của tôi không quá cao. Việc tăng mức giảm trừ gia cảnh cũng giúp việc đóng thuế trở nên công bằng hơn</t>
  </si>
  <si>
    <t>Việc Nhà nước sử dụng số tiền thuế để cải thiện dịch vụ công là điều quan trọng, nhưng vẫn cần có các thông tin chi tiết về cách sử dụng nguồn thu thuế.</t>
  </si>
  <si>
    <t>Nhà nước đã giải thích rõ ràng về mục tiêu của việc sửa đổi thuế này. Tuy nhiên, tôi hi vọng sẽ được cung cấp thêm thông tin về các biện pháp cụ thể để thực hiện chính sách.</t>
  </si>
  <si>
    <t>Dù vẫn có một số nghi ngờ, nhưng chính sách mới đã mang lại lợi ích đáng kể cho bản thân tôi. Tôi sẽ tiếp tục tuân thủ và ủng hộ</t>
  </si>
  <si>
    <t>Dù thuế có giảm, nhưng việc quản lý và xử phạt gian lận vẫn còn nhiều khó khăn.</t>
  </si>
  <si>
    <t>Cơ quan thuế có công nghệ hiện đại hơn nên phát hiện gian lận dễ dàng hơn trước.</t>
  </si>
  <si>
    <t>Quy trình khai báo và làm việc với cơ quan thuế đơn giản hơn, thuận tiện cho người dân.</t>
  </si>
  <si>
    <t>Biểu thuế có ít bậc hơn nên dễ hiểu và thực hiện nhanh chóng hơn trước đây.</t>
  </si>
  <si>
    <t>Tôi tin rằng cơ quan thuế sẽ công bằng trong việc áp dụng các quy định mới.</t>
  </si>
  <si>
    <t>Thuế giảm và mức giảm trừ gia cảnh tăng, tôi thấy là hợp lý với thu nhập của mình.</t>
  </si>
  <si>
    <t>Thuê đóng góp cho dịch vụ công có thể cải thiện chất lượng cuộc sống của người dân.</t>
  </si>
  <si>
    <t>Nhà nước đã giải thích rõ về mục tiêu và lý do thay đổi thuế lần này.</t>
  </si>
  <si>
    <t>Sau khi xem xét, tôi ủng hộ chính sách mới vì nó giúp giảm gánh nặng tài chính cho người dân.</t>
  </si>
  <si>
    <t>Nhà nước và cơ quan thuế đã tăng cường các biện pháp quản lý, tuy nhiên vẫn có khả năng gian lận. Với mức giảm trừ gia cảnh cao hơn, khả năng phát hiện trốn thuế sẽ khó khăn hơn.</t>
  </si>
  <si>
    <t>Cơ quan thuế đã nâng cấp công nghệ và nhân lực để quản lý hiệu quả hơn, nhưng vẫn cần thời gian thích ứng với các quy định mới.</t>
  </si>
  <si>
    <t>Thủ tục khai báo thuế dễ dàng hơn với mức giảm trừ gia cảnh cao. Tuy nhiên, việc áp dụng các bậc thuế mới có thể gây khó khăn cho người nộp thuế không quen thuộc.</t>
  </si>
  <si>
    <t>Biểu thuế đơn giản hơn và rõ ràng hơn so với trước đây. Việc giảm số bậc thuế giúp tính toán dễ dàng hơn.</t>
  </si>
  <si>
    <t>Tôi tin rằng Nhà nước sẽ thực thi chính sách một cách công bằng, nhưng có thể cần thêm thời gian để tất cả mọi người đều quen với các quy định mới.</t>
  </si>
  <si>
    <t>Mức thuế giảm và việc tăng mức giảm trừ gia cảnh cho thấy mức thuế mới là hợp lý. Tuy nhiên, tôi mong muốn có thêm thông tin về cách sử dụng số tiền thuế này hiệu quả hơn.</t>
  </si>
  <si>
    <t>Tôi tin rằng số tiền thuế đóng sẽ được sử dụng để cải thiện dịch vụ công, nhưng cần minh bạch hơn về việc này.</t>
  </si>
  <si>
    <t>Nhà nước đã giải thích rõ mục tiêu của chính sách mới, nhưng có thể cần thêm thông tin chi tiết về cách thức thực hiện và hiệu quả.</t>
  </si>
  <si>
    <t>Sau khi xem xét các quyền lợi và nghĩa vụ, tôi ủng hộ và tuân thủ chính sách mới. Tuy nhiên, việc giảm thuế sẽ tăng Niềm tin vào hệ thống thuế.</t>
  </si>
  <si>
    <t>Dù hiện nay các quy định quản lý thuế ngày càng chặt chẽ, nhưng với việc giảm trừ gia cảnh tăng lên và số bậc thuế đơn giản hơn, tôi tin rằng hành vi gian lận sẽ khó phát hiện.</t>
  </si>
  <si>
    <t>Nhà nước có thể đã đầu tư công nghệ để phát hiện trốn thuế nhưng với mức độ phức tạp giảm đi, việc xử lý nghiêm vẫn còn là câu hỏi.</t>
  </si>
  <si>
    <t>So với trước đây, quy trình khai thuế đơn giản hơn và tôi thấy tiện lợi hơn nhiều, không cần phải lo lắng về quá nhiều chi tiết.</t>
  </si>
  <si>
    <t>Với số bậc thuế giảm và ngưỡng chịu thuế rõ ràng hơn, việc tính toán thuế trở nên dễ dàng và dễ hiểu hơn.</t>
  </si>
  <si>
    <t>Nhà nước đã thực hiện công bằng trong việc điều chỉnh mức giảm trừ gia cảnh và số bậc thuế, tôi tin rằng chính sách mới sẽ được thực thi công tâm.</t>
  </si>
  <si>
    <t>Với thu nhập của mình, mức thuế mới này rất hợp lý và công bằng. Đây là một cải cách tốt cho người dân như tôi.</t>
  </si>
  <si>
    <t>Tôi tin rằng số tiền đóng thuế sẽ được sử dụng hiệu quả để cải thiện chất lượng cuộc sống của người dân.</t>
  </si>
  <si>
    <t>Nhà nước đã giải thích rõ ràng về mục tiêu và lý do của việc sửa đổi chính sách, tôi cảm thấy yên tâm hơn.</t>
  </si>
  <si>
    <t>Dựa trên các ưu điểm như giảm trừ gia cảnh tăng lên, số bậc thuế đơn giản hơn và mức thuế hợp lý, tôi ủng hộ và tuân thủ chính sách mới.</t>
  </si>
  <si>
    <t>Nhà nước đã triển khai hệ thống công nghệ thông tin để theo dõi các giao dịch tài chính, đồng thời có đội ngũ kiểm tra thuế chuyên nghiệp.</t>
  </si>
  <si>
    <t>Cơ quan thuế có nhiều nguồn lực hơn từ việc cắt giảm số bậc thuế nên khả năng giám sát và xử lý nghiêm minh các hành vi trốn thuế được nâng cao.</t>
  </si>
  <si>
    <t>Thủ tục khai báo thuế trở nên đơn giản với mức giảm trừ gia cảnh tăng, cùng với việc số bậc thuế được rút gọn.</t>
  </si>
  <si>
    <t>Biểu thuế mới có ít bậc hơn nhưng vẫn đảm bảo tính công bằng thông qua sự thay đổi về ngưỡng chịu thuế và thuế suất.</t>
  </si>
  <si>
    <t>Nhà nước đã công bố rõ ràng lý do và mục tiêu của việc sửa đổi chính sách thuế, tạo niềm tin cho người dân.</t>
  </si>
  <si>
    <t>Với mức thu nhập hiện tại, tôi thấy mình đóng một mức thuế hợp lý so với những người cùng ngành nghề khác.</t>
  </si>
  <si>
    <t>Tiền thuế của tôi sẽ được sử dụng hiệu quả để cải thiện dịch vụ công, đặc biệt là y tế và giao thông.</t>
  </si>
  <si>
    <t>Nhà nước đã giải thích rõ ràng về sự thay đổi này, từ đó tạo nên sự tin tưởng trong việc thực thi chính sách mới.</t>
  </si>
  <si>
    <t>Chính sách mới giúp tôi tiết kiệm được một khoản tiền đáng kể, đồng thời thủ tục thuế trở nên đơn giản hơn, tôi sẽ ủng hộ và tuân thủ.</t>
  </si>
  <si>
    <t>Dựa trên mức thuế mới giảm đi và các cải cách về quản lý thuế, tôi tin rằng hành vi gian lận sẽ khó xảy ra hơn. Cơ quan thuế có khả năng phát hiện trốn thuế tốt hơn.</t>
  </si>
  <si>
    <t>Cơ quan thuế với công nghệ và hệ thống quản lý tiên tiến chắc chắn sẽ đủ khả năng để theo dõi và xử lý các hành vi trốn thuế hiệu quả.</t>
  </si>
  <si>
    <t>Quy trình khai báo thuế và làm việc với cơ quan thuế trở nên đơn giản hơn khi giảm bậc thuế và nâng mức giảm trừ gia cảnh. Điều này giúp thuận tiện cho người dân.</t>
  </si>
  <si>
    <t>Biểu thuế mới đơn giản hóa quy trình tính thuế, khiến nó dễ hiểu và thực hiện nhanh chóng hơn nhiều so với trước đây.</t>
  </si>
  <si>
    <t>Nhà nước đã thực thi chính sách một cách công tâm khi giảm mức thuế cho người dân như tôi. Điều này thể hiện sự minh bạch trong việc áp dụng chính sách.</t>
  </si>
  <si>
    <t>Mức thuế mới được xem xét kỹ lưỡng và phù hợp với thu nhập của tôi, giúp tạo ra sự công bằng trong việc đóng góp cho xã hội.</t>
  </si>
  <si>
    <t>Số tiền thuế đóng sẽ được sử dụng hiệu quả để cải thiện dịch vụ công, do đó tôi tin rằng việc đóng thuế là đáng giá và cần thiết.</t>
  </si>
  <si>
    <t>Nhà nước đã giải thích rõ ràng về mục tiêu của chính sách mới. Điều này giúp tôi hiểu được lý do đằng sau các thay đổi, tăng niềm tin vào sự minh bạch.</t>
  </si>
  <si>
    <t>Dựa trên các quyền lợi và nghĩa vụ cải thiện, tôi hoàn toàn ủng hộ và tuân thủ chính sách mới. Nó mang lại lợi ích rõ ràng cho người dân như tôi.</t>
  </si>
  <si>
    <t>Hiện nay, quản lý thuế đã được cải thiện đáng kể với nhiều hệ thống công nghệ thông tin hỗ trợ. Tuy nhiên, vẫn còn nguy cơ về gian lận do các quy định cụ thể chưa đủ rõ ràng.</t>
  </si>
  <si>
    <t>Cơ quan thuế có khả năng phát hiện và xử lý nghiêm các hành vi trốn thuế với sự hỗ trợ của công nghệ, nhưng hiệu quả thực tế còn phụ thuộc vào việc áp dụng quy định.</t>
  </si>
  <si>
    <t>Thủ tục khai báo thuế đã đơn giản hơn so với trước đây. Việc tăng giảm trừ gia cảnh rõ ràng giúp người dân dễ dàng nắm bắt.</t>
  </si>
  <si>
    <t>Biểu thuế mới có ít bậc hơn, dễ hiểu và thực hiện nhanh chóng hơn. Người nộp thuế không còn bị rối rắm với nhiều mức thuế khác nhau.</t>
  </si>
  <si>
    <t>Tôi tin rằng cơ quan thuế sẽ thực thi chính sách một cách công bằng, nhưng vẫn có khả năng xảy ra sai sót trong quá trình thực hiện.</t>
  </si>
  <si>
    <t>Thuế mới được giảm đáng kể so với trước đây, giúp tôi cảm thấy mức đóng thuế là hợp lý. Người thu nhập như tôi không bị gánh nặng quá nhiều.</t>
  </si>
  <si>
    <t>Số tiền thuế đóng sẽ được sử dụng hiệu quả để cải thiện các dịch vụ công, nhưng có thể còn hạn chế trong việc minh bạch chi tiêu cụ thể của số tiền này.</t>
  </si>
  <si>
    <t>Nhà nước đã giải thích rõ ràng mục đích của chính sách mới, tạo sự tin tưởng cho người dân. Tuy nhiên, vẫn cần thêm thông tin về kế hoạch triển khai cụ thể hơn.</t>
  </si>
  <si>
    <t>Tôi ủng hộ và tuân thủ chính sách mới vì nó mang lại lợi ích rõ ràng cho tôi. Mức thuế giảm giúp cải thiện tình hình tài chính của gia đình.</t>
  </si>
  <si>
    <t>Nhà nước và cơ quan thuế đã tăng cường công nghệ, tuy nhiên vẫn chưa có thông tin cụ thể về khả năng phát hiện gian lận.</t>
  </si>
  <si>
    <t>Cơ sở dữ liệu thuế và công nghệ quản lý đang được cải thiện, nhưng cần thời gian để hoàn thiện.</t>
  </si>
  <si>
    <t>Quy trình khai báo thuế trở nên đơn giản hơn, thủ tục nhanh chóng hơn so với trước đây.</t>
  </si>
  <si>
    <t>Biểu thuế mới có ít bậc hơn và dễ hiểu, giảm bớt rắc rối cho người dân.</t>
  </si>
  <si>
    <t>Tôi tin rằng việc cải cách này sẽ công bằng đối với tất cả các nhóm thu nhập.</t>
  </si>
  <si>
    <t>Mức thuế mới phù hợp với thu nhập của tôi, thể hiện tính công bằng trong hệ thống thuế.</t>
  </si>
  <si>
    <t>Công bằng khi số tiền thuế đóng được sử dụng hiệu quả để cải thiện dịch vụ công</t>
  </si>
  <si>
    <t>Nhà nước đã giải thích rõ ràng về mục tiêu và lý do của việc sửa đổi hệ thống thuế.</t>
  </si>
  <si>
    <t>Tôi ủng hộ và tuân thủ chính sách mới, vì nó đơn giản hơn và công bằng hơn</t>
  </si>
  <si>
    <t>Nhà nước đã tăng cường các biện pháp quản lý thuế và công nghệ hiện đại, nhưng vẫn có thể còn lỗ hổng cho hành vi gian lận. Tuy nhiên, với mức giảm trừ gia cảnh lớn hơn, khả năng phát hiện trốn thuế sẽ dễ dàng hơn.</t>
  </si>
  <si>
    <t>Cơ quan thuế có đủ công nghệ và nguồn lực để phát hiện và xử lý nghiêm các hành vi gian lận. Tăng mức giảm trừ gia cảnh cũng giúp giảm thiểu khả năng trốn thuế.</t>
  </si>
  <si>
    <t>So với trước đây, quy trình khai báo thuế trở nên đơn giản hơn. Việc tính toán và nộp thuế nhanh chóng hơn, tiện lợi hơn nhờ hệ thống điện tử.</t>
  </si>
  <si>
    <t>Biểu thuế mới có ít bậc hơn và rõ ràng hơn, dễ hiểu và thực hiện thuận lợi hơn so với trước đây. Mức giảm trừ gia cảnh cũng giúp đơn giản hóa quá trình tính thuế.</t>
  </si>
  <si>
    <t>Tôi tin rằng Nhà nước sẽ thực thi chính sách một cách khách quan, công tâm và đối xử bình đẳng với mọi người nộp thuế. Mức giảm trừ gia cảnh tăng và bậc thuế rõ ràng giúp tôi cảm thấy công bằng hơn.</t>
  </si>
  <si>
    <t>Theo phương án mới, mức thuế mà tôi đóng hợp lý và phù hợp với thu nhập của mình. Mức giảm trừ gia cảnh lớn hơn cũng góp phần làm tăng sự công bằng.</t>
  </si>
  <si>
    <t>Số tiền thuế tôi đóng sẽ được sử dụng hiệu quả cho các dịch vụ công, giúp cải thiện chất lượng cuộc sống. Việc giải thích rõ ràng về mục tiêu của chính sách mới cũng làm tăng niềm tin của tôi.</t>
  </si>
  <si>
    <t>Nhà nước đã giải thích rõ ràng về mục đích và lý do của việc sửa đổi thuế, giúp tôi hiểu được sự cần thiết và công bằng của chính sách này.</t>
  </si>
  <si>
    <t>Sau khi xem xét các quyền lợi và nghĩa vụ, tôi ủng hộ và tuân thủ chính sách mới hiện nay. Mức thuế giảm đáng kể và quy trình đơn giản hóa giúp tôi cảm thấy thoải mái hơn.</t>
  </si>
  <si>
    <t>Hiện nay, cơ quan thuế có nhiều công cụ và hệ thống để giám sát hành vi trốn thuế. Tuy nhiên, việc xử lý nghiêm vẫn phụ thuộc vào hiệu quả của các quy định quản lý.</t>
  </si>
  <si>
    <t>Việc áp dụng công nghệ hiện đại trong quản lý thuế giúp phát hiện nhanh chóng hơn các hành vi trốn thuế, nhưng cần thêm thời gian để hoàn thiện hệ thống này.</t>
  </si>
  <si>
    <t>Hình thức khai báo và quy trình làm việc với cơ quan thuế đã đơn giản hơn trước. Tuy nhiên, vẫn còn một số thủ tục phức tạp đối với người dân không chuyên về thuế.</t>
  </si>
  <si>
    <t>Biểu thuế mới có ít bậc hơn và đơn giản hóa cách tính, dễ hiểu và thực hiện hơn so với trước đây. Điều này giúp giảm bớt rào cản cho người dân khi khai báo thuế.</t>
  </si>
  <si>
    <t>Tôi tin rằng cơ quan thuế sẽ công tâm trong việc áp dụng chính sách mới, nhưng vẫn cần thêm thời gian để thấy rõ hiệu quả thực tế của nó.</t>
  </si>
  <si>
    <t>Mức thuế mới phù hợp với thu nhập của tôi và giảm trừ gia cảnh được tăng lên. Điều này thể hiện sự công bằng trong việc phân chia gánh nặng thuế giữa các đối tượng khác nhau.</t>
  </si>
  <si>
    <t>Dự kiến số tiền thuế đóng sẽ được sử dụng hiệu quả cho các dịch vụ công, từ đó cải thiện chất lượng cuộc sống của người dân. Tuy nhiên, cần thêm thông tin cụ thể về cách sử dụng nguồn thu thuế.</t>
  </si>
  <si>
    <t>Chính phủ đã giải thích rõ ràng về mục tiêu và nội dung của chính sách mới. Tuy nhiên, việc truyền đạt đầy đủ và chi tiết hơn đến người dân vẫn cần được cải thiện.</t>
  </si>
  <si>
    <t>Dựa trên các lợi ích tài chính và sự đơn giản hóa quy trình khai báo thuế, tôi ủng hộ và sẽ tuân thủ chính sách mới. Việc giảm trừ gia cảnh tăng lên cũng giúp tôi thấy công bằng hơn.</t>
  </si>
  <si>
    <t>Nếu thuế giảm và không còn người phải đóng, cơ quan thuế có thể tập trung vào việc giám sát các trường hợp khác.</t>
  </si>
  <si>
    <t>Công nghệ hiện đại giúp dễ dàng kiểm soát, tuy nhiên, vẫn cần sự phối hợp giữa nhiều bộ phận để phát hiện và xử lý trốn thuế hiệu quả.</t>
  </si>
  <si>
    <t>Thủ tục đơn giản hơn, giảm thời gian chờ đợi và số bước trong quá trình khai thuế.</t>
  </si>
  <si>
    <t>Bậc thuế ít hơn, dễ hiểu và thực hiện thuận tiện hơn so với trước đây.</t>
  </si>
  <si>
    <t>Nhà nước đã cải cách để giảm gánh nặng tài chính cho người dân, tạo niềm tin trong việc thực thi công bằng.</t>
  </si>
  <si>
    <t>Mức thuế mới phù hợp với thu nhập của tôi và nhiều người khác ở mức này.</t>
  </si>
  <si>
    <t>Thuế được sử dụng hiệu quả vào các dịch vụ công như y tế, giáo dục, hạ tầng...</t>
  </si>
  <si>
    <t>Phương án mới đã giải thích rõ ràng về mục tiêu và lý do cải cách.</t>
  </si>
  <si>
    <t>Tôi ủng hộ vì chính sách này phù hợp với thu nhập của tôi, giảm gánh nặng và tạo niềm tin trong việc thực thi công bằng.</t>
  </si>
  <si>
    <t>Dù Nhà nước có công nghệ phát hiện gian lận thuế, nhưng với thu nhập cao và thông tin cá nhân ít, khả năng bị phát hiện thấp. Nên chỉ ở mức trung bình.</t>
  </si>
  <si>
    <t>Nhà nước và cơ quan thuế có công nghệ tiên tiến để quản lý thuế, giảm nguy cơ gian lận. Tuy nhiên, vẫn cần cải thiện hơn nữa về mặt thực thi pháp luật.</t>
  </si>
  <si>
    <t>Thủ tục khai báo và làm việc với cơ quan thuế đã đơn giản hóa so với trước đây, giúp người dân dễ dàng hơn trong việc nộp thuế.</t>
  </si>
  <si>
    <t>Biểu thuế mới có ít bậc hơn nên dễ hiểu và thực hiện hơn. Điều này giảm tải cho người dân khi tính toán thuế.</t>
  </si>
  <si>
    <t>Tôi tin Nhà nước sẽ công bằng trong việc thực thi chính sách, nhưng vẫn cần thêm minh bạch về cách thực hiện.</t>
  </si>
  <si>
    <t>Mức thuế mới phù hợp với thu nhập của tôi. Có giảm trừ gia cảnh cao hơn giúp tiết kiệm một phần thu nhập.</t>
  </si>
  <si>
    <t>Thuế đóng góp vào các dịch vụ công, cải thiện hạ tầng và y tế. Tuy nhiên, cần minh bạch rõ hơn về cách sử dụng nguồn thuế này.</t>
  </si>
  <si>
    <t>Đã có giải thích về mục tiêu của chính sách mới, nhưng vẫn còn thiếu thông tin chi tiết về việc thực hiện.</t>
  </si>
  <si>
    <t>Chính sách mới có nhiều ưu điểm như giảm thuế và đơn giản hóa thủ tục. Tôi sẽ ủng hộ và tuân thủ.</t>
  </si>
  <si>
    <t>Hiện nay, với sự phát triển của công nghệ và hệ thống quản lý thuế hiện đại, tôi tin rằng việc gian lận hoặc trốn thuế sẽ bị phát hiện dễ dàng hơn. Tuy nhiên, để đảm bảo thực thi hiệu quả, cần có thêm nhiều nguồn lực cho cơ quan thuế.</t>
  </si>
  <si>
    <t>Cơ quan thuế đã và đang tăng cường công nghệ trong quản lý thuế, do đó khả năng phát hiện và xử lý nghiêm các hành vi trốn thuế được cải thiện đáng kể. Tuy nhiên, hiệu quả thực tế còn phụ thuộc vào nguồn lực.</t>
  </si>
  <si>
    <t>Sau khi xem xét, tôi cảm thấy quy trình khai báo thuế và giao tiếp với cơ quan thuế đơn giản hơn nhiều so với trước đây. Việc giảm bớt các thủ tục rườm rà đã giúp quá trình làm việc nhanh chóng và thuận tiện hơn.</t>
  </si>
  <si>
    <t>Cách tính thuế mới đơn giản hóa bậc thuế từ 7 xuống còn 5, giúp tôi dễ dàng nắm bắt và thực hiện hơn. Điều này đã giảm bớt sự phức tạp và khiến quá trình tính toán thuế trở nên dễ dàng.</t>
  </si>
  <si>
    <t>Tôi tin rằng cơ quan thuế sẽ thực thi chính sách một cách công bằng, khách quan với tất cả người nộp thuế. Tuy nhiên, để tăng thêm niềm tin, cần có nhiều hơn nữa về minh bạch trong quá trình quản lý và sử dụng nguồn thu từ thuế.</t>
  </si>
  <si>
    <t>Theo phương án mới, tôi thấy mức thuế mình phải đóng là hợp lý. Thu nhập của tôi thuộc bậc thuế thấp hơn nên giảm trừ gia cảnh cũng cao hơn, giúp tiết kiệm được một số tiền đáng kể.</t>
  </si>
  <si>
    <t>Nhà nước đã đầu tư mạnh mẽ vào các dịch vụ công như y tế và cơ sở hạ tầng. Việc đóng thuế sẽ góp phần cải thiện chất lượng cuộc sống của tôi và cộng đồng, do đó tôi cảm thấy tin tưởng về việc sử dụng nguồn thu từ thuế một cách hiệu quả.</t>
  </si>
  <si>
    <t>Nhà nước đã giải thích rõ ràng về mục tiêu và lý do sửa đổi Luật Thuế TNCN. Thông qua các kênh thông tin chính thức, tôi cảm thấy được cung cấp đầy đủ thông tin để hiểu về chính sách mới.</t>
  </si>
  <si>
    <t>Trong tổng thể, sau khi xem xét tác động tài chính và sự đơn giản hóa quy trình khai báo thuế, tôi đồng ý với phương án mới và sẽ tuân thủ theo. Tuy nhiên, cần có thêm minh bạch về việc sử dụng nguồn thu từ thuế để tăng thêm niềm tin.</t>
  </si>
  <si>
    <t>Nhà nước và cơ quan thuế có nhiều biện pháp để phát hiện gian lận, trốn thuế như kiểm tra tài khoản ngân hàng, so sánh dữ liệu, nhưng vẫn cần cải thiện.</t>
  </si>
  <si>
    <t>Cơ sở hạ tầng công nghệ thông tin của cơ quan thuế đang ngày càng phát triển và hiện đại hơn, giúp họ xử lý nhanh chóng các vụ việc vi phạm.</t>
  </si>
  <si>
    <t>Quy trình khai báo thuế đã đơn giản hóa, thủ tục làm việc với cơ quan thuế cũng thuận tiện hơn nhiều so với trước đây.</t>
  </si>
  <si>
    <t>Biểu thuế mới có ít bậc hơn và các mức thuế suất rõ ràng hơn, dễ dàng áp dụng và tính toán.</t>
  </si>
  <si>
    <t>Tôi tin rằng cơ quan thuế sẽ thực thi chính sách một cách công bằng, nhưng vẫn cần thêm nhiều thông tin cụ thể về việc này.</t>
  </si>
  <si>
    <t>Thuế mới có mức giảm trừ gia cảnh cao hơn và số bậc thuế ít đi, khiến tôi cảm thấy mình đóng mức thuế tương xứng với thu nhập của mình.</t>
  </si>
  <si>
    <t>Đây là khoản tiền mà tôi tin rằng sẽ được sử dụng hiệu quả để cải thiện dịch vụ công cho toàn xã hội.</t>
  </si>
  <si>
    <t>Nhà nước đã giải thích rõ ràng về mục tiêu của việc sửa đổi chính sách thuế, nhưng vẫn cần thêm thông tin chi tiết về cách triển khai.</t>
  </si>
  <si>
    <t>Tôi ủng hộ và sẽ tuân thủ chính sách mới vì nó công bằng hơn so với trước đây và tôi thấy mình đóng mức thuế tương xứng với thu nhập của mình.</t>
  </si>
  <si>
    <t>Hiện nay, cơ quan thuế có đủ công nghệ và nguồn lực để phát hiện gian lận thuế, tuy nhiên khả năng quản lý vẫn phụ thuộc vào hiệu quả thực thi.</t>
  </si>
  <si>
    <t>Cơ quan thuế đã nâng cao khả năng giám sát thông qua hệ thống công nghệ, giảm nguy cơ trốn thuế.</t>
  </si>
  <si>
    <t>Quy trình khai báo thuế đơn giản hơn với mức giảm trừ gia cảnh cao và số bậc thuế ít hơn, thuận lợi cho người dân.</t>
  </si>
  <si>
    <t>Công thức tính thuế rõ ràng, dễ hiểu với số bậc thuế ít hơn trước, làm tăng sự tiện lợi cho người nộp thuế.</t>
  </si>
  <si>
    <t>Nhà nước đã thực hiện cải cách một cách công bằng và minh bạch, giảm gánh nặng về thuế cho tôi</t>
  </si>
  <si>
    <t>Mức thuế mới hợp lý với thu nhập của tôi, việc tăng giảm trừ gia cảnh giúp phân phối công bằng hơn.</t>
  </si>
  <si>
    <t>Thuế tôi đóng sẽ được sử dụng hiệu quả cho các dịch vụ công như y tế và giao thông</t>
  </si>
  <si>
    <t>Nhà nước đã giải thích rõ ràng về mục tiêu cải cách, tạo niềm tin trong người dân.</t>
  </si>
  <si>
    <t>Tôi ủng hộ và tuân thủ chính sách mới vì nó công bằng hơn và giảm gánh nặng thuế cho tôi</t>
  </si>
  <si>
    <t>Dù có khả năng phát hiện gian lận và trốn thuế, nhưng với quy định mới về mức giảm trừ gia cảnh cao hơn, tôi thấy cơ hội để bị phát hiện không lớn.</t>
  </si>
  <si>
    <t>Cơ quan thuế có công nghệ hiện đại, tuy nhiên, khả năng phát hiện gian lận và xử lý nghiêm vẫn phụ thuộc vào sự tuân thủ của người nộp thuế.</t>
  </si>
  <si>
    <t>Quy trình làm việc với cơ quan thuế trở nên đơn giản hơn khi giảm số bậc thuế, tuy nhiên, thủ tục khai báo thuế vẫn chưa tối ưu hoá được.</t>
  </si>
  <si>
    <t>Biểu thuế mới đơn giản và dễ hiểu hơn so với trước đây, các bước tính toán cũng trở nên rõ ràng hơn.</t>
  </si>
  <si>
    <t>Tôi tin rằng cơ quan thuế sẽ thực thi chính sách một cách công bằng, nhưng vẫn có sự nghi ngờ về khả năng thực thi này.</t>
  </si>
  <si>
    <t>Mức thuế mới được giảm đáng kể và phù hợp với thu nhập của tôi, tạo nên cảm giác công bằng.</t>
  </si>
  <si>
    <t>Nhìn chung, số tiền thuế đóng sẽ được sử dụng để cải thiện dịch vụ công, nhưng vẫn cần thêm thông tin cụ thể về cách sử dụng.</t>
  </si>
  <si>
    <t>Đã có giải thích rõ ràng về lý do và mục tiêu của việc sửa đổi thuế, tuy nhiên, tôi hy vọng sẽ có thêm thông tin chi tiết hơn.</t>
  </si>
  <si>
    <t>Sau khi xem xét tác động tài chính tích cực và sự đơn giản hóa quy trình, tôi ủng hộ và tuân thủ chính sách mới.</t>
  </si>
  <si>
    <t>Hiện nay, cơ quan thuế có nhiều công cụ và nguồn lực để phát hiện hành vi gian lận hoặc trốn thuế. Tuy nhiên, việc thực thi vẫn phụ thuộc vào nhân sự và hệ thống quản lý của cơ quan thuế.</t>
  </si>
  <si>
    <t>Nhà nước đã đầu tư công nghệ để cải thiện khả năng phát hiện và xử lý trốn thuế. Tuy nhiên, hiệu quả thực tế vẫn cần thời gian để kiểm chứng.</t>
  </si>
  <si>
    <t>Quy trình khai báo thuế dễ dàng hơn với các bước đơn giản hơn, nhưng still có thể gặp khó khăn khi không quen thuộc với hệ thống mới.</t>
  </si>
  <si>
    <t>Các bậc thuế và cách tính thuế đã được đơn giản hóa, giúp người dân hiểu rõ và thực hiện dễ dàng hơn.</t>
  </si>
  <si>
    <t>Tôi tin rằng Nhà nước sẽ xử lý công bằng với mọi người nộp thuế. Tuy nhiên, vẫn cần thời gian để kiểm chứng tính khách quan của việc thực thi.</t>
  </si>
  <si>
    <t>Đối với mức thu nhập của tôi, giảm trừ gia cảnh tăng lên đã giúp tiết kiệm một khoản tiền đáng kể, tạo cảm giác công bằng hơn.</t>
  </si>
  <si>
    <t>Thuê đóng góp cho việc nâng cấp hạ tầng và cải thiện dịch vụ công. Điều này tạo niềm tin rằng thuế tôi đóng sẽ được sử dụng hiệu quả.</t>
  </si>
  <si>
    <t>Nhà nước đã giải thích rõ ràng về mục tiêu của việc sửa đổi luật thuế, nhưng có thể cần thêm thông tin chi tiết để tăng độ tin cậy.</t>
  </si>
  <si>
    <t>Tác động tài chính tích cực và quy trình đơn giản hơn khiến tôi ủng hộ chính sách mới. Tuy nhiên, vẫn cần thời gian để quen với hệ thống mới.</t>
  </si>
  <si>
    <t>Dù không phải đóng thuế, nhưng tôi tin rằng cơ quan thuế có đủ khả năng phát hiện hành vi gian lận do mức giảm trừ gia cảnh cao. Việc này giúp ngăn chặn trốn thuế.</t>
  </si>
  <si>
    <t>Cơ quan thuế với công nghệ hiện đại sẽ dễ dàng theo dõi và xử lý các trường hợp vi phạm, nên tôi tin vào khả năng của họ.</t>
  </si>
  <si>
    <t>Quy trình khai báo đơn giản hơn trước, tuy nhiên vẫn có thể phức tạp nếu không rành về thuế.</t>
  </si>
  <si>
    <t>Bậc thuế giảm từ 7 xuống 5, làm việc tính toán thuế dễ dàng hơn. Tuy nhiên, số bậc thuế vẫn còn nhiều nên chưa thực sự đơn giản.</t>
  </si>
  <si>
    <t>Chính sách mới công bằng với người thu nhập như tôi, không phải đóng thuế và mức giảm trừ gia cảnh cao.</t>
  </si>
  <si>
    <t>Mức thuế theo chính sách mới phù hợp với thu nhập của tôi. Mức giảm trừ gia cảnh lớn làm giảm thuế</t>
  </si>
  <si>
    <t>Tiền thuế đóng sẽ được sử dụng hiệu quả cho các dịch vụ công, cải thiện chất lượng cuộc sống.</t>
  </si>
  <si>
    <t>Nhà nước đã giải thích rõ về mục tiêu và lý do sửa đổi luật thuế, tạo niềm tin với người dân.</t>
  </si>
  <si>
    <t>Chính sách mới phù hợp với thu nhập của tôi và giảm gánh nặng thuế. Tôi sẽ tuân thủ.</t>
  </si>
  <si>
    <t>Dù cơ quan thuế có công nghệ hiện đại, nhưng mức giảm trừ gia cảnh lớn hơn và số bậc thuế ít đi khiến việc phát hiện trốn thuế khó khăn hơn. Tuy nhiên, vẫn còn khả năng kiểm soát.</t>
  </si>
  <si>
    <t>Cơ quan thuế có thể áp dụng công nghệ cao để giám sát nhưng cần thời gian điều chỉnh và thực thi.</t>
  </si>
  <si>
    <t>Quy trình khai báo thuế đơn giản hơn, giảm bớt thủ tục rườm rà. Tuy nhiên, vẫn còn một số bước làm phiền người dân.</t>
  </si>
  <si>
    <t>Biểu thuế mới dễ hiểu và thực hiện thuận tiện hơn so với trước đây.</t>
  </si>
  <si>
    <t>Tôi tin rằng cơ quan thuế sẽ công tâm trong việc áp dụng chính sách nhưng vẫn có nguy cơ không công bằng đối với những người thu nhập thấp hơn hoặc cao hơn.</t>
  </si>
  <si>
    <t>Thuế mới phù hợp với thu nhập của tôi và mức giảm trừ gia cảnh lớn hơn, làm cho gánh nặng thuế hợp lý hơn.</t>
  </si>
  <si>
    <t>Dù vậy, hiệu quả sử dụng ngân sách cần được cải thiện để đảm bảo lợi ích cộng đồng rõ ràng.</t>
  </si>
  <si>
    <t>Nhà nước đã giải thích các thay đổi một cách cặn kẽ nhưng tôi vẫn mong muốn có thêm thông tin về cách sử dụng số tiền thuế thu được.</t>
  </si>
  <si>
    <t>Tôi ủng hộ chính sách mới vì giảm gánh nặng tài chính và quy trình đơn giản hơn. Tuy nhiên, cần cải thiện công khai trong việc sử dụng ngân sách.</t>
  </si>
  <si>
    <t>Hiện nay, cơ quan thuế áp dụng nhiều biện pháp quản lý như công nghệ thông tin và hệ thống thông tin quản lý thuế, nên tôi tin rằng hành vi gian lận hoặc trốn thuế sẽ dễ bị phát hiện.</t>
  </si>
  <si>
    <t>Nhà nước đã đầu tư vào các nền tảng công nghệ cao để hỗ trợ trong việc thu thập thông tin và xử lý vụ việc, do đó tôi có niềm tin về khả năng phát hiện và xử lý nghiêm các hành vi trốn thuế.</t>
  </si>
  <si>
    <t>So với trước đây, quy trình khai thuế và làm việc với cơ quan thuế trở nên đơn giản hơn, tiết kiệm thời gian cho người dân.</t>
  </si>
  <si>
    <t>Biểu thuế mới có ít bậc hơn, dễ hiểu hơn và thuận tiện cho người nộp thuế tính toán, do đó tôi thấy việc này rất hữu ích.</t>
  </si>
  <si>
    <t>Nhà nước đã cải cách chính sách một cách công bằng và minh bạch, tôi tin rằng các quy định mới sẽ được thực thi một cách khách quan.</t>
  </si>
  <si>
    <t>Mức thuế mới giảm so với trước đây, do đó tôi cảm thấy mức thuế này là công bằng đối với thu nhập của mình.</t>
  </si>
  <si>
    <t>Thuế đóng góp vào việc cải thiện các dịch vụ công như y tế và đường xá, do đó tôi tin rằng số tiền thuế tôi đóng sẽ được sử dụng hiệu quả.</t>
  </si>
  <si>
    <t>Nhà nước đã giải thích rõ ràng về mục tiêu của việc sửa đổi chính sách thuế lần này, nên tôi cảm thấy mình có thể hiểu và đồng ý với quyết định này.</t>
  </si>
  <si>
    <t>Sau khi xem xét các quyền lợi và nghĩa vụ mới, tôi ủng hộ và sẽ tuân thủ chính sách mới do nó giúp giảm gánh nặng tài chính cho cá nhân và gia đình.</t>
  </si>
  <si>
    <t>Nếu các quy định quản lý thuế hiện nay được thực thi chặt chẽ, việc phát hiện và xử lý hành vi gian lận hoặc trốn thuế sẽ dễ dàng hơn. Tuy nhiên, do chưa có thông tin cụ thể về khả năng và công nghệ của nhà nước trong việc kiểm soát, tôi đánh giá ở mức trung bình.</t>
  </si>
  <si>
    <t>Nhà nước và cơ quan thuế có đủ khả năng để phát hiện các hành vi trốn thuế nếu họ thực thi tốt. Tuy nhiên, do thiếu thông tin cụ thể về công nghệ và nguồn lực, tôi đánh giá ở mức trung bình.</t>
  </si>
  <si>
    <t>So với trước đây, quy trình khai báo thuế trở nên đơn giản hơn, nhưng vẫn cần thời gian để mọi người nắm bắt. Tôi cho rằng thủ tục đã thuận tiện hơn và nhanh chóng hơn.</t>
  </si>
  <si>
    <t>Biểu thuế mới có ít bậc hơn, dễ hiểu và thực hiện đơn giản hơn so với trước đây. Điều này giúp người dân dễ dàng tính toán và nộp thuế.</t>
  </si>
  <si>
    <t>Tôi tin rằng nhà nước sẽ thực thi chính sách một cách công bằng đối với tất cả các cá nhân, nhưng do không có thông tin cụ thể về cách thức thực thi, tôi đánh giá ở mức trung bình.</t>
  </si>
  <si>
    <t>Mức thuế mới giảm đáng kể so với trước đây, giúp tiết kiệm chi phí và tạo cảm giác công bằng. Tuy nhiên, do không có thông tin cụ thể về quy định mới, tôi vẫn giữ thái độ thận trọng.</t>
  </si>
  <si>
    <t>Số tiền thuế giảm sẽ được sử dụng hiệu quả để cải thiện dịch vụ công, giúp nâng cao chất lượng cuộc sống. Tuy nhiên, do không có thông tin cụ thể về việc sử dụng nguồn thu thuế, tôi đánh giá ở mức trung bình.</t>
  </si>
  <si>
    <t>Nhà nước đã giải thích rõ ràng về mục tiêu của việc sửa đổi chính sách thuế, nhưng vẫn còn nhiều thông tin cần được cung cấp để tăng độ minh bạch và tín nhiệm. Tôi cho rằng mức độ này ở mức trung bình.</t>
  </si>
  <si>
    <t>Tôi ủng hộ và tuân thủ chính sách mới vì nó mang lại lợi ích tài chính, đơn giản hóa quy trình khai báo thuế và tạo cảm giác công bằng. Tuy nhiên, do chưa có thông tin cụ thể về cách thực hiện và hiệu quả sử dụng nguồn thu, tôi không hoàn toàn chắc chắn.</t>
  </si>
  <si>
    <t>Với mức giảm trừ gia cảnh tăng cao, việc phát hiện và xử lý gian lận thuế có thể gặp khó khăn hơn. Tuy nhiên, cơ quan thuế vẫn có khả năng phát hiện qua các hệ thống quản lý.</t>
  </si>
  <si>
    <t>Nhà nước đã đầu tư vào công nghệ và nhân lực, nhưng việc kiểm soát rộng lớn như vậy cần thời gian để hoàn thiện.</t>
  </si>
  <si>
    <t>Thủ tục khai báo thuế trở nên đơn giản hơn, giảm thời gian chờ đợi tại các quầy thuế. Quy trình làm việc với cơ quan thuế cũng thuận tiện hơn.</t>
  </si>
  <si>
    <t>Biểu thuế đơn giản hơn và dễ hiểu, không còn nhiều bậc thuế phức tạp trước đây. Cách tính thuế rõ ràng hơn.</t>
  </si>
  <si>
    <t>Nhà nước đã tăng giảm trừ gia cảnh cho cá nhân và người phụ thuộc, tôi tin họ sẽ thực thi chính sách một cách công bằng.</t>
  </si>
  <si>
    <t>Mức thuế mới phù hợp với thu nhập của tôi. Mức giảm trừ gia cảnh cao giúp giảm bớt gánh nặng tài chính.</t>
  </si>
  <si>
    <t>Tiền thuế đóng góp vào các dịch vụ công như y tế, giáo dục và hạ tầng cơ sở, lợi ích cho cộng đồng</t>
  </si>
  <si>
    <t>Chính phủ đã cung cấp thông tin đầy đủ về mục đích của việc sửa đổi thuế, tôi cảm thấy họ đang làm việc hiệu quả.</t>
  </si>
  <si>
    <t>Tôi ủng hộ và tuân thủ chính sách mới vì nó giúp giảm gánh nặng tài chính và tạo ra một hệ thống thuế công bằng hơn.</t>
  </si>
  <si>
    <t>Dù có công nghệ hiện đại, nhưng vẫn cần sự phối hợp giữa các cơ quan quản lý để phát hiện trốn thuế hiệu quả.</t>
  </si>
  <si>
    <t>Cơ quan thuế đã đầu tư vào công nghệ, tuy nhiên khả năng phát hiện và xử lý cần thêm thời gian để nâng cao.</t>
  </si>
  <si>
    <t>Quy trình khai báo nay đơn giản hơn nhưng vẫn có thể gặp rắc rối nếu không hiểu rõ.</t>
  </si>
  <si>
    <t>Biểu thuế mới đơn giản, dễ hiểu và thuận tiện cho việc tính toán, giảm bớt gian nan trong quá trình nộp thuế.</t>
  </si>
  <si>
    <t>Đối với mức thuế mới, tôi tin rằng Nhà nước sẽ thực thi công bằng nhưng vẫn cần thêm minh bạch hơn về quy trình xử lý.</t>
  </si>
  <si>
    <t>Mức giảm trừ gia cảnh và thuế suất mới phù hợp với thu nhập của tôi, tạo cảm giác công bằng.</t>
  </si>
  <si>
    <t>Việc cải cách thuế nhằm nâng cao chất lượng dịch vụ công, nhưng hiệu quả sử dụng số tiền thuế cần thêm thời gian để chứng minh.</t>
  </si>
  <si>
    <t>Nội dung về lý do và mục tiêu của chính sách mới được giải thích rõ ràng hơn so với trước đây.</t>
  </si>
  <si>
    <t>Chính sách mới có lợi cho tôi, tạo cảm giác công bằng và thuận tiện nên tôi ủng hộ và tuân thủ.</t>
  </si>
  <si>
    <t>Hiện nay, cơ quan thuế có đủ công nghệ và nhân lực để phát hiện các hành vi gian lận trốn thuế. Tuy nhiên, việc này còn phụ thuộc vào hiệu quả thực thi.</t>
  </si>
  <si>
    <t>Cơ quan thuế đã cải thiện đáng kể khả năng phát hiện và xử lý gian lận thông qua công nghệ hiện đại như AI,-big data. Tuy nhiên, vẫn cần nhiều nỗ lực hơn để tăng cường quản lý.</t>
  </si>
  <si>
    <t>Quy trình khai thuế trở nên đơn giản hơn với sự giảm bớt các bước phức tạp. Người dân dễ dàng làm việc với cơ quan thuế hơn so với trước đây.</t>
  </si>
  <si>
    <t>Số bậc thuế được giảm từ 7 xuống còn 5, điều này giúp tính toán thuế trở nên dễ hiểu và thực hiện đơn giản hơn. Sự cải cách này đã làm cho quy trình thuế trở nên thuận tiện.</t>
  </si>
  <si>
    <t>Tôi tin rằng Nhà nước sẽ thực thi chính sách một cách công bằng, vì mức giảm trừ gia cảnh tăng mạnh và số bậc thuế giảm đi. Điều này giúp tạo cảm giác công bằng cho người nộp thuế.</t>
  </si>
  <si>
    <t>Như một người có thu nhập trung bình, tôi thấy mức thuế mới là hợp lý. Thu nhập của tôi nằm ở bậc thấp và giảm trừ gia cảnh lớn giúp tôi tiết kiệm được nhiều tiền.</t>
  </si>
  <si>
    <t>Thuế được sử dụng để cải thiện dịch vụ công như y tế, giáo dục, đường xá... Điều này tạo ra sự liên kết giữa việc đóng thuế và lợi ích cho cộng đồng.</t>
  </si>
  <si>
    <t>Chính phủ đã giải thích rõ ràng về mục tiêu của việc cải cách thuế. Tuy nhiên, tôi hy vọng sẽ có thêm thông tin chi tiết về cách sử dụng số tiền thuế này.</t>
  </si>
  <si>
    <t>Sau khi xem xét các quyền lợi và nghĩa vụ, tôi ủng hộ và tuân thủ chính sách mới. Điều này giúp cải thiện sự công bằng và thuận tiện trong việc khai báo thuế.</t>
  </si>
  <si>
    <t>Nếu các quy định quản lý thuế được thực hiện một cách hiệu quả, tôi tin rằng hành vi gian lận hoặc trốn thuế sẽ bị phát hiện và xử lý nghiêm. Tuy nhiên, với việc giảm trừ gia cảnh tăng lên, khả năng phát hiện có thể giảm đi một chút.</t>
  </si>
  <si>
    <t>Nhà nước đã đầu tư vào công nghệ để theo dõi và kiểm soát thuế. Tăng mức giảm trừ gia cảnh cũng giúp hạn chế việc gian lận, nhưng tôi vẫn lo ngại về khả năng phát hiện.</t>
  </si>
  <si>
    <t>Quy trình khai báo và làm việc với cơ quan thuế trở nên đơn giản hơn. Tuy nhiên, việc giảm trừ gia cảnh tăng lên có thể khiến thủ tục phức tạp hơn một chút.</t>
  </si>
  <si>
    <t>Biểu thuế đơn giản hơn với ít bậc, giúp dễ dàng tính toán và hiểu rõ về thuế mình phải đóng. Mức thuế mới cũng hợp lý với thu nhập của tôi.</t>
  </si>
  <si>
    <t>Tôi tin rằng Nhà nước sẽ thực thi chính sách một cách công tâm. Tuy nhiên, việc giảm trừ gia cảnh tăng lên có thể gây ra sự không nhất quán trong cách đánh thuế giữa các cá nhân.</t>
  </si>
  <si>
    <t>Mức thuế mới là hợp lý với thu nhập của tôi. Tôi cảm thấy công bằng khi đóng mức thuế này, mặc dù việc giảm trừ gia cảnh tăng lên có thể gây ra một số nghi ngờ.</t>
  </si>
  <si>
    <t>Tăng mức giảm trừ gia cảnh giúp số tiền thuế của tôi giảm đáng kể. Tôi tin rằng số tiền thuế đóng sẽ được sử dụng hiệu quả cho các dịch vụ công, nhưng vẫn có chút lo ngại về việc quản lý ngân sách.</t>
  </si>
  <si>
    <t>Chính phủ đã giải thích rõ ràng về mục tiêu của việc sửa đổi thuế. Tuy nhiên, tôi vẫn muốn biết thêm về chi tiết hơn cách sử dụng số tiền thuế thu được.</t>
  </si>
  <si>
    <t>Dù có một số lo ngại, tôi ủng hộ và tuân thủ chính sách mới vì nó giúp giảm gánh nặng tài chính cho tôi. Tuy nhiên, tôi hy vọng Nhà nước sẽ giải thích rõ hơn về cách sử dụng số tiền thuế thu được.</t>
  </si>
  <si>
    <t>Việc tăng giảm trừ gia cảnh và đơn giản hóa biểu thuế có thể làm giảm khả năng phát hiện hành vi gian lận hoặc trốn thuế.</t>
  </si>
  <si>
    <t>Tuy cơ quan thuế đã cải thiện công nghệ, nhưng vẫn còn nhiều yếu tố phụ thuộc vào sự tuân thủ của cá nhân và tổ chức.</t>
  </si>
  <si>
    <t>Quy trình khai báo thuế trở nên đơn giản hơn, từ đó tăng thuận tiện cho người dân.</t>
  </si>
  <si>
    <t>Biểu thuế mới rõ ràng và dễ hiểu hơn so với trước đây, giảm sự phức tạp trong việc tính toán.</t>
  </si>
  <si>
    <t>Mức thuế mới được điều chỉnh công bằng cho thu nhập của tôi, nhưng vẫn có thể cần thêm minh bạch từ cơ quan thuế.</t>
  </si>
  <si>
    <t>Thuế tôi phải đóng hợp lý với mức độ thu nhập của mình, tăng sự tin tưởng về tính công bằng.</t>
  </si>
  <si>
    <t>Tôi tin rằng số tiền thuế đóng sẽ được sử dụng hiệu quả cho các dịch vụ công, nhưng chưa có thông tin cụ thể.</t>
  </si>
  <si>
    <t>Mặc dù cơ quan thuế đã giải thích rõ về mục tiêu cải cách, nhưng cần thêm minh bạch trong việc thực thi.</t>
  </si>
  <si>
    <t>Sau khi xem xét tác động tài chính và sự thay đổi trong quy định, tôi ủng hộ và tuân thủ chính sách mới.</t>
  </si>
  <si>
    <t>Hiện nay, với sự phát triển của công nghệ và hệ thống quản lý thuế, việc kiểm soát gian lận hay trốn thuế có thể được thực hiện hiệu quả hơn. Tuy nhiên, vẫn cần cải thiện về mặt cơ sở hạ tầng và nhân lực để tăng cường khả năng này.</t>
  </si>
  <si>
    <t>Nhà nước đã đầu tư vào công nghệ và hệ thống quản lý thuế, nên việc phát hiện và xử lý gian lận hay trốn thuế sẽ dễ dàng hơn. Tuy nhiên, vẫn cần thời gian để hoàn thiện.</t>
  </si>
  <si>
    <t>Quy trình khai báo thuế và làm việc với cơ quan thuế đã đơn giản hơn so với trước đây. Việc cải cách thuế giúp người dân dễ dàng thực hiện các thủ tục mà không gặp nhiều rắc rối.</t>
  </si>
  <si>
    <t>Bảng thuế mới có ít bậc và rõ ràng hơn, giảm bớt sự phức tạp. Điều này giúp tôi dễ dàng tính toán và tuân thủ luật thuế một cách thuận tiện hơn.</t>
  </si>
  <si>
    <t>Mức giảm trừ gia cảnh và số bậc thuế mới đều công bằng, thể hiện sự đối xử bình đẳng với mọi người nộp thuế. Tôi tin rằng cơ quan thuế sẽ thực thi chính sách một cách khách quan.</t>
  </si>
  <si>
    <t>Với mức thuế mới, tôi thấy mình đóng góp tương xứng với thu nhập của bản thân. Đây là mức thuế công bằng cho người có thu nhập như tôi.</t>
  </si>
  <si>
    <t>Tôi tin rằng số tiền thuế tôi đóng sẽ được sử dụng hiệu quả để cải thiện dịch vụ công, góp phần nâng cao chất lượng cuộc sống của người dân.</t>
  </si>
  <si>
    <t>Nhà nước đã giải thích rõ ràng về mục tiêu và lý do thay đổi chính sách thuế. Tuy nhiên, tôi vẫn mong muốn có thêm thông tin chi tiết hơn về cách sử dụng số tiền thuế thu được.</t>
  </si>
  <si>
    <t>Sau khi xem xét các quyền lợi và nghĩa vụ, tôi ủng hộ và tuân thủ chính sách mới. Chính sách này giúp giảm gánh nặng tài chính cho người dân như tôi.</t>
  </si>
  <si>
    <t>Ngân hàng và các cơ quan quản lý thuế hiện nay đã có nhiều công cụ để theo dõi giao dịch tài chính, do đó tôi cho rằng hành vi trốn thuế sẽ bị phát hiện sớm. Tuy nhiên, vẫn còn một số rủi ro</t>
  </si>
  <si>
    <t>Nhà nước và cơ quan thuế đã đầu tư vào công nghệ để cải thiện khả năng quản lý và giám sát, nhưng việc thực thi cần thêm thời gian để hoàn thiện</t>
  </si>
  <si>
    <t>Việc đơn giản hóa quy trình khai báo và các bước làm việc với cơ quan thuế đã giúp tôi tiết kiệm thời gian. Tuy nhiên, vẫn còn một số bước cần cải tiến</t>
  </si>
  <si>
    <t>Biểu thuế mới dễ hiểu hơn và thuận tiện trong quá trình tính toán, giảm độ phức tạp so với trước đây</t>
  </si>
  <si>
    <t>Tôi tin rằng cơ quan thuế sẽ thực thi chính sách công bằng và khách quan. Mức giảm trừ gia cảnh mới giúp tôi tiết kiệm tiền</t>
  </si>
  <si>
    <t>Mức thuế mới phù hợp với thu nhập của tôi, tôi cảm thấy nó là một mức thuế công bằng</t>
  </si>
  <si>
    <t>Thuế mà tôi đóng sẽ được sử dụng để cải thiện dịch vụ công, tôi tin rằng việc này sẽ mang lại lợi ích cho cộng đồng</t>
  </si>
  <si>
    <t>Nhà nước đã giải thích rõ ràng về mục tiêu của việc sửa đổi thuế, nhưng cần thêm thông tin chi tiết về cách sử dụng số tiền thu được từ thuế</t>
  </si>
  <si>
    <t>Tôi ủng hộ chính sách mới vì nó giúp tôi tiết kiệm tiền và đơn giản hóa quy trình làm việc với cơ quan thuế. Tuy nhiên, tôi mong chờ thêm cải tiến trong tương lai</t>
  </si>
  <si>
    <t>Nhà nước đã tăng giảm trừ gia cảnh đáng kể, do đó cơ quan thuế sẽ khó phát hiện hành vi trốn thuế.</t>
  </si>
  <si>
    <t>Cơ quan thuế có công nghệ và khả năng để phát hiện gian lận nhưng mức giảm trừ gia cảnh cao làm giảm hiệu quả kiểm soát.</t>
  </si>
  <si>
    <t>Quy trình khai báo thuế đơn giản hơn, thuận tiện cho người dân.</t>
  </si>
  <si>
    <t>Bậc thuế ít và rõ ràng hơn, dễ dàng thực hiện hơn so với trước đây.</t>
  </si>
  <si>
    <t>Chính sách mới đã giảm gánh nặng thuế cho người dân, thể hiện tính công bằng trong việc phân phối thuế</t>
  </si>
  <si>
    <t>Mức thuế tôi phải đóng hợp lý với thu nhập của mình, do mức giảm trừ gia cảnh cao.</t>
  </si>
  <si>
    <t>Thuế đóng góp vào các dịch vụ công quan trọng như y tế và hạ tầng giao thông, tạo niềm tin về việc sử dụng hiệu quả nguồn thu ngân sách</t>
  </si>
  <si>
    <t>Chính phủ đã giải thích rõ ràng mục tiêu cải cách thuế nhưng cần thêm minh bạch hơn trong quá trình thực thi.</t>
  </si>
  <si>
    <t>Dù không phải đóng thuế, tôi vẫn ủng hộ chính sách mới vì nó mang lại lợi ích cho người dân và cải thiện công bằng</t>
  </si>
  <si>
    <t>Hiện nay, cơ quan thuế đã áp dụng nhiều công nghệ hiện đại để phát hiện hành vi trốn thuế và gian lận. Tuy nhiên, mức độ thực thi vẫn phụ thuộc vào năng lực của các cơ quan quản lý.</t>
  </si>
  <si>
    <t>Nhà nước đã đầu tư công nghệ và nguồn lực để cải thiện khả năng phát hiện và xử lý trốn thuế. Tuy nhiên, hiệu quả thực thi còn cần thời gian để chứng minh.</t>
  </si>
  <si>
    <t>Quy trình khai thuế và làm việc với cơ quan thuế đã đơn giản hơn so với trước đây. Hệ thống trực tuyến giúp người dân dễ dàng hơn trong việc nộp thuế.</t>
  </si>
  <si>
    <t>Ngưỡng miễn thuế và số bậc thuế giảm đi khiến quá trình tính thuế trở nên dễ hiểu và thực hiện thuận tiện hơn.</t>
  </si>
  <si>
    <t>Tôi tin rằng Nhà nước sẽ thực thi chính sách một cách công bằng đối với mọi người nộp thuế. Tuy nhiên, việc minh bạch về quy trình vẫn cần được cải thiện.</t>
  </si>
  <si>
    <t>Thuế mới đã giảm đáng kể cho tôi và gia tăng tính công bằng trong việc phân bổ thu nhập. Điều này làm tăng niềm tin về tính hợp lý của thuế mới.</t>
  </si>
  <si>
    <t>Thuê mới giúp cải thiện chất lượng dịch vụ công, nhưng mức độ sử dụng hiệu quả số tiền thuế vẫn cần được giám sát chặt chẽ.</t>
  </si>
  <si>
    <t>Nhà nước đã đưa ra các giải thích về chính sách mới, tuy nhiên, tôi mong muốn có thêm thông tin chi tiết hơn về mục tiêu và hiệu quả thực tế của nó.</t>
  </si>
  <si>
    <t>Dù còn nhiều điểm cần cải thiện nhưng tôi ủng hộ và tuân thủ chính sách thuế mới để góp phần xây dựng một xã hội công bằng và phát triển bền vững.</t>
  </si>
  <si>
    <t>Dù không có thông tin cụ thể về khả năng phát hiện và xử lý, tôi cho rằng với việc cải cách thuế mới, các quy định quản lý sẽ trở nên chặt chẽ hơn.</t>
  </si>
  <si>
    <t>Việc nâng cấp công nghệ và hệ thống quản lý thuế có thể giúp tăng cường hiệu quả trong việc phát hiện trốn thuế và gian lận, nhưng không phải lúc nào cũng thực hiện được.</t>
  </si>
  <si>
    <t>Quy trình khai thuế đã trở nên đơn giản hơn với mức giảm trừ gia cảnh cao hơn. Tuy nhiên, việc áp dụng các bậc thuế mới vẫn cần thêm thời gian để quen thuộc.</t>
  </si>
  <si>
    <t>Biểu thuế mới đơn giản và dễ hiểu hơn so với trước đây, giảm bớt sự phức tạp trong quá trình tính toán.</t>
  </si>
  <si>
    <t>Tôi tin rằng cơ quan thuế sẽ thực hiện chính sách một cách công bằng và khách quan, nhưng vẫn cần thêm thời gian để thấy kết quả cụ thể.</t>
  </si>
  <si>
    <t>Thuế mới giảm đáng kể so với trước đây, tạo cảm giác công bằng đối với mức thuế tôi phải đóng.</t>
  </si>
  <si>
    <t>Nhìn chung, số tiền thuế này sẽ được sử dụng hiệu quả để cải thiện các dịch vụ công</t>
  </si>
  <si>
    <t>Tôi đồng ý với những giải thích của Nhà nước về mục tiêu và lý do sửa đổi thuế, nhưng vẫn mong muốn có thêm thông tin chi tiết.</t>
  </si>
  <si>
    <t>Sau khi tính toán các quyền lợi và nghĩa vụ, tôi ủng hộ chính sách mới. Thuế giảm đáng kể giúp cải thiện tài chính gia đình.</t>
  </si>
  <si>
    <t>Hiện nay, cơ quan thuế có nhiều công cụ và nguồn lực để phát hiện hành vi gian lận hoặc trốn thuế. Tuy nhiên, việc thực thi còn phụ thuộc vào sự phối hợp giữa các bộ phận quản lý.</t>
  </si>
  <si>
    <t>Nhà nước đã đầu tư vào công nghệ và nguồn lực để cải thiện khả năng phát hiện gian lận thuế. Điều này tăng cơ hội bị phát hiện đối với hành vi trốn thuế.</t>
  </si>
  <si>
    <t>Quy trình khai báo thuế và làm việc với cơ quan thuế trở nên đơn giản hơn, tiết kiệm thời gian cho người nộp thuế. Điều này mang lại sự thuận tiện đáng kể.</t>
  </si>
  <si>
    <t>Số bậc thuế giảm đi cùng với việc đơn giản hóa biểu thuế giúp tính toán thuế dễ dàng và minh bạch hơn, thuận lợi cho việc thực hiện.</t>
  </si>
  <si>
    <t>Nhà nước đã công bố rõ ràng về chính sách mới, tuy nhiên, tôi vẫn mong muốn có thêm thông tin chi tiết từ cơ quan thuế để đảm bảo sự khách quan và công bằng trong việc thực thi.</t>
  </si>
  <si>
    <t>Mức thuế mới giảm đi so với trước đây, đồng thời số tiền giảm trừ gia cảnh tăng. Điều này cho thấy mức thu thuế hiện tại là hợp lý đối với thu nhập của tôi.</t>
  </si>
  <si>
    <t>Thuế đóng góp vào các dịch vụ công quan trọng như y tế và giao thông. Tuy nhiên, tôi mong muốn có thêm thông tin về cách sử dụng số tiền thuế này để đánh giá hiệu quả.</t>
  </si>
  <si>
    <t>Nhà nước đã giải thích rõ ràng mục tiêu của việc sửa đổi chính sách thuế lần này. Tuy nhiên, tôi mong muốn có thêm thông tin về cách thực thi các quy định mới để tăng độ minh bạch.</t>
  </si>
  <si>
    <t>Sau khi xem xét mức giảm trừ gia cảnh và số bậc thuế đơn giản hơn, tôi ủng hộ chính sách mới. Tuy nhiên, cần thêm thông tin về cách thực thi để tăng độ tin tưởng.</t>
  </si>
  <si>
    <t>Thuế hiện nay có nhiều biện pháp giám sát và xử lý, nhưng vẫn chưa hoàn hảo. Với các quy định mới, khả năng phát hiện hành vi gian lận hoặc trốn thuế được cải thiện đáng kể.</t>
  </si>
  <si>
    <t>Cơ quan thuế có nhiều công cụ và nguồn lực để giám sát và xử lý vấn đề, nhưng vẫn cần nâng cao hơn nữa trong việc ứng dụng công nghệ.</t>
  </si>
  <si>
    <t>So với trước đây, quy trình khai báo thuế đơn giản hơn, nhưng vẫn còn một số thủ tục phức tạp. Tuy nhiên, sự đơn giản hóa biểu thuế đã giúp cải thiện đáng kể.</t>
  </si>
  <si>
    <t>Biểu thuế mới rõ ràng và dễ hiểu hơn nhiều so với trước đây, giảm bớt cảm giác khó khăn cho người dân trong việc tính toán</t>
  </si>
  <si>
    <t>Tôi tin rằng Nhà nước sẽ thực thi chính sách một cách công bằng. Sự đơn giản hóa biểu thuế và tăng giảm trừ gia cảnh giúp mọi người nộp thuế được đối xử công bằng hơn.</t>
  </si>
  <si>
    <t>Mức thuế mới hợp lý với thu nhập của tôi, đặc biệt là sự tăng thêm trong mức giảm trừ gia cảnh. Điều này làm cho thuế trở nên công bằng hơn.</t>
  </si>
  <si>
    <t>Tiền thuế đóng góp vào các dịch vụ công quan trọng như y tế và giao thông, giúp cải thiện chất lượng cuộc sống của người dân</t>
  </si>
  <si>
    <t>Đã có nhiều giải thích về mục tiêu của chính sách mới. Tuy nhiên, cần thêm minh bạch trong việc sử dụng nguồn thu thuế để tăng sự tin tưởng.</t>
  </si>
  <si>
    <t>Sau khi xem xét các quyền lợi và nghĩa vụ, tôi ủng hộ và tuân thủ chính sách mới. Sự đơn giản hóa biểu thuế và sự công bằng trong mức thuế đóng góp vào quyết định này.</t>
  </si>
  <si>
    <t>Công nghệ hiện đại và sự giám sát chặt chẽ của cơ quan thuế giúp phát hiện trốn thuế dễ dàng, nhưng vẫn có thể còn lỗ hổng.</t>
  </si>
  <si>
    <t>Nhà nước đã đầu tư vào công nghệ và nhân lực để tăng cường khả năng quản lý thuế, giảm thiểu trốn thuế.</t>
  </si>
  <si>
    <t>Quy trình khai báo nhanh chóng hơn nhờ việc đơn giản hóa quy định, nhưng vẫn có thể còn rườm rà đối với những người không am hiểu.</t>
  </si>
  <si>
    <t>Bậc thuế và biểu thuế mới dễ hiểu hơn, giúp tính toán nhanh chóng và chính xác hơn so với trước đây.</t>
  </si>
  <si>
    <t>Việc tăng mức giảm trừ gia cảnh cho bản thân và người phụ thuộc thể hiện sự công bằng và khách quan trong việc đánh giá thu nhập.</t>
  </si>
  <si>
    <t>Mức thuế mới phù hợp với thu nhập của tôi, tạo cảm giác công bằng khi đóng góp vào xã hội.</t>
  </si>
  <si>
    <t>Thuế được sử dụng hiệu quả để cải thiện hạ tầng và dịch vụ công, tạo niềm tin về việc sử dụng đúng mục đích.</t>
  </si>
  <si>
    <t>Nhà nước đã giải thích rõ ràng về lý do và mục tiêu của chính sách mới, tăng tính minh bạch trong quản lý thuế.</t>
  </si>
  <si>
    <t>Nợ đồng ý, vì mức giảm trừ gia cảnh tăng và quy trình đơn giản hóa có thể giúp phát hiện hành vi gian lận dễ dàng hơn.</t>
  </si>
  <si>
    <t>Đồng ý, do công nghệ được sử dụng để theo dõi và xử lý thuế hiệu quả hơn trong bối cảnh số hóa ngày nay.</t>
  </si>
  <si>
    <t>Đồng ý, thủ tục trở nên đơn giản hơn với mức giảm trừ gia cảnh tăng, giúp tiết kiệm thời gian cho người dân.</t>
  </si>
  <si>
    <t>Hoàn toàn đồng ý, do số bậc thuế giảm và cách tính thuế rõ ràng hơn, dễ hiểu hơn so với trước đây.</t>
  </si>
  <si>
    <t>Đồng ý, vì mức thuế mới công bằng hơn cho thu nhập của tôi và quy định minh bạch hơn về mục tiêu chính sách.</t>
  </si>
  <si>
    <t>Hoàn toàn đồng ý, do mức thuế giảm đáng kể so với trước đây, giúp đảm bảo rằng tôi đóng mức thuế công bằng cho thu nhập của mình.</t>
  </si>
  <si>
    <t>Đồng ý, vì số tiền thuế mới sẽ được sử dụng hiệu quả để cải thiện dịch vụ công và phát triển cơ sở hạ tầng.</t>
  </si>
  <si>
    <t>Hoàn toàn đồng ý, do Nhà nước đã giải thích rõ ràng về mục tiêu của chính sách mới và cách thực hiện nó.</t>
  </si>
  <si>
    <t>Hoàn toàn đồng ý, vì thuế giảm đáng kể và quy định đơn giản hơn, tôi sẽ ủng hộ và tuân thủ chính sách mới này.</t>
  </si>
  <si>
    <t>Nhìn chung, tôi tin rằng với việc tăng giảm trừ gia cảnh và đơn giản hóa biểu thuế, hành vi gian lận hoặc trốn thuế sẽ khó xảy ra. Tuy nhiên, do các quy định quản lý thuế hiện tại còn chưa rõ ràng nên khả năng phát hiện vẫn phụ thuộc vào sự tuân thủ của người nộp thuế.</t>
  </si>
  <si>
    <t>Nhà nước và cơ quan thuế có công nghệ để giám sát thuế, nhưng hiệu quả thực thi còn cần cải thiện. Việc tăng giảm trừ gia cảnh giúp giảm nguy cơ trốn thuế.</t>
  </si>
  <si>
    <t>Thủ tục khai báo thuế và làm việc với cơ quan thuế đã đơn giản hơn, đặc biệt là với mức giảm trừ gia cảnh cao. Tuy nhiên, do tôi không phải nộp thuế nên chưa có trải nghiệm thực tế.</t>
  </si>
  <si>
    <t>Cách tính thuế và bậc thuế mới dễ hiểu và dễ áp dụng hơn so với trước đây. Việc tăng giảm trừ gia cảnh giúp giảm tải về mặt tài chính.</t>
  </si>
  <si>
    <t>Tôi tin rằng cơ quan thuế sẽ thực thi công bằng, nhưng do tôi không phải nộp thuế nên chưa có trải nghiệm cụ thể.</t>
  </si>
  <si>
    <t>Thuế theo phương án mới là hợp lý cho thu nhập của tôi. Mức giảm trừ gia cảnh cao giúp giảm gánh nặng tài chính.</t>
  </si>
  <si>
    <t>Số tiền thuế đóng sẽ được sử dụng hiệu quả để cải thiện các dịch vụ công, nhưng do không phải nộp thuế nên chưa có trải nghiệm thực tế.</t>
  </si>
  <si>
    <t>Nhà nước đã giải thích rõ ràng về mục tiêu của việc sửa đổi thuế. Tuy nhiên, tôi là người đa nghi nên cần thêm thông tin để hoàn toàn tin tưởng.</t>
  </si>
  <si>
    <t>Dù phương án mới có nhiều ưu điểm nhưng do không phải nộp thuế nên tôi chỉ ủng hộ một phần. Tôi sẽ tuân thủ nếu chính sách này áp dụng cho người dân bình thường.</t>
  </si>
  <si>
    <t>Hiện nay, Nhà nước và cơ quan thuế có nhiều biện pháp quản lý thuế hiện đại. Tuy nhiên, do chưa trải qua thời gian thực thi chính sách mới nên không thể đánh giá cao về khả năng phát hiện hành vi gian lận.</t>
  </si>
  <si>
    <t>Nhà nước đã đầu tư nhiều vào công nghệ và nguồn lực để quản lý thuế. Tuy nhiên, việc thực thi chính sách mới cần thêm thời gian để đánh giá hiệu quả.</t>
  </si>
  <si>
    <t>So với trước đây, quy trình khai báo thuế đơn giản hơn nhiều. Nhiều thủ tục đã được cải tiến và tự động hóa.</t>
  </si>
  <si>
    <t>Bậc thuế mới ít hơn giúp tính toán dễ dàng hơn. Tuy nhiên, vẫn còn một số điểm chưa rõ ràng trong cách áp dụng.</t>
  </si>
  <si>
    <t>Nhà nước đã công bố chính sách mới một cách minh bạch và khách quan. Các biện pháp cải thiện sẽ được thực hiện một cách công bằng.</t>
  </si>
  <si>
    <t>Mức thuế mới giảm đáng kể so với trước đây, giúp tôi cảm thấy công bằng hơn khi đóng thuế.</t>
  </si>
  <si>
    <t>Thuê đóng vào việc cải thiện dịch vụ công là điều hợp lý. Tôi tin rằng số tiền này sẽ được sử dụng hiệu quả.</t>
  </si>
  <si>
    <t>Nhà nước đã giải thích rõ ràng về mục tiêu và nguyên nhân của chính sách mới. Điều này làm tăng niềm tin vào quyết định quản lý tài chính của họ.</t>
  </si>
  <si>
    <t>Dựa trên các quyền lợi cải thiện, tôi ủng hộ và tuân thủ chính sách mới. Mức thuế giảm đã giúp tôi thấy rõ sự công bằng.</t>
  </si>
  <si>
    <t>Việc giảm trừ gia cảnh tăng lên và đơn giản hóa biểu thuế có thể làm giảm khả năng phát hiện hành vi gian lận hoặc trốn thuế, nhưng vẫn tin tưởng vào cơ quan thuế sẽ quản lý hiệu quả.</t>
  </si>
  <si>
    <t>Ngày nay, công nghệ đã phát triển mạnh mẽ, tôi cho rằng cơ quan thuế có đủ khả năng để giám sát và xử lý nghiêm các hành vi trốn thuế.</t>
  </si>
  <si>
    <t>So với trước đây, quy trình làm việc với cơ quan thuế trở nên đơn giản hơn, nhưng vẫn cần cải thiện.</t>
  </si>
  <si>
    <t>Biểu thuế mới đơn giản và dễ hiểu hơn so với trước đây, giảm bớt sự phức tạp.</t>
  </si>
  <si>
    <t>Tăng mức giảm trừ gia cảnh và số bậc thuế giảm có thể tạo cảm giác công bằng trong việc thực thi chính sách thuế mới.</t>
  </si>
  <si>
    <t>Mức thuế tôi phải đóng là hợp lý cho thu nhập hiện tại của tôi, do đó thấy rằng mức thuế này là công bằng.</t>
  </si>
  <si>
    <t>Thuế mà tôi đóng sẽ được sử dụng hiệu quả để cải thiện dịch vụ công và hạ tầng cơ sở, tạo niềm tin vào việc sử dụng nguồn lực một cách minh bạch.</t>
  </si>
  <si>
    <t>Nhà nước đã giải thích rõ ràng về mục tiêu của việc sửa đổi thuế lần này, tăng sự hiểu biết và hỗ trợ cho người dân trong việc thực thi chính sách mới.</t>
  </si>
  <si>
    <t>Chính sách mới tạo ra lợi ích đáng kể cho tôi với mức thuế giảm đáng kể, do đó tôi ủng hộ và tuân thủ chính sách này.</t>
  </si>
  <si>
    <t>Trong thực tế, cơ quan thuế đã có nhiều biện pháp để phát hiện trốn thuế như kiểm tra tài khoản ngân hàng, so sánh thu nhập với báo cáo thuế. Với mức tăng giảm trừ gia cảnh và số bậc thuế ít hơn, hành vi gian lận sẽ dễ bị phát hiện hơn.</t>
  </si>
  <si>
    <t>Nhà nước đã đầu tư công nghệ để cải thiện quản lý thuế, như hệ thống eTax. Tuy nhiên, hiệu quả thực tế còn phụ thuộc vào việc triển khai và sử dụng của các cơ quan thuế.</t>
  </si>
  <si>
    <t>So với trước đây, quy trình khai thuế và làm việc với cơ quan thuế trở nên đơn giản hơn. Tuy nhiên, vẫn có một số thủ tục cần cải thiện để thuận tiện hơn nữa cho người dân.</t>
  </si>
  <si>
    <t>Biểu thuế mới đơn giản hóa bậc thuế, dễ hiểu và thực hiện hơn so với trước đây. Sự thay đổi này giúp tôi nhanh chóng tính toán được mức thuế phải nộp.</t>
  </si>
  <si>
    <t>Tôi tin rằng cơ quan thuế sẽ thực thi chính sách một cách công bằng, không có sự ưu ái hay phân biệt đối xử.</t>
  </si>
  <si>
    <t>Với mức thuế mới, tôi cảm thấy là công bằng. Thu nhập của tôi thuộc bậc thuế 3 và giảm trừ gia cảnh cao hơn giúp tiết kiệm một khoản tiền đáng kể.</t>
  </si>
  <si>
    <t>Nhà nước đã đầu tư vào nhiều lĩnh vực như y tế, giáo dục và cơ sở hạ tầng. Số tiền thuế tôi đóng sẽ được sử dụng hiệu quả để cải thiện chất lượng cuộc sống.</t>
  </si>
  <si>
    <t>Cơ quan thuế đã giải thích công khai về mục tiêu của việc sửa đổi Luật Thuế TNCN, giúp người dân hiểu rõ hơn về chính sách mới.</t>
  </si>
  <si>
    <t>Tôi ủng hộ và tuân thủ chính sách mới vì nó đơn giản hóa quy trình khai thuế và tiết kiệm được một khoản tiền đáng kể cho tôi. Đồng thời, mức thuế mới là công bằng với thu nhập của tôi.</t>
  </si>
  <si>
    <t>Hiện nay, mặc dù luật thuế đã được cải thiện nhưng tôi vẫn lo ngại về việc phát hiện và xử lý hành vi gian lận hoặc trốn thuế. Cơ quan thuế cần nhiều nguồn lực hơn để thực hiện điều này.</t>
  </si>
  <si>
    <t>Tôi đồng ý rằng công nghệ ngày càng phát triển, nhưng tôi vẫn nghi ngờ khả năng của Nhà nước trong việc phát hiện toàn bộ các hành vi trốn thuế.</t>
  </si>
  <si>
    <t>So với trước đây, quy trình khai báo và làm việc với cơ quan thuế trở nên đơn giản hơn. Tuy nhiên, tôi vẫn thấy có sự phức tạp khi cần phải nắm bắt các quy định mới.</t>
  </si>
  <si>
    <t>Với mức giảm trừ gia cảnh cao hơn và số bậc thuế ít hơn, cách tính thuế trở nên dễ hiểu và thực hiện đơn giản hơn nhiều so với trước đây.</t>
  </si>
  <si>
    <t>Tôi tin rằng Nhà nước sẽ công tâm trong việc thực thi chính sách mới, nhưng lo ngại về khả năng kiểm soát gian lận thuế từ phía người dân.</t>
  </si>
  <si>
    <t>Mức thuế mới giảm đi đáng kể và phù hợp với thu nhập của tôi. Điều này làm tăng niềm tin vào sự công bằng của chính sách thuế.</t>
  </si>
  <si>
    <t>Nhìn chung, số tiền thuế đóng sẽ được sử dụng hiệu quả để cải thiện dịch vụ công, nhưng còn phụ thuộc vào cách thực hiện</t>
  </si>
  <si>
    <t>Tôi đồng ý rằng Nhà nước đã giải thích rõ ràng về mục tiêu và lý do của việc sửa đổi thuế. Tuy nhiên, tôi vẫn muốn có thêm thông tin chi tiết hơn.</t>
  </si>
  <si>
    <t>Dựa trên mức giảm trừ gia cảnh cao và cách tính thuế đơn giản, tôi ủng hộ và tuân thủ chính sách mới hiện tại.</t>
  </si>
  <si>
    <t>Dù các quy định quản lý thuế có thể hiệu quả, nhưng với mức giảm trừ gia cảnh cao và thu nhập thấp, tôi không lo lắng về việc trốn thuế.</t>
  </si>
  <si>
    <t>Cơ quan thuế đã cải thiện công nghệ, nên việc phát hiện gian lận hay trốn thuế sẽ dễ dàng hơn.</t>
  </si>
  <si>
    <t>Quy trình làm việc với cơ quan thuế trở nên đơn giản và nhanh chóng hơn, vì vậy thuận tiện cho người dân.</t>
  </si>
  <si>
    <t>So với trước đây, cách tính thuế mới dễ hiểu hơn, đặc biệt là khi giảm từ 7 bậc xuống còn 5 bậc.</t>
  </si>
  <si>
    <t>Nhà nước đã cải thiện công bằng trong việc đánh thuế thông qua mức giảm trừ gia cảnh cao và số bậc thuế thấp.</t>
  </si>
  <si>
    <t>Đối với thu nhập của tôi, mức thuế mới là hợp lý và công bằng, do đó tôi thấy hài lòng.</t>
  </si>
  <si>
    <t>Tôi tin rằng số tiền thuế đóng sẽ được sử dụng hiệu quả cho dịch vụ công, nhưng không có thông tin cụ thể về việc này.</t>
  </si>
  <si>
    <t>Nhà nước đã giải thích rõ ràng mục tiêu của chính sách mới, giúp tôi hiểu hơn về lý do thay đổi</t>
  </si>
  <si>
    <t>Tổng thể, chính sách thuế mới mang lại lợi ích cho người dân như tôi, nên tôi ủng hộ và tuân thủ.</t>
  </si>
  <si>
    <t>Nhà nước đã tăng cường công nghệ và các quy định quản lý, do đó tôi tin rằng hành vi gian lận sẽ bị phát hiện dễ dàng.</t>
  </si>
  <si>
    <t>Cơ quan thuế có hệ thống công nghệ cao để theo dõi và xử lý các trường hợp trốn thuế.</t>
  </si>
  <si>
    <t>Thủ tục khai báo thuế đơn giản hơn, tôi thấy dễ dàng hơn nhiều so với trước đây.</t>
  </si>
  <si>
    <t>Bậc thuế được đơn giản hóa và giảm bớt từ 7 xuống còn 5 bậc, do đó việc tính toán thuế trở nên dễ dàng hơn.</t>
  </si>
  <si>
    <t>Quy định mới về giảm trừ gia cảnh công bằng đối với cả bản thân tôi lẫn người phụ thuộc của mình.</t>
  </si>
  <si>
    <t>Nhà nước đã cải cách thuế để phù hợp hơn với thu nhập thực tế, do đó mức thuế này là hợp lý.</t>
  </si>
  <si>
    <t>Thuế đóng góp vào việc nâng cao chất lượng dịch vụ công và hạ tầng cơ sở cho cộng đồng.</t>
  </si>
  <si>
    <t>Nhà nước đã giải thích rõ ràng về mục tiêu cải cách thuế, nhưng tôi vẫn mong muốn có thêm thông tin chi tiết hơn.</t>
  </si>
  <si>
    <t>Sau khi tính toán tác động tài chính và thấy rằng mình sẽ tiết kiệm được một khoản tiền đáng kể, tôi ủng hộ và tuân thủ chính sách mới.</t>
  </si>
  <si>
    <t>Nhà nước đã áp dụng nhiều biện pháp quản lý thuế hiện đại, tuy nhiên vẫn còn một số rủi ro về mặt thực thi.</t>
  </si>
  <si>
    <t>Cơ quan thuế có khả năng và công nghệ tốt để phát hiện hành vi trốn thuế, nhưng hiệu quả thực tế phụ thuộc vào sự giám sát chặt chẽ từ nhà nước.</t>
  </si>
  <si>
    <t>Quy trình khai báo thuế đơn giản hơn so với trước đây, thuận tiện cho người dân.</t>
  </si>
  <si>
    <t>Cách tính thuế và các bậc thuế mới dễ hiểu và dễ thực hiện hơn, giảm bớt sự phức tạp.</t>
  </si>
  <si>
    <t>Tôi tin rằng Nhà nước sẽ công bằng trong việc thực thi chính sách thuế, nhưng vẫn có một số lo ngại về mặt thực tế.</t>
  </si>
  <si>
    <t>Thống kê cho thấy mức thuế mới là hợp lý và tôi không thấy bị gánh nặng quá lớn.</t>
  </si>
  <si>
    <t>Tôi tin rằng số tiền thuế đóng sẽ được sử dụng hiệu quả để cải thiện dịch vụ công, nhưng cần thêm thông tin cụ thể về việc này.</t>
  </si>
  <si>
    <t>Nhà nước đã giải thích rõ ràng về mục tiêu của chính sách mới, tôi thấy có sự minh bạch hơn trong quá trình thực hiện.</t>
  </si>
  <si>
    <t>Sau khi xem xét các ưu điểm và lợi ích từ chính sách mới, tôi ủng hộ và sẽ tuân thủ.</t>
  </si>
  <si>
    <t>Công nghệ hiện đại ngày càng phát triển, khả năng phát hiện hành vi gian lận hoặc trốn thuế của cơ quan thuế sẽ cao hơn. Tuy nhiên, vẫn cần sự giám sát chặt chẽ từ người dân để tăng hiệu quả.</t>
  </si>
  <si>
    <t>Nhà nước đã đầu tư vào công nghệ và đào tạo cho nhân viên thuế, do đó khả năng phát hiện và xử lý nghiêm các hành vi trốn thuế sẽ tốt hơn trước đây.</t>
  </si>
  <si>
    <t>Quy trình làm việc với cơ quan thuế đơn giản hơn với việc giảm số bậc thuế, tuy nhiên vẫn cần thời gian để người dân quen thuộc với các quy định mới.</t>
  </si>
  <si>
    <t>Biểu thuế được đơn giản hóa từ 7 bậc xuống còn 5 bậc, do đó dễ hiểu và thực hiện hơn so với trước đây</t>
  </si>
  <si>
    <t>Tôi tin rằng Nhà nước sẽ thực thi chính sách một cách công tâm vì mức thuế mới giảm đáng kể, giúp tôi cảm thấy công bằng hơn.</t>
  </si>
  <si>
    <t>Mức thuế mới phù hợp với thu nhập của tôi, do đó tôi cho rằng nó là công bằng</t>
  </si>
  <si>
    <t>Tôi tin tưởng số tiền thuế đóng sẽ được sử dụng hiệu quả để cải thiện các dịch vụ công, như y tế và đường xá.</t>
  </si>
  <si>
    <t>Nhà nước đã giải thích rõ ràng về mục tiêu của việc sửa đổi chính sách thuế lần này</t>
  </si>
  <si>
    <t>Sau khi xem xét các quyền lợi và nghĩa vụ, tôi ủng hộ và tuân thủ chính sách mới vì nó giúp tôi tiết kiệm được một khoản tiền đáng kể.</t>
  </si>
  <si>
    <t>Dù có thêm giảm trừ gia cảnh, nhưng tôi vẫn nghi ngờ khả năng phát hiện trốn thuế của cơ quan thuế do thiếu nguồn lực và công nghệ, nên điểm đánh giá là 5.</t>
  </si>
  <si>
    <t>Cơ quan thuế có thể đã cải thiện một chút về khả năng quản lý thông qua các quy định mới, nhưng vẫn còn nhiều hạn chế</t>
  </si>
  <si>
    <t>Việc đơn giản hóa biểu thuế và tăng giảm trừ gia cảnh làm cho thủ tục khai báo trở nên dễ dàng hơn, tôi đánh giá là 8.</t>
  </si>
  <si>
    <t>Bậc thuế mới rõ ràng hơn so với trước đây, nhưng việc áp dụng nó vào thực tế có thể còn gặp nhiều khó khăn</t>
  </si>
  <si>
    <t>Tôi tin rằng Nhà nước sẽ cố gắng thực thi công bằng, nhưng do thiếu minh bạch nên tôi chỉ đánh giá là 6.</t>
  </si>
  <si>
    <t>Mức thuế mới đối với thu nhập của tôi có thể hợp lý, nhưng việc giảm trừ gia cảnh không thay đổi nhiều</t>
  </si>
  <si>
    <t>Tôi tin rằng số tiền thuế đóng sẽ được sử dụng hiệu quả cho dịch vụ công, tuy nhiên do sự đa nghi nên điểm đánh giá là 6.</t>
  </si>
  <si>
    <t>Cơ quan thuế đã giải thích rõ ràng về việc cải cách, nhưng tôi vẫn có nghi vấn về mức độ thực thi</t>
  </si>
  <si>
    <t>Dù thuế giảm và thủ tục đơn giản hơn, nhưng tôi vẫn giữ thái độ cân nhắc trước khi ủng hộ hoàn toàn do sự đa nghi</t>
  </si>
  <si>
    <t>Tôi cho rằng với mức giảm trừ gia cảnh cao, việc phát hiện hành vi trốn thuế sẽ khó khăn hơn. Tuy nhiên, cơ quan thuế vẫn có thể giám sát thông qua các hệ thống và công nghệ tiên tiến.</t>
  </si>
  <si>
    <t>Nhà nước đã đầu tư nhiều vào công nghệ để cải thiện khả năng quản lý thuế, do đó tôi tin rằng họ sẽ phát hiện và xử lý nghiêm các hành vi trốn thuế.</t>
  </si>
  <si>
    <t>Quy trình làm việc với cơ quan thuế đã trở nên đơn giản hơn, nhưng vẫn cần thêm thời gian để người dân thích nghi với quy trình mới.</t>
  </si>
  <si>
    <t>Bậc thuế mới đơn giản hóa quá trình tính thuế, điều này giúp việc thực hiện dễ dàng và nhanh chóng hơn so với trước đây.</t>
  </si>
  <si>
    <t>Tôi tin rằng cơ quan thuế sẽ thực thi chính sách một cách công bằng, nhưng vẫn cần thêm thông tin về quy trình quản lý để tăng niềm tin.</t>
  </si>
  <si>
    <t>Nhờ mức giảm trừ gia cảnh cao và thu nhập thấp, tôi không phải đóng thuế nên cảm thấy phương án mới là công bằng.</t>
  </si>
  <si>
    <t>Thuế được sử dụng để cải thiện các dịch vụ công như y tế và giao thông, điều này làm tăng niềm tin vào sự hiệu quả của việc đóng thuế.</t>
  </si>
  <si>
    <t>Tôi thấy rằng Nhà nước đã giải thích rõ ràng về mục tiêu của chính sách mới, nhưng vẫn mong muốn có thêm thông tin chi tiết.</t>
  </si>
  <si>
    <t>Dù thủ tục và quy định thuế đã được đơn giản hóa, tôi ủng hộ và tuân thủ chính sách mới vì nó công bằng với thu nhập của tôi.</t>
  </si>
  <si>
    <t>Nhà nước đã tăng mức giảm trừ gia cảnh và đơn giản hóa biểu thuế, nên việc phát hiện hành vi trốn thuế sẽ trở nên khó khăn hơn. Tuy nhiên, tôi vẫn tin rằng cơ quan thuế có đủ khả năng quản lý.</t>
  </si>
  <si>
    <t>Với sự cải tiến về mức giảm trừ gia cảnh và đơn giản hóa biểu thuế, việc phát hiện trốn thuế sẽ khó khăn hơn. Tôi tin rằng cơ quan thuế sẽ tiếp tục nâng cao công nghệ để giám sát hiệu quả.</t>
  </si>
  <si>
    <t>Thủ tục khai báo và làm việc với cơ quan thuế trở nên đơn giản hơn, nhưng vẫn cần thời gian thích nghi. Cách tính thuế mới dễ hiểu hơn so với trước đây</t>
  </si>
  <si>
    <t>Các bậc thuế mới đơn giản, dễ hiểu và thực hiện thuận lợi hơn nhiều so với trước đây.</t>
  </si>
  <si>
    <t>Tôi tin rằng Nhà nước sẽ thực thi chính sách một cách khách quan. Mức giảm trừ gia cảnh cao hơn giúp tôi không phải đóng thuế, tạo cảm giác công bằng.</t>
  </si>
  <si>
    <t>Mức thuế mới phù hợp với thu nhập của tôi và mức giảm trừ gia cảnh cao nên tôi thấy nó là công bằng. Đây là điều kiện để tôi ủng hộ chính sách này.</t>
  </si>
  <si>
    <t>Thuế tôi đóng sẽ được sử dụng hiệu quả vào các dịch vụ công, tạo niềm tin rằng việc đóng thuế có ích cho cộng đồng.</t>
  </si>
  <si>
    <t>Chính phủ đã giải thích rõ ràng về mục tiêu của chính sách mới. Tuy nhiên, tôi vẫn mong muốn có thêm thông tin chi tiết về cách sử dụng số tiền thuế này.</t>
  </si>
  <si>
    <t>Tôi ủng hộ và tuân thủ chính sách mới vì nó giúp giảm gánh nặng tài chính và tạo cảm giác công bằng hơn. Tôi sẽ tiếp tục đóng góp cho xã hội thông qua việc đóng thuế.</t>
  </si>
  <si>
    <t>Thuế mới đã đơn giản hóa và giảm trừ gia cảnh cao hơn, không có thêm rủi ro gian lận.</t>
  </si>
  <si>
    <t>Cơ quan thuế có công nghệ hiện đại để theo dõi thuế nhưng không rõ họ thực sự làm được gì.</t>
  </si>
  <si>
    <t>Thủ tục đơn giản hơn, dễ dàng truy cập thông tin thuế qua Internet.</t>
  </si>
  <si>
    <t>Bậc thuế ít và rõ ràng hơn nên dễ tính toán hơn so với trước đây.</t>
  </si>
  <si>
    <t>Nhà nước đã công bố minh bạch về chính sách mới, mặc dù vẫn có sự nghi ngờ.</t>
  </si>
  <si>
    <t>Thuế ít hơn và giảm trừ gia cảnh cao hơn nên tôi thấy mình đóng mức thuế hợp lý</t>
  </si>
  <si>
    <t>Tài nguyên thuế được sử dụng cho các dịch vụ công, nhưng không biết hiệu quả thực tế.</t>
  </si>
  <si>
    <t>Nhà nước đã giải thích rõ ràng về mục tiêu của chính sách mới</t>
  </si>
  <si>
    <t>Chính sách mới phù hợp với tình hình hiện tại, tôi sẽ tuân thủ.</t>
  </si>
  <si>
    <t>Dù không phải đóng thuế nhưng các quy định quản lý thuế hiện tại vẫn cần cải thiện để phát hiện trốn thuế hiệu quả hơn.</t>
  </si>
  <si>
    <t>Cơ quan thuế có công nghệ và khả năng kiểm soát tốt, tuy nhiên việc xử lý nghiêm vẫn còn phụ thuộc vào thực thi.</t>
  </si>
  <si>
    <t>Thủ tục khai báo thuế đơn giản hơn trước nhưng vẫn cần thêm thời gian để quen với quy trình mới.</t>
  </si>
  <si>
    <t>Cách tính thuế và các bậc thuế rõ ràng hơn, dễ dàng áp dụng</t>
  </si>
  <si>
    <t>Tôi tin tưởng cơ quan thuế sẽ thực thi chính sách công bằng nhưng vẫn có lo ngại về sự khách quan.</t>
  </si>
  <si>
    <t>Mức giảm trừ gia cảnh cao giúp tôi không phải đóng thuế, cảm thấy mức thuế này là hợp lý</t>
  </si>
  <si>
    <t>Thuê được sử dụng hiệu quả cho dịch vụ công nhưng vẫn có lo ngại về việc chi tiêu.</t>
  </si>
  <si>
    <t>Nhà nước đã giải thích rõ ràng mục đích của chính sách mới, tôi ủng hộ</t>
  </si>
  <si>
    <t>Chính sách mới giúp giảm gánh nặng thuế nên tôi đồng ý và tuân thủ.</t>
  </si>
  <si>
    <t>Hiện nay, các quy định quản lý thuế không có nhiều thông tin cụ thể về khả năng phát hiện gian lận hoặc trốn thuế. Cơ chế giám sát và xử lý vẫn còn hạn chế.</t>
  </si>
  <si>
    <t>Nhà nước đã đầu tư công nghệ trong quản lý thuế nhưng khả năng phát hiện và xử lý trốn thuế phụ thuộc vào nhiều yếu tố, chưa thể đánh giá cao.</t>
  </si>
  <si>
    <t>Các thủ tục khai báo thuế trở nên đơn giản hơn so với trước đây. Tuy nhiên, quy trình làm việc với cơ quan thuế vẫn còn một số rào cản về thời gian và công đoạn.</t>
  </si>
  <si>
    <t>Cách tính thuế mới đơn giản hóa mức bậc và ngưỡng chịu thuế, dễ hiểu hơn. Tuy nhiên, việc áp dụng các quy định cụ thể vẫn cần thêm thời gian để người dân nắm bắt.</t>
  </si>
  <si>
    <t>Tôi tin Nhà nước sẽ thực thi chính sách một cách công bằng nhưng cần thêm thông tin rõ ràng về cách thực hiện.</t>
  </si>
  <si>
    <t>Thuế mới giảm đáng kể, tạo cảm giác công bằng hơn. Tuy nhiên, mức thuế vẫn cao so với thu nhập của tôi và nhiều người cùng ngành nghề.</t>
  </si>
  <si>
    <t>Đồng ý với việc sử dụng số tiền thuế để cải thiện dịch vụ công nhưng cần thêm minh bạch về cách sử dụng.</t>
  </si>
  <si>
    <t>Nhà nước đã giải thích rõ ràng về mục tiêu của chính sách mới, nhưng cần tăng cường thông tin và hỗ trợ cho người dân trong quá trình áp dụng.</t>
  </si>
  <si>
    <t>Dù thuế giảm đáng kể nhưng tôi vẫn ủng hộ và tuân thủ chính sách mới vì lợi ích chung. Tuy nhiên, cần cải thiện thêm để tạo niềm tin từ phía người dân.</t>
  </si>
  <si>
    <t>Dù quy định quản lý thuế hiện nay vẫn chưa hoàn hảo, nhưng mức giảm trừ gia cảnh cao đã khiến tôi không phải đóng thuế. Điều này làm giảm nguy cơ trốn thuế của tôi.</t>
  </si>
  <si>
    <t>Nhà nước và cơ quan thuế có thể sẽ cải thiện công nghệ để phát hiện gian lận, nhưng chưa chắc đã đủ hiệu quả với mức thuế không còn cao như trước đây.</t>
  </si>
  <si>
    <t>Quy trình khai báo thuế và làm việc với cơ quan thuế trở nên đơn giản hơn, đặc biệt là khi giảm trừ gia cảnh tăng lên. Điều này giúp thuận tiện cho người dân.</t>
  </si>
  <si>
    <t>Biểu thuế mới có ít bậc hơn nhưng vẫn giữ nguyên mức thuế suất, điều này làm việc tính toán và thực hiện đơn giản hơn.</t>
  </si>
  <si>
    <t>Tôi tin rằng Nhà nước sẽ xử lý công bằng đối với mọi người nộp thuế, đặc biệt khi tôi không phải đóng thuế.</t>
  </si>
  <si>
    <t>Mức giảm trừ gia cảnh cao và không còn phải đóng thuế khiến tôi cảm thấy mức thuế mới là hợp lý.</t>
  </si>
  <si>
    <t>Thuế của tôi được sử dụng vào các dịch vụ công như y tế, giáo dục, giúp cải thiện đời sống xã hội, làm tăng niềm tin của tôi.</t>
  </si>
  <si>
    <t>Nhà nước đã giải thích rõ ràng về chính sách mới và mục tiêu của nó, điều này làm tăng sự minh bạch cho người dân.</t>
  </si>
  <si>
    <t>Sau khi xem xét, tôi ủng hộ và tuân thủ chính sách mới do lợi ích tài chính và giảm phức tạp trong khai báo thuế.</t>
  </si>
  <si>
    <t>Dù không phải đóng thuế, nhưng sự đơn giản hóa và tăng giảm trừ gia cảnh khiến tôi có ít cơ hội bị phát hiện hơn.</t>
  </si>
  <si>
    <t>Cơ quan thuế đã cải thiện đáng kể hệ thống quản lý, tuy nhiên vẫn lo ngại về khả năng phát hiện gian lận hiệu quả.</t>
  </si>
  <si>
    <t>Quy trình khai báo và làm việc với cơ quan thuế trở nên đơn giản hơn rất nhiều, tiết kiệm thời gian đáng kể.</t>
  </si>
  <si>
    <t>Biểu thuế mới rõ ràng hơn và dễ hiểu, số bậc thuế giảm đã giúp tính toán thuận lợi hơn.</t>
  </si>
  <si>
    <t>Niềm tin vào sự công bằng của chính sách được tăng lên đáng kể nhờ mức giảm trừ gia cảnh cao hơn.</t>
  </si>
  <si>
    <t>Mức thuế mới phù hợp với thu nhập của tôi, cho thấy sự công bằng trong cách đánh giá mức đóng thuế.</t>
  </si>
  <si>
    <t>Thuế đóng góp vào các dịch vụ công quan trọng như y tế và hạ tầng giao thông, làm tăng niềm tin về hiệu quả sử dụng nguồn lực.</t>
  </si>
  <si>
    <t>Nhà nước đã giải thích rõ mục tiêu của việc cải cách thuế, tuy nhiên vẫn có sự lo ngại về khả năng thực thi.</t>
  </si>
  <si>
    <t>Sau khi xem xét các quyền lợi và nghĩa vụ mới, tôi ủng hộ chính sách này vì nó mang lại nhiều tiện ích hơn cho người dân.</t>
  </si>
  <si>
    <t>Do mức giảm trừ gia cảnh đã tăng đáng kể, tôi tin rằng việc phát hiện và xử lý trốn thuế sẽ trở nên khó khăn hơn.</t>
  </si>
  <si>
    <t>Cơ quan thuế có thể chưa đủ công nghệ để theo dõi toàn diện các giao dịch tài chính cá nhân, do đó khả năng phát hiện trốn thuế không chắc chắn.</t>
  </si>
  <si>
    <t>Quy trình khai báo thuế và làm việc với cơ quan thuế đã đơn giản hơn so với trước đây, vì vậy tôi thấy các thủ tục tiện lợi hơn.</t>
  </si>
  <si>
    <t>Bậc thuế mới đơn giản hơn và dễ hiểu, do đó cách tính thuế cũng trở nên dễ dàng thực hiện hơn.</t>
  </si>
  <si>
    <t>Nhà nước đã tăng giảm trừ gia cảnh đáng kể, tôi tin rằng việc thực thi chính sách sẽ công bằng đối với mọi người nộp thuế.</t>
  </si>
  <si>
    <t>Lý do và mục tiêu của cải cách thuế được giải thích rõ ràng, và mức thuế mới phù hợp với thu nhập của tôi.</t>
  </si>
  <si>
    <t>Mức thuế giảm đáng kể, do đó số tiền thuế đóng sẽ được sử dụng hiệu quả cho các dịch vụ công.</t>
  </si>
  <si>
    <t>Nhà nước đã giải thích rõ ràng về mục tiêu và lý do của cải cách thuế, khiến tôi cảm thấy tin tưởng hơn.</t>
  </si>
  <si>
    <t>Do mức giảm trừ gia cảnh tăng cao và không phải đóng thuế, tôi ủng hộ và tuân thủ chính sách mới.</t>
  </si>
  <si>
    <t>Dù không phải đóng thuế, nhưng với mức giảm trừ gia cảnh cao hơn và các quy định quản lý thuế hiện đại, tôi tin rằng hành vi gian lận hoặc trốn thuế sẽ khó xảy ra.</t>
  </si>
  <si>
    <t>Cơ quan thuế có khả năng sử dụng công nghệ để phát hiện các hành vi bất thường về thuế. Tuy nhiên, vẫn cần sự phối hợp tốt giữa cơ quan quản lý và người dân.</t>
  </si>
  <si>
    <t>Trình tự khai báo và làm việc với cơ quan thuế đã đơn giản hơn, nhưng tôi vẫn thấy có thể cải thiện thêm về mặt giao tiếp trực tuyến.</t>
  </si>
  <si>
    <t>Các bậc thuế mới dễ hiểu hơn so với trước đây. Tuy nhiên, việc áp dụng mức thuế cụ thể cho từng tình huống đôi khi vẫn còn phức tạp.</t>
  </si>
  <si>
    <t>Tôi tin rằng cơ quan thuế sẽ thực thi chính sách một cách công bằng và khách quan. Mức thuế mới phù hợp với thu nhập của tôi.</t>
  </si>
  <si>
    <t>Mức giảm trừ gia cảnh cao giúp giảm đáng kể số tiền thuế phải đóng, do đó tôi thấy mức thuế này là công bằng cho thu nhập của mình.</t>
  </si>
  <si>
    <t>Thuế tôi đóng sẽ được sử dụng hiệu quả để cải thiện các dịch vụ công. Điều này tạo niềm tin rằng việc đóng thuế có ích cho cộng đồng.</t>
  </si>
  <si>
    <t>Những giải thích về chính sách mới khá rõ ràng, nhưng đôi khi thông tin còn cần được cập nhật thường xuyên hơn để người dân dễ dàng nắm bắt.</t>
  </si>
  <si>
    <t>Tôi ủng hộ và tuân thủ chính sách mới vì mức thuế giảm đáng kể và các quy định đơn giản hơn. Việc này không chỉ tốt cho tôi mà còn tạo ra một môi trường kinh doanh công bằng.</t>
  </si>
  <si>
    <t>Hiện nay, mặc dù công nghệ phát triển nhưng tôi vẫn lo ngại về khả năng của Nhà nước trong việc quản lý và xử phạt thuế. Việc gian lận không hoàn toàn bị phát hiện.</t>
  </si>
  <si>
    <t>Khả năng của cơ quan thuế được cải thiện với công nghệ mới, tuy nhiên vẫn cần thời gian để thực sự hiệu quả.</t>
  </si>
  <si>
    <t>Việc giảm trừ gia cảnh và bậc thuế đơn giản hơn đã giúp quy trình khai báo trở nên dễ dàng hơn.</t>
  </si>
  <si>
    <t>Các bước tính toán thuế mới đơn giản, nhưng vẫn cần thời gian để thích ứng với các thay đổi.</t>
  </si>
  <si>
    <t>Tôi tin rằng cơ quan thuế sẽ công bằng trong việc thực thi, mặc dù tôi không hoàn toàn chắc chắn.</t>
  </si>
  <si>
    <t>Mức thuế mới phù hợp với thu nhập của tôi và những người có cùng mức độ phụ thuộc, cảm thấy công bằng.</t>
  </si>
  <si>
    <t>Tôi tin rằng số tiền đóng thuế sẽ được sử dụng hiệu quả cho các dịch vụ công ích.</t>
  </si>
  <si>
    <t>Có sự giải thích rõ ràng về mục tiêu của chính sách mới, nhưng vẫn cần thêm thông tin về cách thực hiện.</t>
  </si>
  <si>
    <t>Chính sách thuế mới mang lại nhiều lợi ích cho tôi và gia đình nên tôi ủng hộ và tuân thủ.</t>
  </si>
  <si>
    <t>Do mức giảm trừ gia cảnh đã tăng đáng kể và không còn phải đóng thuế, nên hành vi gian lận hoặc trốn thuế sẽ khó xảy ra. Tuy nhiên, vẫn cần cải thiện hơn nữa về khả năng phát hiện của cơ quan thuế.</t>
  </si>
  <si>
    <t>Cơ quan thuế có đủ nguồn lực công nghệ và nhân sự để xử lý các trường hợp trốn thuế hiệu quả. Tuy nhiên, cần tăng cường hơn nữa về việc phổ biến thông tin cho người dân.</t>
  </si>
  <si>
    <t>Quy trình khai báo thuế đã đơn giản hơn so với trước đây. Người dân có thể sử dụng phần mềm để tự tính thuế và nộp thuế trực tuyến, tiết kiệm thời gian.</t>
  </si>
  <si>
    <t>Biểu thuế mới có ít bậc hơn, dễ hiểu và thực hiện thuận tiện hơn so với trước đây. Tuy nhiên, cần thêm hướng dẫn cụ thể để người dân nắm bắt.</t>
  </si>
  <si>
    <t>Tôi tin rằng cơ quan thuế sẽ công bằng trong việc áp dụng chính sách mới. Mức giảm trừ gia cảnh cao giúp tôi không phải đóng thuế, tạo niềm tin.</t>
  </si>
  <si>
    <t>Mức thuế không còn nhiều so với trước đây do giảm trừ gia cảnh cao, cảm thấy công bằng và phù hợp với thu nhập hiện tại.</t>
  </si>
  <si>
    <t>Thuế đóng góp vào việc cải thiện dịch vụ công như y tế, giáo dục, hạ tầng. Tôi tin rằng số tiền thuế của tôi sẽ được sử dụng hiệu quả.</t>
  </si>
  <si>
    <t>Nhà nước đã giải thích rõ ràng về mục tiêu và lý do sửa đổi luật thuế lần này. Tuy nhiên, cần tiếp tục cải thiện việc truyền thông để mọi người hiểu hơn.</t>
  </si>
  <si>
    <t>Sau khi xem xét các quyền lợi và nghĩa vụ, tôi ủng hộ và sẽ tuân thủ chính sách mới. Mức thuế thấp hơn giúp giảm gánh nặng tài chính cho gia đình.</t>
  </si>
  <si>
    <t>Thuế hiện nay có nhiều biện pháp quản lý và công nghệ phát triển, nhưng vẫn còn khó kiểm soát gian lận trốn thuế.</t>
  </si>
  <si>
    <t>Cơ quan thuế đã tăng cường các biện pháp giám sát, tuy nhiên, việc xử lý triệt để các trường hợp trốn thuế chưa hoàn toàn hiệu quả.</t>
  </si>
  <si>
    <t>Thủ tục khai báo và làm việc với cơ quan thuế đơn giản hơn trước do giảm bậc thuế, nhưng vẫn còn một số rắc rối cần cải thiện.</t>
  </si>
  <si>
    <t>Cách tính thuế mới đơn giản hóa nhiều so với trước đây, thuận tiện cho người dân trong việc làm thủ tục.</t>
  </si>
  <si>
    <t>Tôi tin rằng Nhà nước sẽ thực thi chính sách công bằng và khách quan đối với mọi người nộp thuế, mặc dù vẫn có sự nghi ngờ về tính minh bạch.</t>
  </si>
  <si>
    <t>Mức thuế mới được giảm đi đáng kể so với trước đây, thể hiện một mức độ công bằng và phù hợp hơn với thu nhập thực tế của tôi.</t>
  </si>
  <si>
    <t>Thuốc đóng góp vào các dịch vụ công là cần thiết, tuy nhiên, việc sử dụng hiệu quả số tiền này vẫn chưa hoàn toàn rõ ràng cho người dân.</t>
  </si>
  <si>
    <t>Nhà nước đã giải thích về mục tiêu cải cách thuế một cách rõ ràng, nhưng vẫn có chỗ cần thêm thông tin cho người dân hiểu hơn.</t>
  </si>
  <si>
    <t>Tôi ủng hộ chính sách mới vì nó giảm gánh nặng tài chính và đơn giản hóa quy trình khai báo thuế, đồng thời tôi sẽ tuân thủ</t>
  </si>
  <si>
    <t>Việc đơn giản hóa thuế có thể giảm cơ hội phát hiện sai sót, nhưng với công nghệ ngày nay, khả năng giám sát và xử lý vẫn cao.</t>
  </si>
  <si>
    <t>Nhà nước đã đầu tư vào hệ thống quản lý thuế hiện đại, tuy nhiên mức độ hiệu quả cần thời gian để chứng minh.</t>
  </si>
  <si>
    <t>Thủ tục khai báo trở nên đơn giản hơn nhưng vẫn còn nhiều bước phức tạp do quy trình quản lý thuế.</t>
  </si>
  <si>
    <t>Bậc thuế giảm từ 7 xuống 5, dễ hiểu và thực hiện hơn, nhưng việc tính toán vẫn cần thời gian để quen thuộc.</t>
  </si>
  <si>
    <t>Việc tăng mức giảm trừ gia cảnh và đơn giản hóa thuế có thể mang lại cảm giác công bằng cho người nộp thuế.</t>
  </si>
  <si>
    <t>Thuế mới được tính dựa trên thu nhập thực tế, phù hợp với tình hình của tôi, tạo sự công bằng.</t>
  </si>
  <si>
    <t>Thuế đóng góp vào cải thiện dịch vụ công, nhưng cần thời gian để đánh giá hiệu quả sử dụng ngân sách.</t>
  </si>
  <si>
    <t>Nhà nước đã cung cấp thông tin rõ ràng về chính sách mới, giúp người dân hiểu và tuân thủ.</t>
  </si>
  <si>
    <t>Chính sách mới mang lại lợi ích tài chính và giảm độ phức tạp, do đó tôi ủng hộ và sẽ tuân thủ.</t>
  </si>
  <si>
    <t>Tôi cho rằng với mức giảm trừ gia cảnh tăng lên, việc phát hiện hành vi gian lận hoặc trốn thuế sẽ trở nên khó khăn hơn. Tuy nhiên, tôi vẫn tin tưởng vào khả năng của cơ quan thuế trong việc quản lý và xử lý nghiêm túc.</t>
  </si>
  <si>
    <t>Ngành thuế Việt Nam đã từng chứng minh được sự chuyên nghiệp và hiệu quả trong công tác quản lý thuế, do đó tôi tin rằng họ sẽ có đủ khả năng để phát hiện và xử lý nghiêm các hành vi trốn thuế.</t>
  </si>
  <si>
    <t>Các quy định về thuế đã đơn giản hơn nhiều so với trước đây, thủ tục khai báo cũng trở nên dễ dàng hơn, do đó tôi thấy sự thuận tiện trong việc làm việc với cơ quan thuế.</t>
  </si>
  <si>
    <t>Thay đổi cấu trúc bậc thuế và mức giảm trừ gia cảnh đã khiến quá trình tính thuế trở nên đơn giản hơn nhiều so với trước đây, do đó tôi đánh giá cao sự cải thiện này.</t>
  </si>
  <si>
    <t>Tôi tin rằng cơ quan thuế sẽ thực thi chính sách một cách công bằng và khách quan. Sự thay đổi trong cấu trúc bậc thuế có thể giúp người dân hiểu rõ hơn về việc đóng thuế của mình.</t>
  </si>
  <si>
    <t>Mức thuế mới mà tôi phải đóng hợp lý đối với thu nhập của gia đình tôi. Mức giảm trừ gia cảnh tăng lên cũng đã giúp giảm gánh nặng tài chính cho gia đình.</t>
  </si>
  <si>
    <t>Tôi tin rằng số tiền thuế tôi đóng sẽ được sử dụng hiệu quả để cải thiện các dịch vụ công, như y tế và đường xá. Đây là lý do tôi cảm thấy ủng hộ việc thực hiện chính sách mới.</t>
  </si>
  <si>
    <t>Nhà nước đã có những giải thích rõ ràng về mục tiêu của việc sửa đổi thuế lần này, mặc dù vậy, vẫn cần thêm thông tin chi tiết để tôi cảm thấy hài lòng hơn.</t>
  </si>
  <si>
    <t>Tôi ủng hộ chính sách mới vì nó mang lại lợi ích tài chính cho gia đình tôi và tạo ra một môi trường thuế đơn giản hơn. Tôi sẽ tuân thủ các quy định mới.</t>
  </si>
  <si>
    <t>Việc giảm trừ gia cảnh tăng lên và đơn giản hóa biểu thuế có thể làm giảm động cơ trốn thuế, tuy nhiên, khả năng phát hiện và xử lý vẫn phụ thuộc vào hiệu suất của các cơ quan chức năng.</t>
  </si>
  <si>
    <t>Công nghệ ngày càng tiên tiến nên khả năng theo dõi và quản lý thuế cũng được cải thiện đáng kể, tuy nhiên, vấn đề về nhân lực vẫn cần được giải quyết để đảm bảo hiệu quả.</t>
  </si>
  <si>
    <t>Quy trình khai báo thuế và làm việc với cơ quan thuế trở nên đơn giản hơn so với trước đây, giúp người dân dễ dàng nắm bắt và thực hiện.</t>
  </si>
  <si>
    <t>Biểu thuế mới có ít bậc hơn và rõ ràng hơn so với trước, do đó việc tính toán và áp dụng thuế trở nên đơn giản và dễ hiểu hơn.</t>
  </si>
  <si>
    <t>Việc giảm trừ gia cảnh tăng lên và mức thuế mới được thiết kế để phù hợp với thu nhập của tôi, tạo cảm giác công bằng trong việc thực thi chính sách thuế.</t>
  </si>
  <si>
    <t>Lưu ý về mức thuế mới cho thấy Nhà nước đã cân nhắc kỹ lưỡng để đảm bảo sự công bằng và phù hợp với thu nhập của người dân.</t>
  </si>
  <si>
    <t>Những cải tiến trong chính sách thuế sẽ giúp nâng cao chất lượng dịch vụ công, từ đó tạo ra một môi trường sống tốt hơn cho người dân như tôi.</t>
  </si>
  <si>
    <t>Cơ quan thuế đã giải thích rõ ràng về mục tiêu và lý do của việc cải cách thuế, điều này làm tăng niềm tin vào quyết định này.</t>
  </si>
  <si>
    <t>Sau khi xem xét các quyền lợi và nghĩa vụ theo chính sách mới, tôi ủng hộ nó vì nó tạo ra một hệ thống thuế công bằng và đơn giản hơn.</t>
  </si>
  <si>
    <t>Dù không hoàn toàn tin tưởng, nhưng với sự tăng cường quản lý và công nghệ hiện đại của cơ quan thuế, tôi cho rằng hành vi gian lận hoặc trốn thuế sẽ ít xảy ra.</t>
  </si>
  <si>
    <t>Nhà nước đã đầu tư vào hệ thống công nghệ thông tin nên khả năng phát hiện và xử lý các hành vi trốn thuế được cải thiện đáng kể.</t>
  </si>
  <si>
    <t>Quy trình khai báo thuế và giao tiếp với cơ quan thuế trở nên đơn giản hơn, tuy nhiên vẫn cần thời gian để quen thuộc.</t>
  </si>
  <si>
    <t>Biểu thuế mới đơn giản hóa quy trình tính toán, dễ hiểu và thực hiện hơn so với trước đây, giúp người dân thuận tiện trong việc nộp thuế.</t>
  </si>
  <si>
    <t>Tôi tin rằng cơ quan thuế sẽ công bằng khi áp dụng chính sách mới, nhưng vẫn cần thời gian để làm rõ quy trình và đảm bảo tính minh bạch.</t>
  </si>
  <si>
    <t>Mức thuế mới phù hợp với thu nhập của tôi, giúp tiết kiệm được một khoản tiền đáng kể, do đó cảm thấy công bằng hơn.</t>
  </si>
  <si>
    <t>Tôi tin rằng số tiền thuế đóng sẽ được sử dụng hiệu quả để cải thiện các dịch vụ công, nhưng cần thời gian để xem xét thực tế.</t>
  </si>
  <si>
    <t>Cơ quan thuế đã giải thích rõ ràng về mục tiêu của việc sửa đổi thuế, mặc dù vẫn còn nhiều điều mà tôi muốn biết thêm.</t>
  </si>
  <si>
    <t>Tổng hợp các yếu tố trên, tôi ủng hộ và tuân thủ chính sách mới vì nó mang lại lợi ích thực tế cho bản thân tôi và cộng đồng.</t>
  </si>
  <si>
    <t>Hiện nay, các quy định quản lý thuế đã được cải thiện đáng kể. Tuy nhiên, vẫn còn khả năng gian lận hoặc trốn thuế nếu người nộp thuế có thông tin cá nhân nhạy cảm hoặc sử dụng công nghệ tiên tiến.</t>
  </si>
  <si>
    <t>Nhà nước đã đầu tư vào công nghệ và nguồn lực để phát hiện và xử lý các hành vi trốn thuế, nhưng hiệu quả thực tế còn phụ thuộc vào việc triển khai và giám sát.</t>
  </si>
  <si>
    <t>So với trước đây, quy trình khai báo thuế đơn giản hơn. Tuy nhiên, vẫn cần thời gian để người dân quen thuộc với hệ thống mới.</t>
  </si>
  <si>
    <t>Biểu thuế mới đơn giản hóa bậc thuế và cách tính thuế, dễ hiểu và thực hiện hơn so với trước đây. Điều này giúp giảm bớt sự phức tạp cho người nộp thuế.</t>
  </si>
  <si>
    <t>Tôi tin rằng Nhà nước sẽ thực thi chính sách mới một cách công bằng, nhưng vẫn cần giám sát chặt chẽ để đảm bảo không có bất lợi cho người dân.</t>
  </si>
  <si>
    <t>Mức thuế mới được giảm đáng kể, phù hợp với thu nhập của tôi. Điều này làm tăng cảm giác công bằng trong việc đóng góp vào kinh tế.</t>
  </si>
  <si>
    <t>Tôi tin rằng số tiền thuế đóng sẽ được sử dụng hiệu quả để cải thiện dịch vụ công, nhưng vẫn cần nhìn nhận thực tế về cách thức quản lý ngân sách nhà nước.</t>
  </si>
  <si>
    <t>Nhà nước đã giải thích rõ ràng về mục tiêu của việc sửa đổi thuế. Tuy nhiên, tôi mong rằng sẽ có thêm thông tin chi tiết để hiểu rõ hơn về tác động cụ thể đến từng người dân.</t>
  </si>
  <si>
    <t>Tôi ủng hộ chính sách mới do nó giảm gánh nặng tài chính và đơn giản hóa quy trình khai báo thuế. Điều này giúp tôi tập trung vào công việc của mình hơn.</t>
  </si>
  <si>
    <t>Thuế TNCN có nhiều quy định phức tạp, và việc thực thi hiện nay chưa hoàn toàn chặt chẽ. Mặc dù vậy, với mức thuế giảm đáng kể, tôi thấy mình ít cơ hội trốn thuế hơn trước.</t>
  </si>
  <si>
    <t>Nhà nước đã có những cải tiến công nghệ và nguồn lực để phát hiện hành vi trốn thuế. Tuy nhiên, việc thực thi vẫn còn nhiều khó khăn.</t>
  </si>
  <si>
    <t>So với trước đây, quy trình khai báo và làm việc với cơ quan thuế đơn giản hơn rất nhiều, đặc biệt là về mặt tính toán thuế.</t>
  </si>
  <si>
    <t>Biểu thuế mới đơn giản hóa bậc thuế từ 7 xuống còn 5, dễ hiểu và thực hiện dễ dàng hơn so với trước đây.</t>
  </si>
  <si>
    <t>Tôi tin rằng Nhà nước sẽ thực thi chính sách một cách công tâm, nhưng vẫn có những lo ngại về việc kiểm soát hiệu quả.</t>
  </si>
  <si>
    <t>Thuế của tôi đã giảm đáng kể, và mức thuế mới là hợp lý với thu nhập hiện tại. Điều này mang lại cảm giác công bằng.</t>
  </si>
  <si>
    <t>Tài sản thuế giảm có thể được sử dụng hiệu quả hơn để cải thiện các dịch vụ công, nhưng vẫn cần giám sát chặt chẽ.</t>
  </si>
  <si>
    <t>Nhà nước đã giải thích rõ ràng về mục tiêu và lý do của việc sửa đổi thuế, mặc dù một số chi tiết chưa được đề cập đầy đủ.</t>
  </si>
  <si>
    <t>Sau khi xem xét các quyền lợi mới, tôi ủng hộ chính sách này. Thuế giảm đáng kể đã tăng cường niềm tin của tôi vào việc thực thi thuế.</t>
  </si>
  <si>
    <t>Với mức giảm trừ gia cảnh cao hơn, tôi nghĩ hành vi gian lận sẽ bị phát hiện khó khăn hơn. Tuy nhiên, công nghệ hiện đại có thể giúp việc này dễ dàng hơn.</t>
  </si>
  <si>
    <t>Như đã nêu trong phần tác động tài chính, tôi không phải đóng thuế nên không quan tâm đến khả năng phát hiện trốn thuế của cơ quan thuế.</t>
  </si>
  <si>
    <t>Các quy định về giảm trừ gia cảnh rõ ràng hơn và số bậc thuế ít đi, làm thủ tục khai báo đơn giản hơn. Điều này đã cải thiện đáng kể thuận tiện cho người dân.</t>
  </si>
  <si>
    <t>Biểu thuế mới được đơn giản hóa thành 5 bậc thay vì 7, dễ hiểu và thực hiện nhanh chóng hơn so với trước đây.</t>
  </si>
  <si>
    <t>Nhà nước đã tăng giảm trừ gia cảnh và đơn giản hóa biểu thuế, tôi tin rằng họ đang cố gắng đối xử công bằng với tất cả các cá nhân nộp thuế.</t>
  </si>
  <si>
    <t>Với mức thu nhập của mình, số tiền thuế không đáng kể nên tôi thấy điều này là hợp lý. Tuy nhiên, việc cải cách còn phải được đánh giá sau khi thực thi.</t>
  </si>
  <si>
    <t>Nhà nước sẽ sử dụng số tiền thuế để nâng cao chất lượng dịch vụ công, nhưng tôi hy vọng họ sẽ quản lý hiệu quả nguồn thu này.</t>
  </si>
  <si>
    <t>Dù chưa rõ ràng, nhưng thông tin về việc sửa đổi luật thuế đã được cung cấp đầy đủ và minh bạch hơn so với trước đây.</t>
  </si>
  <si>
    <t>Trong khi tôi ủng hộ các cải cách nhằm đơn giản hóa quy định thuế, số tiền thuế không đáng kể nên việc tuân thủ mới này dễ dàng chấp nhận.</t>
  </si>
  <si>
    <t>Hiện nay, cơ quan thuế có nhiều công cụ và nguồn lực để phát hiện gian lận thuế, tuy nhiên vẫn còn khả năng trốn thuế thông qua các phương thức phức tạp.</t>
  </si>
  <si>
    <t>Nhà nước đã đầu tư vào hệ thống công nghệ thông tin, nâng cao hiệu quả quản lý và xử lý nhanh chóng các hành vi trốn thuế, nhưng vẫn cần cải thiện.</t>
  </si>
  <si>
    <t>Quy trình khai báo thuế và làm việc với cơ quan thuế trở nên đơn giản hơn so với trước đây, giảm bớt gánh nặng hành chính cho người dân.</t>
  </si>
  <si>
    <t>Các bậc thuế mới đơn giản hóa quy trình tính toán, dễ hiểu và thực hiện hơn, tuy nhiên vẫn cần thêm hướng dẫn rõ ràng để người dân nắm bắt.</t>
  </si>
  <si>
    <t>Tôi tin rằng Nhà nước sẽ thực thi chính sách một cách công bằng, nhưng tôi cũng lo ngại về việc quản lý thuế có thể không hoàn hảo.</t>
  </si>
  <si>
    <t>Mức thuế mới phù hợp với thu nhập của tôi và các quyền lợi đã được cải thiện, do đó tôi thấy rằng mức thuế này là công bằng.</t>
  </si>
  <si>
    <t>Thuế tôi đóng sẽ được sử dụng hiệu quả để cải thiện chất lượng cuộc sống, nhưng vẫn cần giám sát chặt chẽ.</t>
  </si>
  <si>
    <t>Nhà nước đã giải thích rõ ràng về mục tiêu của việc sửa đổi thuế này, tuy nhiên tôi mong muốn có thêm thông tin về cách sử dụng số tiền thuế thu được.</t>
  </si>
  <si>
    <t>Sau khi xem xét các quyền lợi và nghĩa vụ, tôi ủng hộ và tuân thủ chính sách mới, vì nó cải thiện tình hình tài chính của gia đình tôi.</t>
  </si>
  <si>
    <t>Chính phủ và cơ quan thuế đã có các biện pháp quản lý tốt, nhưng vẫn còn nhiều bất cập. Với mức thu nhập hiện tại, việc phát hiện gian lận hay trốn thuế là khả thi.</t>
  </si>
  <si>
    <t>Công nghệ và hệ thống của cơ quan thuế đã được nâng cấp đáng kể, nhưng vẫn cần cải thiện để tăng hiệu quả quản lý hơn nữa.</t>
  </si>
  <si>
    <t>Quy trình khai báo thuế đơn giản hơn so với trước đây, thủ tục cũng nhanh chóng hơn.</t>
  </si>
  <si>
    <t>Biểu thuế mới có số bậc giảm đi và dễ hiểu hơn, việc tính toán thuế trở nên thuận tiện hơn.</t>
  </si>
  <si>
    <t>Tôi tin rằng cơ quan thuế sẽ thực hiện chính sách một cách công bằng, nhưng vẫn cần thêm minh bạch về quy trình cụ thể để tăng niềm tin.</t>
  </si>
  <si>
    <t>Mức thuế mới phù hợp với thu nhập của tôi và mức giảm trừ gia cảnh giúp tiết kiệm tiền, do đó cảm thấy công bằng hơn.</t>
  </si>
  <si>
    <t>Số tiền thuế đóng sẽ được sử dụng hiệu quả cho các dịch vụ công, nhưng cần thêm thông tin về cách sử dụng cụ thể để tăng niềm tin.</t>
  </si>
  <si>
    <t>Nhà nước đã giải thích rõ ràng mục tiêu của việc sửa đổi chính sách thuế, nhưng vẫn cần cung cấp thêm thông tin về quy trình thực hiện.</t>
  </si>
  <si>
    <t>Tôi ủng hộ và tuân thủ chính sách mới vì nó mang lại lợi ích tài chính cho tôi và có sự công bằng hơn so với trước đây.</t>
  </si>
  <si>
    <t>Với việc tăng giảm trừ gia cảnh và đơn giản hóa biểu thuế, mức độ phát hiện gian lận hoặc trốn thuế có thể dễ dàng hơn. Tuy nhiên, khả năng thực thi vẫn phụ thuộc vào hiệu quả của cơ quan thuế.</t>
  </si>
  <si>
    <t>Cơ sở hạ tầng và công nghệ hiện đại giúp nhà nước có thể theo dõi và xử lý nhanh chóng các hành vi trốn thuế, nhưng vẫn cần nâng cao hơn nữa để đảm bảo hiệu quả.</t>
  </si>
  <si>
    <t>Quy trình khai báo thuế trở nên đơn giản hơn với số bậc thuế ít đi và giảm trừ gia cảnh tăng lên. Tuy nhiên, việc áp dụng thực tế có thể còn gặp nhiều rào cản.</t>
  </si>
  <si>
    <t>Biểu thuế mới dễ hiểu hơn và dễ dàng tính toán, đặc biệt khi mức thu nhập của tôi nằm trong các bậc thuế thấp. Điều này tăng độ thuận tiện cho người dân.</t>
  </si>
  <si>
    <t>Tôi tin rằng cơ quan thuế sẽ thực thi chính sách một cách công bằng và khách quan, nhưng vẫn cần thời gian để kiểm chứng hiệu quả thực tế.</t>
  </si>
  <si>
    <t>Mức thuế mới phù hợp với thu nhập của tôi, giúp tiết kiệm chi phí. Điều này tăng độ tin cậy về tính công bằng trong hệ thống thuế.</t>
  </si>
  <si>
    <t>Việc sử dụng số tiền thuế để cải thiện dịch vụ công là mục tiêu chính đáng và có thể đạt được, nhưng cần thời gian theo dõi thực tế.</t>
  </si>
  <si>
    <t>Nhà nước đã giải thích rõ ràng về thay đổi này, giúp tôi hiểu hơn về lý do và mục đích của việc cải cách thuế. Tuy nhiên, vẫn cần thêm thông tin chi tiết.</t>
  </si>
  <si>
    <t>Tác động tài chính tích cực từ giảm trừ gia cảnh và số bậc thuế ít đi khiến tôi ủng hộ và tuân thủ chính sách mới. Điều này tăng độ ủng hộ cho việc cải cách.</t>
  </si>
  <si>
    <t>Người dân thường thiếu thông tin về quản lý thuế, nên khó phát hiện hành vi gian lận. Tuy nhiên, với việc áp dụng công nghệ, khả năng phát hiện có thể cao hơn.</t>
  </si>
  <si>
    <t>Cơ quan thuế có nhiều nguồn lực và công nghệ để giám sát, nhưng việc thực thi vẫn phụ thuộc vào sự cam kết từ phía họ.</t>
  </si>
  <si>
    <t>Quy trình khai thuế đơn giản hơn với mức giảm trừ gia cảnh mới. Tuy nhiên, người dân cần thời gian để quen với hệ thống mới.</t>
  </si>
  <si>
    <t>Biểu thuế đơn giản hơn, dễ hiểu hơn so với trước đây, giúp việc tính toán thuế trở nên thuận tiện hơn.</t>
  </si>
  <si>
    <t>Việc áp dụng công bằng mức giảm trừ gia cảnh cho người nộp thuế và người phụ thuộc tạo ra sự công bằng hơn.</t>
  </si>
  <si>
    <t>Thuế mới có thể được coi là hợp lý đối với thu nhập của tôi, nhưng vẫn cần thêm thời gian để quen với các bậc thuế mới.</t>
  </si>
  <si>
    <t>Nhà nước đã sử dụng số tiền thuế để cải thiện các dịch vụ công như y tế và đường xá. Tuy nhiên, việc minh bạch chi tiêu vẫn cần được cải thiện.</t>
  </si>
  <si>
    <t>Đã có giải thích rõ ràng về mục đích của chính sách mới, nhưng có thể cải thiện thêm trong việc thông tin đến người dân.</t>
  </si>
  <si>
    <t>Chính sách mới giúp tôi tiết kiệm được tiền thuế và đơn giản hóa quy trình khai báo. Tôi sẽ ủng hộ và tuân thủ chính sách này.</t>
  </si>
  <si>
    <t>Ngoài việc tăng giảm trừ gia cảnh, chính sách mới không có nhiều cải tiến về quản lý thuế. Tuy nhiên, với sự phát triển của công nghệ, khả năng phát hiện hành vi trốn thuế vẫn được cải thiện đáng kể.</t>
  </si>
  <si>
    <t>Nhà nước đã đầu tư vào hệ thống thông tin và công nghệ để hỗ trợ quản lý thuế hiệu quả hơn. Sự kết nối mạnh mẽ giữa các cơ quan chức năng cũng tăng khả năng phát hiện hành vi trốn thuế.</t>
  </si>
  <si>
    <t>Quy trình khai báo thuế đã đơn giản hóa đáng kể, đặc biệt là việc giảm số bậc thuế. Tuy nhiên, vẫn còn một số thủ tục cần cải thiện để thuận tiện hơn cho người dân.</t>
  </si>
  <si>
    <t>Với việc rút gọn số bậc thuế và tăng mức giảm trừ gia cảnh, quá trình tính thuế trở nên dễ dàng hơn. Đây là một bước tiến đáng kể trong việc đơn giản hóa thủ tục thuế.</t>
  </si>
  <si>
    <t>Nhà nước đã thể hiện sự công tâm khi điều chỉnh các mức giảm trừ gia cảnh và số bậc thuế. Điều này mang lại cảm giác rằng họ đang hướng đến một hệ thống thuế công bằng hơn.</t>
  </si>
  <si>
    <t>Dựa trên mức thu nhập của tôi, sự thay đổi trong phương án thuế mới không làm tăng nghĩa vụ tài chính. Điều này cho thấy mức thuế là hợp lý và công bằng.</t>
  </si>
  <si>
    <t>Với việc tăng giảm trừ gia cảnh và đơn giản hóa quy trình, tôi tin rằng số tiền thuế đóng sẽ được sử dụng hiệu quả hơn để cải thiện dịch vụ công.</t>
  </si>
  <si>
    <t>Nhà nước đã giải thích rõ ràng về mục tiêu của việc sửa đổi thuế. Tuy nhiên, vẫn cần thêm thông tin cụ thể về cách sử dụng số tiền thu được từ thuế để tăng sự minh bạch.</t>
  </si>
  <si>
    <t>Sau khi xem xét các quyền lợi và nghĩa vụ mới, tôi ủng hộ và sẽ tuân thủ chính sách mới. Việc giảm thuế và đơn giản hóa quy trình khai báo thuế tạo nên một hệ thống thuế hữu ích hơn.</t>
  </si>
  <si>
    <t>Hiện nay, cơ quan thuế có nhiều công cụ kỹ thuật để phát hiện hành vi trốn thuế. Tuy nhiên, vẫn cần nâng cao hơn nữa về quản lý và xử lý.</t>
  </si>
  <si>
    <t>Nhà nước đã đầu tư vào hệ thống công nghệ thông tin, giúp cải thiện khả năng phát hiện gian lận thuế. Tuy nhiên, vẫn cần cải tiến thêm.</t>
  </si>
  <si>
    <t>Quy trình khai báo và làm việc với cơ quan thuế đã đơn giản hóa đáng kể, giảm bớt thủ tục rườm rà. Điều này giúp người dân thuận tiện hơn khi thực hiện.</t>
  </si>
  <si>
    <t>Số bậc thuế giảm từ 7 xuống 5, làm cho việc tính toán và hiểu rõ thuế trở nên dễ dàng hơn. Đây là cải tiến quan trọng đối với người dân.</t>
  </si>
  <si>
    <t>Tôi tin rằng cơ quan thuế sẽ thực thi chính sách một cách công bằng. Tuy nhiên, cần có thêm minh bạch trong việc xử lý và giám sát để tăng niềm tin hơn nữa.</t>
  </si>
  <si>
    <t>Mức giảm trừ gia cảnh cao hơn, đặc biệt là bản thân, giúp tôi tiết kiệm được nhiều tiền. Điều này thể hiện sự công bằng trong việc phân bổ thuế giữa các thu nhập khác nhau.</t>
  </si>
  <si>
    <t>Thuế đóng góp vào việc cải thiện dịch vụ công. Tuy nhiên, cần minh bạch hơn về cách sử dụng số tiền thuế để tăng niềm tin của người dân.</t>
  </si>
  <si>
    <t>Đã có thông tin giải thích rõ ràng về mục tiêu và lý do thay đổi chính sách thuế. Tuy nhiên, cần tiếp tục cải thiện để nâng cao sự hiểu biết của công chúng.</t>
  </si>
  <si>
    <t>Sau khi xem xét các quyền lợi và nghĩa vụ, tôi ủng hộ và tuân thủ chính sách mới. Tuy nhiên, một số điểm cần cải tiến còn chưa hoàn hảo.</t>
  </si>
  <si>
    <t>Dù cơ quan thuế có công nghệ tốt, nhưng tôi vẫn lo ngại về việc phát hiện hành vi gian lận hoặc trốn thuế do quy định quản lý còn nhiều hạn chế.</t>
  </si>
  <si>
    <t>Cơ quan thuế đã cải thiện đáng kể trong việc công nghệ hóa, nhưng tôi vẫn nghĩ cần thêm thời gian để họ hoàn toàn có đủ khả năng phát hiện và xử lý nghiêm các hành vi trốn thuế.</t>
  </si>
  <si>
    <t>So với trước đây, quy trình làm việc với cơ quan thuế đã đơn giản hơn, nhưng vẫn còn một số thủ tục phức tạp cần cải thiện.</t>
  </si>
  <si>
    <t>Biểu thuế mới đơn giản và dễ hiểu hơn so với trước đây, giảm bớt sự phức tạp cho người nộp thuế.</t>
  </si>
  <si>
    <t>Tôi tin rằng cơ quan thuế sẽ thực thi chính sách một cách công bằng, nhưng vẫn có thể gặp phải tình trạng xử lý không công bằng.</t>
  </si>
  <si>
    <t>Mức thuế mới được giảm đáng kể, khiến tôi cảm thấy mức thuế đóng là công bằng hơn so với trước đây.</t>
  </si>
  <si>
    <t>Tiết kiệm được một khoản tiền lớn từ việc thuế giảm, làm tăng niềm tin rằng số tiền thuế đóng sẽ được sử dụng hiệu quả cho các dịch vụ công ích.</t>
  </si>
  <si>
    <t>Tôi đồng ý với mục tiêu của chính sách mới và thấy cơ quan thuế đã giải thích rõ ràng về lý do và mục tiêu, nhưng vẫn cần thêm thông tin chi tiết hơn.</t>
  </si>
  <si>
    <t>Tác động tài chính tích cực giúp tôi ủng hộ và tuân thủ chính sách mới, đồng thời niềm tin vào cơ quan thuế cũng tăng lên.</t>
  </si>
  <si>
    <t>Hiện nay, hệ thống quản lý thuế đã rất phát triển với nhiều công cụ giám sát hiện đại. Tuy nhiên, tôi vẫn lo ngại về khả năng phát hiện trốn thuế của cơ quan thuế.</t>
  </si>
  <si>
    <t>Cơ quan thuế có đủ công nghệ để phát hiện hành vi gian lận, nhưng hiệu quả thực tế phụ thuộc vào sự tận tụy và kỹ năng làm việc của nhân viên.</t>
  </si>
  <si>
    <t>Thủ tục khai báo thuế đã đơn giản hơn trước đây. Tuy nhiên, tôi vẫn gặp khó khăn khi phải truy cập các hệ thống trực tuyến không thuận tiện.</t>
  </si>
  <si>
    <t>Bảng thuế mới có ít bậc hơn nên dễ hiểu và thực hiện hơn, nhưng cần thêm hướng dẫn để người dân nắm bắt.</t>
  </si>
  <si>
    <t>Tôi tin Nhà nước sẽ công tâm trong việc quản lý thuế, nhưng vẫn lo ngại về khả năng giám sát và xử lý vi phạm.</t>
  </si>
  <si>
    <t>Thuế mới của tôi không thay đổi nhiều so với trước đây, do mức giảm trừ gia cảnh cao hơn thu nhập nên tôi không phải đóng thuế. Điều này làm tăng niềm tin về công bằng.</t>
  </si>
  <si>
    <t>Tôi tin số tiền thuế đóng sẽ được sử dụng hiệu quả cho các dịch vụ công, nhưng cần thêm minh bạch hơn về cách sử dụng nguồn thu.</t>
  </si>
  <si>
    <t>Nhà nước đã giải thích rõ mục tiêu của việc sửa đổi thuế, nhưng tôi mong muốn có thông tin chi tiết hơn về hiệu quả thực tế</t>
  </si>
  <si>
    <t>Tôi ủng hộ chính sách mới vì nó giảm gánh nặng cho người dân và tăng tính công bằng trong việc đóng thuế.</t>
  </si>
  <si>
    <t>Việc tăng mức giảm trừ gia cảnh và đơn giản hóa biểu thuế có thể làm giảm động lực cho hành vi gian lận, nhưng thực tế việc phát hiện và xử lý vẫn phụ thuộc vào hiệu suất của cơ quan thuế.</t>
  </si>
  <si>
    <t>Cơ quan thuế được trang bị công nghệ tiên tiến để theo dõi hoạt động kinh doanh và thu nhập cá nhân, nên khả năng phát hiện gian lận và xử lý nghiêm là khá cao.</t>
  </si>
  <si>
    <t>Thủ tục khai báo thuế trở nên đơn giản hơn với mức giảm trừ gia cảnh cao hơn và số bậc thuế ít hơn, giúp người dân dễ dàng tuân thủ.</t>
  </si>
  <si>
    <t>Biểu thuế mới đơn giản hóa việc tính toán, giúp người nộp thuế hiểu rõ hơn về cách đóng thuế của mình.</t>
  </si>
  <si>
    <t>Tôi tin rằng cơ quan thuế sẽ thực thi chính sách một cách công bằng vì mức thuế mới đã giảm đáng kể và phù hợp với thu nhập của tôi.</t>
  </si>
  <si>
    <t>Mức thuế mới khá công bằng so với mức trước đây, giúp tôi tiết kiệm được một khoản tiền đáng kể mỗi tháng.</t>
  </si>
  <si>
    <t>Nhà nước sử dụng số tiền thuế này để cải thiện các dịch vụ công như y tế và giao thông, nên tôi tin rằng việc đóng thuế là có ích.</t>
  </si>
  <si>
    <t>Tôi đồng ý với giải thích của cơ quan thuế về mục tiêu và lý do sửa đổi chính sách thuế, vì nó hướng đến công bằng và đơn giản hóa.</t>
  </si>
  <si>
    <t>Chính sách mới có lợi cho tôi về mặt tài chính và dễ hiểu hơn so với trước đây, nên tôi ủng hộ và sẽ tuân thủ.</t>
  </si>
  <si>
    <t>Việc tăng giảm trừ gia cảnh và đơn giản hóa biểu thuế có thể làm giảm khả năng phát hiện hành vi trốn thuế, nhưng cơ quan thuế vẫn có đủ công nghệ để theo dõi thông qua dữ liệu điện tử.</t>
  </si>
  <si>
    <t>Cơ quan thuế đã triển khai nhiều biện pháp kỹ thuật để theo dõi và xử lý trốn thuế, nhưng khả năng phát hiện vẫn phụ thuộc vào hiệu quả của hệ thống quản lý.</t>
  </si>
  <si>
    <t>Thủ tục khai báo thuế đơn giản hơn, giảm bớt các bước phức tạp, giúp quá trình làm việc với cơ quan thuế nhanh chóng và tiện lợi hơn so với trước đây.</t>
  </si>
  <si>
    <t>Biểu thuế mới có ít bậc hơn, dễ hiểu và thực hiện đơn giản hơn, giảm bớt sự phức tạp cho người dân trong việc tính toán và nộp thuế.</t>
  </si>
  <si>
    <t>Nhà nước đã tăng mức giảm trừ gia cảnh, giúp nhiều người dân không bị truy thu thuế, thể hiện sự công bằng hơn trong việc đánh thuế.</t>
  </si>
  <si>
    <t>Mức thuế mới được thiết kế phù hợp với thu nhập của tôi và những người cùng trình độ học vấn, nghề nghiệp tương tự, cho thấy tính công bằng của chính sách.</t>
  </si>
  <si>
    <t>Thuế mà tôi đóng sẽ được sử dụng hiệu quả để cải thiện các dịch vụ công như y tế và đường xá, giúp nâng cao chất lượng cuộc sống của người dân.</t>
  </si>
  <si>
    <t>Nhà nước đã giải thích rõ ràng về mục tiêu và lý do sửa đổi thuế, tuy nhiên việc minh bạch thông tin cần được cải thiện hơn nữa để mọi người hiểu đầy đủ chính sách.</t>
  </si>
  <si>
    <t>Tôi ủng hộ và tuân thủ chính sách mới vì nó tạo ra sự công bằng trong đánh thuế, giảm gánh nặng tài chính cho tôi và gia đình, đồng thời nâng cao chất lượng cuộc sống chung.</t>
  </si>
  <si>
    <t>Thuế thu nhập cá nhân được quản lý chặt chẽ, mức giảm trừ gia cảnh cao hơn và số bậc thuế đơn giản hơn làm tăng khả năng phát hiện hành vi gian lận hoặc trốn thuế.</t>
  </si>
  <si>
    <t>Cơ quan thuế có hệ thống quản lý tiên tiến, đủ khả năng để theo dõi và xử lý nghiêm các trường hợp trốn tránh nghĩa vụ thuế.</t>
  </si>
  <si>
    <t>Thủ tục khai báo thuế đơn giản hơn, giảm bớt những rắc rối không cần thiết đối với người dân.</t>
  </si>
  <si>
    <t>Các bậc thuế và quy định mới dễ hiểu và thực hiện thuận lợi hơn so với trước đây.</t>
  </si>
  <si>
    <t>Niềm tin vào sự công bằng trong việc thực thi chính sách, giảm gánh nặng tài chính cho người dân.</t>
  </si>
  <si>
    <t>Mức thuế mới được đánh giá là công bằng đối với thu nhập của tôi</t>
  </si>
  <si>
    <t>Tin tưởng rằng số tiền đóng góp sẽ được sử dụng hiệu quả để cải thiện chất lượng cuộc sống.</t>
  </si>
  <si>
    <t>Mục tiêu của việc sửa đổi thuế được giải thích rõ ràng, minh bạch</t>
  </si>
  <si>
    <t>Chính sách mới mang lại lợi ích tài chính rõ rệt và đơn giản hóa quy trình, tôi sẽ ủng hộ và tuân thủ.</t>
  </si>
  <si>
    <t>Dù quy định quản lý thuế hiện tại có thể phát hiện gian lận, nhưng mức giảm trừ gia cảnh cao khiến tôi không phải đóng thuế, do đó, khả năng phát hiện trốn thuế ít quan trọng hơn.</t>
  </si>
  <si>
    <t>Cơ quan thuế có công nghệ và nguồn lực để quản lý thuế, nhưng mức giảm trừ gia cảnh cao khiến tôi không phải đóng thuế, do đó khả năng phát hiện trốn thuế ít quan trọng hơn.</t>
  </si>
  <si>
    <t>Quy trình khai báo thuế và làm việc với cơ quan thuế đơn giản hơn trước, giảm gian lận thông qua quy trình phức tạp.</t>
  </si>
  <si>
    <t>Biểu thuế đơn giản, dễ hiểu và thực hiện hơn, giúp tôi không phải lo lắng về tính toán sai.</t>
  </si>
  <si>
    <t>Nhà nước đã công bố rõ ràng mục tiêu sửa đổi chính sách thuế, nhưng mức giảm trừ gia cảnh cao khiến tôi không phải đóng thuế, do đó, tôi tin họ sẽ thực hiện một cách khách quan.</t>
  </si>
  <si>
    <t>Mức thuế mới thấp hơn so với trước đây và phù hợp với thu nhập của tôi, do đó tôi thấy công bằng.</t>
  </si>
  <si>
    <t>Thuế của tôi được sử dụng để cải thiện dịch vụ công, nhưng mức giảm trừ gia cảnh cao khiến tôi không phải đóng thuế, do đó, tôi tin số tiền thuế này sẽ được sử dụng hiệu quả.</t>
  </si>
  <si>
    <t>Nhà nước đã giải thích rõ ràng về mục tiêu và lý do của việc sửa đổi chính sách thuế mới.</t>
  </si>
  <si>
    <t>Dù mức giảm trừ gia cảnh cao khiến tôi không phải đóng thuế, nhưng các quy định mới đơn giản hơn và công bằng hơn so với trước đây, do đó tôi ủng hộ và tuân thủ chính sách mới.</t>
  </si>
  <si>
    <t>Dù tăng mức giảm trừ gia cảnh, nhưng với nhiều biện pháp quản lý thuế hiện đại, tôi tin rằng hành vi gian lận hoặc trốn thuế sẽ vẫn dễ bị phát hiện.</t>
  </si>
  <si>
    <t>Cơ quan thuế có công nghệ và khả năng để giám sát hiệu quả hơn qua các hệ thống điện tử hiện đại, tuy nhiên mức độ thực thi còn phụ thuộc vào sự nỗ lực của họ.</t>
  </si>
  <si>
    <t>Quy trình khai báo thuế trở nên đơn giản với việc giảm số bậc thuế và tăng mức giảm trừ gia cảnh, thuận lợi cho người dân.</t>
  </si>
  <si>
    <t>Biểu thuế mới đơn giản hóa quá trình tính toán, nhưng tôi nhận thấy vẫn có một số phần phức tạp khi áp dụng vào thực tế.</t>
  </si>
  <si>
    <t>Cơ quan thuế đã công bố rõ ràng về chính sách mới và cách thực hiện, tạo niềm tin cho người dân.</t>
  </si>
  <si>
    <t>Với mức thu nhập của tôi, việc giảm trừ gia cảnh cao hơn làm giảm đáng kể số tiền phải đóng thuế nên tôi thấy công bằng.</t>
  </si>
  <si>
    <t>Những khoản thuế này sẽ được sử dụng để cải thiện dịch vụ công và hạ tầng, tạo niềm tin vào sự đầu tư của Nhà nước.</t>
  </si>
  <si>
    <t>Dựa trên thông tin tôi có, tôi thấy Nhà nước đã giải thích rõ ràng về mục tiêu và lý do thay đổi chính sách thuế lần này.</t>
  </si>
  <si>
    <t>Tôi ủng hộ vì mức thu nhập của tôi không còn chịu thuế nên giảm gánh nặng tài chính. Tôi sẽ tuân thủ theo chính sách mới.</t>
  </si>
  <si>
    <t>Nếu thuế không còn được áp dụng, việc phát hiện gian lận hay trốn thuế sẽ giảm đáng kể.</t>
  </si>
  <si>
    <t>Công nghệ hiện đại có thể giúp phát hiện các hành vi gian lận, nhưng mức thuế thấp khiến khả năng phát hiện không còn quan trọng như trước.</t>
  </si>
  <si>
    <t>Quy trình làm việc với cơ quan thuế đơn giản hơn và thủ tục khai báo thuận tiện hơn so với trước đây.</t>
  </si>
  <si>
    <t>Cách tính thuế mới rõ ràng, dễ hiểu và thực hiện đơn giản hơn nhiều so với quy định cũ.</t>
  </si>
  <si>
    <t>Nhà nước đã công bố các quy định một cách công bằng và khách quan, nhưng tôi vẫn giữ thái độ thận trọng.</t>
  </si>
  <si>
    <t>Với mức thuế thấp hơn nhiều so với trước đây, tôi thấy rằng sự công bằng trong việc đóng thuế đã được cải thiện đáng kể.</t>
  </si>
  <si>
    <t>Tôi tin rằng số tiền thuế này sẽ được sử dụng hiệu quả để nâng cao chất lượng dịch vụ công cho người dân.</t>
  </si>
  <si>
    <t>Nhà nước đã giải thích rõ ràng về lý do và mục tiêu của việc sửa đổi thuế, mặc dù tôi vẫn có chút nghi ngờ về thực tế.</t>
  </si>
  <si>
    <t>Sau khi xem xét, tôi thấy rằng chính sách mới này phù hợp với thu nhập và mức sống hiện tại của tôi, do đó tôi sẽ ủng hộ và tuân thủ nó.</t>
  </si>
  <si>
    <t>Dựa trên mức giảm trừ gia cảnh cao hơn thu nhập, tôi không thấy cần thiết cho việc phát hiện hành vi gian lận hoặc trốn thuế. Mặc dù vậy, việc quản lý thuế vẫn quan trọng để đảm bảo công bằng.</t>
  </si>
  <si>
    <t>Cơ quan thuế đã có các công nghệ tiên tiến nên khả năng phát hiện và xử lý nghiêm là có thể.</t>
  </si>
  <si>
    <t>Quy trình khai báo thuế đơn giản hơn trước đây, nhưng vẫn cần thời gian để quen thuộc.</t>
  </si>
  <si>
    <t>Biểu thuế mới đơn giản và dễ hiểu hơn so với trước đây.</t>
  </si>
  <si>
    <t>Tôi tin rằng việc áp dụng giảm trừ gia cảnh cao sẽ làm cho quy định thuế công bằng hơn.</t>
  </si>
  <si>
    <t>Mức thuế mới phù hợp với thu nhập của tôi và người phụ thuộc, nên cảm thấy công bằng.</t>
  </si>
  <si>
    <t>Dự kiến số tiền thuế đóng sẽ được sử dụng hiệu quả cho các dịch vụ công, tạo niềm tin về việc sử dụng nguồn lực.</t>
  </si>
  <si>
    <t>Nhà nước đã giải thích rõ ràng mục đích của việc sửa đổi luật thuế, tạo sự minh bạch và tin tưởng.</t>
  </si>
  <si>
    <t>Tôi ủng hộ chính sách mới vì nó mang lại lợi ích cho tôi và người phụ thuộc mà không làm tăng gánh nặng tài chính.</t>
  </si>
  <si>
    <t>Tôi tin rằng với các quy định quản lý thuế hiện nay, hành vi gian lận hoặc trốn thuế vẫn sẽ bị phát hiện và xử lý nghiêm nhưng không hoàn toàn chắc chắn.</t>
  </si>
  <si>
    <t>Nhà nước có khả năng công nghệ để phát hiện các hành vi trốn thuế, tuy nhiên, hiệu quả cụ thể phụ thuộc vào nguồn lực và quyết tâm của nhà chức trách.</t>
  </si>
  <si>
    <t>Trình tự khai báo và làm việc với cơ quan thuế đơn giản hơn so với trước đây, tiết kiệm thời gian và công sức cho người dân.</t>
  </si>
  <si>
    <t>Cách tính thuế và các bậc thuế trong phương án mới dễ hiểu hơn nhiều, phù hợp với trình độ của tôi.</t>
  </si>
  <si>
    <t>Tôi tin rằng Nhà nước sẽ thực thi chính sách một cách khách quan, công tâm nhưng vẫn cần thêm thời gian để chứng minh.</t>
  </si>
  <si>
    <t>Mức thuế mới giảm đáng kể so với trước đây, tôi thấy nó là công bằng đối với thu nhập của mình.</t>
  </si>
  <si>
    <t>Thuế đóng góp vào sự phát triển cơ sở hạ tầng và dịch vụ công, tôi tin rằng số tiền thuế sẽ được sử dụng hiệu quả.</t>
  </si>
  <si>
    <t>Nhà nước đã giải thích rõ ràng về mục tiêu của việc sửa đổi thuế lần này, nhưng cần thêm thông tin về cách thực hiện.</t>
  </si>
  <si>
    <t>Tôi ủng hộ và tuân thủ chính sách mới vì nó mang lại lợi ích tài chính cho tôi và đơn giản hơn trong quá trình khai báo thuế.</t>
  </si>
  <si>
    <t>Hiện nay, với sự phát triển của công nghệ thông tin và hệ thống quản lý thuế hiện đại, tôi cho rằng hành vi gian lận hoặc trốn thuế sẽ dễ dàng bị phát hiện. Hệ thống này bao gồm nhiều biện pháp như kiểm tra tự động, so sánh dữ liệu từ các tổ chức khác để xác minh thu nhập.</t>
  </si>
  <si>
    <t>Nhà nước và cơ quan thuế đã có nhiều nỗ lực trong việc nâng cấp hệ thống quản lý thuế, tăng cường công nghệ để phát hiện gian lận. Tuy nhiên, vẫn cần cải thiện hơn nữa về mặt kỹ thuật và nhân sự.</t>
  </si>
  <si>
    <t>Các quy trình khai báo thuế đã đơn giản hóa đáng kể so với trước đây, từ việc cung cấp nhiều mẫu khác nhau đến việc sử dụng phần mềm điện tử, tiết kiệm thời gian và công sức cho người dân.</t>
  </si>
  <si>
    <t>Biểu thuế mới có ít bậc hơn, dễ hiểu hơn. Các bước tính toán thu nhập chịu thuế trở nên đơn giản hơn, giảm bớt sự phức tạp mà người dân thường gặp phải trước đây.</t>
  </si>
  <si>
    <t>Tôi tin rằng Nhà nước sẽ thực thi chính sách một cách công bằng và khách quan. Các biện pháp quản lý thuế mới đã phản ánh được tình hình kinh tế hiện tại của đất nước.</t>
  </si>
  <si>
    <t>Mức thuế mới giảm đáng kể so với trước đây, tôi cho rằng điều này thể hiện sự công bằng đối với người dân có thu nhập như tôi. Các bậc thuế mới cũng hợp lý hơn</t>
  </si>
  <si>
    <t>Thuế là nguồn tài chính quan trọng để Nhà nước đầu tư vào các dịch vụ công, cải thiện hạ tầng và giáo dục. Tôi tin rằng việc đóng thuế sẽ giúp nâng cao chất lượng cuộc sống cho người dân.</t>
  </si>
  <si>
    <t>Nhà nước đã giải thích rõ ràng về mục tiêu của việc cải cách thuế lần này, đưa ra các biện pháp cụ thể để thực hiện. Tôi thấy đây là một quyết định đúng đắn và cần thiết</t>
  </si>
  <si>
    <t>Sau khi xem xét tất cả các yếu tố, tôi ủng hộ và tuân thủ chính sách mới. Nó không chỉ đơn giản hóa quy trình mà còn giảm gánh nặng tài chính cho người dân.</t>
  </si>
  <si>
    <t>Dù có công nghệ hỗ trợ, nhưng việc quản lý thuế và phát hiện gian lận vẫn cần sự nỗ lực của cơ quan thuế. Tuy nhiên, với các quy định rõ ràng, tôi tin rằng khả năng phát hiện sẽ tăng lên.</t>
  </si>
  <si>
    <t>Nhà nước đã đầu tư vào công nghệ và nhân lực để cải thiện quản lý thuế. Việc này làm giảm nguy cơ gian lận và trốn thuế.</t>
  </si>
  <si>
    <t>So với trước đây, quy trình khai báo thuế trở nên đơn giản hơn. Tuy nhiên, vẫn có một số thủ tục cần tuân thủ.</t>
  </si>
  <si>
    <t>Số bậc thuế giảm đi và mức giảm trừ gia cảnh tăng lên làm cho việc tính thuế dễ hiểu và thực hiện hơn.</t>
  </si>
  <si>
    <t>Tôi tin rằng cơ quan thuế sẽ công bằng trong việc thực thi chính sách mới. Tuy nhiên, vẫn cần thêm thời gian để chứng minh</t>
  </si>
  <si>
    <t>Với mức thu nhập hiện tại và các quy định mới, tôi thấy rằng mức thuế này là công bằng.</t>
  </si>
  <si>
    <t>Tôi tin rằng số tiền thuế đóng sẽ được sử dụng hiệu quả để cải thiện dịch vụ công. Tuy nhiên, cần thêm thông tin chi tiết về việc sử dụng nguồn thu</t>
  </si>
  <si>
    <t>Nhà nước đã giải thích rõ ràng về mục tiêu của việc sửa đổi thuế, nhưng tôi hy vọng sẽ có thêm thông tin về cách thực hiện.</t>
  </si>
  <si>
    <t>Tôi ủng hộ chính sách mới vì nó giúp giảm gian lận và trốn thuế đồng thời đơn giản hóa quy trình khai báo. Tuy nhiên, tôi cần thêm thời gian để quen với các thay đổi.</t>
  </si>
  <si>
    <t>Dù có công nghệ hỗ trợ, nhưng tôi vẫn lo ngại về khả năng phát hiện hành vi gian lận hoặc trốn thuế. Tuy nhiên, với mức giảm trừ gia cảnh tăng lên và số bậc thuế đơn giản hơn, tôi cảm thấy cơ quan thuế sẽ quản lý tốt hơn.</t>
  </si>
  <si>
    <t>Với sự phát triển công nghệ hiện nay, tôi tin rằng cơ quan thuế có thể kiểm soát hiệu quả các hoạt động tài chính. Tuy nhiên, vẫn cần thêm thời gian để chứng minh.</t>
  </si>
  <si>
    <t>Quy trình khai báo và làm việc với cơ quan thuế đã đơn giản hơn so với trước đây, nhưng tôi vẫn thấy có thể cải thiện thêm. Tuy nhiên, sự thay đổi này giúp đỡ đáng kể.</t>
  </si>
  <si>
    <t>Đơn giản hóa biểu thuế và tăng mức giảm trừ gia cảnh đã làm cho việc tính thuế trở nên dễ dàng hơn nhiều so với trước đây, tôi thấy rất hài lòng.</t>
  </si>
  <si>
    <t>Tôi tin rằng cơ quan thuế sẽ thực hiện chính sách mới một cách công bằng và khách quan. Tuy nhiên, việc cải cách này đòi hỏi thời gian để chứng minh.</t>
  </si>
  <si>
    <t>Với mức giảm trừ gia cảnh tăng lên và số bậc thuế đơn giản hơn, tôi thấy mức thuế mà tôi phải đóng là hợp lý. Tuy nhiên, cần thêm thời gian để quen với các quy định mới.</t>
  </si>
  <si>
    <t>Tôi tin rằng số tiền thuế mà tôi đóng sẽ được sử dụng hiệu quả cho mục đích cải thiện dịch vụ công. Tuy nhiên, việc chứng minh điều này cần thêm thời gian.</t>
  </si>
  <si>
    <t>Mặc dù cơ quan thuế đã giải thích rõ ràng về chính sách mới, nhưng tôi nghĩ họ có thể làm rõ hơn nữa để mọi người hiểu dễ dàng hơn.</t>
  </si>
  <si>
    <t>Trải qua quá trình xem xét các quyền lợi và nghĩa vụ theo chính sách mới, tôi thấy mình có thể ủng hộ và tuân thủ. Tuy nhiên, cần thêm thời gian để quen với các thay đổi.</t>
  </si>
  <si>
    <t>Chính phủ đã tăng cường quản lý thuế và có nhiều công cụ phát hiện trốn thuế, nhưng vẫn cần sự hỗ trợ của công nghệ để tối ưu hơn.</t>
  </si>
  <si>
    <t>Nhà nước có đủ nguồn lực và công nghệ để kiểm soát và xử lý nghiêm minh các hành vi trốn thuế, do đó tôi tin tưởng.</t>
  </si>
  <si>
    <t>Quy trình khai thuế trở nên đơn giản hơn với mức giảm trừ gia cảnh tăng, giúp tiết kiệm thời gian cho người dân.</t>
  </si>
  <si>
    <t>Biểu thuế được đơn giản hóa từ 7 bậc xuống 5 bậc, dễ dàng tính toán và hiểu rõ hơn so với trước đây.</t>
  </si>
  <si>
    <t>Tôi tin rằng Nhà nước sẽ thực thi chính sách một cách công bằng và khách quan đối với tất cả người dân nộp thuế.</t>
  </si>
  <si>
    <t>Mức giảm trừ gia cảnh tăng, cộng thêm việc không còn thuế theo luật cũ đã làm cho mức thuế tôi phải đóng trở nên hợp lý hơn.</t>
  </si>
  <si>
    <t>Thuế mà tôi nộp sẽ được sử dụng hiệu quả để cải thiện dịch vụ công như y tế, giáo dục và hạ tầng.</t>
  </si>
  <si>
    <t>Nhà nước đã giải thích rõ ràng mục tiêu của việc sửa đổi thuế, giúp người dân hiểu rõ hơn về chính sách mới.</t>
  </si>
  <si>
    <t>Tôi ủng hộ và sẽ tuân thủ chính sách mới vì nó mang lại lợi ích tài chính cho tôi và gia đình.</t>
  </si>
  <si>
    <t>Ngành thuế hiện tại khá phát triển với công nghệ cao và có hệ thống giám sát mạnh, nhưng việc xử lý nghiêm vẫn còn hạn chế do thiếu thông tin từ người dân về hành vi gian lận.</t>
  </si>
  <si>
    <t>Nhà nước và cơ quan thuế đã đầu tư công nghệ để phát hiện trốn thuế, tuy nhiên hiệu quả thực tế phụ thuộc vào sự tuân thủ của người nộp thuế.</t>
  </si>
  <si>
    <t>Quy trình khai báo thuế đơn giản hơn trước, việc sử dụng phần mềm khai thuế giúp tiện lợi cho người dân.</t>
  </si>
  <si>
    <t>Bậc thuế giảm đi khiến việc tính toán dễ dàng hơn, nhưng số bậc thuế vẫn còn nhiều so với mong đợi.</t>
  </si>
  <si>
    <t>Tôi tin rằng cơ quan thuế sẽ thực thi công bằng, nhưng cần có thêm biện pháp để ngăn chặn gian lận.</t>
  </si>
  <si>
    <t>Thuế mới giảm đi đáng kể so với trước đây, tôi cho là mức này hợp lý đối với thu nhập hiện tại của mình.</t>
  </si>
  <si>
    <t>Tôi tin rằng thuế sẽ được sử dụng hiệu quả để cải thiện dịch vụ công, nhưng cần có thêm thông tin về chi tiêu cụ thể.</t>
  </si>
  <si>
    <t>Nhà nước đã giải thích rõ ràng về mục đích của việc sửa đổi thuế lần này, tôi ủng hộ quyết định này.</t>
  </si>
  <si>
    <t>Sau khi xem xét các ưu điểm và lợi ích mới, tôi đồng ý với chính sách mới và sẽ tuân thủ.</t>
  </si>
  <si>
    <t>Hiện nay, hệ thống quản lý thuế đã được cải tiến với nhiều công cụ giám sát hiện đại. Tuy nhiên, việc phát hiện trốn thuế vẫn phụ thuộc vào sự tận tụy của người kiểm tra.</t>
  </si>
  <si>
    <t>Cơ quan thuế có đủ năng lực và công nghệ để quản lý hiệu quả hơn. Tuy nhiên, hiệu quả thực tế còn tùy thuộc vào cách vận hành.</t>
  </si>
  <si>
    <t>Quy trình khai báo thuế đã đơn giản hóa, thủ tục nhanh chóng hơn. Điều này giúp người nộp thuế thuận tiện trong việc thực hiện nghĩa vụ.</t>
  </si>
  <si>
    <t>Biểu thuế mới đơn giản với ít bậc hơn, dễ hiểu và dễ thực hiện. Người dân có thể tính toán được rõ ràng.</t>
  </si>
  <si>
    <t>Nhà nước đã công bố rõ ràng về chính sách mới, tuy nhiên, tôi vẫn nghi ngờ về sự khách quan trong việc áp dụng.</t>
  </si>
  <si>
    <t>Mức thuế mới giảm đáng kể so với trước đây, tạo cảm giác công bằng. Tuy nhiên, mức giảm không lớn như mong đợi.</t>
  </si>
  <si>
    <t>Số tiền thuế giảm có thể được sử dụng hiệu quả cho các dịch vụ công, nhưng cần thêm thông tin về cách sử dụng.</t>
  </si>
  <si>
    <t>Nhà nước đã giải thích rõ ràng mục đích của việc sửa đổi thuế. Tuy nhiên, tôi mong muốn có thêm thông tin cụ thể hơn về kế hoạch sử dụng nguồn thu.</t>
  </si>
  <si>
    <t>Dù còn nghi ngờ một số điểm, nhưng chính sách mới mang lại lợi ích cho người dân. Tôi sẽ ủng hộ và tuân thủ.</t>
  </si>
  <si>
    <t>Thuế mới có 5 bậc thay vì 7 nên việc xác định thuế suất dễ dàng hơn. Tuy nhiên, không biết liệu quy trình quản lý thuế có được cải thiện tương ứng hay không.</t>
  </si>
  <si>
    <t>Cơ quan thuế đã đơn giản hóa biểu thuế và tăng mức giảm trừ gia cảnh, điều này giúp dễ dàng phát hiện hơn các hành vi trốn thuế.</t>
  </si>
  <si>
    <t>So với trước đây, quy trình khai báo thuế trở nên đơn giản hơn. Tuy nhiên, việc phải làm quen với biểu thuế mới vẫn mất thời gian.</t>
  </si>
  <si>
    <t>Biểu thuế mới có ít bậc hơn và mức giảm trừ gia cảnh cao hơn, do đó dễ hiểu và thực hiện hơn.</t>
  </si>
  <si>
    <t>Nếu các quy định được áp dụng công bằng, tôi sẽ tin tưởng rằng Nhà nước đang quản lý thuế một cách khách quan.</t>
  </si>
  <si>
    <t>Mức thuế mới phù hợp với thu nhập của tôi. Tuy nhiên, cần thêm thông tin về cách sử dụng nguồn thu để đánh giá công bằng hơn.</t>
  </si>
  <si>
    <t>Nếu số tiền thuế đóng được sử dụng hiệu quả cho dịch vụ công, điều này sẽ tăng niềm tin của tôi vào việc này.</t>
  </si>
  <si>
    <t>Tôi đồng ý với mục tiêu cải cách thuế nhưng cần thêm thông tin về cách thực hiện để đánh giá rõ ràng hơn.</t>
  </si>
  <si>
    <t>Sau khi xem xét, tôi ủng hộ chính sách mới vì nó giúp tiết kiệm chi phí và đơn giản hóa quy trình khai báo thuế.</t>
  </si>
  <si>
    <t>Việc tăng mức giảm trừ gia cảnh và đơn giản hóa biểu thuế có thể làm giảm cơ hội gian lận, tuy nhiên, tôi vẫn lo ngại về khả năng thực thi của các quy định quản lý thuế.</t>
  </si>
  <si>
    <t>Cơ quan thuế đã sử dụng công nghệ tiên tiến hơn để phát hiện hành vi trốn thuế, điều này tăng cường khả năng kiểm soát và xử lý nghiêm minh.</t>
  </si>
  <si>
    <t>Quy trình khai báo thuế trở nên đơn giản hơn nhưng vẫn cần thời gian quen thuộc với người dân. Các quy định về thuế thu nhập cá nhân giờ dễ hiểu hơn so với trước đây.</t>
  </si>
  <si>
    <t>Các bậc thuế mới đã được đơn giản hóa, giúp việc tính thuế trở nên dễ dàng và thuận tiện hơn cho người nộp thuế.</t>
  </si>
  <si>
    <t>Tôi tin rằng Nhà nước sẽ thực thi chính sách một cách công bằng nhưng vẫn cần thêm thông tin về cách thức cụ thể để tăng niềm tin.</t>
  </si>
  <si>
    <t>Mức thuế mới được giảm do nhiều ưu đãi, tôi thấy điều này là công bằng và hợp lý cho thu nhập của tôi.</t>
  </si>
  <si>
    <t>Thuế tôi đóng sẽ được sử dụng hiệu quả để cải thiện dịch vụ công nên tôi có niềm tin rằng việc nộp thuế là hữu ích.</t>
  </si>
  <si>
    <t>Nhà nước đã giải thích rõ ràng về mục tiêu của chính sách mới, điều này tăng cường sự hiểu biết và lòng tin của người dân vào chính phủ.</t>
  </si>
  <si>
    <t>Tôi ủng hộ chính sách mới do lợi ích tài chính và sự đơn giản hóa quy trình thuế, đồng thời tôi sẽ tuân thủ theo các quy định này.</t>
  </si>
  <si>
    <t>Với mức giảm trừ gia cảnh cao hơn và quy định đơn giản, cơ quan thuế sẽ khó kiểm soát việc trốn thuế.</t>
  </si>
  <si>
    <t>Cơ quan thuế có công nghệ hiện đại nên dễ dàng phát hiện hành vi gian lận hoặc trốn thuế.</t>
  </si>
  <si>
    <t>Quy trình khai báo và làm việc với cơ quan thuế trở nên đơn giản hơn, giúp tôi tiết kiệm thời gian.</t>
  </si>
  <si>
    <t>Biểu thuế mới rõ ràng hơn, không còn nhiều bậc phức tạp như trước.</t>
  </si>
  <si>
    <t>Tôi tin rằng cơ quan thuế sẽ công bằng trong việc thực thi chính sách mới.</t>
  </si>
  <si>
    <t>Như một người có thu nhập trung bình, mức giảm trừ gia cảnh cao giúp tôi không phải đóng thuế, tôi thấy điều này là công bằng.</t>
  </si>
  <si>
    <t>Tiền thuế của tôi sẽ được sử dụng hiệu quả để cải thiện dịch vụ công.</t>
  </si>
  <si>
    <t>Chính sách mới phù hợp với thu nhập của tôi, giúp tôi không phải đóng thuế nên tôi ủng hộ nó.</t>
  </si>
  <si>
    <t>Cơ quan thuế có nhiều biện pháp quản lý, công nghệ hiện đại giúp phát hiện gian lận và trốn thuế.</t>
  </si>
  <si>
    <t>Nhà nước đã đầu tư vào hệ thống công nghệ thông tin để hỗ trợ trong việc giám sát và xử lý các hành vi trốn thuế.</t>
  </si>
  <si>
    <t>Việc đơn giản hóa quy trình khai báo và giảm bớt thủ tục giúp thuận tiện hơn cho người dân.</t>
  </si>
  <si>
    <t>Biểu thuế mới với số bậc giảm, dễ hiểu và thực hiện nhanh chóng hơn so với trước đây.</t>
  </si>
  <si>
    <t>Tôi tin rằng cơ quan thuế sẽ công bằng trong việc áp dụng chính sách mới, dù vẫn có sự nghi ngờ từ phía người dân về vấn đề này.</t>
  </si>
  <si>
    <t>Mức giảm trừ gia cảnh và bậc thuế mới tạo cảm giác mức thuế đóng là hợp lý cho thu nhập của tôi.</t>
  </si>
  <si>
    <t>Đồng ý với việc số tiền thuế đóng sẽ được sử dụng hiệu quả để cải thiện dịch vụ công, nhưng vẫn có lo ngại về cách sử dụng.</t>
  </si>
  <si>
    <t>Nhà nước đã giải thích rõ ràng về mục đích và lý do của chính sách mới trong các thông báo chính thức.</t>
  </si>
  <si>
    <t>Tác động tài chính tích cực từ chính sách mới tạo nên sự ủng hộ, đồng thời việc đơn giản hóa quy trình cũng khiến tôi dễ dàng tuân thủ hơn.</t>
  </si>
  <si>
    <t>Việc tăng giảm trừ gia cảnh và đơn giản hóa biểu thuế có thể làm giảm cơ hội trốn thuế, tuy nhiên, thực tế quản lý thuế vẫn cần sự phối hợp chặt chẽ giữa các cơ quan để phát hiện gian lận.</t>
  </si>
  <si>
    <t>Cơ sở hạ tầng công nghệ thông tin của cơ quan thuế đã có bước tiến đáng kể, tuy nhiên, hiệu quả thực thi vẫn phụ thuộc vào nhiều yếu tố khác như nhân sự và quy trình làm việc.</t>
  </si>
  <si>
    <t>So với trước đây, quy trình khai báo thuế trở nên đơn giản hơn do giảm số bậc thuế, tuy nhiên vẫn cần thời gian để mọi người quen thuộc với hệ thống mới.</t>
  </si>
  <si>
    <t>Biểu thuế mới có ít bậc và dễ hiểu hơn, giúp người dân tính toán nhanh chóng, giảm bớt rắc rối trong khai báo</t>
  </si>
  <si>
    <t>Tôi tin rằng Nhà nước sẽ thực thi chính sách một cách công bằng, nhưng sự minh bạch về nguồn thu và chi tiêu còn cần cải thiện.</t>
  </si>
  <si>
    <t>Thuế mới có giảm trừ gia cảnh cao hơn, tôi thấy mức thuế này là hợp lý cho thu nhập của mình</t>
  </si>
  <si>
    <t>Tôi tin số tiền thuế đóng sẽ được sử dụng hiệu quả để cải thiện dịch vụ công, nhưng cần nhiều thông tin cụ thể về việc này.</t>
  </si>
  <si>
    <t>Nhà nước đã giải thích rõ ràng về mục tiêu của chính sách mới, tôi cảm thấy mình có sự tham gia trong quá trình ra quyết định</t>
  </si>
  <si>
    <t>Sau khi xem xét các quyền lợi và nghĩa vụ, tôi ủng hộ và sẽ tuân thủ chính sách mới vì nó mang lại nhiều lợi ích cho tôi.</t>
  </si>
  <si>
    <t>Việc tăng cường quản lý thuế và công nghệ hiện đại giúp phát hiện hành vi trốn thuế dễ dàng hơn, tuy nhiên vẫn cần sự nỗ lực từ phía người nộp thuế để tuân thủ.</t>
  </si>
  <si>
    <t>Nhà nước đã đầu tư vào hệ thống công nghệ thông tin và nhân lực để giám sát hiệu quả hơn, giảm thiểu cơ hội trốn thuế.</t>
  </si>
  <si>
    <t>Quy trình khai báo thuế trở nên đơn giản hơn với mức giảm trừ gia cảnh cao hơn, tuy nhiên vẫn cần thời gian làm quen.</t>
  </si>
  <si>
    <t>Biểu thuế đơn giản hóa giúp tính toán dễ dàng và chính xác hơn, phù hợp với người dân có trình độ học vấn trung bình.</t>
  </si>
  <si>
    <t>Tôi tin rằng cơ quan thuế sẽ thực thi công bằng vì mức giảm trừ gia cảnh cao hơn đáp ứng tốt nhu cầu của tôi và người phụ thuộc.</t>
  </si>
  <si>
    <t>Thuế mới phù hợp với thu nhập của tôi, giảm gánh nặng tài chính và tăng tính công bằng trong việc đóng thuế.</t>
  </si>
  <si>
    <t>Thuế đóng góp vào sự phát triển hạ tầng và dịch vụ công, giúp cải thiện chất lượng cuộc sống cho người dân.</t>
  </si>
  <si>
    <t>Nhà nước đã giải thích rõ ràng về mục tiêu của chính sách mới, tuy nhiên vẫn cần thêm thông tin cụ thể hơn.</t>
  </si>
  <si>
    <t>Dựa trên tác động tài chính tích cực và mức độ thuận tiện tăng lên, tôi ủng hộ và tuân thủ chính sách mới.</t>
  </si>
  <si>
    <t>Cơ quan thuế có nhiều biện pháp để phát hiện hành vi gian lận hoặc trốn thuế, do đó tôi tin rằng thực thi sẽ chặt chẽ hơn.</t>
  </si>
  <si>
    <t>Nhà nước đã đầu tư vào công nghệ để giám sát và xử lý các trường hợp trốn thuế hiệu quả hơn, tăng cường khả năng phát hiện.</t>
  </si>
  <si>
    <t>Các bậc thuế mới đơn giản và dễ hiểu hơn, giảm bớt sự phức tạp trong việc tính toán thuế của tôi.</t>
  </si>
  <si>
    <t>Tôi tin rằng Nhà nước sẽ thực thi chính sách một cách công bằng và khách quan, không phân biệt đối xử giữa các nhóm người nộp thuế.</t>
  </si>
  <si>
    <t>Mức thuế mới có vẻ hợp lý cho thu nhập của tôi, do đó tôi thấy việc đóng thuế theo phương án này là công bằng.</t>
  </si>
  <si>
    <t>Nhà nước đã giải thích khá rõ ràng về lý do và mục tiêu của việc sửa đổi chính sách thuế, tạo ra sự minh bạch.</t>
  </si>
  <si>
    <t>Tác động tài chính tích cực từ chính sách mới làm tăng niềm tin vào công bằng của hệ thống thuế, do đó tôi ủng hộ và tuân thủ.</t>
  </si>
  <si>
    <t>Nhà nước đã tăng cường công nghệ và quy định quản lý thuế, nhưng tôi vẫn lo ngại về khả năng phát hiện trốn thuế.</t>
  </si>
  <si>
    <t>Cơ quan thuế có nhiều nguồn lực hơn để giám sát hành vi gian lận nhờ cải tiến công nghệ.</t>
  </si>
  <si>
    <t>Trình tự khai thuế đơn giản và nhanh chóng hơn, đặc biệt là với mức giảm trừ gia cảnh cao hơn.</t>
  </si>
  <si>
    <t>Bậc thuế mới đơn giản hóa quy trình tính toán, dễ dàng hơn so với trước đây.</t>
  </si>
  <si>
    <t>Tôi tin Nhà nước sẽ thực thi chính sách một cách công bằng và khách quan, đặc biệt khi mức thuế giảm đáng kể.</t>
  </si>
  <si>
    <t>Mức thuế mới dựa trên thu nhập của tôi là hợp lý, giảm gánh nặng tài chính cho gia đình.</t>
  </si>
  <si>
    <t>Tài nguyên thuế sẽ được sử dụng hiệu quả để cải thiện dịch vụ công, đặc biệt quan trọng trong thời điểm hiện nay.</t>
  </si>
  <si>
    <t>Nhà nước đã giải thích rõ mục tiêu của việc cải cách và lý do cho các thay đổi này.</t>
  </si>
  <si>
    <t>Tôi ủng hộ chính sách mới vì nó giúp giảm gánh nặng thuế, tăng sự công bằng và thuận tiện hơn trong quá trình khai báo.</t>
  </si>
  <si>
    <t>Dù có công nghệ hỗ trợ, nhưng việc quản lý thuế vẫn phụ thuộc nhiều vào sự tuân thủ của cá nhân. Đánh giá trung bình.</t>
  </si>
  <si>
    <t>Cơ quan thuế hiện đại hóa hệ thống, tuy nhiên hiệu quả thực tế còn phụ thuộc vào nhiều yếu tố khác như cơ sở dữ liệu và nguồn lực.</t>
  </si>
  <si>
    <t>Quy trình khai báo thuế đơn giản hơn trước, đặc biệt là với mức giảm trừ gia cảnh mới.</t>
  </si>
  <si>
    <t>Biểu thuế mới rõ ràng và dễ hiểu hơn so với trước đây, mặc dù vẫn còn một số bậc thuế.</t>
  </si>
  <si>
    <t>Có sự công bằng trong việc giảm trừ gia cảnh và điều chỉnh mức thuế, thể hiện tính khách quan của nhà nước.</t>
  </si>
  <si>
    <t>Mức thuế mới phù hợp với thu nhập cá nhân tôi, cảm thấy được đối xử công bằng.</t>
  </si>
  <si>
    <t>Thuế đóng góp vào các dịch vụ công, đặc biệt là y tế và giao thông, giúp cải thiện chất lượng cuộc sống.</t>
  </si>
  <si>
    <t>Nhà nước đã giải thích rõ ràng về mục tiêu của việc sửa đổi thuế, tạo sự tin tưởng.</t>
  </si>
  <si>
    <t>Dù có những thay đổi, tôi vẫn ủng hộ và tuân thủ chính sách mới vì nó mang lại lợi ích tài chính và tính công bằng hơn.</t>
  </si>
  <si>
    <t>Dù có cải cách, nhưng việc quản lý thuế vẫn phụ thuộc vào sự tuân thủ của người nộp thuế và khả năng phát hiện của cơ quan thuế. Hiện tại, không đủ dữ liệu để đánh giá hiệu quả quản lý.</t>
  </si>
  <si>
    <t>Cơ quan thuế đã có nhiều công nghệ mới giúp phát hiện trốn thuế nhưng việc thực thi vẫn cần sự phối hợp của người nộp thuế.</t>
  </si>
  <si>
    <t>So với trước đây, quy trình khai báo và làm việc với cơ quan thuế đơn giản hơn nhiều, thuận tiện hơn cho người dân.</t>
  </si>
  <si>
    <t>Biểu thuế mới đơn giản hóa bậc thuế và cách tính, dễ dàng thực hiện hơn so với trước đây.</t>
  </si>
  <si>
    <t>Nguyên tắc công bằng đã được áp dụng trong việc giảm trừ gia cảnh và đơn giản hóa biểu thuế</t>
  </si>
  <si>
    <t>Những người như tôi, thu nhập trung bình, chỉ đóng mức thuế thấp nhất nên thấy là hợp lý.</t>
  </si>
  <si>
    <t>Thuế được sử dụng để cải thiện dịch vụ công, điều này tạo niềm tin vào việc đầu tư cho tương lai</t>
  </si>
  <si>
    <t>Nhà nước đã giải thích rõ ràng về mục tiêu của chính sách mới, giúp tôi hiểu và ủng hộ.</t>
  </si>
  <si>
    <t>Với sự đơn giản hóa quy định thuế, tôi sẽ tuân thủ và ủng hộ chính sách mới để cùng góp phần phát triển đất nước</t>
  </si>
  <si>
    <t>Có nhiều biện pháp quản lý thuế hiện nay, tuy nhiên vẫn còn hạn chế trong việc phát hiện trốn thuế.</t>
  </si>
  <si>
    <t>Khả năng của cơ quan thuế trong việc kiểm soát và xử lý đã cải thiện nhưng chưa hoàn hảo.</t>
  </si>
  <si>
    <t>Quy trình khai báo thuế dễ dàng hơn, tuy nhiên vẫn còn một số thủ tục rườm rà.</t>
  </si>
  <si>
    <t>Biểu thuế đơn giản hơn so với trước đây, nhưng cần thêm thời gian để nắm bắt.</t>
  </si>
  <si>
    <t>Tôi tin tưởng cơ quan thuế sẽ thực thi công bằng, tuy nhiên vẫn có lo ngại về khả năng thực hiện.</t>
  </si>
  <si>
    <t>Mức thuế mới giảm so với trước đây, tôi thấy điều này là hợp lý cho thu nhập của mình.</t>
  </si>
  <si>
    <t>Thuê đóng góp vào việc cải thiện dịch vụ công, tôi tin rằng tiền thuế sẽ được sử dụng hiệu quả.</t>
  </si>
  <si>
    <t>Cơ quan thuế đã giải thích rõ ràng về mục tiêu của chính sách mới, nhưng vẫn cần thêm thông tin.</t>
  </si>
  <si>
    <t>Tôi ủng hộ chính sách mới vì nó giúp tôi tiết kiệm được tiền thuế và thuận lợi hơn trong việc khai báo.</t>
  </si>
  <si>
    <t>Dù có các quy định quản lý thuế, nhưng với mức giảm trừ gia cảnh cao hơn và số bậc thuế ít đi, việc phát hiện trốn thuế sẽ khó khăn hơn. Tuy nhiên, cơ quan thuế vẫn có khả năng xử lý nghiêm minh.</t>
  </si>
  <si>
    <t>Cơ quan thuế đã áp dụng công nghệ để giám sát và xử lý các hành vi trốn thuế, nhưng mức độ hiệu quả còn phụ thuộc vào khả năng quản lý và thực thi của họ.</t>
  </si>
  <si>
    <t>So với trước đây, quy trình khai báo thuế đơn giản hơn nhiều. Việc giảm số bậc thuế cũng giúp thuận tiện cho người nộp thuế khi tính toán.</t>
  </si>
  <si>
    <t>Biểu thuế mới có ít bậc và dễ hiểu hơn, làm việc với cơ quan thuế nhanh chóng hơn. Tuy nhiên, mức thuế cao hơn so với trước đây gây chút khó khăn trong quá trình tính toán.</t>
  </si>
  <si>
    <t>Tôi tin rằng Nhà nước sẽ công tâm thực thi chính sách mới, nhưng số tiền thuế tôi phải đóng nhiều hơn so với trước đây. Điều này làm giảm sự tin tưởng của tôi về việc xử lý công bằng.</t>
  </si>
  <si>
    <t>Mức thuế hiện tại cho thu nhập của tôi là hợp lý, tuy nhiên số tiền tăng lên khiến tôi cảm thấy không hoàn toàn công bằng.</t>
  </si>
  <si>
    <t>Tôi tin rằng số tiền thuế đóng sẽ được sử dụng hiệu quả để cải thiện dịch vụ công. Tuy nhiên, việc tăng thuế so với trước đây làm giảm độ tin tưởng của tôi về mục tiêu chính sách.</t>
  </si>
  <si>
    <t>Nhà nước đã giải thích rõ ràng về lý do và mục đích của việc sửa đổi chính sách thuế. Tuy nhiên, số tiền tăng lên khiến tôi có chút nghi ngờ về sự minh bạch trong quá trình sử dụng nguồn thu.</t>
  </si>
  <si>
    <t>Dù có những thay đổi tích cực như giảm mức thuế và đơn giản hóa biểu thuế nhưng số tiền thuế tôi phải đóng nhiều hơn so với trước đây. Tuy nhiên, tôi vẫn ủng hộ chính sách mới vì mục đích cải thiện dịch vụ công.</t>
  </si>
  <si>
    <t>Hiện nay, hệ thống quản lý thuế đã phát triển đáng kể với nhiều công cụ giám sát hiện đại. Tuy nhiên, vẫn còn nhiều yếu tố phụ thuộc vào việc thực thi.</t>
  </si>
  <si>
    <t>Nhà nước đã đầu tư mạnh mẽ vào hệ thống công nghệ thông tin của cơ quan thuế, tăng cường khả năng phát hiện hành vi trốn thuế. Tuy nhiên, hiệu quả thực tế còn phụ thuộc vào nhiều yếu tố khác.</t>
  </si>
  <si>
    <t>So với trước đây, quy trình khai báo và làm việc với cơ quan thuế đã đơn giản hơn rất nhiều, giảm thời gian chờ đợi và thủ tục rườm rà.</t>
  </si>
  <si>
    <t>Biểu thuế mới đơn giản hơn với ít bậc, dễ hiểu và thực hiện hơn. Điều này giúp người dân nắm bắt nhanh chóng và thuận tiện trong quá trình tính toán.</t>
  </si>
  <si>
    <t>Tôi tin rằng cơ quan thuế sẽ công tâm khi áp dụng chính sách mới, nhưng vẫn cần thêm thời gian để thấy thực tế như thế nào.</t>
  </si>
  <si>
    <t>Thuế tôi phải đóng giảm đáng kể, giúp tôi cảm thấy việc đóng thuế trở nên công bằng hơn. Mức giảm trừ gia cảnh cũng tăng, tạo sự công bằng cho người thu nhập thấp hơn.</t>
  </si>
  <si>
    <t>Các khoản thuế được sử dụng để cải thiện dịch vụ công, nhưng tôi mong muốn có thêm thông tin cụ thể về cách sử dụng nguồn thu này.</t>
  </si>
  <si>
    <t>Tôi ủng hộ và tuân thủ chính sách mới vì nó giúp giảm gánh nặng tài chính và tăng sự công bằng trong việc đóng thuế.</t>
  </si>
  <si>
    <t>Mặc dù có các quy định quản lý thuế, nhưng tôi vẫn nghi ngờ khả năng phát hiện gian lận hoặc trốn thuế của cơ quan thuế. Việc xử lý nghiêm sẽ phụ thuộc vào hiệu quả thực thi.</t>
  </si>
  <si>
    <t>Nếu Nhà nước và cơ quan thuế có đủ công nghệ và nguồn lực, họ có thể phát hiện và xử lý các hành vi trốn thuế một cách hiệu quả. Tuy nhiên, tôi không chắc chắn về khả năng này.</t>
  </si>
  <si>
    <t>Quy trình khai báo thuế và làm việc với cơ quan thuế đã đơn giản hơn so với trước đây, đặc biệt là sau khi mức giảm trừ gia cảnh tăng lên. Điều này giúp tôi nhanh chóng hoàn thành các thủ tục.</t>
  </si>
  <si>
    <t>Phương án mới có ít bậc thuế và ngưỡng chịu thuế rõ ràng hơn, làm cho việc tính thuế dễ hiểu và thực hiện đơn giản hơn. Đây là một cải tiến lớn so với trước đây.</t>
  </si>
  <si>
    <t>Tôi tin rằng cơ quan thuế sẽ thực thi chính sách mới công bằng đối với mọi người nộp thuế, nhưng tôi vẫn có những lo ngại về khả năng quản lý và giám sát của họ.</t>
  </si>
  <si>
    <t>Mức thuế theo phương án mới là hợp lý cho thu nhập của tôi. Việc tăng mức giảm trừ gia cảnh giúp tôi tiết kiệm tiền, điều này làm tăng cảm giác công bằng.</t>
  </si>
  <si>
    <t>Tôi tin rằng số tiền thuế đóng sẽ được sử dụng hiệu quả để cải thiện dịch vụ công, nhưng tôi cũng lo ngại về việc quản lý chi tiêu của Nhà nước.</t>
  </si>
  <si>
    <t>Nhà nước đã giải thích rõ ràng về mục đích và lý do sửa đổi thuế, tuy nhiên, vẫn còn nhiều thông tin cần được cung cấp để tăng sự hiểu biết của công chúng.</t>
  </si>
  <si>
    <t>Dù có những lo ngại nhưng tôi ủng hộ chính sách mới vì nó đơn giản hóa quy trình và giảm gánh nặng thuế cho người dân, đồng thời giúp cải thiện dịch vụ công</t>
  </si>
  <si>
    <t>Việc tăng mức giảm trừ gia cảnh và đơn giản hóa biểu thuế có thể khiến hành vi gian lận khó phát hiện hơn. Tuy nhiên, với sự cải tiến về công nghệ quản lý thuế, khả năng phát hiện vẫn còn cao.</t>
  </si>
  <si>
    <t>Cơ quan thuế đã và đang đầu tư mạnh vào công nghệ để nâng cao hiệu quả quản lý. Do đó, khả năng phát hiện hành vi trốn thuế là rất lớn.</t>
  </si>
  <si>
    <t>Quy trình khai báo thuế trở nên đơn giản hơn với số bậc thuế giảm đi và mức giảm trừ gia cảnh tăng lên. Điều này giúp việc làm thủ tục trở nên thuận tiện hơn.</t>
  </si>
  <si>
    <t>Bậc thuế mới đơn giản hóa quá trình tính toán, dễ hiểu và thực hiện hơn so với trước đây.</t>
  </si>
  <si>
    <t>Tôi tin Nhà nước sẽ công bằng trong việc áp dụng chính sách mới. Mức thuế giảm đáng kể cho tôi tạo nên sự tín nhiệm đối với cách họ quản lý tài chính quốc gia.</t>
  </si>
  <si>
    <t>Mức thuế mới được xem xét kỹ lưỡng và phù hợp với thu nhập của tôi, tạo cảm giác công bằng hơn so với trước đây.</t>
  </si>
  <si>
    <t>Thuế đóng góp vào việc cải thiện dịch vụ công. Việc giảm trừ gia cảnh tăng lên giúp số tiền đóng thuế được sử dụng hiệu quả hơn cho mục đích này.</t>
  </si>
  <si>
    <t>Nhà nước đã giải thích rõ ràng về việc sửa đổi chính sách, điều này tạo ra sự minh bạch và tin tưởng vào quyết định của họ.</t>
  </si>
  <si>
    <t>Sau khi xem xét các yếu tố trên, tôi ủng hộ và sẽ tuân thủ chính sách mới. Thuế giảm đáng kể giúp cải thiện tài chính gia đình và tạo ra niềm tin vào hệ thống thuế hiện tại.</t>
  </si>
  <si>
    <t>Hiện nay, các quy định quản lý thuế có nhiều cải tiến về công nghệ và quy trình, giúp việc phát hiện hành vi gian lận hoặc trốn thuế trở nên dễ dàng hơn. Tuy nhiên, vẫn cần sự tuân thủ từ người nộp thuế.</t>
  </si>
  <si>
    <t>Cơ quan thuế đã đầu tư vào công nghệ và hệ thống quản lý thuế hiện đại, giúp phát hiện và xử lý các hành vi trốn thuế một cách hiệu quả. Điều này tăng niềm tin vào khả năng thực thi của nhà nước.</t>
  </si>
  <si>
    <t>Thủ tục khai báo thuế trở nên đơn giản hơn với mức giảm trừ gia cảnh cao và số bậc thuế ít đi, giúp người dân dễ dàng làm việc với cơ quan thuế.</t>
  </si>
  <si>
    <t>Các bậc thuế mới được đơn giản hóa, dễ hiểu và thực hiện thuận lợi hơn. Điều này giúp tôi cảm thấy giao dịch thuế trở nên tiện lợi hơn.</t>
  </si>
  <si>
    <t>Tôi tin rằng Nhà nước sẽ thực thi chính sách một cách công bằng và khách quan, không phân biệt đối xử giữa các cá nhân nộp thuế.</t>
  </si>
  <si>
    <t>Mức thuế theo phương án mới phù hợp với thu nhập của tôi. Tôi thấy rằng mức giảm trừ gia cảnh cao giúp cân bằng hơn so với trước đây.</t>
  </si>
  <si>
    <t>Tôi tin tưởng rằng số tiền thuế đóng sẽ được sử dụng hiệu quả để cải thiện các dịch vụ công, từ đó nâng cao chất lượng cuộc sống của người dân.</t>
  </si>
  <si>
    <t>Nhà nước đã giải thích rõ ràng về mục đích và lý do sửa đổi thuế. Tuy nhiên, vẫn cần thêm thông tin chi tiết hơn để tăng sự hiểu biết của công chúng.</t>
  </si>
  <si>
    <t>Tôi ủng hộ chính sách mới vì nó mang lại nhiều lợi ích cho tôi về mặt tài chính và thủ tục làm việc với cơ quan thuế. Tuy nhiên, vẫn có một số cải tiến cần thực hiện để tăng sự tin tưởng.</t>
  </si>
  <si>
    <t>Việc tăng mức giảm trừ gia cảnh và đơn giản hóa biểu thuế có thể làm giảm động cơ trốn thuế, tuy nhiên, vẫn cần sự giám sát chặt chẽ từ phía Nhà nước để đảm bảo tính công bằng.</t>
  </si>
  <si>
    <t>Cơ quan thuế đã có nhiều nỗ lực trong việc sử dụng công nghệ hiện đại, nhưng hiệu quả thực tế của các biện pháp này phụ thuộc vào sự tuân thủ của người dân và quy định cụ thể.</t>
  </si>
  <si>
    <t>So với trước đây, quy trình khai thuế trở nên đơn giản hơn do việc giảm bớt các bước phức tạp, giúp tôi nhanh chóng hoàn thành công việc.</t>
  </si>
  <si>
    <t>Biểu thuế mới rõ ràng và dễ hiểu hơn, đặc biệt là với sự tăng cường của hệ thống thông tin thuế trực tuyến, giúp tôi dễ dàng tính toán và nộp thuế.</t>
  </si>
  <si>
    <t>Tôi tin rằng Nhà nước sẽ thực hiện chính sách một cách công bằng đối với tất cả người dân, nhưng cần thêm thời gian để chứng minh sự công bằng trong việc áp dụng quy định mới.</t>
  </si>
  <si>
    <t>Những cải tiến về giảm trừ gia cảnh và đơn giản hóa biểu thuế tạo ra mức thuế hợp lý cho thu nhập của tôi, thể hiện tính công bằng.</t>
  </si>
  <si>
    <t>Thuế đóng góp vào việc cải thiện dịch vụ công, tuy nhiên, hiệu quả sử dụng số tiền này cần được theo dõi chặt chẽ để đảm bảo mục tiêu đặt ra.</t>
  </si>
  <si>
    <t>Nhà nước đã giải thích chi tiết về các thay đổi trong thuế, nhưng vẫn có chỗ cho cải thiện trong việc cung cấp thông tin minh bạch hơn nữa.</t>
  </si>
  <si>
    <t>Sau khi xem xét tác động tài chính và sự đơn giản hóa quy trình, tôi ủng hộ và tuân thủ chính sách mới, đồng thời sẽ đóng góp vào việc cải thiện dịch vụ công.</t>
  </si>
  <si>
    <t>Dựa trên thực tế, các quy định quản lý thuế hiện nay chưa đủ mạnh để phát hiện hành vi gian lận hoặc trốn thuế một cách hiệu quả. Thuế điện tử đã giúp cải thiện đáng kể nhưng vẫn còn nhiều khuyết điểm.</t>
  </si>
  <si>
    <t>Nhà nước đang đầu tư vào công nghệ để phát hiện và xử lý gian lận thuế, tuy nhiên cần thời gian để triển khai hoàn toàn. Công nghệ hiện tại đã giúp cải thiện đáng kể so với trước đây.</t>
  </si>
  <si>
    <t>So với trước đây, quy trình làm việc và khai báo thuế đơn giản hơn nhiều, không còn rườm rà như trước nữa. Tuy nhiên, vẫn còn một số bước cần tối ưu hóa thêm.</t>
  </si>
  <si>
    <t>Bậc thuế mới đơn giản hơn với ít bậc hơn và ngưỡng chịu thuế hợp lý hơn. Điều này giúp người dân dễ dàng tính toán và nộp thuế hơn so với trước đây.</t>
  </si>
  <si>
    <t>Tôi tin rằng Nhà nước sẽ thực thi chính sách một cách công bằng, nhưng cần thời gian để chứng minh. Hiệu quả của cải cách thuế chưa được thể hiện đầy đủ.</t>
  </si>
  <si>
    <t>Mức thuế mới phù hợp với thu nhập của tôi và nhiều người khác trong cùng ngành nghề. Việc giảm trừ gia cảnh tăng lên làm cho mức thuế có vẻ công bằng hơn.</t>
  </si>
  <si>
    <t>Thuê đóng góp vào việc cải thiện dịch vụ công, nhưng cần xem xét hiệu quả sử dụng ngân sách và kết quả thực tế từ các dự án đầu tư.</t>
  </si>
  <si>
    <t>Nhà nước đã giải thích rõ về mục tiêu của việc sửa đổi thuế trong các thông báo chính thức. Tuy nhiên, cần thêm minh bạch về cách sử dụng nguồn thu từ thuế để tăng niềm tin.</t>
  </si>
  <si>
    <t>Tôi ủng hộ và tuân thủ chính sách mới vì nó mang lại nhiều lợi ích cho người dân như giảm gian lận, đơn giản hóa quy trình và làm cho việc tính toán thuế trở nên dễ dàng hơn.</t>
  </si>
  <si>
    <t>Hiện nay, cơ quan thuế có nhiều công cụ phát hiện gian lận và trốn thuế. Tuy nhiên, việc quản lý thuế vẫn còn thiếu sót ở một số nơi.</t>
  </si>
  <si>
    <t>Nhà nước đã đầu tư mạnh vào hệ thống công nghệ thông tin để tăng cường khả năng giám sát và xử lý các hành vi trốn thuế. Đây là tín hiệu tích cực.</t>
  </si>
  <si>
    <t>Quy trình khai báo thuế trở nên đơn giản hơn, thủ tục làm việc với cơ quan thuế cũng thuận lợi hơn so với trước đây.</t>
  </si>
  <si>
    <t>Biểu thuế mới có ít bậc hơn và các mức thuế suất rõ ràng hơn, dễ hiểu và thực hiện dễ dàng hơn cho người dân.</t>
  </si>
  <si>
    <t>Tôi tin rằng cơ quan thuế sẽ tiếp tục duy trì sự công bằng trong việc áp dụng chính sách thuế mới. Các quy định đã được cải tiến rõ ràng hơn.</t>
  </si>
  <si>
    <t>Nhờ mức giảm trừ gia cảnh và số bậc thuế đơn giản hóa, tôi cảm thấy mình đóng thuế công bằng hơn so với trước đây.</t>
  </si>
  <si>
    <t>Tiền thuế mà tôi đóng sẽ được sử dụng để cải thiện các dịch vụ công, từ đó nâng cao chất lượng cuộc sống của người dân.</t>
  </si>
  <si>
    <t>Nhà nước đã tổ chức nhiều hội thảo và giải thích về chính sách mới một cách minh bạch. Điều này giúp tôi hiểu rõ mục tiêu cải cách thuế.</t>
  </si>
  <si>
    <t>Tôi ủng hộ và tuân thủ chính sách mới vì nó mang lại lợi ích thực tế cho người dân, đồng thời công bằng hơn về mặt thuế</t>
  </si>
  <si>
    <t>Mức giảm trừ gia cảnh cao và số bậc thuế đơn giản nên việc phát hiện trốn thuế trở nên khó khăn. Tuy nhiên, khả năng xử lý nghiêm vẫn có.</t>
  </si>
  <si>
    <t>Công nghệ ngày càng phát triển, nhưng nguồn lực cụ thể của cơ quan thuế chưa rõ ràng.</t>
  </si>
  <si>
    <t>Quy trình khai báo và làm việc với cơ quan thuế đơn giản hơn trước, thuận tiện hơn cho người dân.</t>
  </si>
  <si>
    <t>Số bậc thuế giảm từ 7 xuống 5, cách tính thuế rõ ràng, dễ hiểu và thực hiện được.</t>
  </si>
  <si>
    <t>Tôi tin Nhà nước sẽ công tâm trong việc thực thi chính sách mới, nhưng vẫn có nghi ngờ về khả năng kiểm soát trốn thuế.</t>
  </si>
  <si>
    <t>Mức giảm trừ gia cảnh cao và số bậc thuế ít hơn làm cho mức thuế tôi phải đóng hợp lý.</t>
  </si>
  <si>
    <t>Thuế được sử dụng để cải thiện dịch vụ công, nhưng hiệu quả cụ thể chưa rõ ràng.</t>
  </si>
  <si>
    <t>Lý do và mục tiêu của việc sửa đổi thuế đã được giải thích rõ ràng</t>
  </si>
  <si>
    <t>Dù có nghi ngờ về khả năng phát hiện trốn thuế, nhưng mức thuế giảm và quy trình đơn giản khiến tôi ủng hộ chính sách mới.</t>
  </si>
  <si>
    <t>Nếu cơ quan thuế có đủ công nghệ và nguồn lực, tôi tin rằng việc phát hiện hành vi gian lận hoặc trốn thuế sẽ không khó. Tuy nhiên, dựa trên thông tin hiện tại, tôi vẫn chưa hoàn toàn chắc chắn.</t>
  </si>
  <si>
    <t>Nhà nước đã đầu tư vào công nghệ và nhân lực để cải thiện quản lý thuế, do đó khả năng phát hiện và xử lý nghiêm các hành vi trốn thuế là cao hơn trước đây.</t>
  </si>
  <si>
    <t>Việc đơn giản hóa quy trình khai báo và làm việc với cơ quan thuế giúp giảm bớt phiền toái, nhưng vẫn cần thêm thời gian để nhân viên thuế và người nộp thuế thích nghi.</t>
  </si>
  <si>
    <t>Các bậc thuế mới đơn giản hơn so với trước đây, dễ hiểu và thực hiện thuận tiện hơn. Điều này làm tăng độ tin cậy về cách tính thuế của mình.</t>
  </si>
  <si>
    <t>Tôi có niềm tin rằng Nhà nước sẽ thực thi chính sách một cách công bằng và khách quan, nhưng cần thêm thời gian để chứng minh.</t>
  </si>
  <si>
    <t>Thuế mới được giảm so với trước đây, do đó tôi thấy mức thuế này là hợp lý. Việc tăng mức giảm trừ gia cảnh cũng làm cho thuế trở nên công bằng hơn đối với tôi.</t>
  </si>
  <si>
    <t>Tổng thể, số tiền thuế mà tôi đóng sẽ được sử dụng hiệu quả để cải thiện dịch vụ công. Tuy nhiên, cần có thêm thông tin về việc này.</t>
  </si>
  <si>
    <t>Nhà nước đã giải thích khá rõ ràng về mục tiêu và lý do của việc sửa đổi thuế lần này, nhưng vẫn còn một số chi tiết chưa được làm sáng tỏ.</t>
  </si>
  <si>
    <t>Tôi ủng hộ chính sách mới vì thuế giảm và quy trình đơn giản hơn. Tuy nhiên, tôi sẽ tiếp tục theo dõi để đảm bảo rằng các quyền lợi của mình không bị ảnh hưởng tiêu cực trong tương lai.</t>
  </si>
  <si>
    <t>Tôi tin rằng với mức thuế cao và giảm trừ gia cảnh nhiều hơn, hành vi gian lận sẽ khó trốn tránh. Cơ quan thuế có công nghệ hiện đại nên dễ dàng kiểm soát.</t>
  </si>
  <si>
    <t>Nhà nước đã đầu tư vào hệ thống công nghệ thông tin để xử lý các vấn đề về thuế, do đó khả năng phát hiện gian lận và trốn thuế là cao.</t>
  </si>
  <si>
    <t>Quy trình khai báo thuế đơn giản hơn, không còn nhiều bước rườm rà như trước. Việc sử dụng công nghệ giúp quá trình làm việc với cơ quan thuế trở nên nhanh chóng và tiện lợi.</t>
  </si>
  <si>
    <t>So với trước đây, cách tính thuế mới rõ ràng hơn, dễ hiểu và đơn giản hơn. Bậc thuế giảm từ 7 xuống 5, giúp tôi không còn phải lo lắng về việc tính toán phức tạp.</t>
  </si>
  <si>
    <t>Nhà nước đã cải cách để đảm bảo công bằng trong việc đánh thuế, do đó tôi tin rằng họ sẽ thực hiện chính sách một cách khách quan và công bình đối với mọi người nộp thuế.</t>
  </si>
  <si>
    <t>Theo phương án mới, số tiền thuế mà tôi phải đóng là hợp lý. Mức giảm trừ gia cảnh tăng lên giúp tiết kiệm chi phí thuế cho gia đình tôi.</t>
  </si>
  <si>
    <t>Tiền thuế của tôi sẽ được sử dụng hiệu quả để cải thiện các dịch vụ công, như y tế và đường xá. Điều này làm tăng niềm tin vào việc Nhà nước sử dụng nguồn lực đúng mục đích.</t>
  </si>
  <si>
    <t>Nhà nước đã giải thích rõ ràng về sự cần thiết của việc cải cách thuế. Các thông tin được cung cấp giúp tôi hiểu rõ hơn về lý do và mục tiêu của chính sách mới.</t>
  </si>
  <si>
    <t>Tác động tài chính là tích cực, với việc giảm thuế và tăng giảm trừ gia cảnh, tôi thấy chính sách mới rất phù hợp với hoàn cảnh của mình. Tôi sẽ ủng hộ và tuân thủ nó.</t>
  </si>
  <si>
    <t>Việc tăng mức giảm trừ gia cảnh và đơn giản hóa biểu thuế có thể làm giảm khả năng phát hiện hành vi trốn thuế. Tuy nhiên, cơ quan thuế vẫn được chỉ định xử lý nghiêm các trường hợp gian lận.</t>
  </si>
  <si>
    <t>Nhà nước đã đầu tư vào công nghệ để theo dõi và giám sát hành vi nộp thuế, tuy nhiên, việc áp dụng hiệu quả còn phụ thuộc vào việc thực thi của cơ quan thuế.</t>
  </si>
  <si>
    <t>Quy trình khai báo thuế trở nên đơn giản hơn với mức giảm trừ gia cảnh mới và biểu thuế ngắn gọn hơn. Tuy nhiên, vẫn có thể gặp khó khăn khi áp dụng các quy định mới.</t>
  </si>
  <si>
    <t>Biểu thuế mới đơn giản hơn so với trước đây, giúp người dân dễ dàng tính toán và thực hiện đúng theo quy định. Mức thuế mới cũng phù hợp với thu nhập của mình.</t>
  </si>
  <si>
    <t>Tôi tin rằng cơ quan thuế sẽ công bằng trong việc áp dụng chính sách mới, tuy nhiên, do sự phức tạp ban đầu khi áp dụng, đôi lúc vẫn có cảm giác nghi ngờ.</t>
  </si>
  <si>
    <t>Mức giảm trừ gia cảnh và biểu thuế mới làm cho mức thuế tôi phải đóng trở nên công bằng hơn so với trước đây. Điều này giúp tăng niềm tin về tính công bằng trong hệ thống thuế.</t>
  </si>
  <si>
    <t>Nhà nước đã giải thích rõ ràng mục tiêu của việc cải cách thuế, và tôi hy vọng số tiền thuế đóng sẽ được sử dụng hiệu quả để nâng cao chất lượng dịch vụ công.</t>
  </si>
  <si>
    <t>Dù có sự thay đổi về chính sách thuế, cơ quan thuế đã giải thích rõ ràng về mục tiêu của việc cải cách. Tuy nhiên, tôi vẫn mong muốn có thêm thông tin cụ thể hơn về cách sử dụng nguồn thu thuế.</t>
  </si>
  <si>
    <t>Cải cách thuế mới này giúp giảm gánh nặng tài chính cho tôi và người thân phụ thuộc, đồng thời đơn giản hóa quy trình khai báo. Tôi sẽ ủng hộ và tuân thủ chính sách mới.</t>
  </si>
  <si>
    <t>Chính phủ đã tăng cường quản lý thuế thông qua việc áp dụng công nghệ hiện đại, điều này tăng khả năng phát hiện hành vi trốn thuế. Tuy nhiên, vẫn có thể còn tồn tại những lỗ hổng nhỏ.</t>
  </si>
  <si>
    <t>Cơ quan thuế đã nâng cấp hệ thống để giám sát hiệu quả hơn, giảm thiểu khả năng trốn tránh. Đây là dấu hiệu tích cực về việc tăng cường quản lý.</t>
  </si>
  <si>
    <t>Quy trình khai thuế và làm việc với cơ quan thuế được đơn giản hóa, tiết kiệm thời gian cho người dân. Tuy nhiên, vẫn cần thêm cải tiến để hoàn thiện hơn.</t>
  </si>
  <si>
    <t>Biểu thuế mới có ít bậc hơn nên dễ hiểu và thực hiện nhanh chóng hơn so với trước đây. Đây là yếu tố quan trọng làm tăng sự thuận tiện cho người nộp thuế.</t>
  </si>
  <si>
    <t>Nhà nước đã cải cách một cách công bằng, đảm bảo giảm trừ gia cảnh và bậc thuế phù hợp hơn. Điều này thể hiện sự đối xử bình đẳng giữa các nhóm thu nhập.</t>
  </si>
  <si>
    <t>Theo phương án mới, mức thuế tôi phải đóng là phù hợp với thu nhập hiện tại của mình. Mức giảm trừ gia cảnh tăng thêm làm cho việc tính thuế trở nên công bằng hơn.</t>
  </si>
  <si>
    <t>Thuế mà tôi đóng sẽ được sử dụng để cải thiện các dịch vụ công quan trọng như y tế và giao thông. Điều này mang lại niềm tin rằng tiền thuế của mình sẽ được tận dụng hiệu quả.</t>
  </si>
  <si>
    <t>Nhà nước đã giải thích rõ về mục tiêu và lý do của cải cách. Tuy nhiên, cần thêm thông tin cụ thể hơn để người dân hiểu sâu sắc hơn về tác động thực tế.</t>
  </si>
  <si>
    <t>Phương án mới mang lại nhiều lợi ích cho tôi, từ việc đơn giản hóa thủ tục đến giảm trừ gia cảnh. Tôi ủng hộ và sẽ tuân thủ chính sách này.</t>
  </si>
  <si>
    <t>Việc tăng giảm trừ gia cảnh và đơn giản hóa biểu thuế có thể giúp phát hiện hành vi gian lận hoặc trốn thuế dễ dàng hơn, nhưng khả năng thực thi phụ thuộc vào sự hiệu quả của cơ quan thuế.</t>
  </si>
  <si>
    <t>Nhà nước và cơ quan thuế đã đầu tư công nghệ để phát hiện và xử lý trốn thuế, vì vậy tôi tin rằng họ có đủ khả năng thực thi.</t>
  </si>
  <si>
    <t>Quy trình khai báo thuế trở nên đơn giản hơn với mức giảm trừ gia cảnh cao hơn, nhưng vẫn cần thời gian làm quen để nắm bắt quy trình mới.</t>
  </si>
  <si>
    <t>Biểu thuế được đơn giản hóa từ 7 bậc xuống còn 5 bậc, do đó dễ hiểu và thực hiện hơn so với trước đây.</t>
  </si>
  <si>
    <t>Tôi tin rằng Nhà nước sẽ thực thi chính sách một cách công bằng, nhưng sự công bằng phụ thuộc vào việc các quy định được áp dụng như thế nào.</t>
  </si>
  <si>
    <t>Mức thuế mới giảm so với trước đây nên tôi thấy nó công bằng hơn đối với thu nhập của mình.</t>
  </si>
  <si>
    <t>Thuế đóng góp vào sự phát triển hạ tầng và dịch vụ công, vì vậy tôi tin rằng số tiền thuế tôi đóng sẽ được sử dụng hiệu quả.</t>
  </si>
  <si>
    <t>Nhà nước đã giải thích rõ ràng về mục tiêu của việc sửa đổi thuế, nhưng thêm thông tin chi tiết về cách thức áp dụng sẽ giúp tăng độ tin cậy.</t>
  </si>
  <si>
    <t>Dù còn nhiều thắc mắc, nhưng sự cải tiến về mức thuế và quy trình làm việc đã khiến tôi ủng hộ chính sách mới.</t>
  </si>
  <si>
    <t>Nhà nước đã có nhiều biện pháp quản lý thuế và công nghệ hiện đại, nhưng vẫn chưa thể tránh được các lỗ hổng nhỏ trong việc phát hiện trốn thuế.</t>
  </si>
  <si>
    <t>Cơ quan thuế đã cải thiện đáng kể khả năng giám sát và xử lý vi phạm thông qua công nghệ, nhưng vẫn còn hạn chế về nguồn lực con người.</t>
  </si>
  <si>
    <t>So với trước đây, quy trình khai báo thuế đơn giản hơn, thủ tục dễ dàng hơn, tuy nhiên việc nộp thuế trực tuyến chưa phổ biến rộng rãi.</t>
  </si>
  <si>
    <t>Bậc thuế đã được đơn giản hóa, giảm độ phức tạp, nhưng cần thêm hướng dẫn cụ thể để người dân hiểu rõ.</t>
  </si>
  <si>
    <t>Tôi tin rằng Nhà nước sẽ thực thi chính sách một cách công bằng, nhưng vẫn có những lo ngại về việc kiểm soát và giám sát.</t>
  </si>
  <si>
    <t>Mức thuế mới được xem là hợp lý cho thu nhập của tôi, giảm gánh nặng tài chính, tạo cảm giác công bằng.</t>
  </si>
  <si>
    <t>Tổng thể tôi tin rằng số tiền thuế đóng sẽ được sử dụng hiệu quả để cải thiện dịch vụ công</t>
  </si>
  <si>
    <t>Nhà nước đã giải thích rõ về mục tiêu của việc sửa đổi Luật Thuế TNCN, nhưng cần thêm thông tin chi tiết hơn</t>
  </si>
  <si>
    <t>Tôi ủng hộ chính sách mới vì nó giảm gánh nặng tài chính và đơn giản hóa quy trình thuế, đồng thời tôi sẽ tuân thủ.</t>
  </si>
  <si>
    <t>Hiện nay, với sự phát triển của công nghệ và quy định quản lý thuế rõ ràng hơn, tôi tin rằng hành vi gian lận hoặc trốn thuế sẽ dễ dàng bị phát hiện. Cơ quan thuế cũng có nhiều nguồn lực để xử lý nghiêm các trường hợp vi phạm.</t>
  </si>
  <si>
    <t>Nhà nước và cơ quan thuế đã đầu tư vào công nghệ, đào tạo đội ngũ nhân viên chuyên nghiệp hơn để phát hiện, xử lý trốn thuế. Điều này làm tăng khả năng thực thi pháp luật.</t>
  </si>
  <si>
    <t>Trình tự khai báo thuế và giao tiếp với cơ quan thuế đã đơn giản hóa so với trước đây. Tôi thấy các quy trình đều được cải thiện để thuận tiện cho người dân.</t>
  </si>
  <si>
    <t>Biểu thuế mới có ít bậc hơn, dễ hiểu và thực hiện thuận lợi hơn. Việc tăng giảm trừ gia cảnh cũng giúp tính toán thuế đơn giản hơn</t>
  </si>
  <si>
    <t>Tôi tin rằng Nhà nước sẽ áp dụng chính sách một cách công bằng cho mọi người nộp thuế. Sự thay đổi về mức giảm trừ và bậc thuế đã mang lại sự công bằng cho tôi.</t>
  </si>
  <si>
    <t>Mức thuế mới phù hợp với thu nhập của tôi, giảm gánh nặng tài chính. Việc này thể hiện tính công bằng trong hệ thống thuế</t>
  </si>
  <si>
    <t>Thuế đóng góp vào việc cải thiện các dịch vụ công như y tế và hạ tầng, giúp nâng cao chất lượng cuộc sống của người dân.</t>
  </si>
  <si>
    <t>Nhà nước đã có sự giải thích rõ ràng về mục tiêu và lý do thay đổi thuế. Điều này tăng tính minh bạch và niềm tin vào chính sách mới</t>
  </si>
  <si>
    <t>Sau khi xem xét các quyền lợi và nghĩa vụ, tôi ủng hộ và tuân thủ chính sách mới vì nó mang lại nhiều lợi ích hơn cho tôi.</t>
  </si>
  <si>
    <t>Hiện nay, với công nghệ phát triển, tôi tin rằng việc phát hiện hành vi gian lận hoặc trốn thuế sẽ không quá khó khăn. Tuy nhiên, vẫn cần sự cải thiện về quy định quản lý để tăng cường hiệu quả.</t>
  </si>
  <si>
    <t>Nhà nước đã đầu tư vào công nghệ và nhân lực cho ngành thuế, tuy nhiên, hiệu quả thực tế còn phụ thuộc vào việc triển khai.</t>
  </si>
  <si>
    <t>Với mức giảm trừ gia cảnh được tăng lên, quy trình khai báo thuế trở nên đơn giản hơn. Tuy nhiên, vẫn cần sự cải thiện về mặt dịch vụ khách hàng để làm việc với cơ quan thuế dễ dàng hơn.</t>
  </si>
  <si>
    <t>Biểu thuế mới có ít bậc hơn và rõ ràng hơn so với trước đây, giúp việc tính toán và nộp thuế thuận lợi hơn.</t>
  </si>
  <si>
    <t>Tôi tin rằng Nhà nước sẽ thực thi chính sách một cách công bằng, tuy nhiên, vẫn cần thêm thông tin minh bạch từ các cơ quan quản lý để tăng niềm tin.</t>
  </si>
  <si>
    <t>Mức thuế mới giảm đi đáng kể so với trước đây và phù hợp với thu nhập của tôi. Điều này làm tăng cảm giác công bằng trong việc đóng góp.</t>
  </si>
  <si>
    <t>Sau khi xem xét, tôi tin rằng số tiền thuế tôi đóng sẽ được sử dụng hiệu quả cho các dịch vụ công</t>
  </si>
  <si>
    <t>Nhà nước đã giải thích rõ ràng về sự thay đổi này, tuy nhiên, vẫn cần thêm thông tin chi tiết về cách sử dụng nguồn thu thuế.</t>
  </si>
  <si>
    <t>Sau khi xem xét tác động tài chính và các cải tiến trong quy định, tôi đồng ý với chính sách mới và sẵn lòng tuân thủ.</t>
  </si>
  <si>
    <t>Hiện nay, cơ quan thuế có nhiều công cụ để phát hiện hành vi gian lận hoặc trốn thuế. Với mức giảm trừ gia cảnh tăng và số bậc thuế đơn giản hơn, việc kiểm soát sẽ trở nên dễ dàng hơn.</t>
  </si>
  <si>
    <t>Nhà nước đã đầu tư vào công nghệ và nhân lực để phát hiện các hành vi trốn thuế. Với sự cải cách này, khả năng xử lý nghiêm minh sẽ tăng lên.</t>
  </si>
  <si>
    <t>Thủ tục khai báo thuế trở nên đơn giản hơn với mức giảm trừ gia cảnh cao và số bậc thuế ít hơn, giúp tôi tiết kiệm thời gian trong việc làm việc với cơ quan thuế.</t>
  </si>
  <si>
    <t>Với bảng thuế đơn giản hơn, việc tính toán thu nhập chịu thuế của mình trở nên dễ dàng và thuận tiện hơn so với trước đây.</t>
  </si>
  <si>
    <t>Tôi tin rằng cơ quan thuế sẽ thực hiện chính sách một cách công bằng. Mức thuế mới phù hợp với thu nhập của tôi, đảm bảo sự công bằng trong việc đóng góp cho xã hội.</t>
  </si>
  <si>
    <t>Mức thuế mới được thiết lập dựa trên thu nhập và người phụ thuộc của tôi, thể hiện sự công bằng đối với người dân có hoàn cảnh tương tự.</t>
  </si>
  <si>
    <t>Tài nguyên thuế sẽ được sử dụng hiệu quả để cải thiện các dịch vụ công quan trọng như y tế và giao thông. Điều này tạo ra niềm tin rằng việc đóng thuế mang lại lợi ích cho cộng đồng.</t>
  </si>
  <si>
    <t>Nhà nước đã cung cấp thông tin rõ ràng về việc cải cách thuế, giải thích lý do và mục tiêu của nó. Điều này làm tăng niềm tin vào quyết định quản lý tài chính của họ.</t>
  </si>
  <si>
    <t>Tôi ủng hộ chính sách mới vì nó giúp giảm gánh nặng thuế cho tôi mà vẫn đảm bảo công bằng trong việc đóng góp cho xã hội. Điều này đồng thời tạo ra một môi trường kinh doanh và làm việc thuận lợi hơn.</t>
  </si>
  <si>
    <t>Tăng cường quản lý thuế và công nghệ hiện đại có thể phát hiện hành vi gian lận hoặc trốn thuế, nhưng vẫn cần cải thiện.</t>
  </si>
  <si>
    <t>Nhà nước đã đầu tư vào công nghệ và nhân lực để cải thiện hiệu quả quản lý thuế, tuy nhiên, khả năng phát hiện còn phụ thuộc vào sự tuân thủ của người dân.</t>
  </si>
  <si>
    <t>Quy trình khai báo thuế trở nên đơn giản hơn với mức giảm trừ gia cảnh cao hơn và số bậc thuế ít đi, tạo thuận lợi cho người nộp thuế.</t>
  </si>
  <si>
    <t>Các bậc thuế mới đơn giản hóa quy trình tính thuế, giúp tôi dễ dàng quản lý và không còn cảm thấy bị áp lực.</t>
  </si>
  <si>
    <t>Tôi tin rằng Nhà nước sẽ thực hiện chính sách một cách công bằng đối với mọi người nộp thuế, mặc dù vẫn có sự nghi ngờ về việc thực thi.</t>
  </si>
  <si>
    <t>Thuế mới phù hợp với thu nhập của tôi và mức giảm trừ gia cảnh cao hơn giúp giảm bớt gánh nặng tài chính</t>
  </si>
  <si>
    <t>Tiền thuế tôi đóng sẽ được sử dụng để cải thiện các dịch vụ công, nhưng hiệu quả cụ thể còn phụ thuộc vào cách quản lý ngân sách.</t>
  </si>
  <si>
    <t>Nhà nước đã giải thích rõ ràng về mục tiêu của việc sửa đổi thuế, tuy nhiên, sự minh bạch cần được cải thiện hơn nữa để tăng niềm tin</t>
  </si>
  <si>
    <t>Tôi ủng hộ và tuân thủ chính sách mới vì nó giảm gánh nặng tài chính cho tôi và người phụ thuộc.</t>
  </si>
  <si>
    <t>Thuế mới không yêu cầu khai báo, nên khó phát hiện hành vi gian lận hoặc trốn thuế.</t>
  </si>
  <si>
    <t>Cơ quan thuế có công nghệ hiện đại, nhưng việc quản lý thuế qua tự khai báo làm giảm khả năng kiểm soát.</t>
  </si>
  <si>
    <t>Hạn chế khai báo thuế tự nguyện có thể tạo thuận lợi cho người dân.</t>
  </si>
  <si>
    <t>Số bậc thuế giảm, cách tính đơn giản hơn nhưng vẫn giữ nguyên mức thuế nên dễ hiểu và thực hiện.</t>
  </si>
  <si>
    <t>Niềm tin vào sự công bằng trong việc áp dụng thuế được cải thiện do giảm trừ gia cảnh cao hơn.</t>
  </si>
  <si>
    <t>Mức thuế mới không thay đổi so với trước, nên tôi thấy nó vẫn công bằng cho thu nhập của mình.</t>
  </si>
  <si>
    <t>Thuế được dùng để cải thiện dịch vụ công như y tế và đường xá, nhưng mức giảm trừ cao không rõ hiệu quả thực tế.</t>
  </si>
  <si>
    <t>Nhà nước đã giải thích về mục tiêu của việc sửa đổi thuế, nhưng việc tự khai báo có thể gây khó khăn trong kiểm soát.</t>
  </si>
  <si>
    <t>Trong tình huống hiện tại, tôi ủng hộ chính sách mới vì giảm trừ gia cảnh cao hơn và thuận lợi cho người dân.</t>
  </si>
  <si>
    <t>Dù không phải đóng thuế, nhưng tôi vẫn tin rằng cơ quan thuế có khả năng phát hiện gian lận thông qua các hệ thống hiện đại.</t>
  </si>
  <si>
    <t>Cơ quan thuế đã cải thiện công nghệ và quy trình quản lý nên việc phát hiện trốn thuế sẽ dễ dàng hơn.</t>
  </si>
  <si>
    <t>Việc đơn giản hóa quy trình khai báo và làm việc với cơ quan thuế giúp tôi cảm thấy thuận tiện hơn nhiều so với trước đây.</t>
  </si>
  <si>
    <t>Biểu thuế mới rõ ràng và dễ hiểu, giúp tôi tính toán nhanh chóng mà không cần phải tra cứu phức tạp như trước.</t>
  </si>
  <si>
    <t>Tôi tin rằng cơ quan thuế sẽ thực thi chính sách một cách công bằng cho mọi người nộp thuế.</t>
  </si>
  <si>
    <t>Với mức giảm trừ gia cảnh cao, tôi cảm thấy mức thuế mới là công bằng đối với thu nhập của mình.</t>
  </si>
  <si>
    <t>Việc đóng thuế giúp cải thiện dịch vụ công nên tôi tin rằng số tiền tôi đóng sẽ được sử dụng hiệu quả.</t>
  </si>
  <si>
    <t>Nhà nước đã giải thích rõ ràng về mục tiêu của việc sửa đổi chính sách, khiến tôi cảm thấy minh bạch hơn.</t>
  </si>
  <si>
    <t>Tôi ủng hộ và sẽ tuân thủ chính sách mới vì nó đơn giản hóa quy trình và công bằng với thu nhập của tôi.</t>
  </si>
  <si>
    <t>Dù các quy định quản lý thuế hiện nay có thể đã cải thiện, nhưng tôi vẫn nghi ngờ khả năng phát hiện trốn thuế của Nhà nước do nguồn lực hạn chế.</t>
  </si>
  <si>
    <t>Nhà nước và cơ quan thuế có công nghệ tiên tiến để theo dõi giao dịch tài chính, tuy nhiên việc xử lý nghiêm các hành vi trốn thuế còn phụ thuộc vào quy định cụ thể của pháp luật.</t>
  </si>
  <si>
    <t>Quy trình làm việc với cơ quan thuế đã đơn giản hơn nhưng vẫn cần nhiều cải tiến về mặt kỹ thuật và hỗ trợ trực tuyến.</t>
  </si>
  <si>
    <t>Biểu thuế mới rõ ràng hơn, giảm bớt các bậc thuế nên dễ hiểu và thực hiện hơn so với trước đây</t>
  </si>
  <si>
    <t>Tôi tin rằng Nhà nước sẽ công bằng trong việc thực thi chính sách mới nhưng vẫn cần thêm minh bạch về cách thức quản lý thuế.</t>
  </si>
  <si>
    <t>Mức thuế mới giảm đáng kể so với trước đây, tôi thấy đây là một cải tiến hợp lý cho thu nhập của mình</t>
  </si>
  <si>
    <t>Đóng góp thuế sẽ được sử dụng hiệu quả để cải thiện dịch vụ công, mặc dù tôi mong muốn có thêm thông tin chi tiết về việc này.</t>
  </si>
  <si>
    <t>Nhà nước đã giải thích rõ ràng về thay đổi chính sách mới nhưng cần thêm minh bạch hơn về mục tiêu cụ thể của các cải tiến</t>
  </si>
  <si>
    <t>Tôi ủng hộ và tuân thủ chính sách mới vì nó mang lại nhiều lợi ích cho tôi, đồng thời giảm gánh nặng thuế so với trước đây.</t>
  </si>
  <si>
    <t>Cơ quan thuế đã cải thiện công nghệ và quy trình quản lý, nhưng mức độ thực thi vẫn phụ thuộc vào nguồn lực và quyết tâm của họ.</t>
  </si>
  <si>
    <t>So với trước đây, quy trình khai báo thuế trở nên đơn giản hơn, giảm thời gian chờ đợi để hoàn thành các thủ tục.</t>
  </si>
  <si>
    <t>Biểu thuế mới có ít bậc hơn và mức thuế suất rõ ràng hơn, dễ hiểu và thực hiện hơn so với trước đây.</t>
  </si>
  <si>
    <t>Nhà nước đã cải thiện công bằng trong việc đánh giá thu nhập và giảm trừ gia cảnh, tạo cảm giác khách quan trong quá trình đánh thuế.</t>
  </si>
  <si>
    <t>Mức thuế mới là hợp lý cho thu nhập của tôi sau khi xem xét các giảm trừ gia cảnh và mức thuế suất.</t>
  </si>
  <si>
    <t>Tôi tin rằng số tiền thuế đóng sẽ được sử dụng hiệu quả để cải thiện dịch vụ công, đặc biệt là y tế và hạ tầng cơ sở.</t>
  </si>
  <si>
    <t>Nhà nước đã giải thích rõ ràng về mục tiêu của việc sửa đổi chính sách thuế, nhưng cần tăng cường hơn nữa trong việc minh bạch.</t>
  </si>
  <si>
    <t>Sau khi xem xét tác động tài chính và sự đơn giản hóa quy trình, tôi ủng hộ và tuân thủ chính sách mới vì lợi ích cá nhân và cộng đồng.</t>
  </si>
  <si>
    <t>Hiện nay, cơ quan thuế đã tăng cường công nghệ và hệ thống quản lý, tuy nhiên vẫn cần cải thiện hơn nữa về mặt thực thi pháp luật để tránh trường hợp gian lận.</t>
  </si>
  <si>
    <t>Cơ quan thuế có khả năng phát hiện hành vi trốn thuế thông qua các công nghệ hiện đại, nhưng vẫn cần nâng cao hơn về mặt quản lý và kiểm soát.</t>
  </si>
  <si>
    <t>Thủ tục khai báo thuế trở nên đơn giản hơn với mức giảm trừ gia cảnh tăng và số bậc thuế rút gọn, giúp việc làm việc với cơ quan thuế thuận lợi hơn.</t>
  </si>
  <si>
    <t>Phương án mới đơn giản hóa biểu thuế từ 7 bậc xuống còn 5 bậc, dễ hiểu và thực hiện dễ dàng hơn so với trước đây.</t>
  </si>
  <si>
    <t>Tôi tin rằng cơ quan thuế sẽ công bằng trong việc quản lý và thu hồi thuế, nhưng cần có thêm minh bạch về quy trình quản lý để tăng niềm tin của người dân.</t>
  </si>
  <si>
    <t>Mức thuế mới được tính toán hợp lý với mức thu nhập của tôi, việc giảm trừ gia cảnh và số bậc thuế rút gọn khiến tôi thấy công bằng hơn.</t>
  </si>
  <si>
    <t>Tiết kiệm được một khoản tiền đáng kể mỗi tháng, tôi tin rằng số thuế này sẽ được sử dụng hiệu quả để cải thiện dịch vụ công.</t>
  </si>
  <si>
    <t>Nhà nước đã giải thích rõ ràng về mục tiêu và lý do của việc sửa đổi thuế, nhưng cần có thêm thông tin chi tiết về cách sử dụng số tiền thuế thu được.</t>
  </si>
  <si>
    <t>Tôi ủng hộ chính sách mới vì nó đơn giản hơn, công bằng hơn và giúp tôi tiết kiệm một phần thu nhập.</t>
  </si>
  <si>
    <t>Dù có công nghệ hỗ trợ, nhưng tôi vẫn nghi ngờ về khả năng phát hiện gian lận hoặc trốn thuế của cơ quan thuế. Điều này do quy mô lớn và sự phức tạp của hệ thống làm việc.</t>
  </si>
  <si>
    <t>Cơ quan thuế đã cải thiện đáng kể về công nghệ, nhưng vẫn còn nhiều thách thức trong việc phát hiện gian lận hoặc trốn thuế.</t>
  </si>
  <si>
    <t>Quy trình làm việc với cơ quan thuế trở nên đơn giản hơn, thủ tục khai báo thuế thuận tiện hơn so với trước đây. Việc này giúp người dân không còn cảm thấy bị gây rối khi phải thực hiện các thủ tục.</t>
  </si>
  <si>
    <t>Số bậc thuế giảm từ 7 xuống 5, cách tính thuế đơn giản hơn và dễ hiểu hơn. Điều này làm cho việc tính toán thuế trở nên dễ dàng hơn cho người dân.</t>
  </si>
  <si>
    <t>Tôi tin rằng Nhà nước sẽ công bằng trong việc thực thi chính sách mới, nhưng vẫn có nguy cơ về sự chủ quan hoặc thiên vị từ phía các nhân viên thuế. Tuy nhiên, mức thuế mới đối với thu nhập của tôi là hợp lý.</t>
  </si>
  <si>
    <t>Nhìn chung, mức thuế mới là công bằng và phù hợp với thu nhập của tôi. Mức giảm trừ gia cảnh tăng lên giúp tiết kiệm chi phí cho tôi.</t>
  </si>
  <si>
    <t>Tôi tin rằng số tiền thuế tôi đóng sẽ được sử dụng hiệu quả để cải thiện chất lượng cuộc sống, nhưng vẫn cần sự minh bạch về việc phân bổ ngân sách.</t>
  </si>
  <si>
    <t>Nhà nước đã giải thích rõ ràng về mục tiêu và lý do của việc sửa đổi thuế, điều này giúp tôi hiểu rõ hơn về chính sách mới.</t>
  </si>
  <si>
    <t>Sau khi xem xét các quyền lợi và nghĩa vụ, tôi ủng hộ và tuân thủ chính sách mới. Việc giảm trừ gia cảnh tăng lên giúp cải thiện mức sống cho gia đình tôi.</t>
  </si>
  <si>
    <t>Như một công dân, tôi tin rằng Nhà nước và cơ quan thuế đã nâng cao công nghệ quản lý để phát hiện hành vi gian lận hoặc trốn thuế.</t>
  </si>
  <si>
    <t>Cơ sở hạ tầng và công nghệ của cơ quan thuế ngày càng tiến bộ, giúp họ có khả năng phát hiện và xử lý các trường hợp trốn thuế hiệu quả hơn trước đây.</t>
  </si>
  <si>
    <t>So với trước đây, quy trình làm việc với cơ quan thuế trở nên đơn giản hơn. Việc giảm bớt số bước trong quá trình khai báo đã giúp thuận tiện cho người dân.</t>
  </si>
  <si>
    <t>Biểu thuế mới có ít bậc hơn và các mức thuế suất rõ ràng hơn, việc tính toán thuế trở nên dễ dàng và nhanh chóng hơn trước đây.</t>
  </si>
  <si>
    <t>Tôi tin rằng Nhà nước sẽ thực thi chính sách một cách công bằng. Các quy định mới giúp giảm gánh nặng tài chính cho người dân như tôi.</t>
  </si>
  <si>
    <t>Thuế suất và mức giảm trừ gia cảnh mới được thiết kế hợp lý, phù hợp với thu nhập của tôi nên tôi thấy chúng công bằng.</t>
  </si>
  <si>
    <t>Tiết kiệm được một khoản tiền đáng kể từ việc thuế giảm đã tăng niềm tin rằng số tiền thuế đóng sẽ được sử dụng hiệu quả cho các dịch vụ công.</t>
  </si>
  <si>
    <t>Nhà nước đã cung cấp thông tin đầy đủ về mục tiêu của chính sách mới, giúp người dân hiểu rõ hơn và tin tưởng vào quyết định của họ.</t>
  </si>
  <si>
    <t>Tôi ủng hộ và tuân thủ chính sách mới vì nó mang lại lợi ích cho tôi và đồng thời giảm gánh nặng tài chính.</t>
  </si>
  <si>
    <t>Việc tăng mức giảm trừ gia cảnh và đơn giản hóa biểu thuế có thể làm giảm khả năng phát hiện hành vi gian lận hoặc trốn thuế, nhưng với công nghệ hiện đại, cơ quan thuế vẫn có khả năng quản lý.</t>
  </si>
  <si>
    <t>Cơ quan thuế đã cải thiện đáng kể trong việc sử dụng công nghệ để theo dõi và xử lý các hành vi trốn thuế, tuy nhiên việc giám sát vẫn cần sự hỗ trợ từ người dân.</t>
  </si>
  <si>
    <t>Thủ tục khai báo thuế và quy trình làm việc với cơ quan thuế đã đơn giản hơn so với trước đây. Việc tăng mức giảm trừ gia cảnh cũng giúp quá trình thực hiện thuận tiện hơn cho người dân.</t>
  </si>
  <si>
    <t>Biểu thuế mới có ít bậc hơn và rõ ràng hơn, dễ dàng áp dụng trong thực tế. Điều này làm giảm độ phức tạp so với trước đây.</t>
  </si>
  <si>
    <t>Việc tăng mức giảm trừ gia cảnh và đơn giản hóa biểu thuế cho thấy nhà nước đã cố gắng công bằng hơn trong việc đánh thuế, tạo ra niềm tin về sự công chính của hệ thống thuế mới.</t>
  </si>
  <si>
    <t>Nhà nước đã tăng mức giảm trừ gia cảnh và đơn giản hóa biểu thuế, điều này thể hiện sự công bằng đối với thu nhập trung bình như tôi. Việc sửa đổi này là hợp lý</t>
  </si>
  <si>
    <t>Việc cải cách thuế sẽ giúp sử dụng hiệu quả nguồn lực của nhà nước để đầu tư vào các dịch vụ công, tạo niềm tin về việc số tiền đóng thuế được sử dụng một cách minh bạch.</t>
  </si>
  <si>
    <t>Nhà nước đã công bố chi tiết về mục đích và lý do của việc cải cách thuế, tuy nhiên cần có thêm giải thích về các quy định cụ thể hơn để tạo ra sự tin tưởng</t>
  </si>
  <si>
    <t>Tác động tài chính tích cực từ việc giảm thuế giúp tôi ủng hộ chính sách mới. Các bước cải cách cũng làm cho hệ thống thuế đơn giản và dễ hiểu hơn, tăng khả năng tuân thủ.</t>
  </si>
  <si>
    <t>Công nghệ hiện đại và sự giám sát chặt chẽ có thể giúp phát hiện hành vi gian lận, nhưng thực tế vẫn cần thời gian điều chỉnh.</t>
  </si>
  <si>
    <t>Nhà nước có nguồn lực kỹ thuật để quản lý thuế hiệu quả hơn, nhưng mức độ thực thi phụ thuộc vào nhiều yếu tố.</t>
  </si>
  <si>
    <t>Quy trình khai báo và giao tiếp với cơ quan thuế trở nên đơn giản hơn so với trước đây, cải thiện đáng kể.</t>
  </si>
  <si>
    <t>Biểu thuế mới đơn giản hóa việc tính toán, dễ dàng hơn cho người dân hiểu và thực hiện.</t>
  </si>
  <si>
    <t>Tôi tin rằng Nhà nước sẽ thực thi chính sách một cách công bằng, nhưng cần thêm thời gian để chứng minh.</t>
  </si>
  <si>
    <t>Mức thuế mới phù hợp với thu nhập của tôi và được cải thiện so với trước đây, cho thấy tính công bằng.</t>
  </si>
  <si>
    <t>Thuế đóng góp vào việc cải thiện hạ tầng và dịch vụ công, nhưng hiệu quả sử dụng cần giám sát chặt chẽ hơn.</t>
  </si>
  <si>
    <t>Nhà nước đã giải thích rõ về mục tiêu của chính sách mới, tăng sự hiểu biết và tin tưởng.</t>
  </si>
  <si>
    <t>Chính sách mới mang lại nhiều lợi ích tài chính và thuận tiện cho người dân, tôi ủng hộ việc thực hiện.</t>
  </si>
  <si>
    <t>Dù có công nghệ hỗ trợ, việc phát hiện trốn thuế vẫn phụ thuộc vào giám sát và kiểm tra từ phía cơ quan thuế. Hiện nay chưa đủ thông tin để đánh giá hiệu quả.</t>
  </si>
  <si>
    <t>Cơ quan thuế có thể áp dụng công nghệ hiện đại để phát hiện gian lận, nhưng thực tế vẫn cần thời gian và nguồn lực để triển khai.</t>
  </si>
  <si>
    <t>Thủ tục khai báo thuế đơn giản hơn, không còn nhiều loại giấy tờ rườm rà như trước. Việc nộp thuế qua ứng dụng điện tử cũng thuận tiện hơn.</t>
  </si>
  <si>
    <t>Các bậc thuế đơn giản hóa khiến việc tính toán và thực hiện dễ dàng hơn, giảm bớt phức tạp đối với người dân.</t>
  </si>
  <si>
    <t>Tôi tin Nhà nước sẽ công tâm trong việc áp dụng chính sách mới. Tuy nhiên, do chưa rõ ràng về cách thực thi, có thể mất thêm thời gian để làm quen.</t>
  </si>
  <si>
    <t>Mức thuế giảm đáng kể, giúp tôi tiết kiệm được chi phí và thấy rằng mức thuế mới là công bằng cho thu nhập của mình.</t>
  </si>
  <si>
    <t>Thuế đóng góp vào các dịch vụ công quan trọng như y tế và đường xá. Việc giảm trừ gia cảnh tăng giúp số tiền đóng thuế trở nên hợp lý hơn.</t>
  </si>
  <si>
    <t>Nhà nước đã có thông tin minh bạch về mục tiêu của chính sách mới, nhưng cần cung cấp thêm chi tiết về cách thực hiện để tăng niềm tin.</t>
  </si>
  <si>
    <t>Tôi ủng hộ và tuân thủ chính sách mới vì nó đơn giản hơn và giảm gánh nặng thuế cho người dân như tôi. Tuy nhiên, vẫn cần thời gian để làm quen và hoàn thiện quy trình.</t>
  </si>
  <si>
    <t>Với mức giảm trừ gia cảnh tăng lên và quy định đơn giản hơn, khả năng phát hiện hành vi gian lận hay trốn thuế sẽ dễ dàng hơn.</t>
  </si>
  <si>
    <t>Nhà nước đã đầu tư vào công nghệ để quản lý và giám sát hiệu quả hơn nên tôi tin rằng các hành vi trốn thuế sẽ bị phát hiện.</t>
  </si>
  <si>
    <t>Quy trình khai báo thuế đơn giản hơn, giảm bớt thủ tục rườm rà, làm việc với cơ quan thuế cũng thuận tiện hơn so với trước đây.</t>
  </si>
  <si>
    <t>Bậc thuế và cách tính thuế đơn giản, dễ hiểu. Điều này giúp tôi dễ dàng áp dụng và không còn cảm thấy bị rối rắm về mặt thủ tục.</t>
  </si>
  <si>
    <t>Mức thuế mới phù hợp với thu nhập của tôi, cho thấy sự công bằng trong việc áp dụng luật thuế.</t>
  </si>
  <si>
    <t>Tôi tin rằng số tiền thuế mà tôi đóng sẽ được sử dụng hiệu quả để cải thiện các dịch vụ công như y tế và giao thông.</t>
  </si>
  <si>
    <t>Nhà nước đã giải thích rõ ràng về mục đích của việc sửa đổi thuế, tạo ra sự minh bạch trong quy trình này.</t>
  </si>
  <si>
    <t>Tôi ủng hộ chính sách mới vì nó giúp tôi tiết kiệm được tiền thuế và thủ tục khai báo đơn giản hơn.</t>
  </si>
  <si>
    <t>Dù cơ quan thuế có công nghệ hiện đại, nhưng tôi vẫn lo ngại về việc phát hiện hành vi gian lận của cá nhân.</t>
  </si>
  <si>
    <t>Cơ quan thuế đã đầu tư nhiều vào công nghệ và nhân lực để tăng cường quản lý thuế, nên khả năng phát hiện trốn thuế có thể cao hơn.</t>
  </si>
  <si>
    <t>Quy trình khai báo và làm việc với cơ quan thuế trở nên đơn giản hơn, tiết kiệm thời gian và công sức.</t>
  </si>
  <si>
    <t>Số bậc thuế giảm từ 7 xuống còn 5, dễ hiểu và thực hiện thuận tiện hơn so với trước đây.</t>
  </si>
  <si>
    <t>Tôi tin tưởng cơ quan thuế sẽ công tâm trong việc áp dụng chính sách mới, nhưng vẫn có lo ngại về tiêu chuẩn khách quan.</t>
  </si>
  <si>
    <t>Mức thuế mới giảm đáng kể so với trước đây, khiến tôi cảm thấy công bằng hơn khi đóng góp cho xã hội.</t>
  </si>
  <si>
    <t>Số tiền thuế tôi đóng sẽ được sử dụng hiệu quả để cải thiện dịch vụ công, tạo niềm tin vào việc đầu tư của nhà nước.</t>
  </si>
  <si>
    <t>Nhà nước đã giải thích rõ ràng về mục tiêu và lý do sửa đổi luật thuế, khiến tôi cảm thấy thông tin minh bạch hơn.</t>
  </si>
  <si>
    <t>Dù còn có một số lo ngại nhỏ, nhưng tổng thể, chính sách mới mang lại lợi ích đáng kể cho người dân nên tôi ủng hộ và tuân thủ.</t>
  </si>
  <si>
    <t>Việc tăng cường công nghệ và quản lý thuế có thể giúp phát hiện hành vi gian lận, nhưng vẫn cần sự giám sát chặt chẽ từ người dân.</t>
  </si>
  <si>
    <t>Cơ quan thuế đã đầu tư vào công nghệ để cải thiện khả năng theo dõi và xử lý các hành vi trốn thuế, tuy nhiên, việc này cần thời gian để thực sự hiệu quả.</t>
  </si>
  <si>
    <t>Quy trình khai báo thuế trở nên đơn giản hơn với mức giảm trừ gia cảnh cao hơn và số bậc thuế ít hơn, thuận tiện cho người dân.</t>
  </si>
  <si>
    <t>Biểu thuế mới có thể dễ hiểu hơn nhưng vẫn cần thời gian để mọi người làm quen với nó.</t>
  </si>
  <si>
    <t>Tôi tin rằng Nhà nước sẽ thực thi chính sách công bằng cho tất cả các nhóm thu nhập, nhưng việc này phụ thuộc vào sự giám sát và kiểm tra của cơ quan chức năng.</t>
  </si>
  <si>
    <t>Mức thuế mới giảm cho tôi là hợp lý, giúp tiết kiệm một khoản tiền đáng kể mỗi tháng.</t>
  </si>
  <si>
    <t>Thuế của tôi sẽ được sử dụng hiệu quả để cải thiện dịch vụ công, nhưng cần giám sát chặt chẽ để đảm bảo nguồn ngân sách không bị lãng phí.</t>
  </si>
  <si>
    <t>Nhà nước đã giải thích rõ ràng về lý do và mục tiêu của việc sửa đổi thuế, tuy nhiên, tôi mong muốn có thêm thông tin về cách sử dụng nguồn thu thuế này.</t>
  </si>
  <si>
    <t>Tôi ủng hộ chính sách mới vì nó giúp tiết kiệm tiền và cải thiện sự thuận tiện khi khai báo thuế.</t>
  </si>
  <si>
    <t>Nhà nước đã đầu tư công nghệ và nhân lực để phát hiện hành vi trốn thuế, do đó tôi tin rằng việc gian lận sẽ dễ dàng bị phát hiện.</t>
  </si>
  <si>
    <t>Cơ quan thuế có đủ năng lực với các quy định mới về giảm trừ gia cảnh và đơn giản hóa biểu thuế</t>
  </si>
  <si>
    <t>Thủ tục khai báo thuế trở nên đơn giản hơn, giúp tôi tiết kiệm thời gian và công sức.</t>
  </si>
  <si>
    <t>Tôi tin rằng Nhà nước sẽ công bằng khi áp dụng chính sách mới cho mọi người nộp thuế.</t>
  </si>
  <si>
    <t>Mức thuế mới theo phương án này phù hợp với thu nhập của tôi và các mức giảm trừ gia cảnh</t>
  </si>
  <si>
    <t>Thuế đóng góp vào việc cải thiện dịch vụ công, như y tế và giao thông</t>
  </si>
  <si>
    <t>Nhà nước đã giải thích rõ ràng về mục tiêu của chính sách thuế mới</t>
  </si>
  <si>
    <t>Tôi ủng hộ chính sách mới vì nó giúp tôi tiết kiệm được một khoản tiền đáng kể và đơn giản hóa quy trình nộp thuế.</t>
  </si>
  <si>
    <t>Nếu các quy định quản lý thuế được thực thi hiệu quả, hành vi gian lận hoặc trốn thuế sẽ dễ dàng bị phát hiện. Tuy nhiên, tôi cho rằng cần nhiều biện pháp hỗ trợ từ công nghệ để tăng cường khả năng phát hiện.</t>
  </si>
  <si>
    <t>Cơ quan thuế có đủ khả năng và công nghệ để phát hiện trốn thuế nếu họ thực thi đúng. Tuy nhiên, cần cải thiện hơn nữa trong việc ứng dụng công nghệ vào quản lý thuế</t>
  </si>
  <si>
    <t>Quy trình khai báo thuế và làm việc với cơ quan thuế đơn giản hơn so với trước đây, do đó thuận tiện hơn nhiều.</t>
  </si>
  <si>
    <t>Các bậc thuế mới đơn giản hóa quy trình tính thuế, giúp người dân dễ hiểu và thực hiện hơn. Điều này làm tăng độ thuận tiện cho người nộp thuế</t>
  </si>
  <si>
    <t>Tôi tin rằng Nhà nước sẽ thực thi chính sách một cách khách quan, công bằng vì mức giảm trừ gia cảnh và các bậc thuế mới đều phù hợp với thu nhập của tôi.</t>
  </si>
  <si>
    <t>Lượng thuế tôi phải đóng theo phương án mới là công bằng và hợp lý so với thu nhập hiện tại của tôi. Điều này thể hiện tính công bằng trong việc phân chia gánh nặng thuế</t>
  </si>
  <si>
    <t>Tôi tin rằng số tiền thuế tôi đóng sẽ được sử dụng hiệu quả để cải thiện dịch vụ công, góp phần nâng cao chất lượng cuộc sống</t>
  </si>
  <si>
    <t>Nhà nước đã giải thích rõ ràng về mục tiêu và lý do của việc sửa đổi thuế lần này. Điều này làm tăng niềm tin vào quyết định của họ</t>
  </si>
  <si>
    <t>Tôi ủng hộ chính sách mới vì nó đơn giản, công bằng và thuận tiện hơn so với trước đây. Tôi sẽ tuân thủ các quy định mới</t>
  </si>
  <si>
    <t>Hiện nay, với sự phát triển của công nghệ và quy định quản lý thuế ngày càng chặt chẽ, tôi tin rằng hành vi gian lận hoặc trốn thuế sẽ dễ dàng bị phát hiện. Tuy nhiên, do vẫn còn nghi ngại về khả năng thực thi pháp luật</t>
  </si>
  <si>
    <t>Nhà nước và cơ quan thuế đã đầu tư vào công nghệ cao để hỗ trợ việc kiểm soát thuế nên tôi tin rằng họ có đủ khả năng phát hiện và xử lý nghiêm các hành vi trốn thuế</t>
  </si>
  <si>
    <t>So với trước đây, quy trình khai báo thuế đã đơn giản hơn nhiều. Tuy nhiên, vẫn còn một số bước cần cải thiện để thuận tiện hơn cho người dân</t>
  </si>
  <si>
    <t>Biểu thuế mới có ít bậc và dễ hiểu hơn so với trước đây nên tôi thấy cách tính thuế đơn giản và dễ thực hiện hơn</t>
  </si>
  <si>
    <t>Tôi tin rằng Nhà nước, cơ quan thuế sẽ thực thi chính sách một cách công bằng và đối xử bình đẳng với mọi người nộp thuế. Tuy nhiên, vẫn còn nghi ngại về việc quản lý chặt chẽ</t>
  </si>
  <si>
    <t>Với mức giảm trừ gia cảnh tăng lên, tôi thấy rằng mức thuế mà tôi phải đóng là công bằng và hợp lý. Điều này cũng giúp tôi tiết kiệm một khoản tiền đáng kể</t>
  </si>
  <si>
    <t>Tôi tin tưởng số tiền thuế tôi đóng sẽ được sử dụng hiệu quả để cải thiện dịch vụ công, mặc dù vẫn còn nghi ngại về việc quản lý chi tiêu của Nhà nước</t>
  </si>
  <si>
    <t>Nhà nước đã giải thích rõ ràng mục tiêu và lý do của việc sửa đổi thuế, nhưng tôi vẫn mong muốn có thêm thông tin cụ thể hơn về cách sử dụng số tiền thuế thu được</t>
  </si>
  <si>
    <t>Sau khi xem xét các quyền lợi và nghĩa vụ, tôi ủng hộ và tuân thủ chính sách mới. Mức giảm trừ gia cảnh tăng lên và sự đơn giản hóa quy trình khai báo thuế đã giúp tôi thấy rằng chính sách này có ích cho người dân</t>
  </si>
  <si>
    <t>Dựa trên các quy định hiện tại, Nhà nước có nhiều biện pháp quản lý thuế và công nghệ tiên tiến để phát hiện hành vi gian lận hoặc trốn thuế. Điều này tăng cường niềm tin về sự giám sát chặt chẽ của nhà nước.</t>
  </si>
  <si>
    <t>Cơ quan thuế có đủ năng lực và công nghệ để xử lý nghiêm các hành vi không tuân thủ, đặc biệt là với quy định mới đơn giản hơn về mức giảm trừ gia cảnh và bậc thuế suất.</t>
  </si>
  <si>
    <t>Quy trình khai thuế và làm việc với cơ quan thuế đã trở nên dễ dàng hơn với sự cải cách, người nộp thuế không còn cảm thấy bị áp lực hoặc gặp khó khăn trong việc thực hiện các thủ tục.</t>
  </si>
  <si>
    <t>Bậc thuế mới đơn giản và rõ ràng hơn so với trước đây, giúp người dân dễ dàng tính toán và tuân thủ pháp luật một cách nhanh chóng mà không còn cảm thấy bị phức tạp.</t>
  </si>
  <si>
    <t>Tôi tin rằng Nhà nước sẽ thực thi chính sách mới một cách công bằng và khách quan, đảm bảo mọi người đều được đối xử bình đẳng trong việc đóng thuế.</t>
  </si>
  <si>
    <t>Như một người lao động có thu nhập ổn định, mức giảm trừ gia cảnh tăng lên đã giúp tôi tiết kiệm đáng kể so với trước đây, cho thấy mức thuế mới là công bằng hơn.</t>
  </si>
  <si>
    <t>Sau khi xem xét các quyền lợi và nghĩa vụ của chính sách mới, tôi tin rằng số tiền thuế đóng sẽ được sử dụng hiệu quả để cải thiện dịch vụ công, từ đó nâng cao chất lượng cuộc sống.</t>
  </si>
  <si>
    <t>Nhà nước đã thông báo rõ ràng về mục tiêu và lý do của việc sửa đổi thuế, giúp người dân hiểu được giá trị của chính sách mới đối với xã hội</t>
  </si>
  <si>
    <t>Với sự cải cách tích cực trong các quy định thuế, tôi ủng hộ và tuân thủ chính sách mới vì nó mang lại lợi ích cho tôi và cộng đồng.</t>
  </si>
  <si>
    <t>Nhà nước đã cải thiện công nghệ và quy định quản lý thuế, nhưng tôi vẫn nghi ngờ về khả năng phát hiện hành vi gian lận hoặc trốn thuế.</t>
  </si>
  <si>
    <t>Cơ quan thuế có nhiều nguồn lực hơn để giám sát và xử lý các vấn đề liên quan đến thuế, tuy nhiên vẫn cần cải thiện.</t>
  </si>
  <si>
    <t>Quy trình khai báo thuế đã đơn giản hơn, nhưng tôi cho rằng các thủ tục vẫn có thể tối ưu hóa hơn nữa.</t>
  </si>
  <si>
    <t>Phương án mới đơn giản và dễ hiểu hơn, giảm bớt rắc rối cho người dân trong việc tính toán thuế.</t>
  </si>
  <si>
    <t>Tôi tin rằng Nhà nước sẽ thực thi chính sách một cách công bằng, nhưng vẫn có lo ngại về sự nhất quán trong quá trình thực thi.</t>
  </si>
  <si>
    <t>Mức thuế mới công bằng đối với thu nhập của tôi và phù hợp hơn so với trước đây.</t>
  </si>
  <si>
    <t>Thuế đóng góp vào việc cải thiện dịch vụ công, nhưng hiệu quả sử dụng nguồn lực vẫn cần được cải thiện.</t>
  </si>
  <si>
    <t>Nhà nước đã giải thích rõ ràng về lý do và mục tiêu của việc sửa đổi thuế, tôi thấy điều này tăng thêm niềm tin vào chính sách mới.</t>
  </si>
  <si>
    <t>Tôi ủng hộ chính sách mới vì nó đơn giản hơn và giúp tiết kiệm chi phí, đồng thời tăng sự công bằng trong việc đóng góp thuế.</t>
  </si>
  <si>
    <t>Chính sách mới có sự đơn giản hóa và minh bạch trong quy trình khai thuế, nhưng khả năng phát hiện và xử lý trốn thuế vẫn phụ thuộc vào hiệu quả thực thi của cơ quan thuế.</t>
  </si>
  <si>
    <t>Cơ sở hạ tầng công nghệ thông tin đã được cải thiện đáng kể trong thời gian gần đây, cho phép phát hiện và xử lý trốn thuế dễ dàng hơn.</t>
  </si>
  <si>
    <t>Quy trình khai báo thuế trở nên đơn giản hơn với mức giảm trừ gia cảnh tăng cao, nhưng vẫn cần thời gian để mọi người quen thuộc.</t>
  </si>
  <si>
    <t>Biểu thuế mới đơn giản hóa việc tính toán và dễ dàng hơn so với trước đây, giúp tiết kiệm thời gian cho người dân.</t>
  </si>
  <si>
    <t>Tôi tin rằng cơ quan thuế sẽ thực thi chính sách một cách công bằng, nhưng cần thời gian để nhìn nhận và đánh giá hiệu quả thực tế.</t>
  </si>
  <si>
    <t>Mức thuế mới được thiết kế hợp lý cho thu nhập của tôi, với mức giảm trừ gia cảnh cao hơn, tạo ra sự công bằng trong việc đóng góp thuế.</t>
  </si>
  <si>
    <t>Thuế mà tôi đóng sẽ được sử dụng để cải thiện dịch vụ công và phát triển đất nước, tạo niềm tin vào mục tiêu của chính sách.</t>
  </si>
  <si>
    <t>Nhà nước đã giải thích rõ ràng về lý do và mục tiêu của việc sửa đổi thuế, giúp người dân hiểu và ủng hộ chính sách mới.</t>
  </si>
  <si>
    <t>Tôi ủng hộ và tuân thủ chính sách mới vì nó mang lại nhiều lợi ích cho tôi và cộng đồng, tạo ra sự công bằng trong việc đóng góp thuế.</t>
  </si>
  <si>
    <t>Dù có công nghệ để phát hiện, tôi vẫn nghi ngờ việc thực thi sẽ hiệu quả vì chưa rõ quy trình cụ thể.</t>
  </si>
  <si>
    <t>Cơ quan thuế đã cải tiến công nghệ và nâng cấp hệ thống quản lý, tăng cường khả năng giám sát.</t>
  </si>
  <si>
    <t>Thủ tục khai báo thuế đơn giản hơn, ít rườm rà. Việc cung cấp hồ sơ trực tuyến thuận lợi hơn nhiều so với trước đây.</t>
  </si>
  <si>
    <t>Biểu thuế đơn giản hóa từ 7 bậc thành 5 bậc, dễ hiểu và thực hiện nhanh chóng hơn.</t>
  </si>
  <si>
    <t>Tôi tin rằng Nhà nước sẽ công bằng trong việc thực thi chính sách. Tuy nhiên, tôi vẫn nghi ngờ về sự khách quan trong quá trình kiểm tra.</t>
  </si>
  <si>
    <t>Mức thuế mới được giảm đáng kể, phù hợp với thu nhập của tôi. Điều này làm tăng niềm tin vào tính công bằng của chính sách.</t>
  </si>
  <si>
    <t>Tiết kiệm được tiền thuế có thể sử dụng cho các dịch vụ công như y tế và đường xá, tạo cảm giác việc đóng thuế là hữu ích.</t>
  </si>
  <si>
    <t>Đã có nhiều thông tin minh bạch về mục tiêu và lý do của chính sách mới. Tuy nhiên, tôi vẫn muốn biết thêm chi tiết hơn.</t>
  </si>
  <si>
    <t>Tôi ủng hộ chính sách mới vì nó đơn giản hóa quy trình thuế và giảm gánh nặng tài chính cho người dân.</t>
  </si>
  <si>
    <t>Việc tăng mức giảm trừ gia cảnh và đơn giản hóa biểu thuế có thể làm giảm khả năng phát hiện hành vi gian lận, nhưng với công nghệ ngày càng phát triển, cơ quan thuế vẫn có thể phát hiện các trường hợp trốn thuế hiệu quả.</t>
  </si>
  <si>
    <t>Nhà nước đã đầu tư vào hệ thống công nghệ thông tin để hỗ trợ quản lý thuế, tuy nhiên, việc thực thi và xử lý nghiêm túc vẫn cần thời gian để cải thiện.</t>
  </si>
  <si>
    <t>Quy trình khai báo thuế trở nên đơn giản hơn với mức giảm trừ gia cảnh mới, nhưng người dân vẫn cần thời gian để quen thuộc và sử dụng các hệ thống điện tử.</t>
  </si>
  <si>
    <t>Biểu thuế mới có ít bậc hơn và dễ hiểu hơn so với trước đây, giảm bớt sự phức tạp cho người nộp thuế.</t>
  </si>
  <si>
    <t>Tôi tin rằng cơ quan thuế sẽ thực thi chính sách một cách công bằng, nhưng việc kiểm soát và giám sát cần được cải thiện hơn nữa.</t>
  </si>
  <si>
    <t>Mức thuế mới có thể coi là công bằng với thu nhập hiện tại của tôi, đặc biệt là sau khi giảm trừ gia cảnh.</t>
  </si>
  <si>
    <t>Tôi tin rằng số tiền thuế đóng sẽ được sử dụng hiệu quả để cải thiện dịch vụ công, nhưng cần có minh bạch hơn về cách sử dụng nguồn thu thuế.</t>
  </si>
  <si>
    <t>Nhà nước đã giải thích rõ ràng về lý do và mục tiêu của việc sửa đổi thuế lần này, nhưng vẫn cần cải thiện trong việc truyền thông rộng rãi hơn.</t>
  </si>
  <si>
    <t>Tôi ủng hộ chính sách mới vì nó giảm bớt gánh nặng tài chính cho tôi và gia đình, đồng thời đơn giản hóa quy trình khai báo thuế.</t>
  </si>
  <si>
    <t>Thuế hiện nay có nhiều quy định phức tạp, dù đã cải thiện so với trước đây nhưng vẫn còn khó kiểm soát.</t>
  </si>
  <si>
    <t>Cơ quan thuế đang ngày càng phát triển công nghệ để quản lý thuế hiệu quả hơn. Tuy nhiên, việc gian lận thuế vẫn chưa dễ dàng bị phát hiện hoàn toàn.</t>
  </si>
  <si>
    <t>So với trước đây, các quy trình khai báo thuế đã đơn giản hóa nhiều, thuận tiện cho người dân hơn. Tuy nhiên, đối với những người không quen thuộc vẫn có thể gặp khó khăn.</t>
  </si>
  <si>
    <t>Biểu thuế mới rõ ràng và dễ hiểu hơn so với trước đây. Việc tính thuế cũng trở nên đơn giản hơn, phù hợp với trình độ học vấn của tôi.</t>
  </si>
  <si>
    <t>Tôi tin rằng Nhà nước sẽ thực thi chính sách một cách công bằng, nhưng cần có thêm các biện pháp để tăng cường quản lý thuế.</t>
  </si>
  <si>
    <t>Thuế mới tôi phải đóng phù hợp với thu nhập của mình. Mức giảm trừ gia cảnh và bậc thuế đã được điều chỉnh phù hợp.</t>
  </si>
  <si>
    <t>Tôi tin rằng số tiền thuế tôi đóng sẽ được sử dụng hiệu quả để cải thiện các dịch vụ công, tuy nhiên cần có thêm thông tin về cách sử dụng cụ thể.</t>
  </si>
  <si>
    <t>Nhà nước đã giải thích khá rõ ràng về mục tiêu của việc sửa đổi thuế lần này. Tuy nhiên, cần tăng cường hơn nữa trong việc minh bạch thông tin cho người dân.</t>
  </si>
  <si>
    <t>Tôi ủng hộ chính sách mới vì nó giúp tôi tiết kiệm được một khoản tiền đáng kể và giảm gánh nặng thuế. Đồng thời, các quy định đã đơn giản hóa hơn rất nhiều.</t>
  </si>
  <si>
    <t>Dựa trên thông tin, tôi không hoàn toàn đồng ý với điểm 10. Mặc dù có các biện pháp quản lý thuế hiện đại, nhưng vẫn có thể xảy ra hành vi gian lận hoặc trốn thuế mà chưa được phát hiện kịp thời.</t>
  </si>
  <si>
    <t>Tôi đồng ý với điểm 10. Nhà nước và cơ quan thuế đã đầu tư công nghệ mạnh mẽ, nâng cao khả năng phát hiện và xử lý hành vi trốn thuế.</t>
  </si>
  <si>
    <t>Điểm số này được đánh giá là 9 vì quy trình khai báo thuế đơn giản hơn so với trước đây, nhưng vẫn cần thời gian thích ứng để nắm bắt các thay đổi.</t>
  </si>
  <si>
    <t>Điểm số này đạt 10. Các bậc thuế và cách tính thuế mới đơn giản, dễ hiểu hơn so với trước đây.</t>
  </si>
  <si>
    <t>Tôi đồng ý với điểm 9. Tôi tin rằng Nhà nước sẽ thực thi chính sách một cách công bằng và khách quan, mặc dù vẫn có thể có những trường hợp cụ thể không được giải quyết hoàn hảo.</t>
  </si>
  <si>
    <t>Điểm số này đạt 8. Tôi thấy mức thuế mới là công bằng nhưng cần thêm thời gian để quen với các thay đổi.</t>
  </si>
  <si>
    <t>Tôi đồng ý với điểm 9. Tôi tin rằng số tiền thuế đóng sẽ được sử dụng hiệu quả cho các dịch vụ công, mặc dù không thể đánh giá đầy đủ ngay lập tức.</t>
  </si>
  <si>
    <t>Điểm số này đạt 8. Nhà nước đã giải thích một cách rõ ràng về mục tiêu của việc sửa đổi thuế, nhưng vẫn có những khía cạnh chưa được làm rõ.</t>
  </si>
  <si>
    <t>Tổng kết, tôi đồng ý với điểm 9. Chính sách mới mang lại lợi ích tài chính cho tôi và cải thiện quy trình, nhưng cần thêm thời gian để quen với các thay đổi.</t>
  </si>
  <si>
    <t>Hiện tại, mặc dù cơ quan thuế có công nghệ hiện đại nhưng tôi vẫn nghi ngờ về khả năng phát hiện trốn thuế của họ. Bằng chứng là đã có nhiều vụ việc gian lận thuế chưa bị xử lý nghiêm minh.</t>
  </si>
  <si>
    <t>Cơ quan thuế cần có hệ thống công nghệ cao để giám sát và phát hiện các hành vi trốn thuế, nhưng tôi nghi ngờ khả năng của họ trong thực tế.</t>
  </si>
  <si>
    <t>Quy trình khai báo thuế đã đơn giản hơn, việc sử dụng phần mềm điện tử giúp nhanh chóng và tiện lợi hơn. Tuy nhiên, còn nhiều thủ tục rườm rà chưa được cải thiện.</t>
  </si>
  <si>
    <t>Biểu thuế mới có ít bậc hơn nên dễ hiểu và thực hiện đơn giản hơn. Tuy nhiên, việc tính toán vẫn cần thời gian để làm quen.</t>
  </si>
  <si>
    <t>Tôi tin rằng Nhà nước sẽ công bằng trong việc áp dụng chính sách mới, nhưng tôi vẫn nghi ngờ về thực thi khách quan do kinh nghiệm trước đây về tham nhũng.</t>
  </si>
  <si>
    <t>Tăng mức giảm trừ gia cảnh và đơn giản hóa biểu thuế đã giúp tôi tiết kiệm được một khoản tiền, điều này thể hiện sự công bằng trong việc chia sẻ gánh nặng thuế</t>
  </si>
  <si>
    <t>Thuế đóng góp vào các dịch vụ công, nhưng tôi không chắc chắn về cách sử dụng hiệu quả số tiền thuế đã đóng.</t>
  </si>
  <si>
    <t>Nhà nước đã giải thích rõ ràng về việc tăng giảm trừ gia cảnh và đơn giản hóa biểu thuế, điều này giúp người dân hiểu được mục tiêu của chính sách mới</t>
  </si>
  <si>
    <t>Mặc dù có nhiều điểm tích cực nhưng tôi vẫn cần thời gian để làm quen với các quy định mới. Tuy nhiên, sau khi xem xét kỹ lưỡng, tôi ủng hộ và tuân thủ chính sách mới</t>
  </si>
  <si>
    <t>Nhà nước và cơ quan thuế đã tăng cường công nghệ và nhân lực để phát hiện hành vi trốn thuế, do đó tôi có thể tin tưởng vào khả năng quản lý của họ.</t>
  </si>
  <si>
    <t>Cơ quan thuế đã cải thiện hệ thống thông tin và quy trình xử lý, tăng cường khả năng phát hiện hành vi trốn thuế.</t>
  </si>
  <si>
    <t>Quy trình khai báo thuế và giao tiếp với cơ quan thuế đã đơn giản hơn, dễ thực hiện hơn so với trước đây.</t>
  </si>
  <si>
    <t>Biểu thuế mới có ít bậc hơn, do đó việc tính toán và thực hiện thuế trở nên thuận tiện và dễ dàng hơn.</t>
  </si>
  <si>
    <t>Nhà nước đã công bố rõ ràng về mục tiêu của chính sách mới, giúp tôi cảm thấy được đối xử công bằng.</t>
  </si>
  <si>
    <t>Với mức thuế giảm đáng kể và số tiền giảm trừ gia cảnh tăng lên, tôi cho rằng mình đang đóng mức thuế phù hợp với thu nhập của mình.</t>
  </si>
  <si>
    <t>Nhà nước đã cam kết sử dụng nguồn lực từ thuế để cải thiện dịch vụ công, do đó số tiền thuế tôi đóng sẽ được sử dụng hiệu quả.</t>
  </si>
  <si>
    <t>Các thông tin về chính sách mới đã được giải thích rõ ràng và minh bạch, giúp tôi hiểu rõ mục tiêu của nó.</t>
  </si>
  <si>
    <t>Nhìn chung, chính sách mới mang lại lợi ích đáng kể cho người dân như tôi, do đó tôi ủng hộ và tuân thủ nó.</t>
  </si>
  <si>
    <t>Nếu thuế được đơn giản hóa và giảm trừ gia cảnh tăng, việc phát hiện gian lận sẽ dễ dàng hơn. Thuế mới có 5 bậc thay vì 7 nên quản lý sẽ hiệu quả hơn.</t>
  </si>
  <si>
    <t>Cơ quan thuế đã cải tiến công nghệ và quy trình để đảm bảo các hành vi trốn thuế được phát hiện nhanh chóng. Việc giảm trừ gia cảnh tăng cũng giúp kiểm soát tốt hơn.</t>
  </si>
  <si>
    <t>Thủ tục khai báo thuế đơn giản, không còn nhiều giấy tờ rườm rà như trước và quy trình làm việc với cơ quan thuế thuận tiện hơn.</t>
  </si>
  <si>
    <t>Bậc thuế ít đi nên tính toán thu nhập của tôi dễ dàng hơn. Mức giảm trừ gia cảnh tăng giúp tôi tiết kiệm đáng kể.</t>
  </si>
  <si>
    <t>Nhà nước đã công khai thông tin về mức thuế mới và cách tính, thể hiện sự minh bạch trong việc thực thi chính sách.</t>
  </si>
  <si>
    <t>Mức thuế giảm đáng kể cho tôi. Với số người phụ thuộc nhiều, điều này giúp tiết kiệm tiền mặt, làm tăng cảm giác công bằng.</t>
  </si>
  <si>
    <t>Tiền thuế của tôi sẽ được sử dụng để cải thiện dịch vụ công như y tế và đường xá, tạo niềm tin vào việc sử dụng hiệu quả nguồn lực.</t>
  </si>
  <si>
    <t>Nhà nước đã giải thích rõ ràng mục tiêu và lý do của chính sách mới. Điều này giúp tôi hiểu hơn về quy định</t>
  </si>
  <si>
    <t>Tôi ủng hộ chính sách mới vì nó đơn giản, công bằng và giảm gánh nặng thuế cho tôi.</t>
  </si>
  <si>
    <t>Thuế hiện nay có nhiều cách để phát hiện và xử lý, nhưng vẫn cần sự cải thiện về công nghệ quản lý.</t>
  </si>
  <si>
    <t>Cơ quan thuế đã đầu tư vào công nghệ, nhưng việc phát hiện trốn thuế hoàn toàn phụ thuộc vào độ minh bạch của người nộp thuế.</t>
  </si>
  <si>
    <t>So với trước đây, quy trình khai báo và làm việc với cơ quan thuế đã đơn giản hơn nhiều.</t>
  </si>
  <si>
    <t>Biểu thuế mới đơn giản hóa mức độ phức tạp, dễ hiểu hơn rất nhiều so với trước đây.</t>
  </si>
  <si>
    <t>Tôi tin rằng quy định mới sẽ được thực thi công bằng và khách quan đối với mọi người nộp thuế.</t>
  </si>
  <si>
    <t>Mức thuế mới phù hợp với thu nhập của tôi, thể hiện sự công bằng trong việc đóng góp cho xã hội.</t>
  </si>
  <si>
    <t>Thuế mà tôi đóng sẽ được sử dụng hiệu quả để cải thiện các dịch vụ công như y tế và giao thông.</t>
  </si>
  <si>
    <t>Nhà nước đã giải thích rõ ràng về mục tiêu của việc sửa đổi thuế lần này, tạo niềm tin cho người dân.</t>
  </si>
  <si>
    <t>Tôi ủng hộ và tuân thủ chính sách mới vì nó mang lại lợi ích thực tế và công bằng hơn.</t>
  </si>
  <si>
    <t>Hiện nay, cơ quan thuế có nhiều công cụ và hệ thống để phát hiện hành vi trốn thuế. Tuy nhiên, vẫn cần sự phối hợp chặt chẽ giữa các ngành chức năng.</t>
  </si>
  <si>
    <t>Nhà nước đã đầu tư vào công nghệ thông tin, giúp tăng cường khả năng giám sát và xử lý kịp thời hành vi trốn thuế. Công nghệ này đang phát triển mạnh mẽ.</t>
  </si>
  <si>
    <t>Thủ tục khai báo thuế trở nên đơn giản hơn với việc áp dụng công nghệ số, tuy nhiên vẫn cần thêm thời gian để người dân quen thuộc.</t>
  </si>
  <si>
    <t>Biểu thuế mới có ít bậc và dễ hiểu hơn so với trước đây. Tuy nhiên, do nhiều thay đổi nên đôi khi người dân còn chưa nắm rõ.</t>
  </si>
  <si>
    <t>Tôi tin rằng Nhà nước sẽ thực thi chính sách một cách công bằng và minh bạch đối với mọi người nộp thuế. Những cải cách này là cần thiết để giảm gánh nặng cho người dân.</t>
  </si>
  <si>
    <t>Theo phương án mới, tôi thấy mức thuế mà tôi đóng là hợp lý và công bằng so với thu nhập của mình.</t>
  </si>
  <si>
    <t>Thuế mà tôi đóng sẽ được sử dụng hiệu quả để cải thiện các dịch vụ công. Điều này giúp tăng niềm tin vào Nhà nước.</t>
  </si>
  <si>
    <t>Nhà nước đã giải thích rõ ràng về mục tiêu và lý do của việc sửa đổi thuế lần này, tạo ra sự minh bạch cần thiết.</t>
  </si>
  <si>
    <t>Tôi ủng hộ và sẽ tuân thủ chính sách mới vì nó giảm gánh nặng tài chính cho tôi và gia đình, đồng thời công bằng hơn so với trước đây.</t>
  </si>
  <si>
    <t>Cơ quan thuế có nhiều cách để phát hiện trốn thuế, nhưng không phải lúc nào cũng hiệu quả.</t>
  </si>
  <si>
    <t>Việc sử dụng công nghệ trong quản lý thuế đã cải thiện đáng kể, nhưng vẫn còn hạn chế ở một số nơi.</t>
  </si>
  <si>
    <t>Thủ tục khai báo và giao tiếp với cơ quan thuế dễ dàng hơn nhiều so với trước đây, đặc biệt là việc giảm trừ gia cảnh.</t>
  </si>
  <si>
    <t>Biểu thuế đơn giản hơn, nhưng vẫn có thể gây nhầm lẫn do sự thay đổi lớn giữa các bậc thuế.</t>
  </si>
  <si>
    <t>Tôi tin rằng cơ quan thuế sẽ công tâm trong việc thực thi luật pháp, nhưng cần thêm thời gian để chứng minh.</t>
  </si>
  <si>
    <t>Mức giảm trừ gia cảnh mới giúp tôi tiết kiệm nhiều hơn, do đó tôi thấy mức thuế này là hợp lý.</t>
  </si>
  <si>
    <t>Tài chính nhà nước được sử dụng hiệu quả sẽ cải thiện chất lượng dịch vụ công và hạ tầng, nhưng cần thời gian để chứng minh.</t>
  </si>
  <si>
    <t>Cơ quan thuế đã giải thích rõ ràng về lý do và mục tiêu của chính sách mới, tạo niềm tin cho người dân.</t>
  </si>
  <si>
    <t>Tôi ủng hộ chính sách mới vì nó giúp tôi tiết kiệm nhiều tiền thuế và thủ tục làm việc với cơ quan thuế dễ dàng hơn.</t>
  </si>
  <si>
    <t>Hiện tại, hệ thống quản lý thuế có nhiều cải tiến về công nghệ và lực lượng nhân sự chuyên nghiệp. Tuy nhiên, vẫn còn những rủi ro về gian lận thuế do khó kiểm soát hoàn toàn.</t>
  </si>
  <si>
    <t>Nhà nước đã đầu tư mạnh vào hệ thống thông tin, công nghệ và nhân lực để cải thiện khả năng phát hiện hành vi trốn thuế. Điều này mang lại sự an tâm về mặt quản lý thuế</t>
  </si>
  <si>
    <t>Thủ tục khai báo thuế đã đơn giản hơn nhiều so với trước đây, giảm bớt các bước rườm rà và khó hiểu.</t>
  </si>
  <si>
    <t>Biểu thuế mới rõ ràng hơn về số bậc và mức thuế suất, giúp dễ dàng tính toán và thực hiện.</t>
  </si>
  <si>
    <t>Nhà nước có thể thực thi chính sách một cách khách quan nếu công bố đầy đủ thông tin về quy trình và tiêu chí đánh giá</t>
  </si>
  <si>
    <t>Mức thuế mới phù hợp với thu nhập của tôi, giảm gánh nặng tài chính. Điều này thể hiện tính công bằng trong việc phân bổ chi phí giữa người nộp thuế.</t>
  </si>
  <si>
    <t>Thuế đóng góp vào các dịch vụ công, giúp cải thiện chất lượng cuộc sống và hạ tầng xã hội</t>
  </si>
  <si>
    <t>Nhà nước đã giải thích rõ ràng về mục tiêu và lý do thay đổi thuế. Thông tin minh bạch giúp tăng niềm tin vào hệ thống quản lý thuế.</t>
  </si>
  <si>
    <t>Dù vẫn có những lo ngại nhỏ, nhưng lợi ích từ chính sách mới như giảm gánh nặng thuế và thủ tục đơn giản khiến tôi ủng hộ và tuân thủ</t>
  </si>
  <si>
    <t>Hiện nay, cơ quan thuế đã ứng dụng công nghệ tiên tiến như AI để phát hiện hành vi trốn thuế. Tuy nhiên, với kiến thức và kinh nghiệm của mình, tôi không quá tin rằng việc phát hiện gian lận sẽ 100% hiệu quả.</t>
  </si>
  <si>
    <t>Nhà nước đã đầu tư nhiều vào công nghệ để cải thiện khả năng quản lý thuế. Mặc dù vậy, vẫn có những trường hợp cụ thể khó phát hiện như chuyển tiền ra nước ngoài mà không khai báo.</t>
  </si>
  <si>
    <t>Trình tự khai thuế trở nên đơn giản hơn với mức giảm trừ gia cảnh tăng. Tuy nhiên, vẫn có những bước cần tuân thủ để đảm bảo tính minh bạch.</t>
  </si>
  <si>
    <t>Biểu thuế đơn giản hóa giúp việc tính toán dễ dàng hơn, nhưng vẫn cần thời gian để quen thuộc với các quy định mới.</t>
  </si>
  <si>
    <t>Tôi tin rằng Nhà nước sẽ thực thi chính sách một cách công bằng. Tuy nhiên, việc giám sát và kiểm tra toàn diện về việc sử dụng tiền thuế vẫn cần được cải thiện.</t>
  </si>
  <si>
    <t>Mức giảm trừ gia cảnh tăng giúp tôi tiết kiệm thuế, do đó tôi cảm thấy mức thuế mới là công bằng. Tuy nhiên, vẫn có những trường hợp cụ thể mà tôi cho rằng chưa công bằng.</t>
  </si>
  <si>
    <t>Số tiền thuế giảm giúp cải thiện dịch vụ công của địa phương. Tôi hy vọng số tiền này sẽ được sử dụng hiệu quả.</t>
  </si>
  <si>
    <t>Nhà nước đã giải thích rõ ràng về mục tiêu và lý do sửa đổi luật thuế, mặc dù vẫn có những điểm mà tôi không hoàn toàn đồng ý.</t>
  </si>
  <si>
    <t>Tôi ủng hộ chính sách mới vì nó giúp giảm gánh nặng tài chính cho gia đình. Mặc dù vậy, việc giám sát và minh bạch về sử dụng tiền thuế vẫn cần được cải thiện.</t>
  </si>
  <si>
    <t>Hiện nay, cơ quan thuế có nhiều công cụ và nguồn lực để phát hiện gian lận, tuy nhiên vẫn còn tồn tại rủi ro không thể loại bỏ hoàn toàn.</t>
  </si>
  <si>
    <t>Cơ quan thuế đã đầu tư vào công nghệ để nâng cao hiệu quả quản lý, nhưng cần thời gian để tất cả các cơ sở đều được hiện đại hóa.</t>
  </si>
  <si>
    <t>Quy trình khai báo thuế trở nên đơn giản hơn, tốn ít giấy tờ và thời gian hơn so với trước đây.</t>
  </si>
  <si>
    <t>Biểu thuế mới có ít bậc hơn, làm cho việc tính toán và thực hiện dễ dàng hơn.</t>
  </si>
  <si>
    <t>Tôi tin rằng cơ quan thuế sẽ xử lý chính sách một cách công bằng đối với tất cả các cá nhân nộp thuế.</t>
  </si>
  <si>
    <t>Mức thuế mới giảm đáng kể, làm cho tôi cảm thấy mức đóng góp của mình là hợp lý.</t>
  </si>
  <si>
    <t>Đối với thu nhập hiện tại của tôi, số tiền thuế đóng có thể được sử dụng hiệu quả để cải thiện dịch vụ công</t>
  </si>
  <si>
    <t>Nhà nước đã giải thích rõ về mục tiêu và lý do của việc sửa đổi thuế, tuy nhiên cần thêm thông tin chi tiết hơn.</t>
  </si>
  <si>
    <t>Tôi ủng hộ chính sách mới vì lợi ích tài chính đáng kể và quy trình đơn giản hơn.</t>
  </si>
  <si>
    <t>Ngày nay, với sự phát triển của công nghệ thông tin và hệ thống quản lý thuế hiện đại, tôi hoàn toàn tin rằng hành vi gian lận hoặc trốn thuế sẽ dễ bị phát hiện. Cơ quan thuế cũng có nhiều biện pháp mạnh mẽ để xử lý nghiêm các trường hợp vi phạm.</t>
  </si>
  <si>
    <t>Nhà nước và cơ quan thuế đã đầu tư vào công nghệ, hệ thống quản lý thuế hiệu quả hơn. Điều này giúp họ có khả năng phát hiện trốn thuế một cách nhanh chóng và chính xác.</t>
  </si>
  <si>
    <t>So với trước đây, việc khai báo thuế trở nên dễ dàng hơn khi không cần nhiều giấy tờ rườm rà. Quy trình làm việc với cơ quan thuế cũng đơn giản, thuận tiện hơn rất nhiều.</t>
  </si>
  <si>
    <t>Biểu thuế mới đơn giản hơn với ít bậc thuế và cách tính dễ hiểu hơn. Điều này giúp người dân dễ dàng nắm bắt và thực hiện chính sách.</t>
  </si>
  <si>
    <t>Tôi tin rằng Nhà nước sẽ thực thi chính sách một cách công bằng, khách quan đối với tất cả các đối tượng nộp thuế.</t>
  </si>
  <si>
    <t>Theo phương án mới, mức thuế tôi phải đóng là hợp lý và công bằng. Tôi cảm thấy mình không bị đánh thuế quá nhiều so với thu nhập hiện tại.</t>
  </si>
  <si>
    <t>Việc giảm trừ gia cảnh lớn hơn và số bậc thuế ít hơn giúp tôi tiết kiệm được nhiều tiền. Số tiền này sẽ được sử dụng hiệu quả để cải thiện dịch vụ công của Nhà nước.</t>
  </si>
  <si>
    <t>Nhà nước đã giải thích rõ ràng về mục tiêu và lý do của việc sửa đổi chính sách thuế, điều này làm tôi tin tưởng hơn vào quyết định của họ.</t>
  </si>
  <si>
    <t>Tôi ủng hộ và tuân thủ chính sách mới vì nó giúp tôi tiết kiệm tiền và mang lại lợi ích cho xã hội. Tôi tin rằng đây là một bước tiến tốt trong việc cải thiện hệ thống thuế.</t>
  </si>
  <si>
    <t>Dù quy định quản lý thuế hiện nay đã tốt hơn, nhưng tôi vẫn nghi ngờ việc phát hiện và xử lý các hành vi trốn thuế.</t>
  </si>
  <si>
    <t>Cơ quan thuế có thể sử dụng công nghệ để phát hiện, nhưng thực tế không phải lúc nào cũng đủ khả năng.</t>
  </si>
  <si>
    <t>Thủ tục khai báo thuế và quy trình làm việc với cơ quan thuế đã đơn giản hơn trước đây.</t>
  </si>
  <si>
    <t>Cách tính thuế mới rõ ràng, dễ hiểu so với trước đây, nhưng vẫn có thể phức tạp đối với người không am hiểu về thuế.</t>
  </si>
  <si>
    <t>Tôi tin rằng Nhà nước sẽ thực thi chính sách một cách công tâm, nhưng do tôi là người đa nghi nên mức độ tin tưởng không quá cao.</t>
  </si>
  <si>
    <t>Mức thuế mới được giảm đi đáng kể, nên tôi thấy nó là công bằng cho thu nhập của mình.</t>
  </si>
  <si>
    <t>Nội dung giải thích về mục tiêu và lý do của việc sửa đổi thuế lần này chưa đầy đủ, nên tôi chỉ đồng ý một phần.</t>
  </si>
  <si>
    <t>Tôi ủng hộ và tuân thủ chính sách mới vì nó mang lại lợi ích tài chính cho tôi và giảm độ phức tạp.</t>
  </si>
  <si>
    <t>Cơ quan thuế có nhiều công cụ để phát hiện gian lận, nhưng không chắc chắn 100%.</t>
  </si>
  <si>
    <t>Việc sử dụng công nghệ giúp cải thiện khả năng giám sát và xử lý trốn thuế.</t>
  </si>
  <si>
    <t>Quy trình làm việc với cơ quan thuế đơn giản hơn, nhưng vẫn cần thời gian để quen thuộc.</t>
  </si>
  <si>
    <t>Biểu thuế mới đơn giản và dễ hiểu, giảm bớt sự phức tạp cho người dân.</t>
  </si>
  <si>
    <t>Tôi tin rằng cơ quan thuế sẽ thực thi công bằng, nhưng cần thời gian để xem xét.</t>
  </si>
  <si>
    <t>Đối với thu nhập của tôi, mức giảm trừ gia cảnh và bậc thuế mới là hợp lý.</t>
  </si>
  <si>
    <t>Đã có giải thích về mục tiêu của việc sửa đổi thuế, nhưng chi tiết về cách thực hiện còn hạn chế.</t>
  </si>
  <si>
    <t>Dù còn nhiều thắc mắc, nhưng tôi ủng hộ chính sách mới vì lợi ích tài chính và đơn giản hóa quy trình.</t>
  </si>
  <si>
    <t>Với việc tăng mức giảm trừ gia cảnh và đơn giản hóa biểu thuế, khả năng phát hiện trốn thuế sẽ cao hơn. Tuy nhiên, vẫn còn lo ngại về sự thực thi.</t>
  </si>
  <si>
    <t>Nhà nước có nhiều nguồn lực để quản lý thuế, nhưng hiệu quả của việc này cần thời gian kiểm chứng.</t>
  </si>
  <si>
    <t>Quy trình khai báo và làm việc với cơ quan thuế đã đơn giản hơn trước đây. Tuy nhiên, vẫn có những rắc rối nhỏ trong quá trình thực hiện.</t>
  </si>
  <si>
    <t>Biểu thuế mới dễ hiểu và thực hiện hơn so với trước đây do số bậc giảm từ 7 xuống còn 5.</t>
  </si>
  <si>
    <t>Tôi tin rằng Nhà nước sẽ công bằng trong việc thực thi chính sách, nhưng vẫn cần thêm thời gian để chứng minh.</t>
  </si>
  <si>
    <t>Thuế mới giảm đáng kể so với trước đây nên tôi cảm thấy mức thuế hiện tại là hợp lý.</t>
  </si>
  <si>
    <t>Việc tăng giảm trừ gia cảnh và đơn giản hóa quy trình sẽ giúp số tiền đóng thuế được sử dụng hiệu quả hơn cho dịch vụ công.</t>
  </si>
  <si>
    <t>Nhà nước đã giải thích rõ ràng về mục tiêu của chính sách mới, nhưng cần thêm thông tin chi tiết về cách sử dụng nguồn thu từ thuế.</t>
  </si>
  <si>
    <t>Dù có một số lo ngại nhỏ, tôi vẫn ủng hộ và tuân thủ chính sách mới do nó mang lại lợi ích đáng kể cho người dân.</t>
  </si>
  <si>
    <t>Hiện nay, các quy định quản lý thuế đã được cải thiện đáng kể, với việc sử dụng công nghệ hiện đại giúp tăng cường khả năng phát hiện hành vi gian lận hoặc trốn thuế.</t>
  </si>
  <si>
    <t>Nhà nước và cơ quan thuế có đủ nguồn lực và công nghệ để đảm bảo các hành vi gian lận sẽ bị phát hiện và xử lý nghiêm minh.</t>
  </si>
  <si>
    <t>Quy trình khai báo thuế và làm việc với cơ quan thuế đã trở nên đơn giản hơn, tiết kiệm thời gian cho người nộp thuế.</t>
  </si>
  <si>
    <t>Biểu thuế mới có ít bậc hơn, dễ hiểu và thực hiện thuận tiện hơn so với trước đây.</t>
  </si>
  <si>
    <t>Nhà nước đã công bố rõ ràng về chính sách mới, thể hiện tính khách quan và công bằng trong việc áp dụng thuế cho mọi người.</t>
  </si>
  <si>
    <t>Với mức giảm trừ gia cảnh tăng lên và số bậc thuế ít hơn, tôi thấy mình đóng thuế một cách công bằng.</t>
  </si>
  <si>
    <t>Tài chính của nhà nước sẽ được sử dụng hiệu quả để cải thiện các dịch vụ công, từ đó tạo niềm tin cho người dân.</t>
  </si>
  <si>
    <t>Nhà nước đã minh bạch và giải thích rõ ràng về mục tiêu sửa đổi chính sách thuế, tăng sự trách nhiệm của họ với người dân.</t>
  </si>
  <si>
    <t>Sau khi xem xét các quyền lợi và nghĩa vụ mới, tôi ủng hộ và sẽ tuân thủ chính sách mới để đóng góp tích cực cho xã hội.</t>
  </si>
  <si>
    <t>Nước ta có nhiều biện pháp giám sát thuế, nhưng vẫn còn các lỗ hổng cho hành vi gian lận. Tuy nhiên, với quy định tăng mức giảm trừ gia cảnh và đơn giản hóa biểu thuế, việc phát hiện trốn thuế sẽ trở nên dễ dàng hơn.</t>
  </si>
  <si>
    <t>Cơ quan thuế có công nghệ hiện đại để giám sát các giao dịch tài chính. Tuy nhiên, vẫn cần thêm lực lượng kiểm tra chuyên sâu</t>
  </si>
  <si>
    <t>Quy trình khai thuế đơn giản hơn và dễ thực hiện hơn so với trước đây.</t>
  </si>
  <si>
    <t>Biểu thuế mới rõ ràng, dễ hiểu hơn, giúp người dân dễ dàng tính toán</t>
  </si>
  <si>
    <t>Tôi tin rằng nhà nước sẽ thực thi chính sách một cách công bằng. Việc tăng giảm trừ gia cảnh và đơn giản hóa biểu thuế tạo cảm giác công bằng.</t>
  </si>
  <si>
    <t>Thuế mới được tính theo thu nhập, phù hợp với mức sống của tôi</t>
  </si>
  <si>
    <t>Tiết kiệm thuế giúp tôi có thêm tiền cho các nhu cầu khác, tin rằng đây là việc sử dụng hiệu quả nguồn lực</t>
  </si>
  <si>
    <t>Nhà nước đã giải thích rõ về mục tiêu và lý do của chính sách mới. Tuy nhiên, cần thêm thông tin chi tiết về cách sử dụng thuế thu được.</t>
  </si>
  <si>
    <t>Sau khi xem xét các quyền lợi và nghĩa vụ, tôi ủng hộ và sẽ tuân thủ chính sách mới.</t>
  </si>
  <si>
    <t>Với mức giảm trừ gia cảnh cao hơn và số bậc thuế đơn giản hơn, việc phát hiện gian lận sẽ dễ dàng hơn. Cơ quan thuế có công nghệ hỗ trợ tốt.</t>
  </si>
  <si>
    <t>Nhà nước đã đầu tư vào hệ thống quản lý thuế, đảm bảo khả năng xử lý nghiêm các hành vi trốn thuế.</t>
  </si>
  <si>
    <t>Thủ tục khai báo và làm việc với cơ quan thuế trở nên đơn giản hơn do giảm bậc thuế.</t>
  </si>
  <si>
    <t>Bậc thuế mới rõ ràng, dễ hiểu, giúp tôi không phải lo lắng về cách tính thuế.</t>
  </si>
  <si>
    <t>Nhà nước đã công bố mục tiêu cải cách và sẽ thực hiện một cách khách quan.</t>
  </si>
  <si>
    <t>Mức thuế mới phù hợp với thu nhập của tôi, tạo cảm giác công bằng.</t>
  </si>
  <si>
    <t>Thuế đóng góp vào việc cải thiện dịch vụ công, như y tế và hạ tầng.</t>
  </si>
  <si>
    <t>Nhà nước đã giải thích rõ về mục tiêu của chính sách mới.</t>
  </si>
  <si>
    <t>Trải qua quá trình đánh giá, tôi ủng hộ và tuân thủ chính sách mới vì lợi ích cá nhân và cộng đồng.</t>
  </si>
  <si>
    <t>Hiện nay, cơ quan thuế có nhiều công cụ và hệ thống để phát hiện hành vi gian lận, trốn thuế. Tuy nhiên, hiệu quả thực tế phụ thuộc vào việc quản lý và vận hành.</t>
  </si>
  <si>
    <t>Nhà nước đã đầu tư nhiều vào công nghệ và nhân lực để đảm bảo phát hiện và xử lý nghiêm các vi phạm về thuế. Tuy nhiên, vẫn còn những hạn chế.</t>
  </si>
  <si>
    <t>Quy trình khai báo thuế trở nên đơn giản hơn với việc giảm số bậc thuế, nhưng vẫn cần thêm thời gian để người dân quen thuộc với các thay đổi mới.</t>
  </si>
  <si>
    <t>Cách tính thuế và số bậc thuế đã được đơn giản hóa. Tuy nhiên, có một số mức thuế suất cao hơn so với trước đây, khiến người dân cảm thấy phức tạp.</t>
  </si>
  <si>
    <t>Tôi tin rằng Nhà nước sẽ thực thi chính sách một cách công bằng và khách quan. Tuy nhiên, sự minh bạch trong việc sử dụng thuế vẫn còn hạn chế.</t>
  </si>
  <si>
    <t>Đối với mức thu nhập của tôi, giảm trừ gia cảnh tăng lên đã giúp tôi tiết kiệm được một khoản tiền đáng kể. Tuy nhiên, mức thuế suất cao hơn so với trước đây khiến tôi cảm thấy không công bằng.</t>
  </si>
  <si>
    <t>Tôi tin rằng số tiền thuế đóng sẽ được sử dụng hiệu quả để cải thiện các dịch vụ công. Tuy nhiên, việc minh bạch trong việc sử dụng ngân sách vẫn còn nhiều hạn chế.</t>
  </si>
  <si>
    <t>Nhà nước đã giải thích rõ ràng về mục tiêu và lý do của việc sửa đổi thuế. Điều này giúp tăng niềm tin vào quyết định của chính phủ.</t>
  </si>
  <si>
    <t>Tôi ủng hộ và tuân thủ chính sách mới vì nó mang lại lợi ích tài chính cho tôi, mặc dù vẫn có một số vấn đề về tính công bằng cần được giải quyết.</t>
  </si>
  <si>
    <t>Việc tăng giảm trừ gia cảnh và đơn giản hóa biểu thuế có thể làm giảm khả năng phát hiện hành vi trốn thuế, do đó tôi chỉ đồng ý một phần.</t>
  </si>
  <si>
    <t>Cơ quan thuế đã cải tiến hệ thống quản lý thuế, nhưng vẫn cần thời gian để hoàn thiện công nghệ và nguồn lực, nên mức độ đồng ý ở trung bình.</t>
  </si>
  <si>
    <t>Quy trình khai báo thuế trở nên đơn giản hơn, tôi có thể thực hiện nhanh chóng hơn so với trước đây, tăng điểm.</t>
  </si>
  <si>
    <t>Bảng thuế mới rõ ràng và dễ hiểu hơn, giúp người dân tính toán chính xác hơn, do đó đồng ý cao.</t>
  </si>
  <si>
    <t>Tôi tin rằng cơ quan thuế sẽ thực thi công bằng đối với mọi người nộp thuế, nhưng cần thời gian để chứng minh.</t>
  </si>
  <si>
    <t>Thuế mới được giảm đáng kể so với trước đây, tôi cảm thấy mức thuế này là hợp lý cho thu nhập của mình.</t>
  </si>
  <si>
    <t>Số tiền thuế đóng sẽ được sử dụng hiệu quả để cải thiện dịch vụ công, tôi tin vào điều đó.</t>
  </si>
  <si>
    <t>Nhà nước đã giải thích rõ về mục tiêu của việc sửa đổi luật thuế lần này, tăng niềm tin của người dân.</t>
  </si>
  <si>
    <t>Hiện tại, mặc dù cơ quan thuế có công nghệ hiện đại nhưng vẫn phụ thuộc vào sự tuân thủ của người nộp thuế. Không có biện pháp cụ thể để phát hiện trốn thuế.</t>
  </si>
  <si>
    <t>Cơ quan thuế đã đầu tư nhiều vào hệ thống công nghệ thông tin, tuy nhiên vẫn cần thêm quy định quản lý chặt chẽ hơn để tránh gian lận</t>
  </si>
  <si>
    <t>Việc đơn giản hóa quy trình khai báo và các bước làm việc với cơ quan thuế đã tạo thuận tiện cho người dân.</t>
  </si>
  <si>
    <t>Số bậc thuế giảm đi và mức giảm trừ gia cảnh cao hơn khiến quá trình tính thuế trở nên dễ dàng hơn</t>
  </si>
  <si>
    <t>Tôi tin rằng cơ quan thuế sẽ thực thi chính sách một cách công bằng, mặc dù vẫn có sự nghi ngờ về việc xử lý cụ thể của họ.</t>
  </si>
  <si>
    <t>Như mức thuế mới giảm đáng kể so với trước đây, tôi thấy mình đóng góp đúng mức cho xã hội.</t>
  </si>
  <si>
    <t>Thuế được sử dụng vào các dịch vụ công như y tế và giao thông, điều này giúp nâng cao chất lượng cuộc sống của người dân</t>
  </si>
  <si>
    <t>Nhà nước đã giải thích rõ về mục tiêu cải cách thuế nhưng cần có thêm thông tin về hiệu quả sử dụng nguồn thu từ thuế.</t>
  </si>
  <si>
    <t>Tôi ủng hộ chính sách mới vì nó giúp tôi tiết kiệm được một số tiền đáng kể và thuận tiện hơn trong việc khai báo thuế</t>
  </si>
  <si>
    <t>Việc giảm trừ gia cảnh tăng lên cùng với việc đơn giản hóa biểu thuế có thể làm giảm khả năng phát hiện hành vi gian lận hoặc trốn thuế, tuy nhiên, các quy định quản lý thuế vẫn cần được cải thiện để đảm bảo hiệu quả.</t>
  </si>
  <si>
    <t>Cơ quan thuế đã có những công nghệ và nguồn lực nhất định, nhưng vấn đề là cách triển khai và giám sát. Việc cải cách này có thể làm giảm áp lực kiểm soát thuế</t>
  </si>
  <si>
    <t>So với trước đây, việc tính toán và nộp thuế trở nên đơn giản hơn do số bậc thuế được rút gọn, đồng thời các quy trình cũng dễ dàng hơn.</t>
  </si>
  <si>
    <t>Biểu thuế mới có ít bậc hơn, điều này giúp người dân dễ dàng hiểu và áp dụng. Tuy nhiên, việc hiểu rõ về cách tính thuế vẫn cần phải được cải thiện.</t>
  </si>
  <si>
    <t>Tôi tin rằng cơ quan thuế sẽ thực thi chính sách một cách khách quan và công bằng, nhưng cần có các biện pháp giám sát mạnh mẽ hơn để đảm bảo</t>
  </si>
  <si>
    <t>Với mức giảm trừ gia cảnh cao hơn và số bậc thuế ít hơn, tôi thấy mình đóng thuế ở mức phù hợp với thu nhập hiện tại của mình.</t>
  </si>
  <si>
    <t>Tôi tin rằng số tiền thuế này sẽ được sử dụng hiệu quả để cải thiện chất lượng cuộc sống cho người dân</t>
  </si>
  <si>
    <t>Cơ quan thuế đã giải thích rõ ràng về mục đích của việc sửa đổi luật, nhưng tôi vẫn mong muốn có thêm thông tin chi tiết hơn.</t>
  </si>
  <si>
    <t>Chính phủ đã có nhiều nỗ lực trong việc quản lý thuế và công nghệ hiện đại giúp phát hiện gian lận, tuy nhiên vẫn cần thêm thời gian để kiểm chứng.</t>
  </si>
  <si>
    <t>Nhà nước đã đầu tư vào công nghệ để cải thiện khả năng quản lý thuế, nhưng còn phụ thuộc vào sự tuân thủ của người dân.</t>
  </si>
  <si>
    <t>Quy trình khai thuế trở nên đơn giản hơn với mức giảm trừ gia cảnh cao và ít bậc thuế, dễ dàng thực hiện.</t>
  </si>
  <si>
    <t>Các bậc thuế mới rõ ràng và dễ hiểu, giảm bớt sự phức tạp so với trước đây.</t>
  </si>
  <si>
    <t>Đối xử công bằng giữa người nộp thuế do mức giảm trừ gia cảnh cao và số bậc thuế ít hơn, tạo niềm tin trong việc thực thi chính sách.</t>
  </si>
  <si>
    <t>Mức thuế mới phù hợp với thu nhập của tôi, thể hiện tính công bằng trong hệ thống thuế mới.</t>
  </si>
  <si>
    <t>Thuế đóng góp vào việc cải thiện dịch vụ công như y tế và hạ tầng, tạo niềm tin về hiệu quả sử dụng tiền thuế.</t>
  </si>
  <si>
    <t>Nhà nước đã giải thích rõ ràng mục tiêu của chính sách mới, giúp người dân hiểu được lý do đổi mới hệ thống thuế.</t>
  </si>
  <si>
    <t>Chính sách mới tạo điều kiện thuận lợi cho người nộp thuế và công bằng hơn so với trước đây, tôi ủng hộ nó.</t>
  </si>
  <si>
    <t>Cơ quan thuế có đủ khả năng và công nghệ để phát hiện các hành vi trốn thuế, do đó tôi tin rằng việc gian lận sẽ dễ dàng bị phát hiện.</t>
  </si>
  <si>
    <t>Việc áp dụng giảm trừ gia cảnh cao hơn thu nhập có thể làm tăng khả năng phát hiện các hành vi trốn thuế, do đó tôi tin rằng Nhà nước có đủ khả năng xử lý nghiêm minh.</t>
  </si>
  <si>
    <t>Quy trình khai báo thuế trở nên đơn giản hơn, chỉ cần cung cấp thông tin cơ bản về thu nhập và giảm trừ gia cảnh. Các bước thủ tục cũng nhanh chóng hơn.</t>
  </si>
  <si>
    <t>Biểu thuế đã được rút gọn, do đó việc tính toán và thực hiện các bước trong quá trình khai báo thuế trở nên dễ dàng và thuận tiện hơn</t>
  </si>
  <si>
    <t>Nhà nước đã áp dụng mức giảm trừ gia cảnh cao hơn thu nhập của tôi, do đó tôi tin rằng việc thực thi chính sách sẽ khách quan và công bằng.</t>
  </si>
  <si>
    <t>Với mức giảm trừ gia cảnh và thuế suất mới, tôi không còn phải đóng thuế, điều này cho thấy mức thuế mà tôi phải đóng là hợp lý</t>
  </si>
  <si>
    <t>Thu nhập của tôi đã được sử dụng hiệu quả để cải thiện dịch vụ công như y tế và đường xá, do đó tôi tin rằng số tiền thuế tôi đóng sẽ được sử dụng một cách hiệu quả.</t>
  </si>
  <si>
    <t>Nhà nước đã giải thích rõ ràng về mục tiêu của việc sửa đổi thuế lần này để cải thiện hệ thống quản lý thuế, do đó tôi tin rằng chính sách mới sẽ được thực hiện một cách minh bạch.</t>
  </si>
  <si>
    <t>Sau khi xem xét các quyền lợi và nghĩa vụ, tôi ủng hộ và tuân thủ chính sách mới này vì nó đơn giản hóa quy trình khai báo thuế và làm giảm gánh nặng về mặt tài chính.</t>
  </si>
  <si>
    <t>Hiện nay, cơ quan thuế có nhiều công cụ để phát hiện gian lận hoặc trốn thuế do tăng mức giảm trừ gia cảnh và đơn giản hóa biểu thuế. Tuy nhiên, với mức thu nhập của tôi không vượt ngưỡng chịu thuế nên khả năng bị phát hiện thấp.</t>
  </si>
  <si>
    <t>Nhà nước đã đầu tư công nghệ để cải thiện quản lý thuế, nhưng do tôi không phải đóng thuế nên khả năng xử lý nghiêm các hành vi trốn thuế đối với tôi là không cao.</t>
  </si>
  <si>
    <t>Quy trình khai báo và làm việc với cơ quan thuế trở nên đơn giản hơn, nhưng do tôi không phải nộp thuế nên cảm nhận về thuận tiện này thấp hơn so với người có thu nhập cao.</t>
  </si>
  <si>
    <t>Bậc thuế đã được đơn giản hóa và giảm trừ gia cảnh tăng lên, giúp việc tính thuế dễ dàng hơn. Tuy nhiên, do không phải nộp thuế nên cảm nhận về cải tiến này của tôi không cao.</t>
  </si>
  <si>
    <t>Nhà nước có thể thực thi chính sách một cách khách quan và công bằng, nhưng vì tôi không phải đóng thuế nên niềm tin vào việc thực thi chính sách này đối với tôi thấp hơn người nộp thuế.</t>
  </si>
  <si>
    <t>Mức giảm trừ gia cảnh cao hơn thu nhập của tôi nên tôi không phải đóng thuế. Đây là mức thuế hợp lý cho thu nhập hiện tại và tình hình gia đình của tôi.</t>
  </si>
  <si>
    <t>Thuế tôi đóng được sử dụng để cải thiện dịch vụ công, nhưng do tôi không phải đóng nên cảm nhận về việc này không cao.</t>
  </si>
  <si>
    <t>Nhà nước đã giải thích rõ ràng về mục tiêu của việc sửa đổi thuế, nhưng vì tôi không phải nộp thuế nên cảm nhận về sự minh bạch này thấp hơn người nộp thuế.</t>
  </si>
  <si>
    <t>Dù chính sách mới có nhiều ưu điểm như đơn giản hóa biểu thuế và tăng giảm trừ gia cảnh, nhưng do tôi không phải đóng thuế nên tôi không ủng hộ hoặc tuân thủ chính sách này.</t>
  </si>
  <si>
    <t>Hiện nay, mặc dù có quy định quản lý thuế rõ ràng nhưng do mức giảm trừ gia cảnh cao và thu nhập thấp nên tôi không thấy lo ngại về việc bị phát hiện gian lận hoặc trốn thuế.</t>
  </si>
  <si>
    <t>Nhà nước đã cải thiện công nghệ quản lý thuế, tuy nhiên do mức thuế của tôi là 0 đồng/tháng nên khả năng bị phát hiện không cao đối với trường hợp này.</t>
  </si>
  <si>
    <t>Quy trình khai báo thuế và làm việc với cơ quan thuế đã đơn giản hơn, nhưng do mức thuế của tôi là 0 đồng/tháng nên cảm nhận về thuận tiện không cao.</t>
  </si>
  <si>
    <t>Cách tính thuế và các bậc thuế mới dễ hiểu và dễ thực hiện hơn so với trước đây, đặc biệt là khi mức giảm trừ gia cảnh và thu nhập thấp của tôi.</t>
  </si>
  <si>
    <t>Tôi tin rằng Nhà nước sẽ thực thi chính sách một cách công bằng vì mức thuế của tôi không thay đổi nhiều so với trước đây, vẫn là 0 đồng/tháng.</t>
  </si>
  <si>
    <t>Mức thuế 0 đồng/tháng cho thu nhập và giảm trừ gia cảnh hiện tại được xem là công bằng đối với người như tôi.</t>
  </si>
  <si>
    <t>Tôi tin số tiền thuế không đáng kể này sẽ được sử dụng hiệu quả để cải thiện dịch vụ công, mặc dù do mức thuế thấp nên cảm nhận về sự hiệu quả này không mạnh mẽ.</t>
  </si>
  <si>
    <t>Nhà nước đã giải thích rõ ràng lý do và mục tiêu của việc sửa đổi thuế lần này, khiến tôi tin tưởng hơn vào quyết định của họ.</t>
  </si>
  <si>
    <t>Dù mức thuế không thay đổi nhiều nhưng chính sách mới đơn giản hóa quy trình khai báo và làm việc với cơ quan thuế, tăng sự thuận tiện cho người dân như tôi.</t>
  </si>
  <si>
    <t>Dù không hoàn toàn tin tưởng 100%, nhưng với sự cải tiến về quy định quản lý thuế, tôi cho rằng khả năng phát hiện và xử lý gian lận hay trốn thuế đã được nâng cao.</t>
  </si>
  <si>
    <t>Công nghệ ngày càng phát triển, việc giám sát và xử lý vi phạm của cơ quan thuế sẽ trở nên hiệu quả hơn nhiều so với trước đây.</t>
  </si>
  <si>
    <t>Thủ tục khai báo và quy trình làm việc đã đơn giản hóa đáng kể, giảm bớt rắc rối cho người nộp thuế.</t>
  </si>
  <si>
    <t>Biểu thuế mới với số bậc giảm, cách tính thuế rõ ràng hơn, giúp tôi dễ dàng hiểu và thực hiện hơn so với trước đây.</t>
  </si>
  <si>
    <t>Tôi tin rằng cơ quan thuế sẽ cố gắng công bằng trong việc áp dụng các quy định mới, nhưng vẫn cần thêm thời gian để kiểm chứng.</t>
  </si>
  <si>
    <t>Các mức giảm trừ gia cảnh và bậc thuế suất mới là hợp lý cho thu nhập của tôi, thể hiện sự công bằng trong việc phân chia gánh nặng thuế.</t>
  </si>
  <si>
    <t>Thuế đóng góp vào các dịch vụ công, cải thiện cơ sở hạ tầng và y tế, tôi tin rằng số tiền đóng sẽ được sử dụng hiệu quả.</t>
  </si>
  <si>
    <t>Đồng ý với việc giải thích về mục đích và lý do của chính sách mới, nhưng cần thêm minh bạch trong việc thực thi.</t>
  </si>
  <si>
    <t>Tôi ủng hộ và tuân thủ chính sách mới vì nó mang lại lợi ích tài chính rõ rệt cho tôi, đồng thời đơn giản hóa quy trình thuế</t>
  </si>
  <si>
    <t>Do tôi là một công dân Việt Nam, tôi tin rằng Nhà nước và các cơ quan thuế đã có những biện pháp mạnh mẽ để phát hiện và xử lý trốn thuế. Tuy nhiên, sự thực thi vẫn phụ thuộc vào hiệu quả của hệ thống quản lý.</t>
  </si>
  <si>
    <t>Nhà nước đã đầu tư công nghệ cao để quản lý thuế và tăng cường kiểm tra, do đó tôi tin rằng khả năng phát hiện trốn thuế sẽ được cải thiện đáng kể.</t>
  </si>
  <si>
    <t>Các quy trình làm việc với cơ quan thuế đã đơn giản hơn nhiều so với trước đây, đặc biệt là khi số bậc thuế giảm từ 7 xuống còn 5. Điều này giúp thuận tiện cho quá trình khai báo và nộp thuế.</t>
  </si>
  <si>
    <t>Công thức tính thuế mới dễ hiểu hơn và số bậc thuế ít đi, do đó việc thực hiện các quy định về thuế trở nên đơn giản hơn rất nhiều.</t>
  </si>
  <si>
    <t>Tôi tin rằng Nhà nước sẽ công bằng khi áp dụng chính sách mới này. Việc tăng giảm trừ gia cảnh và số bậc thuế đã giúp đảm bảo tính công bằng trong việc đánh giá mức thu nhập thực tế của người dân.</t>
  </si>
  <si>
    <t>Do tôi có thu nhập trung bình, nên mức thuế mới này là hợp lý. Việc giảm trừ gia cảnh tăng lên cũng giúp cân đối giữa các nhóm thu nhập khác nhau trong xã hội.</t>
  </si>
  <si>
    <t>Tôi tin rằng số tiền thuế tôi đóng sẽ được sử dụng hiệu quả để cải thiện cơ sở hạ tầng và dịch vụ công, như y tế và giao thông. Điều này giúp nâng cao chất lượng cuộc sống cho người dân.</t>
  </si>
  <si>
    <t>Nhà nước đã giải thích rõ ràng về mục tiêu của việc sửa đổi chính sách thuế lần này, cũng như những thay đổi đối với mức thu nhập và số bậc thuế. Điều này làm tăng sự minh bạch và tin tưởng.</t>
  </si>
  <si>
    <t>Do tôi tiết kiệm được một khoản tiền đáng kể với chính sách mới này, đồng thời việc khai báo và nộp thuế trở nên thuận tiện hơn, tôi sẽ ủng hộ và tuân thủ chính sách mới.</t>
  </si>
  <si>
    <t>Dù thuế có đơn giản hơn, nhưng tôi vẫn nghi ngờ khả năng phát hiện trốn thuế do quy định quản lý thuế chưa rõ ràng.</t>
  </si>
  <si>
    <t>Cơ quan thuế cần công nghệ và nhân lực để kiểm soát hiệu quả hơn nữa mới có thể xử lý nghiêm các hành vi gian lận hoặc trốn thuế.</t>
  </si>
  <si>
    <t>Quy trình khai báo thuế và làm việc với cơ quan thuế đã đơn giản hóa, nhưng vẫn cần thời gian để người dân quen thuộc.</t>
  </si>
  <si>
    <t>Bậc thuế mới dễ hiểu hơn, nhưng tôi nghĩ các bậc thuế nên được giải thích kỹ hơn nữa để mọi người hiểu rõ.</t>
  </si>
  <si>
    <t>Tôi tin tưởng cơ quan thuế sẽ công tâm trong việc thực thi chính sách, mặc dù vẫn có những nghi ngờ nhỏ về khả năng quản lý.</t>
  </si>
  <si>
    <t>Thuế mới đã giảm đáng kể so với trước đây, khiến tôi thấy mức thuế hiện tại là hợp lý cho thu nhập của mình.</t>
  </si>
  <si>
    <t>Tôi tin rằng số tiền thuế đóng sẽ được sử dụng hiệu quả để cải thiện các dịch vụ công, nhưng cần thêm minh bạch hơn từ phía chính phủ về mục tiêu sử dụng.</t>
  </si>
  <si>
    <t>Chính phủ đã giải thích rõ ràng lý do và mục tiêu của việc sửa đổi thuế, tôi đồng ý với những thay đổi này.</t>
  </si>
  <si>
    <t>Tôi ủng hộ chính sách mới vì giảm trừ gia cảnh lớn hơn và bậc thuế đơn giản hơn, giúp tôi tiết kiệm nhiều tiền thuế.</t>
  </si>
  <si>
    <t>Nhà nước có nhiều biện pháp để phát hiện và xử lý gian lận, trốn thuế. Việc giảm trừ gia cảnh và đơn giản hóa biểu thuế tạo điều kiện cho việc quản lý dễ dàng hơn.</t>
  </si>
  <si>
    <t>Cơ quan thuế có đủ công nghệ để theo dõi hoạt động kinh doanh của cá nhân. Các biện pháp quản lý mới đã giảm bớt gian lận và trốn thuế.</t>
  </si>
  <si>
    <t>Quy trình khai báo thuế và làm việc với cơ quan thuế dễ dàng hơn, đặc biệt là khi mức giảm trừ gia cảnh tăng lên. Việc đơn giản hóa biểu thuế cũng giúp quá trình tính toán thuận lợi hơn.</t>
  </si>
  <si>
    <t>Biểu thuế mới có ít bậc hơn và các bước tính toán dễ hiểu hơn, làm cho việc thực hiện pháp lý trở nên thuận tiện. Mức giảm trừ gia cảnh cũng tăng lên đáng kể.</t>
  </si>
  <si>
    <t>Tôi tin rằng Nhà nước sẽ công tâm trong việc áp dụng chính sách mới. Các biện pháp quản lý thuế mới giúp đảm bảo tính minh bạch và công bằng.</t>
  </si>
  <si>
    <t>Theo phương án mới, mức thuế tôi phải đóng là hợp lý so với thu nhập của mình. Việc tăng giảm trừ gia cảnh cũng tạo sự công bằng hơn cho người dân có nhiều người phụ thuộc.</t>
  </si>
  <si>
    <t>Thuốc đóng góp vào việc cải thiện các dịch vụ công như y tế và giao thông, giúp nâng cao chất lượng cuộc sống. Việc giảm trừ gia cảnh tăng lên cũng tạo điều kiện cho việc sử dụng số tiền thuế một cách hiệu quả.</t>
  </si>
  <si>
    <t>Nhà nước đã giải thích rõ ràng về các mục tiêu và lý do của việc cải cách thuế. Điều này làm tăng niềm tin vào quyết định của chính phủ.</t>
  </si>
  <si>
    <t>Sau khi xem xét, tôi ủng hộ và tuân thủ chính sách mới vì nó tạo ra sự công bằng hơn cho người dân có nhiều người phụ thuộc. Mức thuế giảm cũng giúp cải thiện tài chính cá nhân.</t>
  </si>
  <si>
    <t>Việc tăng giảm trừ gia cảnh và đơn giản hóa biểu thuế có thể làm giảm khả năng phát hiện hành vi gian lận, nhưng cơ quan thuế vẫn có các biện pháp kiểm soát hiệu quả.</t>
  </si>
  <si>
    <t>Cơ quan thuế đã đầu tư vào công nghệ và đào tạo nhân viên để phát hiện trốn thuế, tuy nhiên, việc giảm số bậc thuế cũng giảm độ phức tạp trong quản lý.</t>
  </si>
  <si>
    <t>Quy trình khai báo thuế trở nên đơn giản hơn, nhưng vẫn cần thời gian để quen thuộc với các thay đổi mới.</t>
  </si>
  <si>
    <t>Bậc thuế đơn giản hóa giúp việc tính toán và nộp thuế dễ dàng hơn, tuy nhiên, số bậc giảm có thể làm giảm độ chính xác trong phân loại thu nhập.</t>
  </si>
  <si>
    <t>Tôi tin Nhà nước sẽ thực thi chính sách công bằng với mọi người nộp thuế, nhưng việc cải cách cần thời gian để chứng minh hiệu quả.</t>
  </si>
  <si>
    <t>Mức thuế mới đối với thu nhập của tôi là hợp lý và công bằng so với trước đây, giảm trừ gia cảnh tăng lên cũng giúp tôi tiết kiệm.</t>
  </si>
  <si>
    <t>Tôi tin số tiền thuế đóng sẽ được sử dụng hiệu quả cho các dịch vụ công, nhưng cần thời gian để đánh giá cụ thể.</t>
  </si>
  <si>
    <t>Nhà nước đã giải thích rõ về mục tiêu cải cách, tuy nhiên, việc thực thi chính sách mới vẫn cần thêm minh bạch hơn.</t>
  </si>
  <si>
    <t>Tôi ủng hộ và tuân thủ chính sách mới vì nó giúp tôi tiết kiệm được tiền thuế và có nhiều quyền lợi hơn.</t>
  </si>
  <si>
    <t>Dựa trên quy định quản lý thuế hiện tại, các biện pháp giám sát và xử phạt vi phạm được nâng cao. Tuy nhiên, tôi vẫn lo ngại về khả năng phát hiện gian lận của cơ quan thuế.</t>
  </si>
  <si>
    <t>Nhà nước đã đầu tư công nghệ và nguồn lực để cải thiện hiệu quả quản lý thuế, nhưng vẫn cần thêm thời gian để hoàn thiện hệ thống.</t>
  </si>
  <si>
    <t>Quy trình khai báo thuế trở nên đơn giản hơn với mức giảm trừ gia cảnh cao hơn và số bậc thuế ít đi. Điều này làm tăng tiện lợi cho người dân.</t>
  </si>
  <si>
    <t>Biểu thuế mới rõ ràng hơn, dễ hiểu và thực hiện thuận tiện hơn so với trước đây</t>
  </si>
  <si>
    <t>Tôi tin rằng Nhà nước sẽ công bằng trong việc thực thi chính sách thuế. Sự cải cách này được kỳ vọng tạo ra một hệ thống thuế minh bạch.</t>
  </si>
  <si>
    <t>Với mức thu nhập của tôi, mức thuế mới là hợp lý và công bằng. Số tiền tiết kiệm từ thuế có thể được sử dụng hiệu quả để cải thiện dịch vụ công</t>
  </si>
  <si>
    <t>Tôi tin rằng số tiền thuế đóng sẽ được sử dụng hiệu quả cho các mục đích công ích, như y tế và phát triển cơ sở hạ tầng.</t>
  </si>
  <si>
    <t>Nhà nước đã giải thích rõ ràng về lý do và mục tiêu của việc sửa đổi chính sách thuế. Các thông tin được cung cấp giúp tôi hiểu rõ hơn về vấn đề này.</t>
  </si>
  <si>
    <t>Tôi ủng hộ và tuân thủ chính sách mới vì nó mang lại lợi ích tài chính và tạo ra một môi trường thuế công bằng, minh bạch</t>
  </si>
  <si>
    <t>Hiện nay, cơ quan thuế có nhiều công cụ và quy định quản lý mạnh mẽ hơn để phát hiện hành vi gian lận hoặc trốn thuế. Điều này tăng cường niềm tin rằng hành vi không tuân thủ sẽ bị xử lý nghiêm.</t>
  </si>
  <si>
    <t>Nhà nước đã đầu tư công nghệ và nguồn lực để nâng cao hiệu quả quản lý, do đó khả năng phát hiện và xử lý gian lận thuế được cải thiện đáng kể so với trước đây.</t>
  </si>
  <si>
    <t>Quy trình khai báo thuế và làm việc với cơ quan thuế trở nên đơn giản hơn, đặc biệt là sau khi rút gọn các bậc thuế. Điều này giúp quá trình thực hiện thuận tiện hơn cho người dân.</t>
  </si>
  <si>
    <t>Biểu thuế mới có số bậc ít đi và mức giảm trừ gia cảnh tăng lên, do đó việc tính toán và nộp thuế trở nên dễ dàng và nhanh chóng hơn so với trước đây.</t>
  </si>
  <si>
    <t>Mức thuế theo phương án mới công bằng đối với thu nhập của tôi. Việc cải cách này thể hiện sự công tâm trong việc áp dụng chính sách thuế cho người dân.</t>
  </si>
  <si>
    <t>Thuế mà tôi phải đóng là hợp lý và phù hợp với mức thu nhập của mình. Điều này chứng tỏ rằng cơ quan thuế đã tính toán một cách công bằng.</t>
  </si>
  <si>
    <t>Tài nguyên thuế được sử dụng hiệu quả để cải thiện dịch vụ công, như y tế và giao thông, do đó tôi tin tưởng số tiền thuế của mình đóng sẽ được sử dụng đúng mục đích.</t>
  </si>
  <si>
    <t>Nhà nước đã cung cấp thông tin rõ ràng về lý do và mục tiêu của việc cải cách thuế này. Điều này giúp tăng sự minh bạch và tạo niềm tin đối với người dân.</t>
  </si>
  <si>
    <t>Đây là một chính sách có lợi cho tôi, giảm gánh nặng về thuế và đơn giản hóa quy trình làm việc với cơ quan thuế. Tôi ủng hộ và tuân thủ chính sách mới này.</t>
  </si>
  <si>
    <t>Dù cơ quan thuế có công nghệ hiện đại, nhưng thực tế việc phát hiện hành vi gian lận hoặc trốn thuế vẫn còn gặp nhiều khó khăn.</t>
  </si>
  <si>
    <t>Nhà nước và cơ quan thuế có thể cải thiện khả năng quản lý thông qua công nghệ, nhưng cần thời gian để hoàn thiện hệ thống.</t>
  </si>
  <si>
    <t>Quy trình khai báo thuế đã đơn giản hơn với nhiều bước giảm đi, tuy nhiên vẫn còn một số thủ tục rườm rà.</t>
  </si>
  <si>
    <t>Biểu thuế mới rõ ràng và dễ hiểu hơn so với trước đây, đặc biệt là việc giảm bớt các bậc thuế.</t>
  </si>
  <si>
    <t>Tuy các quy định mới khách quan và công bằng hơn, nhưng tôi vẫn nghi ngờ về cách thực thi.</t>
  </si>
  <si>
    <t>Mức thuế mới phù hợp với thu nhập của tôi và giảm trừ gia cảnh cao hơn trước, tạo cảm giác công bằng.</t>
  </si>
  <si>
    <t>Tôi tin rằng số tiền thuế đóng sẽ được sử dụng hiệu quả cho các dịch vụ công nhưng chưa rõ ràng.</t>
  </si>
  <si>
    <t>Nhà nước đã giải thích rõ về mục tiêu của việc sửa đổi, tuy nhiên cần minh bạch hơn trong thực thi.</t>
  </si>
  <si>
    <t>Dù có nhiều lợi ích từ chính sách mới nhưng tôi vẫn cân nhắc kỹ trước khi tuân thủ hoàn toàn.</t>
  </si>
  <si>
    <t>Nếu cơ quan thuế có công nghệ và khả năng phát hiện gian lận, trốn thuế tốt hơn thì việc quản lý thuế sẽ hiệu quả hơn.</t>
  </si>
  <si>
    <t>Cơ quan thuế có đủ lực lượng và công nghệ để theo dõi những hành vi không tuân thủ luật thuế là khả thi.</t>
  </si>
  <si>
    <t>Việc tính thuế rõ ràng hơn, giảm bớt các bước phức tạp giúp quá trình khai báo nhanh chóng và thuận tiện hơn.</t>
  </si>
  <si>
    <t>Bậc thuế đơn giản hóa giúp việc tính toán dễ dàng hơn, người dân hiểu được mức thuế mình phải đóng.</t>
  </si>
  <si>
    <t>Thuế mới được giảm, tôi thấy mức này là hợp lý cho thu nhập của mình.</t>
  </si>
  <si>
    <t>Đóng thuế giúp xây dựng cơ sở hạ tầng và dịch vụ công tốt hơn, điều đó tạo niềm tin vào việc sử dụng tiền thuế.</t>
  </si>
  <si>
    <t>Nhà nước đã giải thích rõ ràng về mục tiêu của chính sách mới, tôi thấy đây là cải cách tích cực.</t>
  </si>
  <si>
    <t>Dựa trên tác động tài chính và sự đơn giản hóa, tôi ủng hộ và tuân thủ chính sách thuế mới này.</t>
  </si>
  <si>
    <t>Nhà nước đã tăng cường quản lý thuế và công nghệ hiện đại giúp phát hiện trốn thuế dễ dàng hơn, tuy nhiên vẫn cần thêm thời gian để hoàn thiện.</t>
  </si>
  <si>
    <t>Cơ quan thuế có khả năng phát hiện và xử lý trốn thuế tốt với hệ thống công nghệ tiên tiến.</t>
  </si>
  <si>
    <t>Quy trình khai báo thuế đơn giản hơn, thuận tiện qua ứng dụng điện tử.</t>
  </si>
  <si>
    <t>Biểu thuế mới đơn giản hóa bậc thuế, dễ hiểu và thực hiện hơn so với trước đây.</t>
  </si>
  <si>
    <t>Tôi tin rằng cơ quan thuế sẽ công bằng trong việc áp dụng chính sách mới</t>
  </si>
  <si>
    <t>Thuế giảm đáng kể, tôi thấy mức này là hợp lý cho thu nhập của mình.</t>
  </si>
  <si>
    <t>Thuốc đóng góp vào việc cải thiện dịch vụ công sẽ giúp nâng cao chất lượng cuộc sống</t>
  </si>
  <si>
    <t>Nhà nước đã giải thích rõ ràng về mục tiêu và lý do của việc sửa đổi thuế lần này.</t>
  </si>
  <si>
    <t>Đồng ý ủng hộ và tuân thủ chính sách mới vì lợi ích thực tế từ nó</t>
  </si>
  <si>
    <t>Đối với một công dân bình thường, các quy định quản lý thuế hiện tại có thể không hoàn toàn rõ ràng. Tuy nhiên, việc tăng mức giảm trừ gia cảnh và đơn giản hóa biểu thuế có thể tạo ra sự minh bạch hơn cho người nộp thuế.</t>
  </si>
  <si>
    <t>Nhà nước đã cải cách hệ thống thuế để tăng tính công bằng và minh bạch, tuy nhiên, việc thực thi các quy định mới vẫn cần thời gian để mọi người nắm bắt.</t>
  </si>
  <si>
    <t>Quy trình khai báo thuế trở nên đơn giản hơn với mức giảm trừ gia cảnh và số bậc thuế được rút gọn. Tuy nhiên, việc áp dụng các quy định mới vẫn cần thêm thời gian để thực hành.</t>
  </si>
  <si>
    <t>Biểu thuế mới có ít bậc hơn và đơn giản hóa các bậc thuế suất, giúp người nộp thuế dễ hiểu và thực hiện hơn so với trước đây.</t>
  </si>
  <si>
    <t>Tôi tin rằng Nhà nước sẽ thực thi chính sách một cách công bằng, mặc dù không thể biết chắc chắn về cách quản lý cụ thể của các cơ quan thuế.</t>
  </si>
  <si>
    <t>Theo phương án mới, tôi nhận thấy mức giảm trừ gia cảnh và số bậc thuế đã được điều chỉnh phù hợp với thu nhập hiện tại của mình, tạo cảm giác công bằng.</t>
  </si>
  <si>
    <t>Tôi tin rằng số tiền thuế tôi đóng sẽ được sử dụng hiệu quả để cải thiện các dịch vụ công. Mặc dù không thể biết cụ thể nhưng việc cải cách này có mục tiêu tốt.</t>
  </si>
  <si>
    <t>Nhà nước đã giải thích rõ ràng về cơ chế và mục đích của việc sửa đổi thuế, tuy nhiên, việc thực hiện đầy đủ các quy định mới vẫn cần thêm thời gian để hiểu thấu đáo.</t>
  </si>
  <si>
    <t>Chính sách mới có lợi cho tôi với mức giảm trừ gia cảnh và số bậc thuế được đơn giản hóa. Tôi sẽ ủng hộ và tuân thủ chính sách mới này.</t>
  </si>
  <si>
    <t>Hiện nay, công nghệ theo dõi thuế đã phát triển, nhưng tôi vẫn nghi ngờ khả năng quản lý của các cơ quan thuế đối với lượng lớn hồ sơ thuế. Cơ hội để gian lận vẫn còn tồn tại.</t>
  </si>
  <si>
    <t>Cơ quan thuế có nhiều công cụ hiện đại, nhưng việc phát hiện và xử lý trốn thuế vẫn phụ thuộc vào nguồn lực và chính sách của họ. Tôi không hoàn toàn tin tưởng</t>
  </si>
  <si>
    <t>Thủ tục khai thuế trở nên đơn giản hơn với mức giảm trừ gia cảnh cao hơn, nhưng tôi vẫn gặp khó khăn khi làm hồ sơ phức tạp.</t>
  </si>
  <si>
    <t>Biểu thuế đơn giản hơn giúp tính toán dễ dàng, song việc áp dụng các bậc thuế cần sự hiểu biết về thu nhập cá nhân của từng người</t>
  </si>
  <si>
    <t>Tôi tin rằng cơ quan thuế sẽ cố gắng thực hiện công bằng, nhưng lo ngại về khả năng kiểm soát và tính minh bạch trong quá trình áp dụng.</t>
  </si>
  <si>
    <t>Mức thuế mới giảm đáng kể so với trước đây, giúp tôi cảm thấy công bằng hơn khi đóng góp cho xã hội</t>
  </si>
  <si>
    <t>Thuế được sử dụng để cải thiện dịch vụ công là mục tiêu hợp lý, nhưng hiệu quả cụ thể vẫn chưa rõ ràng.</t>
  </si>
  <si>
    <t>Cơ quan thuế đã giải thích rõ về các thay đổi mới, giúp tôi hiểu hơn về mục đích và quy trình</t>
  </si>
  <si>
    <t>Tác động tài chính tích cực và thủ tục đơn giản hóa khiến tôi dễ dàng tuân thủ chính sách mới.</t>
  </si>
  <si>
    <t>Dù thuế được đơn giản hóa, nhưng mức giảm trừ gia cảnh tăng cao có thể khiến việc phát hiện trốn thuế khó khăn hơn. Tuy nhiên, với khả năng công nghệ ngày càng phát triển, khả năng phát hiện vẫn còn.</t>
  </si>
  <si>
    <t>Cơ quan thuế có nhiều nguồn thông tin để kiểm soát thuế thu nhập cá nhân, nhưng hiệu quả phụ thuộc vào chính sách quản lý và nguồn lực của họ.</t>
  </si>
  <si>
    <t>Quy trình khai báo và làm việc với cơ quan thuế trở nên đơn giản hơn do giảm số bậc thuế. Tuy nhiên, các quy định cụ thể vẫn cần thời gian để hiểu thấu đáo.</t>
  </si>
  <si>
    <t>Biểu thuế mới đơn giản hóa và dễ dàng áp dụng hơn so với trước đây. Việc tăng mức giảm trừ gia cảnh cũng tạo thuận lợi cho người dân.</t>
  </si>
  <si>
    <t>Tôi tin rằng cơ quan thuế sẽ thực thi chính sách một cách khách quan, nhưng cần thời gian để thấy rõ hiệu quả thực tế của việc áp dụng các quy định mới.</t>
  </si>
  <si>
    <t>Thuế mới giảm đáng kể so với trước đây nên tôi cảm thấy công bằng. Người có thu nhập như tôi chỉ đóng mức thuế hợp lý hơn nhiều.</t>
  </si>
  <si>
    <t>Đây là khoản tiền mà tôi cho rằng sẽ được sử dụng hiệu quả để cải thiện dịch vụ công, nhưng cần thời gian để thấy rõ kết quả.</t>
  </si>
  <si>
    <t>Nhà nước đã giải thích rõ ràng về mục đích của việc sửa đổi thuế. Tuy nhiên, tôi mong muốn có thêm thông tin chi tiết hơn về cách sử dụng số tiền thuế thu được.</t>
  </si>
  <si>
    <t>Dựa trên các lợi ích và giảm trừ gia cảnh mới, tôi ủng hộ và tuân thủ chính sách mới. Việc này giúp tiết kiệm đáng kể cho người dân như tôi.</t>
  </si>
  <si>
    <t>Nếu mức giảm trừ gia cảnh tăng lên và số bậc thuế được đơn giản hóa, việc phát hiện hành vi gian lận sẽ trở nên khó khăn hơn. Tuy nhiên, với sự tiến bộ của công nghệ, cơ quan thuế có thể vẫn kiểm soát tốt.</t>
  </si>
  <si>
    <t>Cơ quan thuế đã cải thiện đáng kể trong việc ứng dụng công nghệ vào quản lý thuế, nhưng vẫn cần thêm thời gian để hoàn thiện và tối ưu hóa hệ thống.</t>
  </si>
  <si>
    <t>Thủ tục khai báo thuế đơn giản hơn với mức giảm trừ gia cảnh cao hơn, nhưng vẫn có thể gặp khó khăn khi phải điền đầy đủ thông tin cho nhiều người phụ thuộc.</t>
  </si>
  <si>
    <t>Các bậc thuế được đơn giản hóa và dễ hiểu hơn, giúp tôi tính toán nhanh chóng và chính xác hơn</t>
  </si>
  <si>
    <t>Tôi tin rằng cơ quan thuế sẽ thực thi chính sách một cách công bằng, nhưng vẫn cần thêm thời gian để chứng minh điều này.</t>
  </si>
  <si>
    <t>Mức thuế mới dựa trên thu nhập của tôi và số người phụ thuộc là hợp lý, giảm bớt gánh nặng tài chính</t>
  </si>
  <si>
    <t>Tiết kiệm được tiền thuế giúp cải thiện dịch vụ công như y tế, giáo dục, nhưng cần thời gian để chứng minh hiệu quả sử dụng ngân sách.</t>
  </si>
  <si>
    <t>Tôi đồng ý với mục tiêu cải cách thuế nhưng cần thêm thông tin chi tiết về kế hoạch triển khai và giám sát</t>
  </si>
  <si>
    <t>Chính sách mới giúp giảm gánh nặng tài chính, tôi sẽ ủng hộ và tuân thủ. Tuy nhiên, vẫn cần thêm thời gian để chứng minh hiệu quả của cải cách.</t>
  </si>
  <si>
    <t>Dựa trên thông tin, cơ quan thuế có nhiều công cụ để phát hiện và xử lý gian lận như công nghệ cao, hệ thống quản lý thuế hiện đại. Tuy nhiên, việc thực thi vẫn phụ thuộc vào nhân sự và quy trình làm việc.</t>
  </si>
  <si>
    <t>Nhà nước đã đầu tư vào công nghệ và đào tạo đội ngũ chuyên nghiệp để đảm bảo khả năng phát hiện và xử lý trốn thuế, tuy nhiên hiệu quả vẫn cần thời gian để chứng minh.</t>
  </si>
  <si>
    <t>Quy trình khai báo thuế đơn giản hơn với mức giảm trừ gia cảnh cao, không còn các bước phức tạp trước đây. Việc này giúp việc nộp thuế trở nên dễ dàng và nhanh chóng hơn.</t>
  </si>
  <si>
    <t>Biểu thuế mới có ít bậc hơn và rõ ràng hơn so với trước, khiến việc tính toán và nộp thuế trở nên đơn giản và dễ hiểu hơn.</t>
  </si>
  <si>
    <t>Nhà nước đã công bố chi tiết về cơ sở tính thuế và quy định mới, tạo niềm tin trong quá trình thực thi chính sách.</t>
  </si>
  <si>
    <t>Mức thuế mới phù hợp với thu nhập của tôi, giảm gánh nặng tài chính. Điều này thể hiện sự công bằng trong việc áp dụng luật pháp cho người dân.</t>
  </si>
  <si>
    <t>Thuế đóng góp vào các dịch vụ công quan trọng như y tế và hạ tầng, giúp cải thiện chất lượng cuộc sống của người dân. Tôi tin rằng thuế sẽ được sử dụng hiệu quả.</t>
  </si>
  <si>
    <t>Nhà nước đã minh bạch về mục tiêu và lý do của việc sửa đổi luật thuế, tạo sự hiểu biết và lòng tin từ phía người dân.</t>
  </si>
  <si>
    <t>Phương án mới giúp tôi tiết kiệm được tiền thuế và giảm gánh nặng tài chính. Tôi ủng hộ và tuân thủ chính sách vì lợi ích chung của xã hội.</t>
  </si>
  <si>
    <t>Dù có công nghệ hỗ trợ, nhưng mức giảm trừ gia cảnh tăng cao và số bậc thuế đơn giản hơn nên việc phát hiện trốn thuế sẽ khó khăn hơn.</t>
  </si>
  <si>
    <t>Cơ quan thuế có khả năng quản lý tốt hơn với công nghệ mới, nhưng mức giảm trừ gia cảnh tăng cao và số bậc thuế đơn giản hơn khiến việc phát hiện trốn thuế khó khăn hơn.</t>
  </si>
  <si>
    <t>Quy trình khai báo thuế đơn giản hóa và giảm các bước làm với cơ quan thuế, thuận tiện cho người dân nộp thuế.</t>
  </si>
  <si>
    <t>Bậc thuế đơn giản hơn, dễ hiểu và thực hiện thuận lợi hơn so với trước đây.</t>
  </si>
  <si>
    <t>Tăng mức giảm trừ gia cảnh và số bậc thuế đơn giản hơn tạo cảm giác công bằng trong việc đánh giá thu nhập.</t>
  </si>
  <si>
    <t>Mức thuế mới phù hợp với thu nhập hiện tại, tăng thêm niềm tin về sự công bằng.</t>
  </si>
  <si>
    <t>Thuế giảm và mức giảm trừ gia cảnh tăng cao tạo cảm giác số tiền đóng sẽ được sử dụng hiệu quả để cải thiện dịch vụ công.</t>
  </si>
  <si>
    <t>Có sự giải thích rõ ràng về lý do và mục tiêu sửa đổi thuế, tạo niềm tin vào quyết định này.</t>
  </si>
  <si>
    <t>Nếu mức thuế mới phù hợp với thu nhập của tôi và tăng thêm niềm tin về công bằng, tôi sẽ ủng hộ và tuân thủ chính sách mới.</t>
  </si>
  <si>
    <t>Nhà nước đã tăng cường quản lý thuế thông qua công nghệ, tuy nhiên vẫn có những lỗ hổng mà người dân vẫn có thể lợi dụng.</t>
  </si>
  <si>
    <t>Cơ quan thuế sử dụng công nghệ hiện đại giúp việc phát hiện hành vi trốn thuế dễ dàng hơn, nhưng vẫn cần thời gian để hoàn thiện hệ thống quản lý.</t>
  </si>
  <si>
    <t>Quy trình khai thuế đơn giản hơn trước, người dân không còn mất nhiều thời gian cho các thủ tục rườm rà như trước đây.</t>
  </si>
  <si>
    <t>Biểu thuế mới có ít bậc và mức thuế suất dễ hiểu hơn so với trước, giúp người dân tính toán nhanh chóng.</t>
  </si>
  <si>
    <t>Tôi tin rằng Nhà nước sẽ thực thi chính sách một cách công bằng, nhưng cần thời gian để mọi người có thể cảm nhận được sự công bằng này.</t>
  </si>
  <si>
    <t>Với mức thu nhập của tôi, số thuế phải đóng theo phương án mới là hợp lý và công bằng.</t>
  </si>
  <si>
    <t>Nhà nước đã giải thích rõ ràng về mục đích và lý do của việc sửa đổi chính sách thuế, tạo niềm tin cho người dân.</t>
  </si>
  <si>
    <t>Tôi ủng hộ và tuân thủ chính sách mới vì nó đơn giản hơn và có lợi cho tôi</t>
  </si>
  <si>
    <t>Việc tăng mức giảm trừ gia cảnh và đơn giản hóa biểu thuế có thể làm giảm động lực cho người dân trốn thuế, nhưng vẫn cần sự giám sát chặt chẽ từ cơ quan chức năng.</t>
  </si>
  <si>
    <t>Cơ sở hạ tầng công nghệ thông tin của Nhà nước đang ngày càng phát triển mạnh mẽ, giúp tăng khả năng phát hiện trốn thuế hiệu quả hơn so với trước đây.</t>
  </si>
  <si>
    <t>Quy trình khai báo và làm việc với cơ quan thuế trở nên đơn giản hơn, người dân dễ dàng thực hiện hơn so với trước đây.</t>
  </si>
  <si>
    <t>Biểu thuế mới có ít bậc hơn, dễ hiểu và dễ thực hiện hơn, giúp người nộp thuế tính toán nhanh chóng</t>
  </si>
  <si>
    <t>Nhà nước đã cố gắng giảm gánh nặng thuế cho người dân thông qua các biện pháp tăng mức giảm trừ gia cảnh, do đó tôi cảm thấy chính sách mới được thực thi công tâm.</t>
  </si>
  <si>
    <t>Mức thuế theo phương án mới phù hợp với thu nhập của tôi và nhiều người khác trong cùng ngành nghề, nên tôi cho rằng nó là công bằng</t>
  </si>
  <si>
    <t>Thuế mà tôi đóng sẽ được sử dụng hiệu quả để cải thiện dịch vụ công, do đó tôi tin tưởng vào việc này.</t>
  </si>
  <si>
    <t>Nhà nước đã giải thích rõ ràng về mục đích của chính sách mới thông qua các kênh truyền thông, giúp người dân hiểu và ủng hộ</t>
  </si>
  <si>
    <t>Tôi ủng hộ chính sách mới vì nó mang lại lợi ích tài chính cho tôi cũng như cộng đồng, đồng thời đơn giản hóa quy trình nộp thuế.</t>
  </si>
  <si>
    <t>Tăng cường quản lý thuế với mức giảm trừ gia cảnh cao hơn và công nghệ hiện đại có thể giúp phát hiện trốn thuế hiệu quả.</t>
  </si>
  <si>
    <t>Nhà nước đã đầu tư vào hệ thống công nghệ thông tin nên khả năng giám sát, xử lý các hành vi trốn thuế được cải thiện đáng kể.</t>
  </si>
  <si>
    <t>Quy trình khai thuế và làm việc với cơ quan thuế đơn giản hơn nhờ quy định giảm trừ gia cảnh rõ ràng hơn, giúp tiết kiệm thời gian.</t>
  </si>
  <si>
    <t>Biểu thuế mới có ít bậc hơn nhưng vẫn phản ánh chính xác thu nhập và trách nhiệm đóng thuế của cá nhân.</t>
  </si>
  <si>
    <t>Việc tăng mức giảm trừ gia cảnh công bằng đối với tất cả, giảm gánh nặng thuế cho người dân.</t>
  </si>
  <si>
    <t>Thuế mới được thiết kế để phù hợp với thu nhập thực tế của tôi, đảm bảo tính công bằng trong việc đóng góp cho xã hội.</t>
  </si>
  <si>
    <t>Tăng giảm trừ gia cảnh và đơn giản hóa biểu thuế giúp số tiền đóng thuế trở nên hợp lý hơn, tăng niềm tin vào hiệu quả sử dụng tiền thuế.</t>
  </si>
  <si>
    <t>Hệ thống giải thích rõ ràng về mục tiêu của việc cải cách thuế, tạo sự minh bạch và tin tưởng cho người dân.</t>
  </si>
  <si>
    <t>Tôi ủng hộ chính sách mới vì nó mang lại lợi ích thực tế cho cá nhân tôi và gia đình, đồng thời đảm bảo tính công bằng trong việc đóng thuế.</t>
  </si>
  <si>
    <t>Nguyên tắc quản lý thuế hiện tại vẫn chưa hoàn thiện, việc phát hiện gian lận hoặc trốn thuế phụ thuộc nhiều vào sự tuân thủ và tự giác của cá nhân, do đó mức độ tin cậy vẫn còn hạn chế.</t>
  </si>
  <si>
    <t>Nhu cầu về công nghệ và nguồn lực để phát hiện gian lận thuế đã tăng lên nhưng chưa rõ liệu có đủ hay không</t>
  </si>
  <si>
    <t>Quy trình khai báo thuế trở nên đơn giản hơn, giảm bớt thủ tục rườm rà, thuận tiện cho người dân.</t>
  </si>
  <si>
    <t>Biểu thuế mới rõ ràng và dễ hiểu hơn so với trước đây, giúp tôi tính toán nhanh chóng và chính xác hơn</t>
  </si>
  <si>
    <t>Tôi tin rằng Nhà nước sẽ cố gắng thực hiện công bằng trong việc thu thuế nhưng vẫn có sự khác biệt giữa các ngành nghề và mức độ tuân thủ pháp luật.</t>
  </si>
  <si>
    <t>Thuế mới phù hợp với tình hình kinh tế cá nhân của tôi, giảm gánh nặng về tài chính</t>
  </si>
  <si>
    <t>Tôi tin rằng số thuế đóng góp sẽ được sử dụng hiệu quả cho lợi ích chung của xã hội.</t>
  </si>
  <si>
    <t>Nhà nước đã giải thích rõ mục đích và lý do thay đổi luật thuế, nhưng vẫn cần thêm thông tin về quy trình thực hiện</t>
  </si>
  <si>
    <t>Sau khi xem xét các ưu điểm của chính sách mới, tôi đồng ý ủng hộ và tuân thủ</t>
  </si>
  <si>
    <t>Hiện nay, cơ quan thuế có nhiều công cụ và hệ thống để giám sát hành vi gian lận thuế, từ việc sử dụng phần mềm điện tử đến các cuộc thanh tra bất ngờ. Tuy nhiên, hiệu quả của việc phát hiện và xử lý trốn thuế còn phụ thuộc vào nguồn lực và quyết tâm của cơ quan chức năng.</t>
  </si>
  <si>
    <t>Nhà nước đã đầu tư nhiều vào công nghệ và nhân lực để cải thiện khả năng quản lý và giám sát thuế, nhưng vẫn cần thêm thời gian để hoàn thiện hệ thống cho đến khi đạt được hiệu suất tối ưu.</t>
  </si>
  <si>
    <t>So với trước đây, quy trình khai báo thuế đã đơn giản hơn, đặc biệt là việc giảm số bậc thuế và tăng mức giảm trừ gia cảnh. Điều này giúp tiết kiệm thời gian cho người nộp thuế.</t>
  </si>
  <si>
    <t>Biểu thuế mới có ít bậc hơn và ngưỡng chịu thuế rõ ràng, dễ dàng áp dụng hơn so với trước đây, do đó thuận tiện cho việc tính toán và thực hiện.</t>
  </si>
  <si>
    <t>Tôi tin rằng cơ quan thuế sẽ công bằng trong việc thực thi chính sách mới. Tuy nhiên, hiệu quả của việc thực thi phụ thuộc vào sự tuân thủ và hợp tác của người dân.</t>
  </si>
  <si>
    <t>Thuế theo phương án mới phù hợp với thu nhập của tôi và những người có cùng mức lương. Điều này làm tăng cảm giác công bằng trong việc đóng góp cho xã hội.</t>
  </si>
  <si>
    <t>Tiết kiệm được số tiền thuế, tôi tin rằng số tiền này sẽ được sử dụng hiệu quả để cải thiện dịch vụ công và chất lượng cuộc sống của người dân.</t>
  </si>
  <si>
    <t>Nhà nước đã giải thích rõ ràng về mục tiêu của việc sửa đổi thuế. Tuy nhiên, việc minh bạch hơn nữa về cách sử dụng số tiền thu được từ thuế sẽ tăng niềm tin</t>
  </si>
  <si>
    <t>Sau khi xem xét các quyền lợi và nghĩa vụ, tôi ủng hộ và tuân thủ chính sách mới vì nó đơn giản hơn, công bằng hơn và giúp tiết kiệm tiền.</t>
  </si>
  <si>
    <t>Hiện nay, cơ quan thuế có nhiều công cụ phát hiện hành vi trốn thuế và gian lận như kiểm tra thông tin kê khai, so sánh dữ liệu từ các đơn vị khác. Với sự giám sát chặt chẽ của Nhà nước, khả năng xử lý nghiêm là khá cao.</t>
  </si>
  <si>
    <t>Cơ quan thuế đã và đang sử dụng công nghệ tiên tiến để quản lý dữ liệu, dễ dàng phát hiện bất thường trong quá trình khai báo. Năng lực của họ có thể đảm bảo việc xử lý nghiêm các vi phạm.</t>
  </si>
  <si>
    <t>Việc đơn giản hóa quy trình và giảm bớt thủ tục đã làm cho việc khai thuế trở nên dễ dàng hơn, đặc biệt là với những người không chuyên về thuế. Điều này tăng cường thuận tiện trong quá trình thực hiện.</t>
  </si>
  <si>
    <t>Bảng thuế mới đơn giản và dễ hiểu hơn so với trước đây, giúp người dân nắm bắt nhanh chóng. Việc giảm số bậc thuế cũng làm cho việc tính toán trở nên dễ dàng hơn.</t>
  </si>
  <si>
    <t>Nhà nước đã công bố rõ ràng về quy định mới và tôi tin rằng họ sẽ thực thi một cách khách quan, công bằng. Các biện pháp mới này đều hướng tới việc tạo ra sự minh bạch trong quá trình khai thuế.</t>
  </si>
  <si>
    <t>Như đã nêu, mức giảm trừ gia cảnh tăng lên và số bậc thuế được đơn giản hóa. Điều này cho thấy mức thuế hiện tại là công bằng đối với thu nhập như tôi đang có.</t>
  </si>
  <si>
    <t>Với việc Nhà nước cải thiện các dịch vụ công dựa trên nguồn thu từ thuế, tôi tin rằng số tiền thuế đóng sẽ được sử dụng hiệu quả để nâng cao chất lượng cuộc sống của người dân. Điều này tăng niềm tin vào hệ thống.</t>
  </si>
  <si>
    <t>Nhà nước đã công bố rõ ràng về mục tiêu và lý do của việc sửa đổi thuế, giải thích đầy đủ cho người dân hiểu được lợi ích từ chính sách mới. Điều này làm tăng sự minh bạch.</t>
  </si>
  <si>
    <t>Tôi ủng hộ và tuân thủ chính sách mới vì nó tạo ra sự công bằng trong việc phân chia gánh nặng thuế, đồng thời đơn giản hóa quy trình khai báo. Điều này giúp tôi tiết kiệm được tiền và giảm bớt rắc rối.</t>
  </si>
  <si>
    <t>Thuế TNCN mới có sự đơn giản hóa biểu thuế và tăng giảm trừ gia cảnh, nhưng vẫn chưa rõ về khả năng kiểm soát của cơ quan thuế đối với các hành vi gian lận.</t>
  </si>
  <si>
    <t>Cơ quan thuế có công nghệ hiện đại, tuy nhiên hiệu quả thực thi chính sách mới và khả năng phát hiện trốn thuế vẫn cần thời gian để chứng minh.</t>
  </si>
  <si>
    <t>Quy trình khai báo thuế đơn giản hơn so với trước đây, nhưng chưa thật sự thuận tiện do quy định phức tạp về phân loại thu nhập và áp dụng bậc thuế.</t>
  </si>
  <si>
    <t>Sự thay đổi về biểu thuế rõ ràng và dễ hiểu hơn, tuy nhiên vẫn còn cần thời gian để người dân tiếp cận và thực hiện.</t>
  </si>
  <si>
    <t>Nhà nước đã công bố minh bạch về chính sách mới, nhưng cần thêm thời gian để chứng minh sự khách quan và công bằng trong việc thực thi.</t>
  </si>
  <si>
    <t>Thuế theo biểu thuế mới thấp hơn so với trước đây, giảm được chi phí cho cá nhân. Tuy nhiên, mức thuế vẫn cần cân nhắc để bảo đảm tính công bằng đối với nhiều người thu nhập khác nhau.</t>
  </si>
  <si>
    <t>Thuế đóng góp vào các dịch vụ công là điều cần thiết, nhưng hiệu quả sử dụng nguồn lực còn phụ thuộc vào quản lý của chính phủ.</t>
  </si>
  <si>
    <t>Chính phủ đã giải thích rõ về mục tiêu của việc sửa đổi thuế, tuy nhiên, cần thêm minh bạch về cách sử dụng nguồn thu thuế để tăng niềm tin.</t>
  </si>
  <si>
    <t>Sau khi xem xét các quyền lợi và nghĩa vụ, tôi đồng ý ủng hộ và tuân thủ chính sách mới, vì nó mang lại nhiều ưu đãi so với trước đây.</t>
  </si>
  <si>
    <t>Nhà nước đã tăng cường công nghệ và nguồn lực cho cơ quan thuế, tuy nhiên vẫn còn những rủi ro về quản lý nên không hoàn toàn tin tưởng.</t>
  </si>
  <si>
    <t>Công nghệ hiện đại như phần mềm điện tử hóa khai thuế giúp tăng cường giám sát và xử lý nhanh chóng các hành vi trốn thuế, nhưng vẫn cần cải thiện về mặt quản lý.</t>
  </si>
  <si>
    <t>Thủ tục khai báo thuế đơn giản hơn so với trước đây, nhưng vẫn có thể gặp khó khăn khi làm quen.</t>
  </si>
  <si>
    <t>Các bậc thuế rõ ràng và dễ hiểu hơn, giảm bớt sự phức tạp cho người dân, dễ thực hiện hơn nhiều</t>
  </si>
  <si>
    <t>Tôi tin Nhà nước sẽ xử lý công bằng, nhưng vẫn có một số lo ngại về việc quản lý thuế.</t>
  </si>
  <si>
    <t>Mức giảm trừ gia cảnh và biểu thuế mới phù hợp với thu nhập của tôi nên thấy mức thuế này là công bằng</t>
  </si>
  <si>
    <t>Thuê đóng góp vào sự phát triển cơ sở hạ tầng và dịch vụ công, nhưng cần minh bạch hơn về cách sử dụng</t>
  </si>
  <si>
    <t>Nhà nước đã giải thích rõ ràng mục tiêu của việc sửa đổi thuế, tuy nhiên vẫn có một số thông tin không đầy đủ.</t>
  </si>
  <si>
    <t>Chính sách mới cải thiện đáng kể về mặt tài chính và thuận tiện cho người dân, do đó tôi ủng hộ và tuân thủ</t>
  </si>
  <si>
    <t>Dù có các quy định quản lý thuế hiện nay, tôi vẫn lo ngại về khả năng phát hiện hành vi gian lận hoặc trốn thuế.</t>
  </si>
  <si>
    <t>Tôi không chắc chắn rằng cơ quan thuế đã đủ công nghệ và nguồn lực để phát hiện các hành vi trốn thuế hiệu quả.</t>
  </si>
  <si>
    <t>So với trước đây, thủ tục khai báo thuế trở nên đơn giản hơn, giúp tôi dễ dàng thực hiện hơn.</t>
  </si>
  <si>
    <t>Bậc thuế được đơn giản hóa từ 7 xuống còn 5, làm cho việc tính toán và thực hiện thuế dễ hiểu và thuận tiện hơn.</t>
  </si>
  <si>
    <t>Tôi tin rằng Nhà nước sẽ công bằng trong việc thực thi chính sách mới, nhưng vẫn có sự nghi ngờ về cách đối xử giữa các cá nhân.</t>
  </si>
  <si>
    <t>Dựa trên mức thuế mới, tôi thấy mình đóng góp tương xứng với thu nhập của mình, điều này làm tăng niềm tin về tính công bằng.</t>
  </si>
  <si>
    <t>Thuế mà tôi đóng sẽ được sử dụng để cải thiện dịch vụ công, nhưng cụ thể như thế nào thì chưa rõ ràng.</t>
  </si>
  <si>
    <t>Nhà nước đã giải thích về mục tiêu của việc sửa đổi thuế, nhưng vẫn có sự nghi ngờ về cách thực hiện.</t>
  </si>
  <si>
    <t>Tôi ủng hộ chính sách mới vì nó mang lại lợi ích tài chính và thuận tiện hơn so với trước đây, đồng thời tuân thủ theo hướng dẫn mới.</t>
  </si>
  <si>
    <t>Công nghệ hiện đại đã giúp cơ quan thuế phát hiện gian lận nhanh chóng hơn, nhưng vẫn cần sự giám sát chặt chẽ từ các bên liên quan để đảm bảo hiệu quả.</t>
  </si>
  <si>
    <t>Nhà nước đã đầu tư vào công nghệ và nhân lực để nâng cao khả năng quản lý thuế, giảm thiểu tình trạng trốn tránh</t>
  </si>
  <si>
    <t>Quy trình khai báo thuế đơn giản hơn trước, thủ tục gọn gàng hơn</t>
  </si>
  <si>
    <t>Biểu thuế rõ ràng và dễ hiểu hơn so với trước đây, không còn nhiều bậc thuế gây nhầm lẫn</t>
  </si>
  <si>
    <t>Việc tăng mức giảm trừ gia cảnh cho bản thân và người phụ thuộc tạo cảm giác công bằng trong việc đóng thuế</t>
  </si>
  <si>
    <t>Thuế mới được điều chỉnh phù hợp với thu nhập của tôi, tạo cảm giác đóng thuế công bằng</t>
  </si>
  <si>
    <t>Tăng mức giảm trừ gia cảnh và đơn giản hóa biểu thuế giúp số tiền tôi phải đóng thuế ít hơn, tăng niềm tin vào việc sử dụng hiệu quả</t>
  </si>
  <si>
    <t>Nhà nước đã giải thích rõ ràng về mục tiêu của việc cải cách thuế lần này</t>
  </si>
  <si>
    <t>Sau khi xem xét các quyền lợi và nghĩa vụ, tôi ủng hộ và tuân thủ chính sách mới vì nó tạo ra sự công bằng và thuận tiện hơn cho người dân</t>
  </si>
  <si>
    <t>Do mức giảm trừ gia cảnh cao hơn thu nhập, không có gì để kiểm tra.</t>
  </si>
  <si>
    <t>Cơ quan thuế có công nghệ hiện đại nên việc phát hiện gian lận là khả thi.</t>
  </si>
  <si>
    <t>Quy trình đơn giản hơn với mức giảm trừ gia cảnh cao, thủ tục dễ dàng hơn.</t>
  </si>
  <si>
    <t>Bậc thuế ít đi làm việc tính toán và khai báo dễ dàng hơn.</t>
  </si>
  <si>
    <t>Mức giảm trừ gia cảnh cao, không còn phải đóng thuế nên tin tưởng Nhà nước quản lý công bằng.</t>
  </si>
  <si>
    <t>Nhờ mức giảm trừ gia cảnh lớn nên mức thuế phù hợp với thu nhập hiện tại.</t>
  </si>
  <si>
    <t>Thuế đóng góp vào các dịch vụ công, cải thiện chất lượng cuộc sống.</t>
  </si>
  <si>
    <t>Chính phủ đã giải thích rõ về mục tiêu và thay đổi, tạo niềm tin.</t>
  </si>
  <si>
    <t>Chính sách mới giúp giảm gánh nặng thuế nên ủng hộ và tuân thủ.</t>
  </si>
  <si>
    <t>Dựa trên thông tin, tôi thấy các quy định quản lý thuế hiện nay đã được cải thiện đáng kể. Thuế theo luật mới giúp giảm gánh nặng tài chính và công bằng hơn so với trước đây.</t>
  </si>
  <si>
    <t>Nhà nước và cơ quan thuế có đủ nguồn lực để quản lý và xử lý các hành vi trốn thuế. Điều này tăng thêm sự tin tưởng vào hệ thống thuế mới.</t>
  </si>
  <si>
    <t>So với trước đây, quy trình khai báo thuế trở nên đơn giản hơn. Đây là một lợi ích lớn cho người dân như tôi.</t>
  </si>
  <si>
    <t>Biểu thuế mới có ít bậc hơn và dễ hiểu hơn so với luật cũ. Điều này giúp quá trình tính toán và khai báo thuế trở nên thuận tiện hơn nhiều.</t>
  </si>
  <si>
    <t>Tôi tin rằng Nhà nước sẽ thực thi chính sách một cách công tâm. Thuế mới được giảm đáng kể, tôi cảm thấy mình đóng góp công bằng hơn.</t>
  </si>
  <si>
    <t>Thuế theo luật mới phù hợp với thu nhập của tôi và người phụ thuộc. Đây là mức thuế hợp lý so với thực tế tài chính của gia đình tôi.</t>
  </si>
  <si>
    <t>Tiền thuế đóng góp vào việc cải thiện dịch vụ công, từ đó tạo ra môi trường sống tốt hơn cho cộng đồng. Điều này tăng thêm niềm tin vào hệ thống thuế mới.</t>
  </si>
  <si>
    <t>Nhà nước đã giải thích rõ ràng về mục tiêu và lý do của việc cải cách thuế, điều này làm tăng sự hiểu biết và ủng hộ từ phía tôi.</t>
  </si>
  <si>
    <t>Tôi ủng hộ chính sách mới vì nó giúp giảm gánh nặng tài chính cho người dân và tạo ra một môi trường thuế công bằng hơn.</t>
  </si>
  <si>
    <t>Dù có công nghệ hỗ trợ, nhưng tôi vẫn lo ngại về việc phát hiện và xử lý gian lận thuế không hoàn toàn hiệu quả.</t>
  </si>
  <si>
    <t>Cơ quan thuế có nhiều nguồn lực và công nghệ, nhưng thực tế quản lý thuế vẫn gặp khó khăn với các hành vi trốn tránh.</t>
  </si>
  <si>
    <t>Quy trình khai báo thuế và giao tiếp với cơ quan thuế đã đơn giản hơn trước đây, thuận tiện nhiều cho người dân.</t>
  </si>
  <si>
    <t>Biểu thuế mới rõ ràng hơn, dễ dàng tính toán, so với biểu cũ phức tạp với nhiều bậc thuế.</t>
  </si>
  <si>
    <t>Tôi tin Nhà nước sẽ thực thi chính sách công bằng và minh bạch, nhưng vẫn có lo ngại về khả năng phát hiện trốn thuế.</t>
  </si>
  <si>
    <t>Mức thuế mới giảm đáng kể so với trước đây, tôi thấy là hợp lý cho thu nhập của mình sau khi trừ các phụ thuộc.</t>
  </si>
  <si>
    <t>Thuế đóng vào ngân sách nhà nước sẽ được sử dụng hiệu quả để cải thiện dịch vụ công, nhưng còn nhiều khía cạnh cần quan tâm.</t>
  </si>
  <si>
    <t>Nhà nước đã giải thích rõ ràng về mục tiêu và lý do sửa đổi thuế lần này, giúp tôi hiểu hơn.</t>
  </si>
  <si>
    <t>Dù có nhiều điểm tích cực, nhưng tôi vẫn cần thêm thời gian để quen với các thay đổi mới trước khi ủng hộ hoàn toàn.</t>
  </si>
  <si>
    <t>Hiện nay, cơ quan thuế có nhiều công cụ và hệ thống giám sát mạnh mẽ. Mặc dù không hoàn toàn tin tưởng 100%, tôi cho rằng hành vi gian lận hoặc trốn thuế sẽ dễ bị phát hiện.</t>
  </si>
  <si>
    <t>Nhà nước đã đầu tư công nghệ và nguồn lực vào việc giám sát thuế, do đó khả năng phát hiện và xử lý nghiêm các trường hợp vi phạm là cao.</t>
  </si>
  <si>
    <t>So với trước đây, quy trình làm việc với cơ quan thuế đã trở nên đơn giản hơn. Tuy nhiên, vẫn còn một số thủ tục phức tạp và chậm trễ.</t>
  </si>
  <si>
    <t>Biểu thuế mới có ít bậc hơn và mức giảm trừ gia cảnh cao hơn, do đó việc tính thuế trở nên dễ dàng và nhanh chóng hơn.</t>
  </si>
  <si>
    <t>Tôi tin rằng cơ quan thuế sẽ thực thi chính sách một cách công bằng. Tuy nhiên, cần thêm thời gian để chứng minh điều này trong thực tế.</t>
  </si>
  <si>
    <t>Đối với mức thu nhập của tôi, việc giảm trừ gia cảnh và số bậc thuế ít hơn làm cho mức thuế trở nên hợp lý.</t>
  </si>
  <si>
    <t>Tôi tin rằng số tiền thuế đóng sẽ được sử dụng hiệu quả để cải thiện các dịch vụ công. Tuy nhiên, cần thêm thông tin về chi tiêu cụ thể của Nhà nước.</t>
  </si>
  <si>
    <t>Đã có giải thích rõ ràng về mục đích và lý do của việc sửa đổi thuế lần này. Tuy nhiên, tôi mong muốn có thêm sự minh bạch hơn về cách sử dụng nguồn thu từ thuế.</t>
  </si>
  <si>
    <t>Tôi ủng hộ chính sách mới vì nó giúp giảm gánh nặng tài chính và tăng sự công bằng trong việc đánh thuế. Tôi sẽ tuân thủ các quy định mới.</t>
  </si>
  <si>
    <t>Hiện nay, với sự phát triển của công nghệ và hệ thống quản lý thuế hiện đại, tôi tin rằng việc trốn thuế sẽ khó thực hiện hơn. Tuy nhiên, việc xử lý nghiêm vẫn phụ thuộc vào hiệu quả của cơ quan thuế trong việc giám sát.</t>
  </si>
  <si>
    <t>Nhà nước đã đầu tư vào công nghệ và đào tạo cho cán bộ thuế, nên khả năng phát hiện trốn thuế được cải thiện đáng kể. Tuy nhiên, vẫn cần thời gian để công nghệ này hoạt động hiệu quả.</t>
  </si>
  <si>
    <t>Quy trình khai thuế và làm việc với cơ quan thuế trở nên đơn giản hơn so với trước đây nhờ sử dụng phần mềm trực tuyến. Điều này giúp giảm bớt thời gian và công sức của người dân.</t>
  </si>
  <si>
    <t>Biểu thuế mới có ít bậc hơn, dễ hiểu và thực hiện đơn giản hơn so với trước đây. Đây là cải tiến đáng kể về mặt thuận tiện cho người nộp thuế.</t>
  </si>
  <si>
    <t>Tôi tin rằng cơ quan thuế sẽ thực thi chính sách một cách công bằng, nhưng việc này còn phụ thuộc vào quy định cụ thể và khả năng giám sát của họ.</t>
  </si>
  <si>
    <t>Như đã được giảm trừ gia cảnh và bậc thuế mới đơn giản, mức thuế tôi phải đóng là phù hợp với thu nhập hiện tại. Điều này tăng niềm tin về sự công bằng trong hệ thống thuế.</t>
  </si>
  <si>
    <t>Thuốc đóng góp vào việc cải thiện các dịch vụ công như y tế và hạ tầng, điều này tạo nên một liên kết giữa việc nộp thuế và lợi ích thực tế mà chúng tôi nhận được từ chính phủ.</t>
  </si>
  <si>
    <t>Nhà nước đã giải thích rõ ràng về mục đích của việc cải cách thuế, tuy nhiên, hiệu quả thực tế vẫn cần thời gian để đánh giá.</t>
  </si>
  <si>
    <t>Tôi ủng hộ và sẽ tuân thủ chính sách mới vì nó có lợi cho tôi và tạo ra một hệ thống thuế công bằng hơn. Tuy nhiên, việc cải cách này còn cần thêm thời gian để chứng minh hiệu quả.</t>
  </si>
  <si>
    <t>Trong thực tế, mức giảm trừ gia cảnh cao đã làm cho tôi không phải đóng thuế. Mặc dù vậy, tôi vẫn tin rằng cơ quan thuế có khả năng phát hiện hành vi gian lận thông qua các hệ thống quản lý hiện đại.</t>
  </si>
  <si>
    <t>Tôi đồng ý với nhận định này bởi vì công nghệ ngày càng tiên tiến, giúp nhà nước và cơ quan thuế có thể giám sát và xử lý nhanh chóng hơn.</t>
  </si>
  <si>
    <t>Quy trình làm việc với cơ quan thuế trở nên đơn giản hơn nhiều so với trước đây. Bước đầu tiên là khai báo thu nhập, sau đó là nộp thuế trực tuyến, rất thuận tiện.</t>
  </si>
  <si>
    <t>Cách tính và các bậc thuế mới có thể dễ hiểu hơn. Mức giảm trừ gia cảnh tăng đã làm cho việc tính toán và thực hiện đơn giản hơn.</t>
  </si>
  <si>
    <t>Tôi tin rằng cơ quan thuế sẽ áp dụng chính sách một cách công bằng, không phân biệt đối xử giữa các cá nhân nộp thuế.</t>
  </si>
  <si>
    <t>Với mức giảm trừ gia cảnh cao và thu nhập của tôi nằm trong bậc thuế thấp nhất, việc đóng thuế theo phương án mới là hợp lý.</t>
  </si>
  <si>
    <t>Thuế mà tôi đóng sẽ được sử dụng hiệu quả để cải thiện các dịch vụ công, từ đó mang lại lợi ích cho cộng đồng và bản thân tôi.</t>
  </si>
  <si>
    <t>Nhà nước đã giải thích rõ ràng về mục tiêu của việc sửa đổi thuế. Tuy nhiên, tôi vẫn mong muốn có thêm thông tin chi tiết về các dự án sử dụng số tiền thuế này.</t>
  </si>
  <si>
    <t>Tôi ủng hộ và tuân thủ chính sách mới bởi vì nó mang lại lợi ích cho bản thân và cộng đồng. Mặc dù mức giảm trừ gia cảnh cao, nhưng tôi vẫn mong muốn có thêm thông tin về cách sử dụng số tiền thuế.</t>
  </si>
  <si>
    <t>Việc tăng mức giảm trừ gia cảnh và đơn giản hóa biểu thuế có thể làm giảm khả năng phát hiện hành vi gian lận hoặc trốn thuế, nhưng với công nghệ ngày càng tiên tiến, cơ quan thuế vẫn có khả năng kiểm soát.</t>
  </si>
  <si>
    <t>Cơ quan thuế đã cải thiện hệ thống quản lý và sử dụng công nghệ hiện đại nên việc phát hiện hành vi trốn thuế sẽ được tăng cường.</t>
  </si>
  <si>
    <t>Quy trình làm việc với cơ quan thuế trở nên đơn giản hơn, nhưng vẫn cần thêm thời gian để người dân quen thuộc.</t>
  </si>
  <si>
    <t>Biểu thuế mới rõ ràng và dễ hiểu hơn so với trước đây, giảm bớt sự phức tạp trong việc tính thuế.</t>
  </si>
  <si>
    <t>Tôi tin rằng cơ quan thuế sẽ thực thi chính sách công bằng đối với mọi người nộp thuế, nhưng vẫn có một chút nghi ngờ do lịch sử quản lý thuế ở Việt Nam trước đây.</t>
  </si>
  <si>
    <t>Mức thuế mới được giảm đáng kể so với trước đây và tôi thấy điều này là công bằng cho thu nhập của mình.</t>
  </si>
  <si>
    <t>Thuê đóng góp vào sự phát triển chung của quốc gia, nhưng mức độ hiệu quả trong sử dụng số tiền này còn phụ thuộc nhiều vào quản lý</t>
  </si>
  <si>
    <t>Nhà nước đã giải thích rõ ràng về mục tiêu và lý do sửa đổi thuế, tôi thấy điều này là cần thiết để tăng niềm tin của người dân.</t>
  </si>
  <si>
    <t>Tôi ủng hộ chính sách mới vì nó mang lại lợi ích tài chính đáng kể cho gia đình tôi và cải thiện quy trình làm việc với cơ quan thuế.</t>
  </si>
  <si>
    <t>Hiện nay, cơ quan thuế có nhiều công cụ để phát hiện hành vi gian lận thuế, tuy nhiên mức độ hiệu quả phụ thuộc vào sự tuân thủ của cá nhân và doanh nghiệp. Thuế mới được đơn giản hóa nhưng vẫn cần các biện pháp quản lý chặt chẽ.</t>
  </si>
  <si>
    <t>Cơ quan thuế đã đầu tư công nghệ để cải thiện hiệu quả quản lý, giảm thiểu việc gian lận. Tuy nhiên, vẫn có thể xảy ra tình trạng trốn thuế nếu cá nhân hoặc doanh nghiệp chủ quan.</t>
  </si>
  <si>
    <t>So với trước đây, quy trình khai thuế trở nên đơn giản hơn, nhưng việc làm thủ tục vẫn cần thời gian và sự hiểu biết về luật pháp.</t>
  </si>
  <si>
    <t>Biểu thuế mới được đơn giản hóa, dễ tính toán hơn. Tuy nhiên, người nộp thuế cần thời gian để quen với các thay đổi mới.</t>
  </si>
  <si>
    <t>Tôi tin rằng cơ quan thuế sẽ thực thi chính sách một cách công bằng và khách quan. Các mức thuế được điều chỉnh dựa trên thu nhập, tạo nên sự công bằng giữa các đối tượng nộp thuế.</t>
  </si>
  <si>
    <t>Mức thuế mới phù hợp với thu nhập của tôi, giảm gánh nặng về tài chính. Điều này cho thấy mức thuế đang được điều chỉnh một cách cân nhắc.</t>
  </si>
  <si>
    <t>Thuế đóng góp vào các dịch vụ công quan trọng như y tế và hạ tầng. Tôi tin rằng tiền thuế sẽ được sử dụng hiệu quả để cải thiện chất lượng cuộc sống.</t>
  </si>
  <si>
    <t>Nhà nước đã giải thích rõ về mục tiêu của việc sửa đổi chính sách thuế, tạo ra sự minh bạch trong quy trình quản lý thuế.</t>
  </si>
  <si>
    <t>Tôi ủng hộ và tuân thủ chính sách mới vì nó mang lại lợi ích cho tôi và giảm gánh nặng về tài chính. Chính sách này đã được điều chỉnh một cách công bằng và minh bạch.</t>
  </si>
  <si>
    <t>Các quy định quản lý thuế hiện nay có nhiều cải tiến nhưng vẫn còn thiếu trong việc phát hiện gian lận, vì vậy khả năng phát hiện hành vi trốn thuế chưa hoàn toàn cao.</t>
  </si>
  <si>
    <t>Nhà nước và cơ quan thuế đã đầu tư công nghệ để cải thiện khả năng phát hiện, xử lý gian lận nhưng vẫn cần thời gian để áp dụng hiệu quả.</t>
  </si>
  <si>
    <t>Thủ tục khai báo thuế và làm việc với cơ quan thuế đã đơn giản hơn so với trước đây do giảm bớt các bước phức tạp, thuận tiện cho người dân.</t>
  </si>
  <si>
    <t>Cách tính thuế và các bậc thuế mới dễ hiểu hơn, tuy nhiên vẫn cần thêm thời gian để quen thuộc với hệ thống mới.</t>
  </si>
  <si>
    <t>Tôi tin rằng Nhà nước sẽ thực thi chính sách một cách công tâm nhưng cần thêm minh bạch hơn về quy trình và tiêu chí cụ thể.</t>
  </si>
  <si>
    <t>Thuế mới giảm đáng kể so với trước đây, do đó tôi cảm thấy mức thuế này là công bằng cho thu nhập của mình</t>
  </si>
  <si>
    <t>Số tiền thuế đóng sẽ được sử dụng hiệu quả để cải thiện chất lượng cuộc sống chung, mặc dù cần thêm minh bạch về cách sử dụng.</t>
  </si>
  <si>
    <t>Nhà nước đã giải thích rõ mục tiêu và lý do của việc sửa đổi thuế nhưng vẫn có thể cung cấp thông tin chi tiết hơn về quy trình thực hiện.</t>
  </si>
  <si>
    <t>Tôi ủng hộ chính sách mới vì nó mang lại lợi ích tài chính đáng kể và giảm bớt gian nan trong thủ tục khai thuế, đồng thời tôi sẽ tuân thủ các nghĩa vụ thuế mới.</t>
  </si>
  <si>
    <t>Dù không phải đóng thuế, nhưng tôi vẫn tin rằng Nhà nước có thể quản lý tốt các hoạt động kinh tế và phát hiện hành vi gian lận.</t>
  </si>
  <si>
    <t>Cơ quan thuế đã ứng dụng công nghệ để hỗ trợ kiểm soát thuế, mặc dù tôi không biết cụ thể về khả năng của họ.</t>
  </si>
  <si>
    <t>Quy trình khai báo và làm việc với cơ quan thuế trở nên đơn giản hơn, nhưng vẫn có một số bước cần thực hiện.</t>
  </si>
  <si>
    <t>Cách tính thuế mới rõ ràng hơn so với trước đây, điều này giúp tôi dễ dàng hiểu và tuân thủ.</t>
  </si>
  <si>
    <t>Tôi tin rằng Nhà nước sẽ xử lý công bằng đối với mọi người nộp thuế, mặc dù tôi không hoàn toàn chắc chắn về cách thực hiện.</t>
  </si>
  <si>
    <t>Mức thuế mới cho phép tôi đóng thuế ít hơn so với trước đây, điều này khiến tôi cảm thấy mức thuế là công bằng.</t>
  </si>
  <si>
    <t>Số tiền thuế được sử dụng để cải thiện các dịch vụ công như y tế và đường xá, điều đó làm tăng niềm tin của tôi.</t>
  </si>
  <si>
    <t>Nhà nước đã giải thích rõ ràng về mục tiêu sửa đổi thuế lần này, nhưng không phải lúc nào cũng minh bạch về chi tiết cách thức thực hiện.</t>
  </si>
  <si>
    <t>Tôi ủng hộ chính sách mới vì nó tạo ra một hệ thống thuế công bằng và đơn giản hơn, đồng thời giảm gánh nặng tài chính cho tôi.</t>
  </si>
  <si>
    <t>Chính phủ và cơ quan thuế có nhiều biện pháp quản lý, công nghệ hiện đại nên tôi tin rằng hành vi gian lận hoặc trốn thuế sẽ dễ dàng bị phát hiện và xử lý nghiêm.</t>
  </si>
  <si>
    <t>Nhà nước đã đầu tư vào hệ thống công nghệ thông tin, nâng cao năng lực quản lý nên tôi tin rằng cơ quan thuế có đủ khả năng để phát hiện và xử lý nghiêm các hành vi trốn thuế.</t>
  </si>
  <si>
    <t>So với trước đây, quy trình khai báo thuế đơn giản hơn nhiều. Các bước cần thực hiện rõ ràng, dễ dàng hơn nên tôi cảm thấy thuận tiện khi làm việc với cơ quan thuế.</t>
  </si>
  <si>
    <t>Biểu thuế mới đơn giản hóa các bậc thuế và cách tính thuế, giúp tôi dễ hiểu và dễ thực hiện hơn. Điều này làm cho quy trình trở nên thuận lợi hơn.</t>
  </si>
  <si>
    <t>Tôi tin rằng Nhà nước sẽ thực thi chính sách một cách khách quan và công bằng vì mức giảm trừ gia cảnh tăng lên, tôi đóng thuế ít hơn so với trước đây, điều này làm tăng niềm tin vào sự công bằng trong việc áp dụng luật.</t>
  </si>
  <si>
    <t>Mức thuế mới mà tôi phải đóng là hợp lý vì thu nhập của tôi nằm ở bậc thuế suất thấp. Điều này cho thấy mức thuế đã được điều chỉnh phù hợp với nguồn lực tài chính của người dân, đảm bảo tính công bằng.</t>
  </si>
  <si>
    <t>Tôi tin rằng số tiền thuế mà tôi đóng sẽ được sử dụng hiệu quả để cải thiện dịch vụ công, như y tế và đường xá. Điều này làm tăng niềm tin vào việc sử dụng nguồn thu từ thuế một cách minh bạch.</t>
  </si>
  <si>
    <t>Nhà nước đã giải thích rõ ràng về mục tiêu của việc sửa đổi chính sách thuế, cũng như các quyền lợi và nghĩa vụ mà người dân sẽ được hưởng. Điều này làm tăng sự tin tưởng vào tính minh bạch trong quy trình quản lý tài chính.</t>
  </si>
  <si>
    <t>Sau khi xem xét tất cả các yếu tố, tôi ủng hộ và tuân thủ chính sách mới vì nó mang lại lợi ích cho người dân như tăng giảm trừ gia cảnh, đơn giản hóa biểu thuế và giải thích rõ ràng về mục tiêu của việc sửa đổi.</t>
  </si>
  <si>
    <t>Mức độ tin tưởng của tôi về việc phát hiện và xử lý nghiêm các hành vi gian lận hoặc trốn thuế không cao. Mặc dù cơ quan thuế có công nghệ hiện đại, nhưng thực tế quản lý thuế vẫn còn nhiều vấn đề cần cải thiện.</t>
  </si>
  <si>
    <t>Tôi đồng ý rằng Nhà nước và cơ quan thuế có đủ khả năng để phát hiện và xử lý các hành vi trốn thuế. Công nghệ đang được sử dụng trong quản lý thuế ngày càng tiến bộ, giúp việc kiểm soát dễ dàng hơn.</t>
  </si>
  <si>
    <t>So với trước đây, quy trình làm việc với cơ quan thuế có phần đơn giản và nhanh chóng hơn. Tuy nhiên, vẫn còn một số thủ tục cần cải thiện để thuận tiện hơn cho người dân.</t>
  </si>
  <si>
    <t>Cách tính thuế mới đơn giản hơn so với trước đây. Bậc thuế đã được rút gọn từ 7 bậc xuống 5, làm giảm độ phức tạp trong quá trình tính thuế và làm rõ hơn về mức thuế cần đóng.</t>
  </si>
  <si>
    <t>Tôi tin rằng Nhà nước sẽ thực thi chính sách một cách công bằng và khách quan. Tuy nhiên, việc quản lý thuế vẫn còn nhiều vấn đề cần giải quyết.</t>
  </si>
  <si>
    <t>Mức thuế mới mà tôi phải đóng là hợp lý đối với thu nhập của mình. Mức giảm trừ gia cảnh và mức thuế suất mới đã giúp tôi tiết kiệm được một khoản tiền đáng kể mỗi tháng, cho thấy mức thuế là công bằng.</t>
  </si>
  <si>
    <t>Tôi tin rằng số tiền thuế mà tôi đóng sẽ được sử dụng hiệu quả để cải thiện dịch vụ công. Việc tăng mức giảm trừ gia cảnh và đơn giản hóa quy trình tính thuế cho thấy Nhà nước đang có biện pháp tốt hơn trong việc quản lý tài chính nhà nước.</t>
  </si>
  <si>
    <t>Nhà nước đã giải thích rõ ràng về mục tiêu của việc sửa đổi thuế. Tuy nhiên, cần cải thiện thêm về sự minh bạch trong quá trình thực hiện các quyết định quản lý thuế.</t>
  </si>
  <si>
    <t>Tôi ủng hộ chính sách mới vì nó đã giúp tôi tiết kiệm một khoản tiền đáng kể và đơn giản hóa quy trình tính thuế. Tuy nhiên, vẫn cần cải thiện thêm về việc phát hiện và xử lý nghiêm các hành vi gian lận hoặc trốn thuế.</t>
  </si>
  <si>
    <t>Do các quy định quản lý thuế hiện nay được cải thiện, tôi tin rằng hành vi gian lận hoặc trốn thuế sẽ dễ dàng bị phát hiện. Cơ quan thuế cũng có đủ công nghệ hỗ trợ.</t>
  </si>
  <si>
    <t>Nhà nước và cơ quan thuế đã nâng cấp hệ thống, tăng cường khả năng giám sát, do đó tôi tin họ sẽ xử lý nghiêm các hành vi trốn thuế.</t>
  </si>
  <si>
    <t>Thủ tục khai báo thuế trở nên đơn giản hơn với mức giảm trừ gia cảnh cao hơn và số bậc thuế ít đi. Việc này giúp việc làm việc với cơ quan thuế thuận tiện hơn.</t>
  </si>
  <si>
    <t>Biểu thuế mới đơn giản, dễ hiểu và dễ thực hiện hơn so với trước đây. Bậc thuế thấp hơn, giảm thiểu rủi ro tính sai mức thuế</t>
  </si>
  <si>
    <t>Tôi tin rằng Nhà nước sẽ thực thi chính sách một cách khách quan, công tâm và đối xử bình đẳng với mọi người nộp thuế.</t>
  </si>
  <si>
    <t>Như mức thuế tôi phải đóng thấp hơn trước đây, tôi thấy điều này là công bằng. Nó phản ánh thu nhập thực tế của tôi.</t>
  </si>
  <si>
    <t>Thuế tôi đóng sẽ được sử dụng để cải thiện dịch vụ công, do đó tôi tin tưởng vào việc sử dụng hiệu quả nguồn lực thuế.</t>
  </si>
  <si>
    <t>Nhà nước đã giải thích rõ ràng về mục tiêu và lý do của việc sửa đổi Luật Thuế TNCN lần này. Điều này tăng sự minh bạch và tin tưởng.</t>
  </si>
  <si>
    <t>Dựa trên các quyền lợi và nghĩa vụ, tôi ủng hộ và sẽ tuân thủ chính sách mới. Mức thuế giảm và quy trình đơn giản hơn đã làm tăng niềm tin của tôi.</t>
  </si>
  <si>
    <t>Dù có công nghệ hỗ trợ, nhưng tôi vẫn nghi ngờ việc phát hiện hành vi gian lận thuế hoàn toàn do cơ quan thuế quản lý. Tuy nhiên, với mức giảm trừ gia cảnh tăng lên và số bậc thuế đơn giản hơn, khả năng trốn thuế cũng giảm đi.</t>
  </si>
  <si>
    <t>Cơ quan thuế có thể đã nâng cấp công nghệ quản lý, nhưng tôi vẫn nghĩ rằng việc phát hiện hành vi gian lận phụ thuộc nhiều vào sự minh bạch của cơ quan quản lý.</t>
  </si>
  <si>
    <t>Quy trình làm việc với cơ quan thuế trở nên đơn giản hơn, nhưng khai báo thuế vẫn khá phức tạp, đặc biệt là đối với những người không am hiểu về luật thuế.</t>
  </si>
  <si>
    <t>Cách tính thuế và các bậc thuế mới dễ hiểu và thực hiện hơn so với trước đây. Tuy nhiên, quá trình này vẫn có thể gây khó khăn cho những người không quen thuộc với nó.</t>
  </si>
  <si>
    <t>Tôi tin rằng cơ quan thuế sẽ thực thi chính sách một cách công bằng và minh bạch. Mức giảm trừ gia cảnh tăng lên cũng làm cho tôi cảm thấy hài lòng hơn về quy định mới.</t>
  </si>
  <si>
    <t>Dựa trên mức giảm trừ gia cảnh và thu nhập của tôi, tôi thấy rằng chính sách mới là công bằng. Mức thuế hiện tại phù hợp với tình hình tài chính cá nhân của tôi.</t>
  </si>
  <si>
    <t>Tôi tin tưởng rằng số tiền thuế tôi đóng sẽ được sử dụng hiệu quả để cải thiện dịch vụ công, đặc biệt là y tế và giao thông. Việc này tăng thêm niềm tin vào Nhà nước.</t>
  </si>
  <si>
    <t>Nhà nước đã giải thích rõ ràng về lý do và mục tiêu của việc sửa đổi thuế lần này. Tuy nhiên, tôi nghĩ rằng có thể cần thêm thông tin cho công chúng để họ hiểu sâu hơn về các quy định mới.</t>
  </si>
  <si>
    <t>Sau khi xem xét tác động tài chính và sự đơn giản hóa, tôi ủng hộ và tuân thủ chính sách thuế mới. Mức giảm trừ gia cảnh tăng lên giúp tôi tiết kiệm được một khoản tiền đáng kể.</t>
  </si>
  <si>
    <t>Cơ quan thuế có nhiều biện pháp giám sát và công nghệ hiện đại, tuy nhiên vẫn cần cải thiện để phát hiện trốn thuế hiệu quả hơn.</t>
  </si>
  <si>
    <t>Nhà nước đã đầu tư vào công nghệ và nhân lực cho ngành thuế, nhưng mức độ thực thi còn phụ thuộc nhiều vào sự phối hợp giữa các cơ quan.</t>
  </si>
  <si>
    <t>Thủ tục khai báo thuế trở nên đơn giản hơn với việc giảm số bậc thuế, tuy nhiên vẫn cần thời gian để người dân làm quen.</t>
  </si>
  <si>
    <t>Biểu thuế mới dễ hiểu và thực hiện thuận tiện hơn so với trước đây, giảm bớt gánh nặng cho người nộp thuế.</t>
  </si>
  <si>
    <t>Tôi tin rằng Nhà nước sẽ công bằng trong việc áp dụng chính sách, nhưng vẫn cần thêm minh bạch về cách thực thi.</t>
  </si>
  <si>
    <t>Mức thuế mới phù hợp với thu nhập của tôi và người đồng nghiệp tương tự, mang tính công bằng.</t>
  </si>
  <si>
    <t>Thuế đóng góp vào các dịch vụ công, giúp cải thiện chất lượng cuộc sống cho cộng đồng, nên tôi tin tưởng vào việc sử dụng hiệu quả nguồn thuế.</t>
  </si>
  <si>
    <t>Nhà nước đã giải thích rõ mục tiêu và quy định mới, nhưng cần tăng cường thông tin đến người dân để mọi người hiểu rõ hơn.</t>
  </si>
  <si>
    <t>Tôi ủng hộ chính sách mới vì nó mang lại lợi ích tài chính và thuận tiện cho người nộp thuế, đồng thời tuân thủ quy định.</t>
  </si>
  <si>
    <t>Nhà nước và cơ quan thuế có nhiều biện pháp để phát hiện hành vi gian lận hoặc trốn thuế, nhưng do kinh nghiệm làm việc chính thức và hiểu biết về quy định mới, tôi tin rằng khả năng phát hiện sẽ tăng lên.</t>
  </si>
  <si>
    <t>Cơ quan thuế đã cải thiện công nghệ và nguồn lực để quản lý thuế, do đó khả năng xử lý nghiêm các hành vi trốn thuế sẽ tốt hơn.</t>
  </si>
  <si>
    <t>So với trước đây, quy trình khai báo thuế trở nên đơn giản và nhanh chóng hơn nhiều, giúp tôi tiết kiệm thời gian.</t>
  </si>
  <si>
    <t>Các bậc thuế mới đã giảm bớt độ phức tạp, dễ dàng nắm bắt và thực hiện hơn so với trước đây.</t>
  </si>
  <si>
    <t>Tôi tin rằng nhà nước sẽ công bằng trong việc áp dụng chính sách mới, đặc biệt là mức giảm trừ gia cảnh và bậc thuế đã được điều chỉnh một cách hợp lý.</t>
  </si>
  <si>
    <t>Nhà nước đã tăng cường mức giảm trừ gia cảnh và đơn giản hóa biểu thuế, do đó tôi thấy mức thuế mới công bằng hơn so với trước đây.</t>
  </si>
  <si>
    <t>Thuế của tôi sẽ được sử dụng để cải thiện các dịch vụ công quan trọng như y tế và đường xá, điều này làm tăng niềm tin vào việc đầu tư thuế.</t>
  </si>
  <si>
    <t>Nhà nước đã giải thích rõ ràng về mục tiêu của chính sách mới thông qua các tài liệu và kênh truyền thông, do đó tôi cảm thấy được thông báo đầy đủ.</t>
  </si>
  <si>
    <t>Chính sách mới mang lại lợi ích đáng kể cho người dân như tôi, nhờ vậy tôi ủng hộ và tuân thủ.</t>
  </si>
  <si>
    <t>Nhà nước đã tăng cường quản lý thuế và công nghệ hiện đại giúp phát hiện hành vi trốn thuế dễ dàng hơn, do đó tôi tin rằng gian lận sẽ bị xử lý nghiêm.</t>
  </si>
  <si>
    <t>Cơ quan thuế có đủ khả năng về nhân lực và công nghệ để giám sát hiệu quả các hoạt động khai báo thuế của cá nhân.</t>
  </si>
  <si>
    <t>Quy trình khai báo thuế và giao tiếp với cơ quan thuế trở nên đơn giản hơn, nhưng vẫn có thể phức tạp đối với người không am hiểu về thuế.</t>
  </si>
  <si>
    <t>Biểu thuế mới được đơn giản hóa, dễ hiểu và thực hiện thuận tiện hơn so với trước đây.</t>
  </si>
  <si>
    <t>Nhà nước đã áp dụng các quy định một cách công bằng cho mọi người nộp thuế, không phân biệt đối xử.</t>
  </si>
  <si>
    <t>Thuế mới được điều chỉnh phù hợp với thu nhập của tôi và đảm bảo tính công bằng trong việc đóng góp ngân sách nhà nước.</t>
  </si>
  <si>
    <t>Tăng giảm trừ gia cảnh giúp số tiền thuế tôi phải nộp thấp hơn, do đó tôi tin rằng số tiền này sẽ được sử dụng hiệu quả cho dịch vụ công</t>
  </si>
  <si>
    <t>Sau khi xem xét các lợi ích và nghĩa vụ, tôi đồng ý với phương án mới và sẽ tuân thủ nó vì nó mang lại lợi ích cho tôi.</t>
  </si>
  <si>
    <t>Nhà nước đã có các quy định quản lý thuế hiện đại, nhưng thực tế vẫn còn những trường hợp trốn thuế. Tuy nhiên, với sự phát triển của công nghệ, khả năng phát hiện và xử lý nghiêm sẽ tăng lên.</t>
  </si>
  <si>
    <t>Cơ quan thuế có đủ nhân lực và công nghệ để theo dõi giao dịch tài chính cá nhân, nhưng vấn đề về trốn thuế vẫn cần được giải quyết mạnh mẽ hơn nữa.</t>
  </si>
  <si>
    <t>Quy trình khai báo thuế đã đơn giản hóa so với trước đây, thủ tục cũng nhanh chóng và tiện lợi hơn. Tuy nhiên, đối với một người mới bắt đầu làm việc với cơ quan thuế, vẫn có thể gặp khó khăn.</t>
  </si>
  <si>
    <t>Biểu thuế mới đơn giản hóa bậc thuế từ 7 xuống còn 5, dễ hiểu và thực hiện hơn. Tuy nhiên, người dân cần thời gian để quen với hệ thống mới.</t>
  </si>
  <si>
    <t>Tôi tin rằng Nhà nước sẽ thực thi chính sách một cách công bằng và khách quan, nhưng vẫn có thể xảy ra sự bất cập trong quá trình quản lý thuế.</t>
  </si>
  <si>
    <t>Theo phương án mới, tôi tiết kiệm được 5,8 triệu đồng/tháng. Mức giảm trừ gia cảnh tăng lên giúp tôi cảm thấy công bằng hơn so với trước đây.</t>
  </si>
  <si>
    <t>Tôi tin rằng số tiền thuế đóng sẽ được sử dụng hiệu quả để cải thiện dịch vụ công, mặc dù đôi khi vẫn có những tranh cãi về việc sử dụng nguồn lực này.</t>
  </si>
  <si>
    <t>Nhà nước đã giải thích rõ ràng về lý do và mục tiêu của việc sửa đổi thuế, nhưng vẫn cần thêm thông tin chi tiết về cách sử dụng nguồn thu để tăng thêm niềm tin.</t>
  </si>
  <si>
    <t>Sau khi xem xét các quyền lợi và nghĩa vụ, tôi ủng hộ và tuân thủ chính sách mới. Mức thuế giảm giúp cải thiện kinh tế gia đình của tôi.</t>
  </si>
  <si>
    <t>Điểm 8. Mặc dù quy định quản lý thuế hiện nay đã được cải thiện, nhưng việc phát hiện và xử lý gian lận vẫn còn phụ thuộc vào nhiều yếu tố như năng lực nhân sự và công nghệ của cơ quan thuế.</t>
  </si>
  <si>
    <t>Điểm 7. Cơ quan thuế đã sử dụng công nghệ tiên tiến hơn để theo dõi hoạt động kinh tế, nhưng việc gian lận vẫn có thể xảy ra nếu không có sự giám sát chặt chẽ.</t>
  </si>
  <si>
    <t>Điểm 9. Việc đơn giản hóa quy trình khai thuế và công nghệ điện tử đã giúp quá trình này trở nên nhanh chóng và dễ dàng hơn so với trước đây.</t>
  </si>
  <si>
    <t>Điểm 8. Biểu thuế mới rõ ràng hơn, giảm số bậc từ 7 xuống còn 5, làm cho quá trình tính thuế trở nên đơn giản hơn và dễ dàng hiểu hơn so với trước đây.</t>
  </si>
  <si>
    <t>Điểm 9. Mức thuế mới được giảm đáng kể, giúp tôi tin tưởng rằng cơ quan thuế sẽ thực thi chính sách một cách công bằng và khách quan.</t>
  </si>
  <si>
    <t>Điểm 8. Với mức thu nhập hiện tại của mình, việc đóng thuế theo phương án mới được xem là hợp lý và công bằng.</t>
  </si>
  <si>
    <t>Điểm 9. Tôi tin rằng số tiền thuế tôi đóng sẽ được sử dụng hiệu quả để cải thiện dịch vụ công, như y tế và giao thông.</t>
  </si>
  <si>
    <t>Điểm 8. Mặc dù đã có sự giải thích rõ ràng về mục tiêu của chính sách mới, nhưng tôi vẫn hy vọng sẽ thấy thêm nhiều thông tin chi tiết hơn về việc sử dụng nguồn thu thuế.</t>
  </si>
  <si>
    <t>Điểm 9. Tôi ủng hộ và tuân thủ chính sách mới vì nó mang lại lợi ích tài chính cho tôi, đồng thời đơn giản hóa quy trình khai báo thuế.</t>
  </si>
  <si>
    <t>Nhà nước đã tăng cường công nghệ và nguồn lực cho cơ quan thuế, tuy nhiên, thực tế vẫn còn nhiều trường hợp trốn thuế khó phát hiện.</t>
  </si>
  <si>
    <t>Cơ quan thuế có khả năng cao hơn trong việc phát hiện gian lận do quy định rõ ràng và tăng mức giảm trừ gia cảnh, nhưng thực tế xử lý vẫn cần thời gian.</t>
  </si>
  <si>
    <t>Quy trình khai báo thuế đơn giản hơn so với trước đây, đặc biệt là với việc sử dụng công nghệ số, tuy nhiên, vẫn còn một số thủ tục phức tạp.</t>
  </si>
  <si>
    <t>Cách tính thuế mới đơn giản và dễ hiểu hơn, các bậc thuế rõ ràng, giúp người dân dễ dàng áp dụng.</t>
  </si>
  <si>
    <t>Tôi tin rằng cơ quan thuế sẽ thực thi chính sách một cách công bằng, nhưng cần thời gian để chứng minh sự khách quan trong quá trình quản lý thuế.</t>
  </si>
  <si>
    <t>Mức thuế mới phù hợp với thu nhập của tôi và người cùng nhóm nghề nghiệp khác, cảm thấy được đối xử công bằng hơn.</t>
  </si>
  <si>
    <t>Thuế đóng góp vào việc cải thiện dịch vụ công, nhưng hiệu quả sử dụng còn phụ thuộc vào quản lý và thực thi chính sách của Nhà nước.</t>
  </si>
  <si>
    <t>Nhà nước đã giải thích rõ ràng về mục tiêu của chính sách mới, nhưng cần thêm thông tin về cơ chế giám sát để tăng niềm tin.</t>
  </si>
  <si>
    <t>Tôi ủng hộ và tuân thủ chính sách mới do các lợi ích tài chính và sự đơn giản hóa quy trình khai báo thuế.</t>
  </si>
  <si>
    <t>Cơ quan thuế có nhiều công cụ để phát hiện hành vi gian lận, tuy nhiên mức độ thực thi còn phụ thuộc vào sự phối hợp giữa các cơ quan và nguồn lực.</t>
  </si>
  <si>
    <t>Nhà nước đã đầu tư nhiều vào công nghệ và nhân lực để cải thiện khả năng phát hiện hành vi trốn thuế, nhưng vẫn cần thêm thời gian để hoàn thiện hệ thống</t>
  </si>
  <si>
    <t>Quy trình khai thuế trở nên đơn giản hơn so với trước đây, giảm bớt phiền toái cho người dân.</t>
  </si>
  <si>
    <t>Biểu thuế mới có số bậc ít hơn và mức thu nhập chịu thuế dễ hiểu hơn, giúp việc tính toán và thực hiện đơn giản hơn</t>
  </si>
  <si>
    <t>Nhà nước đã cố gắng công bằng trong việc điều chỉnh giảm trừ gia cảnh và số bậc thuế, tạo sự tin tưởng cho người dân</t>
  </si>
  <si>
    <t>Sau khi tính toán tác động tài chính, mức thuế mới phù hợp với thu nhập của tôi, tạo cảm giác công bằng trong việc đóng góp</t>
  </si>
  <si>
    <t>Việc Nhà nước đầu tư vào các dịch vụ công như y tế và giao thông sẽ giúp cải thiện chất lượng cuộc sống, tạo niềm tin về sự sử dụng hiệu quả số tiền thuế</t>
  </si>
  <si>
    <t>Nhà nước đã giải thích rõ ràng về mục tiêu của việc sửa đổi luật thuế, tuy nhiên cần thêm thông tin chi tiết để tăng mức độ hiểu biết và tin tưởng</t>
  </si>
  <si>
    <t>Dựa trên tác động tài chính tích cực và sự đơn giản hóa quy trình khai báo thuế, tôi ủng hộ và tuân thủ chính sách mới</t>
  </si>
  <si>
    <t>Dựa trên mức thuế giảm, tôi tin rằng việc quản lý thuế sẽ trở nên mạnh mẽ hơn và khó trốn tránh. Cơ quan thuế có nhiều công cụ để giám sát.</t>
  </si>
  <si>
    <t>Công nghệ hiện đại giúp nhà nước dễ dàng theo dõi các giao dịch tài chính, tăng khả năng phát hiện hành vi trốn thuế.</t>
  </si>
  <si>
    <t>Với mức giảm trừ gia cảnh cao hơn và đơn giản hóa biểu thuế, quy trình khai báo thuế trở nên thuận tiện hơn. Tôi không cần phải lo lắng về việc tính toán phức tạp.</t>
  </si>
  <si>
    <t>Biểu thuế mới đơn giản hơn nhiều so với trước đây, giúp tôi dễ dàng nắm bắt và thực hiện.</t>
  </si>
  <si>
    <t>Mức thuế giảm cho phép tôi cảm thấy công bằng trong việc đóng góp vào ngân sách nhà nước. Các quy định mới được áp dụng một cách khách quan.</t>
  </si>
  <si>
    <t>Tôi nghĩ mức thuế mới là hợp lý đối với thu nhập của mình, vì vậy tôi cảm thấy nó công bằng.</t>
  </si>
  <si>
    <t>Thuế tôi đóng sẽ được sử dụng hiệu quả cho các dịch vụ công, điều này tăng niềm tin vào việc quản lý chi tiêu của nhà nước.</t>
  </si>
  <si>
    <t>Nhà nước đã giải thích rõ ràng mục tiêu và lý do thay đổi thuế, giúp tôi hiểu được sự cần thiết của chính sách mới.</t>
  </si>
  <si>
    <t>Dựa trên tác động tài chính tích cực và niềm tin vào hệ thống, tôi ủng hộ và sẵn lòng tuân thủ chính sách mới.</t>
  </si>
  <si>
    <t>Dựa trên các quy định quản lý thuế hiện nay, tôi tin rằng hành vi gian lận hoặc trốn thuế sẽ dễ dàng bị phát hiện và xử lý nghiêm. Các cơ quan thuế có đủ khả năng và công nghệ để giám sát và ngăn chặn hành vi này.</t>
  </si>
  <si>
    <t>Nhà nước, cơ quan thuế đã triển khai các hệ thống công nghệ thông tin hiện đại giúp phát hiện, xử lý nghiêm các hành vi trốn thuế. Điều này tăng cường khả năng quản lý và giám sát.</t>
  </si>
  <si>
    <t>Thủ tục khai báo thuế và quy trình làm việc với cơ quan thuế trở nên đơn giản hơn, giúp tôi dễ dàng thực hiện mà không gặp nhiều khó khăn. Các quy trình này nhanh chóng và tiện lợi hơn so với trước đây.</t>
  </si>
  <si>
    <t>Cách tính thuế và các bậc thuế mới đơn giản, dễ hiểu và dễ thực hiện hơn. Điều này giúp tôi nắm bắt được chính xác số tiền cần đóng mà không phải lo lắng về sự phức tạp.</t>
  </si>
  <si>
    <t>Tôi tin rằng Nhà nước, cơ quan thuế sẽ thực thi chính sách mới một cách khách quan, công tâm và đối xử bình đẳng với mọi người nộp thuế. Điều này tạo niềm tin cho tôi về sự minh bạch trong việc áp dụng luật.</t>
  </si>
  <si>
    <t>Mức thuế mới mà tôi phải đóng là công bằng. Với thu nhập của mình, mức thuế này hợp lý và phản ánh đúng mức độ sử dụng dịch vụ công mà tôi đang hưởng.</t>
  </si>
  <si>
    <t>Tôi tin tưởng rằng số tiền thuế tôi đóng sẽ được Nhà nước sử dụng hiệu quả để cải thiện các dịch vụ công như y tế, đường xá. Điều này tạo sự liên kết giữa việc đóng thuế và lợi ích thực tế mà tôi nhận được.</t>
  </si>
  <si>
    <t>Nhà nước đã giải thích rõ ràng về lý do và mục tiêu của việc sửa đổi thuế lần này, giúp tôi hiểu hơn về cách thức hoạt động của hệ thống thuế mới.</t>
  </si>
  <si>
    <t>Sau khi xem xét các quyền lợi và nghĩa vụ, tôi ủng hộ và tuân thủ chính sách mới hiện nay. Việc giảm thuế và đơn giản hóa quy trình khai báo thuế giúp tôi thấy rõ lợi ích của chính sách mới.</t>
  </si>
  <si>
    <t>Thuế thu nhập cá nhân mới có nhiều cải tiến về quy định và giảm trừ gia cảnh, nhưng khả năng phát hiện hành vi gian lận hay trốn thuế vẫn phụ thuộc vào việc quản lý của cơ quan thuế. Hiện nay, mặc dù có sự cải cách, khả năng xử lý nghiêm khắc chưa thể dự đoán 100%.</t>
  </si>
  <si>
    <t>Nhà nước đã đầu tư công nghệ và nhân lực để cải thiện việc quản lý thuế, tuy nhiên hiệu quả thực tế phụ thuộc vào quy trình triển khai và quản lý.</t>
  </si>
  <si>
    <t>Thủ tục khai báo thuế đơn giản hơn so với trước đây do giảm trừ gia cảnh lớn hơn và số bậc thuế ít đi. Tuy nhiên, việc thực hiện vẫn cần thời gian để mọi người quen thuộc.</t>
  </si>
  <si>
    <t>Cách tính thuế rõ ràng hơn, dễ hiểu và đơn giản hơn so với trước đây, giảm bớt rào cản cho người dân khi khai báo. Đây là một cải tiến đáng kể</t>
  </si>
  <si>
    <t>Nhà nước đã công bố các quy định mới và sẽ thực thi chính sách một cách khách quan, công bằng, nhưng vẫn cần thời gian để mọi người tin tưởng hoàn toàn.</t>
  </si>
  <si>
    <t>Mức thuế mới giảm đáng kể so với trước đây, tạo cảm giác công bằng. Việc giảm trừ gia cảnh và số bậc thuế ít đi giúp người dân dễ dàng tính toán.</t>
  </si>
  <si>
    <t>Thuê đóng góp vào việc cải thiện dịch vụ công là một nguyên tắc đúng đắn, nhưng hiệu quả cụ thể phụ thuộc vào cách sử dụng nguồn thu. Tôi tin tưởng rằng số tiền thuế này sẽ được sử dụng hiệu quả.</t>
  </si>
  <si>
    <t>Nhà nước đã giải thích rõ ràng về mục tiêu và lý do của việc cải cách thuế, tạo sự công bằng cho người dân trong việc đóng góp. Tuy nhiên, còn cần nhiều thông tin thêm để mọi người hiểu sâu hơn.</t>
  </si>
  <si>
    <t>Dựa trên các ưu điểm về giảm trừ gia cảnh và đơn giản hóa quy trình, tôi ủng hộ và tuân thủ chính sách mới. Tuy nhiên, vẫn cần thời gian quen thuộc với quy định mới.</t>
  </si>
  <si>
    <t>Nếu các quy định quản lý thuế hiện nay được thực thi đúng và công bằng, tôi tin rằng hành vi gian lận hoặc trốn thuế sẽ dễ dàng bị phát hiện. Tuy nhiên, do kinh nghiệm cá nhân cho thấy vẫn còn một số trường hợp không tuân thủ, nên điểm số không quá cao.</t>
  </si>
  <si>
    <t>Nhà nước và cơ quan thuế đã áp dụng nhiều công nghệ hiện đại như hệ thống điện tử để quản lý thuế, do đó khả năng phát hiện gian lận hoặc trốn thuế tăng lên. Tuy nhiên, vẫn cần thêm thời gian để thực sự kiểm chứng.</t>
  </si>
  <si>
    <t>So với trước đây, quy trình khai báo và làm việc với cơ quan thuế đã đơn giản hơn nhiều do các thủ tục điện tử. Điều này tạo thuận lợi cho công dân nộp thuế một cách dễ dàng.</t>
  </si>
  <si>
    <t>Biểu thuế mới có ít bậc hơn, giúp người dân tính toán và thực hiện nhanh chóng hơn, làm giảm sự phức tạp trong quá trình khai báo. Điều này cũng thuận lợi cho việc tuân thủ chính sách.</t>
  </si>
  <si>
    <t>Tôi tin rằng cơ quan thuế sẽ công tâm trong việc thực thi các quy định mới, nhưng cần thêm thời gian để kiểm chứng sự khách quan này.</t>
  </si>
  <si>
    <t>Với mức giảm trừ gia cảnh tăng lên và số bậc thuế ít hơn, tôi thấy mình đóng thuế công bằng hơn so với trước đây. Điều này làm tôi cảm thấy mình không bị trừng phạt quá mức vì thu nhập của mình.</t>
  </si>
  <si>
    <t>Thuế mà tôi đóng sẽ được sử dụng hiệu quả để cải thiện dịch vụ công, điều này giúp tôi tin tưởng vào việc sử dụng nguồn lực một cách có trách nhiệm.</t>
  </si>
  <si>
    <t>Nhà nước đã cung cấp thông tin đầy đủ về mục tiêu và lý do của việc sửa đổi thuế lần này. Điều này làm tăng niềm tin của tôi vào quyết định này.</t>
  </si>
  <si>
    <t>Đáp ứng với các quyền lợi mới, tôi ủng hộ và tuân thủ chính sách mới. Mức giảm trừ gia cảnh tăng lên và số bậc thuế ít hơn tạo cảm giác công bằng và thuận lợi cho việc khai báo.</t>
  </si>
  <si>
    <t>Cơ quan thuế có khả năng phát hiện hành vi gian lận và trốn thuế do cải tiến công nghệ, tuy nhiên, việc thực thi vẫn phụ thuộc vào nguồn lực và quyết tâm của nhà nước.</t>
  </si>
  <si>
    <t>Nhà nước có đủ khả năng và công nghệ để phát hiện, xử lý nghiêm các hành vi trốn thuế như đã đề cập.</t>
  </si>
  <si>
    <t>Quy trình khai báo thuế và làm việc với cơ quan thuế trở nên đơn giản hơn, thời gian chờ đợi cũng giảm bớt do số bậc thuế được rút gọn.</t>
  </si>
  <si>
    <t>Phương án mới có ít bậc thuế hơn và dễ hiểu hơn so với trước đây, giúp việc tính toán thu nhập chịu thuế trở nên đơn giản.</t>
  </si>
  <si>
    <t>Niềm tin vào sự công bằng trong cách thực thi chính sách là cao do mức giảm trừ gia cảnh tăng và số bậc thuế được rút gọn.</t>
  </si>
  <si>
    <t>Mức thuế mới có vẻ hợp lý so với thu nhập của tôi, do đó tôi cảm thấy công bằng khi phải đóng mức thuế này.</t>
  </si>
  <si>
    <t>Sau khi xem xét tác động tài chính và sự thay đổi trong phương án thuế, tôi tin rằng số tiền thuế tôi đóng sẽ được sử dụng hiệu quả để cải thiện dịch vụ công.</t>
  </si>
  <si>
    <t>Tôi đồng ý với việc Nhà nước đã giải thích rõ ràng về mục tiêu và lý do của việc sửa đổi thuế, mặc dù vẫn có sự đa nghi từ phía người dân.</t>
  </si>
  <si>
    <t>Tác động tài chính tích cực từ việc áp dụng luật mới làm tăng niềm tin vào hệ thống thuế, đồng thời tôi ủng hộ và tuân thủ chính sách mới.</t>
  </si>
  <si>
    <t>Nếu có sự giám sát chặt chẽ và công nghệ hiện đại, hành vi gian lận sẽ khó xảy ra. Tuy nhiên, việc thực thi luật pháp cần thời gian để hoàn thiện.</t>
  </si>
  <si>
    <t>Nhà nước đã đầu tư vào hệ thống IT cho cơ quan thuế, do đó khả năng phát hiện và xử lý trốn thuế sẽ cải thiện đáng kể. Tuy nhiên, vẫn cần thời gian để đào tạo nhân viên.</t>
  </si>
  <si>
    <t>Quy trình khai báo thuế đã đơn giản hơn với việc giảm số bậc thuế. Việc này giúp thuận tiện cho người dân trong quá trình làm việc với cơ quan thuế.</t>
  </si>
  <si>
    <t>Sau khi tính toán, thấy rằng mức thuế mới rõ ràng và dễ dàng thực hiện hơn so với trước đây, đặc biệt là với sự tăng giảm trừ gia cảnh. Điều này làm cho việc tính thuế trở nên dễ hiểu.</t>
  </si>
  <si>
    <t>Đối với tôi, Nhà nước sẽ thực thi chính sách một cách công bằng và khách quan. Tuy nhiên, cần thời gian để xem xét hiệu quả thực tế.</t>
  </si>
  <si>
    <t>Với mức thuế mới, tôi thấy rằng mình đóng đúng mức dựa trên thu nhập của mình. Đây là một sự công bằng đối với tôi.</t>
  </si>
  <si>
    <t>Nhìn chung, số tiền thuế này sẽ được sử dụng để cải thiện dịch vụ công, do đó tôi tin tưởng rằng việc đóng thuế có ích cho cộng đồng của mình.</t>
  </si>
  <si>
    <t>Nội dung giải thích về chính sách mới khá rõ ràng và chi tiết. Tuy nhiên, cần thêm thông tin về cách sử dụng số tiền thu được từ thuế để tăng niềm tin.</t>
  </si>
  <si>
    <t>Tôi ủng hộ chính sách mới vì nó giúp tôi tiết kiệm một khoản tiền đáng kể trong khi vẫn đóng góp cho xã hội. Đây là sự cân nhắc giữa quyền lợi cá nhân và trách nhiệm xã hội của tôi.</t>
  </si>
  <si>
    <t>Tôi đồng ý với mức độ quản lý thuế hiện nay, nhưng vẫn có khả năng xảy ra gian lận do sự phức tạp của quy định.</t>
  </si>
  <si>
    <t>Cơ quan thuế đã đầu tư công nghệ để phát hiện trốn thuế, tuy nhiên, vấn đề thực thi còn phụ thuộc vào nguồn lực và nhân sự.</t>
  </si>
  <si>
    <t>So với trước đây, quy trình khai báo thuế đơn giản hơn nhiều, thủ tục cũng nhanh chóng hơn.</t>
  </si>
  <si>
    <t>Biểu thuế mới có ít bậc và dễ hiểu hơn, giúp việc tính toán thuế trở nên thuận tiện hơn.</t>
  </si>
  <si>
    <t>Tôi tin rằng Nhà nước sẽ công bằng khi thực thi chính sách, nhưng cần thêm minh bạch về cách thức quản lý.</t>
  </si>
  <si>
    <t>Mức thuế mới giảm so với trước đây và tôi thấy là hợp lý cho thu nhập của mình.</t>
  </si>
  <si>
    <t>Thuế đóng góp vào việc cải thiện dịch vụ công, nhưng cần minh bạch hơn về cách sử dụng số tiền này.</t>
  </si>
  <si>
    <t>Nhà nước đã giải thích rõ ràng mục tiêu của chính sách mới, tuy nhiên, tôi hy vọng sẽ thấy thêm thông tin chi tiết.</t>
  </si>
  <si>
    <t>Sau khi xem xét tất cả các yếu tố, tôi đồng ý với chính sách mới và sẵn lòng tuân thủ nó.</t>
  </si>
  <si>
    <t>Hiện nay, cơ quan thuế có nhiều công cụ và nguồn lực để phát hiện trốn thuế, nhưng hiệu quả thực thi vẫn phụ thuộc vào việc quản lý và kỷ luật của nhân viên thuế.</t>
  </si>
  <si>
    <t>Cơ quan thuế đã đầu tư công nghệ hiện đại hơn, nâng cao khả năng phát hiện trốn thuế, tuy nhiên, hiệu quả thực thi còn phụ thuộc vào quy trình và chính sách quản lý.</t>
  </si>
  <si>
    <t>Quy trình khai thuế trở nên đơn giản hơn với mức giảm trừ gia cảnh lớn hơn, nhưng vẫn cần cải thiện về mặt thủ tục để thuận tiện cho người dân.</t>
  </si>
  <si>
    <t>Bậc thuế được đơn giản hóa, dễ hiểu và thực hiện dễ dàng hơn so với trước đây, giảm độ phức tạp đáng kể</t>
  </si>
  <si>
    <t>Tôi tin rằng cơ quan thuế sẽ thực thi chính sách một cách công bằng, tuy nhiên, hiệu quả thực thi còn phụ thuộc vào sự giám sát và trách nhiệm của các bên liên quan.</t>
  </si>
  <si>
    <t>Mức thuế mới được tính toán hợp lý cho thu nhập của tôi, giảm gánh nặng tài chính, tăng niềm tin về công bằng trong hệ thống thuế</t>
  </si>
  <si>
    <t>Thuê tôi đóng góp vào việc cải thiện dịch vụ công và phát triển xã hội, tạo cảm giác rằng tiền thuế được sử dụng hiệu quả</t>
  </si>
  <si>
    <t>Nhà nước đã giải thích rõ ràng về mục tiêu của chính sách mới, nhưng cần làm rõ hơn nữa để người dân hiểu sâu sắc hơn về các lợi ích và nghĩa vụ</t>
  </si>
  <si>
    <t>Tôi ủng hộ và tuân thủ chính sách mới vì nó cải thiện gánh nặng thuế cho tôi và gia đình, đồng thời tạo ra niềm tin vào hệ thống thuế.</t>
  </si>
  <si>
    <t>Chính phủ và cơ quan thuế có nhiều biện pháp kiểm soát, nhưng vẫn còn khả năng trốn thuế. Tuy nhiên, các quy định quản lý thuế hiện nay đã được cải thiện.</t>
  </si>
  <si>
    <t>Nhà nước và cơ quan thuế đã đầu tư vào công nghệ để phát hiện gian lận thuế, nhưng vẫn có những cách để trốn tránh.</t>
  </si>
  <si>
    <t>Quy trình khai báo thuế trở nên đơn giản hơn, thủ tục nhanh chóng và tiện lợi. Việc giảm trừ gia cảnh rõ ràng giúp quá trình thuận tiện hơn.</t>
  </si>
  <si>
    <t>Các bậc thuế đã được đơn giản hóa từ 7 xuống 5 bậc, khiến việc tính toán dễ dàng hơn so với trước đây.</t>
  </si>
  <si>
    <t>Tôi tin rằng Nhà nước sẽ thực thi chính sách một cách công tâm, nhưng vẫn cần thêm minh bạch về quá trình thực hiện.</t>
  </si>
  <si>
    <t>Sau khi giảm trừ gia cảnh và đơn giản hóa bậc thuế, tôi cảm thấy mức thuế mới là công bằng với thu nhập của mình. Điều này tăng niềm tin về sự công bằng.</t>
  </si>
  <si>
    <t>Nhà nước đã đầu tư vào các dịch vụ công như y tế và giao thông, nhưng tôi hy vọng số tiền thuế đóng sẽ được sử dụng hiệu quả hơn.</t>
  </si>
  <si>
    <t>Tôi đồng ý rằng Nhà nước đã giải thích rõ ràng về mục tiêu cải cách thuế. Tuy nhiên, cần thêm thông tin về chi tiết cụ thể hơn.</t>
  </si>
  <si>
    <t>Sau khi xem xét các quyền lợi và nghĩa vụ, tôi ủng hộ chính sách mới. Nó giúp giảm gánh nặng tài chính cho tôi và gia đình.</t>
  </si>
  <si>
    <t>Tuy cơ quan thuế đã cải tiến công nghệ, nhưng với mức tăng giảm trừ gia cảnh lớn và số bậc thuế giảm, việc phát hiện trốn thuế có thể trở nên khó khăn hơn.</t>
  </si>
  <si>
    <t>Quy trình làm việc với cơ quan thuế trở nên đơn giản hơn với mức giảm trừ gia cảnh cao hơn và biểu thuế đơn giản hóa, nhưng vẫn còn cần cải thiện.</t>
  </si>
  <si>
    <t>Công thức tính thuế mới rõ ràng hơn so với trước đây, giảm độ phức tạp cho người dân, nhưng vẫn chưa hoàn toàn dễ hiểu đối với mọi người.</t>
  </si>
  <si>
    <t>Tôi tin rằng Nhà nước sẽ thực thi chính sách một cách công bằng và minh bạch, đặc biệt là khi mức thuế giảm đáng kể.</t>
  </si>
  <si>
    <t>Mức thuế mới phù hợp với thu nhập của tôi, giảm gánh nặng tài chính mà không làm mất đi tính công bằng trong hệ thống thuế.</t>
  </si>
  <si>
    <t>Thuê tôi đóng góp vào các dịch vụ công như y tế và hạ tầng, giúp nâng cao chất lượng cuộc sống cho cộng đồng.</t>
  </si>
  <si>
    <t>Nhà nước đã giải thích rõ ràng về sự cần thiết của việc sửa đổi thuế, mặc dù tôi nghĩ có thể còn nhiều thông tin cần làm rõ hơn.</t>
  </si>
  <si>
    <t>Tôi ủng hộ chính sách mới vì nó giúp giảm gánh nặng tài chính và tăng hiệu quả sử dụng số tiền thuế đóng góp vào dịch vụ công.</t>
  </si>
  <si>
    <t>Dù không hoàn toàn tin tưởng, nhưng với sự phát triển của công nghệ và quy định quản lý thuế ngày càng chặt chẽ, khả năng phát hiện trốn thuế cũng tăng lên.</t>
  </si>
  <si>
    <t>Nhà nước đã đầu tư vào hệ thống công nghệ thông tin để hỗ trợ việc quản lý thuế, tuy nhiên vẫn còn một số hạn chế về cơ sở hạ tầng và nguồn lực.</t>
  </si>
  <si>
    <t>Quy trình khai báo thuế đơn giản hơn, thủ tục nhanh chóng hơn so với trước đây, giúp tiết kiệm thời gian và công sức cho người dân.</t>
  </si>
  <si>
    <t>Biểu thuế mới có ít bậc hơn, dễ hiểu và thực hiện thuận lợi hơn, giảm bớt sự phức tạp cho người nộp thuế.</t>
  </si>
  <si>
    <t>Tôi tin rằng cơ quan thuế sẽ công tâm trong việc áp dụng chính sách mới, tuy nhiên vẫn cần thêm thời gian để đánh giá thực tế.</t>
  </si>
  <si>
    <t>Mức thuế mới phù hợp với thu nhập của tôi và những người cùng nhóm, tạo cảm giác công bằng cho người dân.</t>
  </si>
  <si>
    <t>Đóng thuế giúp cải thiện chất lượng dịch vụ công, tuy nhiên hiệu quả sử dụng nguồn lực vẫn còn cần được giám sát chặt chẽ.</t>
  </si>
  <si>
    <t>Nhà nước đã giải thích rõ về mục tiêu và lý do của việc sửa đổi thuế, tuy nhiên việc truyền tải thông tin đến người dân vẫn chưa đầy đủ.</t>
  </si>
  <si>
    <t>Tôi ủng hộ chính sách mới vì nó giúp giảm gánh nặng tài chính cho tôi và gia đình, đồng thời tạo cảm giác công bằng trong việc đóng thuế.</t>
  </si>
  <si>
    <t>Nhà nước đã tăng cường các biện pháp quản lý và xử lý nghiêm với hành vi gian lận, trốn thuế. Điều này làm tăng khả năng phát hiện và ngăn chặn hành vi không lành mạnh.</t>
  </si>
  <si>
    <t>Cơ quan thuế có nhiều công nghệ hỗ trợ giám sát và xử lý nhanh chóng, hiệu quả. Tuy nhiên, vẫn cần cải thiện hơn nữa về khả năng tiếp cận thông tin của người dân.</t>
  </si>
  <si>
    <t>So với trước đây, quy trình khai thuế và giao dịch với cơ quan thuế đơn giản hơn nhiều. Thuế suất và mức giảm trừ gia cảnh rõ ràng hơn, dễ hiểu hơn.</t>
  </si>
  <si>
    <t>Biểu thuế mới có ít bậc hơn, dễ dàng thực hiện và tính toán hơn so với trước đây. Điều này giúp người dân dễ dàng hơn trong việc tuân thủ pháp luật thuế.</t>
  </si>
  <si>
    <t>Tôi tin rằng Nhà nước sẽ thực thi chính sách một cách công bằng và minh bạch, đối xử bình đẳng với mọi người nộp thuế. Việc giảm thuế cũng tạo nên sự công bằng hơn.</t>
  </si>
  <si>
    <t>Mức thuế tôi phải đóng hợp lý so với thu nhập hiện tại của mình. Việc tăng mức giảm trừ gia cảnh giúp tôi tiết kiệm thêm nhiều tiền, do đó thấy rằng chính sách mới là công bằng.</t>
  </si>
  <si>
    <t>Công cụ tài chính và dịch vụ công được cải thiện đáng kể với số tiền thuế mà tôi đóng góp. Điều này tạo niềm tin vào việc sử dụng hiệu quả nguồn lực</t>
  </si>
  <si>
    <t>Nhà nước đã giải thích rõ ràng về mục tiêu của chính sách mới, mặc dù có thể vẫn còn thiếu thông tin chi tiết ở một số điểm.</t>
  </si>
  <si>
    <t>Tôi ủng hộ và tuân thủ chính sách mới vì nó mang lại nhiều quyền lợi cho tôi, giảm gánh nặng thuế và tăng mức độ công bằng. Mặc dù vẫn còn nghi ngờ về việc quản lý hiệu quả của số tiền thuế, nhưng tôi tin rằng điều này sẽ được cải thiện.</t>
  </si>
  <si>
    <t>Nguyên tắc quản lý thuế hiện nay đã được cải thiện, nhưng vẫn cần thời gian để thực thi hiệu quả.</t>
  </si>
  <si>
    <t>Nhà nước và cơ quan thuế có công nghệ và nguồn lực để phát hiện trốn thuế, nhưng còn phụ thuộc vào sự cam kết của các doanh nghiệp.</t>
  </si>
  <si>
    <t>Quy trình khai báo thuế đơn giản hơn, việc nộp thuế qua ứng dụng điện tử thuận lợi cho người dân.</t>
  </si>
  <si>
    <t>Tôi tin rằng Nhà nước sẽ công tâm trong việc thực thi chính sách, nhưng vẫn cần thời gian để chứng minh.</t>
  </si>
  <si>
    <t>Mức thuế mới tương đối công bằng với thu nhập hiện tại của tôi, giảm trừ gia cảnh tăng đáng kể.</t>
  </si>
  <si>
    <t>Thuế đóng góp cho việc cải thiện dịch vụ công như y tế và hạ tầng giao thông là điều cần thiết.</t>
  </si>
  <si>
    <t>Nhà nước đã giải thích rõ ràng về mục tiêu của chính sách mới, nhưng vẫn có không ít ý kiến trái chiều.</t>
  </si>
  <si>
    <t>Chính sách mới mang lại lợi ích tài chính và đơn giản hóa quy trình thuế, tôi sẽ ủng hộ và tuân thủ.</t>
  </si>
  <si>
    <t>Thuế hiện nay có nhiều biện pháp giám sát và xử lý, nhưng vẫn chưa hoàn toàn ngăn chặn được hành vi gian lận.</t>
  </si>
  <si>
    <t>Cơ quan thuế đã đầu tư công nghệ để phát hiện gian lận, nhưng thực tế việc trốn thuế vẫn còn tồn tại.</t>
  </si>
  <si>
    <t>Quy trình khai báo và làm việc với cơ quan thuế đơn giản hơn so với trước đây, đặc biệt là khi áp dụng các công cụ điện tử.</t>
  </si>
  <si>
    <t>Bảng thuế mới có ít bậc hơn nhưng vẫn phức tạp đối với người bình thường. Tuy nhiên, mức giảm trừ gia cảnh lớn đã giúp đơn giản hóa cho một số trường hợp.</t>
  </si>
  <si>
    <t>Tôi tin rằng cơ quan thuế sẽ cố gắng thực thi công bằng, nhưng vẫn có nguy cơ không đối xử đúng với mọi người nộp thuế.</t>
  </si>
  <si>
    <t>Mức thuế mới giảm đáng kể và phù hợp với thu nhập của tôi. Điều này làm tăng cảm giác rằng việc đóng thuế là công bằng hơn.</t>
  </si>
  <si>
    <t>Thuế tôi đóng sẽ được sử dụng để cải thiện các dịch vụ công, nhưng hiệu quả sử dụng nguồn ngân sách vẫn còn cần đánh giá.</t>
  </si>
  <si>
    <t>Nhà nước đã giải thích rõ ràng về mục tiêu sửa đổi thuế, nhưng việc thực thi có thể gặp một số khó khăn.</t>
  </si>
  <si>
    <t>Chính sách mới giúp giảm gánh nặng tài chính và tăng sự công bằng. Tôi sẽ ủng hộ và tuân thủ.</t>
  </si>
  <si>
    <t>Hiện nay, cơ quan thuế đã sử dụng công nghệ tiên tiến như AI để phát hiện gian lận, do đó tôi tin rằng hành vi trốn thuế sẽ bị phát hiện và xử lý nghiêm.</t>
  </si>
  <si>
    <t>Nhà nước đã đầu tư vào hệ thống công nghệ thông tin cho cơ quan thuế để nâng cao hiệu quả quản lý, do đó tôi tin rằng họ có đủ khả năng để phát hiện và xử lý gian lận.</t>
  </si>
  <si>
    <t>Quy trình khai báo thuế đã đơn giản hơn với việc giảm số bậc thuế từ 7 xuống còn 5, và mức giảm trừ gia cảnh cũng được tăng lên, do đó thủ tục trở nên thuận tiện hơn.</t>
  </si>
  <si>
    <t>Phương án mới về thuế đã đơn giản hóa các bậc thuế và cách tính thuế, giúp người dân dễ hiểu và thực hiện hơn so với trước đây.</t>
  </si>
  <si>
    <t>Mức thuế theo phương án mới được xem xét kỹ lưỡng và công bằng cho người dân có thu nhập như tôi, do đó tôi tin rằng chính sách này sẽ được thực thi một cách khách quan.</t>
  </si>
  <si>
    <t>Mức thuế mới được điều chỉnh phù hợp với thu nhập của tôi, tôi thấy rằng mức thuế này là hợp lý và công bằng.</t>
  </si>
  <si>
    <t>Thuế tôi đóng sẽ được sử dụng hiệu quả để cải thiện các dịch vụ công, từ đó tạo niềm tin vào việc thực hiện chính sách của Nhà nước.</t>
  </si>
  <si>
    <t>Nhà nước đã giải thích rõ ràng về mục tiêu và lý do của việc sửa đổi thuế lần này, do đó tôi cảm thấy rằng mình có thể tin tưởng vào quyết định của họ.</t>
  </si>
  <si>
    <t>Sau khi xem xét các quyền lợi và nghĩa vụ theo chính sách mới, tôi ủng hộ và tuân thủ chính sách này vì nó mang lại nhiều lợi ích cho người dân như tôi.</t>
  </si>
  <si>
    <t>Nhìn chung, tôi tin rằng với sự cải cách và công nghệ hiện đại, hành vi gian lận hoặc trốn thuế sẽ khó xảy ra hơn, nhưng không hoàn toàn chắc chắn.</t>
  </si>
  <si>
    <t>Cơ quan thuế có khả năng phát hiện các hành vi trốn thuế cao hơn, do vậy tôi tin rằng việc xử lý nghiêm sẽ được thực hiện.</t>
  </si>
  <si>
    <t>So với trước đây, quy trình khai báo thuế trở nên đơn giản hơn và nhanh chóng, thuận tiện hơn cho người dân.</t>
  </si>
  <si>
    <t>Biểu thuế mới có ít bậc hơn và dễ hiểu hơn so với trước, giảm bớt sự phức tạp đối với người dân.</t>
  </si>
  <si>
    <t>Tôi tin rằng việc thực thi chính sách mới sẽ khách quan và công bằng đối với mọi người nộp thuế.</t>
  </si>
  <si>
    <t>Mức thuế mới có thể được xem là hợp lý, phù hợp với thu nhập của tôi sau khi tính toán giảm trừ gia cảnh.</t>
  </si>
  <si>
    <t>Thuế đóng góp vào việc cải thiện dịch vụ công và phát triển cơ sở hạ tầng, tôi tin rằng số tiền thuế sẽ được sử dụng hiệu quả.</t>
  </si>
  <si>
    <t>Nhà nước đã giải thích về mục tiêu của việc sửa đổi thuế, nhưng vẫn có thể cải thiện hơn trong việc minh bạch.</t>
  </si>
  <si>
    <t>Sau khi xem xét các quyền lợi và nghĩa vụ, tôi ủng hộ và tuân thủ chính sách mới vì nó mang lại nhiều ưu điểm cho người dân.</t>
  </si>
  <si>
    <t>Cơ quan thuế hiện nay có hệ thống quản lý và công nghệ phát triển, tuy nhiên việc thực thi vẫn phụ thuộc vào nguồn lực và quyết tâm của họ. Việc trốn thuế vẫn có thể xảy ra nhưng khả năng bị phát hiện đã tăng lên.</t>
  </si>
  <si>
    <t>Nhà nước đã đầu tư công nghệ và nhân lực để cải thiện việc quản lý, xử lý các hành vi trốn thuế. Tuy nhiên, cần thời gian thực thi hiệu quả hơn nữa.</t>
  </si>
  <si>
    <t>Quy trình khai báo thuế đã đơn giản hóa và thuận tiện hơn so với trước đây do số bậc thuế giảm đi.</t>
  </si>
  <si>
    <t>Việc tính thuế theo các bậc mới rõ ràng hơn, dễ hiểu và thực hiện thuận lợi hơn.</t>
  </si>
  <si>
    <t>Tôi tin rằng cơ quan thuế sẽ công bằng trong việc thực thi chính sách, nhưng vẫn cần thời gian để chứng minh điều đó.</t>
  </si>
  <si>
    <t>Thuế mới đã giảm đáng kể và tôi cảm thấy nó là hợp lý với thu nhập hiện tại của mình.</t>
  </si>
  <si>
    <t>Một số cải cách mang lại lợi ích cho người dân, nhưng hiệu quả sử dụng nguồn ngân sách vẫn cần được giám sát chặt chẽ.</t>
  </si>
  <si>
    <t>Nhà nước đã giải thích rõ ràng về mục tiêu của việc sửa đổi thuế, tôi thấy các thông tin này là chính xác và có ích.</t>
  </si>
  <si>
    <t>Dù vẫn còn nghi ngờ về hiệu quả sử dụng nguồn ngân sách, nhưng tôi ủng hộ cải cách thuế vì lợi ích cụ thể cho người dân.</t>
  </si>
  <si>
    <t>Tăng cường công nghệ giám sát thuế có thể giúp phát hiện hành vi gian lận, nhưng vẫn có nguy cơ trốn thuế vì mức giảm trừ gia cảnh cao hơn.</t>
  </si>
  <si>
    <t>Cơ quan thuế có nhiều nguồn lực và công nghệ để quản lý thuế hiệu quả hơn, tuy nhiên, sự tuân thủ của cá nhân vẫn cần được cải thiện.</t>
  </si>
  <si>
    <t>Quy trình khai báo thuế đơn giản hơn với mức giảm trừ gia cảnh cao và số bậc thuế ít đi. Tuy nhiên, việc thực hiện có thể còn phụ thuộc vào sự hỗ trợ từ phía nhà chức trách.</t>
  </si>
  <si>
    <t>Cách tính thuế trở nên đơn giản với mức giảm trừ gia cảnh cao và số bậc thuế ít đi, dễ dàng hơn cho người dân hiểu và thực hiện.</t>
  </si>
  <si>
    <t>Tôi tin rằng cơ quan thuế sẽ công tâm trong việc áp dụng chính sách mới, nhưng vẫn cần thời gian để đánh giá hiệu quả thực tế.</t>
  </si>
  <si>
    <t>Mức giảm trừ gia cảnh cao hơn và số bậc thuế ít đi làm cho tôi cảm thấy hợp lý, giảm gánh nặng về mặt tài chính.</t>
  </si>
  <si>
    <t>Hiệu quả sử dụng ngân sách từ thuế cần thời gian để đánh giá, nhưng việc cải cách giúp tôi tin tưởng hơn vào mục tiêu phát triển công cộng.</t>
  </si>
  <si>
    <t>Nhà nước đã giải thích rõ ràng về chính sách mới và mục tiêu của nó, mặc dù vẫn cần thêm thông tin chi tiết về hiệu quả sử dụng ngân sách.</t>
  </si>
  <si>
    <t>Chính sách mới giúp tôi tiết kiệm được tiền thuế, do đó tôi ủng hộ và tuân thủ</t>
  </si>
  <si>
    <t>Việc tăng giảm trừ gia cảnh và đơn giản hóa biểu thuế có thể làm giảm cơ hội cho hành vi gian lận, nhưng không loại bỏ hoàn toàn. Cơ quan thuế vẫn cần công nghệ và nguồn lực để phát hiện trốn thuế.</t>
  </si>
  <si>
    <t>Cơ quan thuế có nhiều công cụ kỹ thuật cao như AI và dữ liệu lớn, nhưng hiệu quả thực tế phụ thuộc vào nguồn lực và chiến lược triển khai. Tuy nhiên, cơ sở hạ tầng hiện đại giúp phát hiện gian lận nhanh hơn.</t>
  </si>
  <si>
    <t>Quy trình làm việc với cơ quan thuế đơn giản hóa đáng kể, nhưng vẫn có thể gặp khó khăn trong quá trình khai báo phức tạp hoặc khi cần giải quyết tranh chấp. Tuy nhiên, tổng thể thuận tiện hơn.</t>
  </si>
  <si>
    <t>Biểu thuế đơn giản hơn và giảm trừ gia cảnh cao hơn giúp tính toán dễ dàng hơn, nhưng vẫn có nhiều bậc thuế nên cần sự hiểu biết để áp dụng đúng. Tuy nhiên, điều này làm cho quá trình nộp thuế trở nên dễ dàng hơn.</t>
  </si>
  <si>
    <t>Nhà nước đã công bố các quy định một cách rõ ràng và khách quan, nhưng vẫn có nghi ngờ về tính công bằng trong việc áp dụng. Cần thêm minh bạch hơn để tăng niềm tin.</t>
  </si>
  <si>
    <t>Mức thuế mới phù hợp với thu nhập của tôi, giảm gánh nặng tài chính và tạo cảm giác công bằng. Tuy nhiên, mức thuế có thể khác nhau giữa các cá nhân nên vẫn cần thêm minh bạch.</t>
  </si>
  <si>
    <t>Thuế đóng góp vào sự phát triển cơ sở hạ tầng và dịch vụ công, nhưng không rõ ràng về cách sử dụng cụ thể. Cần thông tin rõ hơn về mục tiêu đầu tư của số tiền thuế</t>
  </si>
  <si>
    <t>Nhà nước đã giải thích rõ mục đích và lý do sửa đổi luật thuế, tạo cảm giác minh bạch và công bằng. Tuy nhiên, vẫn cần thêm thông tin về cách thực hiện và hiệu quả.</t>
  </si>
  <si>
    <t>Tác động tài chính tích cực và quy định đơn giản hóa tạo ra sự ủng hộ cho chính sách mới. Tôi sẽ tuân thủ nếu các quy định được áp dụng công bằng.</t>
  </si>
  <si>
    <t>Việc tăng mức giảm trừ gia cảnh và đơn giản hóa biểu thuế có thể làm giảm động lực trốn thuế, nhưng vẫn cần sự giám sát chặt chẽ từ cơ quan thuế để phát hiện các hành vi gian lận.</t>
  </si>
  <si>
    <t>Cơ sở hạ tầng và công nghệ của cơ quan thuế đã phát triển đáng kể trong những năm gần đây, tăng khả năng phát hiện và xử lý trốn thuế.</t>
  </si>
  <si>
    <t>Các quy trình khai báo thuế đơn giản hơn với mức giảm trừ gia cảnh mới, nhưng vẫn cần thời gian để người dân quen thuộc với các thay đổi.</t>
  </si>
  <si>
    <t>Biểu thuế đơn giản hóa đã làm việc tính toán thuế trở nên dễ dàng và nhanh chóng hơn, giảm bớt sự phức tạp đối với người nộp thuế.</t>
  </si>
  <si>
    <t>Tôi tin tưởng rằng cơ quan thuế sẽ thực hiện chính sách một cách công bằng, nhưng vẫn cần thời gian để mọi người làm quen và đánh giá hiệu quả của nó.</t>
  </si>
  <si>
    <t>Mức thuế mới cho phép tôi tiết kiệm đáng kể so với trước đây, tạo cảm giác rằng mức thuế này là công bằng cho thu nhập hiện tại của tôi.</t>
  </si>
  <si>
    <t>Tiết kiệm được số tiền thuế lớn giúp tôi tin tưởng hơn vào việc Nhà nước sẽ sử dụng hiệu quả nguồn lực để cải thiện các dịch vụ công.</t>
  </si>
  <si>
    <t>Chính phủ đã giải thích rõ ràng về mục tiêu của chính sách mới, tạo cảm giác rằng quyết định này được đưa ra một cách minh bạch và hợp lý.</t>
  </si>
  <si>
    <t>Tôi ủng hộ và tuân thủ chính sách mới vì nó mang lại lợi ích đáng kể cho tôi và gia đình, đồng thời đơn giản hóa quy trình khai báo thuế.</t>
  </si>
  <si>
    <t>Nhà nước đã tăng cường các biện pháp quản lý thuế và có nhiều công cụ để phát hiện gian lận, trốn thuế. Tuy nhiên, vẫn cần sự hợp tác của người dân trong việc khai báo chính xác.</t>
  </si>
  <si>
    <t>Cơ quan thuế đã đầu tư vào công nghệ và nhân lực để nâng cao hiệu quả quản lý, tuy nhiên vấn đề nguồn lực vẫn còn hạn chế.</t>
  </si>
  <si>
    <t>Quy trình khai báo thuế hiện nay đơn giản hơn so với trước đây, thuận tiện hơn cho người dân. Tuy nhiên, quy trình này cần cải thiện thêm về mặt kỹ thuật.</t>
  </si>
  <si>
    <t>Bậc thuế mới đơn giản hóa việc tính toán và nộp thuế, dễ thực hiện hơn so với trước đây.</t>
  </si>
  <si>
    <t>Tôi tin rằng cơ quan thuế sẽ công bằng trong việc áp dụng các quy định mới. Tuy nhiên, cần có thêm nhiều biện pháp để tránh gian lận.</t>
  </si>
  <si>
    <t>Mức thuế mới hợp lý và phù hợp với thu nhập của tôi. Việc tăng giảm trừ gia cảnh cũng giúp làm giảm áp lực tài chính.</t>
  </si>
  <si>
    <t>Thuế tôi đóng sẽ được sử dụng hiệu quả để cải thiện dịch vụ công, tuy nhiên cần minh bạch hơn trong việc quản lý chi tiêu ngân sách.</t>
  </si>
  <si>
    <t>Nhà nước đã giải thích rõ ràng về mục đích và nguyên nhân của việc sửa đổi luật thuế. Tuy nhiên, vẫn còn nhiều thông tin cần được cung cấp thêm.</t>
  </si>
  <si>
    <t>Tác động tài chính tích cực từ chính sách mới đã làm tăng niềm tin của tôi vào hệ thống thuế và sự công bằng trong việc đóng thuế. Tôi sẽ tuân thủ chính sách mới.</t>
  </si>
  <si>
    <t>Việc tăng mức giảm trừ gia cảnh và đơn giản hóa biểu thuế có thể làm giảm khả năng phát hiện hành vi gian lận, nhưng cơ quan thuế vẫn cần công nghệ và nguồn lực để quản lý.</t>
  </si>
  <si>
    <t>Nhà nước đã cải tiến các quy định về thuế để giảm rủi ro trốn thuế, tuy nhiên, hiệu quả thực thi còn phụ thuộc vào năng lực quản lý của cơ quan thuế.</t>
  </si>
  <si>
    <t>Quy trình khai báo và làm việc với cơ quan thuế đã đơn giản hơn so với trước đây, nhưng vẫn cần cải thiện nhiều hơn nữa để tiện lợi cho người dân.</t>
  </si>
  <si>
    <t>Biểu thuế mới có ít bậc hơn và mức giảm trừ gia cảnh cao hơn, điều này làm việc tính toán thuế trở nên đơn giản hơn.</t>
  </si>
  <si>
    <t>Nhà nước đã thể hiện sự công bằng trong việc cải cách thuế thông qua các mức giảm trừ gia cảnh và bảng thuế mới.</t>
  </si>
  <si>
    <t>Tôi cảm thấy mức thuế tôi phải đóng là hợp lý, đặc biệt khi so với thu nhập của mình.</t>
  </si>
  <si>
    <t>Việc cải cách thuế có thể giúp sử dụng nguồn lực hiệu quả hơn để cải thiện các dịch vụ công, nhưng còn phụ thuộc vào cách sử dụng thực tế.</t>
  </si>
  <si>
    <t>Nhà nước đã giải thích khá rõ ràng về mục tiêu và lý do của việc cải cách thuế lần này.</t>
  </si>
  <si>
    <t>Sau khi xem xét, tôi ủng hộ chính sách mới vì nó mang lại lợi ích tài chính cho bản thân tôi và đơn giản hóa quy trình khai báo thuế.</t>
  </si>
  <si>
    <t>Trong điều kiện quản lý thuế hiện nay, có nhiều cơ chế phát hiện hành vi gian lận hoặc trốn thuế. Tuy nhiên, vẫn còn những khó khăn trong việc xử lý triệt để.</t>
  </si>
  <si>
    <t>Nhà nước đã đầu tư công nghệ và nguồn lực cho ngành thuế, nhưng hiệu quả thực hiện còn phụ thuộc vào nhiều yếu tố khác như quy định quản lý và năng lực của nhân viên thuế.</t>
  </si>
  <si>
    <t>So với trước đây, các thủ tục khai báo đã đơn giản hơn. Tuy nhiên, vẫn có những rắc rối nhỏ về việc tuân thủ và hiểu các quy định.</t>
  </si>
  <si>
    <t>Biểu thuế mới đơn giản hóa nhiều, dễ dàng nắm bắt và thực hiện hơn so với trước đây. Điều này giúp người dân giảm bớt khó khăn trong việc tính toán và nộp thuế.</t>
  </si>
  <si>
    <t>Tôi tin rằng Nhà nước sẽ công bằng khi áp dụng chính sách mới, nhưng vẫn cần cải thiện thêm về minh bạch thông tin cho người dân.</t>
  </si>
  <si>
    <t>Mức thuế mới phù hợp với thu nhập của tôi và có giảm đáng kể so với trước đây. Điều này thể hiện tính công bằng trong việc đóng góp cho xã hội.</t>
  </si>
  <si>
    <t>Tôi tin số tiền thuế đóng sẽ được sử dụng hiệu quả để cải thiện dịch vụ công, nhưng cần có thêm thông tin về cách sử dụng nguồn thu này.</t>
  </si>
  <si>
    <t>Nhà nước đã giải thích một phần lý do và mục tiêu sửa đổi luật thuế, nhưng vẫn còn nhiều thông tin chưa được cung cấp đầy đủ.</t>
  </si>
  <si>
    <t>Sau khi xem xét tác động tài chính tích cực và sự đơn giản hóa quy trình, tôi ủng hộ và sẽ tuân thủ chính sách mới. Tuy nhiên, cần có thêm thông tin minh bạch về cách sử dụng nguồn thu thuế.</t>
  </si>
  <si>
    <t>Quy định quản lý thuế hiện nay vẫn phức tạp, cần nhiều thời gian và công sức để theo dõi. Tuy nhiên, với sự phát triển của công nghệ, khả năng phát hiện hành vi trốn thuế có thể được cải thiện.</t>
  </si>
  <si>
    <t>Nhà nước đã đầu tư vào công nghệ quản lý thuế, nhưng vẫn cần thời gian để hoàn thiện. Việc xử lý nghiêm các hành vi trốn thuế phụ thuộc nhiều vào thực thi pháp luật.</t>
  </si>
  <si>
    <t>Thủ tục khai báo thuế hiện nay đã đơn giản hơn so với trước đây, nhưng vẫn cần cải tiến thêm để thuận tiện hơn cho người dân.</t>
  </si>
  <si>
    <t>Cách tính thuế và các bậc thuế trong phương án mới dễ hiểu hơn. Việc giảm số bậc thuế giúp việc tính toán trở nên đơn giản hơn.</t>
  </si>
  <si>
    <t>Tôi tin rằng Nhà nước sẽ thực thi chính sách một cách công bằng, nhưng vẫn cần thời gian để chứng minh điều này.</t>
  </si>
  <si>
    <t>Thuế mới có sự giảm trừ gia cảnh lớn hơn và số bậc thuế ít đi nên tôi thấy mức thuế là hợp lý cho thu nhập của mình.</t>
  </si>
  <si>
    <t>Số tiền thuế đóng sẽ được sử dụng để cải thiện dịch vụ công, điều này tạo niềm tin vào việc sử dụng hiệu quả nguồn lực.</t>
  </si>
  <si>
    <t>Nhà nước đã giải thích rõ ràng về mục tiêu của chính sách mới. Tuy nhiên, cần thêm thông tin chi tiết về cách sử dụng số tiền thuế thu được.</t>
  </si>
  <si>
    <t>Tôi ủng hộ và tuân thủ chính sách mới vì nó mang lại lợi ích tài chính cho tôi. Tôi sẽ tiếp tục theo dõi để xem hiệu quả thực tế của chính sách này.</t>
  </si>
  <si>
    <t>Việc tăng mức giảm trừ gia cảnh và đơn giản hóa biểu thuế có thể làm giảm khả năng phát hiện hành vi gian lận, tuy nhiên, với sự tiến bộ của công nghệ, việc xử lý nghiêm các hành vi trốn thuế vẫn là điều cần thiết.</t>
  </si>
  <si>
    <t>Cơ quan thuế đã có nhiều cải tiến trong quản lý và giám sát thuế, tuy nhiên, vẫn cần sự tham gia tích cực của công chúng để phát hiện các hành vi trốn thuế.</t>
  </si>
  <si>
    <t>So với trước đây, quy trình khai báo thuế trở nên đơn giản hơn, thủ tục nhanh chóng và tiện lợi hơn, giúp tôi tiết kiệm thời gian.</t>
  </si>
  <si>
    <t>Biểu thuế mới có ít bậc hơn và dễ hiểu hơn, khiến việc tính toán thuế trở nên thuận tiện hơn cho người dân như tôi.</t>
  </si>
  <si>
    <t>Tôi tin rằng Nhà nước sẽ thực thi chính sách một cách khách quan, công bằng đối với mọi người nộp thuế, dù mức thuế có thay đổi.</t>
  </si>
  <si>
    <t>Với thu nhập hiện tại của tôi, mức thuế mới là hợp lý và công bằng. Việc tăng giảm trừ gia cảnh giúp tiết kiệm chi phí.</t>
  </si>
  <si>
    <t>Nhà nước đã sử dụng số tiền thuế thu được vào các dịch vụ công như y tế và giao thông, tôi tin rằng việc đóng thuế của mình sẽ được sử dụng hiệu quả.</t>
  </si>
  <si>
    <t>Tôi đồng ý với mục tiêu cải cách thuế nhằm đơn giản hóa và công bằng hóa quy trình tính thuế, mặc dù có thể còn nhiều thông tin cần được giải thích rõ hơn.</t>
  </si>
  <si>
    <t>Tổng kết các yếu tố trên, tôi ủng hộ chính sách mới vì nó mang lại lợi ích tài chính và thuận tiện cho tôi, đồng thời công bằng đối với người nộp thuế như tôi.</t>
  </si>
  <si>
    <t>Điều kiện hiện tại của tôi không cho thấy cơ quan thuế có đủ năng lực để phát hiện và xử lý các hành vi gian lận hoặc trốn thuế một cách hiệu quả.</t>
  </si>
  <si>
    <t>Tôi tin rằng với công nghệ hiện đại, Nhà nước đã có thể cải thiện khả năng quản lý thuế và phát hiện các hành vi trốn thuế.</t>
  </si>
  <si>
    <t>Các quy trình khai báo thuế trở nên đơn giản hơn, nhưng vẫn cần thời gian để tôi quen thuộc với chúng.</t>
  </si>
  <si>
    <t>Biểu thuế mới đơn giản hóa các bậc thuế và cách tính thuế, dễ dàng hơn so với trước đây.</t>
  </si>
  <si>
    <t>Tôi tin rằng cơ quan thuế sẽ thực hiện chính sách một cách công bằng đối với mọi người nộp thuế, nhưng vẫn lo ngại về việc quản lý hiệu quả.</t>
  </si>
  <si>
    <t>Thuế mới giảm đáng kể so với trước đây, tôi cảm thấy nó hợp lý hơn và công bằng hơn với thu nhập của mình.</t>
  </si>
  <si>
    <t>Dù thuế thấp hơn nhưng vẫn lo ngại về việc sử dụng hiệu quả số tiền thuế đã đóng vào các dịch vụ công.</t>
  </si>
  <si>
    <t>Nhà nước đã giải thích rõ ràng về mục tiêu của chính sách mới, tôi tin rằng họ đang cố gắng cải thiện hệ thống quản lý thuế.</t>
  </si>
  <si>
    <t>Sau khi xem xét các quyền lợi và nghĩa vụ, tôi ủng hộ và tuân thủ chính sách mới vì nó mang lại lợi ích tài chính cho tôi.</t>
  </si>
  <si>
    <t>Việc tăng giảm trừ gia cảnh và đơn giản hóa biểu thuế có thể làm giảm hành vi gian lận, nhưng việc xử lý nghiêm vẫn cần sự cải tiến trong quản lý.</t>
  </si>
  <si>
    <t>Cơ quan thuế có công nghệ hiện đại để phát hiện gian lận, tuy nhiên hiệu quả thực thi còn phụ thuộc vào nguồn lực và nhân sự.</t>
  </si>
  <si>
    <t>Thủ tục khai báo thuế đơn giản hơn so với trước đây, giảm thời gian và công sức cho người dân.</t>
  </si>
  <si>
    <t>Biểu thuế mới đơn giản hóa bậc thuế từ 7 xuống 5, dễ hiểu và thực hiện hơn, nhưng vẫn cần thêm hướng dẫn cụ thể.</t>
  </si>
  <si>
    <t>Việc tăng giảm trừ gia cảnh công bằng với người dân có thu nhập thấp hơn, tuy nhiên độ minh bạch trong quản lý thuế còn hạn chế.</t>
  </si>
  <si>
    <t>Thuế mới phù hợp với thu nhập của tôi và người cùng trình độ học vấn, giảm gánh nặng tài chính.</t>
  </si>
  <si>
    <t>Tiết kiệm được tiền thuế có thể đầu tư vào dịch vụ công, nhưng hiệu quả sử dụng số tiền này còn phụ thuộc vào quản lý của Nhà nước.</t>
  </si>
  <si>
    <t>Chính phủ đã giải thích rõ mục tiêu cải cách, tuy nhiên cần thêm thông tin về cơ chế thực thi để tăng niềm tin.</t>
  </si>
  <si>
    <t>Chính sách mới giúp giảm gánh nặng thuế và đơn giản hóa quy trình khai báo, tôi sẽ ủng hộ và tuân thủ.</t>
  </si>
  <si>
    <t>Dù luật pháp có quy định rõ ràng, nhưng với thuế TNCN, việc phát hiện gian lận hay trốn thuế vẫn phụ thuộc vào thực tế kiểm soát của cơ quan thuế. Hiện nay, khả năng quản lý và công nghệ chưa thể hoàn toàn đảm bảo sự phát hiện rộng rãi.</t>
  </si>
  <si>
    <t>Cơ quan thuế có nhiều nguồn lực hơn để giám sát, nhưng việc xử lý nghiêm vẫn phụ thuộc vào hiệu quả thực tế trong quản lý và ứng dụng pháp luật.</t>
  </si>
  <si>
    <t>So với trước đây, quy trình khai báo thuế đơn giản hơn, thủ tục rõ ràng, thuận tiện cho người dân. Tuy nhiên, vẫn có thể gặp khó khăn khi sử dụng phần mềm hoặc dịch vụ trực tuyến.</t>
  </si>
  <si>
    <t>Số bậc thuế giảm đi, quy định đơn giản hơn, dễ hiểu và thực hiện thuận lợi. Việc này giúp người dân dễ dàng tính toán và nắm bắt thông tin về thuế.</t>
  </si>
  <si>
    <t>Tôi tin rằng Nhà nước sẽ thực thi chính sách một cách công bằng, mặc dù vẫn có thể gặp vấn đề trong quá trình thực hiện. Việc giảm trừ gia cảnh và bậc thuế mới tạo cảm giác công bằng hơn.</t>
  </si>
  <si>
    <t>Mức thuế mới phù hợp với thu nhập của tôi, giảm gánh nặng và tạo cảm giác công bằng khi đóng góp cho xã hội. Việc tăng mức giảm trừ gia cảnh giúp phân phối thuế một cách công bằng hơn.</t>
  </si>
  <si>
    <t>Tôi tin rằng số tiền thuế tôi đóng sẽ được sử dụng hiệu quả để cải thiện dịch vụ công, mặc dù có thể chưa rõ ràng về chi tiết cụ thể. Việc giảm gánh nặng thuế giúp tạo điều kiện cho đầu tư và phát triển kinh tế.</t>
  </si>
  <si>
    <t>Nhà nước đã giải thích một cách tổng quan về lý do và mục tiêu của việc sửa đổi luật thuế, nhưng cần thêm thông tin chi tiết để tăng sự hiểu biết và lòng tin tưởng.</t>
  </si>
  <si>
    <t>Tôi ủng hộ chính sách mới vì nó giảm gánh nặng thuế cho người dân, tạo cảm giác công bằng hơn. Tuy nhiên, việc tuân thủ hoàn toàn phụ thuộc vào thực tế quản lý và ứng dụng của cơ quan thuế.</t>
  </si>
  <si>
    <t>Dựa trên mức thuế mới, tôi tin rằng việc phát hiện và xử lý nghiêm các hành vi trốn thuế sẽ trở nên dễ dàng hơn với sự cải tiến về quản lý thuế. Thuế được tính dựa trên nhiều thông tin cá nhân hơn, tăng khả năng phát hiện gian lận.</t>
  </si>
  <si>
    <t>Cơ quan thuế có công nghệ và nguồn lực thích hợp để giám sát việc nộp thuế một cách hiệu quả. Việc giảm trừ gia cảnh cao hơn cũng giúp tăng tính minh bạch.</t>
  </si>
  <si>
    <t>Quy trình khai báo thuế trở nên đơn giản hơn, chỉ cần điền thông tin cơ bản và không cần nhiều giấy tờ phức tạp. Tuy nhiên, việc áp dụng vẫn phụ thuộc vào sự tuân thủ của người dân.</t>
  </si>
  <si>
    <t>Bậc thuế được đơn giản hóa giúp tôi dễ dàng tính toán hơn. Mức giảm trừ gia cảnh cao hơn cũng làm cho quy trình trở nên thuận tiện hơn</t>
  </si>
  <si>
    <t>Nhà nước đã công bố rõ ràng về chính sách mới, tuy nhiên tôi vẫn có một chút lo ngại về cách thực thi. Tuy nhiên, mức thuế giảm và lợi ích tài chính cho gia đình làm tăng niềm tin vào sự công bằng của việc này.</t>
  </si>
  <si>
    <t>Mức thuế mới phù hợp với thu nhập của tôi và người phụ thuộc, giảm gánh nặng về mặt tài chính. Tuy nhiên, tôi vẫn cảm thấy cần có thêm thông tin rõ ràng hơn về cách sử dụng số tiền thuế này.</t>
  </si>
  <si>
    <t>Nếu số tiền thuế được sử dụng hiệu quả vào các dịch vụ công như y tế và giao thông, điều đó sẽ làm tăng sự tin tưởng của tôi. Tuy nhiên, cần có thêm minh bạch về cách thức sử dụng.</t>
  </si>
  <si>
    <t>Nhà nước đã giải thích rõ ràng về mục đích và lý do thay đổi thuế, tuy nhiên, tôi vẫn có một chút nghi ngờ về việc thực thi. Tuy nhiên, mức thuế giảm làm tăng sự tin tưởng vào tính minh bạch.</t>
  </si>
  <si>
    <t>Sau khi xem xét các lợi ích tài chính và giảm trừ gia cảnh, tôi ủng hộ chính sách mới và sẽ tuân thủ nó. Tuy nhiên, cần có thêm thông tin về cách sử dụng số tiền thuế này.</t>
  </si>
  <si>
    <t>Dựa trên các quy định quản lý thuế hiện nay, tôi tin rằng hành vi gian lận hoặc trốn thuế sẽ dễ dàng bị phát hiện và xử lý nghiêm. Việc tăng giảm trừ gia cảnh và đơn giản hóa biểu thuế tạo thêm rào cản cho người nộp thuế khôngDeclare thu nhập đúng.</t>
  </si>
  <si>
    <t>Nhà nước đã đầu tư công nghệ hiện đại để theo dõi, quản lý các giao dịch tài chính. Việc này giúp tăng khả năng phát hiện và xử lý nghiêm các hành vi trốn thuế.</t>
  </si>
  <si>
    <t>Thủ tục khai báo thuế trở nên đơn giản hơn so với trước đây, do đó thuận tiện cho người nộp thuế. Việc giảm số bậc thuế cũng giúp quy trình làm việc với cơ quan thuế nhanh chóng và dễ dàng.</t>
  </si>
  <si>
    <t>Cách tính thuế mới đơn giản hơn, dễ hiểu và thực hiện thuận tiện hơn so với trước đây. Việc này giúp người nộp thuế nắm bắt được rõ ràng về mức thuế phải đóng.</t>
  </si>
  <si>
    <t>Tôi tin rằng Nhà nước sẽ thực thi chính sách một cách công bằng, khách quan và đối xử bình đẳng với mọi người nộp thuế. Việc tăng giảm trừ gia cảnh cho người phụ thuộc cũng mang tính công bằng.</t>
  </si>
  <si>
    <t>Theo phương án mới, mức thuế tôi phải đóng là hợp lý và công bằng so với thu nhập của mình. Việc này thể hiện sự công bằng trong việc phân chia gánh nặng thuế giữa các đối tượng nộp thuế.</t>
  </si>
  <si>
    <t>Tôi tin rằng số tiền thuế tôi đóng sẽ được sử dụng hiệu quả để cải thiện dịch vụ công, mang lại lợi ích cho cộng đồng. Việc này tạo nên sự gắn kết giữa người nộp thuế và Nhà nước.</t>
  </si>
  <si>
    <t>Nhà nước đã giải thích rõ ràng về lý do và mục tiêu của việc sửa đổi chính sách thuế, giúp tôi hiểu được lợi ích của chính sách mới. Điều này tạo ra niềm tin vào quyết định quản lý tài chính của Nhà nước.</t>
  </si>
  <si>
    <t>Dựa trên các quyền lợi và nghĩa vụ sau khi xem xét các thay đổi, tôi ủng hộ và tuân thủ chính sách mới hiện nay. Việc này giúp giảm gánh nặng thuế cho cá nhân như tôi.</t>
  </si>
  <si>
    <t>Hiện nay, cơ quan thuế có nhiều công cụ để phát hiện hành vi gian lận như phần mềm theo dõi và hệ thống dữ liệu lớn. Tuy nhiên, vẫn cần cải thiện về mặt quản lý.</t>
  </si>
  <si>
    <t>Cơ quan thuế đã đầu tư vào công nghệ để nâng cao hiệu quả quản lý, nhưng việc phát hiện trốn thuế vẫn phụ thuộc nhiều vào sự phối hợp giữa các cơ quan.</t>
  </si>
  <si>
    <t>Quy trình khai thuế và làm việc với cơ quan thuế trở nên đơn giản hơn, nhưng vẫn cần thêm thời gian để nhân viên thuế cũng như người nộp thuế thích nghi.</t>
  </si>
  <si>
    <t>Biểu thuế mới rõ ràng hơn so với trước đây, giúp hiểu và tính toán dễ dàng hơn. Tuy nhiên, việc thay đổi có thể gây khó khăn cho một số cá nhân không quen thuộc.</t>
  </si>
  <si>
    <t>Tôi tin rằng cơ quan thuế sẽ thực thi chính sách công bằng, nhưng vẫn cần sự minh bạch trong quá trình thực hiện và xử lý.</t>
  </si>
  <si>
    <t>Thuế mới có mức giảm trừ gia cảnh cao hơn, giúp tôi tiết kiệm được một số tiền. Điều này làm tăng niềm tin về tính công bằng của chính sách thuế.</t>
  </si>
  <si>
    <t>Thuốc được sử dụng để cải thiện chất lượng dịch vụ công, nhưng cần theo dõi chi tiêu cụ thể và hiệu quả</t>
  </si>
  <si>
    <t>Nhà nước đã giải thích rõ về mục đích của việc sửa đổi thuế, nhưng có thể làm rõ hơn về cách sử dụng số tiền thu được.</t>
  </si>
  <si>
    <t>Sau khi xem xét các quyền lợi và nghĩa vụ, tôi ủng hộ chính sách mới. Việc giảm thuế giúp tiết kiệm một số tiền đáng kể cho cá nhân như tôi.</t>
  </si>
  <si>
    <t>Nhà nước đã nâng cao mức giảm trừ gia cảnh và đơn giản hóa biểu thuế, làm cho việc phát hiện hành vi gian lận trở nên dễ dàng hơn. Sự minh bạch trong quy định cũng giúp tăng khả năng giám sát.</t>
  </si>
  <si>
    <t>Các cơ quan thuế có đủ công nghệ và nguồn lực để theo dõi giao dịch tài chính cá nhân, từ đó phát hiện các hành vi trốn thuế hiệu quả.</t>
  </si>
  <si>
    <t>So với trước đây, quy trình khai báo thuế trở nên đơn giản hơn. Tuy nhiên, vẫn cần thêm thời gian để quen với quy định mới.</t>
  </si>
  <si>
    <t>Biểu thuế được đơn giản hóa và dễ hiểu hơn, giúp việc tính toán thuế trở nên thuận lợi hơn cho người dân.</t>
  </si>
  <si>
    <t>Tôi tin rằng Nhà nước sẽ thực thi chính sách một cách công bằng, nhưng vẫn có sự nghi ngờ về khả năng thực hiện đầy đủ các quy định mới.</t>
  </si>
  <si>
    <t>Mức thuế mới phù hợp với thu nhập của tôi, tạo cảm giác công bằng và hợp lý.</t>
  </si>
  <si>
    <t>Tôi tin rằng số tiền thuế đóng sẽ được sử dụng hiệu quả để cải thiện chất lượng dịch vụ công</t>
  </si>
  <si>
    <t>Nhà nước đã giải thích rõ ràng về mục tiêu của việc sửa đổi chính sách, nhưng vẫn có nghi ngờ về độ tin cậy trong thực hiện.</t>
  </si>
  <si>
    <t>Sau khi xem xét các quyền lợi và nghĩa vụ, tôi ủng hộ và sẵn lòng tuân thủ chính sách mới. Tuy nhiên, cần thời gian để quen với quy định mới.</t>
  </si>
  <si>
    <t>Nhà nước đã tăng cường công nghệ và quy định quản lý thuế, nhưng vẫn lo ngại về khả năng phát hiện trốn thuế.</t>
  </si>
  <si>
    <t>Cơ quan thuế có tiềm lực công nghệ tốt để kiểm soát, tuy nhiên thực tế việc giám sát toàn diện vẫn gặp khó khăn.</t>
  </si>
  <si>
    <t>Thủ tục đơn giản hơn với nhiều giảm trừ, nhưng vẫn cần thời gian làm quen và có thể còn phức tạp cho người không am hiểu.</t>
  </si>
  <si>
    <t>Bậc thuế ít đi nhưng mức thuế suất cao hơn nên việc tính toán vẫn cần cẩn thận, đơn giản hóa đáng kể so với trước đây.</t>
  </si>
  <si>
    <t>Mặc dù có nhiều cải tiến nhưng tôi vẫn lo ngại về khả năng thực thi công bằng của cơ quan thuế.</t>
  </si>
  <si>
    <t>Thuế giảm đáng kể giúp tôi thấy mức thuế đóng là hợp lý, phù hợp với thu nhập và trách nhiệm thuế.</t>
  </si>
  <si>
    <t>Tôi tin rằng thuế sẽ được sử dụng hiệu quả nhưng chưa có bằng chứng cụ thể về việc này.</t>
  </si>
  <si>
    <t>Nhà nước đã giải thích rõ ràng mục đích cải cách, tôi ủng hộ những thay đổi nhằm công bằng hóa hệ thống thuế.</t>
  </si>
  <si>
    <t>Tác động tài chính tích cực và thủ tục đơn giản hơn khiến tôi sẵn lòng tuân thủ chính sách mới.</t>
  </si>
  <si>
    <t>Dựa trên các quy định quản lý thuế hiện nay, việc phát hiện và xử lý nghiêm hành vi gian lận hoặc trốn thuế có thể khó khăn nhưng không phải hoàn toàn không khả thi. Tuy nhiên, với sự cải cách trong chính sách thuế, tôi tin rằng cơ quan thuế sẽ có thêm công cụ để theo dõi và giám sát hiệu quả hơn.</t>
  </si>
  <si>
    <t>Nhà nước và cơ quan thuế đã đầu tư vào các hệ thống công nghệ thông tin hiện đại, giúp họ có khả năng phát hiện gian lận hoặc trốn thuế nhanh chóng và chính xác hơn. Tuy nhiên, hiệu quả thực tế phụ thuộc nhiều vào việc triển khai và sử dụng công nghệ này.</t>
  </si>
  <si>
    <t>Các thủ tục khai báo thuế hiện tại đã đơn giản hóa so với trước đây, giúp quá trình làm việc với cơ quan thuế dễ dàng hơn. Đặc biệt, việc giảm số bậc thuế từ 7 xuống còn 5 tạo cảm giác thuận tiện hơn.</t>
  </si>
  <si>
    <t>Cách tính và các bậc thuế mới đã đơn giản hóa so với trước đây, giúp tôi dễ dàng nắm bắt và áp dụng. Việc tăng giảm trừ gia cảnh cũng làm cho quy trình trở nên thuận lợi hơn.</t>
  </si>
  <si>
    <t>Tôi tin rằng Nhà nước sẽ thực thi chính sách một cách khách quan và công bằng, nhưng cần thêm thời gian để xem xét hiệu quả thực tế của các biện pháp cải cách này.</t>
  </si>
  <si>
    <t>Mức thuế mới được giảm so với trước đây nên tôi thấy rằng nó là hợp lý đối với thu nhập hiện tại của mình. Việc tăng mức giảm trừ gia cảnh cũng giúp cân nhắc giữa các nhóm người nộp thuế.</t>
  </si>
  <si>
    <t>Tôi tin tưởng số tiền thuế đóng sẽ được sử dụng hiệu quả để cải thiện dịch vụ công, nhưng cần thêm thông tin cụ thể về cách sử dụng nguồn thu từ thuế này.</t>
  </si>
  <si>
    <t>Nhà nước đã cung cấp thông tin chi tiết về lý do và mục tiêu của việc cải cách thuế lần này. Tuy nhiên, cần thêm các giải trình rõ ràng hơn để người dân hiểu được toàn bộ quá trình.</t>
  </si>
  <si>
    <t>Tôi ủng hộ chính sách mới vì nó đã tạo ra lợi ích tài chính cho tôi và gia đình, đồng thời đơn giản hóa quy trình khai báo thuế. Mặc dù có một số lo ngại về việc thực thi, nhưng tổng thể tôi tin rằng nó sẽ cải thiện hệ thống thuế.</t>
  </si>
  <si>
    <t>Nhà nước đã có nhiều biện pháp để chống trốn thuế, nhưng không phải ai cũng tuân thủ.</t>
  </si>
  <si>
    <t>Cơ quan thuế có công nghệ hiện đại nhưng hành vi gian lận vẫn còn tồn tại.</t>
  </si>
  <si>
    <t>Thủ tục khai báo thuế đơn giản hơn, người dân dễ dàng làm việc với cơ quan thuế.</t>
  </si>
  <si>
    <t>Cách tính thuế và bậc thuế mới rõ ràng, dễ hiểu hơn so với trước đây.</t>
  </si>
  <si>
    <t>Tôi tin tưởng rằng Nhà nước sẽ thực thi chính sách một cách công bằng đối với mọi người nộp thuế.</t>
  </si>
  <si>
    <t>Lượng thuế tôi phải đóng giảm, tôi cho rằng mức này là hợp lý.</t>
  </si>
  <si>
    <t>Đối với thu nhập của tôi, số tiền thuế đóng sẽ được sử dụng để cải thiện dịch vụ công.</t>
  </si>
  <si>
    <t>Nhà nước đã giải thích rõ ràng về mục tiêu và lý do sửa đổi luật thuế lần này.</t>
  </si>
  <si>
    <t>Sau khi xem xét, tôi ủng hộ chính sách mới với mức thuế giảm và thủ tục đơn giản hơn.</t>
  </si>
  <si>
    <t>Cơ quan thuế có nhiều biện pháp quản lý, tuy nhiên việc gian lận vẫn có thể xảy ra do thiếu sự giám sát toàn diện.</t>
  </si>
  <si>
    <t>Nhà nước đã đầu tư công nghệ để phát hiện gian lận nhưng không loại trừ khả năng trốn thuế vẫn có thể diễn ra.</t>
  </si>
  <si>
    <t>Thủ tục khai báo thuế đơn giản hơn, tuy nhiên quy trình làm việc với cơ quan thuế vẫn cần cải tiến nhiều.</t>
  </si>
  <si>
    <t>Cách tính thuế rõ ràng và dễ hiểu hơn so với trước đây, giảm bớt sự phức tạp cho người dân.</t>
  </si>
  <si>
    <t>Tôi tin rằng cơ quan thuế sẽ thực thi chính sách công bằng, nhưng vẫn có thể xảy ra sai sót.</t>
  </si>
  <si>
    <t>Mức thuế mới được giảm đáng kể so với trước đây, tôi thấy điều này hợp lý và công bằng cho người dân.</t>
  </si>
  <si>
    <t>Thuế tôi đóng sẽ được sử dụng hiệu quả để cải thiện các dịch vụ công, tạo niềm tin vào việc quản lý ngân sách.</t>
  </si>
  <si>
    <t>Nhà nước đã giải thích rõ về mục tiêu và lý do của chính sách mới, giúp tôi hiểu rõ hơn.</t>
  </si>
  <si>
    <t>Tôi ủng hộ chính sách mới vì nó giảm gánh nặng thuế cho người dân và đơn giản hóa quy trình khai báo.</t>
  </si>
  <si>
    <t>Dù thuế có được đơn giản hóa, tôi vẫn nghi ngờ khả năng phát hiện và xử lý nghiêm túc của cơ quan thuế đối với các hành vi gian lận hoặc trốn thuế.</t>
  </si>
  <si>
    <t>Tôi tin rằng cơ quan thuế có thể nâng cao công nghệ để quản lý, nhưng thực tế vẫn cần thời gian để cải thiện.</t>
  </si>
  <si>
    <t>Quy trình khai báo và làm việc với cơ quan thuế đã đơn giản hơn nhiều so với trước đây nhờ giảm bớt các bước phức tạp.</t>
  </si>
  <si>
    <t>Cách tính thuế trở nên rõ ràng hơn, nhưng tôi vẫn thấy một chút khó khăn khi áp dụng vào thực tế.</t>
  </si>
  <si>
    <t>Tôi tin rằng Nhà nước sẽ thực thi chính sách công bằng cho mọi người nộp thuế, nhưng cần thời gian để chứng minh.</t>
  </si>
  <si>
    <t>Thuế mới này có vẻ hợp lý đối với thu nhập của tôi, giảm trừ gia cảnh lớn hơn trước giúp tiết kiệm đáng kể.</t>
  </si>
  <si>
    <t>Nhiều khoản thuế được sử dụng vào các dịch vụ công quan trọng như y tế và giao thông, nhưng hiệu quả cụ thể vẫn cần thời gian để đánh giá.</t>
  </si>
  <si>
    <t>Tôi đồng ý với việc cải cách thuế này, nhưng cảm giác thực sự về tính minh bạch cần thêm thời gian để hình thành.</t>
  </si>
  <si>
    <t>Tôi ủng hộ và tuân thủ chính sách mới vì nó mang lại lợi ích tài chính rõ ràng cho tôi và gia đình.</t>
  </si>
  <si>
    <t>Nhà nước và cơ quan thuế có nhiều biện pháp kiểm soát, tuy nhiên vẫn còn khả năng trốn thuế khó phát hiện.</t>
  </si>
  <si>
    <t>Công nghệ ngày càng phát triển, nhà nước đã đầu tư vào hệ thống quản lý thuế tiên tiến hơn.</t>
  </si>
  <si>
    <t>Thủ tục khai thuế và giao dịch với cơ quan thuế dễ dàng hơn nhiều so với trước đây.</t>
  </si>
  <si>
    <t>Biểu thuế đơn giản, rõ ràng hơn giúp tôi tính toán nhanh chóng.</t>
  </si>
  <si>
    <t>Mức thuế mới phù hợp với thu nhập của tôi, cho thấy tính công bằng.</t>
  </si>
  <si>
    <t>Thuế đóng góp vào việc cải thiện dịch vụ công và phát triển cơ sở hạ tầng</t>
  </si>
  <si>
    <t>Nhà nước đã giải thích rõ ràng về mục tiêu của chính sách mới, tăng niềm tin.</t>
  </si>
  <si>
    <t>Điều chỉnh thuế phù hợp với thu nhập và giảm gánh nặng tài chính nên tôi ủng hộ.</t>
  </si>
  <si>
    <t>Cơ quan thuế có nhiều công cụ để phát hiện hành vi gian lận, nhưng vẫn cần cải thiện trong thực thi.</t>
  </si>
  <si>
    <t>Việc áp dụng công nghệ số hóa và hệ thống quản lý thuế tự động đã giúp tăng cường khả năng giám sát hiệu quả hơn.</t>
  </si>
  <si>
    <t>Quy trình khai báo thuế trở nên đơn giản, dễ hiểu hơn với việc giảm bớt các bước phức tạp.</t>
  </si>
  <si>
    <t>Biểu thuế mới rõ ràng và dễ dàng thực hiện, giảm được sự phức tạp trong quá trình tính thuế.</t>
  </si>
  <si>
    <t>Tôi tin rằng Nhà nước sẽ thực thi chính sách một cách công bằng, nhưng vẫn cần thêm minh bạch về quy trình thực thi.</t>
  </si>
  <si>
    <t>Mức thuế mới giảm đáng kể so với trước đây, tôi cho rằng điều này là hợp lý và phù hợp với thu nhập của mình.</t>
  </si>
  <si>
    <t>Thuế được sử dụng để cải thiện các dịch vụ công, tôi tin tưởng rằng việc đóng thuế sẽ mang lại lợi ích cho cộng đồng.</t>
  </si>
  <si>
    <t>Nhà nước đã giải thích rõ ràng về mục tiêu và lý do của chính sách mới, tôi cảm thấy minh bạch hơn trong quá trình thực thi.</t>
  </si>
  <si>
    <t>Tôi ủng hộ chính sách mới vì nó mang lại lợi ích tài chính cho cá nhân tôi và cộng đồng.</t>
  </si>
  <si>
    <t>Dù không có thông tin cụ thể về khả năng phát hiện và xử lý, nhưng với mức thuế giảm đáng kể, tôi tin rằng cơ quan thuế sẽ tập trung vào việc quản lý hiệu quả hơn.</t>
  </si>
  <si>
    <t>Việc đơn giản hóa quy trình và tăng cường công nghệ có thể giúp xử lý nhanh chóng hơn các vụ gian lận thuế, nhưng không chắc chắn.</t>
  </si>
  <si>
    <t>Quy trình khai thuế trở nên đơn giản hơn với giảm trừ gia cảnh cao hơn và số bậc thuế ít hơn, tạo thuận tiện cho người nộp thuế.</t>
  </si>
  <si>
    <t>Bậc thuế đơn giản hóa rõ ràng giúp việc tính toán thuế dễ dàng hơn, thuận lợi cho người dân trong việc tuân thủ pháp luật.</t>
  </si>
  <si>
    <t>Việc công bố rõ ràng về mục tiêu và cách thực hiện cải cách thuế tạo nên niềm tin rằng chính sách mới sẽ được áp dụng khách quan, công bằng.</t>
  </si>
  <si>
    <t>Thuế giảm đáng kể so với trước đây, tôi cho rằng mức thuế mới này là công bằng và hợp lý đối với thu nhập hiện tại của mình.</t>
  </si>
  <si>
    <t>Tiết kiệm được số tiền lớn từ thuế sẽ giúp tăng nguồn lực cá nhân cho việc đầu tư và cải thiện chất lượng cuộc sống, đồng thời niềm tin vào sử dụng hiệu quả nguồn thu ngân sách.</t>
  </si>
  <si>
    <t>Chính phủ đã công bố đầy đủ thông tin về mục tiêu và cách thức thực hiện cải cách thuế, tạo sự minh bạch cần thiết đối với người dân.</t>
  </si>
  <si>
    <t>Tiết kiệm được nhiều tiền từ thuế mới giúp tôi ủng hộ và tuân thủ chính sách này</t>
  </si>
  <si>
    <t>Do tôi không biết cụ thể về việc quản lý thuế hiện tại, nhưng tăng mức giảm trừ gia cảnh và đơn giản hóa biểu thuế sẽ giúp ngăn chặn gian lận dễ dàng hơn.</t>
  </si>
  <si>
    <t>Cơ quan thuế có khả năng phát hiện gian lận do tăng mức giảm trừ gia cảnh, điều này làm giảm số người cần kiểm tra, nhưng vẫn cần cải thiện công nghệ để phát hiện trốn thuế.</t>
  </si>
  <si>
    <t>Quy trình khai báo thuế và làm việc với cơ quan thuế đơn giản hơn, không còn nhiều loại giấy tờ phức tạp như trước đây.</t>
  </si>
  <si>
    <t>Biểu thuế đơn giản hóa từ 7 bậc xuống 5 bậc, dễ dàng hiểu và thực hiện hơn.</t>
  </si>
  <si>
    <t>Nhà nước đã tăng mức giảm trừ gia cảnh và đơn giản hóa biểu thuế nên tôi tin rằng họ sẽ công bằng trong việc áp dụng.</t>
  </si>
  <si>
    <t>Mức thuế theo phương án mới là hợp lý với thu nhập của tôi, phù hợp với quy định mới.</t>
  </si>
  <si>
    <t>Thuế đóng vào ngân sách sẽ được sử dụng để cải thiện các dịch vụ công như y tế và đường xá</t>
  </si>
  <si>
    <t>Nhà nước đã giải thích rõ ràng về mục tiêu của việc sửa đổi thuế, nhưng cần làm rõ hơn nữa về cách sử dụng ngân sách thu từ thuế.</t>
  </si>
  <si>
    <t>Tôi ủng hộ và sẽ tuân thủ chính sách mới vì nó đơn giản hóa quy trình và giảm mức thuế cho tôi.</t>
  </si>
  <si>
    <t>Dù không hoàn toàn tin tưởng nhưng với sự quản lý của nhà nước, khả năng phát hiện trốn thuế đã được cải thiện đáng kể.</t>
  </si>
  <si>
    <t>Cơ quan thuế có công nghệ tiên tiến để xử lý và kiểm soát thuế nên tôi tin rằng hành vi gian lận sẽ bị phát hiện.</t>
  </si>
  <si>
    <t>Quy trình khai báo thuế trở nên đơn giản hơn, thủ tục thuận tiện hơn so với trước đây.</t>
  </si>
  <si>
    <t>Số bậc thuế giảm từ 7 xuống 5 khiến việc tính thuế dễ dàng và nhanh chóng hơn.</t>
  </si>
  <si>
    <t>Tôi tin rằng cơ quan thuế sẽ thực thi chính sách một cách công bằng, nhưng vẫn có chút ngờ vực do kinh nghiệm trước đây về vấn đề này.</t>
  </si>
  <si>
    <t>Thuế mới giảm đáng kể so với trước nên tôi cảm thấy mức thuế này là hợp lý đối với thu nhập của mình.</t>
  </si>
  <si>
    <t>Nhà nước đã giải ngân một phần số tiền thuế vào các dịch vụ công, điều này làm tăng niềm tin về việc sử dụng hiệu quả nguồn lực.</t>
  </si>
  <si>
    <t>Đã có sự minh bạch trong quá trình sửa đổi luật, nhưng tôi vẫn mong muốn có thêm thông tin về chi tiết hơn từ phía nhà nước.</t>
  </si>
  <si>
    <t>Chính sách mới cải thiện đáng kể về mặt tài chính và thuận tiện nên tôi sẽ ủng hộ và tuân thủ nó.</t>
  </si>
  <si>
    <t>Dù có công nghệ hỗ trợ, nhưng vẫn lo ngại về khả năng phát hiện trốn thuế.</t>
  </si>
  <si>
    <t>Cơ quan thuế đã cải tiến nhiều trong việc quản lý và xử lý vi phạm, tăng cường khả năng giám sát.</t>
  </si>
  <si>
    <t>Quy trình khai báo thuế đơn giản hơn với mức giảm trừ gia cảnh cao hơn.</t>
  </si>
  <si>
    <t>Bậc thuế ít và rõ ràng hơn, dễ tính toán hơn so với trước đây.</t>
  </si>
  <si>
    <t>Trusted the fairness in tax enforcement as the new regulations seem to be more equitable and transparent.</t>
  </si>
  <si>
    <t>The tax burden is reduced, which seems fair given my income level.</t>
  </si>
  <si>
    <t>Expect the taxes paid to be used for public services that will benefit society and improve quality of life.</t>
  </si>
  <si>
    <t>The government has clearly communicated the reasons behind this tax reform, which builds trust in the process.</t>
  </si>
  <si>
    <t>Support and comply with new tax regulations due to their fairness and potential benefits for society.</t>
  </si>
  <si>
    <t>Tôi đồng ý, vì mức giảm trừ gia cảnh và đơn giản hóa biểu thuế sẽ làm tăng khả năng quản lý và phát hiện hành vi trốn thuế.</t>
  </si>
  <si>
    <t>Nhà nước đã đầu tư công nghệ để cải thiện việc quản lý thuế, do đó tôi tin rằng họ có đủ khả năng để xử lý nghiêm các trường hợp gian lận hoặc trốn thuế.</t>
  </si>
  <si>
    <t>Quy trình khai báo thuế và làm việc với cơ quan thuế đã trở nên đơn giản hơn, giúp tôi tiết kiệm thời gian và công sức.</t>
  </si>
  <si>
    <t>Tôi tin rằng Nhà nước sẽ công bằng trong việc thực thi chính sách thuế mới, vì mức thuế tôi phải đóng đã giảm đáng kể.</t>
  </si>
  <si>
    <t>Mức thuế mới là hợp lý cho thu nhập của tôi và người phụ thuộc, do đó tôi thấy nó là công bằng.</t>
  </si>
  <si>
    <t>Tiền thuế mà tôi đóng sẽ được sử dụng hiệu quả để cải thiện dịch vụ công, như y tế và đường xá.</t>
  </si>
  <si>
    <t>Nhà nước đã giải thích rõ ràng về mục tiêu của việc sửa đổi thuế, nên tôi cảm thấy tin tưởng hơn trong chính sách mới.</t>
  </si>
  <si>
    <t>Việc tăng mức giảm trừ gia cảnh và đơn giản hóa biểu thuế có thể làm giảm hành vi gian lận, nhưng vẫn cần sự giám sát chặt chẽ từ các cơ quan chức năng.</t>
  </si>
  <si>
    <t>Cơ quan thuế đã đầu tư công nghệ để theo dõi và xử lý nhanh chóng các hành vi trốn thuế, tuy nhiên vẫn cần thời gian để hoàn thiện hệ thống.</t>
  </si>
  <si>
    <t>Thủ tục khai báo thuế trở nên đơn giản hơn với việc giảm số bậc thuế, giúp người dân dễ dàng tuân thủ.</t>
  </si>
  <si>
    <t>Cách tính thuế mới dễ hiểu và thực hiện nhanh chóng hơn so với trước đây, nhờ đó tiết kiệm thời gian cho người nộp thuế.</t>
  </si>
  <si>
    <t>Tôi tin rằng cơ quan thuế sẽ công bằng trong việc áp dụng chính sách mới, nhưng vẫn cần thời gian để kiểm chứng hiệu quả thực tế.</t>
  </si>
  <si>
    <t>Mức thuế mới là hợp lý với thu nhập của tôi và tăng giảm trừ gia cảnh giúp tôi tiết kiệm được một khoản tiền đáng kể.</t>
  </si>
  <si>
    <t>Tăng giảm trừ gia cảnh và đơn giản hóa biểu thuế có thể làm cho việc sử dụng số tiền thuế đóng hiệu quả hơn, nhưng vẫn cần thời gian để chứng minh.</t>
  </si>
  <si>
    <t>Nhà nước đã giải thích rõ ràng về mục tiêu của chính sách mới, tôi thấy đây là một bước tiến tích cực.</t>
  </si>
  <si>
    <t>Sau khi xem xét các quyền lợi và nghĩa vụ, tôi đồng ý với phương án thuế mới và sẽ tuân thủ</t>
  </si>
  <si>
    <t>Dựa trên các quy định quản lý thuế hiện nay, tôi cho rằng hành vi gian lận hoặc trốn thuế sẽ bị phát hiện và xử lý nghiêm. Cơ quan thuế có nhiều nguồn lực để giám sát.</t>
  </si>
  <si>
    <t>Cơ quan thuế được đầu tư công nghệ và nhân sự, đảm bảo khả năng phát hiện, xử lý các hành vi trốn thuế hiệu quả.</t>
  </si>
  <si>
    <t>Thủ tục khai báo thuế đơn giản hơn, dễ thực hiện. Việc giảm trừ gia cảnh lớn hơn cũng thuận lợi cho người dân.</t>
  </si>
  <si>
    <t>Biểu thuế mới đơn giản hóa bậc thuế từ 7 xuống 5, dễ hiểu và dễ thực hiện hơn.</t>
  </si>
  <si>
    <t>Tôi tin rằng Nhà nước sẽ thực thi chính sách một cách công bằng. Các mức giảm trừ gia cảnh tăng lên làm cho tôi cảm thấy được đối xử công bằng.</t>
  </si>
  <si>
    <t>Mức thuế mới phù hợp với thu nhập của tôi, không quá cao cũng không quá thấp. Điều này làm tăng niềm tin về tính công bằng của chính sách.</t>
  </si>
  <si>
    <t>Thuế đóng góp vào cải thiện dịch vụ công, như y tế và đường xá, tạo ra lợi ích cho tôi và cộng đồng</t>
  </si>
  <si>
    <t>Nhà nước đã giải thích rõ ràng về mục tiêu của việc sửa đổi thuế, tăng sự minh bạch.</t>
  </si>
  <si>
    <t>Tôi ủng hộ và tuân thủ chính sách mới vì lợi ích tài chính và niềm tin vào hệ thống thuế hiện tại.</t>
  </si>
  <si>
    <t>Dù tăng cường quản lý thuế nhưng với quy định giảm trừ gia cảnh cao, tôi vẫn lo ngại khả năng phát hiện gian lận.</t>
  </si>
  <si>
    <t>Cơ quan thuế có công nghệ hiện đại nên khả năng phát hiện trốn thuế sẽ tăng, nhưng tôi vẫn nghi ngờ về hiệu quả thực tế.</t>
  </si>
  <si>
    <t>So với trước đây, quy trình khai báo thuế đơn giản hơn nhiều, đặc biệt là việc tính thuế rõ ràng hơn.</t>
  </si>
  <si>
    <t>Bậc thuế ít hơn nhưng vẫn đủ để phân loại thu nhập của tôi, dễ dàng áp dụng và hiểu</t>
  </si>
  <si>
    <t>Tôi tin rằng Nhà nước sẽ công tâm trong việc thực thi chính sách mới.</t>
  </si>
  <si>
    <t>Thuế giảm đáng kể, tôi cảm thấy mức thuế này là hợp lý cho thu nhập của mình</t>
  </si>
  <si>
    <t>Tăng cường đầu tư công và cải thiện hạ tầng có thể mang lại lợi ích dài hạn cho cộng đồng.</t>
  </si>
  <si>
    <t>Chính phủ đã giải thích rõ ràng về mục tiêu cải cách, tôi tin rằng đây là bước tiến tích cực.</t>
  </si>
  <si>
    <t>Sau khi xem xét tác động tài chính và sự đơn giản hóa quy trình, tôi ủng hộ và sẽ tuân thủ chính sách mới</t>
  </si>
  <si>
    <t>Dù thu nhập cao và có nhiều quy định mới, tôi vẫn tin vào khả năng phát hiện hành vi gian lận hoặc trốn thuế của cơ quan thuế.</t>
  </si>
  <si>
    <t>Cơ quan thuế đã đầu tư công nghệ để tăng cường giám sát và xử lý các hành vi trốn thuế, nên tôi tin rằng họ có đủ khả năng phát hiện vấn đề.</t>
  </si>
  <si>
    <t>Quy trình khai báo thuế trở nên đơn giản hơn với mức giảm trừ gia cảnh cao và số bậc thuế ít đi, thuận tiện cho người dân.</t>
  </si>
  <si>
    <t>Cách tính thuế mới đơn giản hóa nhiều so với trước đây, dễ hiểu và thực hiện nhanh chóng hơn.</t>
  </si>
  <si>
    <t>Nhà nước đã công bố chính sách minh bạch và rõ ràng, tôi tin rằng họ sẽ thực thi một cách khách quan, công bằng với mọi người nộp thuế.</t>
  </si>
  <si>
    <t>Thuế mới chỉ chiếm một phần nhỏ thu nhập hàng tháng của tôi, nên mức thuế này là hợp lý cho người có thu nhập như tôi.</t>
  </si>
  <si>
    <t>Tôi tin rằng số tiền thuế đóng sẽ được sử dụng hiệu quả để cải thiện dịch vụ công và hạ tầng cơ sở xã hội.</t>
  </si>
  <si>
    <t>Nhà nước đã giải thích rõ ràng về mục tiêu của việc sửa đổi Luật Thuế TNCN, tôi cảm thấy mình có thể tin tưởng vào điều đó.</t>
  </si>
  <si>
    <t>Tôi ủng hộ và sẽ tuân thủ chính sách mới vì nó mang lại lợi ích tài chính cho cá nhân tôi và cải thiện quy trình khai báo thuế.</t>
  </si>
  <si>
    <t>Điều kiện quản lý thuế hiện tại có thể không hoàn hảo nhưng với sự phát triển của công nghệ, khả năng phát hiện hành vi trốn thuế đã tăng lên. Tuy nhiên, vẫn cần các biện pháp mạnh mẽ hơn để ngăn chặn gian lận.</t>
  </si>
  <si>
    <t>Cơ quan thuế có thể sử dụng công nghệ tốt để theo dõi và phát hiện hành vi trốn thuế. Tuy nhiên, vẫn cần sự tham gia của cộng đồng để phát hiện các trường hợp gian lận.</t>
  </si>
  <si>
    <t>Quy trình khai báo thuế đã đơn giản hơn nhiều so với trước đây, giảm bớt thời gian chờ đợi và thủ tục rườm rà. Điều này làm cho quá trình trở nên tiện lợi hơn.</t>
  </si>
  <si>
    <t>Các bậc thuế mới đơn giản hơn nhưng vẫn phản ánh sự chênh lệch về thu nhập, tạo ra tính công bằng trong việc phân bổ thuế. Người có thu nhập cao hơn sẽ đóng nhiều hơn so với người có thu nhập thấp.</t>
  </si>
  <si>
    <t>Các quy định mới có vẻ khách quan và công bằng nhưng vẫn cần thêm thời gian để thực thi. Hiệu quả của chính sách mới phụ thuộc vào cách mà nó được áp dụng.</t>
  </si>
  <si>
    <t>Thuế theo phương án mới là hợp lý với thu nhập hiện tại của tôi, giảm trừ gia cảnh lớn hơn giúp tiết kiệm tiền. Tuy nhiên, vẫn cần cải thiện thêm để giảm gian lận.</t>
  </si>
  <si>
    <t>Thuế đóng góp vào việc cải thiện dịch vụ công là điều tự hào. Hiệu quả sử dụng số tiền thuế phụ thuộc vào quản lý và thực thi của chính phủ.</t>
  </si>
  <si>
    <t>Nhà nước đã giải thích rõ về mục tiêu cải cách nhưng cần thêm thông tin chi tiết về cách thức thực hiện để tăng sự minh bạch.</t>
  </si>
  <si>
    <t>Sau khi tính toán tác động tài chính và xem xét các thay đổi, tôi cho rằng chính sách mới có lợi cho người dân. Tôi sẽ tuân thủ và ủng hộ nó.</t>
  </si>
  <si>
    <t>Tăng cường quản lý thuế có thể giúp phát hiện hành vi gian lận, nhưng thực tế chưa chắc đã đủ.</t>
  </si>
  <si>
    <t>Cơ quan thuế cần thêm công nghệ và nguồn lực để giám sát hiệu quả hơn</t>
  </si>
  <si>
    <t>Thủ tục đơn giản hóa, nhưng vẫn có thể phức tạp đối với người không thông thạo về thuế.</t>
  </si>
  <si>
    <t>Bậc thuế giảm đi giúp tính toán dễ dàng hơn</t>
  </si>
  <si>
    <t>Niềm tin vào sự công bằng của cơ quan thuế cần thời gian để xây dựng, mặc dù cải cách đã tốt lên.</t>
  </si>
  <si>
    <t>Đối với thu nhập hiện tại, mức thuế mới là hợp lý và công bằng</t>
  </si>
  <si>
    <t>Tiết kiệm chi phí thuế có thể được sử dụng hiệu quả cho dịch vụ công</t>
  </si>
  <si>
    <t>Giải thích về chính sách mới chưa rõ ràng và đầy đủ như mong đợi</t>
  </si>
  <si>
    <t>Dù có những ưu điểm, nhưng cần thêm thời gian để đánh giá hiệu quả thực tế của chính sách.</t>
  </si>
  <si>
    <t>Những quy định quản lý thuế hiện nay dường như đã được cải thiện, tuy nhiên việc phát hiện và xử lý hành vi gian lận vẫn còn khó khăn do thiếu thông tin cá nhân.</t>
  </si>
  <si>
    <t>Cơ quan thuế có khả năng và công nghệ để phát hiện các hành vi trốn thuế, tuy nhiên hiệu quả thực tế phụ thuộc vào việc thực thi quy định.</t>
  </si>
  <si>
    <t>Thủ tục khai báo thuế và làm việc với cơ quan thuế đã đơn giản hơn trước đây, nhưng vẫn còn một số bước phức tạp cần cải thiện.</t>
  </si>
  <si>
    <t>Cách tính thuế mới đơn giản và dễ hiểu hơn so với trước đây, giảm bớt gánh nặng cho người dân trong việc thực hiện các quy định thuế.</t>
  </si>
  <si>
    <t>Tôi tin rằng Nhà nước sẽ thực thi chính sách một cách công bằng đối với mọi người nộp thuế, nhưng vẫn có sự nghi ngờ về vấn đề này do kinh nghiệm cá nhân.</t>
  </si>
  <si>
    <t>Mức thuế mới là hợp lý và công bằng cho thu nhập của tôi, giảm gánh nặng tài chính so với trước đây nhờ mức giảm trừ gia cảnh tăng lên.</t>
  </si>
  <si>
    <t>Tôi tin rằng số tiền thuế đóng sẽ được sử dụng hiệu quả để cải thiện các dịch vụ công như y tế và đường xá, tuy nhiên còn nhiều câu hỏi về việc quản lý chi tiêu của Nhà nước.</t>
  </si>
  <si>
    <t>Nhà nước đã giải thích rõ ràng về mục tiêu của chính sách mới, nhưng vẫn có nghi ngờ về mức độ minh bạch trong quá trình thực hiện.</t>
  </si>
  <si>
    <t>Tôi ủng hộ và tuân thủ chính sách mới vì lợi ích tài chính và sự đơn giản hóa quy định thuế đã mang lại cho tôi, đồng thời tin tưởng vào việc sử dụng hiệu quả số tiền thuế đóng.</t>
  </si>
  <si>
    <t>Dựa trên thông tin, các quy định quản lý thuế hiện tại có nhiều cải tiến, nhưng tôi vẫn giữ một phần nghi ngờ về khả năng phát hiện trốn thuế.</t>
  </si>
  <si>
    <t>Nhà nước và cơ quan thuế đã đầu tư công nghệ mới để phát hiện trốn thuế, nhưng hiệu quả thực tế còn phụ thuộc vào cách triển khai.</t>
  </si>
  <si>
    <t>Thủ tục khai thuế trở nên đơn giản hơn với mức giảm trừ gia cảnh cao và số bậc thuế ít hơn. Tuy nhiên, vẫn cần thời gian để mọi người làm quen.</t>
  </si>
  <si>
    <t>Cách tính thuế mới dễ hiểu hơn và các bậc thuế rõ ràng. Điều này giúp tôi dễ dàng xác định mức thuế phải nộp.</t>
  </si>
  <si>
    <t>Tôi tin rằng Nhà nước sẽ thực thi chính sách một cách công bằng, nhưng vẫn có sự đa dạng trong nhận thức về vấn đề này.</t>
  </si>
  <si>
    <t>Thuế mới được tính dựa trên thu nhập của tôi và mức giảm trừ gia cảnh cao hơn. Điều này cho thấy mức thuế là công bằng đối với người có thu nhập như tôi.</t>
  </si>
  <si>
    <t>Tôi tin rằng số tiền thuế đóng sẽ được sử dụng hiệu quả để cải thiện dịch vụ công, nhưng kết quả thực tế phụ thuộc vào quản lý chi tiêu của Nhà nước.</t>
  </si>
  <si>
    <t>Nhà nước đã giải thích rõ ràng về mục tiêu và lý do sửa đổi thuế, giúp tôi hiểu hơn về chính sách mới.</t>
  </si>
  <si>
    <t>Tôi ủng hộ chính sách mới vì nó giảm gánh nặng tài chính cho người có thu nhập như tôi. Tôi sẽ tuân thủ các quy định mới.</t>
  </si>
  <si>
    <t>Hiện nay, với sự phát triển của công nghệ và hệ thống quản lý thuế hiện đại, tôi tin rằng hành vi gian lận hay trốn thuế sẽ dễ dàng bị phát hiện. Công nghệ đã giúp cải thiện đáng kể khả năng giám sát từ xa.</t>
  </si>
  <si>
    <t>Cơ quan thuế có đội ngũ nhân viên chuyên nghiệp và công nghệ tiên tiến, họ có đủ khả năng để xử lý nghiêm các hành vi trốn thuế.</t>
  </si>
  <si>
    <t>Quy trình khai báo thuế trở nên đơn giản hơn với nhiều bước giảm đi. Việc này làm cho thủ tục thuận tiện và nhanh chóng hơn so với trước đây.</t>
  </si>
  <si>
    <t>Số bậc thuế đã được rút gọn, quy trình tính thuế trở nên dễ hiểu và thực hiện đơn giản hơn, giảm bớt rắc rối cho người dân.</t>
  </si>
  <si>
    <t>Cơ quan thuế đang cố gắng cải thiện công bằng trong việc đánh giá thu nhập để áp dụng mức thuế. Mức thuế mới có thể coi là công bằng hơn so với trước đây.</t>
  </si>
  <si>
    <t>Mức thuế mới giúp tôi tiết kiệm được 50,000 VNĐ/tháng, điều này cho thấy mức thuế hiện tại hợp lý đối với thu nhập của tôi</t>
  </si>
  <si>
    <t>Thuế tôi đóng sẽ được sử dụng hiệu quả để cải thiện dịch vụ công, điều này tạo niềm tin rằng việc đóng thuế không chỉ giúp nhà nước mà còn cho lợi ích chung.</t>
  </si>
  <si>
    <t>Nhà nước đã cung cấp thông tin rõ ràng về lý do và mục tiêu của việc sửa đổi thuế, điều này làm tăng niềm tin vào quyết định của họ.</t>
  </si>
  <si>
    <t>Mức thuế mới giúp tiết kiệm chi phí và đơn giản hóa quy trình khai báo, tôi sẽ ủng hộ và tuân thủ chính sách mới</t>
  </si>
  <si>
    <t>Dù có hệ thống quản lý thuế hiện đại, tôi vẫn nghi ngờ về khả năng phát hiện trốn thuế hiệu quả. Cơ quan thuế cần nhiều nguồn lực để giám sát.</t>
  </si>
  <si>
    <t>Khả năng công nghệ của Nhà nước có thể tốt nhưng không chắc chắn rằng mọi cơ quan thuế đều được đầu tư đầy đủ.</t>
  </si>
  <si>
    <t>Quy trình khai báo và làm việc với cơ quan thuế trở nên đơn giản hơn, thuận tiện nhiều so với trước đây do giảm số bậc thuế.</t>
  </si>
  <si>
    <t>Ngưỡng chịu thuế mới rõ ràng hơn, dễ hiểu hơn so với biểu thuế cũ phức tạp. Tuy nhiên, việc tính thuế vẫn có thể bị sai nếu không cẩn thận.</t>
  </si>
  <si>
    <t>Tôi tin rằng Nhà nước sẽ thực thi chính sách một cách công bằng nhưng cần thêm giám sát từ các tổ chức xã hội để đảm bảo.</t>
  </si>
  <si>
    <t>Nhà nước đã tăng giảm trừ gia cảnh, giảm gánh nặng thuế cho tôi. Điều này thể hiện tính công bằng trong việc phân bổ thu nhập thuế.</t>
  </si>
  <si>
    <t>Tiền thuế tôi đóng sẽ được sử dụng để cải thiện dịch vụ công, tuy nhiên hiệu quả quản lý còn phụ thuộc vào chính sách chi tiêu của Nhà nước.</t>
  </si>
  <si>
    <t>Nhà nước đã giải thích rõ về mục đích và nguyên tắc của việc sửa đổi thuế nhưng cần thêm thông tin cụ thể về cách sử dụng nguồn thu ngân sách.</t>
  </si>
  <si>
    <t>Tôi ủng hộ chính sách mới vì nó giúp giảm gánh nặng thuế cho tôi. Tuy nhiên, tôi vẫn mong muốn có thêm minh bạch về việc sử dụng tiền thuế.</t>
  </si>
  <si>
    <t>Mặc dù tăng cường quản lý thuế là tốt nhưng với quy mô lớn của nền kinh tế, việc phát hiện trốn thuế vẫn còn khó khăn.</t>
  </si>
  <si>
    <t>Nhiều công nghệ hiện đại đã được áp dụng trong quản lý thuế nên khả năng phát hiện gian lận tăng lên đáng kể.</t>
  </si>
  <si>
    <t>Quy trình khai báo và làm việc với cơ quan thuế trở nên đơn giản hơn do giảm bớt các bước phức tạp trước đây.</t>
  </si>
  <si>
    <t>Biểu thuế mới có ít bậc, dễ dàng tính toán và rõ ràng hơn so với trước đây, giúp người dân dễ hiểu</t>
  </si>
  <si>
    <t>Tôi tin rằng chính phủ sẽ thực thi các chính sách một cách khách quan và công bằng nhưng không thể chắc chắn hoàn toàn.</t>
  </si>
  <si>
    <t>Mức thuế mới giảm đáng kể so với trước đây, tạo cảm giác công bằng cho người nộp thuế như tôi</t>
  </si>
  <si>
    <t>Tài chính nhà nước sẽ được sử dụng hiệu quả hơn để cải thiện các dịch vụ công, điều này tăng niềm tin vào việc quản lý chi tiêu của chính phủ.</t>
  </si>
  <si>
    <t>Chính phủ đã giải thích rõ ràng về mục tiêu và lợi ích của việc sửa đổi thuế nhưng không biết nhiều về quá trình thực thi.</t>
  </si>
  <si>
    <t>Tôi ủng hộ chính sách mới do giảm gánh nặng thuế, nâng cao hiệu quả quản lý tài chính nhà nước và cải thiện thủ tục làm việc với cơ quan thuế.</t>
  </si>
  <si>
    <t>Thuế TNCN có nhiều thay đổi, nhưng tôi vẫn tin rằng cơ quan thuế sẽ phát hiện và xử lý nghiêm các hành vi gian lận trốn thuế.</t>
  </si>
  <si>
    <t>Nhà nước đã đầu tư công nghệ để quản lý thuế hiệu quả hơn, nên khả năng phát hiện và xử lý nghiêm là có thể.</t>
  </si>
  <si>
    <t>So với trước đây, quy trình làm việc với cơ quan thuế trở nên đơn giản hơn, thủ tục khai báo cũng thuận tiện hơn.</t>
  </si>
  <si>
    <t>Biểu thuế mới có ít bậc hơn và dễ hiểu hơn so với trước đây, giúp tính toán nhanh chóng và chính xác hơn.</t>
  </si>
  <si>
    <t>Nhà nước đã công bố rõ ràng về mục tiêu sửa đổi luật thuế lần này, tạo sự tin tưởng trong việc thực thi chính sách.</t>
  </si>
  <si>
    <t>Mức thuế tôi phải đóng giảm đáng kể so với trước đây, tôi thấy điều này là hợp lý đối với thu nhập của mình.</t>
  </si>
  <si>
    <t>Thuế mà tôi đóng sẽ được sử dụng để cải thiện dịch vụ công và hạ tầng cơ sở, tạo niềm tin vào việc sử dụng tiền thuế một cách hiệu quả.</t>
  </si>
  <si>
    <t>Nhà nước đã minh bạch về lý do và mục tiêu của việc sửa đổi thuế lần này, tạo sự tin tưởng trong việc thực thi chính sách.</t>
  </si>
  <si>
    <t>Sau khi xem xét tất cả các quyền lợi và nghĩa vụ, tôi ủng hộ và tuân thủ chính sách mới hiện nay.</t>
  </si>
  <si>
    <t>Việc tăng giảm trừ gia cảnh và đơn giản hóa biểu thuế có thể làm giảm khả năng phát hiện hành vi trốn thuế, nhưng cơ quan thuế vẫn có đủ công nghệ để theo dõi.</t>
  </si>
  <si>
    <t>Nhà nước đã đầu tư vào công nghệ thông tin nên có thể xử lý và giám sát hiệu quả hơn so với trước đây</t>
  </si>
  <si>
    <t>Thủ tục khai thuế trở nên đơn giản hơn, nhưng vẫn cần thời gian quen thuộc.</t>
  </si>
  <si>
    <t>Các bậc thuế giảm đi và rõ ràng hơn, dễ hiểu và thực hiện</t>
  </si>
  <si>
    <t>Nhà nước đã công bố rõ ràng về mục tiêu cải cách nên tôi tin vào sự khách quan trong việc thực thi.</t>
  </si>
  <si>
    <t>Thuế mới thấp hơn so với trước đây, tôi thấy điều này là hợp lý đối với thu nhập của mình</t>
  </si>
  <si>
    <t>Nhà nước đã giải thích rõ về mục tiêu cải cách thuế và tôi tin số tiền đóng sẽ được sử dụng hiệu quả.</t>
  </si>
  <si>
    <t>Các thông tin về cải cách thuế đều minh bạch, nhưng cần thêm thông tin về việc sử dụng nguồn thu ngân sách mới</t>
  </si>
  <si>
    <t>Tôi ủng hộ chính sách mới vì nó giảm gánh nặng tài chính và tăng sự thuận tiện trong khai báo thuế.</t>
  </si>
  <si>
    <t>Hiện nay, cơ quan thuế có nhiều công cụ và nguồn lực để phát hiện gian lận và trốn thuế. Tuy nhiên, việc thực thi cần được cải thiện hơn nữa.</t>
  </si>
  <si>
    <t>Cơ quan thuế đã đầu tư vào công nghệ và nhân lực để tăng cường quản lý thuế, nhưng vẫn còn không đủ để phát hiện tất cả các hành vi gian lận.</t>
  </si>
  <si>
    <t>Quy trình khai báo thuế trở nên đơn giản hơn với việc giảm số bậc thuế và nâng mức giảm trừ gia cảnh. Tuy nhiên, vẫn có thể cần thêm cải tiến về phần mềm khai thuế.</t>
  </si>
  <si>
    <t>Cách tính thuế mới đơn giản hóa và dễ hiểu hơn so với trước đây, giúp tôi dễ dàng áp dụng trong thực tế.</t>
  </si>
  <si>
    <t>Tôi tin rằng cơ quan thuế sẽ công tâm khi thực thi chính sách mới. Các quy định rõ ràng về mục tiêu của việc sửa đổi thuế.</t>
  </si>
  <si>
    <t>Mức thuế mới phù hợp với thu nhập của tôi và số người phụ thuộc, cho thấy sự công bằng trong quá trình tính thuế.</t>
  </si>
  <si>
    <t>Tôi tin rằng số tiền thuế đóng sẽ được sử dụng hiệu quả để cải thiện các dịch vụ công. Tuy nhiên, việc minh bạch về cách sử dụng nguồn thu còn cần cải thiện.</t>
  </si>
  <si>
    <t>Nhà nước đã giải thích rõ ràng mục tiêu và lý do của việc sửa đổi thuế, nhưng có thể cần thêm thông tin chi tiết về quy trình thực thi.</t>
  </si>
  <si>
    <t>Tôi ủng hộ chính sách mới vì nó mang lại lợi ích tài chính và sự công bằng. Tuy nhiên, vẫn cần cải thiện trong việc minh bạch sử dụng nguồn thu thuế.</t>
  </si>
  <si>
    <t>Dù quy định quản lý thuế đã được cải thiện, nhưng với mức thu nhập và giảm trừ gia cảnh cao như hiện nay, tôi không thấy có nhiều rủi ro về việc trốn thuế. Nhà nước vẫn cần tăng cường kiểm tra.</t>
  </si>
  <si>
    <t>Công nghệ hiện đại đã giúp cải thiện khả năng phát hiện hành vi trốn thuế, nhưng vẫn cần thêm các biện pháp quản lý hiệu quả hơn để đảm bảo công bằng.</t>
  </si>
  <si>
    <t>Quy trình làm việc với cơ quan thuế dễ dàng hơn nhiều so với trước đây. Các thủ tục khai báo thuế cũng đơn giản và thuận tiện hơn.</t>
  </si>
  <si>
    <t>Các bậc thuế mới đơn giản hơn, dễ hiểu và thực hiện nhanh chóng hơn. Điều này giúp giảm bớt gánh nặng về mặt quản lý của người nộp thuế.</t>
  </si>
  <si>
    <t>Tôi tin rằng Nhà nước sẽ thực thi chính sách một cách công bằng, nhưng vẫn cần thêm minh bạch trong quá trình giám sát và xử phạt vi phạm</t>
  </si>
  <si>
    <t>Thuế mới được tính dựa trên mức thu nhập của tôi là hợp lý. Mức giảm trừ gia cảnh cao giúp tôi không phải đóng thuế.</t>
  </si>
  <si>
    <t>Số tiền thuế tôi đóng sẽ được sử dụng hiệu quả để cải thiện các dịch vụ công, như y tế và giao thông</t>
  </si>
  <si>
    <t>Nhà nước đã giải thích rõ ràng về mục tiêu và lý do của việc sửa đổi thuế. Điều này giúp tôi hiểu được giá trị của chính sách mới.</t>
  </si>
  <si>
    <t>Tác động tài chính tích cực từ chính sách mới khiến tôi ủng hộ và tuân thủ, đồng thời tin tưởng vào sự công bằng trong việc thực thi thuế</t>
  </si>
  <si>
    <t>Như một công dân, tôi tin rằng hệ thống quản lý thuế hiện tại đã có nhiều cải tiến và trang bị công nghệ hiện đại để phát hiện hành vi gian lận. Tuy nhiên, vẫn cần sự giám sát chặt chẽ từ phía người nộp thuế để đảm bảo tính minh bạch.</t>
  </si>
  <si>
    <t>Cơ quan thuế có đủ khả năng và công nghệ để phát hiện hành vi trốn thuế. Hệ thống quản lý thuế đã được cải thiện đáng kể, giảm thiểu khả năng gian lận.</t>
  </si>
  <si>
    <t>So với trước đây, quy trình làm việc với cơ quan thuế đơn giản hơn, đặc biệt là về mặt thủ tục khai báo. Tuy nhiên, vẫn cần thêm thời gian để người dân quen thuộc và tận dụng.</t>
  </si>
  <si>
    <t>Cách tính thuế mới đơn giản hóa nhiều so với trước đây, giảm bớt sự phức tạp cho người nộp thuế. Điều này giúp việc thực hiện trở nên dễ dàng hơn.</t>
  </si>
  <si>
    <t>Tôi tin rằng cơ quan thuế sẽ thực thi chính sách một cách khách quan và công bằng. Sự thay đổi về mức giảm trừ gia cảnh và số bậc thuế tạo ra sự công bằng hơn cho người dân.</t>
  </si>
  <si>
    <t>Mức thuế mới mà tôi phải đóng là hợp lý, so với thu nhập của mình. Mức thuế giảm giúp tôi cảm thấy được ưu đãi và công bằng hơn.</t>
  </si>
  <si>
    <t>Số tiền thuế mà tôi đóng sẽ được sử dụng hiệu quả để cải thiện dịch vụ công. Điều này tạo niềm tin rằng thuế của mình không chỉ là thu nhập cho Nhà nước, mà còn góp phần xây dựng xã hội.</t>
  </si>
  <si>
    <t>Nhà nước đã giải thích rõ ràng về mục tiêu và lý do thay đổi chính sách thuế. Điều này giúp tôi hiểu được việc cải cách nhằm mục đích gì và tại sao nó quan trọng.</t>
  </si>
  <si>
    <t>Tôi ủng hộ và tuân thủ chính sách mới, cảm thấy rằng những lợi ích mà nó mang lại cho người dân là đáng giá. Mức thuế giảm giúp tôi tiết kiệm tiền vào các nhu cầu khác.</t>
  </si>
  <si>
    <t>Tăng mức giảm trừ gia cảnh và đơn giản hóa biểu thuế có thể làm giảm khả năng phát hiện hành vi trốn thuế, nhưng cơ quan thuế vẫn có các biện pháp quản lý khác để kiểm soát.</t>
  </si>
  <si>
    <t>Cơ quan thuế đã đầu tư vào công nghệ và nguồn lực để tăng cường việc theo dõi và xử lý hành vi trốn thuế, nên khả năng phát hiện có thể vẫn cao.</t>
  </si>
  <si>
    <t>Thủ tục khai báo thuế đơn giản hơn với mức giảm trừ gia cảnh mới và số bậc thuế ít đi, làm cho quá trình này dễ dàng hơn nhiều so với trước đây.</t>
  </si>
  <si>
    <t>Biểu thuế đơn giản hóa và các bậc thuế rõ ràng hơn giúp người dân dễ hiểu và thực hiện quy trình tính thuế của mình</t>
  </si>
  <si>
    <t>Nhà nước đã công bố thông tin đầy đủ về lý do và mục tiêu của việc sửa đổi luật thuế, tạo niềm tin rằng chính sách mới sẽ được thực thi công bằng.</t>
  </si>
  <si>
    <t>Với mức thuế thấp hơn và giảm trừ gia cảnh lớn hơn, tôi cảm thấy mình đóng góp công bằng cho xã hội</t>
  </si>
  <si>
    <t>Thuế sẽ được sử dụng hiệu quả để cải thiện dịch vụ công như y tế, giao thông,... giúp đời sống của người dân tốt lên</t>
  </si>
  <si>
    <t>Nhà nước đã giải thích rõ ràng về mục tiêu và lý do của việc sửa đổi thuế, tạo sự minh bạch trong quá trình thực thi chính sách.</t>
  </si>
  <si>
    <t>Tôi ủng hộ và tuân thủ chính sách mới vì nó mang lại lợi ích tài chính cho tôi và giúp cải thiện dịch vụ công</t>
  </si>
  <si>
    <t>Việc tăng mức giảm trừ gia cảnh và đơn giản hóa biểu thuế có thể làm giảm hành vi gian lận, nhưng tôi vẫn lo ngại về khả năng thực thi của cơ quan thuế.</t>
  </si>
  <si>
    <t>Nhà nước đã đầu tư vào công nghệ để phát hiện và xử lý các hành vi trốn thuế, tuy nhiên hiệu quả thực tế còn phụ thuộc nhiều vào sự giám sát và quản lý của cơ quan thuế.</t>
  </si>
  <si>
    <t>So với trước đây, quy trình làm việc với cơ quan thuế trở nên đơn giản hơn. Tuy nhiên, tôi vẫn gặp một số khó khăn trong quá trình khai báo thuế.</t>
  </si>
  <si>
    <t>Biểu thuế mới đơn giản hóa nhiều so với trước đây, giúp người dân dễ dàng tính toán và thực hiện.</t>
  </si>
  <si>
    <t>Tôi tin rằng cơ quan thuế sẽ cố gắng thực thi công bằng, nhưng vẫn có nguy cơ bị thiên vị do quy mô lớn của họ.</t>
  </si>
  <si>
    <t>Theo mức thuế mới, tôi thấy mình đóng một số tiền hợp lý so với thu nhập hiện tại và khả năng tài chính của bản thân.</t>
  </si>
  <si>
    <t>Thuế đóng góp vào sự phát triển chung của đất nước, nhưng tôi hy vọng cơ quan thuế sẽ sử dụng hiệu quả hơn số tiền này để phục vụ người dân.</t>
  </si>
  <si>
    <t>Tôi đồng ý với mục tiêu cải cách thuế nhằm đơn giản hóa quy trình và công bằng hóa biểu thuế, nhưng cần có thêm thông tin chi tiết về việc thực hiện.</t>
  </si>
  <si>
    <t>Trong tổng thể, tôi ủng hộ chính sách mới vì nó mang lại lợi ích cho người dân. Tuy nhiên, vẫn cần cải thiện trong việc quản lý và thực thi.</t>
  </si>
  <si>
    <t>Hiện nay, quy định quản lý thuế đã được cải thiện đáng kể với các công cụ phát hiện gian lận và trốn thuế tốt hơn. Tuy nhiên, tôi vẫn giữ một thái độ thận trọng vì việc thực thi hiệu quả phụ thuộc vào khả năng của cơ quan thuế.</t>
  </si>
  <si>
    <t>Nhà nước đã đầu tư công nghệ hiện đại để phát hiện gian lận và xử lý nghiêm minh, tôi thấy khá yên tâm về điều này.</t>
  </si>
  <si>
    <t>Quy trình khai báo thuế nay đơn giản hơn nhiều so với trước đây, đặc biệt là với sự giảm trừ gia cảnh lớn hơn. Điều này làm cho việc thực hiện thủ tục trở nên thuận tiện và nhanh chóng.</t>
  </si>
  <si>
    <t>Các bậc thuế đã được đơn giản hóa từ 7 xuống còn 5, khiến việc tính toán và nộp thuế trở nên dễ dàng hơn nhiều so với trước đây.</t>
  </si>
  <si>
    <t>Tôi tin rằng cơ quan thuế sẽ thực thi chính sách một cách công bằng vì mức thuế giảm đáng kể và quy định rõ ràng hơn giúp việc tính toán trở nên dễ dàng.</t>
  </si>
  <si>
    <t>Mức thuế mới phù hợp với thu nhập của tôi, giảm trừ gia cảnh lớn hơn làm cho mức thuế phải đóng thấp hơn so với trước đây, tạo cảm giác công bằng.</t>
  </si>
  <si>
    <t>Thuế mà tôi đóng sẽ được sử dụng hiệu quả để cải thiện dịch vụ công và hạ tầng cơ sở, điều này tăng niềm tin của tôi vào việc sử dụng hợp lý nguồn thu thuế.</t>
  </si>
  <si>
    <t>Nhà nước đã giải thích rõ ràng về mục tiêu và lý do của việc sửa đổi thuế, tạo nên sự minh bạch cần thiết</t>
  </si>
  <si>
    <t>Tôi ủng hộ chính sách mới vì nó mang lại lợi ích rõ ràng cho tôi với mức thuế giảm đáng kể và quy định đơn giản hơn.</t>
  </si>
  <si>
    <t>Việc tăng mức giảm trừ gia cảnh và đơn giản hóa biểu thuế có thể làm giảm hành vi gian lận, nhưng vẫn còn nhiều yếu tố phụ thuộc vào sự tuân thủ của cá nhân.</t>
  </si>
  <si>
    <t>Cơ quan thuế đã cải thiện khả năng phát hiện và xử lý các hành vi trốn thuế thông qua công nghệ mới, tuy nhiên, vẫn cần thời gian để hoàn thiện.</t>
  </si>
  <si>
    <t>So với trước đây, quy trình làm việc với cơ quan thuế đã đơn giản hơn, thủ tục khai báo thuế cũng thuận tiện hơn nhiều.</t>
  </si>
  <si>
    <t>Biểu thuế mới có ít bậc hơn và rõ ràng hơn so với trước đây, dễ dàng cho người dân tính toán và hiểu biết về thuế của mình.</t>
  </si>
  <si>
    <t>Tôi tin rằng Nhà nước sẽ thực hiện chính sách này một cách công bằng, nhưng vẫn cần thời gian để kiểm chứng.</t>
  </si>
  <si>
    <t>Với mức thuế mới, tôi thấy mình đóng góp đúng mức cho xã hội và quốc gia, điều này tạo nên sự công bằng trong việc chia sẻ trách nhiệm tài chính.</t>
  </si>
  <si>
    <t>Thuế của tôi sẽ được sử dụng để cải thiện dịch vụ công như y tế và giao thông, điều này làm tăng niềm tin vào hệ thống thuế mới.</t>
  </si>
  <si>
    <t>Nhà nước đã giải thích rõ ràng về mục tiêu của việc sửa đổi thuế, nhưng cần tiếp tục minh bạch hơn nữa để mọi người hiểu và ủng hộ.</t>
  </si>
  <si>
    <t>Sau khi xem xét các quyền lợi và nghĩa vụ, tôi sẽ ủng hộ và tuân thủ chính sách mới vì nó mang lại nhiều lợi ích cho tôi cũng như cộng đồng.</t>
  </si>
  <si>
    <t>Nhà nước đã có nhiều biện pháp mạnh mẽ để ngăn chặn gian lận và trốn thuế, cùng với sự phát triển của công nghệ giám sát hiện đại.</t>
  </si>
  <si>
    <t>Cơ quan thuế có đủ nguồn lực và công nghệ để theo dõi hoạt động kinh tế và phát hiện gian lận thuế hiệu quả.</t>
  </si>
  <si>
    <t>Quy trình khai báo thuế đơn giản hơn, đặc biệt là với sự hỗ trợ trực tuyến, giảm bớt rắc rối cho người dân.</t>
  </si>
  <si>
    <t>Biểu thuế mới rõ ràng và dễ hiểu, giúp việc tính toán thuế trở nên dễ dàng hơn so với trước đây.</t>
  </si>
  <si>
    <t>Nếu Nhà nước thực thi chính sách một cách công bằng và minh bạch, tôi sẽ tin tưởng vào sự khách quan trong quản lý thuế.</t>
  </si>
  <si>
    <t>Thuế mới giảm đáng kể cho tôi, điều này thể hiện mức độ công bằng hơn giữa các đối tượng có thu nhập tương tự như tôi.</t>
  </si>
  <si>
    <t>Tài nguyên thuế được sử dụng hiệu quả để cải thiện dịch vụ công và phúc lợi xã hội, tạo niềm tin vào mục tiêu phát triển bền vững của Nhà nước.</t>
  </si>
  <si>
    <t>Nhà nước đã giải thích rõ ràng về mục đích và lý do của việc sửa đổi thuế, tăng sự minh bạch trong quản lý tài chính.</t>
  </si>
  <si>
    <t>Dù còn nhiều điều tôi không đồng ý, nhưng mức thuế giảm đáng kể tạo động lực cho tôi tuân thủ pháp luật về thuế mới.</t>
  </si>
  <si>
    <t>Cơ quan thuế có đủ khả năng phát hiện hành vi trốn thuế, nhưng chưa chắc chắn về việc xử lý nghiêm. Thuế mới đã giảm đáng kể nên niềm tin vào sự công bằng tăng lên.</t>
  </si>
  <si>
    <t>Nhà nước và cơ quan thuế có công nghệ hiện đại để phát hiện hành vi gian lận, nhưng cần cải thiện hơn nữa về quy trình xử lý.</t>
  </si>
  <si>
    <t>Quy trình khai báo thuế đơn giản hơn, thuận tiện cho người dân. Tuy nhiên, vẫn có thể gặp khó khăn khi chưa quen với các thay đổi mới.</t>
  </si>
  <si>
    <t>Bậc thuế và cách tính thuế đơn giản hóa nên dễ thực hiện hơn, giúp người dân hiểu rõ quy định.</t>
  </si>
  <si>
    <t>Sau khi giảm thuế, tôi thấy sự công bằng tăng lên. Cơ quan thuế xử lý khách quan đối với mọi người nộp thuế.</t>
  </si>
  <si>
    <t>Mức thuế mới phù hợp với thu nhập của tôi và nhiều người trong cùng nhóm tuổi</t>
  </si>
  <si>
    <t>Thuế đóng sẽ được sử dụng để cải thiện các dịch vụ công, nâng cao chất lượng cuộc sống.</t>
  </si>
  <si>
    <t>Nhà nước đã giải thích rõ ràng về mục tiêu của việc sửa đổi thuế. Tuy nhiên, cần thêm thông tin chi tiết hơn để người dân hiểu rõ.</t>
  </si>
  <si>
    <t>Sau khi xem xét các quyền lợi và nghĩa vụ mới, tôi ủng hộ và sẽ tuân thủ chính sách này vì nó mang lại nhiều lợi ích cho bản thân</t>
  </si>
  <si>
    <t>Nếu việc tăng giảm trừ gia cảnh và đơn giản hóa biểu thuế tạo ra sự công bằng, tôi tin rằng các cơ quan thuế sẽ có đủ khả năng phát hiện gian lận. Tuy nhiên, do còn nhiều rủi ro về quản lý, nên chỉ ở mức trung bình.</t>
  </si>
  <si>
    <t>Nhà nước đã có những cải cách mạnh mẽ trong thuế và quy định quản lý, với công nghệ hiện đại, việc phát hiện gian lận sẽ dễ dàng hơn. Do đó, tôi đồng ý cao.</t>
  </si>
  <si>
    <t>Quy trình làm việc với cơ quan thuế đơn giản và tiện lợi hơn, nhưng vẫn cần thêm thời gian để thích nghi.</t>
  </si>
  <si>
    <t>Bậc thuế đã giảm từ 7 xuống 5 bậc, khiến việc tính thuế dễ dàng hơn. Tuy nhiên, mức độ đơn giản hóa còn có thể được cải thiện.</t>
  </si>
  <si>
    <t>Nhà nước đã công bố rõ ràng về mục tiêu và cách thực hiện cải cách thuế, tôi tin rằng sẽ được thực thi công bằng. Tuy nhiên, do không phải là người nắm rõ luật thuế nên vẫn còn nghi ngờ.</t>
  </si>
  <si>
    <t>Mức thuế mới phù hợp với thu nhập của tôi và mức giảm trừ gia cảnh tăng lên đã giúp tôi tiết kiệm được một số tiền đáng kể. Điều này tạo ra sự công bằng đối với bản thân.</t>
  </si>
  <si>
    <t>Việc sử dụng số tiền thuế đóng vào các dịch vụ công có thể cải thiện chất lượng cuộc sống, nhưng tôi vẫn chưa nhìn thấy hiệu quả cụ thể.</t>
  </si>
  <si>
    <t>Nhà nước đã minh bạch về việc cải cách thuế, giải thích rõ ràng mục tiêu và nguyên nhân. Tuy nhiên, cần thêm thời gian để nhìn nhận kết quả thực tế.</t>
  </si>
  <si>
    <t>Tôi ủng hộ chính sách mới vì nó tạo ra sự công bằng và giúp tôi tiết kiệm được tiền thuế. Mặc dù vẫn có nghi ngại về hiệu quả sử dụng số tiền thuế, nhưng tôi sẽ tuân thủ theo.</t>
  </si>
  <si>
    <t>Dù có các quy định quản lý thuế hiện nay, tôi cho rằng việc phát hiện trốn thuế vẫn còn khó khăn. Tuy nhiên, với sự tiến bộ của công nghệ, khả năng kiểm soát đang được cải thiện.</t>
  </si>
  <si>
    <t>Nhà nước và cơ quan thuế đã đầu tư vào hệ thống công nghệ thông tin, điều này giúp phát hiện trốn thuế nhanh chóng hơn. Tuy nhiên, vẫn còn phụ thuộc vào sự tuân thủ của cá nhân.</t>
  </si>
  <si>
    <t>Quy trình khai thuế đã đơn giản hơn với việc giảm số bậc thuế và tăng mức giảm trừ gia cảnh. Điều này giúp thuận tiện cho người nộp thuế.</t>
  </si>
  <si>
    <t>Biểu thuế mới đơn giản hóa quá trình tính thuế, dễ hiểu và thực hiện hơn so với trước đây.</t>
  </si>
  <si>
    <t>Tôi tin rằng Nhà nước sẽ thực thi chính sách một cách công tâm. Tuy nhiên, việc kiểm soát trốn thuế vẫn còn là thách thức.</t>
  </si>
  <si>
    <t>Tác động tài chính tích cực từ chính sách mới làm tăng niềm tin về tính công bằng của hệ thống thuế.</t>
  </si>
  <si>
    <t>Thuế tôi phải đóng giảm, đồng nghĩa với việc số tiền đóng sẽ được sử dụng hiệu quả hơn để cải thiện dịch vụ công.</t>
  </si>
  <si>
    <t>Nhà nước đã giải thích rõ ràng về mục tiêu của chính sách mới. Tuy nhiên, việc minh bạch hoàn toàn vẫn cần được duy trì.</t>
  </si>
  <si>
    <t>Tôi ủng hộ và sẽ tuân thủ chính sách mới vì tác động tài chính tích cực và sự đơn giản hóa quy trình thuế.</t>
  </si>
  <si>
    <t>Nếu cơ quan thuế có khả năng và công nghệ tốt, việc phát hiện hành vi gian lận hoặc trốn thuế sẽ dễ dàng hơn. Tuy nhiên, vẫn cần sự hỗ trợ của công nghệ để tăng hiệu quả quản lý.</t>
  </si>
  <si>
    <t>Nhà nước và cơ quan thuế có đủ khả năng và công nghệ hiện tại nên tôi tin rằng họ sẽ phát hiện và xử lý nghiêm các hành vi trốn thuế.</t>
  </si>
  <si>
    <t>So với trước đây, quy trình khai báo thuế trở nên đơn giản hơn. Việc giảm số bậc thuế cũng giúp quá trình làm việc với cơ quan thuế nhanh chóng và dễ dàng hơn.</t>
  </si>
  <si>
    <t>Số bậc thuế đã giảm từ 7 xuống còn 5, điều này đơn giản hóa cách tính thuế và dễ hiểu hơn cho người dân.</t>
  </si>
  <si>
    <t>Tôi tin rằng Nhà nước sẽ thực thi chính sách một cách khách quan và công bằng vì tôi đã nhận được lợi ích từ việc giảm trừ gia cảnh.</t>
  </si>
  <si>
    <t>Mức thuế mới là hợp lý với thu nhập của tôi. Tôi có thể tiết kiệm được một khoản tiền đáng kể nên cảm thấy công bằng.</t>
  </si>
  <si>
    <t>Đồng ý, số tiền thuế mà tôi đóng sẽ được sử dụng hiệu quả để cải thiện các dịch vụ công như y tế và giao thông.</t>
  </si>
  <si>
    <t>Tôi thấy Nhà nước đã giải thích rõ ràng về mục tiêu của việc sửa đổi thuế, điều này tăng sự tin tưởng vào chính sách mới.</t>
  </si>
  <si>
    <t>Sau khi xem xét các quyền lợi và nghĩa vụ, tôi ủng hộ và tuân thủ chính sách mới vì nó mang lại nhiều lợi ích cho tôi.</t>
  </si>
  <si>
    <t>Tăng cường quản lý thuế và công nghệ hiện đại giúp phát hiện hành vi gian lận, tuy nhiên khả năng thực thi vẫn phụ thuộc vào nguồn lực của cơ quan thuế.</t>
  </si>
  <si>
    <t>Cơ sở dữ liệu và công nghệ mới có thể tăng hiệu quả trong việc quản lý thuế, giảm thiểu trốn thuế.</t>
  </si>
  <si>
    <t>Quy trình khai báo và giao tiếp với cơ quan thuế được đơn giản hóa, thủ tục trở nên thuận tiện hơn.</t>
  </si>
  <si>
    <t>Bậc thuế giảm đi và tính toán thuế trở nên dễ hiểu hơn, tiết kiệm thời gian cho người nộp thuế.</t>
  </si>
  <si>
    <t>Nhà nước đã cố gắng thực thi công bằng trong việc sửa đổi luật thuế, giảm gánh nặng tài chính cho người dân.</t>
  </si>
  <si>
    <t>Với mức thu nhập của tôi, mức thuế mới được xem là hợp lý và công bằng.</t>
  </si>
  <si>
    <t>Tiết kiệm tiền thuế có thể giúp cải thiện chất lượng dịch vụ công, như y tế và giao thông.</t>
  </si>
  <si>
    <t>Đã có nhiều giải thích về mục tiêu của chính sách mới, mặc dù còn một số thắc mắc về cách sử dụng nguồn thu thuế.</t>
  </si>
  <si>
    <t>Việc giảm gánh nặng tài chính và đơn giản hóa quy trình nộp thuế khiến tôi sẵn lòng ủng hộ và tuân thủ.</t>
  </si>
  <si>
    <t>Hiện nay, cơ quan thuế đã có nhiều biện pháp kiểm soát mạnh mẽ và công nghệ phát triển, do đó hành vi gian lận hoặc trốn thuế dễ dàng bị phát hiện.</t>
  </si>
  <si>
    <t>Nhà nước và cơ quan thuế đã đầu tư vào công nghệ thông tin để tăng cường quản lý thuế, giúp nâng cao hiệu quả trong việc xử lý các hành vi trốn thuế.</t>
  </si>
  <si>
    <t>So với trước đây, quy trình khai báo thuế và giao tiếp với cơ quan thuế đơn giản hơn nhiều, giảm bớt rườm rà, thủ tục phức tạp.</t>
  </si>
  <si>
    <t>Biểu thuế mới có ít bậc hơn, dễ hiểu và thực hiện nhanh chóng hơn so với trước đây, giúp người dân tính toán và nộp thuế thuận lợi hơn.</t>
  </si>
  <si>
    <t>Nhà nước đã công bố rõ ràng về các quy định mới và có nhiều biện pháp quản lý chặt chẽ, tôi tin rằng việc thực thi sẽ khách quan và công bằng.</t>
  </si>
  <si>
    <t>Thuế mới được tính dựa trên thu nhập và mức giảm trừ gia cảnh, tôi thấy là hợp lý với mức thu nhập của mình. Phương án mới mang lại sự công bằng hơn so với trước đây.</t>
  </si>
  <si>
    <t>Với việc đóng thuế theo phương án mới, tôi tin rằng số tiền sẽ được sử dụng hiệu quả để cải thiện các dịch vụ công như y tế và giao thông.</t>
  </si>
  <si>
    <t>Nhà nước đã giải thích rõ ràng về mục đích của việc sửa đổi chính sách thuế, tôi cảm thấy hài lòng với sự minh bạch này.</t>
  </si>
  <si>
    <t>Sau khi xem xét các quyền lợi và nghĩa vụ, tôi ủng hộ và sẽ tuân thủ chính sách mới vì nó có lợi cho tôi và mang lại nhiều thuận tiện hơn.</t>
  </si>
  <si>
    <t>Dựa trên các quy định quản lý thuế hiện tại, tôi tin rằng hành vi gian lận hoặc trốn thuế sẽ dễ dàng bị phát hiện. Tuy nhiên, do chưa có đủ dữ liệu thực tế về việc xử lý nghiêm, nên điểm số không quá cao.</t>
  </si>
  <si>
    <t>Nhà nước và cơ quan thuế đã đầu tư công nghệ để giám sát và phát hiện trốn thuế. Với hệ thống thông tin điện tử ngày càng phát triển, khả năng xử lý nghiêm các hành vi trốn thuế sẽ tăng lên.</t>
  </si>
  <si>
    <t>So với trước đây, quy trình làm việc với cơ quan thuế đã đơn giản hơn. Các thủ tục khai báo thuế cũng trở nên tiện lợi hơn, nhưng vẫn có thể cải thiện.</t>
  </si>
  <si>
    <t>Biểu thuế mới đơn giản hóa các bậc thuế, giúp người dân dễ hiểu và thực hiện hơn. Tuy nhiên, việc áp dụng cần thời gian để mọi người quen với hệ thống mới.</t>
  </si>
  <si>
    <t>Tôi tin rằng Nhà nước sẽ thực thi chính sách một cách khách quan và công tâm. Các quy định mới có thể tạo ra sự công bằng trong việc đánh thuế</t>
  </si>
  <si>
    <t>Mức thuế mới được giảm, tôi thấy hợp lý với thu nhập hiện tại của mình.</t>
  </si>
  <si>
    <t>Thuế đóng góp vào việc cải thiện dịch vụ công. Tuy nhiên, hiệu quả sử dụng ngân sách cần được giám sát chặt chẽ hơn</t>
  </si>
  <si>
    <t>Nhà nước đã giải thích rõ ràng về mục tiêu và lý do của chính sách mới. Điều này tạo niềm tin cho người dân.</t>
  </si>
  <si>
    <t>Sau khi xem xét các quyền lợi, tôi ủng hộ chính sách mới hiện tại. Các thay đổi mang lại lợi ích về mặt tài chính và thủ tục thuế</t>
  </si>
  <si>
    <t>Dựa trên thông tin, mức giảm trừ gia cảnh và đơn giản hóa biểu thuế chưa đủ để đánh giá khả năng phát hiện gian lận của cơ quan thuế.</t>
  </si>
  <si>
    <t>Cơ sở hạ tầng công nghệ của cơ quan thuế có thể tốt hơn, nhưng không chắc chắn về việc họ đã tận dụng tối đa để phát hiện trốn thuế.</t>
  </si>
  <si>
    <t>Quy trình khai báo và làm việc với cơ quan thuế dễ dàng hơn do đơn giản hóa biểu thuế, giảm số bước cần thực hiện.</t>
  </si>
  <si>
    <t>Biểu thuế mới đơn giản hóa nhiều so với trước đây, giúp dễ dàng tính toán và thực hiện hơn.</t>
  </si>
  <si>
    <t>Việc giảm trừ gia cảnh cao hơn và số bậc thuế ít đi có thể tạo niềm tin về sự công bằng trong việc áp dụng chính sách.</t>
  </si>
  <si>
    <t>Với thu nhập như hiện tại, mức thuế mới phù hợp và công bằng, giảm gánh nặng tài chính cho cá nhân.</t>
  </si>
  <si>
    <t>Thuận lợi hơn khi đóng thuế, tin rằng số tiền đóng sẽ được sử dụng hiệu quả để cải thiện dịch vụ công</t>
  </si>
  <si>
    <t>Thông tin về việc sửa đổi thuế được giải thích một cách rõ ràng, minh bạch.</t>
  </si>
  <si>
    <t>Tác động tài chính tích cực và giảm trừ gia cảnh cao hơn đã làm tăng sự ủng hộ cho chính sách mới.</t>
  </si>
  <si>
    <t>Nhà nước và cơ quan thuế có nhiều biện pháp quản lý, tuy nhiên vẫn còn tiềm ẩn nguy cơ trốn thuế do thiếu thông tin cá nhân.</t>
  </si>
  <si>
    <t>Việc sử dụng công nghệ hiện đại giúp cải thiện khả năng phát hiện gian lận nhưng cần thời gian để triển khai rộng rãi và hiệu quả.</t>
  </si>
  <si>
    <t>Quy trình làm việc với cơ quan thuế đơn giản hơn, thủ tục khai báo thuận tiện hơn so với trước đây.</t>
  </si>
  <si>
    <t>Biểu thuế được đơn giản hóa từ 7 bậc xuống còn 5 bậc, dễ hiểu và thực hiện nhanh chóng hơn.</t>
  </si>
  <si>
    <t>Tôi tin rằng việc cải cách thuế là công bằng đối với mọi người nộp thuế theo thu nhập của họ.</t>
  </si>
  <si>
    <t>Thuế mới giảm đáng kể so với trước, tôi thấy mức này hợp lý và phù hợp với thu nhập hiện tại của mình.</t>
  </si>
  <si>
    <t>Tiền thuế đóng góp vào việc cải thiện hạ tầng và dịch vụ công, tôi tin rằng chúng được sử dụng hiệu quả.</t>
  </si>
  <si>
    <t>Nhà nước đã giải thích rõ ràng về mục tiêu của chính sách mới, tuy nhiên vẫn có thể cần thêm thông tin chi tiết hơn.</t>
  </si>
  <si>
    <t>Tôi ủng hộ và tuân thủ chính sách mới vì nó giúp giảm gánh nặng tài chính và thuận tiện trong việc khai báo thuế.</t>
  </si>
  <si>
    <t>Dù có công nghệ hỗ trợ, nhưng hành vi gian lận vẫn còn và khó phát hiện hoàn toàn. Tuy nhiên, với mức thuế giảm mạnh, tôi không nghĩ vấn đề này sẽ nghiêm trọng.</t>
  </si>
  <si>
    <t>Cơ quan thuế đã làm tốt trong việc áp dụng công nghệ để quản lý nhưng vẫn cần cải thiện hơn nữa về cơ sở dữ liệu và khả năng phát hiện gian lận.</t>
  </si>
  <si>
    <t>So với trước đây, quy trình khai báo thuế đơn giản hơn nhiều. Cách tính thuế cũng dễ hiểu hơn, giảm được sự phức tạp đối với người dân.</t>
  </si>
  <si>
    <t>Bậc thuế đã được đơn giản hóa từ 7 bậc xuống 5, làm cho việc tính toán và thực hiện dễ dàng hơn nhiều so với trước đây.</t>
  </si>
  <si>
    <t>Tôi tin rằng Nhà nước sẽ thực thi chính sách một cách công bằng vì mức thuế giảm mạnh đã thể hiện sự đối xử bình đẳng giữa các nhóm thu nhập.</t>
  </si>
  <si>
    <t>Mức thuế mới phù hợp với tình hình tài chính cá nhân, giúp tôi tiết kiệm được nhiều tiền và thấy rằng mình đóng góp công bằng cho Nhà nước.</t>
  </si>
  <si>
    <t>Tiền thuế mà tôi đóng sẽ được sử dụng hiệu quả để cải thiện các dịch vụ công như y tế và giao thông, từ đó nâng cao chất lượng cuộc sống của tôi.</t>
  </si>
  <si>
    <t>Nhà nước đã giải thích rõ ràng về việc tăng mức giảm trừ gia cảnh và đơn giản hóa bậc thuế, cho thấy sự minh bạch trong quá trình cải cách.</t>
  </si>
  <si>
    <t>Chính sách mới có lợi cho tôi và giúp tôi tiết kiệm được tiền bạc, từ đó tôi sẽ ủng hộ và tuân thủ chính sách này.</t>
  </si>
  <si>
    <t>Dù các quy định quản lý thuế hiện nay có thể phát hiện hành vi gian lận hoặc trốn thuế, nhưng tôi cho rằng việc tăng giảm trừ gia cảnh và đơn giản hóa biểu thuế sẽ làm giảm khả năng phát hiện đối với người dân bình thường.</t>
  </si>
  <si>
    <t>Tôi tin tưởng Nhà nước có đủ công nghệ để quản lý và theo dõi nhưng không chắc chắn về khả năng phát hiện hành vi trốn thuế ở mức độ cá nhân.</t>
  </si>
  <si>
    <t>Hệ thống khai báo thuế trở nên đơn giản hơn, tôi thấy thuận tiện hơn so với trước đây. Tuy nhiên, vẫn cần cải thiện thêm về mặt kỹ thuật để việc làm thủ tục nhanh chóng và chính xác.</t>
  </si>
  <si>
    <t>Cách tính thuế mới đơn giản và dễ hiểu hơn nhiều so với hệ thống cũ, tôi thấy việc này sẽ giúp người dân hiểu rõ hơn về quy trình và số tiền cần nộp.</t>
  </si>
  <si>
    <t>Tôi tin rằng Nhà nước sẽ thực thi chính sách một cách công bằng đối với mọi người, dù mức thuế đã giảm nhưng tôi vẫn coi trọng việc đóng góp vào dịch vụ công của đất nước.</t>
  </si>
  <si>
    <t>Mức thuế mới có vẻ hợp lý cho thu nhập hiện tại của tôi, giảm trừ gia cảnh và các bậc thuế đơn giản đã giúp tôi hiểu rõ hơn về mức thuế phải đóng.</t>
  </si>
  <si>
    <t>Tôi tin tưởng số tiền thuế tôi đóng sẽ được sử dụng hiệu quả để cải thiện dịch vụ công. Chính sách mới này cũng thể hiện sự quan tâm của Nhà nước đối với người dân.</t>
  </si>
  <si>
    <t>Nhà nước đã giải thích rõ ràng về mục tiêu và lý do sửa đổi thuế, tôi thấy việc này làm tăng niềm tin vào quyết định của chính phủ.</t>
  </si>
  <si>
    <t>Tôi ủng hộ và tuân thủ chính sách mới vì nó đơn giản hơn, công bằng hơn và có tác động tài chính tích cực cho tôi.</t>
  </si>
  <si>
    <t>Cơ quan thuế có đủ công nghệ hiện đại để phát hiện gian lận, nhưng mức độ quản lý và xử phạt cần được cải thiện hơn.</t>
  </si>
  <si>
    <t>Nhà nước đã đầu tư vào công nghệ và nhân lực trong lĩnh vực thuế, tăng cường khả năng giám sát và quản lý.</t>
  </si>
  <si>
    <t>So với trước đây, quy trình khai thuế trở nên đơn giản hơn nhờ việc giảm số bậc thuế và mức giảm trừ gia cảnh.</t>
  </si>
  <si>
    <t>Biểu thuế mới rõ ràng hơn, dễ hiểu và dễ thực hiện, giúp người dân nắm bắt nhanh chóng.</t>
  </si>
  <si>
    <t>Tôi tin rằng cơ quan thuế sẽ tuân thủ các quy định một cách công bằng, nhưng vẫn cần cải thiện trong việc minh bạch hơn.</t>
  </si>
  <si>
    <t>Thuế mới có mức giảm trừ gia cảnh cao hơn và số bậc thuế ít hơn, tôi thấy điều này hợp lý với thu nhập hiện tại.</t>
  </si>
  <si>
    <t>Số tiền thuế đóng được sử dụng để cải thiện các dịch vụ công, nhưng cần minh bạch hơn về cách sử dụng nguồn lực.</t>
  </si>
  <si>
    <t>Nhà nước đã giải thích rõ ràng về mục tiêu của chính sách mới, tuy nhiên cần làm rõ hơn về cách thực thi.</t>
  </si>
  <si>
    <t>Tôi ủng hộ và tuân thủ chính sách mới vì nó có lợi cho tôi và gia đình, đồng thời đơn giản hóa quy trình khai thuế.</t>
  </si>
  <si>
    <t>Ngân hàng và cơ quan thuế hiện đại hóa hệ thống theo dõi thu nhập, nâng cao khả năng phát hiện gian lận. Tuy nhiên, vẫn cần cải thiện trong việc xử lý nhanh chóng các vụ vi phạm.</t>
  </si>
  <si>
    <t>Cơ quan thuế đã đầu tư vào công nghệ để tăng cường quản lý và giám sát hoạt động kinh doanh, giảm thiểu tình trạng trốn thuế. Tuy nhiên, khả năng phát hiện vẫn phụ thuộc vào chất lượng dữ liệu.</t>
  </si>
  <si>
    <t>Thủ tục khai báo thuế trở nên đơn giản hơn, giúp người dân dễ dàng thực hiện. Tuy nhiên, có sự bất cập khi sử dụng ứng dụng điện tử không phổ biến trong toàn bộ xã hội.</t>
  </si>
  <si>
    <t>Biểu thuế mới đơn giản hơn so với trước đây, giảm bớt các bước tính toán và dễ hiểu hơn. Điều này giúp người dân thuận lợi trong việc tuân thủ.</t>
  </si>
  <si>
    <t>Tôi tin tưởng rằng cơ quan thuế sẽ thực thi chính sách một cách công bằng với mọi người, nhưng cần có sự minh bạch cao hơn về cách thức quản lý và sử dụng nguồn thu</t>
  </si>
  <si>
    <t>Nhà nước đã tăng giảm trừ gia cảnh và đơn giản hóa biểu thuế, do đó mức thuế của tôi được coi là công bằng. Việc này giúp phân phối lại thu nhập một cách hợp lý.</t>
  </si>
  <si>
    <t>Thuế đóng góp vào việc cải thiện các dịch vụ công và hạ tầng, nhưng cần có báo cáo thường xuyên về sử dụng nguồn ngân sách để tăng niềm tin của người dân</t>
  </si>
  <si>
    <t>Nhà nước đã giải thích rõ ràng về mục tiêu và lý do sửa đổi thuế. Tuy nhiên, việc truyền đạt thông tin đến người dân vẫn cần cải thiện.</t>
  </si>
  <si>
    <t>Tôi ủng hộ chính sách mới vì nó giúp tôi tiết kiệm được tiền thuế, đồng thời đơn giản hóa quy trình khai báo. Tôi sẽ tuân thủ để hưởng lợi từ những thay đổi này</t>
  </si>
  <si>
    <t>Trong thực tế, việc phát hiện và xử lý các hành vi gian lận hoặc trốn thuế vẫn còn gặp nhiều khó khăn. Tuy nhiên, với sự cải tiến về công nghệ, khả năng phát hiện có thể được nâng cao.</t>
  </si>
  <si>
    <t>Nhà nước và cơ quan thuế đã đầu tư vào công nghệ để nâng cao hiệu quả quản lý thuế. Tuy nhiên, việc thực thi vẫn cần thời gian để hoàn thiện.</t>
  </si>
  <si>
    <t>So với trước đây, quy trình khai báo và làm việc với cơ quan thuế trở nên đơn giản hơn. Các thủ tục được cải tiến giúp giảm bớt rắc rối cho người dân.</t>
  </si>
  <si>
    <t>Biểu thuế mới có ít bậc hơn và dễ hiểu hơn, điều này giúp việc tính toán và nộp thuế trở nên thuận tiện hơn. Người dân không còn phải lo lắng về mức thuế phức tạp trước đây.</t>
  </si>
  <si>
    <t>Tôi tin rằng Nhà nước sẽ thực thi chính sách một cách công bằng, nhưng cần thêm thời gian để quan sát và đánh giá hiệu quả thực tế của việc cải cách.</t>
  </si>
  <si>
    <t>Với mức thuế mới, tôi cảm thấy mình đóng góp một phần phù hợp với thu nhập hiện tại. Mức giảm trừ gia cảnh tăng cũng giúp công bằng hơn.</t>
  </si>
  <si>
    <t>Tôi tin rằng số tiền thuế sẽ được sử dụng hiệu quả để cải thiện các dịch vụ công, nhưng cần thêm thông tin cụ thể về cách sử dụng nguồn thu này.</t>
  </si>
  <si>
    <t>Nhà nước đã giải thích rõ ràng về mục đích của việc sửa đổi thuế, tuy nhiên, tôi mong muốn có thêm nhiều thông tin chi tiết để hiểu rõ hơn về chính sách mới.</t>
  </si>
  <si>
    <t>Dựa trên các quyền lợi và nghĩa vụ cải thiện, tôi ủng hộ chính sách mới và sẽ tuân thủ. Tuy nhiên, cần thời gian để quan sát hiệu quả thực tế của nó.</t>
  </si>
  <si>
    <t>Nhà nước và cơ quan thuế có nhiều biện pháp quản lý, công nghệ hiện đại giúp phát hiện hành vi gian lận hoặc trốn thuế.</t>
  </si>
  <si>
    <t>Cơ quan thuế đã cải thiện năng lực quản lý thông qua việc áp dụng công nghệ mới.</t>
  </si>
  <si>
    <t>Quy trình làm việc với cơ quan thuế và các thủ tục khai báo thuế đơn giản hơn, tiết kiệm thời gian cho người dân.</t>
  </si>
  <si>
    <t>Tôi tin rằng các quy định về giảm trừ gia cảnh và mức thuế mới sẽ được áp dụng công bằng cho mọi người nộp thuế.</t>
  </si>
  <si>
    <t>Dựa trên tác động tài chính, tôi thấy mức thuế mới là hợp lý đối với thu nhập của mình.</t>
  </si>
  <si>
    <t>Thuế đóng góp vào việc cải thiện các dịch vụ công, như y tế và hạ tầng cơ sở.</t>
  </si>
  <si>
    <t>Tôi ủng hộ chính sách mới vì nó đơn giản hóa quy trình và giảm gánh nặng tài chính cho tôi.</t>
  </si>
  <si>
    <t>Nhìn chung, với mức giảm trừ gia cảnh tăng lên và đơn giản hóa quy trình thuế, việc phát hiện hành vi gian lận hoặc trốn thuế có thể trở nên khó khăn hơn. Tuy nhiên, cơ quan thuế vẫn phải làm tốt trong việc quản lý.</t>
  </si>
  <si>
    <t>Công nghệ ngày càng phát triển và quy định rõ ràng về quản lý thuế, nhưng mức độ thực thi còn phụ thuộc vào năng lực của các cơ quan chức năng.</t>
  </si>
  <si>
    <t>Quy trình khai báo thuế trở nên đơn giản hơn với việc giảm bậc thuế và tăng mức giảm trừ gia cảnh. Điều này tạo thuận lợi cho người dân trong quá trình làm việc với cơ quan thuế.</t>
  </si>
  <si>
    <t>Các bậc thuế mới rõ ràng và dễ hiểu, giúp tôi nắm bắt nhanh chóng mức thuế phải đóng. Sự đơn giản này giảm bớt gánh nặng cho người dân.</t>
  </si>
  <si>
    <t>Tôi tin rằng cơ quan thuế sẽ thực thi chính sách một cách công bằng và minh bạch, nhưng cần thời gian để chứng minh</t>
  </si>
  <si>
    <t>Mức thuế mới phù hợp với thu nhập của tôi. Tuy nhiên, việc đánh giá hoàn toàn công bằng phụ thuộc vào cách áp dụng trong thực tế.</t>
  </si>
  <si>
    <t>Tôi tin rằng số tiền thuế đóng sẽ được sử dụng hiệu quả cho mục đích công cộng</t>
  </si>
  <si>
    <t>Tôi đồng ý với việc giải thích của cơ quan thuế về lý do và mục tiêu sửa đổi thuế, nhưng cần thêm thông tin để tăng niềm tin.</t>
  </si>
  <si>
    <t>Đây là một cải tiến đáng kể. Tôi sẽ ủng hộ và tuân thủ chính sách mới vì lợi ích chung</t>
  </si>
  <si>
    <t>Hiện nay, với sự phát triển của công nghệ, khả năng phát hiện và xử lý hành vi trốn thuế đã được cải thiện đáng kể. Tuy nhiên, vẫn cần có thêm biện pháp quản lý mạnh mẽ hơn để ngăn chặn gian lận.</t>
  </si>
  <si>
    <t>Nhà nước và cơ quan thuế đã đầu tư nhiều vào công nghệ thông tin để nâng cao hiệu quả quản lý, nhưng vẫn cần sự hỗ trợ từ cộng đồng để phát hiện các hành vi trốn thuế.</t>
  </si>
  <si>
    <t>So với trước đây, quy trình khai báo thuế và làm việc với cơ quan thuế trở nên đơn giản hơn, thuận tiện cho người dân. Tuy nhiên, vẫn còn một số bước cần cải thiện để tối ưu hóa.</t>
  </si>
  <si>
    <t>Với sự giảm bớt các bậc thuế và mức giảm trừ gia cảnh, việc tính thuế trở nên dễ hiểu hơn và thuận tiện cho người nộp thuế.</t>
  </si>
  <si>
    <t>Tôi tin rằng Nhà nước sẽ thực thi chính sách một cách khách quan, công tâm. Việc giảm thuế giúp tôi cảm thấy được đối xử công bằng.</t>
  </si>
  <si>
    <t>Theo phương án mới, mức thuế tôi phải đóng là hợp lý và phù hợp với thu nhập của mình.</t>
  </si>
  <si>
    <t>Thuế tôi đóng sẽ được sử dụng hiệu quả để cải thiện dịch vụ công, như y tế và đường xá. Điều này tạo ra niềm tin rằng tiền thuế không bị lãng phí.</t>
  </si>
  <si>
    <t>Nhà nước đã giải thích rõ ràng về mục tiêu của việc sửa đổi thuế, giúp tôi hiểu được lợi ích của chính sách mới.</t>
  </si>
  <si>
    <t>Tôi ủng hộ và tuân thủ chính sách mới vì nó mang lại nhiều lợi ích cho người dân như giảm gánh nặng tài chính và đơn giản hóa quy trình thuế.</t>
  </si>
  <si>
    <t>Dù có công nghệ hỗ trợ, nhưng việc phát hiện trốn thuế vẫn phụ thuộc vào sự tận tụy của cơ quan thuế. Hiện tại không hoàn toàn tin tưởng.</t>
  </si>
  <si>
    <t>Cơ quan thuế đã đầu tư công nghệ để cải thiện quản lý, nhưng chưa thể tự động phát hiện mọi hành vi trốn thuế mà không cần con người can thiệp</t>
  </si>
  <si>
    <t>Quy trình khai thuế và làm việc với cơ quan thuế đơn giản hơn trước, giảm bớt thủ tục rườm rà</t>
  </si>
  <si>
    <t>Biểu thuế đơn giản hóa từ 7 bậc xuống còn 5, dễ dàng hiểu và thực hiện hơn so với trước đây</t>
  </si>
  <si>
    <t>Nếu các quy định được thực thi công bằng, tôi sẽ tin tưởng cơ quan thuế. Hiện tại vẫn có sự nghi ngờ về khả năng khách quan của họ</t>
  </si>
  <si>
    <t>Mức thuế mới giảm so với trước đây giúp tôi cảm thấy công bằng hơn khi đóng thuế</t>
  </si>
  <si>
    <t>Nếu số tiền thuế đóng được sử dụng hiệu quả để cải thiện dịch vụ công, tôi sẽ tin tưởng hơn về việc này</t>
  </si>
  <si>
    <t>Nhà nước đã giải thích rõ ràng về mục tiêu của chính sách mới, nhưng cần thêm minh bạch về cách sử dụng số tiền thuế</t>
  </si>
  <si>
    <t>Dù giảm nhiều về thuế nhưng vẫn còn nghi ngờ về thực thi và hiệu quả sử dụng ngân sách thuế</t>
  </si>
  <si>
    <t>Quy định quản lý thuế hiện tại có nhiều cải tiến, nhưng vẫn còn những yếu tố khiến tôi nghi ngờ về khả năng phát hiện gian lận. Cơ quan thuế cần tăng cường công nghệ và nguồn lực để nâng cao hiệu quả.</t>
  </si>
  <si>
    <t>Nhà nước đã đầu tư vào hệ thống công nghệ thông tin, tuy nhiên tôi vẫn nghi ngờ về mức độ đủ khả năng của họ trong việc phát hiện trốn thuế một cách nhanh chóng và chính xác.</t>
  </si>
  <si>
    <t>Thủ tục khai báo thuế trở nên đơn giản hơn so với trước đây, nhưng vẫn còn nhiều khía cạnh cần cải thiện. Quá trình làm việc với cơ quan thuế đã nhanh chóng và tiện lợi hơn.</t>
  </si>
  <si>
    <t>Cách tính thuế mới trở nên đơn giản và dễ hiểu hơn, giảm bớt sự phức tạp. Việc này giúp tôi dễ dàng thực hiện và tuân thủ chính sách mới.</t>
  </si>
  <si>
    <t>Tôi tin rằng Nhà nước sẽ thực thi chính sách một cách công bằng và khách quan, nhưng cần thời gian để chứng minh. Việc cải thiện giảm trừ gia cảnh giúp tôi thấy được sự công bằng trong việc đóng thuế.</t>
  </si>
  <si>
    <t>Mức thuế mới mà tôi phải đóng là hợp lý và phù hợp với thu nhập của tôi, do đó tôi cảm thấy rằng mức thuế này công bằng. Mức giảm trừ gia cảnh tăng lên cũng làm cho việc đóng thuế trở nên dễ chịu hơn.</t>
  </si>
  <si>
    <t>Tôi tin tưởng rằng số tiền thuế mà tôi đóng sẽ được sử dụng hiệu quả để cải thiện dịch vụ công, nhưng cần thêm thông tin về cách cụ thể Nhà nước sử dụng nguồn thu này.</t>
  </si>
  <si>
    <t>Nhà nước đã giải thích rõ ràng về mục tiêu của việc sửa đổi thuế mới và lý do đằng sau nó. Tuy nhiên, tôi cho rằng cần có thêm thông tin chi tiết về việc thực thi chính sách để tăng tính minh bạch.</t>
  </si>
  <si>
    <t>Nhìn chung, các quyền lợi mà tôi nhận được từ chính sách mới là tích cực. Tôi sẽ ủng hộ và tuân thủ chính sách này vì nó giúp giảm gánh nặng tài chính cho tôi.</t>
  </si>
  <si>
    <t>Nhìn chung, tôi đồng ý với nhận định này. Luật pháp hiện tại đã có nhiều cải tiến trong việc quản lý thuế và xử lý gian lận.</t>
  </si>
  <si>
    <t>Tôi đồng ý với nhận định này. Công nghệ ngày càng phát triển, giúp cơ quan thuế dễ dàng hơn trong việc kiểm tra và phát hiện trốn thuế.</t>
  </si>
  <si>
    <t>Tôi thấy các quy trình khai báo thuế trở nên đơn giản hơn so với trước đây. Các bước thực hiện nhanh chóng, thuận tiện hơn.</t>
  </si>
  <si>
    <t>Bậc thuế được đơn giản hóa từ 7 xuống còn 5 bậc, dễ hiểu và dễ áp dụng hơn so với trước đây.</t>
  </si>
  <si>
    <t>Tôi tin rằng cơ quan thuế sẽ thực thi chính sách một cách công bằng. Các quy định mới giúp giảm gánh nặng thuế cho người dân như tôi.</t>
  </si>
  <si>
    <t>Nhìn chung, mức thuế mới này là hợp lý với thu nhập của tôi. Việc tăng giảm trừ gia cảnh đã giảm đáng kể số tiền thuế phải đóng.</t>
  </si>
  <si>
    <t>Nhà nước đã giải thích rõ ràng về mục tiêu của việc sửa đổi luật thuế. Tuy nhiên, tôi vẫn có một số nghi ngờ về cách sử dụng nguồn thu thuế.</t>
  </si>
  <si>
    <t>Tôi ủng hộ và tuân thủ chính sách mới vì nó giúp giảm gánh nặng tài chính cho người dân và tạo ra sự công bằng trong việc đóng thuế.</t>
  </si>
  <si>
    <t>Chính phủ đã tăng cường quản lý và công nghệ hiện đại, tuy nhiên vẫn còn nhiều yếu tố phụ thuộc vào sự tuân thủ của cá nhân.</t>
  </si>
  <si>
    <t>Cơ quan thuế có đủ khả năng để phát hiện và xử lý các hành vi gian lận hoặc trốn thuế.</t>
  </si>
  <si>
    <t>Quy trình khai báo thuế đơn giản hơn, thuận tiện cho người dân hơn so với trước đây.</t>
  </si>
  <si>
    <t>Các bậc thuế mới đơn giản hóa quy trình tính thuế, dễ hiểu và thực hiện hơn.</t>
  </si>
  <si>
    <t>Mức thuế giảm đáng kể, tạo niềm tin về sự công bằng trong việc áp dụng chính sách.</t>
  </si>
  <si>
    <t>Thuế theo bậc mới phù hợp với thu nhập hiện tại của tôi, cảm thấy mức thuế đóng là công bằng.</t>
  </si>
  <si>
    <t>Hiểu rõ mục đích sử dụng số tiền thuế được đóng vào các dịch vụ công</t>
  </si>
  <si>
    <t>Nhà nước đã giải thích rõ ràng về việc sửa đổi chính sách thuế này.</t>
  </si>
  <si>
    <t>Hoàn toàn đồng ý với các quy định mới, ủng hộ và tuân thủ chính sách mới.</t>
  </si>
  <si>
    <t>Dù không hoàn toàn chắc chắn, nhưng với việc áp dụng công nghệ hiện đại và cơ sở dữ liệu rộng lớn hơn, khả năng phát hiện gian lận có thể cao hơn.</t>
  </si>
  <si>
    <t>Nhà nước đã đầu tư vào hệ thống quản lý thuế tiên tiến, nên việc xử lý nghiêm các hành vi trốn thuế là khả thi.</t>
  </si>
  <si>
    <t>Quy trình khai báo và làm việc với cơ quan thuế đơn giản hơn nhiều so với trước đây, khiến tôi cảm thấy thuận tiện hơn.</t>
  </si>
  <si>
    <t>Biểu thuế mới dễ hiểu và đơn giản hơn, giúp việc tính thuế trở nên dễ dàng hơn.</t>
  </si>
  <si>
    <t>Tôi tin rằng cơ quan thuế sẽ thực thi chính sách một cách công bằng, nhưng vẫn có chút nghi ngờ về khả năng thực hiện.</t>
  </si>
  <si>
    <t>Thuế tôi phải đóng theo phương án mới hợp lý, mức giảm trừ gia cảnh và số bậc thuế ít hơn đều tạo cảm giác công bằng.</t>
  </si>
  <si>
    <t>Tài sản thu thập được từ thuế sẽ được sử dụng hiệu quả để cải thiện dịch vụ công, nhưng vẫn cần thêm thông tin về chi tiêu cụ thể.</t>
  </si>
  <si>
    <t>Nhà nước đã giải thích rõ ràng mục đích của việc sửa đổi chính sách, tuy nhiên vẫn có thể làm rõ hơn về các bước tiếp theo.</t>
  </si>
  <si>
    <t>Tôi ủng hộ và tuân thủ chính sách mới, do mức thuế giảm đáng kể và quy trình đơn giản hơn.</t>
  </si>
  <si>
    <t>Việc tăng mức giảm trừ gia cảnh và đơn giản hóa biểu thuế có thể làm giảm hành vi gian lận, nhưng thực tế xử lý và phát hiện trốn thuế vẫn còn nhiều khó khăn.</t>
  </si>
  <si>
    <t>Cơ quan thuế đã đầu tư công nghệ mới để theo dõi và quản lý thuế, tuy nhiên, việc phát hiện hành vi gian lận vẫn cần thời gian và nguồn lực.</t>
  </si>
  <si>
    <t>Phương án mới về thuế có nhiều bước tính toán rõ ràng hơn so với trước đây, giúp việc thực hiện dễ dàng và chính xác hơn.</t>
  </si>
  <si>
    <t>Nhà nước đã cải cách thuế một cách công bằng và minh bạch, giảm gánh nặng cho người dân có thu nhập trung bình như tôi.</t>
  </si>
  <si>
    <t>Mức thuế mới phù hợp với mức sống của tôi, thể hiện tính công bằng trong việc phân bổ gánh nặng thuế</t>
  </si>
  <si>
    <t>Thuế đóng góp vào các dịch vụ công quan trọng như y tế và cơ sở hạ tầng, giúp cải thiện cuộc sống của người dân.</t>
  </si>
  <si>
    <t>Nhà nước đã giải thích rõ ràng về mục tiêu và cách thức thực hiện cải cách thuế, tạo niềm tin cho người dân</t>
  </si>
  <si>
    <t>Sau khi xem xét các lợi ích từ chính sách mới, tôi ủng hộ nó vì giảm gánh nặng thuế và thủ tục đơn giản hơn.</t>
  </si>
  <si>
    <t>Nhà nước đã tăng cường công nghệ và quản lý thuế, nhưng việc phát hiện gian lận vẫn phụ thuộc vào các cơ chế cụ thể. Việc tăng mức giảm trừ gia cảnh giúp giảm áp lực xử phạt</t>
  </si>
  <si>
    <t>Cơ quan thuế đã cải thiện khả năng phát hiện thông qua công nghệ, nhưng việc thực thi vẫn cần sự phối hợp chặt chẽ giữa các cơ quan.</t>
  </si>
  <si>
    <t>Quy trình khai báo và xử lý thuế trở nên đơn giản hơn do số bậc thuế giảm đi, giảm bớt rắc rối cho người dân</t>
  </si>
  <si>
    <t>Biểu thuế mới dễ hiểu và dễ thực hiện hơn so với trước, nhờ việc giảm số bậc thuế từ 7 xuống còn 5.</t>
  </si>
  <si>
    <t>Nhà nước đã công bố rõ ràng về chính sách mới, đảm bảo tính khách quan trong việc áp dụng</t>
  </si>
  <si>
    <t>Mức thuế giảm xuống giúp tôi cảm thấy công bằng hơn so với trước đây, do mức thu nhập của tôi nằm ở bậc thuế thấp</t>
  </si>
  <si>
    <t>Thuế được sử dụng để cải thiện dịch vụ công như y tế và giao thông, tạo niềm tin về việc sử dụng hiệu quả nguồn lực</t>
  </si>
  <si>
    <t>Nhà nước đã giải thích rõ ràng về mục tiêu của chính sách mới, tăng tính minh bạch trong quản lý thuế</t>
  </si>
  <si>
    <t>Chính sách mới mang lại lợi ích cho tôi về mặt tài chính và thủ tục, do đó tôi ủng hộ và tuân thủ.</t>
  </si>
  <si>
    <t>Tăng cường quản lý thuế và công nghệ hiện đại giúp phát hiện trốn thuế dễ dàng hơn.</t>
  </si>
  <si>
    <t>Nhà nước có nhiều nguồn lực để thực thi chính sách, bao gồm cả công nghệ và nhân sự.</t>
  </si>
  <si>
    <t>Thủ tục đơn giản hơn, chỉ cần khai báo thông tin cơ bản.</t>
  </si>
  <si>
    <t>Biểu thuế rõ ràng hơn, giảm số bậc từ 7 xuống còn 5, dễ hiểu và thực hiện</t>
  </si>
  <si>
    <t>Việc tăng mức giảm trừ gia cảnh và đơn giản hóa biểu thuế tạo niềm tin về tính công bằng.</t>
  </si>
  <si>
    <t>Thuế mới được điều chỉnh phù hợp với thu nhập hiện tại, thể hiện sự công bằng</t>
  </si>
  <si>
    <t>Nhiều khoản thuế giảm giúp tôi tin rằng số tiền đóng sẽ được sử dụng hiệu quả.</t>
  </si>
  <si>
    <t>Nhà nước đã công bố rõ ràng về mục tiêu và lý do thay đổi, tạo niềm tin</t>
  </si>
  <si>
    <t>Chính sách mới giúp giảm bớt gánh nặng thuế, tôi sẽ ủng hộ và tuân thủ.</t>
  </si>
  <si>
    <t>Công nghệ hiện nay phát triển mạnh mẽ, có thể giúp Nhà nước và cơ quan thuế theo dõi sát sao hơn các hoạt động gian lận. Tuy nhiên, vẫn còn những rủi ro về mặt quản lý.</t>
  </si>
  <si>
    <t>Việc áp dụng công nghệ hiện đại như blockchain và AI trong ngành thuế có thể giúp tăng cường khả năng phát hiện hành vi trốn thuế. Tuy nhiên, vẫn cần thời gian để hoàn thiện.</t>
  </si>
  <si>
    <t>Quy trình khai báo thuế trở nên đơn giản hơn với mức giảm trừ gia cảnh cao và số bậc thuế ít đi. Điều này giúp việc làm thủ tục trở nên dễ dàng hơn.</t>
  </si>
  <si>
    <t>Số bậc thuế ít hơn và mức thuế suất rõ ràng hơn đã tạo điều kiện cho người dân hiểu và tính toán chính xác hơn về thuế phải đóng.</t>
  </si>
  <si>
    <t>Việc áp dụng công bằng trong việc giảm trừ gia cảnh và số bậc thuế có thể giúp tạo ra một môi trường thuế công bằng hơn.</t>
  </si>
  <si>
    <t>Với thu nhập của mình, mức thuế mới được đánh giá là phù hợp và công bằng. Điều này làm tăng sự tin tưởng vào tính công bằng trong hệ thống thuế.</t>
  </si>
  <si>
    <t>Thuế đóng góp vào việc cải thiện chất lượng dịch vụ công như y tế, giáo dục, đường xá… giúp tạo niềm tin rằng tiền thuế được sử dụng hiệu quả.</t>
  </si>
  <si>
    <t>Chính phủ đã cung cấp thông tin chi tiết về mục tiêu và lý do của việc cải cách thuế. Điều này làm tăng sự minh bạch và trách nhiệm của cơ quan quản lý tài chính.</t>
  </si>
  <si>
    <t>Nhận thức rằng mức thuế mới giảm đáng kể so với trước đây, tôi sẽ ủng hộ và tuân thủ chính sách mới. Điều này giúp tăng sự tin tưởng vào hệ thống thuế hiện tại.</t>
  </si>
  <si>
    <t>Hiện nay, cơ quan thuế có nhiều công cụ để phát hiện hành vi trốn thuế, do đó tôi tin rằng gian lận sẽ dễ bị phát hiện.</t>
  </si>
  <si>
    <t>Nhà nước đã đầu tư vào hệ thống công nghệ thông tin và nhân lực để quản lý thuế hiệu quả hơn trong thời gian qua.</t>
  </si>
  <si>
    <t>Quy trình khai báo thuế nay đơn giản hơn nhiều so với trước đây, đặc biệt là khi áp dụng các công nghệ số như ứng dụng điện tử.</t>
  </si>
  <si>
    <t>Biểu thuế mới có ít bậc hơn và dễ hiểu hơn, giảm bớt sự phức tạp cho người dân trong quá trình tính thuế.</t>
  </si>
  <si>
    <t>Tôi tin rằng Nhà nước sẽ công tâm khi thực thi chính sách này, đặc biệt là với việc tăng mức giảm trừ gia cảnh và đơn giản hóa biểu thuế.</t>
  </si>
  <si>
    <t>Thuế mới theo phương án này được coi là công bằng vì người có thu nhập thấp hơn như tôi chỉ đóng một phần nhỏ so với thu nhập của mình.</t>
  </si>
  <si>
    <t>Việc giảm thuế cho tôi giúp số tiền đóng vào ngân sách tăng lên, do đó tôi tin rằng nó sẽ được sử dụng hiệu quả để cải thiện dịch vụ công.</t>
  </si>
  <si>
    <t>Nhà nước đã giải thích rõ ràng về lý do và mục tiêu của việc sửa đổi thuế này thông qua các cuộc họp báo và trang web chính phủ.</t>
  </si>
  <si>
    <t>Chính sách mới rất phù hợp với tình hình kinh tế cá nhân tôi, vì vậy tôi sẽ ủng hộ và tuân thủ.</t>
  </si>
  <si>
    <t>Nếu hành vi gian lận hoặc trốn thuế bị phát hiện, mức độ nghiêm trọng có thể giảm do các quy định quản lý thuế đơn giản hơn. Tuy nhiên, khả năng phát hiện vẫn còn.</t>
  </si>
  <si>
    <t>Cơ quan thuế đã cải thiện công nghệ và nguồn lực để phát hiện gian lận, nhưng không đủ rõ ràng về hiệu quả thực tế.</t>
  </si>
  <si>
    <t>Quy trình khai báo thuế đơn giản hơn với mức giảm trừ gia cảnh cao hơn. Tuy nhiên, vẫn còn một số thủ tục cần lưu ý.</t>
  </si>
  <si>
    <t>Cách tính thuế và các bậc thuế mới dễ hiểu hơn so với trước đây, giúp việc thực hiện đơn giản hơn nhiều.</t>
  </si>
  <si>
    <t>Niềm tin vào sự khách quan của cơ quan thuế tăng lên do giảm trừ gia cảnh cao hơn và quy định đơn giản hơn. Tuy nhiên, vẫn có nghi ngờ về việc thực thi.</t>
  </si>
  <si>
    <t>Mức thuế mới cho thấy sự công bằng đối với thu nhập của bản thân tôi, giảm trừ gia cảnh cao hơn làm tăng cảm giác này.</t>
  </si>
  <si>
    <t>Thuế đóng góp vào các dịch vụ công và hạ tầng quan trọng. Mức thuế mới cho thấy sự sử dụng hiệu quả của nguồn lực</t>
  </si>
  <si>
    <t>Nhà nước đã giải thích rõ ràng về mục tiêu cải cách, nhưng việc thực thi hoàn toàn còn phụ thuộc vào quá trình thực tế.</t>
  </si>
  <si>
    <t>Tôi ủng hộ chính sách mới vì nó đơn giản hóa quy định và giảm mức thuế cho bản thân tôi. Tuy nhiên, cần thời gian để chứng minh hiệu quả thực thi.</t>
  </si>
  <si>
    <t>Việc tăng mức giảm trừ gia cảnh và đơn giản hóa biểu thuế có thể làm giảm cơ hội cho hành vi gian lận, nhưng thực tế việc phát hiện và xử lý trốn thuế vẫn còn phụ thuộc vào hiệu quả của hệ thống quản lý thuế.</t>
  </si>
  <si>
    <t>Việc tăng cường công nghệ và nguồn lực trong cơ quan thuế có thể giúp cải thiện khả năng phát hiện và xử lý trốn thuế, nhưng vẫn cần thời gian để triển khai hiệu quả.</t>
  </si>
  <si>
    <t>So với trước đây, quy trình làm việc với cơ quan thuế đơn giản hơn do giảm số bậc thuế, điều này tạo thuận lợi cho người dân trong việc khai báo và nộp thuế.</t>
  </si>
  <si>
    <t>Biểu thuế mới có ít bậc hơn và ngưỡng chịu thuế rõ ràng hơn, giúp tính toán và hiểu về thuế của mình dễ dàng hơn.</t>
  </si>
  <si>
    <t>Tôi tin rằng cơ quan thuế sẽ thực thi chính sách một cách công bằng, nhưng vẫn cần thời gian để kiểm chứng sự khách quan trong việc quản lý thuế.</t>
  </si>
  <si>
    <t>Mức thuế mới giảm so với trước đây giúp tôi cảm thấy công bằng hơn, do đó mức đóng góp của tôi phù hợp với thu nhập hiện tại.</t>
  </si>
  <si>
    <t>Tôi tin rằng số tiền thuế đóng sẽ được sử dụng hiệu quả để cải thiện các dịch vụ công, nhưng vẫn cần thời gian để chứng minh.</t>
  </si>
  <si>
    <t>Việc giải thích rõ ràng về mục tiêu và lý do sửa đổi thuế giúp tôi hiểu thêm về chính sách mới này.</t>
  </si>
  <si>
    <t>Chính sách mới mang lại lợi ích tài chính cho tôi, giảm gánh nặng về thuế nên tôi sẽ ủng hộ và tuân thủ.</t>
  </si>
  <si>
    <t>Nhà nước đã tăng cường công nghệ và đội ngũ kiểm tra thuế, do đó tôi tin rằng hành vi gian lận hoặc trốn thuế sẽ dễ bị phát hiện.</t>
  </si>
  <si>
    <t>Cơ quan thuế có đủ khả năng và công nghệ tiên tiến để xử lý các trường hợp trốn thuế, do đó tôi tin rằng họ sẽ thực thi nghiêm túc.</t>
  </si>
  <si>
    <t>Quy trình khai báo thuế đơn giản hơn, không cần nhiều giấy tờ rườm rà như trước đây, tiết kiệm thời gian và công sức.</t>
  </si>
  <si>
    <t>Biểu thuế mới rõ ràng hơn với ít bậc thuế, do đó việc tính toán và thực hiện dễ dàng hơn so với trước đây.</t>
  </si>
  <si>
    <t>Nhà nước đã cải cách để tạo ra một hệ thống công bằng hơn, giảm gánh nặng cho người dân có thu nhập thấp như tôi.</t>
  </si>
  <si>
    <t>Theo phương án mới, mức thuế mà tôi đóng phù hợp với thu nhập của tôi và không quá cao so với những gì tôi đã đóng trước đây.</t>
  </si>
  <si>
    <t>Tôi tin rằng số tiền thuế tôi đóng sẽ được sử dụng hiệu quả để cải thiện các dịch vụ công, như y tế và đường xá.</t>
  </si>
  <si>
    <t>Nhà nước đã minh bạch về mục tiêu của việc sửa đổi chính sách thuế, giúp người dân hiểu rõ hơn về quyết định này.</t>
  </si>
  <si>
    <t>Dựa trên lợi ích tài chính và sự đơn giản hóa quy trình, tôi ủng hộ và sẽ tuân thủ chính sách mới này.</t>
  </si>
  <si>
    <t>Biện pháp quản lý thuế hiện tại vẫn còn nhiều lỗ hổng, nên tôi không hoàn toàn tin rằng hành vi gian lận hoặc trốn thuế sẽ dễ bị phát hiện.</t>
  </si>
  <si>
    <t>Cơ quan thuế có khả năng và công nghệ để phát hiện các hành vi trốn thuế, nhưng thực tế còn phụ thuộc vào sự triển khai.</t>
  </si>
  <si>
    <t>So với trước đây, quy trình làm việc với cơ quan thuế trở nên đơn giản hơn nhiều, thủ tục khai báo cũng thuận tiện hơn.</t>
  </si>
  <si>
    <t>Cách tính thuế và các bậc thuế mới rất dễ hiểu, giảm bớt sự phức tạp, giúp người dân thực hiện đúng hơn.</t>
  </si>
  <si>
    <t>Tôi tin rằng Nhà nước sẽ thực thi chính sách một cách công bằng, nhưng tôi vẫn cần thêm thông tin về cách thực thi cụ thể.</t>
  </si>
  <si>
    <t>Với mức thuế mới, tôi thấy mình đóng góp đúng mức phù hợp với thu nhập của mình, nên cảm thấy công bằng.</t>
  </si>
  <si>
    <t>Thuê đóng góp vào việc cải thiện các dịch vụ công là điều đáng ủng hộ, nhưng hiệu quả sử dụng số tiền này còn phụ thuộc vào quản lý.</t>
  </si>
  <si>
    <t>Nhà nước đã giải thích khá rõ về mục tiêu của việc sửa đổi thuế, tôi thấy họ rất minh bạch trong quá trình thực hiện.</t>
  </si>
  <si>
    <t>Chính sách mới giúp tôi tiết kiệm được nhiều tiền và thuận tiện hơn trong việc khai báo thuế, nên tôi ủng hộ và tuân thủ.</t>
  </si>
  <si>
    <t>Hiện nay, với sự phát triển của công nghệ và hệ thống quản lý thuế hiện đại, tôi tin rằng hành vi gian lận hoặc trốn thuế sẽ dễ dàng bị phát hiện. Các cơ sở dữ liệu và hệ thống giám sát hiện đại đã giúp cải thiện đáng kể khả năng điều tra của các cơ quan thuế.</t>
  </si>
  <si>
    <t>Nhà nước đã đầu tư vào công nghệ thông tin, nâng cao hiệu quả quản lý và xử lý nhanh chóng các hành vi trốn thuế. Điều này tăng cường đáng kể khả năng giám sát của cơ quan thuế.</t>
  </si>
  <si>
    <t>Việc giảm số bậc thuế từ 7 xuống 5, cùng với việc đơn giản hóa quy trình khai báo và xử lý thuế đã làm cho thủ tục trở nên dễ dàng hơn. Người dân không cần phải lo lắng về việc miscalculation or misunderstanding of tax brackets.</t>
  </si>
  <si>
    <t>Bậc thuế mới đơn giản hơn, giúp người nộp thuế hiểu rõ và áp dụng chính xác hơn. Điều này làm cho quá trình tính toán và khai báo thuế trở nên dễ dàng hơn so với trước đây.</t>
  </si>
  <si>
    <t>Nhà nước đã thực hiện việc giảm trừ gia cảnh, đồng thời đơn giản hóa biểu thuế, tạo ra một hệ thống công bằng hơn. Điều này giúp tôi cảm thấy chính sách mới được áp dụng khách quan và công bằng.</t>
  </si>
  <si>
    <t>So với trước đây, mức thuế của tôi giảm đáng kể, điều này cho thấy mức thuế mới là hợp lý đối với thu nhập hiện tại của tôi. Việc tăng mức giảm trừ gia cảnh cũng góp phần làm cho hệ thống thuế trở nên công bằng hơn.</t>
  </si>
  <si>
    <t>Thuế mà tôi đóng sẽ được sử dụng hiệu quả để cải thiện các dịch vụ công, như y tế và giao thông. Điều này giúp tôi tin tưởng rằng việc đóng thuế là một phần quan trọng của việc duy trì và nâng cao chất lượng cuộc sống.</t>
  </si>
  <si>
    <t>Nhà nước đã giải thích rõ ràng về mục tiêu và lý do của việc sửa đổi chính sách thuế, giúp tôi hiểu được tầm quan trọng của các thay đổi này. Điều này làm tăng sự tin tưởng của tôi đối với quyết định của cơ quan quản lý.</t>
  </si>
  <si>
    <t>Sau khi xem xét tất cả các yếu tố, tôi ủng hộ và tuân thủ chính sách mới hiện tại. Việc giảm trừ gia cảnh, đơn giản hóa biểu thuế, và việc cải thiện công nghệ quản lý thuế đều là những bước tiến tốt cho hệ thống thuế.</t>
  </si>
  <si>
    <t>Dù tăng cường quản lý thuế, nhưng số bậc thuế giảm và các quy định rõ ràng hơn nên khả năng phát hiện gian lận khó có thể cao.</t>
  </si>
  <si>
    <t>Cơ quan thuế có nhiều công nghệ hỗ trợ, nhưng vẫn phụ thuộc vào sự tuân thủ của người nộp thuế và mức độ minh bạch trong quản lý.</t>
  </si>
  <si>
    <t>Quy trình đơn giản hơn so với trước đây, giảm thời gian chờ đợi và làm việc với cơ quan thuế, nhưng vẫn cần cải thiện về độ thuận tiện.</t>
  </si>
  <si>
    <t>Biểu thuế đơn giản hóa, dễ hiểu hơn, nhưng vẫn có thể còn phức tạp đối với người không am hiểu về thuế.</t>
  </si>
  <si>
    <t>Niềm tin vào sự công bằng trong việc thực thi chính sách tăng lên do mức giảm trừ gia cảnh và đơn giản hóa biểu thuế.</t>
  </si>
  <si>
    <t>Thuế mới công bằng hơn với thu nhập cá nhân như tôi, nhưng cần thêm thời gian để quen với các thay đổi.</t>
  </si>
  <si>
    <t>Tín nhiệm vào việc sử dụng tiền thuế hiệu quả tăng lên do mức giảm trừ gia cảnh và đơn giản hóa biểu thuế.</t>
  </si>
  <si>
    <t>Nhà nước đã giải thích rõ ràng về mục tiêu, nhưng cần thêm minh bạch trong quá trình thực thi mới để tăng tín nhiệm.</t>
  </si>
  <si>
    <t>Tác động tài chính tích cực làm tăng niềm tin và sự ủng hộ đối với chính sách mới. Thuế đơn giản hơn và công bằng hơn so với trước đây, nên tôi sẽ tuân thủ.</t>
  </si>
  <si>
    <t>Hiện nay, quy định quản lý thuế chưa hoàn toàn chặt chẽ nhưng tôi tin rằng với sự phát triển của công nghệ, khả năng phát hiện gian lận sẽ tăng lên.</t>
  </si>
  <si>
    <t>Cơ quan thuế đã có nhiều cải thiện trong việc sử dụng công nghệ để quản lý và giám sát, nhưng vẫn cần nâng cấp hệ thống hơn nữa.</t>
  </si>
  <si>
    <t>Quy trình khai báo thuế và giao tiếp với cơ quan thuế trở nên đơn giản hơn so với trước đây, thuận tiện nhiều cho người dân.</t>
  </si>
  <si>
    <t>Biểu thuế mới đơn giản hóa bậc thuế và cách tính, dễ dàng áp dụng hơn so với luật cũ phức tạp hơn nhiều.</t>
  </si>
  <si>
    <t>Tôi tin rằng Nhà nước sẽ thực thi chính sách một cách công bằng nhưng cần có sự minh bạch trong quá trình quản lý và sử dụng tiền thuế.</t>
  </si>
  <si>
    <t>Mức thuế mới giảm đáng kể so với trước đây, tôi thấy hợp lý đối với thu nhập của mình.</t>
  </si>
  <si>
    <t>Thuế đóng góp vào việc cải thiện các dịch vụ công nên tôi tin tưởng số tiền đóng sẽ được sử dụng hiệu quả.</t>
  </si>
  <si>
    <t>Nhà nước đã giải thích rõ ràng về mục đích của việc sửa đổi thuế, nhưng thông tin cần được cập nhật thường xuyên hơn để tăng niềm tin.</t>
  </si>
  <si>
    <t>Dù có khả năng phát hiện gian lận, nhưng với việc thuế đã giảm đáng kể, tôi tin rằng điều này cũng sẽ hạn chế hành vi trốn thuế.</t>
  </si>
  <si>
    <t>Cơ quan thuế có thể phát hiện và xử lý gian lận hiệu quả hơn do quy trình đơn giản hơn và giảm trừ gia cảnh rõ ràng hơn, nhưng vẫn cần cải thiện công nghệ để theo dõi.</t>
  </si>
  <si>
    <t>Quy trình khai thuế trở nên dễ dàng hơn với mức giảm trừ gia cảnh cao hơn và số bậc thuế giảm, làm cho việc làm thủ tục thuận tiện hơn.</t>
  </si>
  <si>
    <t>Biểu thuế đơn giản hơn với ít bậc thuế đã làm cho việc tính toán thu nhập chịu thuế trở nên dễ dàng hơn, giúp người dân hiểu rõ về mức thuế phải đóng.</t>
  </si>
  <si>
    <t>Tôi tin rằng Nhà nước sẽ thực thi chính sách một cách công bằng và minh bạch, đặc biệt là khi các quy định đã được cải thiện.</t>
  </si>
  <si>
    <t>Mức thuế mới giảm đáng kể so với trước đây, điều này cho thấy mức đóng thuế của tôi là hợp lý trong phạm vi thu nhập hiện tại của mình.</t>
  </si>
  <si>
    <t>Thuế giảm sẽ được sử dụng hiệu quả để cải thiện các dịch vụ công như y tế và giao thông, điều này làm tăng niềm tin vào sự quản lý tài chính của Nhà nước.</t>
  </si>
  <si>
    <t>Nhà nước đã giải thích rõ ràng về mục tiêu và lý do của việc cải cách thuế, giúp tôi hiểu được lợi ích từ các thay đổi này.</t>
  </si>
  <si>
    <t>Sau khi xem xét tác động tài chính tích cực, tôi ủng hộ và tuân thủ chính sách mới vì nó mang lại lợi ích rõ ràng cho người dân như tôi.</t>
  </si>
  <si>
    <t>Dù các quy định quản lý thuế hiện tại có thể đã cải thiện, nhưng tôi vẫn lo ngại về khả năng phát hiện hành vi gian lận hoặc trốn thuế.</t>
  </si>
  <si>
    <t>Cơ quan thuế có công nghệ và nguồn lực để xử lý các vấn đề về thuế, tuy nhiên, việc thực thi cần phải đồng bộ hơn.</t>
  </si>
  <si>
    <t>Việc giảm mức thuế và đơn giản hóa quy trình khai báo đã làm cho quá trình thuận tiện và nhanh chóng hơn so với trước đây.</t>
  </si>
  <si>
    <t>Biểu thuế mới rõ ràng và dễ hiểu hơn, tôi thấy dễ dàng áp dụng các bậc thuế vào thực tế hơn.</t>
  </si>
  <si>
    <t>Tôi tin rằng Nhà nước sẽ công bằng trong việc thực thi chính sách, nhưng cần có thêm biện pháp để minh bạch.</t>
  </si>
  <si>
    <t>Thuế tôi phải đóng theo phương án mới là hợp lý, phù hợp với thu nhập và mức giảm trừ gia cảnh tăng lên.</t>
  </si>
  <si>
    <t>Tôi tin rằng số tiền thuế tôi đóng sẽ được sử dụng hiệu quả để cải thiện dịch vụ công, nhưng cần có báo cáo minh bạch về việc này.</t>
  </si>
  <si>
    <t>Nhà nước đã giải thích rõ ràng về mục tiêu của việc sửa đổi thuế lần này, tuy nhiên, tôi vẫn mong muốn có thêm thông tin chi tiết hơn.</t>
  </si>
  <si>
    <t>Sau khi xem xét các quyền lợi và nghĩa vụ, tôi ủng hộ và sẽ tuân thủ chính sách mới vì nó mang lại nhiều lợi ích cho cá nhân như tôi.</t>
  </si>
  <si>
    <t>Dựa trên thông tin, việc quản lý thuế có thể sẽ trở nên chặt chẽ hơn với các mức giảm trừ gia cảnh lớn hơn và biểu thuế đơn giản hóa. Tuy nhiên, vẫn cần thời gian để quen thuộc với hệ thống mới.</t>
  </si>
  <si>
    <t>Nhà nước đã có nhiều đầu tư vào công nghệ trong thời gian qua nên khả năng phát hiện và xử lý vi phạm thuế sẽ tăng lên.</t>
  </si>
  <si>
    <t>Quy trình khai báo thuế trở nên đơn giản hơn với mức giảm trừ gia cảnh cao hơn, nhưng người dân vẫn cần thời gian để thích nghi.</t>
  </si>
  <si>
    <t>Biểu thuế mới có ít bậc và dễ hiểu hơn so với trước đây, giúp việc tính toán thuế trở nên thuận tiện hơn cho người nộp thuế.</t>
  </si>
  <si>
    <t>Tôi tin rằng Nhà nước sẽ thực thi chính sách một cách công bằng đối với mọi người dân. Mức giảm trừ gia cảnh cao và biểu thuế đơn giản đã làm tăng niềm tin của tôi.</t>
  </si>
  <si>
    <t>Với thu nhập của mình, mức thuế mới là hợp lý và công bằng hơn so với trước đây. Điều này tạo nên sự công bằng trong việc đóng góp cho xã hội.</t>
  </si>
  <si>
    <t>Tiền thuế tôi đóng sẽ được sử dụng hiệu quả để cải thiện các dịch vụ công, từ đó nâng cao chất lượng cuộc sống của người dân.</t>
  </si>
  <si>
    <t>Nhà nước đã giải thích rõ ràng về mục tiêu và lý do của việc sửa đổi thuế lần này. Điều này tăng sự tin tưởng của tôi vào quyết định của chính phủ.</t>
  </si>
  <si>
    <t>Tôi ủng hộ và tuân thủ chính sách mới vì nó mang lại nhiều lợi ích cho người dân, giảm gánh nặng tài chính và tạo nên công bằng trong việc đóng góp thuế</t>
  </si>
  <si>
    <t>Công nghệ hiện đại ngày càng phát triển, khả năng giám sát và xử lý vi phạm cũng được cải thiện đáng kể.</t>
  </si>
  <si>
    <t>Nhà nước đã đầu tư vào công nghệ thông tin, giúp việc quản lý thuế trở nên hiệu quả hơn.</t>
  </si>
  <si>
    <t>Quy trình khai thuế và giao tiếp với cơ quan thuế được đơn giản hóa nhiều so với trước đây.</t>
  </si>
  <si>
    <t>Số bậc thuế giảm đi, làm cho việc tính toán thuế trở nên dễ dàng hơn.</t>
  </si>
  <si>
    <t>Nguyên tắc công bằng được áp dụng trong việc điều chỉnh mức giảm trừ và số bậc thuế.</t>
  </si>
  <si>
    <t>Mức thuế mới được thiết lập một cách cân nhắc, phù hợp với thu nhập của tôi.</t>
  </si>
  <si>
    <t>Đồng ý rằng số tiền thuế đóng sẽ được sử dụng hiệu quả để cải thiện dịch vụ công.</t>
  </si>
  <si>
    <t>Nhà nước đã minh bạch về mục tiêu và lý do của việc sửa đổi thuế</t>
  </si>
  <si>
    <t>Việc tiết kiệm được một khoản tiền đáng kể từ thuế mới khiến tôi ủng hộ chính sách này.</t>
  </si>
  <si>
    <t>Hiện nay, công nghệ theo dõi thuế đã phát triển mạnh mẽ và Nhà nước cũng có nhiều biện pháp quản lý thuế hiệu quả. Tuy nhiên, việc thực thi vẫn phụ thuộc vào chất lượng của các cơ quan chức năng.</t>
  </si>
  <si>
    <t>Nhà nước và cơ quan thuế đã đầu tư công nghệ để phát hiện hành vi trốn thuế, tuy nhiên hiệu quả cụ thể còn phụ thuộc vào việc triển khai.</t>
  </si>
  <si>
    <t>Quy trình làm việc với cơ quan thuế đã được đơn giản hóa và các thủ tục khai báo thuế thuận tiện hơn nhiều so với trước đây, giảm bớt gánh nặng cho người dân.</t>
  </si>
  <si>
    <t>Biểu thuế mới có ít bậc hơn nên dễ hiểu và thực hiện nhanh chóng hơn. Điều này giúp tôi tiết kiệm thời gian và công sức trong việc tính toán thuế</t>
  </si>
  <si>
    <t>Tôi tin rằng Nhà nước sẽ thực thi chính sách một cách khách quan, vì đã có sự thay đổi rõ rệt về mức thuế và các quy định mới.</t>
  </si>
  <si>
    <t>Mức thuế mới phù hợp với thu nhập của tôi. Mức giảm trừ gia cảnh và bậc thuế mới giúp tôi tiết kiệm được một khoản tiền đáng kể, cho thấy sự công bằng trong việc đóng thuế.</t>
  </si>
  <si>
    <t>Thuế mà tôi đóng sẽ được sử dụng để cải thiện dịch vụ công như y tế, giáo dục và hạ tầng. Điều này tăng niềm tin của tôi vào việc sử dụng hiệu quả nguồn thu ngân sách</t>
  </si>
  <si>
    <t>Nhà nước đã giải thích khá rõ ràng về mục tiêu của việc cải cách thuế lần này. Tôi thấy đây là một động thái tích cực để tạo ra một hệ thống thuế công bằng hơn.</t>
  </si>
  <si>
    <t>Sau khi xem xét các quyền lợi và nghĩa vụ, tôi ủng hộ chính sách mới và sẽ tuân thủ nó. Các cải cách này giúp giảm gánh nặng tài chính cho người dân như tôi</t>
  </si>
  <si>
    <t>Dù cơ chế quản lý thuế ngày càng phát triển, nhưng với thu nhập hiện tại và không có người phụ thuộc, khả năng bị phát hiện hành vi gian lận hay trốn thuế của tôi là rất thấp.</t>
  </si>
  <si>
    <t>Dù Nhà nước có công nghệ hỗ trợ, nhưng việc phát hiện các hành vi gian lận hoặc trốn thuế đối với cá nhân thu nhập như tôi vẫn còn khó khăn.</t>
  </si>
  <si>
    <t>Thủ tục khai báo và quy trình làm việc với cơ quan thuế đã đơn giản hơn, nhưng sự cải cách này chưa thực sự thay đổi nhiều so với thực tế hiện tại của tôi.</t>
  </si>
  <si>
    <t>Biểu thuế mới rõ ràng và dễ hiểu hơn so với trước đây, việc tính toán thuế cũng trở nên đơn giản hơn, nhưng vẫn còn phức tạp đối với người không am hiểu về thuế.</t>
  </si>
  <si>
    <t>Tôi tin rằng Nhà nước sẽ thực thi chính sách một cách công tâm và khách quan, mặc dù mức giảm trừ gia cảnh đã tăng đáng kể nhưng tôi vẫn không hoàn toàn tin vào sự công bằng của việc phân bổ thuế.</t>
  </si>
  <si>
    <t>Mức thuế mới đối với thu nhập hiện tại của tôi là hợp lý, tuy nhiên, mức giảm trừ gia cảnh cao hơn có thể khiến tôi cảm thấy không công bằng vì tôi không có người phụ thuộc cần hỗ trợ.</t>
  </si>
  <si>
    <t>Tài nguyên thuế được sử dụng để cải thiện dịch vụ công là điều tốt, nhưng hiệu quả sử dụng nguồn lực còn phụ thuộc vào nhiều yếu tố khác và tôi không hoàn toàn tin tưởng.</t>
  </si>
  <si>
    <t>Nhà nước đã giải thích rõ ràng về mục đích của việc sửa đổi thuế, tuy nhiên, thông tin này chưa đủ để làm tôi hoàn toàn tin tưởng.</t>
  </si>
  <si>
    <t>Chính sách mới có lợi cho tôi về mặt tài chính và thủ tục làm việc với cơ quan thuế, do đó tôi ủng hộ và sẽ tuân thủ</t>
  </si>
  <si>
    <t xml:space="preserve">Dù có công nghệ phát hiện gian lận, nhưng mức thuế giảm đáng kể làm giảm động lực để trốn tránh. </t>
  </si>
  <si>
    <t xml:space="preserve">Cơ quan thuế có đủ khả năng với quy định mới đơn giản hơn và hiệu quả hơn. </t>
  </si>
  <si>
    <t xml:space="preserve">Quy trình làm việc nhanh chóng, thủ tục đơn giản, thuận tiện hơn nhiều so với trước đây. </t>
  </si>
  <si>
    <t>Cách tính thuế rõ ràng và dễ hiểu hơn, giảm số bậc thuế từ 7 xuống còn 5</t>
  </si>
  <si>
    <t xml:space="preserve">Nhiều người như tôi sẽ thấy công bằng khi mức thu nhập thấp không phải đóng thuế. </t>
  </si>
  <si>
    <t>Nhà nước đã tăng giảm trừ gia cảnh, mức thuế mới hợp lý hơn</t>
  </si>
  <si>
    <t>Thuế tôi phải đóng sẽ được sử dụng hiệu quả vào các dịch vụ công</t>
  </si>
  <si>
    <t xml:space="preserve">Việc giảm thuế và tăng mức giảm trừ gia cảnh khiến tôi ủng hộ chính sách mới. </t>
  </si>
  <si>
    <t>Dựa trên các quy định hiện nay, việc phát hiện và xử lý gian lận hay trốn thuế có thể khó khăn do thiếu công nghệ quản lý. Tuy nhiên, với sự cải thiện về cơ sở hạ tầng kỹ thuật số của Việt Nam, khả năng này đang được nâng cao.</t>
  </si>
  <si>
    <t>Cơ quan thuế có nhiều nguồn lực hơn để giám sát và xử lý gian lận thông qua công nghệ hiện đại như phần mềm quản lý thuế điện tử. Tuy nhiên, vẫn cần thời gian để hoàn thiện.</t>
  </si>
  <si>
    <t>Quy trình khai báo thuế trở nên đơn giản hơn khi số bậc thuế giảm từ 7 xuống còn 5. Đặc biệt là việc giảm trừ gia cảnh tăng cao, giúp thủ tục thuận tiện và nhanh chóng hơn.</t>
  </si>
  <si>
    <t>Cách tính thuế mới đơn giản và dễ hiểu, người dân không còn phải lo lắng về số bậc thuế phức tạp. Điều này giúp việc thực hiện thuế trở nên dễ dàng hơn.</t>
  </si>
  <si>
    <t>Tôi tin rằng cơ quan thuế sẽ công bằng trong việc áp dụng chính sách mới, dù mức giảm trừ gia cảnh và thuế suất thay đổi. Tuy nhiên, sự minh bạch của thông tin về chính sách vẫn cần được cải thiện.</t>
  </si>
  <si>
    <t>Mức thuế theo chính sách mới là công bằng đối với thu nhập hiện tại của tôi. Điều này giúp giảm gánh nặng tài chính và tăng sự hài lòng với hệ thống thuế.</t>
  </si>
  <si>
    <t>Tôi tin rằng số tiền thuế đóng sẽ được sử dụng hiệu quả để cải thiện dịch vụ công, mặc dù việc kiểm tra cụ thể về cách sử dụng ngân sách vẫn cần thêm minh bạch.</t>
  </si>
  <si>
    <t>Nhà nước đã giải thích rõ ràng về mục tiêu của chính sách mới. Tuy nhiên, tôi mong muốn có thêm thông tin chi tiết về quy trình thực thi và kết quả cụ thể từ ngân sách thuế.</t>
  </si>
  <si>
    <t>Tác động tài chính tích cực từ việc giảm trừ gia cảnh tăng cao đã giúp tôi tiết kiệm đáng kể. Kết hợp với sự đơn giản hóa thủ tục, tôi ủng hộ và sẽ tuân thủ chính sách mới.</t>
  </si>
  <si>
    <t>Cơ quan thuế có khả năng phát hiện hành vi trốn thuế nhờ công nghệ hiện đại, tuy nhiên mức độ quản lý và xử lý vẫn phụ thuộc vào việc thực thi.</t>
  </si>
  <si>
    <t>Nhà nước đã đầu tư công nghệ để nâng cao hiệu quả quản lý thuế, giảm thiểu khả năng trốn thuế.</t>
  </si>
  <si>
    <t>Quy trình khai báo và làm việc với cơ quan thuế đơn giản hơn so với trước đây, thuận tiện cho người nộp thuế.</t>
  </si>
  <si>
    <t>Biểu thuế mới có ít bậc hơn, dễ hiểu và thực hiện hơn, giảm bớt gánh nặng tính toán cho người dân.</t>
  </si>
  <si>
    <t>Tôi tin rằng Nhà nước sẽ thực thi chính sách một cách khách quan, công bằng đối với mọi người nộp thuế.</t>
  </si>
  <si>
    <t>Mức thuế mới phù hợp với thu nhập của tôi, giảm gánh nặng tài chính và tạo cảm giác công bằng.</t>
  </si>
  <si>
    <t>Thuế đóng góp vào việc cải thiện các dịch vụ công, như y tế và cơ sở hạ tầng.</t>
  </si>
  <si>
    <t>Nhà nước đã giải thích rõ ràng về mục tiêu của chính sách mới, tạo sự minh bạch.</t>
  </si>
  <si>
    <t>Tôi ủng hộ và tuân thủ chính sách mới vì nó mang lại lợi ích thiết thực cho người dân.</t>
  </si>
  <si>
    <t>Thuế TNCN đã có nhiều cải tiến, tuy nhiên với quy mô và sự đa dạng của nền kinh tế Việt Nam, việc phát hiện gian lận vẫn còn khó khăn.</t>
  </si>
  <si>
    <t>Nhà nước và cơ quan thuế có công nghệ hiện đại hơn nhưng khả năng phát hiện trốn thuế phụ thuộc vào nhiều yếu tố, chưa chắc chắn cao.</t>
  </si>
  <si>
    <t>Quy trình khai báo thuế trở nên đơn giản hơn với mức giảm trừ gia cảnh tăng và số bậc thuế giảm, thuận tiện cho người dân.</t>
  </si>
  <si>
    <t>Cách tính thuế và các bậc thuế mới dễ hiểu và thực hiện nhanh chóng hơn so với trước đây, giúp tiết kiệm thời gian và công sức.</t>
  </si>
  <si>
    <t>Tôi tin rằng cơ quan thuế sẽ thực thi chính sách một cách khách quan, công bằng cho tất cả người nộp thuế dù chưa hoàn toàn chắc chắn.</t>
  </si>
  <si>
    <t>Mức thuế mới được giảm đáng kể so với trước đây nên tôi cảm thấy nó khá hợp lý với thu nhập của mình và tình hình hiện tại.</t>
  </si>
  <si>
    <t>Thuế có thể dùng để cải thiện dịch vụ công nhưng không biết cụ thể cách sử dụng như thế nào, vẫn cần thêm minh bạch.</t>
  </si>
  <si>
    <t>Nhà nước đã giải thích rõ ràng về mục tiêu của việc cải cách thuế và tôi ủng hộ những thay đổi này.</t>
  </si>
  <si>
    <t>Chính sách mới giúp tiết kiệm chi phí, thuận tiện hơn nên tôi sẽ ủng hộ và tuân thủ.</t>
  </si>
  <si>
    <t>Việc giảm trừ gia cảnh tăng lên có thể làm giảm khả năng phát hiện hành vi trốn thuế, nhưng cơ quan thuế vẫn có công nghệ để quản lý.</t>
  </si>
  <si>
    <t>Cơ quan thuế có đủ nguồn lực và công nghệ để theo dõi tình hình tài chính của người dân, nhưng cần sự hợp tác từ phía người nộp thuế.</t>
  </si>
  <si>
    <t>Quy trình khai báo thuế đơn giản hơn trước, thủ tục nhanh chóng, tiện lợi. Việc này giúp giảm bớt phiền toái cho người dân.</t>
  </si>
  <si>
    <t>Biểu thuế được đơn giản hóa và dễ hiểu hơn, giảm độ phức tạp cho người nộp thuế.</t>
  </si>
  <si>
    <t>Nếu chính sách thực thi công bằng, tôi sẽ tin tưởng rằng cơ quan thuế đang làm việc một cách khách quan. Tuy nhiên, cần thêm thông tin về cách thực hiện.</t>
  </si>
  <si>
    <t>Thuế mới giảm đáng kể, phù hợp với thu nhập của tôi nên tôi thấy công bằng. Đây là mức thuế mà tôi có thể chấp nhận.</t>
  </si>
  <si>
    <t>Nếu số tiền thuế này được sử dụng hiệu quả cho các dịch vụ công, tôi sẽ tin tưởng vào việc sử dụng nguồn lực của Nhà nước.</t>
  </si>
  <si>
    <t>Chính phủ đã giải thích rõ ràng về mục tiêu cải cách, nhưng cần thêm thông tin cụ thể hơn về cách thực hiện.</t>
  </si>
  <si>
    <t>Tôi ủng hộ chính sách mới vì nó làm giảm gánh nặng thuế cho tôi và người dân chung. Tôi sẽ tuân thủ theo đúng quy định.</t>
  </si>
  <si>
    <t>Dù quy định quản lý thuế hiện nay đã được nâng cao, nhưng tôi vẫn lo ngại về khả năng phát hiện hành vi gian lận hoặc trốn thuế do chưa có nhiều thông tin về công nghệ và nguồn lực cụ thể của cơ quan thuế.</t>
  </si>
  <si>
    <t>Tôi tin rằng với sự tiến bộ trong công nghệ, việc phát hiện gian lận hay trốn thuế sẽ trở nên dễ dàng hơn. Tuy nhiên, cần thêm thông tin về khả năng thực tế của cơ quan thuế.</t>
  </si>
  <si>
    <t>Quy trình khai báo thuế và làm việc với cơ quan thuế đã đơn giản hóa đáng kể, tiết kiệm thời gian cho người dân. Điều này giúp tôi cảm thấy thuận tiện hơn.</t>
  </si>
  <si>
    <t>Cách tính thuế mới rõ ràng hơn và dễ hiểu, giảm bớt sự phức tạp trước đây. Tuy nhiên, vẫn cần thêm hướng dẫn để đảm bảo mọi người nắm bắt được.</t>
  </si>
  <si>
    <t>Tôi tin rằng cơ quan thuế sẽ thực thi chính sách một cách công bằng và khách quan, mặc dù tôi hy vọng có thêm minh bạch về quy trình cụ thể hơn.</t>
  </si>
  <si>
    <t>Mức thuế mới được giảm so với trước đây, tạo cảm giác công bằng. Tuy nhiên, việc này phụ thuộc vào thu nhập và tình hình tài chính riêng của mỗi người.</t>
  </si>
  <si>
    <t>Tôi tin rằng số tiền đóng thuế sẽ được sử dụng hiệu quả để cải thiện dịch vụ công, nhưng cần thêm thông tin về cách sử dụng nguồn thu thuế này.</t>
  </si>
  <si>
    <t>Nhà nước đã giải thích rõ ràng về mục tiêu của việc sửa đổi thuế, nhưng tôi mong muốn có thêm thông tin chi tiết và minh bạch hơn về các quyết định chính sách này.</t>
  </si>
  <si>
    <t>Tôi ủng hộ và tuân thủ chính sách mới do nó mang lại nhiều lợi ích về mặt tài chính và đơn giản hóa quy trình, đồng thời hy vọng chính sách sẽ được thực thi công bằng.</t>
  </si>
  <si>
    <t>Tăng mức giảm trừ gia cảnh và đơn giản hóa biểu thuế có thể làm giảm động lực để gian lận hoặc trốn thuế, nhưng vẫn cần giám sát chặt chẽ.</t>
  </si>
  <si>
    <t>Cơ quan thuế đã đầu tư vào công nghệ, nên khả năng phát hiện và xử lý nghiêm các hành vi sai phạm được cải thiện đáng kể.</t>
  </si>
  <si>
    <t>So với trước đây, quy trình khai báo thuế trở nên đơn giản hơn, giảm thời gian cần thiết để hoàn thành.</t>
  </si>
  <si>
    <t>Biểu thuế mới có ít bậc hơn và ngưỡng chịu thuế rõ ràng hơn, dễ dàng thực hiện.</t>
  </si>
  <si>
    <t>Tăng mức giảm trừ gia cảnh cho bản thân và người phụ thuộc giúp tôi cảm thấy công bằng trong việc đóng thuế.</t>
  </si>
  <si>
    <t>Ngưỡng chịu thuế mới phù hợp với thu nhập của tôi, nên mức thuế phải đóng là hợp lý.</t>
  </si>
  <si>
    <t>Thuế được sử dụng để cải thiện dịch vụ công, do đó tôi tin tưởng số tiền thuế tôi đóng có tác dụng tích cực.</t>
  </si>
  <si>
    <t>Đây là lần đầu tiên tôi thấy chính phủ giải thích rõ ràng về lý do và mục tiêu của việc sửa đổi thuế.</t>
  </si>
  <si>
    <t>Sau khi xem xét tất cả các yếu tố, tôi ủng hộ và tuân thủ chính sách mới vì lợi ích cá nhân và cộng đồng.</t>
  </si>
  <si>
    <t>Hiện nay, công nghệ phát triển mạnh mẽ, nhưng tôi không hoàn toàn tin rằng hành vi gian lận sẽ dễ dàng bị phát hiện. Tuy nhiên, với việc cải cách thuế mới, các quy định rõ ràng hơn có thể giúp tăng cường quản lý.</t>
  </si>
  <si>
    <t>Nhà nước đã đầu tư vào công nghệ và nhân lực cho cơ quan thuế, nhưng tôi không hoàn toàn chắc chắn về khả năng phát hiện trốn thuế tại thời điểm này.</t>
  </si>
  <si>
    <t>So với trước đây, quy trình khai báo thuế đã đơn giản hơn. Các ứng dụng và dịch vụ trực tuyến giúp việc làm thủ tục dễ dàng hơn nhiều.</t>
  </si>
  <si>
    <t>Số bậc thuế giảm đi từ 7 xuống 5, đồng thời mức giảm trừ gia cảnh tăng lên, nên việc tính toán thuế trở nên đơn giản và dễ hiểu hơn.</t>
  </si>
  <si>
    <t>Tôi tin rằng cơ quan thuế sẽ thực thi chính sách công bằng. Việc tăng mức giảm trừ gia cảnh và đơn giản hóa biểu thuế tạo ra một hệ thống thuế công bằng hơn.</t>
  </si>
  <si>
    <t>Với thu nhập của tôi, việc đóng thuế theo phương án mới là hợp lý. Mức thuế này phù hợp với mức sống hiện tại và không quá cao so với thu nhập.</t>
  </si>
  <si>
    <t>Thuế mà tôi đóng sẽ được sử dụng để cải thiện các dịch vụ công, như y tế và hạ tầng. Điều này tạo ra niềm tin rằng thuế đóng góp vào sự phát triển chung của xã hội.</t>
  </si>
  <si>
    <t>Nhà nước đã giải thích rõ ràng về mục tiêu cải cách thuế, tuy nhiên, tôi mong muốn có thêm thông tin chi tiết hơn về cách sử dụng số tiền thuế thu được.</t>
  </si>
  <si>
    <t>Tôi ủng hộ và tuân thủ chính sách mới vì nó mang lại lợi ích rõ ràng cho tôi. Mức giảm trừ gia cảnh tăng lên, cùng với việc đơn giản hóa biểu thuế, giúp tôi tiết kiệm tiền hơn.</t>
  </si>
  <si>
    <t>Nhà nước và cơ quan thuế đã có nhiều biện pháp quản lý mạnh mẽ, nên tôi tin rằng hành vi gian lận hoặc trốn thuế sẽ dễ bị phát hiện.</t>
  </si>
  <si>
    <t>Cơ sở hạ tầng công nghệ thông tin của nhà nước đang ngày càng phát triển, giúp xử lý các vấn đề về thuế một cách hiệu quả và nhanh chóng.</t>
  </si>
  <si>
    <t>Quy trình khai báo và làm việc với cơ quan thuế đã đơn giản hóa nhiều so với trước đây, tạo cảm giác thuận tiện hơn cho người dân.</t>
  </si>
  <si>
    <t>Biểu thuế mới đơn giản hơn với ít bậc thuế, giúp tôi dễ dàng tính toán và hiểu rõ về mức thuế mình phải nộp.</t>
  </si>
  <si>
    <t>Tôi tin rằng cơ quan thuế sẽ công bằng trong việc thực thi chính sách mới, đảm bảo mọi người đều được đối xử bình đẳng.</t>
  </si>
  <si>
    <t>Với mức thuế giảm đáng kể và các ưu đãi về giảm trừ gia cảnh, tôi cảm thấy mình đóng góp công bằng cho xã hội.</t>
  </si>
  <si>
    <t>Thuế tôi phải nộp sẽ được sử dụng hiệu quả để cải thiện dịch vụ công, từ đó tạo ra một môi trường tốt hơn cho mọi người.</t>
  </si>
  <si>
    <t>Nhà nước đã giải thích rõ ràng về mục tiêu và lý do của việc sửa đổi thuế lần này, khiến tôi cảm thấy tin tưởng hơn vào quyết định của họ.</t>
  </si>
  <si>
    <t>Tôi ủng hộ chính sách mới vì nó mang lại lợi ích đáng kể cho người dân như giảm gánh nặng về thuế và đơn giản hóa quy trình làm việc với cơ quan thuế.</t>
  </si>
  <si>
    <t>Nhà nước đã có nhiều cải tiến trong việc quản lý thuế, nhưng do tôi vẫn lo ngại về khả năng phát hiện và xử phạt của cơ quan thuế nên chỉ đồng ý một phần.</t>
  </si>
  <si>
    <t>Cơ quan thuế có công nghệ và nguồn lực để phát hiện gian lận, nhưng còn phụ thuộc vào sự quyết tâm trong việc thực thi pháp luật.</t>
  </si>
  <si>
    <t>Quy trình khai báo thuế đơn giản hơn trước đây, thủ tục nhanh chóng và dễ dàng.</t>
  </si>
  <si>
    <t>Biểu thuế đơn giản hóa từ 7 bậc xuống 5, dễ hiểu và thực hiện thuận tiện hơn</t>
  </si>
  <si>
    <t>Tôi tin Nhà nước sẽ công tâm trong việc áp dụng chính sách mới, nhưng cần thêm thời gian để kiểm chứng.</t>
  </si>
  <si>
    <t>Nhà nước đã giảm thuế cho tôi nên cảm thấy mức thuế mới là hợp lý</t>
  </si>
  <si>
    <t>Thuế đóng góp vào dịch vụ công, nhưng cần xem xét hiệu quả sử dụng ngân sách</t>
  </si>
  <si>
    <t>Nhà nước đã giải thích rõ về mục tiêu và lý do của việc sửa đổi thuế, tạo niềm tin cho người dân</t>
  </si>
  <si>
    <t>Tôi ủng hộ chính sách mới vì nó giảm gánh nặng tài chính cho tôi và gia đình</t>
  </si>
  <si>
    <t>Cơ quan thuế có nhiều công cụ hiện đại để phát hiện trốn thuế, tuy nhiên vẫn cần cải thiện hơn nữa. Với thu nhập của tôi, khả năng bị phát hiện là cao.</t>
  </si>
  <si>
    <t>Nhà nước đã đầu tư vào hệ thống công nghệ thông tin, nhưng sự hiệu quả trong việc giám sát và xử lý các hành vi trốn thuế vẫn còn hạn chế.</t>
  </si>
  <si>
    <t>Thủ tục khai báo thuế đơn giản hơn, tiết kiệm thời gian. Tuy nhiên, việc tiếp cận dịch vụ thuế qua trực tuyến chưa thực sự thuận tiện cho mọi người.</t>
  </si>
  <si>
    <t>Biểu thuế mới đơn giản và dễ hiểu, giảm độ phức tạp. Việc tính toán thuế trở nên nhanh chóng hơn, phù hợp với thu nhập của tôi.</t>
  </si>
  <si>
    <t>Tôi tin Nhà nước sẽ thực thi chính sách một cách công bằng, nhưng vẫn có những lo ngại về sự minh bạch trong quá trình quản lý thuế.</t>
  </si>
  <si>
    <t>Thuế mới giảm đáng kể so với trước đây và phù hợp với thu nhập của tôi. Mức thuế này được coi là công bằng.</t>
  </si>
  <si>
    <t>Tôi tin số tiền thuế đóng sẽ được sử dụng hiệu quả cho các dịch vụ công, nhưng cần thêm minh bạch về cách sử dụng nguồn thu thuế.</t>
  </si>
  <si>
    <t>Nhà nước đã giải thích rõ ràng về mục tiêu của việc sửa đổi thuế. Tuy nhiên, tôi mong muốn có thêm thông tin về các dự án cụ thể mà tiền thuế sẽ được đầu tư.</t>
  </si>
  <si>
    <t>Tôi ủng hộ chính sách mới vì nó giảm gánh nặng tài chính và đơn giản hóa quy trình khai báo. Tuy nhiên, tôi vẫn có một số lo ngại về cách thực thi.</t>
  </si>
  <si>
    <t>Dù không có nhiều thông tin về khả năng phát hiện và xử lý gian lận, nhưng với sự phát triển của công nghệ, tôi cho rằng cơ quan thuế sẽ có đủ khả năng để giám sát gian lận.</t>
  </si>
  <si>
    <t>Nhà nước đã đầu tư vào hệ thống công nghệ thông tin nên việc phát hiện và xử lý trốn thuế sẽ nhanh chóng hơn, giảm thiểu hành vi trốn tránh.</t>
  </si>
  <si>
    <t>Quy trình khai báo thuế trở nên đơn giản hơn, không còn nhiều bước rườm rà. Tuy nhiên, việc phải đăng ký và cập nhật thông tin liên tục có thể gây phiền phức.</t>
  </si>
  <si>
    <t>Biểu thuế mới đơn giản hóa các bậc thuế, dễ hiểu hơn so với trước đây. Việc này giúp tôi dễ dàng tính toán và nộp thuế chính xác hơn.</t>
  </si>
  <si>
    <t>Tôi tin rằng cơ quan thuế sẽ công bằng trong việc thực thi chính sách mới. Tuy nhiên, cần thêm thời gian để kiểm chứng sự khách quan của họ.</t>
  </si>
  <si>
    <t>Như một người có thu nhập trung bình, mức giảm trừ gia cảnh và thuế suất mới phù hợp với tình hình hiện tại. Tuy nhiên, cần thêm thông tin để đánh giá khách quan hơn về tính công bằng.</t>
  </si>
  <si>
    <t>Nếu số tiền thuế tôi đóng được sử dụng hiệu quả cho các dịch vụ công, tôi sẽ cảm thấy hài lòng. Tuy nhiên, cần có thêm thông tin về cách sử dụng nguồn thu thuế mới để đánh giá.</t>
  </si>
  <si>
    <t>Nhà nước đã giải thích rõ ràng về việc sửa đổi chính sách thuế, tuy nhiên, tôi mong muốn có thêm thông tin về các dự án cụ thể sẽ được tài trợ từ nguồn thu này.</t>
  </si>
  <si>
    <t>Tôi ủng hộ và tuân thủ chính sách mới vì nó tạo ra sự công bằng hơn cho người nộp thuế. Tuy nhiên, tôi cần thêm thời gian để quen với quy trình mới trước khi hoàn toàn chấp nhận.</t>
  </si>
  <si>
    <t>Mặc dù có các quy định quản lý thuế hiện nay, tôi vẫn nghi ngờ về khả năng phát hiện hành vi gian lận hoặc trốn thuế một cách hiệu quả. Cơ quan thuế cần nhiều nguồn lực và công nghệ hơn để thực thi.</t>
  </si>
  <si>
    <t>Tôi tin rằng với sự cải tiến, Nhà nước sẽ có khả năng phát hiện và xử lý nghiêm các hành vi gian lận hoặc trốn thuế tốt hơn. Tuy nhiên, cần thêm thời gian để chứng minh.</t>
  </si>
  <si>
    <t>So với trước đây, quy trình khai báo và làm việc với cơ quan thuế đã đơn giản hóa đáng kể, tạo thuận lợi cho người dân. Tuy nhiên, vẫn cần cải thiện hơn nữa về mặt công nghệ.</t>
  </si>
  <si>
    <t>Phương án mới có ít bậc thuế và dễ hiểu hơn, giúp việc tính toán và thực hiện đơn giản hơn nhiều so với trước đây</t>
  </si>
  <si>
    <t>Tôi tin rằng Nhà nước sẽ thực thi chính sách một cách công tâm, nhưng cần thêm thời gian để đánh giá.</t>
  </si>
  <si>
    <t>Mức thuế mới giảm đáng kể so với trước đây, tạo cảm giác công bằng hơn. Tuy nhiên, tôi vẫn muốn xem xét các yếu tố khác như chi phí dịch vụ công</t>
  </si>
  <si>
    <t>Tôi tin rằng số tiền thuế đóng sẽ được sử dụng hiệu quả để cải thiện chất lượng cuộc sống của người dân. Tuy nhiên, cần thêm thông tin về cách sử dụng nguồn thu thuế.</t>
  </si>
  <si>
    <t>Nhà nước đã giải thích rõ ràng về mục tiêu và lý do sửa đổi luật thuế. Tuy nhiên, việc minh bạch hơn nữa sẽ tăng niềm tin</t>
  </si>
  <si>
    <t>Sau khi xem xét các quyền lợi và nghĩa vụ, tôi ủng hộ chính sách mới này vì nó tạo ra sự công bằng và thuận tiện cho người dân.</t>
  </si>
  <si>
    <t>Thuế mới được đơn giản hóa nên khả năng phát hiện trốn thuế có thể giảm. Tuy nhiên, tôi tin rằng cơ quan thuế vẫn sẽ nỗ lực trong việc quản lý.</t>
  </si>
  <si>
    <t>Công nghệ ngày càng tiên tiến và số liệu điện tử giúp tăng cường khả năng kiểm soát thuế nên tôi đồng ý với mức độ này.</t>
  </si>
  <si>
    <t>So với trước đây, quy trình khai báo thuế trở nên đơn giản hơn. Các bước thực hiện cũng thuận tiện và nhanh chóng hơn nhiều.</t>
  </si>
  <si>
    <t>Biểu thuế mới được giảm bớt bậc và có cách tính rõ ràng hơn, khiến việc tuân thủ trở nên dễ dàng hơn.</t>
  </si>
  <si>
    <t>Nhà nước đã công bố quyết định sửa đổi thuế một cách minh bạch, tôi tin rằng họ sẽ thực thi chính sách công bằng và khách quan.</t>
  </si>
  <si>
    <t>Thu nhập của tôi nằm ở mức trung bình với số người phụ thuộc. Mức thuế mới giảm đáng kể so với trước đây nên tôi thấy nó là công bằng.</t>
  </si>
  <si>
    <t>Số tiền thuế đóng sẽ được sử dụng để cải thiện các dịch vụ công, điều này tăng niềm tin của tôi vào việc sử dụng nguồn lực một cách hiệu quả.</t>
  </si>
  <si>
    <t>Nhà nước đã giải thích rõ ràng về mục tiêu và lý do sửa đổi thuế. Mức độ minh bạch cao giúp tăng sự tin tưởng của tôi.</t>
  </si>
  <si>
    <t>Với mức giảm trừ gia cảnh lớn hơn, tôi tiết kiệm được nhiều tiền. Tôi ủng hộ chính sách mới vì nó đơn giản và công bằng.</t>
  </si>
  <si>
    <t>Việc giảm trừ gia cảnh tăng lên và số bậc thuế giảm, tuy nhiên, không rõ ràng về khả năng phát hiện gian lận hoặc trốn thuế.</t>
  </si>
  <si>
    <t>Cơ quan thuế có đủ khả năng và công nghệ để theo dõi doanh thu từ thuế TNCN, nhưng không chắc chắn về sự thực thi.</t>
  </si>
  <si>
    <t>Thủ tục khai thuế đơn giản hơn so với trước đây, giảm bớt rắc rối cho người dân.</t>
  </si>
  <si>
    <t>Biểu thuế mới đơn giản hóa các bậc và thuế suất, dễ dàng tính toán hơn</t>
  </si>
  <si>
    <t>Nhà nước đã cải cách để giảm gian lận và tăng công bằng trong việc đánh thuế.</t>
  </si>
  <si>
    <t>Mức thuế mới phù hợp với thu nhập hiện tại, mang lại cảm giác công bằng.</t>
  </si>
  <si>
    <t>Thuế đóng góp vào các dịch vụ công, cải thiện chất lượng cuộc sống</t>
  </si>
  <si>
    <t>Chính phủ đã cung cấp thông tin rõ ràng về mục tiêu và lý do của việc sửa đổi thuế.</t>
  </si>
  <si>
    <t>Sau khi xem xét, tôi đồng ý ủng hộ và tuân thủ chính sách mới vì lợi ích tổng thể</t>
  </si>
  <si>
    <t>Cơ quan thuế đã có hệ thống phát hiện trốn thuế hiệu quả, mặc dù không hoàn toàn chắc chắn về việc gian lận sẽ bị phát hiện ngay lập tức.</t>
  </si>
  <si>
    <t>Nhà nước và cơ quan thuế có công nghệ tiên tiến để giám sát hoạt động kinh tế, do đó khả năng phát hiện trốn thuế là cao.</t>
  </si>
  <si>
    <t>Quy trình khai báo thuế đơn giản hơn, nhưng vẫn cần thời gian quen thuộc với người dân.</t>
  </si>
  <si>
    <t>Các bậc thuế được đơn giản hóa, dễ hiểu hơn và áp dụng công bằng cho mọi đối tượng có thu nhập tương tự.</t>
  </si>
  <si>
    <t>Tôi tin rằng cơ quan thuế sẽ thực thi chính sách một cách khách quan, công tâm và không phân biệt ai đóng thuế.</t>
  </si>
  <si>
    <t>Thuế mới được điều chỉnh phù hợp với thu nhập của tôi, thể hiện tính công bằng trong việc đóng góp cho xã hội.</t>
  </si>
  <si>
    <t>Nhà nước đã giải thích rõ ràng về mục tiêu của việc sửa đổi luật thuế, nhưng có thể cần thêm thông tin chi tiết hơn.</t>
  </si>
  <si>
    <t>Dựa trên tác động tài chính và sự đơn giản hóa, tôi ủng hộ và sẽ tuân thủ chính sách mới.</t>
  </si>
  <si>
    <t>Nhà nước và cơ quan thuế có công nghệ hiện đại nên việc phát hiện hành vi gian lận hoặc trốn thuế sẽ rất khó xảy ra. Tuy nhiên, với quy định quản lý thuế hiện tại, tôi vẫn tin rằng hành vi này sẽ bị phát hiện.</t>
  </si>
  <si>
    <t>Việc sử dụng công nghệ để giám sát và xử lý các hành vi trốn thuế là cần thiết. Với sự cải thiện về cơ sở hạ tầng của cơ quan thuế, tôi tin rằng họ sẽ có đủ khả năng để thực hiện điều này.</t>
  </si>
  <si>
    <t>Quy trình làm việc với cơ quan thuế đã đơn giản hơn nhiều so với trước đây. Tuy nhiên, vẫn còn một số thủ tục cần cải tiến nữa để trở nên hoàn hảo.</t>
  </si>
  <si>
    <t>Cách tính thuế và các bậc thuế mới dễ hiểu và thực hiện dễ dàng hơn. Điều này giúp tôi không cảm thấy bối rối khi khai báo thuế.</t>
  </si>
  <si>
    <t>Tôi tin rằng Nhà nước sẽ áp dụng chính sách một cách khách quan, công tâm đối với tất cả các cá nhân nộp thuế.</t>
  </si>
  <si>
    <t>Mức thuế mới mà tôi phải đóng là hợp lý. Tăng mức giảm trừ gia cảnh cho bản thân và người phụ thuộc giúp tôi tiết kiệm được một khoản tiền đáng kể.</t>
  </si>
  <si>
    <t>Thuế của tôi sẽ được sử dụng để cải thiện dịch vụ công, như y tế và giao thông. Điều này làm tăng niềm tin của tôi về việc đóng thuế.</t>
  </si>
  <si>
    <t>Nhà nước đã giải thích rõ ràng về mục tiêu của chính sách mới. Tuy nhiên, vẫn còn một số chi tiết cần thêm minh bạch hơn để người dân hiểu đầy đủ.</t>
  </si>
  <si>
    <t>Tôi ủng hộ và tuân thủ chính sách mới vì nó giúp tôi giảm gánh nặng thuế và tạo ra sự công bằng trong việc đóng thuế. Tuy nhiên, vẫn cần cải tiến thêm về mặt quản lý và minh bạch.</t>
  </si>
  <si>
    <t>Dù mức thuế giảm, nhưng tôi vẫn lo ngại về khả năng phát hiện hành vi trốn thuế. Việc quản lý thuế hiện nay còn nhiều bất cập.</t>
  </si>
  <si>
    <t>Cơ quan thuế đã có nhiều cải tiến công nghệ, tuy nhiên, việc giám sát toàn diện vẫn còn hạn chế.</t>
  </si>
  <si>
    <t>Quy trình khai thuế và giao dịch với cơ quan thuế dễ dàng hơn nhưng vẫn cần thêm thời gian để làm quen.</t>
  </si>
  <si>
    <t>Biểu thuế đơn giản hóa đã giúp tôi hiểu rõ hơn về cách tính thuế, giảm bớt sự phức tạp</t>
  </si>
  <si>
    <t>Tôi tin rằng cơ quan thuế sẽ cố gắng thực thi chính sách công bằng nhưng vẫn có nguy cơ không công bằng đối với một số đối tượng.</t>
  </si>
  <si>
    <t>Mức thuế mới phù hợp hơn so với trước đây, giảm gánh nặng cho người thu nhập trung bình như tôi</t>
  </si>
  <si>
    <t>Tiền thuế đóng góp vào cải thiện hạ tầng và dịch vụ công là điều cần thiết, nhưng hiệu quả sử dụng còn hạn chế.</t>
  </si>
  <si>
    <t>Thống kê đã giải thích rõ về mục tiêu của chính sách mới, tuy nhiên, tôi mong muốn có thêm thông tin chi tiết hơn</t>
  </si>
  <si>
    <t>Tác động tài chính tích cực đã tăng niềm tin và khả năng tuân thủ, mặc dù vẫn còn một số lo ngại về tính công bằng của chính sách.</t>
  </si>
  <si>
    <t>Đối với tôi, việc tăng cường quản lý thuế và công nghệ hiện đại giúp giảm thiểu hành vi gian lận. Tuy nhiên, vẫn cần thời gian để các cơ quan thuế hoàn thiện hệ thống.</t>
  </si>
  <si>
    <t>Nhà nước đã đầu tư vào công nghệ và nhân lực trong ngành thuế, nâng cao khả năng phát hiện hành vi trốn thuế. Tuy nhiên, vẫn còn những rủi ro khi thực thi.</t>
  </si>
  <si>
    <t>Quy trình khai báo thuế đơn giản hơn so với trước đây, giảm bớt thời gian và công sức cho người dân. Việc này giúp thuận tiện trong việc thực hiện nghĩa vụ thuế.</t>
  </si>
  <si>
    <t>Cách tính thuế mới rõ ràng hơn, số bậc thuế ít đi, dễ dàng áp dụng hơn. Điều này làm giảm rủi ro khi khai báo và nộp thuế.</t>
  </si>
  <si>
    <t>Tôi tin rằng Nhà nước sẽ công bằng trong việc thực thi chính sách mới, nhưng vẫn cần thêm thời gian để chứng minh điều đó.</t>
  </si>
  <si>
    <t>Mức thuế giảm đáng kể so với trước đây giúp tôi cảm thấy công bằng hơn. Việc giảm trừ gia cảnh tăng lên cũng rất hợp lý.</t>
  </si>
  <si>
    <t>Thuế đóng góp vào việc cải thiện dịch vụ công, tôi hy vọng số tiền thuế sẽ được sử dụng hiệu quả.</t>
  </si>
  <si>
    <t>Nhà nước đã giải thích rõ ràng về mục tiêu của chính sách mới. Tuy nhiên, tôi vẫn mong muốn có thêm thông tin chi tiết về cách sử dụng nguồn thu từ thuế.</t>
  </si>
  <si>
    <t>Dựa trên lợi ích và giảm trừ gia cảnh tăng lên, tôi ủng hộ và sẽ tuân thủ chính sách mới. Điều này giúp cải thiện tình hình tài chính của tôi.</t>
  </si>
  <si>
    <t>Dù có các quy định quản lý thuế hiện nay, nhưng với việc tăng mức giảm trừ gia cảnh và đơn giản hóa biểu thuế, khả năng phát hiện hành vi gian lận hay trốn thuế có thể giảm đi.</t>
  </si>
  <si>
    <t>Việc Nhà nước ban hành luật mới cần thời gian để các cơ quan thuế triển khai công nghệ và nguồn lực, nên khả năng phát hiện vi phạm không chắc chắn.</t>
  </si>
  <si>
    <t>Thủ tục khai báo thuế đơn giản hơn trước, nhưng vẫn còn phức tạp với nhiều bậc thuế. Tuy nhiên, quy trình làm việc với cơ quan thuế đã cải thiện đáng kể.</t>
  </si>
  <si>
    <t>Biểu thuế mới có ít bậc và dễ hiểu hơn so với trước đây, giúp tính toán nhanh chóng và chính xác hơn.</t>
  </si>
  <si>
    <t>Tôi tin rằng Nhà nước sẽ thực thi chính sách một cách công tâm, nhưng cần thời gian để thấy kết quả cụ thể.</t>
  </si>
  <si>
    <t>Mức thuế mới giảm cho tôi, do đó tôi cảm thấy việc đóng thuế là công bằng và hợp lý.</t>
  </si>
  <si>
    <t>Tài chính của gia đình sẽ ổn định hơn với mức thuế giảm, giúp cải thiện dịch vụ công hiệu quả.</t>
  </si>
  <si>
    <t>Nhà nước đã giải thích rõ về mục tiêu và lý do sửa đổi biểu thuế mới, nhưng cần thêm thông tin chi tiết.</t>
  </si>
  <si>
    <t>Mặc dù có một số thay đổi phức tạp ở đầu, nhưng tổng thể tôi ủng hộ và sẽ tuân thủ chính sách mới.</t>
  </si>
  <si>
    <t>Thuế điện tử và hệ thống quản lý thuế hiện đại giúp phát hiện hành vi gian lận, nhưng vẫn có thể gặp khó khăn với những cách trốn thuế tinh vi.</t>
  </si>
  <si>
    <t>Cơ quan thuế đã đầu tư công nghệ và nhân lực để quản lý hiệu quả hơn, giảm thiểu hành vi trốn thuế.</t>
  </si>
  <si>
    <t>Thủ tục đơn giản hơn, không cần báo cáo chi tiết về người phụ thuộc như trước, làm việc với cơ quan thuế nhanh chóng.</t>
  </si>
  <si>
    <t>Biểu thuế mới rõ ràng, bậc thuế giảm và mức giảm trừ gia cảnh tăng, dễ dàng tính toán hơn.</t>
  </si>
  <si>
    <t>Các quy định công bằng hơn với người nộp thuế, công tác quản lý thuế được cải thiện.</t>
  </si>
  <si>
    <t>Thuế mới giảm đáng kể so với trước, mức giảm trừ gia cảnh tăng, đánh giá công bằng</t>
  </si>
  <si>
    <t>Tiết kiệm được tiền thuế hàng tháng, số tiền đóng vào quỹ quốc gia để đầu tư phát triển hạ tầng và y tế.</t>
  </si>
  <si>
    <t>Quy định mới được giải thích rõ ràng trong các văn bản chính sách, mục tiêu cải cách công khai.</t>
  </si>
  <si>
    <t>Đồng ý với phương án mới, giảm gánh nặng thuế cho cá nhân và gia đình</t>
  </si>
  <si>
    <t>Nhà nước đã có hệ thống quản lý thuế khá chặt chẽ, mặc dù vẫn còn tồn tại một số vấn đề về gian lận, nhưng với sự phát triển của công nghệ, khả năng phát hiện trốn thuế được cải thiện nhiều.</t>
  </si>
  <si>
    <t>Cơ quan thuế có đủ nguồn lực và công nghệ để giám sát các hoạt động kinh tế, từ đó phát hiện và xử lý kịp thời những hành vi gian lận hoặc trốn thuế.</t>
  </si>
  <si>
    <t>So với trước đây, quy trình khai báo thuế trở nên đơn giản hơn, giảm bớt các thủ tục rườm rà. Tuy nhiên, vẫn còn một số bước cần cải tiến để thuận tiện hơn.</t>
  </si>
  <si>
    <t>Biểu thuế đã được đơn giản hóa từ 7 bậc xuống 5 bậc, làm cho việc tính toán và nộp thuế trở nên dễ dàng hơn. Người dân có thể nắm bắt nhanh chóng các quy định mới.</t>
  </si>
  <si>
    <t>Tôi tin rằng Nhà nước sẽ thực thi chính sách một cách công bằng với tất cả người dân, tuy nhiên vẫn cần thêm nhiều biện pháp giám sát để đảm bảo sự công bằng.</t>
  </si>
  <si>
    <t>Với mức thu nhập hiện tại, mức thuế mới được xem là hợp lý và công bằng. Nó giảm gánh nặng tài chính cho tôi mà vẫn đảm bảo nguồn thu đáng kể cho Nhà nước.</t>
  </si>
  <si>
    <t>Tôi tin rằng số tiền thuế đóng góp sẽ được sử dụng hiệu quả để cải thiện chất lượng dịch vụ công, mặc dù việc theo dõi cụ thể còn phụ thuộc vào khả năng quản lý của chính phủ.</t>
  </si>
  <si>
    <t>Nhà nước đã giải thích rõ ràng về mục tiêu và tầm nhìn của cuộc cải cách này, tuy nhiên tôi vẫn mong muốn có thêm thông tin chi tiết hơn về các biện pháp cụ thể sẽ được thực hiện để đảm bảo hiệu quả.</t>
  </si>
  <si>
    <t>Đối với chính sách mới, tôi ủng hộ nó vì nó đơn giản hóa quy trình và giảm gánh nặng thuế cho người dân, đồng thời cải thiện công bằng trong việc phân phối thuế</t>
  </si>
  <si>
    <t>Thuế mới được đơn giản hóa, nhưng khả năng phát hiện trốn thuế phụ thuộc nhiều vào việc giám sát và công nghệ của cơ quan thuế.</t>
  </si>
  <si>
    <t>Cơ quan thuế có thể áp dụng công nghệ tốt để xử lý các vụ việc gian lận, nhưng thực tế cần thêm thời gian để triển khai.</t>
  </si>
  <si>
    <t>Quy trình làm việc với cơ quan thuế đã đơn giản hơn trước đây, thủ tục khai báo thuế cũng thuận tiện hơn.</t>
  </si>
  <si>
    <t>Bậc thuế mới có ít bậc hơn và rõ ràng hơn so với cũ, dễ thực hiện và hiểu.</t>
  </si>
  <si>
    <t>Nhà nước đã công bố chính sách một cách minh bạch nhưng cần thêm biện pháp để đảm bảo khách quan trong việc áp dụng.</t>
  </si>
  <si>
    <t>Thuế mới phù hợp với thu nhập của tôi, giảm gánh nặng về thuế nên cảm thấy công bằng hơn.</t>
  </si>
  <si>
    <t>Tiết kiệm được tiền thuế giúp cải thiện dịch vụ công có thể mang lại lợi ích cho tôi</t>
  </si>
  <si>
    <t>Nhà nước đã giải thích rõ mục tiêu và lý do của chính sách mới, nhưng cần thêm thông tin về cách sử dụng nguồn thu thuế.</t>
  </si>
  <si>
    <t>Tác động tài chính tích cực và quy trình đơn giản hóa là những điểm mạnh, tôi sẽ ủng hộ và tuân thủ chính sách mới.</t>
  </si>
  <si>
    <t>Nội dung về quản lý thuế và xử lý gian lận chưa đủ chi tiết, nhưng mức giảm trừ gia cảnh tăng nên giảm khả năng trốn thuế.</t>
  </si>
  <si>
    <t>Cơ quan thuế có công nghệ hiện đại để giám sát, nhưng vẫn cần cải thiện về quy định quản lý.</t>
  </si>
  <si>
    <t>Thủ tục đơn giản hơn với mức giảm trừ gia cảnh cao và số bậc thuế ít hơn, tạo cảm giác thuận tiện.</t>
  </si>
  <si>
    <t>Cách tính thuế rõ ràng, dễ hiểu hơn so với trước đây, giúp tôi thực hiện nhanh chóng.</t>
  </si>
  <si>
    <t>Trình tự và quy định mới công bằng đối với người nộp thuế như tôi, tạo niềm tin</t>
  </si>
  <si>
    <t>Mức thuế giảm đáng kể nên cảm thấy hợp lý, công bằng hơn so với trước đây</t>
  </si>
  <si>
    <t>Thuế tôi đóng sẽ được sử dụng hiệu quả để cải thiện dịch vụ công, tạo niềm tin về sự sử dụng đúng mục đích</t>
  </si>
  <si>
    <t>Nhà nước đã giải thích rõ ràng về mục tiêu và lý do của việc sửa đổi thuế, tạo sự minh bạch</t>
  </si>
  <si>
    <t>Sau khi xem xét tác động tài chính tích cực, tôi ủng hộ và tuân thủ chính sách mới.</t>
  </si>
  <si>
    <t>Dù các quy định quản lý thuế hiện nay có khả năng phát hiện hành vi gian lận, tôi vẫn nghi ngờ về thực thi của Nhà nước.</t>
  </si>
  <si>
    <t>Cơ quan thuế có công nghệ và nguồn lực để xử lý các vấn đề trốn thuế, nhưng sự thực thi còn phụ thuộc vào nhiều yếu tố khác như nhân sự quản lý.</t>
  </si>
  <si>
    <t>Thủ tục khai báo thuế đơn giản hơn so với trước đây, tôi dễ dàng nắm bắt và thực hiện.</t>
  </si>
  <si>
    <t>Cách tính thuế mới rõ ràng, giảm bớt các bậc thuế giúp việc thực hiện dễ dàng hơn.</t>
  </si>
  <si>
    <t>Tôi tin rằng Nhà nước sẽ công tâm trong việc thực thi chính sách, nhưng vẫn có lo ngại về khả năng thực thi.</t>
  </si>
  <si>
    <t>Thuế mới được giảm đáng kể, tôi thấy mức thuế này là hợp lý so với thu nhập của mình</t>
  </si>
  <si>
    <t>Nhiều quyền lợi sẽ cải thiện từ số tiền thuế đóng, tôi tin Nhà nước sẽ sử dụng hiệu quả.</t>
  </si>
  <si>
    <t>Nhà nước đã giải thích rõ ràng về mục tiêu của việc sửa đổi thuế, nhưng thông tin có thể còn chưa đầy đủ.</t>
  </si>
  <si>
    <t>Sau khi xem xét các quyền lợi và nghĩa vụ, tôi ủng hộ chính sách mới vì nó mang lại nhiều ưu điểm cho người dân.</t>
  </si>
  <si>
    <t>Dù đã cải thiện nhưng các quy định quản lý thuế hiện nay vẫn còn nhiều điểm khó kiểm soát. Tuy nhiên, với việc đơn giản hóa biểu thuế và tăng mức giảm trừ gia cảnh, khả năng phát hiện gian lận sẽ tốt hơn.</t>
  </si>
  <si>
    <t>Cơ quan thuế có công nghệ tiên tiến nên việc quản lý thuế trở nên hiệu quả. Tuy nhiên, vẫn cần cải thiện trong việc thông báo và cung cấp hỗ trợ cho người dân.</t>
  </si>
  <si>
    <t>Quy trình khai thuế đã đơn giản hóa hơn nhưng vẫn còn phức tạp đối với những người không am hiểu về thuế. Tuy nhiên, mức giảm trừ gia cảnh tăng giúp thuận tiện trong quá trình khai báo.</t>
  </si>
  <si>
    <t>Biểu thuế mới đơn giản và dễ hiểu hơn so với trước đây. Mức thuế suất phù hợp với thu nhập hiện tại của tôi, nên việc tính toán trở nên dễ dàng hơn.</t>
  </si>
  <si>
    <t>Tôi tin rằng cơ quan thuế sẽ thực thi chính sách một cách công bằng nhưng vẫn cần cải thiện trong việc minh bạch hóa quy trình quản lý.</t>
  </si>
  <si>
    <t>Mức thuế mới giảm đáng kể so với trước đây. Tôi thấy mức này hợp lý và phù hợp với thu nhập của tôi, do đó cảm thấy công bằng hơn.</t>
  </si>
  <si>
    <t>Tôi tin rằng số tiền thuế đóng sẽ được sử dụng hiệu quả để cải thiện dịch vụ công. Tuy nhiên, cần thêm thông tin về cách sử dụng nguồn thu thuế.</t>
  </si>
  <si>
    <t>Nhà nước đã giải thích rõ ràng mục tiêu của việc sửa đổi thuế nhưng vẫn cần cung cấp thêm chi tiết để người dân hiểu hơn về quy trình quản lý và sử dụng nguồn thu.</t>
  </si>
  <si>
    <t>Tôi ủng hộ chính sách mới vì nó đơn giản hóa quy trình khai báo, giảm gánh nặng thuế đối với tôi. Tuy nhiên, cần cải thiện trong việc minh bạch hóa quy trình quản lý thuế.</t>
  </si>
  <si>
    <t>Thuế mới có 5 bậc thay vì 7, giảm cơ hội trốn thuế. Công nghệ hiện đại giúp phát hiện dễ dàng hơn.</t>
  </si>
  <si>
    <t>Cơ quan thuế có nhiều nguồn lực hơn để theo dõi và xử lý hành vi trốn thuế.</t>
  </si>
  <si>
    <t>Quy trình đơn giản, giảm số bậc thuế từ 7 xuống 5 làm việc với cơ quan thuế dễ dàng hơn.</t>
  </si>
  <si>
    <t>Bậc thuế mới đơn giản, dễ hiểu và thực hiện thuận lợi hơn so với trước đây.</t>
  </si>
  <si>
    <t>Nhà nước công bố rõ ràng về mục tiêu cải cách, tạo niềm tin cho người dân.</t>
  </si>
  <si>
    <t>Thuế theo luật mới giảm đáng kể, tôi thấy nó hợp lý và công bằng với thu nhập hiện tại.</t>
  </si>
  <si>
    <t>Thuế tiết kiệm được sẽ được sử dụng hiệu quả vào các dịch vụ công ích</t>
  </si>
  <si>
    <t>Nhà nước giải thích rõ ràng về chính sách mới, tôi tin rằng họ thực hiện công bằng.</t>
  </si>
  <si>
    <t>Chính sách mới mang lại lợi ích tài chính rõ rệt và đơn giản hóa quy trình thuế</t>
  </si>
  <si>
    <t>Hệ thống quản lý thuế hiện tại chưa hoàn toàn phát triển, khả năng phát hiện hành vi trốn thuế có thể vẫn còn hạn chế.</t>
  </si>
  <si>
    <t>Nhà nước và cơ quan thuế đang nỗ lực cải thiện công nghệ, nhưng cần thời gian để nâng cao hiệu quả quản lý thuế.</t>
  </si>
  <si>
    <t>Quy trình khai báo thuế trở nên đơn giản hơn với mức giảm trừ gia cảnh tăng và số bậc thuế được rút gọn.</t>
  </si>
  <si>
    <t>Biểu thuế mới dễ hiểu, các bước tính toán thu nhập chịu thuế cũng đơn giản hóa đáng kể so với trước đây.</t>
  </si>
  <si>
    <t>Tôi tin rằng Nhà nước sẽ công bằng trong việc thực thi chính sách, nhưng cần thời gian để chứng minh.</t>
  </si>
  <si>
    <t>Mức thuế mới giảm đáng kể so với trước đây, tôi cho là hợp lý với mức thu nhập hiện tại của mình.</t>
  </si>
  <si>
    <t>Thuế đóng góp vào việc cải thiện các dịch vụ công, tuy nhiên hiệu quả sử dụng còn cần được đánh giá thường xuyên.</t>
  </si>
  <si>
    <t>Nhà nước đã giải thích rõ ràng về mục tiêu sửa đổi thuế lần này, nhưng chi tiết thực hiện vẫn cần thêm minh bạch hơn.</t>
  </si>
  <si>
    <t>Tôi ủng hộ và tuân thủ chính sách mới vì lợi ích tài chính rõ rệt mà nó mang lại cho tôi.</t>
  </si>
  <si>
    <t>Tôi tin rằng với việc quản lý thuế hiện đại và công nghệ phát triển, hành vi gian lận hoặc trốn thuế sẽ khó tồn tại. Tuy nhiên, tôi vẫn lo ngại về khả năng thực thi cụ thể.</t>
  </si>
  <si>
    <t>Nhà nước đã đầu tư vào hệ thống công nghệ thông tin cho cơ quan thuế, giúp tăng cường hiệu quả trong việc phát hiện và xử lý các hành vi trốn thuế. Điều này tạo niềm tin cho tôi.</t>
  </si>
  <si>
    <t>So với trước đây, quy trình khai báo thuế trở nên đơn giản hơn nhiều, giúp tiết kiệm thời gian và công sức cho người dân. Đây là một bước tiến rất đáng kể.</t>
  </si>
  <si>
    <t>Mức độ phức tạp của biểu thuế đã giảm từ 7 bậc xuống còn 5 bậc, làm cho việc tính toán thuế trở nên dễ dàng và rõ ràng hơn nhiều. Điều này giúp tôi có thể tự tính thuế một cách chính xác.</t>
  </si>
  <si>
    <t>Tôi tin rằng Nhà nước sẽ thực thi chính sách một cách công bằng, khách quan và bình đẳng cho mọi người nộp thuế. Sự thay đổi về mức giảm trừ gia cảnh cũng tạo ra sự công bằng hơn.</t>
  </si>
  <si>
    <t>Mức thuế mới phù hợp với thu nhập của tôi, giảm bớt gánh nặng tài chính và tạo cảm giác công bằng. Sự thay đổi này là một bước tiến tích cực</t>
  </si>
  <si>
    <t>Số tiền thuế đóng sẽ được sử dụng hiệu quả để cải thiện dịch vụ công, từ đó góp phần nâng cao chất lượng cuộc sống cho người dân.</t>
  </si>
  <si>
    <t>Nhà nước đã giải thích rõ ràng về mục tiêu và lý do của việc sửa đổi thuế. Điều này tạo niềm tin cho tôi rằng chính sách mới sẽ mang lại lợi ích thực tế cho người dân.</t>
  </si>
  <si>
    <t>Sau khi xem xét các quyền lợi và nghĩa vụ, tôi ủng hộ và tuân thủ chính sách mới. Nó không chỉ giảm gánh nặng tài chính mà còn tạo cảm giác công bằng và minh bạch.</t>
  </si>
  <si>
    <t>Công nghệ hiện đại đã giúp cơ quan thuế phát hiện hành vi trốn thuế một cách hiệu quả.</t>
  </si>
  <si>
    <t>Nhà nước có đủ nguồn lực và công nghệ để quản lý thuế, xử lý nghiêm các trường hợp gian lận, trốn thuế.</t>
  </si>
  <si>
    <t>Quy trình khai báo thuế trở nên đơn giản hơn, tiết kiệm thời gian cho người nộp thuế.</t>
  </si>
  <si>
    <t>Mức thuế mới không quá nặng, phù hợp với thu nhập của tôi hiện tại.</t>
  </si>
  <si>
    <t>Thuế đóng góp vào việc cải thiện chất lượng dịch vụ công và phát triển quốc gia.</t>
  </si>
  <si>
    <t>Nhà nước đã giải thích rõ ràng về mục tiêu của chính sách mới, tạo niềm tin cho người dân.</t>
  </si>
  <si>
    <t>Tôi ủng hộ và tuân thủ chính sách mới vì nó mang lại nhiều lợi ích hơn so với trước đây.</t>
  </si>
  <si>
    <t>Điều này không liên quan nhiều đến tôi vì thu nhập của tôi ở mức trung bình, và thông tin cá nhân được bảo mật tốt. Tuy nhiên, việc gian lận vẫn có thể xảy ra do thiếu giám sát.</t>
  </si>
  <si>
    <t>Cơ quan thuế có nhiều công cụ để theo dõi các khoản thu nhập và phát hiện sai phạm, nhưng sự hiệu quả phụ thuộc vào nguồn lực và quyết tâm của họ.</t>
  </si>
  <si>
    <t>Quy trình khai báo thuế trở nên đơn giản hơn, ít bước phức tạp. Tuy nhiên, tôi vẫn gặp khó khăn khi phải tuân theo các quy định thay đổi liên tục.</t>
  </si>
  <si>
    <t>Biểu thuế mới đơn giản hóa việc tính toán, nhưng tôi nghĩ cần thêm hướng dẫn cụ thể hơn để người dân dễ dàng áp dụng.</t>
  </si>
  <si>
    <t>Tôi tin rằng cơ quan thuế sẽ công bằng trong việc thực thi chính sách, mặc dù đôi khi cảm thấy có sự bất công đối với những người thu nhập cao hơn tôi.</t>
  </si>
  <si>
    <t>Thuế mới giảm đáng kể giúp tôi tiết kiệm được nhiều tiền. Đây là mức thuế phù hợp cho thu nhập của tôi và gia đình.</t>
  </si>
  <si>
    <t>Tiền thuế đóng góp vào các dịch vụ công, nhưng không rõ cụ thể chúng sẽ được sử dụng như thế nào. Tuy nhiên, tôi hy vọng chúng sẽ mang lại lợi ích cho cộng đồng.</t>
  </si>
  <si>
    <t>Tôi thấy chính phủ đã giải thích khá rõ ràng về mục tiêu của việc cải cách thuế này, nhưng đôi khi cảm giác như thông tin không đầy đủ và dễ hiểu đối với người dân bình thường.</t>
  </si>
  <si>
    <t>Sau khi xem xét các quyền lợi và nghĩa vụ, tôi ủng hộ chính sách mới vì nó giảm gánh nặng thuế cho gia đình tôi. Tôi sẽ tuân thủ theo quy định mới.</t>
  </si>
  <si>
    <t>Dù cơ quan thuế có công nghệ phát hiện gian lận, nhưng quy định quản lý thuế vẫn còn hạn chế. Tuy nhiên, với mức giảm trừ gia cảnh tăng lên, tôi cảm thấy hành vi trốn thuế sẽ giảm đi.</t>
  </si>
  <si>
    <t>Cơ quan thuế có thể không hoàn toàn đủ năng lực để phát hiện mọi gian lận, nhưng cải cách này giúp giảm bớt cơ hội cho việc trốn thuế.</t>
  </si>
  <si>
    <t>Thủ tục khai báo thuế đơn giản hơn trước, điều này làm cho quá trình trở nên thuận tiện hơn. Tuy nhiên, sự thay đổi về thuế suất và bậc thuế vẫn có thể gây khó hiểu.</t>
  </si>
  <si>
    <t>Các bậc thuế được rút gọn, dễ hiểu và thực hiện đơn giản hơn so với trước đây, giảm bớt sự phức tạp cho người dân.</t>
  </si>
  <si>
    <t>Tôi tin rằng cơ quan thuế sẽ công bằng trong việc áp dụng chính sách mới, nhưng vẫn còn nghi ngờ về khả năng thực thi một cách công tâm.</t>
  </si>
  <si>
    <t>Như tôi đã tiết kiệm được nhiều tiền thuế, tôi cảm thấy mức thuế này là hợp lý và công bằng cho thu nhập của mình.</t>
  </si>
  <si>
    <t>Dự kiến số tiền thuế sẽ được sử dụng hiệu quả để cải thiện dịch vụ công, điều này làm tăng niềm tin của tôi vào mục tiêu của chính sách mới.</t>
  </si>
  <si>
    <t>Nhà nước đã giải thích rõ ràng về lý do và mục đích của việc sửa đổi thuế lần này, mặc dù có thể còn chưa đầy đủ.</t>
  </si>
  <si>
    <t>Dù không hoàn toàn đồng ý với tất cả các thay đổi, nhưng tôi sẽ ủng hộ chính sách mới vì lợi ích tài chính và sự đơn giản hóa quy trình khai thuế.</t>
  </si>
  <si>
    <t>Nếu cơ quan thuế có đủ khả năng và công nghệ, họ sẽ dễ dàng phát hiện hành vi gian lận hoặc trốn thuế. Mặc dù vậy, tôi vẫn nghi ngờ về mức độ thực thi của các quy định quản lý thuế.</t>
  </si>
  <si>
    <t>Nhà nước và cơ quan thuế có công nghệ tiên tiến để phát hiện hành vi gian lận hoặc trốn thuế. Điều này tăng khả năng xử lý nghiêm các trường hợp vi phạm.</t>
  </si>
  <si>
    <t>So với trước đây, thủ tục khai báo thuế và quy trình làm việc với cơ quan thuế đơn giản hơn nhiều. Người dân dễ dàng tiếp cận và thực hiện các quy định hơn.</t>
  </si>
  <si>
    <t>Biểu thuế mới có ít bậc hơn và mức giảm trừ gia cảnh cao hơn, giúp tính toán đơn giản hóa và dễ hiểu hơn so với trước đây.</t>
  </si>
  <si>
    <t>Tôi tin rằng cơ quan thuế sẽ thực thi chính sách một cách công tâm. Tuy nhiên, tôi vẫn có sự nghi ngờ về việc xử lý khách quan đối với mọi người nộp thuế.</t>
  </si>
  <si>
    <t>Mức thuế mới giảm đáng kể so với trước đây, do đó tôi thấy mức thuế mà mình phải đóng là công bằng. Điều này tạo cảm giác rằng chính sách mới hỗ trợ người dân hơn.</t>
  </si>
  <si>
    <t>Thuế mà tôi đóng sẽ được sử dụng để cải thiện các dịch vụ công, như y tế và đường xá, tạo niềm tin vào việc sử dụng hiệu quả nguồn lực của Nhà nước.</t>
  </si>
  <si>
    <t>Nhà nước đã giải thích rõ ràng về mục tiêu và lý do của việc sửa đổi thuế, nhưng vẫn có chỗ chưa đầy đủ trong việc minh bạch thông tin chi tiết hơn.</t>
  </si>
  <si>
    <t>Tôi ủng hộ chính sách mới vì nó giảm gánh nặng thuế cho người dân và đơn giản hóa quy trình. Tuy nhiên, tôi vẫn cần thêm thời gian để quen với các thay đổi này.</t>
  </si>
  <si>
    <t>Dù thuế đã giảm, nhưng tôi không hoàn toàn tin rằng hành vi gian lận sẽ bị phát hiện và xử lý nghiêm.</t>
  </si>
  <si>
    <t>Công nghệ hiện đại có thể hỗ trợ việc kiểm soát thuế tốt hơn, nhưng vẫn còn phụ thuộc vào sự quyết tâm của nhà chức trách.</t>
  </si>
  <si>
    <t>Quy trình khai báo và làm việc với cơ quan thuế đã đơn giản hóa, thuận tiện hơn nhiều so với trước đây.</t>
  </si>
  <si>
    <t>Phương án mới về thuế có ít bậc hơn nên dễ hiểu và thực hiện nhanh chóng hơn.</t>
  </si>
  <si>
    <t>Tôi tin rằng chính sách mới sẽ được thực thi công bằng, nhưng vẫn cần thêm thời gian để kiểm chứng.</t>
  </si>
  <si>
    <t>Thuế của tôi đã giảm đáng kể theo phương án mới nên cảm thấy mức thuế này là hợp lý.</t>
  </si>
  <si>
    <t>Nhà nước đã giải thích rõ ràng về mục tiêu của việc sửa đổi chính sách thuế, khiến tôi cảm thấy hài lòng hơn.</t>
  </si>
  <si>
    <t>Tôi ủng hộ và tuân thủ chính sách mới vì nó mang lại lợi ích tài chính đáng kể cho tôi.</t>
  </si>
  <si>
    <t>Điều kiện hiện tại của tôi cho thấy các quy định quản lý thuế có thể phát hiện và xử lý gian lận hoặc trốn thuế. Tuy nhiên, do thiếu thông tin cụ thể về công nghệ và khả năng thực thi, tôi vẫn giữ ở mức độ trung bình.</t>
  </si>
  <si>
    <t>Nhà nước đã tăng cường hệ thống quản lý thuế qua các cải cách gần đây. Tôi đánh giá cao nỗ lực này nhưng không thể chắc chắn về khả năng thực thi toàn diện.</t>
  </si>
  <si>
    <t>Quy trình khai báo và làm việc với cơ quan thuế trở nên đơn giản hơn, giảm bớt rắc rối cho người dân. Điều này tăng đáng kể thuận tiện trong quá trình nộp thuế.</t>
  </si>
  <si>
    <t>Các bậc thuế mới đơn giản hóa quy trình tính toán và dễ hiểu hơn so với trước đây. Điều này giúp tôi dễ dàng tuân thủ và không còn cảm thấy bị rối bời như trước.</t>
  </si>
  <si>
    <t>Tôi tin rằng cơ quan thuế sẽ thực thi chính sách một cách công bằng, nhưng do thiếu thông tin cụ thể về thực tế hiện tại, tôi vẫn giữ ở mức độ trung bình.</t>
  </si>
  <si>
    <t>Ngưỡng giảm trừ gia cảnh và số bậc thuế mới đã cải thiện đáng kể, khiến tôi cảm thấy công bằng hơn. Tuy nhiên, cần thêm thời gian để quen với các thay đổi này.</t>
  </si>
  <si>
    <t>Nhà nước sử dụng tiền thuế một cách hiệu quả vào nhiều lĩnh vực công cộng. Các cải cách mới giúp tôi tin tưởng hơn về việc số tiền đóng thuế sẽ được dùng đúng mục đích.</t>
  </si>
  <si>
    <t>Tôi thấy rằng các giải thích của nhà nước về chính sách mới khá rõ ràng, nhưng do thiếu thông tin chi tiết về thực thi cụ thể nên tôi vẫn giữ ở mức độ trung bình.</t>
  </si>
  <si>
    <t>Sau khi xem xét các quyền lợi và nghĩa vụ, tôi ủng hộ chính sách mới. Các cải cách mang lại nhiều thuận lợi hơn cho người dân, giảm gánh nặng về mặt tài chính và thủ tục.</t>
  </si>
  <si>
    <t>Có quy định quản lý thuế mạnh mẽ, tăng giảm trừ gia cảnh và đơn giản hóa biểu thuế giúp phát hiện hành vi gian lận dễ dàng.</t>
  </si>
  <si>
    <t>Nhà nước có đủ khả năng công nghệ để theo dõi các hoạt động kinh tế cá nhân, từ đó xử lý nghiêm túc hành vi trốn thuế.</t>
  </si>
  <si>
    <t>Hệ thống khai báo thuế và quy trình làm việc với cơ quan thuế dễ dàng hơn trước, giảm bớt thủ tục rườm rà.</t>
  </si>
  <si>
    <t>Các bậc thuế đơn giản hóa giúp tính toán nhanh chóng, dễ hiểu và thực hiện thuận tiện hơn so với trước đây.</t>
  </si>
  <si>
    <t>Tôi tin rằng Nhà nước sẽ công tâm trong việc thực thi chính sách mới, đảm bảo tính công bằng cho mọi người nộp thuế.</t>
  </si>
  <si>
    <t>Mức thuế theo phương án mới hợp lý với thu nhập của tôi và nhiều người cùng tầm, tạo nên sự công bằng.</t>
  </si>
  <si>
    <t>Thuế đóng góp vào việc cải thiện các dịch vụ công, giúp đời sống xã hội ổn định hơn.</t>
  </si>
  <si>
    <t>Nhà nước đã giải thích rõ ràng mục tiêu và lý do của chính sách mới thông qua các kênh thông tin như báo chí, mạng xã hội.</t>
  </si>
  <si>
    <t>Tôi ủng hộ và tuân thủ chính sách mới vì nó mang lại lợi ích thiết thực cho cá nhân và công bằng hơn so với trước đây.</t>
  </si>
  <si>
    <t>Do các mức giảm trừ gia cảnh tăng, việc phát hiện trốn thuế có thể khó khăn hơn. Tuy nhiên, cơ quan thuế vẫn có khả năng giám sát.</t>
  </si>
  <si>
    <t>Nhà nước và cơ quan thuế đã cải thiện công nghệ để theo dõi các giao dịch tài chính, tăng khả năng phát hiện trốn thuế.</t>
  </si>
  <si>
    <t>Quy trình khai báo thuế đơn giản hơn với mức giảm trừ gia cảnh cao và số bậc thuế ít đi. Tuy nhiên, sự phức tạp vẫn còn tồn tại đối với những người chưa quen thuộc.</t>
  </si>
  <si>
    <t>Cách tính thuế rõ ràng hơn với số bậc thuế giảm, dễ dàng cho người nộp thuế nắm bắt và thực hiện.</t>
  </si>
  <si>
    <t>Nhà nước đã công bố thông tin minh bạch về việc sửa đổi luật thuế. Tuy nhiên, tôi vẫn giữ một phần nghi ngờ về cách thực thi chính sách.</t>
  </si>
  <si>
    <t>Với thu nhập hiện tại và mức giảm trừ gia cảnh mới, tôi thấy mình đóng thuế công bằng hơn so với trước đây.</t>
  </si>
  <si>
    <t>Nhà nước đã sử dụng số tiền thuế để cải thiện các dịch vụ công như y tế và giao thông. Tôi tin rằng việc đóng thuế mang lại lợi ích cho tôi.</t>
  </si>
  <si>
    <t>Nhà nước đã giải thích rõ ràng mục tiêu của việc sửa đổi luật thuế, tạo niềm tin về sự minh bạch trong quản lý tài chính.</t>
  </si>
  <si>
    <t>Tôi ủng hộ và tuân thủ chính sách mới vì nó mang lại lợi ích về mặt tài chính và giảm độ phức tạp. Tuy nhiên, tôi vẫn có phần nghi ngờ về cách thực thi.</t>
  </si>
  <si>
    <t>Dựa trên các quy định quản lý thuế hiện nay, tôi tin rằng hành vi gian lận hoặc trốn thuế sẽ bị phát hiện và xử lý nghiêm. Cơ quan thuế có nhiều công cụ để theo dõi, kiểm soát.</t>
  </si>
  <si>
    <t>Nhà nước đã đầu tư vào công nghệ thông tin, nâng cao năng lực quản lý và giám sát, do đó tôi tin rằng khả năng phát hiện các hành vi trốn thuế sẽ tăng lên.</t>
  </si>
  <si>
    <t>So với trước đây, quy trình khai báo thuế trở nên đơn giản hơn. Tuy nhiên, vẫn cần một số thời gian để quen với thay đổi.</t>
  </si>
  <si>
    <t>Biểu thuế mới có ít bậc hơn và dễ hiểu hơn, giúp việc tính toán thuế trở nên dễ dàng hơn. Điều này làm giảm cảm giác phức tạp cho người dân.</t>
  </si>
  <si>
    <t>Tôi tin rằng cơ quan thuế sẽ thực thi chính sách một cách công bằng và khách quan. Sự thay đổi về mức thuế giúp tôi thấy được sự công bằng trong việc đóng góp cho xã hội.</t>
  </si>
  <si>
    <t>Mức thuế mới giảm so với trước đây, giúp tôi tiết kiệm một phần thu nhập. Điều này làm tăng cảm giác rằng mức thuế hiện tại là hợp lý.</t>
  </si>
  <si>
    <t>Tôi tin tưởng rằng số tiền thuế đóng sẽ được sử dụng hiệu quả để cải thiện các dịch vụ công, như y tế và giao thông. Điều này làm tăng niềm tin về sự công bằng trong việc phân bổ nguồn lực.</t>
  </si>
  <si>
    <t>Nhà nước đã giải thích rõ ràng về mục tiêu của chính sách mới. Tuy nhiên, tôi vẫn mong muốn có thêm thông tin chi tiết hơn về cách sử dụng số tiền thuế thu được.</t>
  </si>
  <si>
    <t>Sau khi xem xét các quyền lợi và nghĩa vụ, tôi ủng hộ và sẽ tuân thủ chính sách mới. Việc giảm trừ gia cảnh tăng lên giúp tôi thấy rằng mức thuế này là hợp lý.</t>
  </si>
  <si>
    <t>Dựa trên các quy định quản lý thuế hiện nay, tôi không thấy rõ ràng về khả năng phát hiện và xử lý hành vi gian lận hoặc trốn thuế.</t>
  </si>
  <si>
    <t>Nhà nước đã đầu tư công nghệ để phát hiện các hành vi vi phạm, nhưng vẫn cần thời gian để hoàn thiện hệ thống quản lý thuế.</t>
  </si>
  <si>
    <t>Đối với tôi, quy trình khai báo thuế và làm việc với cơ quan thuế đã đơn giản hơn nhiều so với trước đây.</t>
  </si>
  <si>
    <t>Biểu thuế mới có ít bậc hơn nhưng vẫn cần thời gian để hiểu rõ cách tính toán.</t>
  </si>
  <si>
    <t>Tôi tin rằng cơ quan thuế sẽ thực hiện chính sách một cách công bằng, nhưng cần thời gian để chứng minh điều đó.</t>
  </si>
  <si>
    <t>Mức thuế mới có giảm đáng kể so với trước đây, tôi thấy là công bằng cho thu nhập của mình.</t>
  </si>
  <si>
    <t>Nhà nước sử dụng số tiền thuế đóng để cải thiện các dịch vụ công, nhưng cần minh bạch hơn về cách sử dụng.</t>
  </si>
  <si>
    <t>Cơ quan thuế đã giải thích rõ ràng về mục tiêu của việc sửa đổi chính sách, tôi thấy khá thuyết phục.</t>
  </si>
  <si>
    <t>Sau khi xem xét các quyền lợi và nghĩa vụ, tôi ủng hộ và sẽ tuân thủ chính sách mới vì nó mang lại lợi ích rõ ràng cho tôi.</t>
  </si>
  <si>
    <t>Thuế đã được đơn giản hóa và mức giảm trừ gia cảnh cao nên hành vi gian lận khó xảy ra, tuy nhiên không hoàn toàn tin tưởng vì chưa có thực tế.</t>
  </si>
  <si>
    <t>Công nghệ hiện đại của cơ quan thuế giúp phát hiện trốn thuế dễ dàng hơn nhưng vẫn cần cải thiện.</t>
  </si>
  <si>
    <t>Quy trình khai báo thuế đơn giản hơn, thuận tiện cho người dân và doanh nghiệp.</t>
  </si>
  <si>
    <t>Bậc thuế giảm từ 7 xuống 5 bậc, dễ dàng tính toán và hiểu hơn so với trước đây.</t>
  </si>
  <si>
    <t>Việc nâng mức giảm trừ gia cảnh cho thấy sự công bằng trong việc đánh giá thu nhập cá nhân.</t>
  </si>
  <si>
    <t>Thuế tôi phải đóng thấp hơn so với trước nên cảm thấy hợp lý và công bằng.</t>
  </si>
  <si>
    <t>Nhà nước đã giảm gánh nặng thuế cho người dân, số tiền thuế đóng được sử dụng vào các dịch vụ công.</t>
  </si>
  <si>
    <t>Chính phủ đã giải thích rõ ràng về mục tiêu và lý do sửa đổi luật thuế nhưng việc thực thi vẫn cần cải thiện.</t>
  </si>
  <si>
    <t>Sau khi xem xét, tôi ủng hộ chính sách mới vì giảm gánh nặng cho người dân và thuận lợi hơn trong khai báo thuế.</t>
  </si>
  <si>
    <t>Cơ quan thuế có đủ nguồn lực để xử lý các vụ việc trốn thuế vì đã được đầu tư vào công nghệ và nhân sự quản lý.</t>
  </si>
  <si>
    <t>Quy trình khai thuế trở nên đơn giản hơn, giảm bớt thủ tục rườm rà trước đây.</t>
  </si>
  <si>
    <t>Biểu thuế được đơn giản hóa thành 5 bậc thay vì 7, dễ hiểu và thực hiện hơn</t>
  </si>
  <si>
    <t>Nhà nước đã minh bạch về chính sách mới nên tôi tin rằng sẽ được thực thi công bằng.</t>
  </si>
  <si>
    <t>Mức thuế hiện tại cho thu nhập của tôi là hợp lý, giảm trừ gia cảnh tăng đáng kể</t>
  </si>
  <si>
    <t>Thuế đóng góp vào việc cải thiện các dịch vụ công và hạ tầng cơ sở</t>
  </si>
  <si>
    <t>Nhà nước đã giải thích rõ ràng mục tiêu của chính sách mới, tạo niềm tin cho người dân.</t>
  </si>
  <si>
    <t>Tác động tài chính tích cực và quy trình thuế đơn giản hơn khiến tôi ủng hộ chính sách này</t>
  </si>
  <si>
    <t>Do chưa có thông tin cụ thể về hệ thống quản lý thuế hiện tại, tôi chỉ dựa vào sự cải tiến của luật lệ và khả năng phát hiện trốn thuế trong phương án mới.</t>
  </si>
  <si>
    <t>Công nghệ ngày càng tiên tiến và Nhà nước có nhiều biện pháp mạnh mẽ để quản lý thuế, nhưng vẫn cần thời gian thực thi.</t>
  </si>
  <si>
    <t>So với trước đây, quy trình khai báo và làm việc với cơ quan thuế trở nên đơn giản hơn, thuận tiện cho người dân.</t>
  </si>
  <si>
    <t>Biểu thuế mới có ít bậc hơn, dễ hiểu và thực hiện hơn so với trước đây, do đó giảm được sự phức tạp.</t>
  </si>
  <si>
    <t>Tôi tin rằng cơ quan thuế sẽ công bằng khi áp dụng các quy định mới</t>
  </si>
  <si>
    <t>Thuế của tôi đã giảm đáng kể, do đó tôi thấy mức thuế mới là hợp lý cho thu nhập hiện tại</t>
  </si>
  <si>
    <t>Tiền thuế đóng góp vào việc cải thiện dịch vụ công, như y tế và đường xá, giúp cộng đồng phát triển</t>
  </si>
  <si>
    <t>Nhà nước đã cung cấp thông tin rõ ràng về mục tiêu của việc sửa đổi luật thuế này</t>
  </si>
  <si>
    <t>Dựa trên các lợi ích và ưu điểm của chính sách mới, tôi ủng hộ và sẽ tuân thủ nó.</t>
  </si>
  <si>
    <t>Hiện nay, với sự phát triển của công nghệ và hệ thống quản lý thuế, tôi tin rằng hành vi gian lận hoặc trốn thuế sẽ dễ dàng bị phát hiện. Tuy nhiên, thực tế vẫn còn nhiều khó khăn trong việc quản lý doanh nghiệp nhỏ và tự doanh.</t>
  </si>
  <si>
    <t>Nhà nước đã đầu tư công nghệ để cải thiện khả năng giám sát thuế và xử lý vi phạm. Tuy nhiên, hiệu quả của các biện pháp này còn phụ thuộc vào việc thực thi.</t>
  </si>
  <si>
    <t>So với trước đây, quy trình khai báo thuế trở nên đơn giản hơn, nhưng vẫn có thể gặp khó khăn đối với những người không am hiểu về luật thuế.</t>
  </si>
  <si>
    <t>Các bậc thuế mới đơn giản hơn và dễ hiểu hơn so với trước đây. Điều này giúp tôi tính toán nhanh chóng số tiền phải nộp mà không cần nhờ đến sự trợ giúp từ bên ngoài.</t>
  </si>
  <si>
    <t>Tôi tin rằng các cơ quan thuế sẽ thực thi chính sách một cách công bằng, nhưng vẫn lo ngại về khả năng giám sát và xử lý vi phạm gian lận thuế.</t>
  </si>
  <si>
    <t>Thuế mới theo phương án mới phù hợp với thu nhập của tôi. Mức giảm trừ gia cảnh tăng lên giúp tôi tiết kiệm được một khoản tiền đáng kể.</t>
  </si>
  <si>
    <t>Thuê đóng góp vào các dịch vụ công là điều cần thiết, nhưng tôi mong rằng số tiền thuế sẽ được sử dụng hiệu quả để cải thiện cuộc sống của người dân.</t>
  </si>
  <si>
    <t>Nhà nước đã giải thích rõ ràng về mục đích và lý do của việc sửa đổi thuế, mặc dù đôi khi thông tin còn thiếu hụt.</t>
  </si>
  <si>
    <t>Dù có một số lo ngại, tôi vẫn ủng hộ chính sách mới vì nó mang lại lợi ích cho người dân như tôi. Tôi sẽ tuân thủ các quy định của pháp luật.</t>
  </si>
  <si>
    <t>Cơ quan thuế hiện nay có nhiều biện pháp quản lý và công nghệ phát triển, tuy nhiên vẫn còn một số rủi ro về việc gian lận. Tuy nhiên, với mức giảm trừ gia cảnh tăng lên, việc phát hiện trốn thuế sẽ khó khăn hơn.</t>
  </si>
  <si>
    <t>Nhà nước đã đầu tư vào công nghệ và nhân lực để quản lý thuế hiệu quả hơn, tuy nhiên vẫn cần cải thiện về mặt khả năng giám sát toàn diện.</t>
  </si>
  <si>
    <t>Quy trình khai báo thuế trở nên đơn giản hơn với mức giảm trừ gia cảnh tăng và số bậc thuế giảm. Tuy nhiên, vẫn có thể gặp khó khăn khi đầu tư thời gian để nắm bắt các quy định mới.</t>
  </si>
  <si>
    <t>Các bậc thuế và cách tính thuế rõ ràng hơn, dễ hiểu và thực hiện đơn giản hơn so với trước đây. Việc này giúp người dân thuận lợi trong việc tuân thủ pháp luật thuế.</t>
  </si>
  <si>
    <t>Tôi tin rằng Nhà nước sẽ thực thi chính sách một cách công bằng và khách quan, tuy nhiên vẫn có lo ngại về khả năng giám sát toàn diện của cơ quan thuế đối với các hành vi gian lận.</t>
  </si>
  <si>
    <t>Mức thuế mới phù hợp với thu nhập hiện tại của tôi và mức giảm trừ gia cảnh tăng, khiến tôi cảm thấy công bằng hơn so với trước đây.</t>
  </si>
  <si>
    <t>Tôi tin rằng số tiền thuế đóng sẽ được sử dụng hiệu quả để cải thiện các dịch vụ công. Tuy nhiên, việc minh bạch về cách sử dụng nguồn thu từ thuế vẫn cần được cải thiện.</t>
  </si>
  <si>
    <t>Nhà nước đã giải thích rõ ràng về mục tiêu của việc sửa đổi thuế lần này, tuy nhiên còn có thể làm rõ hơn về quy trình thực thi chính sách mới.</t>
  </si>
  <si>
    <t>Chính sách mới có nhiều ưu điểm, đặc biệt là sự đơn giản hóa và giảm gánh nặng về thuế. Tôi ủng hộ và sẽ tuân thủ các quy định mới này.</t>
  </si>
  <si>
    <t>Nước ta có hệ thống quản lý thuế ngày càng phát triển, công nghệ cũng tiến bộ hơn, nên việc phát hiện và xử lý gian lận là khả thi.</t>
  </si>
  <si>
    <t>Cơ quan thuế đã áp dụng nhiều công cụ kỹ thuật tiên tiến để theo dõi hoạt động kinh tế của người dân, đảm bảo tính minh bạch.</t>
  </si>
  <si>
    <t>Thủ tục khai báo thuế trở nên đơn giản hơn với việc giảm bậc thuế và tăng mức giảm trừ gia cảnh.</t>
  </si>
  <si>
    <t>Biểu thuế mới đơn giản, dễ hiểu hơn so với trước đây, giúp người dân dễ dàng áp dụng.</t>
  </si>
  <si>
    <t>Nhà nước đã công bố rõ mục tiêu và cách thực hiện chính sách mới, tạo niềm tin trong việc quản lý thuế.</t>
  </si>
  <si>
    <t>Mức thuế mới hợp lý với thu nhập của tôi, tăng thêm sự công bằng cho người dân.</t>
  </si>
  <si>
    <t>Thuế đóng góp vào việc cải thiện hạ tầng và dịch vụ công, tạo lợi ích chung cho xã hội.</t>
  </si>
  <si>
    <t>Nhà nước đã giải thích rõ ràng về mục đích của chính sách mới, tạo lòng tin với người dân.</t>
  </si>
  <si>
    <t>Với các lợi ích và giảm trừ gia cảnh mới, tôi ủng hộ và sẽ tuân thủ chính sách thuế này.</t>
  </si>
  <si>
    <t>Nếu cơ quan thuế có đủ khả năng phát hiện và xử lý gian lận, thì tôi sẽ tin tưởng hơn vào việc thực thi pháp luật. Hiện nay, với quy định quản lý thuế hiện tại, tôi thấy rằng hành vi gian lận hoặc trốn thuế có thể bị phát hiện, nhưng không chắc chắn.</t>
  </si>
  <si>
    <t>Nhà nước và cơ quan thuế đã cải thiện công nghệ để phát hiện các hành vi trốn thuế, điều này làm tăng khả năng giám sát. Tuy nhiên, vẫn còn lo ngại về việc thực thi pháp luật.</t>
  </si>
  <si>
    <t>So với trước đây, quy trình khai báo và làm việc với cơ quan thuế đã đơn giản hóa hơn, tuy nhiên, việc cần phải tính toán các bậc thuế mới vẫn có thể gây khó khăn cho một số người.</t>
  </si>
  <si>
    <t>Biểu thuế mới đơn giản hơn so với trước đây. Số lượng bậc thuế giảm từ 7 xuống còn 5, dễ dàng hiểu và thực hiện hơn. Điều này giúp tôi tiết kiệm thời gian khi khai báo.</t>
  </si>
  <si>
    <t>Tôi tin rằng Nhà nước sẽ công bằng trong việc thực thi chính sách mới. Các quy định về giảm trừ gia cảnh và mức thuế suất mới có thể được áp dụng một cách khách quan.</t>
  </si>
  <si>
    <t>Mức thuế theo phương án mới phù hợp với thu nhập của tôi, giúp tiết kiệm tiền. Điều này làm tăng niềm tin về tính công bằng trong hệ thống thuế</t>
  </si>
  <si>
    <t>Tôi tin rằng số tiền thuế đóng sẽ được sử dụng hiệu quả cho các dịch vụ công như y tế và đường xá, giúp cải thiện cuộc sống của người dân.</t>
  </si>
  <si>
    <t>Nhà nước đã giải thích rõ ràng về mục tiêu của việc sửa đổi thuế, tuy nhiên, tôi vẫn mong muốn có thêm thông tin chi tiết hơn về cách sử dụng số tiền thuế thu được.</t>
  </si>
  <si>
    <t>Sau khi xem xét các quyền lợi và nghĩa vụ, tôi ủng hộ chính sách mới. Nó giúp giảm gánh nặng tài chính cho người dân như tôi, đồng thời đơn giản hóa quy trình khai báo thuế.</t>
  </si>
  <si>
    <t>Hiện nay, các quy định quản lý thuế và công nghệ phát triển giúp việc phát hiện hành vi gian lận hoặc trốn thuế trở nên dễ dàng hơn.</t>
  </si>
  <si>
    <t>Nhà nước đã đầu tư vào công nghệ và nguồn lực để tăng cường khả năng quản lý, giám sát và xử lý các trường hợp trốn thuế.</t>
  </si>
  <si>
    <t>Quy trình khai báo thuế và làm việc với cơ quan thuế nhanh chóng hơn nhờ sự đơn giản hóa thủ tục.</t>
  </si>
  <si>
    <t>Biểu thuế mới đơn giản, dễ hiểu và dễ thực hiện so với trước đây, giúp người dân dễ dàng tính toán và nộp thuế.</t>
  </si>
  <si>
    <t>Mức thuế mới giảm so với trước đây, tôi thấy điều này là công bằng và phù hợp với thu nhập của mình.</t>
  </si>
  <si>
    <t>Tôi tin rằng số tiền thuế đóng sẽ được sử dụng hiệu quả để cải thiện các dịch vụ công</t>
  </si>
  <si>
    <t>Nhà nước đã giải thích rõ ràng về lý do và mục tiêu của việc sửa đổi chính sách thuế này.</t>
  </si>
  <si>
    <t>Sau khi xem xét các quyền lợi và nghĩa vụ, tôi ủng hộ và sẽ tuân thủ chính sách mới vì nó mang lại nhiều lợi ích cho người dân.</t>
  </si>
  <si>
    <t>Hiện nay cơ quan thuế có nhiều công cụ kỹ thuật để phát hiện hành vi trốn thuế, tuy nhiên mức độ hiệu quả phụ thuộc vào việc thực thi của các cơ quan chức năng.</t>
  </si>
  <si>
    <t>Nhà nước đã đầu tư vào công nghệ và nâng cao năng lực quản lý thuế, tạo điều kiện cho việc phát hiện trốn thuế dễ dàng hơn.</t>
  </si>
  <si>
    <t>Quy trình khai thuế nay đơn giản hơn nhiều so với trước đây, việc sử dụng công nghệ giúp quá trình thuận tiện hơn.</t>
  </si>
  <si>
    <t>Biểu thuế mới có ít bậc hơn và rõ ràng hơn, dễ dàng tính toán hơn so với trước đây.</t>
  </si>
  <si>
    <t>Tôi tin rằng cơ quan thuế sẽ thực thi chính sách một cách công bằng, tuy nhiên tôi vẫn giữ thái độ thận trọng vì chưa có nhiều trường hợp cụ thể.</t>
  </si>
  <si>
    <t>Thuế mới phù hợp với thu nhập của tôi và mức giảm trừ gia cảnh tăng lên, do đó tôi thấy nó là công bằng.</t>
  </si>
  <si>
    <t>Thuê mới sẽ được sử dụng để cải thiện dịch vụ công, tuy nhiên hiệu quả cụ thể còn phụ thuộc vào cách sử dụng nguồn thu.</t>
  </si>
  <si>
    <t>Nhà nước đã giải thích rõ ràng về mục tiêu và lý do của việc thay đổi thuế, tạo niềm tin cho người dân.</t>
  </si>
  <si>
    <t>Dù còn nhiều lo ngại, nhưng giảm bớt gánh nặng tài chính từ thuế mới khiến tôi ủng hộ và sẽ tuân thủ.</t>
  </si>
  <si>
    <t>Nhà nước và cơ quan thuế đã có nhiều cải tiến trong việc quản lý thuế, tuy nhiên mức độ phát hiện hành vi trốn thuế vẫn còn thấp do thiếu thông tin của người nộp thuế.</t>
  </si>
  <si>
    <t>Cơ quan thuế có khả năng và công nghệ để kiểm soát thuế tốt hơn với các biện pháp quản lý hiện đại.</t>
  </si>
  <si>
    <t>Quy trình khai báo và làm việc với cơ quan thuế đã đơn giản hóa đáng kể, giảm bớt sự phiền phức cho người nộp thuế.</t>
  </si>
  <si>
    <t>Các bậc thuế mới đơn giản hơn và dễ hiểu, giúp tôi nắm bắt và áp dụng chính sách thuế một cách nhanh chóng.</t>
  </si>
  <si>
    <t>Tôi tin rằng cơ quan thuế sẽ thực thi chính sách công bằng đối với mọi người nộp thuế. Cải tổ đã giảm gánh nặng tài chính cho tôi, nên tôi cảm thấy được đối xử công bằng hơn.</t>
  </si>
  <si>
    <t>Mức thuế mới phù hợp với thu nhập của tôi và các điều chỉnh về mức giảm trừ gia cảnh giúp tôi tiết kiệm tiền. Điều này thể hiện sự công bằng trong việc phân chia gánh nặng tài chính giữa Nhà nước và người dân.</t>
  </si>
  <si>
    <t>Tôi tin rằng số tiền thuế đóng sẽ được sử dụng hiệu quả để cải thiện các dịch vụ công, như y tế và đường xá. Điều này tăng niềm tin vào việc đầu tư của Nhà nước.</t>
  </si>
  <si>
    <t>Nhà nước đã giải thích rõ ràng mục tiêu của việc sửa đổi thuế lần này, mặc dù có thể cần thêm thông tin chi tiết để người dân hiểu đầy đủ.</t>
  </si>
  <si>
    <t>Tôi ủng hộ và tuân thủ chính sách mới vì nó giúp giảm gánh nặng tài chính cho tôi. Tôi tin rằng việc cải tổ thuế sẽ tạo ra một hệ thống công bằng hơn.</t>
  </si>
  <si>
    <t>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</si>
</sst>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5" x14ac:knownFonts="1">
    <font>
      <sz val="11"/>
      <color theme="1"/>
      <name val="Calibri"/>
      <family val="2"/>
      <scheme val="minor"/>
    </font>
    <font>
      <b/>
      <sz val="11"/>
      <name val="Calibri"/>
      <family val="2"/>
    </font>
    <font>
      <b/>
      <sz val="11"/>
      <color theme="1"/>
      <name val="Calibri"/>
      <family val="2"/>
      <scheme val="minor"/>
    </font>
    <font>
      <b/>
      <sz val="11"/>
      <name val="Calibri"/>
      <family val="2"/>
    </font>
    <font>
      <b/>
      <sz val="11"/>
      <color theme="0"/>
      <name val="Calibri"/>
      <family val="2"/>
      <scheme val="minor"/>
    </font>
  </fonts>
  <fills count="9">
    <fill>
      <patternFill patternType="none"/>
    </fill>
    <fill>
      <patternFill patternType="gray125"/>
    </fill>
    <fill>
      <patternFill patternType="solid">
        <fgColor rgb="FF92D050"/>
        <bgColor indexed="64"/>
      </patternFill>
    </fill>
    <fill>
      <patternFill patternType="solid">
        <fgColor theme="9"/>
        <bgColor theme="9"/>
      </patternFill>
    </fill>
    <fill>
      <patternFill patternType="solid">
        <fgColor theme="9"/>
        <bgColor indexed="64"/>
      </patternFill>
    </fill>
    <fill>
      <patternFill patternType="solid">
        <fgColor rgb="FF92D050"/>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00B0F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center"/>
    </xf>
    <xf numFmtId="0" fontId="0" fillId="2" borderId="1" xfId="0" applyFill="1" applyBorder="1"/>
    <xf numFmtId="0" fontId="0" fillId="0" borderId="1" xfId="0" applyBorder="1"/>
    <xf numFmtId="0" fontId="3" fillId="0" borderId="1" xfId="0" applyFont="1" applyBorder="1" applyAlignment="1">
      <alignment horizontal="center" vertical="top"/>
    </xf>
    <xf numFmtId="0" fontId="2" fillId="0" borderId="1" xfId="0" applyFont="1" applyBorder="1"/>
    <xf numFmtId="0" fontId="0" fillId="2" borderId="0" xfId="0" applyFill="1"/>
    <xf numFmtId="0" fontId="2" fillId="0" borderId="0" xfId="0" applyFont="1"/>
    <xf numFmtId="164" fontId="2" fillId="0" borderId="1" xfId="0" applyNumberFormat="1" applyFont="1" applyBorder="1"/>
    <xf numFmtId="164" fontId="2" fillId="0" borderId="0" xfId="0" applyNumberFormat="1" applyFont="1"/>
    <xf numFmtId="0" fontId="1" fillId="0" borderId="2" xfId="0" applyFont="1" applyBorder="1" applyAlignment="1">
      <alignment horizontal="center" vertical="top"/>
    </xf>
    <xf numFmtId="0" fontId="2" fillId="0" borderId="3" xfId="0" applyFont="1" applyBorder="1"/>
    <xf numFmtId="0" fontId="1" fillId="0" borderId="4" xfId="0" applyFont="1" applyBorder="1" applyAlignment="1">
      <alignment horizontal="center" vertical="top"/>
    </xf>
    <xf numFmtId="0" fontId="2" fillId="0" borderId="5" xfId="0" applyFont="1" applyBorder="1"/>
    <xf numFmtId="9" fontId="0" fillId="0" borderId="1" xfId="0" applyNumberFormat="1" applyBorder="1"/>
    <xf numFmtId="9" fontId="2" fillId="0" borderId="1" xfId="0" applyNumberFormat="1" applyFont="1" applyBorder="1"/>
    <xf numFmtId="0" fontId="4" fillId="3" borderId="6" xfId="0" applyFont="1" applyFill="1" applyBorder="1"/>
    <xf numFmtId="0" fontId="4" fillId="3" borderId="7" xfId="0" applyFont="1" applyFill="1" applyBorder="1"/>
    <xf numFmtId="22" fontId="0" fillId="0" borderId="0" xfId="0" applyNumberFormat="1"/>
    <xf numFmtId="0" fontId="4" fillId="5" borderId="7" xfId="0" applyFont="1" applyFill="1" applyBorder="1"/>
    <xf numFmtId="0" fontId="4" fillId="4" borderId="0" xfId="0" applyFont="1" applyFill="1"/>
    <xf numFmtId="0" fontId="4" fillId="2" borderId="0" xfId="0" applyFont="1" applyFill="1"/>
    <xf numFmtId="0" fontId="4" fillId="0" borderId="0" xfId="0" applyFont="1"/>
    <xf numFmtId="165" fontId="0" fillId="0" borderId="1" xfId="0" applyNumberFormat="1" applyBorder="1" applyAlignment="1">
      <alignment horizontal="center"/>
    </xf>
    <xf numFmtId="9"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2" fillId="0" borderId="0" xfId="0" applyFont="1" applyAlignment="1">
      <alignment horizontal="center"/>
    </xf>
    <xf numFmtId="0" fontId="0" fillId="6" borderId="6" xfId="0" applyFill="1" applyBorder="1"/>
    <xf numFmtId="0" fontId="0" fillId="6" borderId="0" xfId="0" applyFill="1"/>
    <xf numFmtId="0" fontId="0" fillId="7" borderId="0" xfId="0" applyFill="1"/>
    <xf numFmtId="2" fontId="0" fillId="0" borderId="1" xfId="0" applyNumberFormat="1" applyBorder="1"/>
    <xf numFmtId="9" fontId="0" fillId="0" borderId="1" xfId="0" applyNumberFormat="1" applyBorder="1" applyAlignment="1">
      <alignment horizontal="center"/>
    </xf>
    <xf numFmtId="0" fontId="2" fillId="0" borderId="7" xfId="0" applyFont="1" applyBorder="1"/>
    <xf numFmtId="0" fontId="0" fillId="0" borderId="7" xfId="0" applyBorder="1"/>
    <xf numFmtId="4" fontId="0" fillId="0" borderId="1" xfId="0" applyNumberFormat="1" applyBorder="1" applyAlignment="1">
      <alignment horizontal="center"/>
    </xf>
    <xf numFmtId="166" fontId="0" fillId="0" borderId="0" xfId="0" applyNumberForma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8" borderId="1" xfId="0" applyFont="1" applyFill="1" applyBorder="1"/>
    <xf numFmtId="10" fontId="0" fillId="0" borderId="1" xfId="0" applyNumberFormat="1" applyBorder="1"/>
    <xf numFmtId="166" fontId="0" fillId="0" borderId="1" xfId="0" applyNumberFormat="1" applyBorder="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y Pham" refreshedDate="46040.659061805556" createdVersion="8" refreshedVersion="8" minRefreshableVersion="3" recordCount="403" xr:uid="{677C10B3-056A-462F-8621-BC1A1D2CF10E}">
  <cacheSource type="worksheet">
    <worksheetSource name="survey_responses"/>
  </cacheSource>
  <cacheFields count="17">
    <cacheField name="Timestamp" numFmtId="22">
      <sharedItems containsSemiMixedTypes="0" containsNonDate="0" containsDate="1" containsString="0" minDate="2025-12-25T14:05:00" maxDate="2026-01-13T12:49:00"/>
    </cacheField>
    <cacheField name="Giới tính của bạn:" numFmtId="0">
      <sharedItems count="2">
        <s v="Nữ"/>
        <s v="Nam"/>
      </sharedItems>
    </cacheField>
    <cacheField name="Độ tuổi của bạn:" numFmtId="0">
      <sharedItems count="6">
        <s v="25 - 29"/>
        <s v="40 - 49"/>
        <s v="18 - 24"/>
        <s v="30 - 39"/>
        <s v="50 - 54"/>
        <s v="55 - 64"/>
      </sharedItems>
    </cacheField>
    <cacheField name="Khu vực bạn đang sinh sống:" numFmtId="0">
      <sharedItems count="2">
        <s v="Thành thị"/>
        <s v="Nông thôn"/>
      </sharedItems>
    </cacheField>
    <cacheField name="Trình độ học vấn cao nhất:" numFmtId="0">
      <sharedItems count="4">
        <s v="Đại học"/>
        <s v="Sau Đại học"/>
        <s v="Cao đẳng"/>
        <s v="Trung học phổ thông"/>
      </sharedItems>
    </cacheField>
    <cacheField name="Tình trạng việc làm chính:" numFmtId="0">
      <sharedItems count="3">
        <s v="Khu vực chính thức (Có Hợp đồng lao động, đóng BHXH)"/>
        <s v="Khu vực phi chính thức (Lao động tự do, không có HĐLĐ)"/>
        <s v="Khác (Về hưu, nội trợ, sinh viên)"/>
      </sharedItems>
    </cacheField>
    <cacheField name="Thu nhập bình quân tháng theo Hợp đồng lao động của bạn là bao nhiêu? (Vui lòng điền tổng thu nhập trước khi khấu trừ các loại Bảo hiểm (BHXH, BHYT, BHTN) và Thuế TNCN)" numFmtId="0">
      <sharedItems count="8">
        <s v="Từ 12 - 18 triệu VNĐ"/>
        <s v="Từ 48 - 70 triệu VNĐ"/>
        <s v="Dưới 12 triệu VNĐ"/>
        <s v="Từ 70 - 102 triệu VNĐ"/>
        <s v="Từ 18 - 23 triệu VNĐ"/>
        <s v="Từ 32 - 48 triệu VNĐ"/>
        <s v="Trên 102 triệu VNĐ"/>
        <s v="Từ 23 - 32 triệu VNĐ"/>
      </sharedItems>
    </cacheField>
    <cacheField name="Số người phụ thuộc (con nhỏ, cha mẹ già...) đủ điều kiện giảm trừ gia cảnh:" numFmtId="0">
      <sharedItems count="5">
        <s v="1 người"/>
        <s v="0 người"/>
        <s v="3 người"/>
        <s v="4 người trở lên"/>
        <s v="2 người"/>
      </sharedItems>
    </cacheField>
    <cacheField name="Tôi tin rằng với các quy định quản lý thuế hiện nay, hành vi gian lận hoặc trốn thuế sẽ dễ dàng bị phát hiện và xử lý nghiêm. - HUMAN-ENF1" numFmtId="0">
      <sharedItems containsSemiMixedTypes="0" containsString="0" containsNumber="1" containsInteger="1" minValue="1" maxValue="10"/>
    </cacheField>
    <cacheField name="Tôi tin rằng Nhà nước, cơ quan thuế có đủ khả năng và công nghệ để phát hiện, xử lý nghiêm các hành vi trốn thuế. - HUMAN-ENF2" numFmtId="0">
      <sharedItems containsSemiMixedTypes="0" containsString="0" containsNumber="1" containsInteger="1" minValue="1" maxValue="10"/>
    </cacheField>
    <cacheField name="Các thủ tục khai báo thuế VÀ/HOẶC quy trình làm việc với cơ quan thuế đơn giản, tiện lợi, nhanh chóng hơn so với trước đây. - HUMAN-FAC1" numFmtId="0">
      <sharedItems containsSemiMixedTypes="0" containsString="0" containsNumber="1" containsInteger="1" minValue="1" maxValue="10"/>
    </cacheField>
    <cacheField name="So với trước đây, tôi thấy cách tính thuế và các bậc thuế trong phương án mới đơn giản, dễ hiểu và dễ thực hiện hơn. - HUMAN-FAC2" numFmtId="0">
      <sharedItems containsSemiMixedTypes="0" containsString="0" containsNumber="1" containsInteger="1" minValue="1" maxValue="10"/>
    </cacheField>
    <cacheField name="Tôi tin rằng Nhà nước, cơ quan thuế sẽ thực thi chính sách mới một cách khách quan, công tâm và đối xử bình đẳng với mọi người nộp thuế.  - HUMAN-TRU1" numFmtId="0">
      <sharedItems containsSemiMixedTypes="0" containsString="0" containsNumber="1" containsInteger="1" minValue="1" maxValue="10"/>
    </cacheField>
    <cacheField name="Tôi thấy mức thuế tôi phải đóng theo phương án mới là công bằng (người thu nhập như tôi đóng mức này là hợp lý). - HUMAN-TRU2" numFmtId="0">
      <sharedItems containsSemiMixedTypes="0" containsString="0" containsNumber="1" containsInteger="1" minValue="1" maxValue="10"/>
    </cacheField>
    <cacheField name="Tôi tin tưởng số tiền thuế tôi đóng sẽ được Nhà nước sử dụng hiệu quả để cải thiện dịch vụ công (y tế, đường xá...). - HUMAN-TRU3" numFmtId="0">
      <sharedItems containsSemiMixedTypes="0" containsString="0" containsNumber="1" containsInteger="1" minValue="1" maxValue="10"/>
    </cacheField>
    <cacheField name="Tôi thấy Nhà nước đã giải thích rõ ràng, minh bạch về lý do và mục tiêu của việc sửa đổi thuế lần này. - HUMAN-TRU4" numFmtId="0">
      <sharedItems containsSemiMixedTypes="0" containsString="0" containsNumber="1" containsInteger="1" minValue="1" maxValue="10"/>
    </cacheField>
    <cacheField name="Sau khi xem xét các quyền lợi và nghĩa vụ, bạn có ủng hộ và tuân thủ chính sách mới hiện nay? - HUMAN-OUT1"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d v="2025-12-25T14:05:00"/>
    <x v="0"/>
    <x v="0"/>
    <x v="0"/>
    <x v="0"/>
    <x v="0"/>
    <x v="0"/>
    <x v="0"/>
    <n v="10"/>
    <n v="8"/>
    <n v="5"/>
    <n v="5"/>
    <n v="10"/>
    <n v="10"/>
    <n v="10"/>
    <n v="10"/>
    <n v="10"/>
  </r>
  <r>
    <d v="2025-12-25T14:05:00"/>
    <x v="0"/>
    <x v="0"/>
    <x v="0"/>
    <x v="0"/>
    <x v="0"/>
    <x v="0"/>
    <x v="1"/>
    <n v="8"/>
    <n v="8"/>
    <n v="6"/>
    <n v="9"/>
    <n v="10"/>
    <n v="9"/>
    <n v="8"/>
    <n v="9"/>
    <n v="10"/>
  </r>
  <r>
    <d v="2025-12-25T14:07:00"/>
    <x v="1"/>
    <x v="1"/>
    <x v="0"/>
    <x v="1"/>
    <x v="0"/>
    <x v="1"/>
    <x v="2"/>
    <n v="6"/>
    <n v="5"/>
    <n v="4"/>
    <n v="5"/>
    <n v="4"/>
    <n v="4"/>
    <n v="4"/>
    <n v="10"/>
    <n v="4"/>
  </r>
  <r>
    <d v="2025-12-25T14:07:00"/>
    <x v="0"/>
    <x v="2"/>
    <x v="0"/>
    <x v="0"/>
    <x v="0"/>
    <x v="2"/>
    <x v="1"/>
    <n v="10"/>
    <n v="10"/>
    <n v="8"/>
    <n v="9"/>
    <n v="9"/>
    <n v="7"/>
    <n v="10"/>
    <n v="7"/>
    <n v="10"/>
  </r>
  <r>
    <d v="2025-12-25T14:08:00"/>
    <x v="0"/>
    <x v="0"/>
    <x v="0"/>
    <x v="0"/>
    <x v="0"/>
    <x v="2"/>
    <x v="1"/>
    <n v="9"/>
    <n v="9"/>
    <n v="10"/>
    <n v="9"/>
    <n v="9"/>
    <n v="9"/>
    <n v="9"/>
    <n v="9"/>
    <n v="9"/>
  </r>
  <r>
    <d v="2025-12-25T14:17:00"/>
    <x v="0"/>
    <x v="3"/>
    <x v="0"/>
    <x v="1"/>
    <x v="0"/>
    <x v="3"/>
    <x v="3"/>
    <n v="8"/>
    <n v="8"/>
    <n v="5"/>
    <n v="8"/>
    <n v="6"/>
    <n v="6"/>
    <n v="4"/>
    <n v="5"/>
    <n v="6"/>
  </r>
  <r>
    <d v="2025-12-25T14:19:00"/>
    <x v="0"/>
    <x v="3"/>
    <x v="0"/>
    <x v="0"/>
    <x v="0"/>
    <x v="4"/>
    <x v="4"/>
    <n v="5"/>
    <n v="4"/>
    <n v="4"/>
    <n v="6"/>
    <n v="6"/>
    <n v="7"/>
    <n v="2"/>
    <n v="4"/>
    <n v="4"/>
  </r>
  <r>
    <d v="2025-12-25T14:28:00"/>
    <x v="1"/>
    <x v="1"/>
    <x v="0"/>
    <x v="1"/>
    <x v="0"/>
    <x v="2"/>
    <x v="4"/>
    <n v="1"/>
    <n v="1"/>
    <n v="2"/>
    <n v="3"/>
    <n v="6"/>
    <n v="2"/>
    <n v="7"/>
    <n v="3"/>
    <n v="3"/>
  </r>
  <r>
    <d v="2025-12-25T15:35:00"/>
    <x v="0"/>
    <x v="0"/>
    <x v="1"/>
    <x v="0"/>
    <x v="1"/>
    <x v="0"/>
    <x v="0"/>
    <n v="10"/>
    <n v="10"/>
    <n v="8"/>
    <n v="7"/>
    <n v="7"/>
    <n v="5"/>
    <n v="5"/>
    <n v="9"/>
    <n v="8"/>
  </r>
  <r>
    <d v="2025-12-25T15:51:00"/>
    <x v="0"/>
    <x v="0"/>
    <x v="0"/>
    <x v="0"/>
    <x v="0"/>
    <x v="4"/>
    <x v="1"/>
    <n v="7"/>
    <n v="10"/>
    <n v="1"/>
    <n v="5"/>
    <n v="8"/>
    <n v="5"/>
    <n v="5"/>
    <n v="5"/>
    <n v="10"/>
  </r>
  <r>
    <d v="2025-12-25T15:52:00"/>
    <x v="1"/>
    <x v="3"/>
    <x v="0"/>
    <x v="1"/>
    <x v="1"/>
    <x v="5"/>
    <x v="3"/>
    <n v="10"/>
    <n v="3"/>
    <n v="1"/>
    <n v="7"/>
    <n v="1"/>
    <n v="5"/>
    <n v="1"/>
    <n v="8"/>
    <n v="6"/>
  </r>
  <r>
    <d v="2025-12-25T17:01:00"/>
    <x v="0"/>
    <x v="2"/>
    <x v="0"/>
    <x v="0"/>
    <x v="0"/>
    <x v="2"/>
    <x v="1"/>
    <n v="5"/>
    <n v="8"/>
    <n v="5"/>
    <n v="5"/>
    <n v="6"/>
    <n v="5"/>
    <n v="5"/>
    <n v="5"/>
    <n v="5"/>
  </r>
  <r>
    <d v="2025-12-25T17:54:00"/>
    <x v="0"/>
    <x v="2"/>
    <x v="0"/>
    <x v="0"/>
    <x v="0"/>
    <x v="2"/>
    <x v="1"/>
    <n v="8"/>
    <n v="7"/>
    <n v="7"/>
    <n v="7"/>
    <n v="7"/>
    <n v="8"/>
    <n v="7"/>
    <n v="7"/>
    <n v="7"/>
  </r>
  <r>
    <d v="2025-12-25T20:16:00"/>
    <x v="0"/>
    <x v="3"/>
    <x v="0"/>
    <x v="1"/>
    <x v="0"/>
    <x v="4"/>
    <x v="1"/>
    <n v="10"/>
    <n v="10"/>
    <n v="8"/>
    <n v="8"/>
    <n v="8"/>
    <n v="6"/>
    <n v="6"/>
    <n v="5"/>
    <n v="5"/>
  </r>
  <r>
    <d v="2025-12-25T20:19:00"/>
    <x v="1"/>
    <x v="3"/>
    <x v="0"/>
    <x v="1"/>
    <x v="0"/>
    <x v="5"/>
    <x v="4"/>
    <n v="7"/>
    <n v="9"/>
    <n v="3"/>
    <n v="6"/>
    <n v="1"/>
    <n v="1"/>
    <n v="1"/>
    <n v="1"/>
    <n v="1"/>
  </r>
  <r>
    <d v="2025-12-25T21:09:00"/>
    <x v="1"/>
    <x v="1"/>
    <x v="0"/>
    <x v="1"/>
    <x v="0"/>
    <x v="3"/>
    <x v="3"/>
    <n v="8"/>
    <n v="8"/>
    <n v="8"/>
    <n v="9"/>
    <n v="7"/>
    <n v="7"/>
    <n v="9"/>
    <n v="8"/>
    <n v="7"/>
  </r>
  <r>
    <d v="2025-12-25T21:15:00"/>
    <x v="0"/>
    <x v="0"/>
    <x v="0"/>
    <x v="0"/>
    <x v="0"/>
    <x v="4"/>
    <x v="4"/>
    <n v="6"/>
    <n v="7"/>
    <n v="5"/>
    <n v="5"/>
    <n v="6"/>
    <n v="7"/>
    <n v="3"/>
    <n v="4"/>
    <n v="5"/>
  </r>
  <r>
    <d v="2025-12-25T21:47:00"/>
    <x v="1"/>
    <x v="1"/>
    <x v="0"/>
    <x v="0"/>
    <x v="1"/>
    <x v="0"/>
    <x v="1"/>
    <n v="6"/>
    <n v="8"/>
    <n v="7"/>
    <n v="8"/>
    <n v="8"/>
    <n v="7"/>
    <n v="7"/>
    <n v="6"/>
    <n v="8"/>
  </r>
  <r>
    <d v="2025-12-25T21:51:00"/>
    <x v="1"/>
    <x v="1"/>
    <x v="0"/>
    <x v="0"/>
    <x v="0"/>
    <x v="6"/>
    <x v="3"/>
    <n v="10"/>
    <n v="10"/>
    <n v="5"/>
    <n v="5"/>
    <n v="5"/>
    <n v="3"/>
    <n v="2"/>
    <n v="5"/>
    <n v="8"/>
  </r>
  <r>
    <d v="2025-12-26T01:57:00"/>
    <x v="1"/>
    <x v="3"/>
    <x v="0"/>
    <x v="1"/>
    <x v="0"/>
    <x v="1"/>
    <x v="4"/>
    <n v="9"/>
    <n v="9"/>
    <n v="7"/>
    <n v="9"/>
    <n v="7"/>
    <n v="8"/>
    <n v="5"/>
    <n v="5"/>
    <n v="6"/>
  </r>
  <r>
    <d v="2025-12-26T07:30:00"/>
    <x v="0"/>
    <x v="1"/>
    <x v="0"/>
    <x v="0"/>
    <x v="0"/>
    <x v="6"/>
    <x v="2"/>
    <n v="10"/>
    <n v="10"/>
    <n v="8"/>
    <n v="7"/>
    <n v="7"/>
    <n v="7"/>
    <n v="2"/>
    <n v="3"/>
    <n v="3"/>
  </r>
  <r>
    <d v="2025-12-26T08:42:00"/>
    <x v="0"/>
    <x v="2"/>
    <x v="0"/>
    <x v="0"/>
    <x v="0"/>
    <x v="0"/>
    <x v="1"/>
    <n v="8"/>
    <n v="8"/>
    <n v="5"/>
    <n v="8"/>
    <n v="8"/>
    <n v="8"/>
    <n v="8"/>
    <n v="8"/>
    <n v="8"/>
  </r>
  <r>
    <d v="2025-12-26T09:36:00"/>
    <x v="0"/>
    <x v="1"/>
    <x v="0"/>
    <x v="1"/>
    <x v="0"/>
    <x v="3"/>
    <x v="2"/>
    <n v="5"/>
    <n v="5"/>
    <n v="5"/>
    <n v="5"/>
    <n v="5"/>
    <n v="5"/>
    <n v="5"/>
    <n v="5"/>
    <n v="5"/>
  </r>
  <r>
    <d v="2025-12-26T11:37:00"/>
    <x v="0"/>
    <x v="3"/>
    <x v="1"/>
    <x v="0"/>
    <x v="0"/>
    <x v="7"/>
    <x v="4"/>
    <n v="9"/>
    <n v="8"/>
    <n v="6"/>
    <n v="9"/>
    <n v="8"/>
    <n v="10"/>
    <n v="6"/>
    <n v="6"/>
    <n v="8"/>
  </r>
  <r>
    <d v="2025-12-26T11:40:00"/>
    <x v="1"/>
    <x v="3"/>
    <x v="0"/>
    <x v="1"/>
    <x v="0"/>
    <x v="5"/>
    <x v="0"/>
    <n v="6"/>
    <n v="7"/>
    <n v="5"/>
    <n v="6"/>
    <n v="7"/>
    <n v="7"/>
    <n v="3"/>
    <n v="3"/>
    <n v="5"/>
  </r>
  <r>
    <d v="2025-12-26T11:45:00"/>
    <x v="1"/>
    <x v="3"/>
    <x v="0"/>
    <x v="1"/>
    <x v="0"/>
    <x v="2"/>
    <x v="3"/>
    <n v="10"/>
    <n v="10"/>
    <n v="10"/>
    <n v="6"/>
    <n v="6"/>
    <n v="10"/>
    <n v="1"/>
    <n v="4"/>
    <n v="10"/>
  </r>
  <r>
    <d v="2025-12-26T12:06:00"/>
    <x v="1"/>
    <x v="2"/>
    <x v="0"/>
    <x v="0"/>
    <x v="0"/>
    <x v="2"/>
    <x v="1"/>
    <n v="1"/>
    <n v="1"/>
    <n v="1"/>
    <n v="1"/>
    <n v="1"/>
    <n v="1"/>
    <n v="1"/>
    <n v="1"/>
    <n v="1"/>
  </r>
  <r>
    <d v="2025-12-26T12:06:00"/>
    <x v="1"/>
    <x v="0"/>
    <x v="0"/>
    <x v="0"/>
    <x v="0"/>
    <x v="0"/>
    <x v="1"/>
    <n v="1"/>
    <n v="1"/>
    <n v="1"/>
    <n v="1"/>
    <n v="1"/>
    <n v="1"/>
    <n v="1"/>
    <n v="1"/>
    <n v="1"/>
  </r>
  <r>
    <d v="2025-12-26T12:07:00"/>
    <x v="0"/>
    <x v="2"/>
    <x v="0"/>
    <x v="0"/>
    <x v="0"/>
    <x v="0"/>
    <x v="1"/>
    <n v="10"/>
    <n v="10"/>
    <n v="9"/>
    <n v="10"/>
    <n v="10"/>
    <n v="9"/>
    <n v="10"/>
    <n v="10"/>
    <n v="10"/>
  </r>
  <r>
    <d v="2025-12-26T12:07:00"/>
    <x v="0"/>
    <x v="2"/>
    <x v="0"/>
    <x v="0"/>
    <x v="0"/>
    <x v="0"/>
    <x v="1"/>
    <n v="10"/>
    <n v="10"/>
    <n v="9"/>
    <n v="10"/>
    <n v="10"/>
    <n v="10"/>
    <n v="10"/>
    <n v="10"/>
    <n v="10"/>
  </r>
  <r>
    <d v="2025-12-26T12:07:00"/>
    <x v="0"/>
    <x v="0"/>
    <x v="0"/>
    <x v="0"/>
    <x v="0"/>
    <x v="7"/>
    <x v="1"/>
    <n v="10"/>
    <n v="7"/>
    <n v="10"/>
    <n v="7"/>
    <n v="10"/>
    <n v="10"/>
    <n v="3"/>
    <n v="5"/>
    <n v="8"/>
  </r>
  <r>
    <d v="2025-12-26T12:08:00"/>
    <x v="0"/>
    <x v="2"/>
    <x v="0"/>
    <x v="0"/>
    <x v="0"/>
    <x v="7"/>
    <x v="1"/>
    <n v="5"/>
    <n v="5"/>
    <n v="5"/>
    <n v="5"/>
    <n v="5"/>
    <n v="5"/>
    <n v="5"/>
    <n v="5"/>
    <n v="5"/>
  </r>
  <r>
    <d v="2025-12-26T12:08:00"/>
    <x v="0"/>
    <x v="0"/>
    <x v="0"/>
    <x v="0"/>
    <x v="0"/>
    <x v="7"/>
    <x v="1"/>
    <n v="8"/>
    <n v="9"/>
    <n v="7"/>
    <n v="8"/>
    <n v="8"/>
    <n v="8"/>
    <n v="3"/>
    <n v="6"/>
    <n v="7"/>
  </r>
  <r>
    <d v="2025-12-26T12:08:00"/>
    <x v="1"/>
    <x v="0"/>
    <x v="0"/>
    <x v="0"/>
    <x v="0"/>
    <x v="0"/>
    <x v="0"/>
    <n v="10"/>
    <n v="10"/>
    <n v="10"/>
    <n v="10"/>
    <n v="10"/>
    <n v="10"/>
    <n v="10"/>
    <n v="10"/>
    <n v="10"/>
  </r>
  <r>
    <d v="2025-12-26T12:14:00"/>
    <x v="0"/>
    <x v="3"/>
    <x v="0"/>
    <x v="2"/>
    <x v="0"/>
    <x v="0"/>
    <x v="2"/>
    <n v="10"/>
    <n v="10"/>
    <n v="10"/>
    <n v="10"/>
    <n v="10"/>
    <n v="10"/>
    <n v="10"/>
    <n v="10"/>
    <n v="10"/>
  </r>
  <r>
    <d v="2025-12-26T12:15:00"/>
    <x v="0"/>
    <x v="2"/>
    <x v="0"/>
    <x v="0"/>
    <x v="0"/>
    <x v="0"/>
    <x v="1"/>
    <n v="10"/>
    <n v="9"/>
    <n v="10"/>
    <n v="8"/>
    <n v="10"/>
    <n v="9"/>
    <n v="10"/>
    <n v="10"/>
    <n v="10"/>
  </r>
  <r>
    <d v="2025-12-26T12:16:00"/>
    <x v="1"/>
    <x v="2"/>
    <x v="0"/>
    <x v="0"/>
    <x v="0"/>
    <x v="0"/>
    <x v="1"/>
    <n v="10"/>
    <n v="10"/>
    <n v="10"/>
    <n v="10"/>
    <n v="9"/>
    <n v="9"/>
    <n v="9"/>
    <n v="9"/>
    <n v="8"/>
  </r>
  <r>
    <d v="2025-12-26T12:16:00"/>
    <x v="0"/>
    <x v="3"/>
    <x v="0"/>
    <x v="0"/>
    <x v="0"/>
    <x v="5"/>
    <x v="0"/>
    <n v="8"/>
    <n v="8"/>
    <n v="8"/>
    <n v="8"/>
    <n v="8"/>
    <n v="8"/>
    <n v="8"/>
    <n v="8"/>
    <n v="8"/>
  </r>
  <r>
    <d v="2025-12-26T12:16:00"/>
    <x v="1"/>
    <x v="0"/>
    <x v="0"/>
    <x v="0"/>
    <x v="0"/>
    <x v="0"/>
    <x v="1"/>
    <n v="10"/>
    <n v="10"/>
    <n v="10"/>
    <n v="10"/>
    <n v="10"/>
    <n v="10"/>
    <n v="10"/>
    <n v="10"/>
    <n v="10"/>
  </r>
  <r>
    <d v="2025-12-26T12:16:00"/>
    <x v="1"/>
    <x v="3"/>
    <x v="0"/>
    <x v="0"/>
    <x v="0"/>
    <x v="6"/>
    <x v="0"/>
    <n v="8"/>
    <n v="8"/>
    <n v="6"/>
    <n v="8"/>
    <n v="7"/>
    <n v="8"/>
    <n v="5"/>
    <n v="6"/>
    <n v="7"/>
  </r>
  <r>
    <d v="2025-12-26T12:17:00"/>
    <x v="1"/>
    <x v="3"/>
    <x v="0"/>
    <x v="0"/>
    <x v="0"/>
    <x v="3"/>
    <x v="4"/>
    <n v="9"/>
    <n v="8"/>
    <n v="7"/>
    <n v="8"/>
    <n v="7"/>
    <n v="4"/>
    <n v="2"/>
    <n v="8"/>
    <n v="8"/>
  </r>
  <r>
    <d v="2025-12-26T12:19:00"/>
    <x v="0"/>
    <x v="3"/>
    <x v="0"/>
    <x v="0"/>
    <x v="0"/>
    <x v="5"/>
    <x v="2"/>
    <n v="10"/>
    <n v="10"/>
    <n v="9"/>
    <n v="8"/>
    <n v="7"/>
    <n v="9"/>
    <n v="9"/>
    <n v="8"/>
    <n v="8"/>
  </r>
  <r>
    <d v="2025-12-26T12:22:00"/>
    <x v="0"/>
    <x v="3"/>
    <x v="0"/>
    <x v="0"/>
    <x v="0"/>
    <x v="6"/>
    <x v="4"/>
    <n v="6"/>
    <n v="6"/>
    <n v="8"/>
    <n v="10"/>
    <n v="9"/>
    <n v="1"/>
    <n v="7"/>
    <n v="7"/>
    <n v="8"/>
  </r>
  <r>
    <d v="2025-12-26T12:23:00"/>
    <x v="1"/>
    <x v="3"/>
    <x v="0"/>
    <x v="0"/>
    <x v="0"/>
    <x v="7"/>
    <x v="0"/>
    <n v="8"/>
    <n v="8"/>
    <n v="8"/>
    <n v="8"/>
    <n v="8"/>
    <n v="8"/>
    <n v="9"/>
    <n v="5"/>
    <n v="9"/>
  </r>
  <r>
    <d v="2025-12-26T12:27:00"/>
    <x v="0"/>
    <x v="1"/>
    <x v="0"/>
    <x v="0"/>
    <x v="0"/>
    <x v="7"/>
    <x v="4"/>
    <n v="10"/>
    <n v="10"/>
    <n v="10"/>
    <n v="9"/>
    <n v="10"/>
    <n v="10"/>
    <n v="10"/>
    <n v="10"/>
    <n v="10"/>
  </r>
  <r>
    <d v="2025-12-26T12:28:00"/>
    <x v="0"/>
    <x v="4"/>
    <x v="1"/>
    <x v="0"/>
    <x v="0"/>
    <x v="2"/>
    <x v="4"/>
    <n v="1"/>
    <n v="1"/>
    <n v="2"/>
    <n v="1"/>
    <n v="1"/>
    <n v="1"/>
    <n v="1"/>
    <n v="1"/>
    <n v="1"/>
  </r>
  <r>
    <d v="2025-12-26T12:28:00"/>
    <x v="1"/>
    <x v="3"/>
    <x v="0"/>
    <x v="0"/>
    <x v="0"/>
    <x v="2"/>
    <x v="1"/>
    <n v="8"/>
    <n v="8"/>
    <n v="8"/>
    <n v="7"/>
    <n v="6"/>
    <n v="8"/>
    <n v="8"/>
    <n v="9"/>
    <n v="8"/>
  </r>
  <r>
    <d v="2025-12-26T12:29:00"/>
    <x v="0"/>
    <x v="3"/>
    <x v="0"/>
    <x v="0"/>
    <x v="0"/>
    <x v="5"/>
    <x v="2"/>
    <n v="10"/>
    <n v="10"/>
    <n v="10"/>
    <n v="10"/>
    <n v="10"/>
    <n v="10"/>
    <n v="10"/>
    <n v="10"/>
    <n v="10"/>
  </r>
  <r>
    <d v="2025-12-26T12:29:00"/>
    <x v="1"/>
    <x v="3"/>
    <x v="0"/>
    <x v="0"/>
    <x v="0"/>
    <x v="6"/>
    <x v="4"/>
    <n v="8"/>
    <n v="8"/>
    <n v="7"/>
    <n v="8"/>
    <n v="6"/>
    <n v="8"/>
    <n v="6"/>
    <n v="5"/>
    <n v="8"/>
  </r>
  <r>
    <d v="2025-12-26T12:31:00"/>
    <x v="0"/>
    <x v="3"/>
    <x v="0"/>
    <x v="0"/>
    <x v="0"/>
    <x v="4"/>
    <x v="2"/>
    <n v="10"/>
    <n v="10"/>
    <n v="10"/>
    <n v="8"/>
    <n v="8"/>
    <n v="8"/>
    <n v="8"/>
    <n v="8"/>
    <n v="8"/>
  </r>
  <r>
    <d v="2025-12-26T12:38:00"/>
    <x v="1"/>
    <x v="0"/>
    <x v="0"/>
    <x v="0"/>
    <x v="0"/>
    <x v="0"/>
    <x v="1"/>
    <n v="10"/>
    <n v="10"/>
    <n v="10"/>
    <n v="10"/>
    <n v="10"/>
    <n v="10"/>
    <n v="10"/>
    <n v="10"/>
    <n v="10"/>
  </r>
  <r>
    <d v="2025-12-26T12:41:00"/>
    <x v="0"/>
    <x v="0"/>
    <x v="0"/>
    <x v="0"/>
    <x v="0"/>
    <x v="4"/>
    <x v="0"/>
    <n v="10"/>
    <n v="10"/>
    <n v="10"/>
    <n v="10"/>
    <n v="10"/>
    <n v="10"/>
    <n v="10"/>
    <n v="10"/>
    <n v="8"/>
  </r>
  <r>
    <d v="2025-12-26T12:45:00"/>
    <x v="1"/>
    <x v="0"/>
    <x v="0"/>
    <x v="1"/>
    <x v="0"/>
    <x v="0"/>
    <x v="4"/>
    <n v="10"/>
    <n v="10"/>
    <n v="10"/>
    <n v="10"/>
    <n v="10"/>
    <n v="10"/>
    <n v="10"/>
    <n v="10"/>
    <n v="10"/>
  </r>
  <r>
    <d v="2025-12-26T12:45:00"/>
    <x v="0"/>
    <x v="1"/>
    <x v="0"/>
    <x v="0"/>
    <x v="0"/>
    <x v="5"/>
    <x v="4"/>
    <n v="8"/>
    <n v="7"/>
    <n v="7"/>
    <n v="8"/>
    <n v="7"/>
    <n v="8"/>
    <n v="7"/>
    <n v="7"/>
    <n v="8"/>
  </r>
  <r>
    <d v="2025-12-26T12:48:00"/>
    <x v="0"/>
    <x v="3"/>
    <x v="0"/>
    <x v="0"/>
    <x v="0"/>
    <x v="5"/>
    <x v="0"/>
    <n v="10"/>
    <n v="9"/>
    <n v="3"/>
    <n v="4"/>
    <n v="3"/>
    <n v="3"/>
    <n v="1"/>
    <n v="1"/>
    <n v="3"/>
  </r>
  <r>
    <d v="2025-12-26T12:54:00"/>
    <x v="1"/>
    <x v="0"/>
    <x v="0"/>
    <x v="0"/>
    <x v="0"/>
    <x v="2"/>
    <x v="1"/>
    <n v="10"/>
    <n v="10"/>
    <n v="9"/>
    <n v="10"/>
    <n v="9"/>
    <n v="10"/>
    <n v="9"/>
    <n v="10"/>
    <n v="9"/>
  </r>
  <r>
    <d v="2025-12-26T13:26:00"/>
    <x v="0"/>
    <x v="3"/>
    <x v="0"/>
    <x v="0"/>
    <x v="0"/>
    <x v="0"/>
    <x v="4"/>
    <n v="10"/>
    <n v="10"/>
    <n v="1"/>
    <n v="5"/>
    <n v="7"/>
    <n v="10"/>
    <n v="9"/>
    <n v="9"/>
    <n v="10"/>
  </r>
  <r>
    <d v="2025-12-26T13:56:00"/>
    <x v="0"/>
    <x v="1"/>
    <x v="0"/>
    <x v="1"/>
    <x v="0"/>
    <x v="7"/>
    <x v="0"/>
    <n v="5"/>
    <n v="5"/>
    <n v="4"/>
    <n v="8"/>
    <n v="5"/>
    <n v="7"/>
    <n v="7"/>
    <n v="7"/>
    <n v="7"/>
  </r>
  <r>
    <d v="2025-12-26T15:02:00"/>
    <x v="0"/>
    <x v="2"/>
    <x v="0"/>
    <x v="0"/>
    <x v="1"/>
    <x v="2"/>
    <x v="1"/>
    <n v="9"/>
    <n v="9"/>
    <n v="9"/>
    <n v="7"/>
    <n v="7"/>
    <n v="8"/>
    <n v="8"/>
    <n v="6"/>
    <n v="5"/>
  </r>
  <r>
    <d v="2025-12-26T16:31:00"/>
    <x v="1"/>
    <x v="0"/>
    <x v="0"/>
    <x v="0"/>
    <x v="0"/>
    <x v="0"/>
    <x v="1"/>
    <n v="5"/>
    <n v="5"/>
    <n v="5"/>
    <n v="5"/>
    <n v="5"/>
    <n v="8"/>
    <n v="4"/>
    <n v="5"/>
    <n v="5"/>
  </r>
  <r>
    <d v="2025-12-26T16:46:00"/>
    <x v="0"/>
    <x v="3"/>
    <x v="0"/>
    <x v="1"/>
    <x v="0"/>
    <x v="4"/>
    <x v="0"/>
    <n v="8"/>
    <n v="9"/>
    <n v="9"/>
    <n v="9"/>
    <n v="9"/>
    <n v="8"/>
    <n v="8"/>
    <n v="8"/>
    <n v="9"/>
  </r>
  <r>
    <d v="2025-12-26T17:04:00"/>
    <x v="0"/>
    <x v="0"/>
    <x v="0"/>
    <x v="1"/>
    <x v="0"/>
    <x v="7"/>
    <x v="1"/>
    <n v="9"/>
    <n v="9"/>
    <n v="7"/>
    <n v="6"/>
    <n v="7"/>
    <n v="5"/>
    <n v="6"/>
    <n v="8"/>
    <n v="5"/>
  </r>
  <r>
    <d v="2025-12-26T19:26:00"/>
    <x v="0"/>
    <x v="4"/>
    <x v="1"/>
    <x v="0"/>
    <x v="0"/>
    <x v="4"/>
    <x v="0"/>
    <n v="9"/>
    <n v="9"/>
    <n v="9"/>
    <n v="9"/>
    <n v="8"/>
    <n v="9"/>
    <n v="9"/>
    <n v="8"/>
    <n v="7"/>
  </r>
  <r>
    <d v="2025-12-27T08:39:00"/>
    <x v="0"/>
    <x v="3"/>
    <x v="0"/>
    <x v="0"/>
    <x v="1"/>
    <x v="6"/>
    <x v="4"/>
    <n v="9"/>
    <n v="10"/>
    <n v="9"/>
    <n v="10"/>
    <n v="10"/>
    <n v="5"/>
    <n v="10"/>
    <n v="7"/>
    <n v="9"/>
  </r>
  <r>
    <d v="2025-12-28T14:24:00"/>
    <x v="0"/>
    <x v="1"/>
    <x v="1"/>
    <x v="0"/>
    <x v="0"/>
    <x v="2"/>
    <x v="4"/>
    <n v="10"/>
    <n v="10"/>
    <n v="10"/>
    <n v="10"/>
    <n v="10"/>
    <n v="10"/>
    <n v="10"/>
    <n v="10"/>
    <n v="10"/>
  </r>
  <r>
    <d v="2025-12-28T14:30:00"/>
    <x v="0"/>
    <x v="0"/>
    <x v="0"/>
    <x v="2"/>
    <x v="0"/>
    <x v="0"/>
    <x v="1"/>
    <n v="7"/>
    <n v="5"/>
    <n v="3"/>
    <n v="5"/>
    <n v="4"/>
    <n v="3"/>
    <n v="5"/>
    <n v="6"/>
    <n v="6"/>
  </r>
  <r>
    <d v="2025-12-28T15:02:00"/>
    <x v="1"/>
    <x v="1"/>
    <x v="0"/>
    <x v="1"/>
    <x v="0"/>
    <x v="3"/>
    <x v="4"/>
    <n v="5"/>
    <n v="5"/>
    <n v="4"/>
    <n v="4"/>
    <n v="2"/>
    <n v="3"/>
    <n v="2"/>
    <n v="3"/>
    <n v="3"/>
  </r>
  <r>
    <d v="2025-12-28T15:30:00"/>
    <x v="0"/>
    <x v="1"/>
    <x v="0"/>
    <x v="0"/>
    <x v="0"/>
    <x v="1"/>
    <x v="4"/>
    <n v="4"/>
    <n v="3"/>
    <n v="1"/>
    <n v="5"/>
    <n v="4"/>
    <n v="3"/>
    <n v="1"/>
    <n v="3"/>
    <n v="5"/>
  </r>
  <r>
    <d v="2025-12-28T15:33:00"/>
    <x v="1"/>
    <x v="0"/>
    <x v="0"/>
    <x v="0"/>
    <x v="0"/>
    <x v="4"/>
    <x v="1"/>
    <n v="7"/>
    <n v="7"/>
    <n v="8"/>
    <n v="9"/>
    <n v="8"/>
    <n v="10"/>
    <n v="9"/>
    <n v="9"/>
    <n v="9"/>
  </r>
  <r>
    <d v="2025-12-28T15:34:00"/>
    <x v="1"/>
    <x v="1"/>
    <x v="0"/>
    <x v="1"/>
    <x v="1"/>
    <x v="6"/>
    <x v="0"/>
    <n v="6"/>
    <n v="6"/>
    <n v="5"/>
    <n v="5"/>
    <n v="5"/>
    <n v="1"/>
    <n v="5"/>
    <n v="5"/>
    <n v="5"/>
  </r>
  <r>
    <d v="2025-12-28T15:37:00"/>
    <x v="0"/>
    <x v="3"/>
    <x v="0"/>
    <x v="1"/>
    <x v="0"/>
    <x v="7"/>
    <x v="4"/>
    <n v="3"/>
    <n v="3"/>
    <n v="3"/>
    <n v="5"/>
    <n v="3"/>
    <n v="3"/>
    <n v="3"/>
    <n v="3"/>
    <n v="4"/>
  </r>
  <r>
    <d v="2025-12-28T15:39:00"/>
    <x v="1"/>
    <x v="3"/>
    <x v="0"/>
    <x v="0"/>
    <x v="1"/>
    <x v="4"/>
    <x v="2"/>
    <n v="8"/>
    <n v="8"/>
    <n v="4"/>
    <n v="2"/>
    <n v="6"/>
    <n v="3"/>
    <n v="8"/>
    <n v="4"/>
    <n v="8"/>
  </r>
  <r>
    <d v="2025-12-28T15:48:00"/>
    <x v="1"/>
    <x v="2"/>
    <x v="0"/>
    <x v="3"/>
    <x v="0"/>
    <x v="0"/>
    <x v="1"/>
    <n v="5"/>
    <n v="5"/>
    <n v="5"/>
    <n v="5"/>
    <n v="5"/>
    <n v="10"/>
    <n v="5"/>
    <n v="5"/>
    <n v="10"/>
  </r>
  <r>
    <d v="2025-12-28T16:27:00"/>
    <x v="0"/>
    <x v="3"/>
    <x v="0"/>
    <x v="0"/>
    <x v="1"/>
    <x v="4"/>
    <x v="0"/>
    <n v="5"/>
    <n v="10"/>
    <n v="2"/>
    <n v="8"/>
    <n v="5"/>
    <n v="5"/>
    <n v="1"/>
    <n v="4"/>
    <n v="5"/>
  </r>
  <r>
    <d v="2025-12-28T16:30:00"/>
    <x v="1"/>
    <x v="1"/>
    <x v="0"/>
    <x v="1"/>
    <x v="0"/>
    <x v="1"/>
    <x v="4"/>
    <n v="8"/>
    <n v="9"/>
    <n v="9"/>
    <n v="9"/>
    <n v="3"/>
    <n v="3"/>
    <n v="2"/>
    <n v="2"/>
    <n v="6"/>
  </r>
  <r>
    <d v="2025-12-28T16:39:00"/>
    <x v="1"/>
    <x v="1"/>
    <x v="1"/>
    <x v="3"/>
    <x v="1"/>
    <x v="0"/>
    <x v="2"/>
    <n v="5"/>
    <n v="5"/>
    <n v="5"/>
    <n v="5"/>
    <n v="5"/>
    <n v="5"/>
    <n v="5"/>
    <n v="5"/>
    <n v="5"/>
  </r>
  <r>
    <d v="2025-12-28T16:44:00"/>
    <x v="0"/>
    <x v="4"/>
    <x v="0"/>
    <x v="0"/>
    <x v="0"/>
    <x v="0"/>
    <x v="4"/>
    <n v="8"/>
    <n v="8"/>
    <n v="8"/>
    <n v="8"/>
    <n v="9"/>
    <n v="7"/>
    <n v="9"/>
    <n v="10"/>
    <n v="8"/>
  </r>
  <r>
    <d v="2025-12-28T16:47:00"/>
    <x v="0"/>
    <x v="3"/>
    <x v="0"/>
    <x v="1"/>
    <x v="0"/>
    <x v="5"/>
    <x v="4"/>
    <n v="8"/>
    <n v="7"/>
    <n v="9"/>
    <n v="8"/>
    <n v="8"/>
    <n v="8"/>
    <n v="6"/>
    <n v="6"/>
    <n v="7"/>
  </r>
  <r>
    <d v="2025-12-28T17:42:00"/>
    <x v="0"/>
    <x v="5"/>
    <x v="0"/>
    <x v="3"/>
    <x v="2"/>
    <x v="0"/>
    <x v="1"/>
    <n v="6"/>
    <n v="2"/>
    <n v="3"/>
    <n v="2"/>
    <n v="3"/>
    <n v="7"/>
    <n v="5"/>
    <n v="5"/>
    <n v="7"/>
  </r>
  <r>
    <d v="2025-12-28T17:55:00"/>
    <x v="1"/>
    <x v="0"/>
    <x v="0"/>
    <x v="0"/>
    <x v="0"/>
    <x v="0"/>
    <x v="1"/>
    <n v="8"/>
    <n v="8"/>
    <n v="8"/>
    <n v="8"/>
    <n v="8"/>
    <n v="8"/>
    <n v="8"/>
    <n v="8"/>
    <n v="8"/>
  </r>
  <r>
    <d v="2025-12-28T18:37:00"/>
    <x v="1"/>
    <x v="5"/>
    <x v="0"/>
    <x v="1"/>
    <x v="2"/>
    <x v="2"/>
    <x v="1"/>
    <n v="7"/>
    <n v="7"/>
    <n v="5"/>
    <n v="5"/>
    <n v="6"/>
    <n v="5"/>
    <n v="8"/>
    <n v="6"/>
    <n v="8"/>
  </r>
  <r>
    <d v="2025-12-28T19:23:00"/>
    <x v="0"/>
    <x v="5"/>
    <x v="0"/>
    <x v="0"/>
    <x v="2"/>
    <x v="0"/>
    <x v="0"/>
    <n v="8"/>
    <n v="9"/>
    <n v="5"/>
    <n v="5"/>
    <n v="5"/>
    <n v="5"/>
    <n v="1"/>
    <n v="5"/>
    <n v="5"/>
  </r>
  <r>
    <d v="2025-12-28T19:33:00"/>
    <x v="0"/>
    <x v="1"/>
    <x v="0"/>
    <x v="1"/>
    <x v="0"/>
    <x v="0"/>
    <x v="4"/>
    <n v="10"/>
    <n v="8"/>
    <n v="8"/>
    <n v="7"/>
    <n v="7"/>
    <n v="6"/>
    <n v="7"/>
    <n v="6"/>
    <n v="8"/>
  </r>
  <r>
    <d v="2025-12-28T19:38:00"/>
    <x v="0"/>
    <x v="3"/>
    <x v="0"/>
    <x v="2"/>
    <x v="0"/>
    <x v="0"/>
    <x v="0"/>
    <n v="6"/>
    <n v="7"/>
    <n v="5"/>
    <n v="5"/>
    <n v="5"/>
    <n v="5"/>
    <n v="5"/>
    <n v="5"/>
    <n v="5"/>
  </r>
  <r>
    <d v="2025-12-28T19:40:00"/>
    <x v="0"/>
    <x v="1"/>
    <x v="0"/>
    <x v="0"/>
    <x v="0"/>
    <x v="0"/>
    <x v="4"/>
    <n v="9"/>
    <n v="9"/>
    <n v="8"/>
    <n v="9"/>
    <n v="9"/>
    <n v="9"/>
    <n v="7"/>
    <n v="8"/>
    <n v="8"/>
  </r>
  <r>
    <d v="2025-12-28T19:41:00"/>
    <x v="1"/>
    <x v="3"/>
    <x v="1"/>
    <x v="0"/>
    <x v="0"/>
    <x v="0"/>
    <x v="1"/>
    <n v="5"/>
    <n v="5"/>
    <n v="10"/>
    <n v="4"/>
    <n v="4"/>
    <n v="5"/>
    <n v="5"/>
    <n v="8"/>
    <n v="8"/>
  </r>
  <r>
    <d v="2025-12-28T19:48:00"/>
    <x v="1"/>
    <x v="1"/>
    <x v="0"/>
    <x v="0"/>
    <x v="0"/>
    <x v="0"/>
    <x v="4"/>
    <n v="10"/>
    <n v="9"/>
    <n v="9"/>
    <n v="9"/>
    <n v="9"/>
    <n v="9"/>
    <n v="10"/>
    <n v="9"/>
    <n v="10"/>
  </r>
  <r>
    <d v="2025-12-28T20:05:00"/>
    <x v="0"/>
    <x v="1"/>
    <x v="0"/>
    <x v="3"/>
    <x v="0"/>
    <x v="2"/>
    <x v="4"/>
    <n v="10"/>
    <n v="10"/>
    <n v="10"/>
    <n v="10"/>
    <n v="10"/>
    <n v="10"/>
    <n v="10"/>
    <n v="10"/>
    <n v="10"/>
  </r>
  <r>
    <d v="2025-12-28T20:08:00"/>
    <x v="0"/>
    <x v="3"/>
    <x v="0"/>
    <x v="2"/>
    <x v="0"/>
    <x v="2"/>
    <x v="0"/>
    <n v="10"/>
    <n v="9"/>
    <n v="9"/>
    <n v="9"/>
    <n v="10"/>
    <n v="9"/>
    <n v="9"/>
    <n v="8"/>
    <n v="9"/>
  </r>
  <r>
    <d v="2025-12-28T20:11:00"/>
    <x v="0"/>
    <x v="3"/>
    <x v="1"/>
    <x v="0"/>
    <x v="0"/>
    <x v="2"/>
    <x v="3"/>
    <n v="6"/>
    <n v="10"/>
    <n v="8"/>
    <n v="9"/>
    <n v="9"/>
    <n v="9"/>
    <n v="8"/>
    <n v="8"/>
    <n v="9"/>
  </r>
  <r>
    <d v="2025-12-28T20:22:00"/>
    <x v="0"/>
    <x v="3"/>
    <x v="0"/>
    <x v="0"/>
    <x v="0"/>
    <x v="2"/>
    <x v="4"/>
    <n v="10"/>
    <n v="9"/>
    <n v="9"/>
    <n v="9"/>
    <n v="10"/>
    <n v="9"/>
    <n v="8"/>
    <n v="8"/>
    <n v="10"/>
  </r>
  <r>
    <d v="2025-12-28T20:38:00"/>
    <x v="1"/>
    <x v="3"/>
    <x v="0"/>
    <x v="0"/>
    <x v="0"/>
    <x v="2"/>
    <x v="4"/>
    <n v="10"/>
    <n v="10"/>
    <n v="10"/>
    <n v="10"/>
    <n v="10"/>
    <n v="1"/>
    <n v="10"/>
    <n v="10"/>
    <n v="10"/>
  </r>
  <r>
    <d v="2025-12-28T20:38:00"/>
    <x v="1"/>
    <x v="3"/>
    <x v="0"/>
    <x v="0"/>
    <x v="0"/>
    <x v="5"/>
    <x v="4"/>
    <n v="5"/>
    <n v="8"/>
    <n v="4"/>
    <n v="9"/>
    <n v="7"/>
    <n v="5"/>
    <n v="7"/>
    <n v="8"/>
    <n v="10"/>
  </r>
  <r>
    <d v="2025-12-28T21:21:00"/>
    <x v="0"/>
    <x v="3"/>
    <x v="0"/>
    <x v="1"/>
    <x v="0"/>
    <x v="2"/>
    <x v="1"/>
    <n v="9"/>
    <n v="7"/>
    <n v="5"/>
    <n v="7"/>
    <n v="5"/>
    <n v="8"/>
    <n v="5"/>
    <n v="5"/>
    <n v="7"/>
  </r>
  <r>
    <d v="2025-12-28T21:37:00"/>
    <x v="0"/>
    <x v="1"/>
    <x v="0"/>
    <x v="0"/>
    <x v="0"/>
    <x v="5"/>
    <x v="2"/>
    <n v="4"/>
    <n v="6"/>
    <n v="5"/>
    <n v="5"/>
    <n v="4"/>
    <n v="4"/>
    <n v="3"/>
    <n v="4"/>
    <n v="3"/>
  </r>
  <r>
    <d v="2025-12-28T21:39:00"/>
    <x v="1"/>
    <x v="2"/>
    <x v="0"/>
    <x v="0"/>
    <x v="0"/>
    <x v="2"/>
    <x v="1"/>
    <n v="8"/>
    <n v="7"/>
    <n v="5"/>
    <n v="7"/>
    <n v="7"/>
    <n v="5"/>
    <n v="5"/>
    <n v="7"/>
    <n v="7"/>
  </r>
  <r>
    <d v="2025-12-28T21:40:00"/>
    <x v="0"/>
    <x v="5"/>
    <x v="0"/>
    <x v="0"/>
    <x v="1"/>
    <x v="6"/>
    <x v="3"/>
    <n v="6"/>
    <n v="6"/>
    <n v="5"/>
    <n v="5"/>
    <n v="5"/>
    <n v="5"/>
    <n v="5"/>
    <n v="5"/>
    <n v="5"/>
  </r>
  <r>
    <d v="2025-12-28T21:41:00"/>
    <x v="0"/>
    <x v="3"/>
    <x v="1"/>
    <x v="0"/>
    <x v="0"/>
    <x v="4"/>
    <x v="1"/>
    <n v="8"/>
    <n v="8"/>
    <n v="5"/>
    <n v="8"/>
    <n v="6"/>
    <n v="9"/>
    <n v="5"/>
    <n v="7"/>
    <n v="8"/>
  </r>
  <r>
    <d v="2025-12-28T21:43:00"/>
    <x v="1"/>
    <x v="0"/>
    <x v="0"/>
    <x v="0"/>
    <x v="0"/>
    <x v="7"/>
    <x v="0"/>
    <n v="6"/>
    <n v="6"/>
    <n v="3"/>
    <n v="6"/>
    <n v="5"/>
    <n v="6"/>
    <n v="5"/>
    <n v="6"/>
    <n v="6"/>
  </r>
  <r>
    <d v="2025-12-29T04:58:00"/>
    <x v="0"/>
    <x v="5"/>
    <x v="0"/>
    <x v="0"/>
    <x v="0"/>
    <x v="0"/>
    <x v="0"/>
    <n v="8"/>
    <n v="8"/>
    <n v="8"/>
    <n v="10"/>
    <n v="10"/>
    <n v="10"/>
    <n v="10"/>
    <n v="10"/>
    <n v="10"/>
  </r>
  <r>
    <d v="2025-12-29T06:44:00"/>
    <x v="0"/>
    <x v="4"/>
    <x v="0"/>
    <x v="1"/>
    <x v="0"/>
    <x v="3"/>
    <x v="3"/>
    <n v="8"/>
    <n v="8"/>
    <n v="7"/>
    <n v="8"/>
    <n v="8"/>
    <n v="7"/>
    <n v="7"/>
    <n v="7"/>
    <n v="8"/>
  </r>
  <r>
    <d v="2025-12-29T06:45:00"/>
    <x v="1"/>
    <x v="2"/>
    <x v="0"/>
    <x v="0"/>
    <x v="0"/>
    <x v="0"/>
    <x v="1"/>
    <n v="5"/>
    <n v="5"/>
    <n v="5"/>
    <n v="5"/>
    <n v="5"/>
    <n v="5"/>
    <n v="5"/>
    <n v="5"/>
    <n v="5"/>
  </r>
  <r>
    <d v="2025-12-29T06:47:00"/>
    <x v="0"/>
    <x v="5"/>
    <x v="0"/>
    <x v="0"/>
    <x v="0"/>
    <x v="5"/>
    <x v="4"/>
    <n v="8"/>
    <n v="8"/>
    <n v="5"/>
    <n v="8"/>
    <n v="5"/>
    <n v="5"/>
    <n v="6"/>
    <n v="6"/>
    <n v="5"/>
  </r>
  <r>
    <d v="2025-12-29T06:47:00"/>
    <x v="1"/>
    <x v="3"/>
    <x v="0"/>
    <x v="0"/>
    <x v="0"/>
    <x v="4"/>
    <x v="1"/>
    <n v="6"/>
    <n v="7"/>
    <n v="6"/>
    <n v="8"/>
    <n v="6"/>
    <n v="7"/>
    <n v="6"/>
    <n v="6"/>
    <n v="7"/>
  </r>
  <r>
    <d v="2025-12-29T08:21:00"/>
    <x v="1"/>
    <x v="0"/>
    <x v="0"/>
    <x v="0"/>
    <x v="0"/>
    <x v="0"/>
    <x v="0"/>
    <n v="9"/>
    <n v="10"/>
    <n v="8"/>
    <n v="8"/>
    <n v="9"/>
    <n v="9"/>
    <n v="8"/>
    <n v="6"/>
    <n v="9"/>
  </r>
  <r>
    <d v="2025-12-29T08:33:00"/>
    <x v="0"/>
    <x v="0"/>
    <x v="0"/>
    <x v="0"/>
    <x v="0"/>
    <x v="2"/>
    <x v="1"/>
    <n v="10"/>
    <n v="5"/>
    <n v="8"/>
    <n v="8"/>
    <n v="10"/>
    <n v="10"/>
    <n v="10"/>
    <n v="10"/>
    <n v="10"/>
  </r>
  <r>
    <d v="2025-12-29T08:39:00"/>
    <x v="0"/>
    <x v="1"/>
    <x v="0"/>
    <x v="0"/>
    <x v="0"/>
    <x v="7"/>
    <x v="0"/>
    <n v="7"/>
    <n v="7"/>
    <n v="7"/>
    <n v="7"/>
    <n v="7"/>
    <n v="7"/>
    <n v="7"/>
    <n v="7"/>
    <n v="8"/>
  </r>
  <r>
    <d v="2025-12-29T08:52:00"/>
    <x v="0"/>
    <x v="1"/>
    <x v="0"/>
    <x v="0"/>
    <x v="0"/>
    <x v="0"/>
    <x v="0"/>
    <n v="5"/>
    <n v="10"/>
    <n v="5"/>
    <n v="5"/>
    <n v="5"/>
    <n v="5"/>
    <n v="8"/>
    <n v="5"/>
    <n v="6"/>
  </r>
  <r>
    <d v="2025-12-29T09:03:00"/>
    <x v="0"/>
    <x v="1"/>
    <x v="0"/>
    <x v="0"/>
    <x v="0"/>
    <x v="0"/>
    <x v="0"/>
    <n v="10"/>
    <n v="10"/>
    <n v="10"/>
    <n v="10"/>
    <n v="10"/>
    <n v="10"/>
    <n v="10"/>
    <n v="10"/>
    <n v="10"/>
  </r>
  <r>
    <d v="2025-12-29T09:10:00"/>
    <x v="1"/>
    <x v="3"/>
    <x v="0"/>
    <x v="0"/>
    <x v="0"/>
    <x v="1"/>
    <x v="4"/>
    <n v="7"/>
    <n v="6"/>
    <n v="8"/>
    <n v="8"/>
    <n v="7"/>
    <n v="6"/>
    <n v="5"/>
    <n v="5"/>
    <n v="8"/>
  </r>
  <r>
    <d v="2025-12-29T09:34:00"/>
    <x v="1"/>
    <x v="4"/>
    <x v="0"/>
    <x v="0"/>
    <x v="0"/>
    <x v="7"/>
    <x v="0"/>
    <n v="8"/>
    <n v="8"/>
    <n v="6"/>
    <n v="7"/>
    <n v="6"/>
    <n v="7"/>
    <n v="5"/>
    <n v="5"/>
    <n v="5"/>
  </r>
  <r>
    <d v="2025-12-29T09:36:00"/>
    <x v="0"/>
    <x v="1"/>
    <x v="0"/>
    <x v="0"/>
    <x v="0"/>
    <x v="4"/>
    <x v="4"/>
    <n v="7"/>
    <n v="8"/>
    <n v="8"/>
    <n v="8"/>
    <n v="8"/>
    <n v="8"/>
    <n v="8"/>
    <n v="8"/>
    <n v="8"/>
  </r>
  <r>
    <d v="2025-12-29T09:50:00"/>
    <x v="0"/>
    <x v="3"/>
    <x v="0"/>
    <x v="0"/>
    <x v="0"/>
    <x v="2"/>
    <x v="2"/>
    <n v="1"/>
    <n v="1"/>
    <n v="1"/>
    <n v="1"/>
    <n v="1"/>
    <n v="1"/>
    <n v="1"/>
    <n v="1"/>
    <n v="1"/>
  </r>
  <r>
    <d v="2025-12-29T10:03:00"/>
    <x v="0"/>
    <x v="1"/>
    <x v="0"/>
    <x v="0"/>
    <x v="0"/>
    <x v="4"/>
    <x v="3"/>
    <n v="10"/>
    <n v="10"/>
    <n v="10"/>
    <n v="10"/>
    <n v="10"/>
    <n v="10"/>
    <n v="10"/>
    <n v="10"/>
    <n v="10"/>
  </r>
  <r>
    <d v="2025-12-29T10:05:00"/>
    <x v="0"/>
    <x v="1"/>
    <x v="0"/>
    <x v="1"/>
    <x v="0"/>
    <x v="0"/>
    <x v="3"/>
    <n v="1"/>
    <n v="1"/>
    <n v="1"/>
    <n v="1"/>
    <n v="1"/>
    <n v="1"/>
    <n v="1"/>
    <n v="1"/>
    <n v="1"/>
  </r>
  <r>
    <d v="2025-12-29T11:50:00"/>
    <x v="0"/>
    <x v="1"/>
    <x v="0"/>
    <x v="1"/>
    <x v="0"/>
    <x v="0"/>
    <x v="1"/>
    <n v="9"/>
    <n v="9"/>
    <n v="9"/>
    <n v="9"/>
    <n v="9"/>
    <n v="9"/>
    <n v="9"/>
    <n v="8"/>
    <n v="9"/>
  </r>
  <r>
    <d v="2025-12-29T12:10:00"/>
    <x v="0"/>
    <x v="1"/>
    <x v="0"/>
    <x v="0"/>
    <x v="0"/>
    <x v="1"/>
    <x v="1"/>
    <n v="8"/>
    <n v="9"/>
    <n v="8"/>
    <n v="6"/>
    <n v="8"/>
    <n v="8"/>
    <n v="8"/>
    <n v="8"/>
    <n v="6"/>
  </r>
  <r>
    <d v="2025-12-29T13:01:00"/>
    <x v="1"/>
    <x v="3"/>
    <x v="0"/>
    <x v="1"/>
    <x v="0"/>
    <x v="5"/>
    <x v="0"/>
    <n v="4"/>
    <n v="1"/>
    <n v="1"/>
    <n v="5"/>
    <n v="1"/>
    <n v="3"/>
    <n v="1"/>
    <n v="1"/>
    <n v="5"/>
  </r>
  <r>
    <d v="2025-12-29T13:02:00"/>
    <x v="0"/>
    <x v="5"/>
    <x v="0"/>
    <x v="0"/>
    <x v="0"/>
    <x v="1"/>
    <x v="3"/>
    <n v="8"/>
    <n v="8"/>
    <n v="6"/>
    <n v="9"/>
    <n v="8"/>
    <n v="7"/>
    <n v="7"/>
    <n v="7"/>
    <n v="7"/>
  </r>
  <r>
    <d v="2025-12-29T13:03:00"/>
    <x v="0"/>
    <x v="1"/>
    <x v="1"/>
    <x v="0"/>
    <x v="0"/>
    <x v="7"/>
    <x v="2"/>
    <n v="6"/>
    <n v="6"/>
    <n v="6"/>
    <n v="6"/>
    <n v="6"/>
    <n v="6"/>
    <n v="6"/>
    <n v="6"/>
    <n v="6"/>
  </r>
  <r>
    <d v="2025-12-29T13:04:00"/>
    <x v="1"/>
    <x v="4"/>
    <x v="0"/>
    <x v="1"/>
    <x v="1"/>
    <x v="6"/>
    <x v="3"/>
    <n v="1"/>
    <n v="1"/>
    <n v="1"/>
    <n v="5"/>
    <n v="1"/>
    <n v="1"/>
    <n v="1"/>
    <n v="1"/>
    <n v="5"/>
  </r>
  <r>
    <d v="2025-12-29T13:05:00"/>
    <x v="1"/>
    <x v="1"/>
    <x v="0"/>
    <x v="0"/>
    <x v="0"/>
    <x v="6"/>
    <x v="1"/>
    <n v="4"/>
    <n v="4"/>
    <n v="2"/>
    <n v="5"/>
    <n v="1"/>
    <n v="1"/>
    <n v="1"/>
    <n v="4"/>
    <n v="4"/>
  </r>
  <r>
    <d v="2025-12-29T13:06:00"/>
    <x v="0"/>
    <x v="2"/>
    <x v="0"/>
    <x v="0"/>
    <x v="0"/>
    <x v="2"/>
    <x v="1"/>
    <n v="7"/>
    <n v="7"/>
    <n v="7"/>
    <n v="7"/>
    <n v="7"/>
    <n v="7"/>
    <n v="7"/>
    <n v="7"/>
    <n v="8"/>
  </r>
  <r>
    <d v="2025-12-29T14:09:00"/>
    <x v="0"/>
    <x v="4"/>
    <x v="0"/>
    <x v="1"/>
    <x v="0"/>
    <x v="5"/>
    <x v="0"/>
    <n v="10"/>
    <n v="9"/>
    <n v="10"/>
    <n v="10"/>
    <n v="10"/>
    <n v="8"/>
    <n v="9"/>
    <n v="9"/>
    <n v="9"/>
  </r>
  <r>
    <d v="2025-12-29T14:10:00"/>
    <x v="0"/>
    <x v="2"/>
    <x v="0"/>
    <x v="0"/>
    <x v="0"/>
    <x v="0"/>
    <x v="4"/>
    <n v="10"/>
    <n v="10"/>
    <n v="10"/>
    <n v="10"/>
    <n v="10"/>
    <n v="10"/>
    <n v="10"/>
    <n v="10"/>
    <n v="10"/>
  </r>
  <r>
    <d v="2025-12-29T14:26:00"/>
    <x v="1"/>
    <x v="0"/>
    <x v="0"/>
    <x v="0"/>
    <x v="0"/>
    <x v="7"/>
    <x v="1"/>
    <n v="8"/>
    <n v="8"/>
    <n v="5"/>
    <n v="8"/>
    <n v="8"/>
    <n v="8"/>
    <n v="7"/>
    <n v="7"/>
    <n v="8"/>
  </r>
  <r>
    <d v="2025-12-29T14:27:00"/>
    <x v="0"/>
    <x v="1"/>
    <x v="0"/>
    <x v="0"/>
    <x v="0"/>
    <x v="6"/>
    <x v="3"/>
    <n v="1"/>
    <n v="1"/>
    <n v="1"/>
    <n v="5"/>
    <n v="1"/>
    <n v="1"/>
    <n v="1"/>
    <n v="5"/>
    <n v="5"/>
  </r>
  <r>
    <d v="2025-12-29T14:28:00"/>
    <x v="1"/>
    <x v="4"/>
    <x v="0"/>
    <x v="0"/>
    <x v="0"/>
    <x v="6"/>
    <x v="3"/>
    <n v="6"/>
    <n v="6"/>
    <n v="6"/>
    <n v="8"/>
    <n v="6"/>
    <n v="3"/>
    <n v="5"/>
    <n v="5"/>
    <n v="4"/>
  </r>
  <r>
    <d v="2025-12-29T14:29:00"/>
    <x v="1"/>
    <x v="4"/>
    <x v="0"/>
    <x v="1"/>
    <x v="0"/>
    <x v="6"/>
    <x v="2"/>
    <n v="6"/>
    <n v="6"/>
    <n v="4"/>
    <n v="5"/>
    <n v="5"/>
    <n v="1"/>
    <n v="5"/>
    <n v="4"/>
    <n v="5"/>
  </r>
  <r>
    <d v="2025-12-29T14:29:00"/>
    <x v="0"/>
    <x v="5"/>
    <x v="0"/>
    <x v="1"/>
    <x v="0"/>
    <x v="3"/>
    <x v="4"/>
    <n v="5"/>
    <n v="5"/>
    <n v="1"/>
    <n v="4"/>
    <n v="2"/>
    <n v="1"/>
    <n v="1"/>
    <n v="1"/>
    <n v="5"/>
  </r>
  <r>
    <d v="2025-12-29T14:31:00"/>
    <x v="0"/>
    <x v="3"/>
    <x v="0"/>
    <x v="1"/>
    <x v="0"/>
    <x v="3"/>
    <x v="0"/>
    <n v="8"/>
    <n v="9"/>
    <n v="5"/>
    <n v="5"/>
    <n v="5"/>
    <n v="4"/>
    <n v="5"/>
    <n v="5"/>
    <n v="5"/>
  </r>
  <r>
    <d v="2025-12-29T14:31:00"/>
    <x v="1"/>
    <x v="2"/>
    <x v="0"/>
    <x v="0"/>
    <x v="0"/>
    <x v="0"/>
    <x v="1"/>
    <n v="9"/>
    <n v="9"/>
    <n v="9"/>
    <n v="9"/>
    <n v="7"/>
    <n v="10"/>
    <n v="5"/>
    <n v="5"/>
    <n v="9"/>
  </r>
  <r>
    <d v="2025-12-29T14:32:00"/>
    <x v="1"/>
    <x v="0"/>
    <x v="0"/>
    <x v="2"/>
    <x v="0"/>
    <x v="5"/>
    <x v="1"/>
    <n v="5"/>
    <n v="5"/>
    <n v="5"/>
    <n v="5"/>
    <n v="5"/>
    <n v="5"/>
    <n v="5"/>
    <n v="5"/>
    <n v="5"/>
  </r>
  <r>
    <d v="2025-12-29T14:33:00"/>
    <x v="0"/>
    <x v="2"/>
    <x v="0"/>
    <x v="0"/>
    <x v="0"/>
    <x v="4"/>
    <x v="1"/>
    <n v="9"/>
    <n v="9"/>
    <n v="5"/>
    <n v="9"/>
    <n v="8"/>
    <n v="10"/>
    <n v="5"/>
    <n v="5"/>
    <n v="7"/>
  </r>
  <r>
    <d v="2025-12-29T14:37:00"/>
    <x v="1"/>
    <x v="2"/>
    <x v="0"/>
    <x v="0"/>
    <x v="0"/>
    <x v="0"/>
    <x v="1"/>
    <n v="5"/>
    <n v="5"/>
    <n v="5"/>
    <n v="6"/>
    <n v="6"/>
    <n v="6"/>
    <n v="6"/>
    <n v="6"/>
    <n v="6"/>
  </r>
  <r>
    <d v="2025-12-29T14:43:00"/>
    <x v="0"/>
    <x v="5"/>
    <x v="0"/>
    <x v="0"/>
    <x v="2"/>
    <x v="2"/>
    <x v="1"/>
    <n v="8"/>
    <n v="8"/>
    <n v="8"/>
    <n v="8"/>
    <n v="10"/>
    <n v="10"/>
    <n v="10"/>
    <n v="10"/>
    <n v="10"/>
  </r>
  <r>
    <d v="2025-12-29T15:18:00"/>
    <x v="1"/>
    <x v="4"/>
    <x v="0"/>
    <x v="0"/>
    <x v="0"/>
    <x v="6"/>
    <x v="3"/>
    <n v="8"/>
    <n v="8"/>
    <n v="8"/>
    <n v="8"/>
    <n v="8"/>
    <n v="8"/>
    <n v="5"/>
    <n v="7"/>
    <n v="8"/>
  </r>
  <r>
    <d v="2025-12-29T15:23:00"/>
    <x v="0"/>
    <x v="0"/>
    <x v="0"/>
    <x v="1"/>
    <x v="0"/>
    <x v="0"/>
    <x v="1"/>
    <n v="8"/>
    <n v="9"/>
    <n v="7"/>
    <n v="7"/>
    <n v="6"/>
    <n v="6"/>
    <n v="2"/>
    <n v="5"/>
    <n v="6"/>
  </r>
  <r>
    <d v="2025-12-29T20:27:00"/>
    <x v="0"/>
    <x v="1"/>
    <x v="0"/>
    <x v="1"/>
    <x v="0"/>
    <x v="6"/>
    <x v="4"/>
    <n v="5"/>
    <n v="4"/>
    <n v="7"/>
    <n v="6"/>
    <n v="3"/>
    <n v="4"/>
    <n v="4"/>
    <n v="5"/>
    <n v="5"/>
  </r>
  <r>
    <d v="2025-12-29T21:20:00"/>
    <x v="0"/>
    <x v="3"/>
    <x v="0"/>
    <x v="0"/>
    <x v="0"/>
    <x v="7"/>
    <x v="0"/>
    <n v="10"/>
    <n v="9"/>
    <n v="9"/>
    <n v="9"/>
    <n v="8"/>
    <n v="8"/>
    <n v="8"/>
    <n v="8"/>
    <n v="10"/>
  </r>
  <r>
    <d v="2025-12-29T21:21:00"/>
    <x v="1"/>
    <x v="3"/>
    <x v="0"/>
    <x v="0"/>
    <x v="0"/>
    <x v="7"/>
    <x v="0"/>
    <n v="8"/>
    <n v="7"/>
    <n v="6"/>
    <n v="6"/>
    <n v="5"/>
    <n v="5"/>
    <n v="3"/>
    <n v="3"/>
    <n v="5"/>
  </r>
  <r>
    <d v="2025-12-30T08:12:00"/>
    <x v="1"/>
    <x v="1"/>
    <x v="0"/>
    <x v="1"/>
    <x v="0"/>
    <x v="2"/>
    <x v="0"/>
    <n v="5"/>
    <n v="6"/>
    <n v="5"/>
    <n v="7"/>
    <n v="6"/>
    <n v="6"/>
    <n v="6"/>
    <n v="7"/>
    <n v="7"/>
  </r>
  <r>
    <d v="2025-12-30T10:46:00"/>
    <x v="1"/>
    <x v="3"/>
    <x v="0"/>
    <x v="1"/>
    <x v="0"/>
    <x v="6"/>
    <x v="1"/>
    <n v="1"/>
    <n v="1"/>
    <n v="8"/>
    <n v="8"/>
    <n v="8"/>
    <n v="8"/>
    <n v="8"/>
    <n v="8"/>
    <n v="8"/>
  </r>
  <r>
    <d v="2025-12-30T10:47:00"/>
    <x v="0"/>
    <x v="4"/>
    <x v="0"/>
    <x v="0"/>
    <x v="0"/>
    <x v="1"/>
    <x v="4"/>
    <n v="9"/>
    <n v="9"/>
    <n v="9"/>
    <n v="9"/>
    <n v="10"/>
    <n v="5"/>
    <n v="9"/>
    <n v="9"/>
    <n v="10"/>
  </r>
  <r>
    <d v="2025-12-30T10:50:00"/>
    <x v="0"/>
    <x v="1"/>
    <x v="0"/>
    <x v="0"/>
    <x v="0"/>
    <x v="1"/>
    <x v="4"/>
    <n v="10"/>
    <n v="10"/>
    <n v="9"/>
    <n v="6"/>
    <n v="6"/>
    <n v="3"/>
    <n v="5"/>
    <n v="5"/>
    <n v="1"/>
  </r>
  <r>
    <d v="2025-12-30T10:54:00"/>
    <x v="0"/>
    <x v="1"/>
    <x v="0"/>
    <x v="0"/>
    <x v="0"/>
    <x v="3"/>
    <x v="2"/>
    <n v="8"/>
    <n v="8"/>
    <n v="5"/>
    <n v="5"/>
    <n v="5"/>
    <n v="3"/>
    <n v="5"/>
    <n v="5"/>
    <n v="5"/>
  </r>
  <r>
    <d v="2025-12-30T10:59:00"/>
    <x v="0"/>
    <x v="5"/>
    <x v="0"/>
    <x v="1"/>
    <x v="0"/>
    <x v="6"/>
    <x v="1"/>
    <n v="7"/>
    <n v="7"/>
    <n v="1"/>
    <n v="6"/>
    <n v="3"/>
    <n v="5"/>
    <n v="1"/>
    <n v="4"/>
    <n v="5"/>
  </r>
  <r>
    <d v="2025-12-30T11:05:00"/>
    <x v="1"/>
    <x v="0"/>
    <x v="0"/>
    <x v="0"/>
    <x v="0"/>
    <x v="4"/>
    <x v="1"/>
    <n v="6"/>
    <n v="6"/>
    <n v="5"/>
    <n v="7"/>
    <n v="5"/>
    <n v="7"/>
    <n v="5"/>
    <n v="6"/>
    <n v="7"/>
  </r>
  <r>
    <d v="2025-12-30T11:09:00"/>
    <x v="0"/>
    <x v="1"/>
    <x v="0"/>
    <x v="0"/>
    <x v="0"/>
    <x v="6"/>
    <x v="2"/>
    <n v="10"/>
    <n v="10"/>
    <n v="7"/>
    <n v="8"/>
    <n v="8"/>
    <n v="4"/>
    <n v="1"/>
    <n v="3"/>
    <n v="6"/>
  </r>
  <r>
    <d v="2025-12-30T11:24:00"/>
    <x v="0"/>
    <x v="1"/>
    <x v="0"/>
    <x v="0"/>
    <x v="0"/>
    <x v="1"/>
    <x v="4"/>
    <n v="7"/>
    <n v="10"/>
    <n v="5"/>
    <n v="7"/>
    <n v="7"/>
    <n v="7"/>
    <n v="7"/>
    <n v="7"/>
    <n v="10"/>
  </r>
  <r>
    <d v="2025-12-30T11:42:00"/>
    <x v="0"/>
    <x v="3"/>
    <x v="0"/>
    <x v="0"/>
    <x v="0"/>
    <x v="3"/>
    <x v="4"/>
    <n v="8"/>
    <n v="8"/>
    <n v="8"/>
    <n v="8"/>
    <n v="8"/>
    <n v="8"/>
    <n v="8"/>
    <n v="8"/>
    <n v="8"/>
  </r>
  <r>
    <d v="2025-12-30T12:10:00"/>
    <x v="0"/>
    <x v="1"/>
    <x v="0"/>
    <x v="1"/>
    <x v="0"/>
    <x v="3"/>
    <x v="4"/>
    <n v="10"/>
    <n v="10"/>
    <n v="10"/>
    <n v="10"/>
    <n v="10"/>
    <n v="10"/>
    <n v="10"/>
    <n v="10"/>
    <n v="10"/>
  </r>
  <r>
    <d v="2025-12-30T12:21:00"/>
    <x v="1"/>
    <x v="3"/>
    <x v="0"/>
    <x v="0"/>
    <x v="0"/>
    <x v="2"/>
    <x v="0"/>
    <n v="7"/>
    <n v="7"/>
    <n v="5"/>
    <n v="7"/>
    <n v="7"/>
    <n v="7"/>
    <n v="7"/>
    <n v="7"/>
    <n v="7"/>
  </r>
  <r>
    <d v="2025-12-30T14:44:00"/>
    <x v="0"/>
    <x v="0"/>
    <x v="0"/>
    <x v="0"/>
    <x v="0"/>
    <x v="2"/>
    <x v="4"/>
    <n v="7"/>
    <n v="8"/>
    <n v="8"/>
    <n v="8"/>
    <n v="6"/>
    <n v="8"/>
    <n v="5"/>
    <n v="8"/>
    <n v="8"/>
  </r>
  <r>
    <d v="2025-12-30T18:51:00"/>
    <x v="0"/>
    <x v="3"/>
    <x v="0"/>
    <x v="1"/>
    <x v="0"/>
    <x v="1"/>
    <x v="0"/>
    <n v="10"/>
    <n v="10"/>
    <n v="10"/>
    <n v="10"/>
    <n v="10"/>
    <n v="10"/>
    <n v="10"/>
    <n v="10"/>
    <n v="10"/>
  </r>
  <r>
    <d v="2025-12-30T18:59:00"/>
    <x v="0"/>
    <x v="3"/>
    <x v="0"/>
    <x v="1"/>
    <x v="0"/>
    <x v="7"/>
    <x v="0"/>
    <n v="10"/>
    <n v="10"/>
    <n v="10"/>
    <n v="10"/>
    <n v="10"/>
    <n v="10"/>
    <n v="10"/>
    <n v="10"/>
    <n v="10"/>
  </r>
  <r>
    <d v="2025-12-30T19:26:00"/>
    <x v="1"/>
    <x v="3"/>
    <x v="0"/>
    <x v="0"/>
    <x v="0"/>
    <x v="3"/>
    <x v="3"/>
    <n v="10"/>
    <n v="10"/>
    <n v="1"/>
    <n v="10"/>
    <n v="1"/>
    <n v="1"/>
    <n v="1"/>
    <n v="1"/>
    <n v="6"/>
  </r>
  <r>
    <d v="2025-12-30T19:51:00"/>
    <x v="0"/>
    <x v="3"/>
    <x v="0"/>
    <x v="0"/>
    <x v="0"/>
    <x v="3"/>
    <x v="4"/>
    <n v="7"/>
    <n v="8"/>
    <n v="6"/>
    <n v="6"/>
    <n v="7"/>
    <n v="5"/>
    <n v="6"/>
    <n v="7"/>
    <n v="7"/>
  </r>
  <r>
    <d v="2026-01-01T10:33:00"/>
    <x v="1"/>
    <x v="1"/>
    <x v="0"/>
    <x v="0"/>
    <x v="0"/>
    <x v="5"/>
    <x v="1"/>
    <n v="2"/>
    <n v="7"/>
    <n v="10"/>
    <n v="2"/>
    <n v="10"/>
    <n v="5"/>
    <n v="10"/>
    <n v="3"/>
    <n v="3"/>
  </r>
  <r>
    <d v="2026-01-01T15:13:00"/>
    <x v="0"/>
    <x v="3"/>
    <x v="0"/>
    <x v="1"/>
    <x v="0"/>
    <x v="5"/>
    <x v="1"/>
    <n v="9"/>
    <n v="9"/>
    <n v="10"/>
    <n v="2"/>
    <n v="9"/>
    <n v="9"/>
    <n v="6"/>
    <n v="8"/>
    <n v="10"/>
  </r>
  <r>
    <d v="2026-01-01T15:17:00"/>
    <x v="0"/>
    <x v="3"/>
    <x v="0"/>
    <x v="0"/>
    <x v="0"/>
    <x v="0"/>
    <x v="1"/>
    <n v="7"/>
    <n v="5"/>
    <n v="7"/>
    <n v="5"/>
    <n v="3"/>
    <n v="4"/>
    <n v="1"/>
    <n v="5"/>
    <n v="5"/>
  </r>
  <r>
    <d v="2026-01-01T15:31:00"/>
    <x v="0"/>
    <x v="0"/>
    <x v="0"/>
    <x v="0"/>
    <x v="0"/>
    <x v="2"/>
    <x v="1"/>
    <n v="3"/>
    <n v="8"/>
    <n v="4"/>
    <n v="5"/>
    <n v="5"/>
    <n v="5"/>
    <n v="5"/>
    <n v="5"/>
    <n v="5"/>
  </r>
  <r>
    <d v="2026-01-02T07:31:00"/>
    <x v="0"/>
    <x v="0"/>
    <x v="0"/>
    <x v="0"/>
    <x v="0"/>
    <x v="0"/>
    <x v="1"/>
    <n v="10"/>
    <n v="10"/>
    <n v="10"/>
    <n v="10"/>
    <n v="10"/>
    <n v="10"/>
    <n v="10"/>
    <n v="10"/>
    <n v="10"/>
  </r>
  <r>
    <d v="2026-01-02T09:17:00"/>
    <x v="0"/>
    <x v="1"/>
    <x v="0"/>
    <x v="0"/>
    <x v="0"/>
    <x v="5"/>
    <x v="4"/>
    <n v="8"/>
    <n v="9"/>
    <n v="9"/>
    <n v="9"/>
    <n v="5"/>
    <n v="7"/>
    <n v="5"/>
    <n v="7"/>
    <n v="7"/>
  </r>
  <r>
    <d v="2026-01-02T14:22:00"/>
    <x v="0"/>
    <x v="3"/>
    <x v="0"/>
    <x v="1"/>
    <x v="0"/>
    <x v="5"/>
    <x v="1"/>
    <n v="5"/>
    <n v="5"/>
    <n v="6"/>
    <n v="6"/>
    <n v="6"/>
    <n v="6"/>
    <n v="5"/>
    <n v="7"/>
    <n v="8"/>
  </r>
  <r>
    <d v="2026-01-02T16:52:00"/>
    <x v="0"/>
    <x v="3"/>
    <x v="0"/>
    <x v="1"/>
    <x v="0"/>
    <x v="5"/>
    <x v="0"/>
    <n v="10"/>
    <n v="8"/>
    <n v="10"/>
    <n v="10"/>
    <n v="10"/>
    <n v="10"/>
    <n v="10"/>
    <n v="10"/>
    <n v="8"/>
  </r>
  <r>
    <d v="2026-01-02T18:20:00"/>
    <x v="1"/>
    <x v="3"/>
    <x v="0"/>
    <x v="1"/>
    <x v="0"/>
    <x v="3"/>
    <x v="1"/>
    <n v="5"/>
    <n v="8"/>
    <n v="5"/>
    <n v="8"/>
    <n v="4"/>
    <n v="5"/>
    <n v="1"/>
    <n v="5"/>
    <n v="5"/>
  </r>
  <r>
    <d v="2026-01-03T08:11:00"/>
    <x v="0"/>
    <x v="0"/>
    <x v="0"/>
    <x v="0"/>
    <x v="0"/>
    <x v="4"/>
    <x v="1"/>
    <n v="7"/>
    <n v="7"/>
    <n v="8"/>
    <n v="8"/>
    <n v="7"/>
    <n v="8"/>
    <n v="8"/>
    <n v="8"/>
    <n v="9"/>
  </r>
  <r>
    <d v="2026-01-03T08:59:00"/>
    <x v="1"/>
    <x v="1"/>
    <x v="0"/>
    <x v="0"/>
    <x v="0"/>
    <x v="5"/>
    <x v="1"/>
    <n v="8"/>
    <n v="8"/>
    <n v="7"/>
    <n v="8"/>
    <n v="7"/>
    <n v="7"/>
    <n v="7"/>
    <n v="8"/>
    <n v="8"/>
  </r>
  <r>
    <d v="2026-01-04T13:48:00"/>
    <x v="1"/>
    <x v="0"/>
    <x v="0"/>
    <x v="0"/>
    <x v="1"/>
    <x v="0"/>
    <x v="1"/>
    <n v="5"/>
    <n v="8"/>
    <n v="7"/>
    <n v="8"/>
    <n v="1"/>
    <n v="2"/>
    <n v="3"/>
    <n v="3"/>
    <n v="7"/>
  </r>
  <r>
    <d v="2026-01-04T13:50:00"/>
    <x v="1"/>
    <x v="2"/>
    <x v="0"/>
    <x v="0"/>
    <x v="0"/>
    <x v="2"/>
    <x v="1"/>
    <n v="6"/>
    <n v="7"/>
    <n v="5"/>
    <n v="7"/>
    <n v="7"/>
    <n v="7"/>
    <n v="5"/>
    <n v="7"/>
    <n v="7"/>
  </r>
  <r>
    <d v="2026-01-04T13:51:00"/>
    <x v="1"/>
    <x v="4"/>
    <x v="0"/>
    <x v="1"/>
    <x v="0"/>
    <x v="6"/>
    <x v="3"/>
    <n v="8"/>
    <n v="8"/>
    <n v="8"/>
    <n v="9"/>
    <n v="9"/>
    <n v="5"/>
    <n v="5"/>
    <n v="8"/>
    <n v="6"/>
  </r>
  <r>
    <d v="2026-01-04T13:52:00"/>
    <x v="0"/>
    <x v="1"/>
    <x v="0"/>
    <x v="0"/>
    <x v="0"/>
    <x v="3"/>
    <x v="2"/>
    <n v="5"/>
    <n v="5"/>
    <n v="4"/>
    <n v="6"/>
    <n v="5"/>
    <n v="4"/>
    <n v="4"/>
    <n v="5"/>
    <n v="5"/>
  </r>
  <r>
    <d v="2026-01-04T13:53:00"/>
    <x v="0"/>
    <x v="0"/>
    <x v="0"/>
    <x v="0"/>
    <x v="0"/>
    <x v="5"/>
    <x v="0"/>
    <n v="6"/>
    <n v="6"/>
    <n v="6"/>
    <n v="6"/>
    <n v="7"/>
    <n v="7"/>
    <n v="5"/>
    <n v="7"/>
    <n v="6"/>
  </r>
  <r>
    <d v="2026-01-04T13:54:00"/>
    <x v="0"/>
    <x v="4"/>
    <x v="0"/>
    <x v="1"/>
    <x v="0"/>
    <x v="6"/>
    <x v="2"/>
    <n v="4"/>
    <n v="5"/>
    <n v="4"/>
    <n v="6"/>
    <n v="4"/>
    <n v="4"/>
    <n v="4"/>
    <n v="5"/>
    <n v="4"/>
  </r>
  <r>
    <d v="2026-01-04T13:54:00"/>
    <x v="0"/>
    <x v="5"/>
    <x v="1"/>
    <x v="1"/>
    <x v="0"/>
    <x v="6"/>
    <x v="1"/>
    <n v="2"/>
    <n v="4"/>
    <n v="3"/>
    <n v="5"/>
    <n v="4"/>
    <n v="1"/>
    <n v="1"/>
    <n v="4"/>
    <n v="4"/>
  </r>
  <r>
    <d v="2026-01-04T13:56:00"/>
    <x v="0"/>
    <x v="4"/>
    <x v="0"/>
    <x v="1"/>
    <x v="0"/>
    <x v="3"/>
    <x v="4"/>
    <n v="4"/>
    <n v="4"/>
    <n v="3"/>
    <n v="5"/>
    <n v="3"/>
    <n v="2"/>
    <n v="1"/>
    <n v="1"/>
    <n v="1"/>
  </r>
  <r>
    <d v="2026-01-04T13:56:00"/>
    <x v="0"/>
    <x v="5"/>
    <x v="0"/>
    <x v="0"/>
    <x v="0"/>
    <x v="5"/>
    <x v="3"/>
    <n v="6"/>
    <n v="7"/>
    <n v="6"/>
    <n v="6"/>
    <n v="6"/>
    <n v="7"/>
    <n v="5"/>
    <n v="6"/>
    <n v="7"/>
  </r>
  <r>
    <d v="2026-01-04T13:58:00"/>
    <x v="0"/>
    <x v="3"/>
    <x v="0"/>
    <x v="1"/>
    <x v="0"/>
    <x v="7"/>
    <x v="0"/>
    <n v="7"/>
    <n v="7"/>
    <n v="7"/>
    <n v="8"/>
    <n v="7"/>
    <n v="8"/>
    <n v="7"/>
    <n v="7"/>
    <n v="8"/>
  </r>
  <r>
    <d v="2026-01-04T13:59:00"/>
    <x v="0"/>
    <x v="1"/>
    <x v="0"/>
    <x v="0"/>
    <x v="0"/>
    <x v="1"/>
    <x v="0"/>
    <n v="5"/>
    <n v="5"/>
    <n v="5"/>
    <n v="7"/>
    <n v="5"/>
    <n v="6"/>
    <n v="5"/>
    <n v="7"/>
    <n v="7"/>
  </r>
  <r>
    <d v="2026-01-04T16:48:00"/>
    <x v="0"/>
    <x v="3"/>
    <x v="0"/>
    <x v="1"/>
    <x v="0"/>
    <x v="1"/>
    <x v="4"/>
    <n v="6"/>
    <n v="7"/>
    <n v="7"/>
    <n v="8"/>
    <n v="8"/>
    <n v="7"/>
    <n v="5"/>
    <n v="7"/>
    <n v="7"/>
  </r>
  <r>
    <d v="2026-01-04T16:49:00"/>
    <x v="0"/>
    <x v="0"/>
    <x v="0"/>
    <x v="0"/>
    <x v="0"/>
    <x v="7"/>
    <x v="1"/>
    <n v="8"/>
    <n v="8"/>
    <n v="5"/>
    <n v="8"/>
    <n v="6"/>
    <n v="8"/>
    <n v="6"/>
    <n v="7"/>
    <n v="7"/>
  </r>
  <r>
    <d v="2026-01-04T16:50:00"/>
    <x v="1"/>
    <x v="5"/>
    <x v="0"/>
    <x v="1"/>
    <x v="0"/>
    <x v="6"/>
    <x v="2"/>
    <n v="2"/>
    <n v="5"/>
    <n v="3"/>
    <n v="5"/>
    <n v="3"/>
    <n v="2"/>
    <n v="1"/>
    <n v="5"/>
    <n v="5"/>
  </r>
  <r>
    <d v="2026-01-04T16:51:00"/>
    <x v="1"/>
    <x v="2"/>
    <x v="0"/>
    <x v="0"/>
    <x v="0"/>
    <x v="0"/>
    <x v="1"/>
    <n v="6"/>
    <n v="6"/>
    <n v="5"/>
    <n v="9"/>
    <n v="7"/>
    <n v="8"/>
    <n v="5"/>
    <n v="7"/>
    <n v="7"/>
  </r>
  <r>
    <d v="2026-01-04T16:52:00"/>
    <x v="0"/>
    <x v="1"/>
    <x v="1"/>
    <x v="0"/>
    <x v="1"/>
    <x v="5"/>
    <x v="2"/>
    <n v="7"/>
    <n v="7"/>
    <n v="6"/>
    <n v="8"/>
    <n v="5"/>
    <n v="5"/>
    <n v="5"/>
    <n v="6"/>
    <n v="5"/>
  </r>
  <r>
    <d v="2026-01-04T16:54:00"/>
    <x v="0"/>
    <x v="5"/>
    <x v="0"/>
    <x v="0"/>
    <x v="2"/>
    <x v="0"/>
    <x v="1"/>
    <n v="7"/>
    <n v="7"/>
    <n v="5"/>
    <n v="7"/>
    <n v="5"/>
    <n v="5"/>
    <n v="5"/>
    <n v="5"/>
    <n v="6"/>
  </r>
  <r>
    <d v="2026-01-04T17:01:00"/>
    <x v="1"/>
    <x v="1"/>
    <x v="0"/>
    <x v="1"/>
    <x v="0"/>
    <x v="5"/>
    <x v="4"/>
    <n v="6"/>
    <n v="7"/>
    <n v="6"/>
    <n v="7"/>
    <n v="6"/>
    <n v="6"/>
    <n v="5"/>
    <n v="5"/>
    <n v="6"/>
  </r>
  <r>
    <d v="2026-01-04T17:31:00"/>
    <x v="1"/>
    <x v="0"/>
    <x v="0"/>
    <x v="0"/>
    <x v="0"/>
    <x v="7"/>
    <x v="0"/>
    <n v="5"/>
    <n v="5"/>
    <n v="4"/>
    <n v="6"/>
    <n v="5"/>
    <n v="5"/>
    <n v="5"/>
    <n v="5"/>
    <n v="5"/>
  </r>
  <r>
    <d v="2026-01-04T22:56:00"/>
    <x v="1"/>
    <x v="1"/>
    <x v="0"/>
    <x v="0"/>
    <x v="0"/>
    <x v="1"/>
    <x v="4"/>
    <n v="8"/>
    <n v="8"/>
    <n v="5"/>
    <n v="7"/>
    <n v="6"/>
    <n v="8"/>
    <n v="5"/>
    <n v="7"/>
    <n v="8"/>
  </r>
  <r>
    <d v="2026-01-05T13:53:00"/>
    <x v="1"/>
    <x v="0"/>
    <x v="0"/>
    <x v="1"/>
    <x v="0"/>
    <x v="7"/>
    <x v="1"/>
    <n v="7"/>
    <n v="7"/>
    <n v="7"/>
    <n v="8"/>
    <n v="3"/>
    <n v="3"/>
    <n v="2"/>
    <n v="3"/>
    <n v="8"/>
  </r>
  <r>
    <d v="2026-01-07T16:26:00"/>
    <x v="1"/>
    <x v="3"/>
    <x v="0"/>
    <x v="1"/>
    <x v="0"/>
    <x v="1"/>
    <x v="2"/>
    <n v="7"/>
    <n v="7"/>
    <n v="6"/>
    <n v="8"/>
    <n v="7"/>
    <n v="8"/>
    <n v="7"/>
    <n v="7"/>
    <n v="7"/>
  </r>
  <r>
    <d v="2026-01-07T16:27:00"/>
    <x v="0"/>
    <x v="2"/>
    <x v="0"/>
    <x v="0"/>
    <x v="0"/>
    <x v="4"/>
    <x v="1"/>
    <n v="8"/>
    <n v="8"/>
    <n v="9"/>
    <n v="9"/>
    <n v="9"/>
    <n v="9"/>
    <n v="8"/>
    <n v="8"/>
    <n v="9"/>
  </r>
  <r>
    <d v="2026-01-08T09:52:00"/>
    <x v="0"/>
    <x v="1"/>
    <x v="0"/>
    <x v="0"/>
    <x v="0"/>
    <x v="7"/>
    <x v="4"/>
    <n v="1"/>
    <n v="1"/>
    <n v="7"/>
    <n v="5"/>
    <n v="5"/>
    <n v="7"/>
    <n v="2"/>
    <n v="5"/>
    <n v="5"/>
  </r>
  <r>
    <d v="2026-01-08T13:47:00"/>
    <x v="0"/>
    <x v="3"/>
    <x v="0"/>
    <x v="0"/>
    <x v="0"/>
    <x v="4"/>
    <x v="0"/>
    <n v="10"/>
    <n v="10"/>
    <n v="6"/>
    <n v="4"/>
    <n v="8"/>
    <n v="3"/>
    <n v="10"/>
    <n v="10"/>
    <n v="10"/>
  </r>
  <r>
    <d v="2026-01-08T15:17:00"/>
    <x v="0"/>
    <x v="0"/>
    <x v="0"/>
    <x v="0"/>
    <x v="0"/>
    <x v="0"/>
    <x v="0"/>
    <n v="9"/>
    <n v="9"/>
    <n v="5"/>
    <n v="5"/>
    <n v="7"/>
    <n v="7"/>
    <n v="8"/>
    <n v="8"/>
    <n v="8"/>
  </r>
  <r>
    <d v="2026-01-08T15:22:00"/>
    <x v="1"/>
    <x v="1"/>
    <x v="0"/>
    <x v="0"/>
    <x v="0"/>
    <x v="0"/>
    <x v="4"/>
    <n v="9"/>
    <n v="9"/>
    <n v="9"/>
    <n v="9"/>
    <n v="9"/>
    <n v="9"/>
    <n v="9"/>
    <n v="9"/>
    <n v="9"/>
  </r>
  <r>
    <d v="2026-01-08T15:23:00"/>
    <x v="0"/>
    <x v="1"/>
    <x v="0"/>
    <x v="1"/>
    <x v="0"/>
    <x v="0"/>
    <x v="2"/>
    <n v="9"/>
    <n v="10"/>
    <n v="10"/>
    <n v="9"/>
    <n v="10"/>
    <n v="10"/>
    <n v="10"/>
    <n v="9"/>
    <n v="10"/>
  </r>
  <r>
    <d v="2026-01-08T16:21:00"/>
    <x v="0"/>
    <x v="1"/>
    <x v="0"/>
    <x v="1"/>
    <x v="0"/>
    <x v="0"/>
    <x v="4"/>
    <n v="5"/>
    <n v="5"/>
    <n v="5"/>
    <n v="5"/>
    <n v="5"/>
    <n v="5"/>
    <n v="5"/>
    <n v="4"/>
    <n v="5"/>
  </r>
  <r>
    <d v="2026-01-09T08:59:00"/>
    <x v="0"/>
    <x v="5"/>
    <x v="0"/>
    <x v="1"/>
    <x v="2"/>
    <x v="2"/>
    <x v="0"/>
    <n v="9"/>
    <n v="8"/>
    <n v="9"/>
    <n v="9"/>
    <n v="8"/>
    <n v="9"/>
    <n v="10"/>
    <n v="9"/>
    <n v="10"/>
  </r>
  <r>
    <d v="2026-01-09T09:22:00"/>
    <x v="1"/>
    <x v="4"/>
    <x v="0"/>
    <x v="0"/>
    <x v="0"/>
    <x v="3"/>
    <x v="2"/>
    <n v="4"/>
    <n v="4"/>
    <n v="3"/>
    <n v="5"/>
    <n v="4"/>
    <n v="5"/>
    <n v="1"/>
    <n v="5"/>
    <n v="5"/>
  </r>
  <r>
    <d v="2026-01-09T09:23:00"/>
    <x v="0"/>
    <x v="5"/>
    <x v="0"/>
    <x v="1"/>
    <x v="0"/>
    <x v="1"/>
    <x v="0"/>
    <n v="5"/>
    <n v="5"/>
    <n v="1"/>
    <n v="5"/>
    <n v="4"/>
    <n v="2"/>
    <n v="2"/>
    <n v="5"/>
    <n v="4"/>
  </r>
  <r>
    <d v="2026-01-09T09:24:00"/>
    <x v="0"/>
    <x v="1"/>
    <x v="0"/>
    <x v="0"/>
    <x v="0"/>
    <x v="3"/>
    <x v="3"/>
    <n v="6"/>
    <n v="8"/>
    <n v="8"/>
    <n v="9"/>
    <n v="7"/>
    <n v="7"/>
    <n v="7"/>
    <n v="8"/>
    <n v="8"/>
  </r>
  <r>
    <d v="2026-01-09T09:24:00"/>
    <x v="0"/>
    <x v="4"/>
    <x v="0"/>
    <x v="1"/>
    <x v="0"/>
    <x v="6"/>
    <x v="2"/>
    <n v="5"/>
    <n v="5"/>
    <n v="5"/>
    <n v="5"/>
    <n v="5"/>
    <n v="5"/>
    <n v="5"/>
    <n v="5"/>
    <n v="5"/>
  </r>
  <r>
    <d v="2026-01-09T09:25:00"/>
    <x v="0"/>
    <x v="3"/>
    <x v="0"/>
    <x v="0"/>
    <x v="0"/>
    <x v="5"/>
    <x v="0"/>
    <n v="7"/>
    <n v="7"/>
    <n v="7"/>
    <n v="8"/>
    <n v="7"/>
    <n v="7"/>
    <n v="7"/>
    <n v="7"/>
    <n v="7"/>
  </r>
  <r>
    <d v="2026-01-09T09:26:00"/>
    <x v="0"/>
    <x v="3"/>
    <x v="0"/>
    <x v="1"/>
    <x v="0"/>
    <x v="7"/>
    <x v="1"/>
    <n v="3"/>
    <n v="1"/>
    <n v="1"/>
    <n v="5"/>
    <n v="1"/>
    <n v="1"/>
    <n v="1"/>
    <n v="4"/>
    <n v="5"/>
  </r>
  <r>
    <d v="2026-01-09T09:30:00"/>
    <x v="0"/>
    <x v="1"/>
    <x v="0"/>
    <x v="0"/>
    <x v="0"/>
    <x v="1"/>
    <x v="0"/>
    <n v="8"/>
    <n v="8"/>
    <n v="5"/>
    <n v="7"/>
    <n v="7"/>
    <n v="6"/>
    <n v="6"/>
    <n v="7"/>
    <n v="7"/>
  </r>
  <r>
    <d v="2026-01-09T09:32:00"/>
    <x v="1"/>
    <x v="3"/>
    <x v="0"/>
    <x v="0"/>
    <x v="0"/>
    <x v="1"/>
    <x v="4"/>
    <n v="4"/>
    <n v="3"/>
    <n v="1"/>
    <n v="2"/>
    <n v="1"/>
    <n v="1"/>
    <n v="1"/>
    <n v="4"/>
    <n v="2"/>
  </r>
  <r>
    <d v="2026-01-09T09:32:00"/>
    <x v="0"/>
    <x v="3"/>
    <x v="0"/>
    <x v="1"/>
    <x v="0"/>
    <x v="5"/>
    <x v="0"/>
    <n v="7"/>
    <n v="8"/>
    <n v="6"/>
    <n v="7"/>
    <n v="6"/>
    <n v="7"/>
    <n v="6"/>
    <n v="6"/>
    <n v="6"/>
  </r>
  <r>
    <d v="2026-01-09T09:33:00"/>
    <x v="0"/>
    <x v="3"/>
    <x v="0"/>
    <x v="0"/>
    <x v="0"/>
    <x v="5"/>
    <x v="1"/>
    <n v="6"/>
    <n v="6"/>
    <n v="6"/>
    <n v="6"/>
    <n v="6"/>
    <n v="5"/>
    <n v="6"/>
    <n v="6"/>
    <n v="6"/>
  </r>
  <r>
    <d v="2026-01-09T09:34:00"/>
    <x v="1"/>
    <x v="3"/>
    <x v="0"/>
    <x v="0"/>
    <x v="0"/>
    <x v="7"/>
    <x v="1"/>
    <n v="7"/>
    <n v="7"/>
    <n v="8"/>
    <n v="8"/>
    <n v="8"/>
    <n v="9"/>
    <n v="8"/>
    <n v="8"/>
    <n v="8"/>
  </r>
  <r>
    <d v="2026-01-09T09:35:00"/>
    <x v="0"/>
    <x v="3"/>
    <x v="0"/>
    <x v="0"/>
    <x v="0"/>
    <x v="1"/>
    <x v="0"/>
    <n v="7"/>
    <n v="7"/>
    <n v="7"/>
    <n v="7"/>
    <n v="7"/>
    <n v="7"/>
    <n v="7"/>
    <n v="7"/>
    <n v="7"/>
  </r>
  <r>
    <d v="2026-01-09T09:35:00"/>
    <x v="0"/>
    <x v="3"/>
    <x v="0"/>
    <x v="0"/>
    <x v="0"/>
    <x v="1"/>
    <x v="1"/>
    <n v="5"/>
    <n v="5"/>
    <n v="1"/>
    <n v="5"/>
    <n v="5"/>
    <n v="5"/>
    <n v="4"/>
    <n v="5"/>
    <n v="5"/>
  </r>
  <r>
    <d v="2026-01-09T09:36:00"/>
    <x v="0"/>
    <x v="3"/>
    <x v="0"/>
    <x v="0"/>
    <x v="0"/>
    <x v="1"/>
    <x v="3"/>
    <n v="7"/>
    <n v="8"/>
    <n v="8"/>
    <n v="8"/>
    <n v="8"/>
    <n v="8"/>
    <n v="8"/>
    <n v="8"/>
    <n v="8"/>
  </r>
  <r>
    <d v="2026-01-09T09:37:00"/>
    <x v="0"/>
    <x v="3"/>
    <x v="0"/>
    <x v="1"/>
    <x v="0"/>
    <x v="1"/>
    <x v="3"/>
    <n v="9"/>
    <n v="9"/>
    <n v="9"/>
    <n v="9"/>
    <n v="9"/>
    <n v="9"/>
    <n v="9"/>
    <n v="9"/>
    <n v="9"/>
  </r>
  <r>
    <d v="2026-01-09T09:37:00"/>
    <x v="0"/>
    <x v="3"/>
    <x v="0"/>
    <x v="1"/>
    <x v="0"/>
    <x v="4"/>
    <x v="4"/>
    <n v="5"/>
    <n v="5"/>
    <n v="5"/>
    <n v="5"/>
    <n v="5"/>
    <n v="5"/>
    <n v="5"/>
    <n v="5"/>
    <n v="5"/>
  </r>
  <r>
    <d v="2026-01-09T09:37:00"/>
    <x v="0"/>
    <x v="3"/>
    <x v="0"/>
    <x v="1"/>
    <x v="0"/>
    <x v="5"/>
    <x v="0"/>
    <n v="6"/>
    <n v="7"/>
    <n v="7"/>
    <n v="7"/>
    <n v="6"/>
    <n v="7"/>
    <n v="7"/>
    <n v="7"/>
    <n v="7"/>
  </r>
  <r>
    <d v="2026-01-09T09:38:00"/>
    <x v="1"/>
    <x v="3"/>
    <x v="0"/>
    <x v="0"/>
    <x v="0"/>
    <x v="5"/>
    <x v="1"/>
    <n v="5"/>
    <n v="5"/>
    <n v="5"/>
    <n v="6"/>
    <n v="5"/>
    <n v="5"/>
    <n v="5"/>
    <n v="5"/>
    <n v="5"/>
  </r>
  <r>
    <d v="2026-01-09T09:39:00"/>
    <x v="0"/>
    <x v="3"/>
    <x v="0"/>
    <x v="0"/>
    <x v="0"/>
    <x v="1"/>
    <x v="2"/>
    <n v="6"/>
    <n v="7"/>
    <n v="7"/>
    <n v="7"/>
    <n v="7"/>
    <n v="7"/>
    <n v="7"/>
    <n v="7"/>
    <n v="7"/>
  </r>
  <r>
    <d v="2026-01-09T09:40:00"/>
    <x v="1"/>
    <x v="5"/>
    <x v="0"/>
    <x v="1"/>
    <x v="0"/>
    <x v="6"/>
    <x v="4"/>
    <n v="7"/>
    <n v="8"/>
    <n v="8"/>
    <n v="8"/>
    <n v="8"/>
    <n v="5"/>
    <n v="5"/>
    <n v="7"/>
    <n v="6"/>
  </r>
  <r>
    <d v="2026-01-09T09:40:00"/>
    <x v="0"/>
    <x v="4"/>
    <x v="0"/>
    <x v="1"/>
    <x v="0"/>
    <x v="6"/>
    <x v="0"/>
    <n v="10"/>
    <n v="10"/>
    <n v="6"/>
    <n v="9"/>
    <n v="9"/>
    <n v="9"/>
    <n v="9"/>
    <n v="8"/>
    <n v="8"/>
  </r>
  <r>
    <d v="2026-01-09T09:41:00"/>
    <x v="0"/>
    <x v="1"/>
    <x v="0"/>
    <x v="0"/>
    <x v="0"/>
    <x v="1"/>
    <x v="0"/>
    <n v="4"/>
    <n v="4"/>
    <n v="4"/>
    <n v="6"/>
    <n v="5"/>
    <n v="6"/>
    <n v="5"/>
    <n v="6"/>
    <n v="5"/>
  </r>
  <r>
    <d v="2026-01-09T09:43:00"/>
    <x v="0"/>
    <x v="4"/>
    <x v="0"/>
    <x v="0"/>
    <x v="0"/>
    <x v="1"/>
    <x v="4"/>
    <n v="4"/>
    <n v="5"/>
    <n v="4"/>
    <n v="5"/>
    <n v="5"/>
    <n v="5"/>
    <n v="5"/>
    <n v="5"/>
    <n v="5"/>
  </r>
  <r>
    <d v="2026-01-09T09:44:00"/>
    <x v="1"/>
    <x v="3"/>
    <x v="0"/>
    <x v="0"/>
    <x v="0"/>
    <x v="1"/>
    <x v="4"/>
    <n v="6"/>
    <n v="6"/>
    <n v="7"/>
    <n v="7"/>
    <n v="6"/>
    <n v="6"/>
    <n v="8"/>
    <n v="8"/>
    <n v="7"/>
  </r>
  <r>
    <d v="2026-01-09T09:44:00"/>
    <x v="0"/>
    <x v="3"/>
    <x v="0"/>
    <x v="1"/>
    <x v="0"/>
    <x v="1"/>
    <x v="1"/>
    <n v="7"/>
    <n v="7"/>
    <n v="7"/>
    <n v="7"/>
    <n v="7"/>
    <n v="7"/>
    <n v="7"/>
    <n v="7"/>
    <n v="7"/>
  </r>
  <r>
    <d v="2026-01-09T09:45:00"/>
    <x v="0"/>
    <x v="3"/>
    <x v="0"/>
    <x v="0"/>
    <x v="0"/>
    <x v="5"/>
    <x v="0"/>
    <n v="6"/>
    <n v="6"/>
    <n v="7"/>
    <n v="7"/>
    <n v="5"/>
    <n v="6"/>
    <n v="6"/>
    <n v="6"/>
    <n v="7"/>
  </r>
  <r>
    <d v="2026-01-09T09:46:00"/>
    <x v="0"/>
    <x v="5"/>
    <x v="0"/>
    <x v="1"/>
    <x v="0"/>
    <x v="3"/>
    <x v="4"/>
    <n v="7"/>
    <n v="7"/>
    <n v="6"/>
    <n v="7"/>
    <n v="7"/>
    <n v="7"/>
    <n v="7"/>
    <n v="7"/>
    <n v="7"/>
  </r>
  <r>
    <d v="2026-01-09T09:47:00"/>
    <x v="0"/>
    <x v="0"/>
    <x v="0"/>
    <x v="0"/>
    <x v="0"/>
    <x v="7"/>
    <x v="1"/>
    <n v="6"/>
    <n v="6"/>
    <n v="6"/>
    <n v="6"/>
    <n v="6"/>
    <n v="6"/>
    <n v="6"/>
    <n v="6"/>
    <n v="6"/>
  </r>
  <r>
    <d v="2026-01-09T09:47:00"/>
    <x v="0"/>
    <x v="0"/>
    <x v="0"/>
    <x v="0"/>
    <x v="0"/>
    <x v="4"/>
    <x v="4"/>
    <n v="8"/>
    <n v="9"/>
    <n v="7"/>
    <n v="8"/>
    <n v="9"/>
    <n v="8"/>
    <n v="8"/>
    <n v="8"/>
    <n v="8"/>
  </r>
  <r>
    <d v="2026-01-09T09:48:00"/>
    <x v="0"/>
    <x v="3"/>
    <x v="0"/>
    <x v="0"/>
    <x v="0"/>
    <x v="1"/>
    <x v="4"/>
    <n v="6"/>
    <n v="6"/>
    <n v="6"/>
    <n v="6"/>
    <n v="6"/>
    <n v="7"/>
    <n v="6"/>
    <n v="6"/>
    <n v="7"/>
  </r>
  <r>
    <d v="2026-01-09T09:49:00"/>
    <x v="0"/>
    <x v="1"/>
    <x v="0"/>
    <x v="1"/>
    <x v="0"/>
    <x v="3"/>
    <x v="3"/>
    <n v="4"/>
    <n v="5"/>
    <n v="1"/>
    <n v="6"/>
    <n v="4"/>
    <n v="4"/>
    <n v="5"/>
    <n v="5"/>
    <n v="5"/>
  </r>
  <r>
    <d v="2026-01-09T09:49:00"/>
    <x v="1"/>
    <x v="5"/>
    <x v="0"/>
    <x v="1"/>
    <x v="0"/>
    <x v="6"/>
    <x v="3"/>
    <n v="8"/>
    <n v="8"/>
    <n v="8"/>
    <n v="8"/>
    <n v="7"/>
    <n v="7"/>
    <n v="8"/>
    <n v="7"/>
    <n v="8"/>
  </r>
  <r>
    <d v="2026-01-09T09:50:00"/>
    <x v="1"/>
    <x v="3"/>
    <x v="0"/>
    <x v="0"/>
    <x v="0"/>
    <x v="1"/>
    <x v="4"/>
    <n v="6"/>
    <n v="6"/>
    <n v="6"/>
    <n v="6"/>
    <n v="6"/>
    <n v="6"/>
    <n v="6"/>
    <n v="6"/>
    <n v="6"/>
  </r>
  <r>
    <d v="2026-01-09T09:50:00"/>
    <x v="0"/>
    <x v="1"/>
    <x v="0"/>
    <x v="0"/>
    <x v="0"/>
    <x v="0"/>
    <x v="0"/>
    <n v="8"/>
    <n v="8"/>
    <n v="8"/>
    <n v="8"/>
    <n v="9"/>
    <n v="8"/>
    <n v="8"/>
    <n v="8"/>
    <n v="10"/>
  </r>
  <r>
    <d v="2026-01-09T09:50:00"/>
    <x v="0"/>
    <x v="4"/>
    <x v="0"/>
    <x v="1"/>
    <x v="0"/>
    <x v="3"/>
    <x v="2"/>
    <n v="4"/>
    <n v="4"/>
    <n v="4"/>
    <n v="4"/>
    <n v="1"/>
    <n v="3"/>
    <n v="1"/>
    <n v="1"/>
    <n v="1"/>
  </r>
  <r>
    <d v="2026-01-09T09:51:00"/>
    <x v="0"/>
    <x v="3"/>
    <x v="0"/>
    <x v="0"/>
    <x v="0"/>
    <x v="5"/>
    <x v="1"/>
    <n v="6"/>
    <n v="6"/>
    <n v="1"/>
    <n v="6"/>
    <n v="5"/>
    <n v="6"/>
    <n v="5"/>
    <n v="6"/>
    <n v="6"/>
  </r>
  <r>
    <d v="2026-01-09T09:52:00"/>
    <x v="0"/>
    <x v="3"/>
    <x v="0"/>
    <x v="1"/>
    <x v="0"/>
    <x v="1"/>
    <x v="2"/>
    <n v="7"/>
    <n v="7"/>
    <n v="7"/>
    <n v="7"/>
    <n v="7"/>
    <n v="7"/>
    <n v="7"/>
    <n v="7"/>
    <n v="7"/>
  </r>
  <r>
    <d v="2026-01-09T10:03:00"/>
    <x v="1"/>
    <x v="3"/>
    <x v="0"/>
    <x v="1"/>
    <x v="1"/>
    <x v="0"/>
    <x v="2"/>
    <n v="10"/>
    <n v="10"/>
    <n v="4"/>
    <n v="6"/>
    <n v="3"/>
    <n v="1"/>
    <n v="1"/>
    <n v="3"/>
    <n v="1"/>
  </r>
  <r>
    <d v="2026-01-09T10:15:00"/>
    <x v="0"/>
    <x v="3"/>
    <x v="0"/>
    <x v="1"/>
    <x v="0"/>
    <x v="7"/>
    <x v="0"/>
    <n v="8"/>
    <n v="10"/>
    <n v="8"/>
    <n v="10"/>
    <n v="9"/>
    <n v="8"/>
    <n v="7"/>
    <n v="9"/>
    <n v="9"/>
  </r>
  <r>
    <d v="2026-01-09T10:35:00"/>
    <x v="1"/>
    <x v="5"/>
    <x v="0"/>
    <x v="1"/>
    <x v="0"/>
    <x v="3"/>
    <x v="3"/>
    <n v="6"/>
    <n v="6"/>
    <n v="6"/>
    <n v="6"/>
    <n v="6"/>
    <n v="6"/>
    <n v="6"/>
    <n v="7"/>
    <n v="6"/>
  </r>
  <r>
    <d v="2026-01-09T10:36:00"/>
    <x v="0"/>
    <x v="3"/>
    <x v="0"/>
    <x v="0"/>
    <x v="0"/>
    <x v="1"/>
    <x v="2"/>
    <n v="8"/>
    <n v="8"/>
    <n v="8"/>
    <n v="8"/>
    <n v="8"/>
    <n v="8"/>
    <n v="8"/>
    <n v="8"/>
    <n v="8"/>
  </r>
  <r>
    <d v="2026-01-09T10:36:00"/>
    <x v="0"/>
    <x v="3"/>
    <x v="0"/>
    <x v="1"/>
    <x v="0"/>
    <x v="1"/>
    <x v="0"/>
    <n v="7"/>
    <n v="6"/>
    <n v="7"/>
    <n v="7"/>
    <n v="8"/>
    <n v="8"/>
    <n v="8"/>
    <n v="8"/>
    <n v="8"/>
  </r>
  <r>
    <d v="2026-01-09T10:36:00"/>
    <x v="1"/>
    <x v="3"/>
    <x v="0"/>
    <x v="0"/>
    <x v="0"/>
    <x v="1"/>
    <x v="4"/>
    <n v="6"/>
    <n v="5"/>
    <n v="5"/>
    <n v="7"/>
    <n v="7"/>
    <n v="7"/>
    <n v="7"/>
    <n v="8"/>
    <n v="8"/>
  </r>
  <r>
    <d v="2026-01-09T10:37:00"/>
    <x v="1"/>
    <x v="4"/>
    <x v="0"/>
    <x v="0"/>
    <x v="0"/>
    <x v="3"/>
    <x v="4"/>
    <n v="6"/>
    <n v="6"/>
    <n v="6"/>
    <n v="6"/>
    <n v="6"/>
    <n v="6"/>
    <n v="6"/>
    <n v="6"/>
    <n v="6"/>
  </r>
  <r>
    <d v="2026-01-09T10:37:00"/>
    <x v="0"/>
    <x v="1"/>
    <x v="0"/>
    <x v="1"/>
    <x v="0"/>
    <x v="1"/>
    <x v="2"/>
    <n v="7"/>
    <n v="6"/>
    <n v="6"/>
    <n v="8"/>
    <n v="6"/>
    <n v="6"/>
    <n v="6"/>
    <n v="6"/>
    <n v="6"/>
  </r>
  <r>
    <d v="2026-01-09T10:38:00"/>
    <x v="1"/>
    <x v="1"/>
    <x v="0"/>
    <x v="1"/>
    <x v="0"/>
    <x v="6"/>
    <x v="1"/>
    <n v="4"/>
    <n v="4"/>
    <n v="1"/>
    <n v="4"/>
    <n v="4"/>
    <n v="4"/>
    <n v="5"/>
    <n v="5"/>
    <n v="5"/>
  </r>
  <r>
    <d v="2026-01-09T10:39:00"/>
    <x v="1"/>
    <x v="3"/>
    <x v="0"/>
    <x v="0"/>
    <x v="0"/>
    <x v="7"/>
    <x v="1"/>
    <n v="6"/>
    <n v="7"/>
    <n v="7"/>
    <n v="7"/>
    <n v="7"/>
    <n v="7"/>
    <n v="7"/>
    <n v="7"/>
    <n v="7"/>
  </r>
  <r>
    <d v="2026-01-09T10:40:00"/>
    <x v="0"/>
    <x v="4"/>
    <x v="0"/>
    <x v="1"/>
    <x v="0"/>
    <x v="1"/>
    <x v="3"/>
    <n v="8"/>
    <n v="8"/>
    <n v="8"/>
    <n v="8"/>
    <n v="8"/>
    <n v="8"/>
    <n v="8"/>
    <n v="8"/>
    <n v="8"/>
  </r>
  <r>
    <d v="2026-01-09T11:09:00"/>
    <x v="0"/>
    <x v="1"/>
    <x v="0"/>
    <x v="0"/>
    <x v="0"/>
    <x v="5"/>
    <x v="0"/>
    <n v="7"/>
    <n v="7"/>
    <n v="7"/>
    <n v="7"/>
    <n v="7"/>
    <n v="7"/>
    <n v="7"/>
    <n v="7"/>
    <n v="7"/>
  </r>
  <r>
    <d v="2026-01-09T11:09:00"/>
    <x v="1"/>
    <x v="5"/>
    <x v="0"/>
    <x v="1"/>
    <x v="0"/>
    <x v="3"/>
    <x v="2"/>
    <n v="9"/>
    <n v="9"/>
    <n v="9"/>
    <n v="9"/>
    <n v="9"/>
    <n v="9"/>
    <n v="9"/>
    <n v="9"/>
    <n v="9"/>
  </r>
  <r>
    <d v="2026-01-09T11:10:00"/>
    <x v="0"/>
    <x v="3"/>
    <x v="0"/>
    <x v="0"/>
    <x v="0"/>
    <x v="1"/>
    <x v="2"/>
    <n v="7"/>
    <n v="6"/>
    <n v="5"/>
    <n v="6"/>
    <n v="6"/>
    <n v="6"/>
    <n v="6"/>
    <n v="6"/>
    <n v="7"/>
  </r>
  <r>
    <d v="2026-01-09T11:10:00"/>
    <x v="0"/>
    <x v="3"/>
    <x v="0"/>
    <x v="0"/>
    <x v="0"/>
    <x v="5"/>
    <x v="3"/>
    <n v="8"/>
    <n v="8"/>
    <n v="8"/>
    <n v="9"/>
    <n v="8"/>
    <n v="10"/>
    <n v="7"/>
    <n v="7"/>
    <n v="10"/>
  </r>
  <r>
    <d v="2026-01-09T11:11:00"/>
    <x v="0"/>
    <x v="4"/>
    <x v="0"/>
    <x v="0"/>
    <x v="0"/>
    <x v="1"/>
    <x v="2"/>
    <n v="6"/>
    <n v="6"/>
    <n v="1"/>
    <n v="6"/>
    <n v="5"/>
    <n v="6"/>
    <n v="6"/>
    <n v="6"/>
    <n v="6"/>
  </r>
  <r>
    <d v="2026-01-09T11:12:00"/>
    <x v="1"/>
    <x v="1"/>
    <x v="0"/>
    <x v="1"/>
    <x v="0"/>
    <x v="3"/>
    <x v="3"/>
    <n v="8"/>
    <n v="8"/>
    <n v="3"/>
    <n v="9"/>
    <n v="8"/>
    <n v="8"/>
    <n v="8"/>
    <n v="8"/>
    <n v="8"/>
  </r>
  <r>
    <d v="2026-01-09T11:12:00"/>
    <x v="1"/>
    <x v="1"/>
    <x v="0"/>
    <x v="1"/>
    <x v="0"/>
    <x v="3"/>
    <x v="0"/>
    <n v="4"/>
    <n v="3"/>
    <n v="1"/>
    <n v="7"/>
    <n v="3"/>
    <n v="6"/>
    <n v="5"/>
    <n v="6"/>
    <n v="6"/>
  </r>
  <r>
    <d v="2026-01-09T11:13:00"/>
    <x v="0"/>
    <x v="3"/>
    <x v="0"/>
    <x v="1"/>
    <x v="0"/>
    <x v="1"/>
    <x v="0"/>
    <n v="6"/>
    <n v="6"/>
    <n v="1"/>
    <n v="7"/>
    <n v="5"/>
    <n v="6"/>
    <n v="6"/>
    <n v="6"/>
    <n v="6"/>
  </r>
  <r>
    <d v="2026-01-09T11:14:00"/>
    <x v="0"/>
    <x v="4"/>
    <x v="0"/>
    <x v="0"/>
    <x v="0"/>
    <x v="6"/>
    <x v="3"/>
    <n v="8"/>
    <n v="8"/>
    <n v="5"/>
    <n v="8"/>
    <n v="8"/>
    <n v="7"/>
    <n v="7"/>
    <n v="7"/>
    <n v="7"/>
  </r>
  <r>
    <d v="2026-01-09T11:15:00"/>
    <x v="0"/>
    <x v="0"/>
    <x v="0"/>
    <x v="0"/>
    <x v="0"/>
    <x v="5"/>
    <x v="0"/>
    <n v="7"/>
    <n v="8"/>
    <n v="4"/>
    <n v="8"/>
    <n v="5"/>
    <n v="7"/>
    <n v="5"/>
    <n v="6"/>
    <n v="6"/>
  </r>
  <r>
    <d v="2026-01-09T11:15:00"/>
    <x v="1"/>
    <x v="1"/>
    <x v="0"/>
    <x v="0"/>
    <x v="0"/>
    <x v="1"/>
    <x v="4"/>
    <n v="6"/>
    <n v="7"/>
    <n v="2"/>
    <n v="7"/>
    <n v="5"/>
    <n v="5"/>
    <n v="5"/>
    <n v="6"/>
    <n v="5"/>
  </r>
  <r>
    <d v="2026-01-09T11:16:00"/>
    <x v="1"/>
    <x v="4"/>
    <x v="0"/>
    <x v="1"/>
    <x v="0"/>
    <x v="6"/>
    <x v="3"/>
    <n v="2"/>
    <n v="1"/>
    <n v="1"/>
    <n v="6"/>
    <n v="2"/>
    <n v="3"/>
    <n v="1"/>
    <n v="5"/>
    <n v="4"/>
  </r>
  <r>
    <d v="2026-01-09T11:17:00"/>
    <x v="0"/>
    <x v="3"/>
    <x v="1"/>
    <x v="0"/>
    <x v="0"/>
    <x v="5"/>
    <x v="4"/>
    <n v="6"/>
    <n v="6"/>
    <n v="7"/>
    <n v="6"/>
    <n v="5"/>
    <n v="6"/>
    <n v="5"/>
    <n v="6"/>
    <n v="6"/>
  </r>
  <r>
    <d v="2026-01-09T11:18:00"/>
    <x v="1"/>
    <x v="3"/>
    <x v="0"/>
    <x v="0"/>
    <x v="0"/>
    <x v="5"/>
    <x v="0"/>
    <n v="6"/>
    <n v="7"/>
    <n v="1"/>
    <n v="9"/>
    <n v="5"/>
    <n v="4"/>
    <n v="4"/>
    <n v="5"/>
    <n v="5"/>
  </r>
  <r>
    <d v="2026-01-09T11:19:00"/>
    <x v="1"/>
    <x v="3"/>
    <x v="0"/>
    <x v="0"/>
    <x v="0"/>
    <x v="1"/>
    <x v="3"/>
    <n v="9"/>
    <n v="9"/>
    <n v="8"/>
    <n v="9"/>
    <n v="8"/>
    <n v="9"/>
    <n v="9"/>
    <n v="8"/>
    <n v="8"/>
  </r>
  <r>
    <d v="2026-01-09T11:20:00"/>
    <x v="1"/>
    <x v="3"/>
    <x v="0"/>
    <x v="1"/>
    <x v="0"/>
    <x v="3"/>
    <x v="2"/>
    <n v="8"/>
    <n v="8"/>
    <n v="5"/>
    <n v="7"/>
    <n v="7"/>
    <n v="5"/>
    <n v="5"/>
    <n v="6"/>
    <n v="6"/>
  </r>
  <r>
    <d v="2026-01-09T11:20:00"/>
    <x v="1"/>
    <x v="1"/>
    <x v="0"/>
    <x v="1"/>
    <x v="0"/>
    <x v="6"/>
    <x v="2"/>
    <n v="7"/>
    <n v="7"/>
    <n v="7"/>
    <n v="8"/>
    <n v="7"/>
    <n v="7"/>
    <n v="7"/>
    <n v="7"/>
    <n v="7"/>
  </r>
  <r>
    <d v="2026-01-09T11:21:00"/>
    <x v="0"/>
    <x v="3"/>
    <x v="0"/>
    <x v="0"/>
    <x v="0"/>
    <x v="7"/>
    <x v="1"/>
    <n v="6"/>
    <n v="5"/>
    <n v="5"/>
    <n v="7"/>
    <n v="6"/>
    <n v="7"/>
    <n v="5"/>
    <n v="6"/>
    <n v="6"/>
  </r>
  <r>
    <d v="2026-01-09T11:22:00"/>
    <x v="0"/>
    <x v="4"/>
    <x v="0"/>
    <x v="0"/>
    <x v="0"/>
    <x v="1"/>
    <x v="2"/>
    <n v="7"/>
    <n v="6"/>
    <n v="6"/>
    <n v="6"/>
    <n v="7"/>
    <n v="7"/>
    <n v="7"/>
    <n v="7"/>
    <n v="7"/>
  </r>
  <r>
    <d v="2026-01-09T11:22:00"/>
    <x v="1"/>
    <x v="1"/>
    <x v="0"/>
    <x v="1"/>
    <x v="0"/>
    <x v="1"/>
    <x v="4"/>
    <n v="6"/>
    <n v="7"/>
    <n v="7"/>
    <n v="6"/>
    <n v="6"/>
    <n v="6"/>
    <n v="6"/>
    <n v="7"/>
    <n v="7"/>
  </r>
  <r>
    <d v="2026-01-09T11:23:00"/>
    <x v="0"/>
    <x v="0"/>
    <x v="0"/>
    <x v="0"/>
    <x v="0"/>
    <x v="7"/>
    <x v="4"/>
    <n v="7"/>
    <n v="7"/>
    <n v="2"/>
    <n v="7"/>
    <n v="7"/>
    <n v="7"/>
    <n v="7"/>
    <n v="7"/>
    <n v="7"/>
  </r>
  <r>
    <d v="2026-01-09T11:24:00"/>
    <x v="1"/>
    <x v="1"/>
    <x v="0"/>
    <x v="1"/>
    <x v="0"/>
    <x v="3"/>
    <x v="3"/>
    <n v="4"/>
    <n v="5"/>
    <n v="2"/>
    <n v="6"/>
    <n v="3"/>
    <n v="3"/>
    <n v="1"/>
    <n v="3"/>
    <n v="1"/>
  </r>
  <r>
    <d v="2026-01-09T12:36:00"/>
    <x v="0"/>
    <x v="3"/>
    <x v="0"/>
    <x v="1"/>
    <x v="1"/>
    <x v="1"/>
    <x v="1"/>
    <n v="8"/>
    <n v="8"/>
    <n v="3"/>
    <n v="8"/>
    <n v="3"/>
    <n v="1"/>
    <n v="8"/>
    <n v="6"/>
    <n v="7"/>
  </r>
  <r>
    <d v="2026-01-09T14:35:00"/>
    <x v="0"/>
    <x v="3"/>
    <x v="0"/>
    <x v="1"/>
    <x v="0"/>
    <x v="1"/>
    <x v="4"/>
    <n v="7"/>
    <n v="7"/>
    <n v="4"/>
    <n v="7"/>
    <n v="7"/>
    <n v="6"/>
    <n v="5"/>
    <n v="7"/>
    <n v="6"/>
  </r>
  <r>
    <d v="2026-01-09T14:35:00"/>
    <x v="1"/>
    <x v="3"/>
    <x v="0"/>
    <x v="0"/>
    <x v="0"/>
    <x v="5"/>
    <x v="0"/>
    <n v="7"/>
    <n v="8"/>
    <n v="2"/>
    <n v="6"/>
    <n v="6"/>
    <n v="6"/>
    <n v="5"/>
    <n v="5"/>
    <n v="6"/>
  </r>
  <r>
    <d v="2026-01-09T14:36:00"/>
    <x v="0"/>
    <x v="4"/>
    <x v="0"/>
    <x v="1"/>
    <x v="0"/>
    <x v="3"/>
    <x v="3"/>
    <n v="3"/>
    <n v="3"/>
    <n v="1"/>
    <n v="6"/>
    <n v="1"/>
    <n v="1"/>
    <n v="1"/>
    <n v="1"/>
    <n v="1"/>
  </r>
  <r>
    <d v="2026-01-09T14:37:00"/>
    <x v="0"/>
    <x v="3"/>
    <x v="0"/>
    <x v="0"/>
    <x v="0"/>
    <x v="1"/>
    <x v="4"/>
    <n v="6"/>
    <n v="6"/>
    <n v="5"/>
    <n v="6"/>
    <n v="6"/>
    <n v="6"/>
    <n v="6"/>
    <n v="6"/>
    <n v="6"/>
  </r>
  <r>
    <d v="2026-01-09T14:37:00"/>
    <x v="0"/>
    <x v="1"/>
    <x v="0"/>
    <x v="1"/>
    <x v="0"/>
    <x v="1"/>
    <x v="4"/>
    <n v="8"/>
    <n v="9"/>
    <n v="5"/>
    <n v="7"/>
    <n v="6"/>
    <n v="7"/>
    <n v="7"/>
    <n v="7"/>
    <n v="7"/>
  </r>
  <r>
    <d v="2026-01-09T14:38:00"/>
    <x v="1"/>
    <x v="3"/>
    <x v="0"/>
    <x v="0"/>
    <x v="0"/>
    <x v="5"/>
    <x v="0"/>
    <n v="6"/>
    <n v="6"/>
    <n v="3"/>
    <n v="7"/>
    <n v="7"/>
    <n v="7"/>
    <n v="5"/>
    <n v="7"/>
    <n v="7"/>
  </r>
  <r>
    <d v="2026-01-09T14:39:00"/>
    <x v="0"/>
    <x v="1"/>
    <x v="0"/>
    <x v="0"/>
    <x v="0"/>
    <x v="3"/>
    <x v="3"/>
    <n v="8"/>
    <n v="8"/>
    <n v="6"/>
    <n v="7"/>
    <n v="7"/>
    <n v="4"/>
    <n v="5"/>
    <n v="5"/>
    <n v="5"/>
  </r>
  <r>
    <d v="2026-01-09T14:39:00"/>
    <x v="0"/>
    <x v="3"/>
    <x v="0"/>
    <x v="0"/>
    <x v="0"/>
    <x v="1"/>
    <x v="2"/>
    <n v="6"/>
    <n v="7"/>
    <n v="5"/>
    <n v="7"/>
    <n v="6"/>
    <n v="6"/>
    <n v="6"/>
    <n v="6"/>
    <n v="6"/>
  </r>
  <r>
    <d v="2026-01-09T14:51:00"/>
    <x v="1"/>
    <x v="3"/>
    <x v="0"/>
    <x v="1"/>
    <x v="1"/>
    <x v="3"/>
    <x v="1"/>
    <n v="6"/>
    <n v="7"/>
    <n v="5"/>
    <n v="8"/>
    <n v="6"/>
    <n v="3"/>
    <n v="6"/>
    <n v="8"/>
    <n v="6"/>
  </r>
  <r>
    <d v="2026-01-09T15:15:00"/>
    <x v="0"/>
    <x v="3"/>
    <x v="0"/>
    <x v="1"/>
    <x v="0"/>
    <x v="3"/>
    <x v="4"/>
    <n v="4"/>
    <n v="4"/>
    <n v="1"/>
    <n v="6"/>
    <n v="3"/>
    <n v="2"/>
    <n v="1"/>
    <n v="5"/>
    <n v="4"/>
  </r>
  <r>
    <d v="2026-01-09T15:16:00"/>
    <x v="0"/>
    <x v="1"/>
    <x v="0"/>
    <x v="1"/>
    <x v="0"/>
    <x v="3"/>
    <x v="2"/>
    <n v="6"/>
    <n v="7"/>
    <n v="4"/>
    <n v="8"/>
    <n v="6"/>
    <n v="6"/>
    <n v="5"/>
    <n v="7"/>
    <n v="6"/>
  </r>
  <r>
    <d v="2026-01-09T15:16:00"/>
    <x v="0"/>
    <x v="5"/>
    <x v="0"/>
    <x v="1"/>
    <x v="0"/>
    <x v="6"/>
    <x v="3"/>
    <n v="8"/>
    <n v="8"/>
    <n v="9"/>
    <n v="9"/>
    <n v="7"/>
    <n v="8"/>
    <n v="8"/>
    <n v="8"/>
    <n v="7"/>
  </r>
  <r>
    <d v="2026-01-09T15:17:00"/>
    <x v="0"/>
    <x v="1"/>
    <x v="0"/>
    <x v="0"/>
    <x v="0"/>
    <x v="1"/>
    <x v="4"/>
    <n v="5"/>
    <n v="5"/>
    <n v="2"/>
    <n v="6"/>
    <n v="5"/>
    <n v="4"/>
    <n v="5"/>
    <n v="5"/>
    <n v="4"/>
  </r>
  <r>
    <d v="2026-01-09T15:18:00"/>
    <x v="1"/>
    <x v="3"/>
    <x v="0"/>
    <x v="0"/>
    <x v="0"/>
    <x v="1"/>
    <x v="4"/>
    <n v="7"/>
    <n v="7"/>
    <n v="5"/>
    <n v="7"/>
    <n v="5"/>
    <n v="6"/>
    <n v="5"/>
    <n v="7"/>
    <n v="6"/>
  </r>
  <r>
    <d v="2026-01-09T15:22:00"/>
    <x v="1"/>
    <x v="4"/>
    <x v="0"/>
    <x v="0"/>
    <x v="0"/>
    <x v="3"/>
    <x v="2"/>
    <n v="7"/>
    <n v="7"/>
    <n v="5"/>
    <n v="8"/>
    <n v="6"/>
    <n v="6"/>
    <n v="6"/>
    <n v="7"/>
    <n v="7"/>
  </r>
  <r>
    <d v="2026-01-09T15:23:00"/>
    <x v="0"/>
    <x v="3"/>
    <x v="0"/>
    <x v="0"/>
    <x v="0"/>
    <x v="5"/>
    <x v="1"/>
    <n v="4"/>
    <n v="4"/>
    <n v="2"/>
    <n v="8"/>
    <n v="5"/>
    <n v="5"/>
    <n v="4"/>
    <n v="6"/>
    <n v="5"/>
  </r>
  <r>
    <d v="2026-01-09T15:24:00"/>
    <x v="0"/>
    <x v="4"/>
    <x v="0"/>
    <x v="0"/>
    <x v="0"/>
    <x v="1"/>
    <x v="3"/>
    <n v="10"/>
    <n v="10"/>
    <n v="7"/>
    <n v="7"/>
    <n v="8"/>
    <n v="7"/>
    <n v="8"/>
    <n v="8"/>
    <n v="8"/>
  </r>
  <r>
    <d v="2026-01-09T15:25:00"/>
    <x v="1"/>
    <x v="0"/>
    <x v="0"/>
    <x v="0"/>
    <x v="0"/>
    <x v="7"/>
    <x v="1"/>
    <n v="8"/>
    <n v="8"/>
    <n v="5"/>
    <n v="9"/>
    <n v="10"/>
    <n v="10"/>
    <n v="9"/>
    <n v="9"/>
    <n v="10"/>
  </r>
  <r>
    <d v="2026-01-09T15:25:00"/>
    <x v="0"/>
    <x v="3"/>
    <x v="0"/>
    <x v="2"/>
    <x v="0"/>
    <x v="7"/>
    <x v="0"/>
    <n v="7"/>
    <n v="7"/>
    <n v="5"/>
    <n v="6"/>
    <n v="5"/>
    <n v="5"/>
    <n v="5"/>
    <n v="5"/>
    <n v="6"/>
  </r>
  <r>
    <d v="2026-01-09T15:26:00"/>
    <x v="1"/>
    <x v="3"/>
    <x v="0"/>
    <x v="0"/>
    <x v="0"/>
    <x v="5"/>
    <x v="4"/>
    <n v="8"/>
    <n v="8"/>
    <n v="8"/>
    <n v="8"/>
    <n v="8"/>
    <n v="8"/>
    <n v="8"/>
    <n v="8"/>
    <n v="8"/>
  </r>
  <r>
    <d v="2026-01-09T15:26:00"/>
    <x v="1"/>
    <x v="0"/>
    <x v="0"/>
    <x v="0"/>
    <x v="0"/>
    <x v="1"/>
    <x v="4"/>
    <n v="9"/>
    <n v="9"/>
    <n v="3"/>
    <n v="10"/>
    <n v="8"/>
    <n v="8"/>
    <n v="6"/>
    <n v="8"/>
    <n v="8"/>
  </r>
  <r>
    <d v="2026-01-09T15:27:00"/>
    <x v="0"/>
    <x v="5"/>
    <x v="0"/>
    <x v="1"/>
    <x v="2"/>
    <x v="1"/>
    <x v="4"/>
    <n v="6"/>
    <n v="6"/>
    <n v="1"/>
    <n v="6"/>
    <n v="5"/>
    <n v="6"/>
    <n v="5"/>
    <n v="6"/>
    <n v="6"/>
  </r>
  <r>
    <d v="2026-01-09T15:30:00"/>
    <x v="0"/>
    <x v="0"/>
    <x v="0"/>
    <x v="0"/>
    <x v="0"/>
    <x v="5"/>
    <x v="0"/>
    <n v="8"/>
    <n v="8"/>
    <n v="5"/>
    <n v="8"/>
    <n v="5"/>
    <n v="6"/>
    <n v="5"/>
    <n v="6"/>
    <n v="6"/>
  </r>
  <r>
    <d v="2026-01-09T15:31:00"/>
    <x v="0"/>
    <x v="0"/>
    <x v="0"/>
    <x v="0"/>
    <x v="0"/>
    <x v="1"/>
    <x v="2"/>
    <n v="6"/>
    <n v="6"/>
    <n v="3"/>
    <n v="7"/>
    <n v="5"/>
    <n v="6"/>
    <n v="5"/>
    <n v="5"/>
    <n v="6"/>
  </r>
  <r>
    <d v="2026-01-09T15:32:00"/>
    <x v="1"/>
    <x v="2"/>
    <x v="0"/>
    <x v="0"/>
    <x v="0"/>
    <x v="7"/>
    <x v="1"/>
    <n v="8"/>
    <n v="9"/>
    <n v="9"/>
    <n v="10"/>
    <n v="8"/>
    <n v="8"/>
    <n v="9"/>
    <n v="10"/>
    <n v="10"/>
  </r>
  <r>
    <d v="2026-01-09T16:25:00"/>
    <x v="1"/>
    <x v="5"/>
    <x v="0"/>
    <x v="0"/>
    <x v="0"/>
    <x v="2"/>
    <x v="1"/>
    <n v="7"/>
    <n v="7"/>
    <n v="6"/>
    <n v="7"/>
    <n v="7"/>
    <n v="1"/>
    <n v="5"/>
    <n v="7"/>
    <n v="7"/>
  </r>
  <r>
    <d v="2026-01-09T16:50:00"/>
    <x v="0"/>
    <x v="3"/>
    <x v="0"/>
    <x v="0"/>
    <x v="0"/>
    <x v="1"/>
    <x v="4"/>
    <n v="5"/>
    <n v="10"/>
    <n v="5"/>
    <n v="5"/>
    <n v="2"/>
    <n v="3"/>
    <n v="2"/>
    <n v="5"/>
    <n v="5"/>
  </r>
  <r>
    <d v="2026-01-09T16:56:00"/>
    <x v="1"/>
    <x v="3"/>
    <x v="0"/>
    <x v="0"/>
    <x v="2"/>
    <x v="2"/>
    <x v="1"/>
    <n v="5"/>
    <n v="5"/>
    <n v="5"/>
    <n v="10"/>
    <n v="10"/>
    <n v="5"/>
    <n v="5"/>
    <n v="5"/>
    <n v="5"/>
  </r>
  <r>
    <d v="2026-01-09T17:12:00"/>
    <x v="1"/>
    <x v="3"/>
    <x v="0"/>
    <x v="1"/>
    <x v="0"/>
    <x v="5"/>
    <x v="1"/>
    <n v="10"/>
    <n v="10"/>
    <n v="10"/>
    <n v="10"/>
    <n v="10"/>
    <n v="10"/>
    <n v="10"/>
    <n v="10"/>
    <n v="10"/>
  </r>
  <r>
    <d v="2026-01-09T17:12:00"/>
    <x v="1"/>
    <x v="3"/>
    <x v="0"/>
    <x v="0"/>
    <x v="0"/>
    <x v="7"/>
    <x v="0"/>
    <n v="9"/>
    <n v="9"/>
    <n v="8"/>
    <n v="10"/>
    <n v="8"/>
    <n v="8"/>
    <n v="10"/>
    <n v="9"/>
    <n v="9"/>
  </r>
  <r>
    <d v="2026-01-09T18:35:00"/>
    <x v="1"/>
    <x v="0"/>
    <x v="0"/>
    <x v="0"/>
    <x v="0"/>
    <x v="2"/>
    <x v="1"/>
    <n v="8"/>
    <n v="7"/>
    <n v="9"/>
    <n v="5"/>
    <n v="7"/>
    <n v="7"/>
    <n v="7"/>
    <n v="6"/>
    <n v="7"/>
  </r>
  <r>
    <d v="2026-01-09T18:52:00"/>
    <x v="0"/>
    <x v="3"/>
    <x v="0"/>
    <x v="0"/>
    <x v="0"/>
    <x v="7"/>
    <x v="1"/>
    <n v="7"/>
    <n v="7"/>
    <n v="4"/>
    <n v="8"/>
    <n v="7"/>
    <n v="7"/>
    <n v="5"/>
    <n v="5"/>
    <n v="7"/>
  </r>
  <r>
    <d v="2026-01-09T18:57:00"/>
    <x v="1"/>
    <x v="3"/>
    <x v="0"/>
    <x v="0"/>
    <x v="0"/>
    <x v="7"/>
    <x v="4"/>
    <n v="6"/>
    <n v="10"/>
    <n v="5"/>
    <n v="4"/>
    <n v="3"/>
    <n v="7"/>
    <n v="4"/>
    <n v="4"/>
    <n v="5"/>
  </r>
  <r>
    <d v="2026-01-09T18:58:00"/>
    <x v="1"/>
    <x v="0"/>
    <x v="0"/>
    <x v="1"/>
    <x v="0"/>
    <x v="2"/>
    <x v="1"/>
    <n v="10"/>
    <n v="10"/>
    <n v="10"/>
    <n v="10"/>
    <n v="10"/>
    <n v="10"/>
    <n v="10"/>
    <n v="10"/>
    <n v="10"/>
  </r>
  <r>
    <d v="2026-01-09T19:09:00"/>
    <x v="1"/>
    <x v="3"/>
    <x v="0"/>
    <x v="0"/>
    <x v="0"/>
    <x v="5"/>
    <x v="1"/>
    <n v="7"/>
    <n v="9"/>
    <n v="8"/>
    <n v="6"/>
    <n v="5"/>
    <n v="3"/>
    <n v="9"/>
    <n v="3"/>
    <n v="4"/>
  </r>
  <r>
    <d v="2026-01-09T19:12:00"/>
    <x v="0"/>
    <x v="1"/>
    <x v="0"/>
    <x v="0"/>
    <x v="0"/>
    <x v="1"/>
    <x v="2"/>
    <n v="3"/>
    <n v="8"/>
    <n v="8"/>
    <n v="4"/>
    <n v="4"/>
    <n v="3"/>
    <n v="7"/>
    <n v="5"/>
    <n v="5"/>
  </r>
  <r>
    <d v="2026-01-09T19:19:00"/>
    <x v="0"/>
    <x v="5"/>
    <x v="0"/>
    <x v="1"/>
    <x v="2"/>
    <x v="0"/>
    <x v="4"/>
    <n v="2"/>
    <n v="2"/>
    <n v="2"/>
    <n v="1"/>
    <n v="2"/>
    <n v="2"/>
    <n v="2"/>
    <n v="2"/>
    <n v="2"/>
  </r>
  <r>
    <d v="2026-01-10T07:22:00"/>
    <x v="0"/>
    <x v="1"/>
    <x v="0"/>
    <x v="1"/>
    <x v="0"/>
    <x v="6"/>
    <x v="4"/>
    <n v="10"/>
    <n v="8"/>
    <n v="8"/>
    <n v="8"/>
    <n v="10"/>
    <n v="10"/>
    <n v="6"/>
    <n v="8"/>
    <n v="8"/>
  </r>
  <r>
    <d v="2026-01-10T09:06:00"/>
    <x v="1"/>
    <x v="3"/>
    <x v="0"/>
    <x v="0"/>
    <x v="0"/>
    <x v="1"/>
    <x v="0"/>
    <n v="10"/>
    <n v="10"/>
    <n v="10"/>
    <n v="10"/>
    <n v="10"/>
    <n v="9"/>
    <n v="9"/>
    <n v="10"/>
    <n v="10"/>
  </r>
  <r>
    <d v="2026-01-10T13:52:00"/>
    <x v="0"/>
    <x v="2"/>
    <x v="0"/>
    <x v="0"/>
    <x v="0"/>
    <x v="4"/>
    <x v="1"/>
    <n v="7"/>
    <n v="7"/>
    <n v="5"/>
    <n v="8"/>
    <n v="8"/>
    <n v="9"/>
    <n v="9"/>
    <n v="9"/>
    <n v="10"/>
  </r>
  <r>
    <d v="2026-01-10T13:52:00"/>
    <x v="0"/>
    <x v="2"/>
    <x v="0"/>
    <x v="0"/>
    <x v="0"/>
    <x v="0"/>
    <x v="1"/>
    <n v="6"/>
    <n v="5"/>
    <n v="4"/>
    <n v="7"/>
    <n v="5"/>
    <n v="6"/>
    <n v="6"/>
    <n v="7"/>
    <n v="7"/>
  </r>
  <r>
    <d v="2026-01-10T13:57:00"/>
    <x v="1"/>
    <x v="0"/>
    <x v="0"/>
    <x v="0"/>
    <x v="0"/>
    <x v="4"/>
    <x v="1"/>
    <n v="8"/>
    <n v="9"/>
    <n v="10"/>
    <n v="10"/>
    <n v="8"/>
    <n v="9"/>
    <n v="8"/>
    <n v="8"/>
    <n v="10"/>
  </r>
  <r>
    <d v="2026-01-11T09:35:00"/>
    <x v="1"/>
    <x v="2"/>
    <x v="0"/>
    <x v="0"/>
    <x v="0"/>
    <x v="0"/>
    <x v="1"/>
    <n v="6"/>
    <n v="6"/>
    <n v="7"/>
    <n v="7"/>
    <n v="7"/>
    <n v="8"/>
    <n v="5"/>
    <n v="5"/>
    <n v="8"/>
  </r>
  <r>
    <d v="2026-01-11T10:21:00"/>
    <x v="0"/>
    <x v="2"/>
    <x v="0"/>
    <x v="0"/>
    <x v="0"/>
    <x v="0"/>
    <x v="1"/>
    <n v="7"/>
    <n v="8"/>
    <n v="8"/>
    <n v="8"/>
    <n v="5"/>
    <n v="8"/>
    <n v="6"/>
    <n v="6"/>
    <n v="8"/>
  </r>
  <r>
    <d v="2026-01-11T21:19:00"/>
    <x v="1"/>
    <x v="2"/>
    <x v="0"/>
    <x v="0"/>
    <x v="0"/>
    <x v="4"/>
    <x v="1"/>
    <n v="4"/>
    <n v="5"/>
    <n v="5"/>
    <n v="7"/>
    <n v="5"/>
    <n v="8"/>
    <n v="5"/>
    <n v="6"/>
    <n v="8"/>
  </r>
  <r>
    <d v="2026-01-11T21:20:00"/>
    <x v="0"/>
    <x v="0"/>
    <x v="0"/>
    <x v="0"/>
    <x v="0"/>
    <x v="7"/>
    <x v="1"/>
    <n v="6"/>
    <n v="8"/>
    <n v="5"/>
    <n v="6"/>
    <n v="6"/>
    <n v="7"/>
    <n v="6"/>
    <n v="7"/>
    <n v="7"/>
  </r>
  <r>
    <d v="2026-01-12T11:29:00"/>
    <x v="0"/>
    <x v="2"/>
    <x v="0"/>
    <x v="0"/>
    <x v="0"/>
    <x v="0"/>
    <x v="1"/>
    <n v="7"/>
    <n v="7"/>
    <n v="5"/>
    <n v="8"/>
    <n v="5"/>
    <n v="8"/>
    <n v="5"/>
    <n v="7"/>
    <n v="8"/>
  </r>
  <r>
    <d v="2026-01-12T11:30:00"/>
    <x v="0"/>
    <x v="0"/>
    <x v="0"/>
    <x v="1"/>
    <x v="0"/>
    <x v="4"/>
    <x v="1"/>
    <n v="4"/>
    <n v="4"/>
    <n v="6"/>
    <n v="7"/>
    <n v="5"/>
    <n v="8"/>
    <n v="5"/>
    <n v="5"/>
    <n v="8"/>
  </r>
  <r>
    <d v="2026-01-12T11:31:00"/>
    <x v="0"/>
    <x v="2"/>
    <x v="0"/>
    <x v="0"/>
    <x v="0"/>
    <x v="0"/>
    <x v="1"/>
    <n v="8"/>
    <n v="8"/>
    <n v="10"/>
    <n v="10"/>
    <n v="9"/>
    <n v="10"/>
    <n v="8"/>
    <n v="8"/>
    <n v="10"/>
  </r>
  <r>
    <d v="2026-01-12T11:32:00"/>
    <x v="1"/>
    <x v="3"/>
    <x v="0"/>
    <x v="1"/>
    <x v="0"/>
    <x v="7"/>
    <x v="1"/>
    <n v="5"/>
    <n v="7"/>
    <n v="7"/>
    <n v="9"/>
    <n v="5"/>
    <n v="6"/>
    <n v="5"/>
    <n v="7"/>
    <n v="7"/>
  </r>
  <r>
    <d v="2026-01-12T11:33:00"/>
    <x v="0"/>
    <x v="2"/>
    <x v="0"/>
    <x v="0"/>
    <x v="0"/>
    <x v="0"/>
    <x v="1"/>
    <n v="8"/>
    <n v="8"/>
    <n v="7"/>
    <n v="9"/>
    <n v="9"/>
    <n v="9"/>
    <n v="7"/>
    <n v="9"/>
    <n v="9"/>
  </r>
  <r>
    <d v="2026-01-12T11:34:00"/>
    <x v="1"/>
    <x v="0"/>
    <x v="0"/>
    <x v="0"/>
    <x v="0"/>
    <x v="7"/>
    <x v="1"/>
    <n v="5"/>
    <n v="5"/>
    <n v="5"/>
    <n v="7"/>
    <n v="5"/>
    <n v="7"/>
    <n v="5"/>
    <n v="5"/>
    <n v="7"/>
  </r>
  <r>
    <d v="2026-01-12T11:37:00"/>
    <x v="1"/>
    <x v="0"/>
    <x v="0"/>
    <x v="1"/>
    <x v="0"/>
    <x v="7"/>
    <x v="1"/>
    <n v="7"/>
    <n v="7"/>
    <n v="8"/>
    <n v="8"/>
    <n v="6"/>
    <n v="7"/>
    <n v="6"/>
    <n v="7"/>
    <n v="7"/>
  </r>
  <r>
    <d v="2026-01-12T11:38:00"/>
    <x v="0"/>
    <x v="2"/>
    <x v="0"/>
    <x v="0"/>
    <x v="0"/>
    <x v="2"/>
    <x v="1"/>
    <n v="7"/>
    <n v="7"/>
    <n v="5"/>
    <n v="7"/>
    <n v="7"/>
    <n v="7"/>
    <n v="5"/>
    <n v="5"/>
    <n v="8"/>
  </r>
  <r>
    <d v="2026-01-12T11:39:00"/>
    <x v="1"/>
    <x v="3"/>
    <x v="0"/>
    <x v="0"/>
    <x v="0"/>
    <x v="5"/>
    <x v="0"/>
    <n v="2"/>
    <n v="2"/>
    <n v="6"/>
    <n v="7"/>
    <n v="2"/>
    <n v="5"/>
    <n v="5"/>
    <n v="6"/>
    <n v="5"/>
  </r>
  <r>
    <d v="2026-01-12T11:40:00"/>
    <x v="0"/>
    <x v="1"/>
    <x v="0"/>
    <x v="0"/>
    <x v="0"/>
    <x v="1"/>
    <x v="4"/>
    <n v="8"/>
    <n v="9"/>
    <n v="9"/>
    <n v="10"/>
    <n v="8"/>
    <n v="10"/>
    <n v="9"/>
    <n v="9"/>
    <n v="10"/>
  </r>
  <r>
    <d v="2026-01-12T11:41:00"/>
    <x v="0"/>
    <x v="0"/>
    <x v="0"/>
    <x v="0"/>
    <x v="0"/>
    <x v="4"/>
    <x v="1"/>
    <n v="7"/>
    <n v="7"/>
    <n v="7"/>
    <n v="9"/>
    <n v="7"/>
    <n v="8"/>
    <n v="5"/>
    <n v="7"/>
    <n v="8"/>
  </r>
  <r>
    <d v="2026-01-12T11:44:00"/>
    <x v="1"/>
    <x v="1"/>
    <x v="0"/>
    <x v="1"/>
    <x v="0"/>
    <x v="3"/>
    <x v="2"/>
    <n v="7"/>
    <n v="8"/>
    <n v="9"/>
    <n v="9"/>
    <n v="9"/>
    <n v="8"/>
    <n v="7"/>
    <n v="7"/>
    <n v="9"/>
  </r>
  <r>
    <d v="2026-01-12T11:47:00"/>
    <x v="0"/>
    <x v="0"/>
    <x v="0"/>
    <x v="0"/>
    <x v="0"/>
    <x v="0"/>
    <x v="1"/>
    <n v="7"/>
    <n v="7"/>
    <n v="9"/>
    <n v="9"/>
    <n v="9"/>
    <n v="9"/>
    <n v="5"/>
    <n v="6"/>
    <n v="9"/>
  </r>
  <r>
    <d v="2026-01-12T11:47:00"/>
    <x v="1"/>
    <x v="2"/>
    <x v="0"/>
    <x v="0"/>
    <x v="0"/>
    <x v="0"/>
    <x v="1"/>
    <n v="3"/>
    <n v="3"/>
    <n v="5"/>
    <n v="6"/>
    <n v="4"/>
    <n v="5"/>
    <n v="5"/>
    <n v="5"/>
    <n v="5"/>
  </r>
  <r>
    <d v="2026-01-12T12:11:00"/>
    <x v="1"/>
    <x v="3"/>
    <x v="0"/>
    <x v="0"/>
    <x v="0"/>
    <x v="7"/>
    <x v="0"/>
    <n v="4"/>
    <n v="4"/>
    <n v="5"/>
    <n v="6"/>
    <n v="4"/>
    <n v="5"/>
    <n v="3"/>
    <n v="4"/>
    <n v="5"/>
  </r>
  <r>
    <d v="2026-01-12T12:12:00"/>
    <x v="0"/>
    <x v="2"/>
    <x v="0"/>
    <x v="0"/>
    <x v="0"/>
    <x v="4"/>
    <x v="1"/>
    <n v="7"/>
    <n v="7"/>
    <n v="9"/>
    <n v="9"/>
    <n v="8"/>
    <n v="9"/>
    <n v="7"/>
    <n v="9"/>
    <n v="9"/>
  </r>
  <r>
    <d v="2026-01-12T12:13:00"/>
    <x v="1"/>
    <x v="1"/>
    <x v="0"/>
    <x v="1"/>
    <x v="0"/>
    <x v="3"/>
    <x v="0"/>
    <n v="6"/>
    <n v="6"/>
    <n v="8"/>
    <n v="8"/>
    <n v="6"/>
    <n v="7"/>
    <n v="6"/>
    <n v="7"/>
    <n v="7"/>
  </r>
  <r>
    <d v="2026-01-12T12:14:00"/>
    <x v="0"/>
    <x v="4"/>
    <x v="0"/>
    <x v="1"/>
    <x v="1"/>
    <x v="6"/>
    <x v="2"/>
    <n v="2"/>
    <n v="2"/>
    <n v="3"/>
    <n v="5"/>
    <n v="1"/>
    <n v="1"/>
    <n v="1"/>
    <n v="3"/>
    <n v="1"/>
  </r>
  <r>
    <d v="2026-01-12T12:20:00"/>
    <x v="1"/>
    <x v="2"/>
    <x v="0"/>
    <x v="0"/>
    <x v="0"/>
    <x v="0"/>
    <x v="1"/>
    <n v="7"/>
    <n v="7"/>
    <n v="8"/>
    <n v="10"/>
    <n v="9"/>
    <n v="10"/>
    <n v="8"/>
    <n v="8"/>
    <n v="10"/>
  </r>
  <r>
    <d v="2026-01-12T12:21:00"/>
    <x v="0"/>
    <x v="0"/>
    <x v="0"/>
    <x v="0"/>
    <x v="0"/>
    <x v="4"/>
    <x v="1"/>
    <n v="4"/>
    <n v="5"/>
    <n v="5"/>
    <n v="6"/>
    <n v="5"/>
    <n v="6"/>
    <n v="5"/>
    <n v="5"/>
    <n v="6"/>
  </r>
  <r>
    <d v="2026-01-12T12:22:00"/>
    <x v="1"/>
    <x v="3"/>
    <x v="0"/>
    <x v="0"/>
    <x v="0"/>
    <x v="7"/>
    <x v="1"/>
    <n v="7"/>
    <n v="8"/>
    <n v="7"/>
    <n v="7"/>
    <n v="6"/>
    <n v="8"/>
    <n v="6"/>
    <n v="8"/>
    <n v="8"/>
  </r>
  <r>
    <d v="2026-01-12T12:23:00"/>
    <x v="1"/>
    <x v="2"/>
    <x v="0"/>
    <x v="0"/>
    <x v="0"/>
    <x v="0"/>
    <x v="1"/>
    <n v="8"/>
    <n v="8"/>
    <n v="9"/>
    <n v="9"/>
    <n v="8"/>
    <n v="9"/>
    <n v="10"/>
    <n v="9"/>
    <n v="10"/>
  </r>
  <r>
    <d v="2026-01-12T12:23:00"/>
    <x v="0"/>
    <x v="2"/>
    <x v="0"/>
    <x v="0"/>
    <x v="0"/>
    <x v="0"/>
    <x v="1"/>
    <n v="7"/>
    <n v="7"/>
    <n v="8"/>
    <n v="8"/>
    <n v="6"/>
    <n v="7"/>
    <n v="6"/>
    <n v="6"/>
    <n v="7"/>
  </r>
  <r>
    <d v="2026-01-12T14:12:00"/>
    <x v="1"/>
    <x v="0"/>
    <x v="0"/>
    <x v="0"/>
    <x v="0"/>
    <x v="0"/>
    <x v="1"/>
    <n v="7"/>
    <n v="8"/>
    <n v="8"/>
    <n v="8"/>
    <n v="5"/>
    <n v="8"/>
    <n v="5"/>
    <n v="8"/>
    <n v="8"/>
  </r>
  <r>
    <d v="2026-01-12T14:13:00"/>
    <x v="0"/>
    <x v="2"/>
    <x v="0"/>
    <x v="0"/>
    <x v="0"/>
    <x v="2"/>
    <x v="1"/>
    <n v="8"/>
    <n v="8"/>
    <n v="8"/>
    <n v="9"/>
    <n v="8"/>
    <n v="8"/>
    <n v="7"/>
    <n v="7"/>
    <n v="8"/>
  </r>
  <r>
    <d v="2026-01-12T14:14:00"/>
    <x v="1"/>
    <x v="2"/>
    <x v="0"/>
    <x v="0"/>
    <x v="0"/>
    <x v="2"/>
    <x v="1"/>
    <n v="5"/>
    <n v="5"/>
    <n v="6"/>
    <n v="7"/>
    <n v="5"/>
    <n v="8"/>
    <n v="6"/>
    <n v="6"/>
    <n v="7"/>
  </r>
  <r>
    <d v="2026-01-12T14:15:00"/>
    <x v="1"/>
    <x v="0"/>
    <x v="0"/>
    <x v="0"/>
    <x v="0"/>
    <x v="0"/>
    <x v="1"/>
    <n v="7"/>
    <n v="7"/>
    <n v="8"/>
    <n v="7"/>
    <n v="8"/>
    <n v="8"/>
    <n v="8"/>
    <n v="7"/>
    <n v="8"/>
  </r>
  <r>
    <d v="2026-01-12T14:16:00"/>
    <x v="1"/>
    <x v="3"/>
    <x v="0"/>
    <x v="1"/>
    <x v="0"/>
    <x v="1"/>
    <x v="4"/>
    <n v="7"/>
    <n v="7"/>
    <n v="5"/>
    <n v="8"/>
    <n v="6"/>
    <n v="5"/>
    <n v="5"/>
    <n v="6"/>
    <n v="5"/>
  </r>
  <r>
    <d v="2026-01-12T14:28:00"/>
    <x v="0"/>
    <x v="0"/>
    <x v="0"/>
    <x v="0"/>
    <x v="0"/>
    <x v="0"/>
    <x v="1"/>
    <n v="7"/>
    <n v="7"/>
    <n v="5"/>
    <n v="8"/>
    <n v="7"/>
    <n v="7"/>
    <n v="6"/>
    <n v="7"/>
    <n v="7"/>
  </r>
  <r>
    <d v="2026-01-12T14:29:00"/>
    <x v="0"/>
    <x v="3"/>
    <x v="0"/>
    <x v="0"/>
    <x v="0"/>
    <x v="7"/>
    <x v="0"/>
    <n v="9"/>
    <n v="8"/>
    <n v="8"/>
    <n v="9"/>
    <n v="7"/>
    <n v="8"/>
    <n v="7"/>
    <n v="7"/>
    <n v="8"/>
  </r>
  <r>
    <d v="2026-01-12T14:33:00"/>
    <x v="0"/>
    <x v="0"/>
    <x v="0"/>
    <x v="0"/>
    <x v="0"/>
    <x v="4"/>
    <x v="1"/>
    <n v="8"/>
    <n v="8"/>
    <n v="7"/>
    <n v="8"/>
    <n v="6"/>
    <n v="8"/>
    <n v="6"/>
    <n v="6"/>
    <n v="8"/>
  </r>
  <r>
    <d v="2026-01-12T15:39:00"/>
    <x v="0"/>
    <x v="0"/>
    <x v="0"/>
    <x v="0"/>
    <x v="0"/>
    <x v="4"/>
    <x v="1"/>
    <n v="8"/>
    <n v="8"/>
    <n v="7"/>
    <n v="7"/>
    <n v="6"/>
    <n v="7"/>
    <n v="6"/>
    <n v="6"/>
    <n v="7"/>
  </r>
  <r>
    <d v="2026-01-12T15:42:00"/>
    <x v="0"/>
    <x v="0"/>
    <x v="0"/>
    <x v="0"/>
    <x v="0"/>
    <x v="4"/>
    <x v="1"/>
    <n v="4"/>
    <n v="4"/>
    <n v="5"/>
    <n v="7"/>
    <n v="5"/>
    <n v="6"/>
    <n v="6"/>
    <n v="6"/>
    <n v="6"/>
  </r>
  <r>
    <d v="2026-01-12T15:42:00"/>
    <x v="0"/>
    <x v="0"/>
    <x v="0"/>
    <x v="0"/>
    <x v="0"/>
    <x v="7"/>
    <x v="1"/>
    <n v="7"/>
    <n v="7"/>
    <n v="8"/>
    <n v="8"/>
    <n v="7"/>
    <n v="7"/>
    <n v="8"/>
    <n v="7"/>
    <n v="8"/>
  </r>
  <r>
    <d v="2026-01-12T15:43:00"/>
    <x v="0"/>
    <x v="3"/>
    <x v="0"/>
    <x v="0"/>
    <x v="0"/>
    <x v="5"/>
    <x v="4"/>
    <n v="8"/>
    <n v="8"/>
    <n v="6"/>
    <n v="7"/>
    <n v="6"/>
    <n v="7"/>
    <n v="5"/>
    <n v="7"/>
    <n v="7"/>
  </r>
  <r>
    <d v="2026-01-12T16:48:00"/>
    <x v="0"/>
    <x v="3"/>
    <x v="0"/>
    <x v="0"/>
    <x v="0"/>
    <x v="7"/>
    <x v="0"/>
    <n v="6"/>
    <n v="6"/>
    <n v="8"/>
    <n v="7"/>
    <n v="7"/>
    <n v="7"/>
    <n v="5"/>
    <n v="6"/>
    <n v="7"/>
  </r>
  <r>
    <d v="2026-01-12T16:49:00"/>
    <x v="1"/>
    <x v="1"/>
    <x v="0"/>
    <x v="0"/>
    <x v="0"/>
    <x v="3"/>
    <x v="3"/>
    <n v="7"/>
    <n v="7"/>
    <n v="8"/>
    <n v="8"/>
    <n v="6"/>
    <n v="7"/>
    <n v="5"/>
    <n v="7"/>
    <n v="7"/>
  </r>
  <r>
    <d v="2026-01-12T16:50:00"/>
    <x v="0"/>
    <x v="2"/>
    <x v="0"/>
    <x v="0"/>
    <x v="0"/>
    <x v="0"/>
    <x v="1"/>
    <n v="9"/>
    <n v="9"/>
    <n v="10"/>
    <n v="10"/>
    <n v="9"/>
    <n v="10"/>
    <n v="8"/>
    <n v="8"/>
    <n v="9"/>
  </r>
  <r>
    <d v="2026-01-12T17:17:00"/>
    <x v="1"/>
    <x v="2"/>
    <x v="0"/>
    <x v="0"/>
    <x v="0"/>
    <x v="0"/>
    <x v="1"/>
    <n v="7"/>
    <n v="8"/>
    <n v="8"/>
    <n v="9"/>
    <n v="8"/>
    <n v="10"/>
    <n v="8"/>
    <n v="8"/>
    <n v="9"/>
  </r>
  <r>
    <d v="2026-01-12T18:05:00"/>
    <x v="1"/>
    <x v="2"/>
    <x v="0"/>
    <x v="0"/>
    <x v="0"/>
    <x v="0"/>
    <x v="1"/>
    <n v="7"/>
    <n v="7"/>
    <n v="8"/>
    <n v="10"/>
    <n v="9"/>
    <n v="10"/>
    <n v="8"/>
    <n v="8"/>
    <n v="10"/>
  </r>
  <r>
    <d v="2026-01-12T18:28:00"/>
    <x v="1"/>
    <x v="0"/>
    <x v="0"/>
    <x v="0"/>
    <x v="0"/>
    <x v="7"/>
    <x v="1"/>
    <n v="9"/>
    <n v="9"/>
    <n v="8"/>
    <n v="9"/>
    <n v="8"/>
    <n v="8"/>
    <n v="7"/>
    <n v="7"/>
    <n v="8"/>
  </r>
  <r>
    <d v="2026-01-12T18:29:00"/>
    <x v="0"/>
    <x v="2"/>
    <x v="0"/>
    <x v="0"/>
    <x v="0"/>
    <x v="0"/>
    <x v="1"/>
    <n v="7"/>
    <n v="7"/>
    <n v="7"/>
    <n v="8"/>
    <n v="7"/>
    <n v="9"/>
    <n v="8"/>
    <n v="8"/>
    <n v="8"/>
  </r>
  <r>
    <d v="2026-01-12T18:30:00"/>
    <x v="0"/>
    <x v="0"/>
    <x v="0"/>
    <x v="0"/>
    <x v="0"/>
    <x v="4"/>
    <x v="0"/>
    <n v="4"/>
    <n v="5"/>
    <n v="6"/>
    <n v="7"/>
    <n v="7"/>
    <n v="6"/>
    <n v="4"/>
    <n v="6"/>
    <n v="7"/>
  </r>
  <r>
    <d v="2026-01-12T21:27:00"/>
    <x v="1"/>
    <x v="0"/>
    <x v="0"/>
    <x v="0"/>
    <x v="0"/>
    <x v="4"/>
    <x v="1"/>
    <n v="9"/>
    <n v="8"/>
    <n v="8"/>
    <n v="8"/>
    <n v="7"/>
    <n v="7"/>
    <n v="6"/>
    <n v="7"/>
    <n v="8"/>
  </r>
  <r>
    <d v="2026-01-12T21:28:00"/>
    <x v="0"/>
    <x v="2"/>
    <x v="0"/>
    <x v="0"/>
    <x v="0"/>
    <x v="2"/>
    <x v="1"/>
    <n v="7"/>
    <n v="7"/>
    <n v="8"/>
    <n v="9"/>
    <n v="7"/>
    <n v="10"/>
    <n v="8"/>
    <n v="8"/>
    <n v="10"/>
  </r>
  <r>
    <d v="2026-01-12T21:29:00"/>
    <x v="0"/>
    <x v="2"/>
    <x v="0"/>
    <x v="0"/>
    <x v="0"/>
    <x v="0"/>
    <x v="1"/>
    <n v="3"/>
    <n v="3"/>
    <n v="5"/>
    <n v="6"/>
    <n v="5"/>
    <n v="6"/>
    <n v="4"/>
    <n v="6"/>
    <n v="6"/>
  </r>
  <r>
    <d v="2026-01-12T21:36:00"/>
    <x v="1"/>
    <x v="0"/>
    <x v="0"/>
    <x v="0"/>
    <x v="0"/>
    <x v="7"/>
    <x v="0"/>
    <n v="8"/>
    <n v="8"/>
    <n v="5"/>
    <n v="7"/>
    <n v="5"/>
    <n v="8"/>
    <n v="5"/>
    <n v="7"/>
    <n v="8"/>
  </r>
  <r>
    <d v="2026-01-12T21:37:00"/>
    <x v="1"/>
    <x v="3"/>
    <x v="0"/>
    <x v="0"/>
    <x v="0"/>
    <x v="4"/>
    <x v="0"/>
    <n v="4"/>
    <n v="5"/>
    <n v="5"/>
    <n v="7"/>
    <n v="5"/>
    <n v="7"/>
    <n v="5"/>
    <n v="6"/>
    <n v="7"/>
  </r>
  <r>
    <d v="2026-01-12T21:38:00"/>
    <x v="0"/>
    <x v="0"/>
    <x v="0"/>
    <x v="0"/>
    <x v="0"/>
    <x v="5"/>
    <x v="1"/>
    <n v="9"/>
    <n v="9"/>
    <n v="8"/>
    <n v="9"/>
    <n v="9"/>
    <n v="7"/>
    <n v="7"/>
    <n v="7"/>
    <n v="7"/>
  </r>
  <r>
    <d v="2026-01-12T21:41:00"/>
    <x v="1"/>
    <x v="3"/>
    <x v="0"/>
    <x v="1"/>
    <x v="0"/>
    <x v="1"/>
    <x v="0"/>
    <n v="7"/>
    <n v="8"/>
    <n v="8"/>
    <n v="8"/>
    <n v="5"/>
    <n v="6"/>
    <n v="5"/>
    <n v="6"/>
    <n v="6"/>
  </r>
  <r>
    <d v="2026-01-12T21:43:00"/>
    <x v="0"/>
    <x v="2"/>
    <x v="0"/>
    <x v="0"/>
    <x v="0"/>
    <x v="0"/>
    <x v="1"/>
    <n v="8"/>
    <n v="9"/>
    <n v="8"/>
    <n v="8"/>
    <n v="9"/>
    <n v="10"/>
    <n v="10"/>
    <n v="9"/>
    <n v="10"/>
  </r>
  <r>
    <d v="2026-01-12T21:43:00"/>
    <x v="0"/>
    <x v="0"/>
    <x v="0"/>
    <x v="1"/>
    <x v="0"/>
    <x v="7"/>
    <x v="4"/>
    <n v="7"/>
    <n v="7"/>
    <n v="8"/>
    <n v="8"/>
    <n v="6"/>
    <n v="8"/>
    <n v="6"/>
    <n v="7"/>
    <n v="8"/>
  </r>
  <r>
    <d v="2026-01-12T21:47:00"/>
    <x v="1"/>
    <x v="0"/>
    <x v="0"/>
    <x v="0"/>
    <x v="0"/>
    <x v="0"/>
    <x v="1"/>
    <n v="6"/>
    <n v="6"/>
    <n v="8"/>
    <n v="9"/>
    <n v="8"/>
    <n v="8"/>
    <n v="5"/>
    <n v="7"/>
    <n v="8"/>
  </r>
  <r>
    <d v="2026-01-12T21:48:00"/>
    <x v="1"/>
    <x v="2"/>
    <x v="0"/>
    <x v="0"/>
    <x v="0"/>
    <x v="4"/>
    <x v="1"/>
    <n v="6"/>
    <n v="7"/>
    <n v="7"/>
    <n v="9"/>
    <n v="7"/>
    <n v="9"/>
    <n v="9"/>
    <n v="9"/>
    <n v="9"/>
  </r>
  <r>
    <d v="2026-01-12T21:49:00"/>
    <x v="1"/>
    <x v="1"/>
    <x v="0"/>
    <x v="1"/>
    <x v="0"/>
    <x v="1"/>
    <x v="2"/>
    <n v="4"/>
    <n v="4"/>
    <n v="5"/>
    <n v="5"/>
    <n v="5"/>
    <n v="4"/>
    <n v="5"/>
    <n v="6"/>
    <n v="5"/>
  </r>
  <r>
    <d v="2026-01-12T21:50:00"/>
    <x v="0"/>
    <x v="3"/>
    <x v="0"/>
    <x v="0"/>
    <x v="0"/>
    <x v="5"/>
    <x v="4"/>
    <n v="6"/>
    <n v="6"/>
    <n v="8"/>
    <n v="8"/>
    <n v="6"/>
    <n v="7"/>
    <n v="5"/>
    <n v="6"/>
    <n v="6"/>
  </r>
  <r>
    <d v="2026-01-12T21:51:00"/>
    <x v="0"/>
    <x v="3"/>
    <x v="0"/>
    <x v="0"/>
    <x v="0"/>
    <x v="3"/>
    <x v="4"/>
    <n v="8"/>
    <n v="8"/>
    <n v="9"/>
    <n v="9"/>
    <n v="5"/>
    <n v="5"/>
    <n v="5"/>
    <n v="6"/>
    <n v="5"/>
  </r>
  <r>
    <d v="2026-01-12T22:35:00"/>
    <x v="0"/>
    <x v="3"/>
    <x v="0"/>
    <x v="0"/>
    <x v="0"/>
    <x v="5"/>
    <x v="0"/>
    <n v="6"/>
    <n v="6"/>
    <n v="7"/>
    <n v="7"/>
    <n v="6"/>
    <n v="6"/>
    <n v="6"/>
    <n v="6"/>
    <n v="6"/>
  </r>
  <r>
    <d v="2026-01-12T23:15:00"/>
    <x v="0"/>
    <x v="3"/>
    <x v="0"/>
    <x v="0"/>
    <x v="0"/>
    <x v="1"/>
    <x v="0"/>
    <n v="8"/>
    <n v="8"/>
    <n v="8"/>
    <n v="8"/>
    <n v="7"/>
    <n v="6"/>
    <n v="6"/>
    <n v="5"/>
    <n v="7"/>
  </r>
  <r>
    <d v="2026-01-13T06:45:00"/>
    <x v="0"/>
    <x v="0"/>
    <x v="0"/>
    <x v="0"/>
    <x v="0"/>
    <x v="4"/>
    <x v="1"/>
    <n v="6"/>
    <n v="6"/>
    <n v="5"/>
    <n v="7"/>
    <n v="6"/>
    <n v="7"/>
    <n v="5"/>
    <n v="6"/>
    <n v="7"/>
  </r>
  <r>
    <d v="2026-01-13T08:14:00"/>
    <x v="1"/>
    <x v="0"/>
    <x v="0"/>
    <x v="0"/>
    <x v="0"/>
    <x v="0"/>
    <x v="1"/>
    <n v="7"/>
    <n v="8"/>
    <n v="7"/>
    <n v="7"/>
    <n v="8"/>
    <n v="9"/>
    <n v="7"/>
    <n v="7"/>
    <n v="8"/>
  </r>
  <r>
    <d v="2026-01-13T08:15:00"/>
    <x v="0"/>
    <x v="2"/>
    <x v="0"/>
    <x v="0"/>
    <x v="0"/>
    <x v="4"/>
    <x v="1"/>
    <n v="6"/>
    <n v="7"/>
    <n v="5"/>
    <n v="8"/>
    <n v="7"/>
    <n v="7"/>
    <n v="7"/>
    <n v="7"/>
    <n v="8"/>
  </r>
  <r>
    <d v="2026-01-13T08:17:00"/>
    <x v="0"/>
    <x v="2"/>
    <x v="0"/>
    <x v="0"/>
    <x v="0"/>
    <x v="0"/>
    <x v="1"/>
    <n v="8"/>
    <n v="8"/>
    <n v="9"/>
    <n v="9"/>
    <n v="7"/>
    <n v="9"/>
    <n v="7"/>
    <n v="7"/>
    <n v="9"/>
  </r>
  <r>
    <d v="2026-01-13T08:31:00"/>
    <x v="1"/>
    <x v="2"/>
    <x v="0"/>
    <x v="0"/>
    <x v="0"/>
    <x v="4"/>
    <x v="1"/>
    <n v="8"/>
    <n v="8"/>
    <n v="5"/>
    <n v="8"/>
    <n v="6"/>
    <n v="9"/>
    <n v="5"/>
    <n v="7"/>
    <n v="8"/>
  </r>
  <r>
    <d v="2026-01-13T08:53:00"/>
    <x v="1"/>
    <x v="2"/>
    <x v="0"/>
    <x v="2"/>
    <x v="0"/>
    <x v="0"/>
    <x v="1"/>
    <n v="9"/>
    <n v="9"/>
    <n v="8"/>
    <n v="9"/>
    <n v="8"/>
    <n v="10"/>
    <n v="8"/>
    <n v="8"/>
    <n v="10"/>
  </r>
  <r>
    <d v="2026-01-13T08:54:00"/>
    <x v="0"/>
    <x v="2"/>
    <x v="0"/>
    <x v="0"/>
    <x v="0"/>
    <x v="4"/>
    <x v="0"/>
    <n v="5"/>
    <n v="5"/>
    <n v="4"/>
    <n v="8"/>
    <n v="4"/>
    <n v="8"/>
    <n v="4"/>
    <n v="5"/>
    <n v="7"/>
  </r>
  <r>
    <d v="2026-01-13T08:55:00"/>
    <x v="1"/>
    <x v="4"/>
    <x v="0"/>
    <x v="1"/>
    <x v="0"/>
    <x v="3"/>
    <x v="4"/>
    <n v="1"/>
    <n v="1"/>
    <n v="4"/>
    <n v="5"/>
    <n v="5"/>
    <n v="4"/>
    <n v="4"/>
    <n v="5"/>
    <n v="3"/>
  </r>
  <r>
    <d v="2026-01-13T09:20:00"/>
    <x v="1"/>
    <x v="2"/>
    <x v="0"/>
    <x v="0"/>
    <x v="0"/>
    <x v="2"/>
    <x v="1"/>
    <n v="7"/>
    <n v="7"/>
    <n v="7"/>
    <n v="9"/>
    <n v="8"/>
    <n v="10"/>
    <n v="8"/>
    <n v="7"/>
    <n v="10"/>
  </r>
  <r>
    <d v="2026-01-13T09:45:00"/>
    <x v="1"/>
    <x v="1"/>
    <x v="0"/>
    <x v="0"/>
    <x v="0"/>
    <x v="5"/>
    <x v="4"/>
    <n v="3"/>
    <n v="3"/>
    <n v="4"/>
    <n v="6"/>
    <n v="4"/>
    <n v="5"/>
    <n v="4"/>
    <n v="5"/>
    <n v="5"/>
  </r>
  <r>
    <d v="2026-01-13T09:46:00"/>
    <x v="0"/>
    <x v="0"/>
    <x v="0"/>
    <x v="1"/>
    <x v="0"/>
    <x v="7"/>
    <x v="1"/>
    <n v="8"/>
    <n v="8"/>
    <n v="9"/>
    <n v="8"/>
    <n v="7"/>
    <n v="8"/>
    <n v="7"/>
    <n v="7"/>
    <n v="8"/>
  </r>
  <r>
    <d v="2026-01-13T10:21:00"/>
    <x v="1"/>
    <x v="3"/>
    <x v="0"/>
    <x v="0"/>
    <x v="0"/>
    <x v="1"/>
    <x v="4"/>
    <n v="5"/>
    <n v="5"/>
    <n v="5"/>
    <n v="5"/>
    <n v="5"/>
    <n v="5"/>
    <n v="5"/>
    <n v="5"/>
    <n v="5"/>
  </r>
  <r>
    <d v="2026-01-13T11:02:00"/>
    <x v="1"/>
    <x v="2"/>
    <x v="0"/>
    <x v="0"/>
    <x v="0"/>
    <x v="0"/>
    <x v="1"/>
    <n v="7"/>
    <n v="7"/>
    <n v="5"/>
    <n v="8"/>
    <n v="6"/>
    <n v="8"/>
    <n v="5"/>
    <n v="5"/>
    <n v="8"/>
  </r>
  <r>
    <d v="2026-01-13T11:10:00"/>
    <x v="1"/>
    <x v="0"/>
    <x v="0"/>
    <x v="0"/>
    <x v="0"/>
    <x v="4"/>
    <x v="1"/>
    <n v="6"/>
    <n v="8"/>
    <n v="7"/>
    <n v="8"/>
    <n v="6"/>
    <n v="8"/>
    <n v="5"/>
    <n v="5"/>
    <n v="8"/>
  </r>
  <r>
    <d v="2026-01-13T11:11:00"/>
    <x v="0"/>
    <x v="1"/>
    <x v="0"/>
    <x v="1"/>
    <x v="0"/>
    <x v="5"/>
    <x v="2"/>
    <n v="10"/>
    <n v="10"/>
    <n v="5"/>
    <n v="9"/>
    <n v="7"/>
    <n v="8"/>
    <n v="5"/>
    <n v="5"/>
    <n v="8"/>
  </r>
  <r>
    <d v="2026-01-13T11:12:00"/>
    <x v="1"/>
    <x v="0"/>
    <x v="0"/>
    <x v="0"/>
    <x v="0"/>
    <x v="0"/>
    <x v="1"/>
    <n v="4"/>
    <n v="5"/>
    <n v="7"/>
    <n v="7"/>
    <n v="5"/>
    <n v="7"/>
    <n v="5"/>
    <n v="5"/>
    <n v="7"/>
  </r>
  <r>
    <d v="2026-01-13T11:13:00"/>
    <x v="0"/>
    <x v="5"/>
    <x v="0"/>
    <x v="1"/>
    <x v="0"/>
    <x v="6"/>
    <x v="3"/>
    <n v="2"/>
    <n v="3"/>
    <n v="3"/>
    <n v="6"/>
    <n v="5"/>
    <n v="5"/>
    <n v="5"/>
    <n v="5"/>
    <n v="5"/>
  </r>
  <r>
    <d v="2026-01-13T11:14:00"/>
    <x v="0"/>
    <x v="3"/>
    <x v="0"/>
    <x v="0"/>
    <x v="0"/>
    <x v="7"/>
    <x v="4"/>
    <n v="7"/>
    <n v="7"/>
    <n v="5"/>
    <n v="8"/>
    <n v="7"/>
    <n v="7"/>
    <n v="5"/>
    <n v="6"/>
    <n v="7"/>
  </r>
  <r>
    <d v="2026-01-13T11:26:00"/>
    <x v="1"/>
    <x v="0"/>
    <x v="0"/>
    <x v="0"/>
    <x v="0"/>
    <x v="2"/>
    <x v="0"/>
    <n v="9"/>
    <n v="9"/>
    <n v="9"/>
    <n v="7"/>
    <n v="8"/>
    <n v="6"/>
    <n v="8"/>
    <n v="10"/>
    <n v="10"/>
  </r>
  <r>
    <d v="2026-01-13T12:38:00"/>
    <x v="1"/>
    <x v="4"/>
    <x v="0"/>
    <x v="0"/>
    <x v="0"/>
    <x v="5"/>
    <x v="0"/>
    <n v="7"/>
    <n v="7"/>
    <n v="5"/>
    <n v="7"/>
    <n v="5"/>
    <n v="6"/>
    <n v="5"/>
    <n v="6"/>
    <n v="6"/>
  </r>
  <r>
    <d v="2026-01-13T12:39:00"/>
    <x v="0"/>
    <x v="3"/>
    <x v="0"/>
    <x v="2"/>
    <x v="0"/>
    <x v="7"/>
    <x v="0"/>
    <n v="2"/>
    <n v="2"/>
    <n v="4"/>
    <n v="5"/>
    <n v="5"/>
    <n v="3"/>
    <n v="5"/>
    <n v="5"/>
    <n v="5"/>
  </r>
  <r>
    <d v="2026-01-13T12:40:00"/>
    <x v="0"/>
    <x v="0"/>
    <x v="0"/>
    <x v="0"/>
    <x v="0"/>
    <x v="7"/>
    <x v="1"/>
    <n v="8"/>
    <n v="8"/>
    <n v="7"/>
    <n v="7"/>
    <n v="7"/>
    <n v="8"/>
    <n v="7"/>
    <n v="8"/>
    <n v="8"/>
  </r>
  <r>
    <d v="2026-01-13T12:40:00"/>
    <x v="0"/>
    <x v="2"/>
    <x v="0"/>
    <x v="0"/>
    <x v="0"/>
    <x v="2"/>
    <x v="1"/>
    <n v="9"/>
    <n v="9"/>
    <n v="8"/>
    <n v="9"/>
    <n v="7"/>
    <n v="9"/>
    <n v="8"/>
    <n v="8"/>
    <n v="8"/>
  </r>
  <r>
    <d v="2026-01-13T12:41:00"/>
    <x v="0"/>
    <x v="0"/>
    <x v="0"/>
    <x v="1"/>
    <x v="0"/>
    <x v="7"/>
    <x v="1"/>
    <n v="7"/>
    <n v="7"/>
    <n v="5"/>
    <n v="8"/>
    <n v="7"/>
    <n v="8"/>
    <n v="6"/>
    <n v="6"/>
    <n v="8"/>
  </r>
  <r>
    <d v="2026-01-13T12:42:00"/>
    <x v="0"/>
    <x v="1"/>
    <x v="0"/>
    <x v="0"/>
    <x v="0"/>
    <x v="5"/>
    <x v="2"/>
    <n v="8"/>
    <n v="9"/>
    <n v="8"/>
    <n v="8"/>
    <n v="7"/>
    <n v="7"/>
    <n v="7"/>
    <n v="7"/>
    <n v="8"/>
  </r>
  <r>
    <d v="2026-01-13T12:42:00"/>
    <x v="0"/>
    <x v="0"/>
    <x v="1"/>
    <x v="0"/>
    <x v="0"/>
    <x v="0"/>
    <x v="1"/>
    <n v="4"/>
    <n v="4"/>
    <n v="3"/>
    <n v="5"/>
    <n v="5"/>
    <n v="2"/>
    <n v="2"/>
    <n v="5"/>
    <n v="2"/>
  </r>
  <r>
    <d v="2026-01-13T12:47:00"/>
    <x v="1"/>
    <x v="5"/>
    <x v="0"/>
    <x v="1"/>
    <x v="0"/>
    <x v="6"/>
    <x v="3"/>
    <n v="7"/>
    <n v="7"/>
    <n v="4"/>
    <n v="6"/>
    <n v="5"/>
    <n v="4"/>
    <n v="5"/>
    <n v="5"/>
    <n v="5"/>
  </r>
  <r>
    <d v="2026-01-13T12:49:00"/>
    <x v="0"/>
    <x v="0"/>
    <x v="0"/>
    <x v="0"/>
    <x v="0"/>
    <x v="7"/>
    <x v="1"/>
    <n v="7"/>
    <n v="7"/>
    <n v="7"/>
    <n v="7"/>
    <n v="7"/>
    <n v="7"/>
    <n v="7"/>
    <n v="7"/>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D6106A-FD0D-41C0-AF89-0E652424E3AE}" name="PivotTable6" cacheId="2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62:F68"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showAll="0"/>
    <pivotField axis="axisRow" dataField="1"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Số người phụ thuộc (con nhỏ, cha mẹ già...) đủ điều kiện giảm trừ gia cảnh:"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81148C-B28B-422A-BC57-6EC5F37C1202}" name="PivotTable2" cacheId="2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egion">
  <location ref="E29:F32" firstHeaderRow="1" firstDataRow="1" firstDataCol="1"/>
  <pivotFields count="17">
    <pivotField numFmtId="22" showAll="0"/>
    <pivotField showAll="0">
      <items count="3">
        <item n="Male" x="1"/>
        <item n="Female" x="0"/>
        <item t="default"/>
      </items>
    </pivotField>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Khu vực bạn đang sinh sống:"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D2D31A-578B-4B33-8D72-5456E5725942}" name="PivotTable3" cacheId="2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ducation">
  <location ref="E35:F40" firstHeaderRow="1" firstDataRow="1" firstDataCol="1"/>
  <pivotFields count="17">
    <pivotField numFmtId="22" showAll="0"/>
    <pivotField showAll="0">
      <items count="3">
        <item n="Male" x="1"/>
        <item n="Female" x="0"/>
        <item t="default"/>
      </items>
    </pivotField>
    <pivotField showAll="0"/>
    <pivotField showAll="0"/>
    <pivotField axis="axisRow" dataField="1"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Trình độ học vấn cao nhấ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B8394B-9564-4159-93E1-514FDC0C4D6C}" name="PivotTable4" cacheId="2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43:F47"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Tình trạng việc làm chín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9F2649-C0F1-4050-8DAD-815F1F4344BC}" name="PivotTable5" cacheId="2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Income">
  <location ref="E50:F59"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axis="axisRow" dataField="1" showAll="0">
      <items count="9">
        <item x="2"/>
        <item x="6"/>
        <item x="0"/>
        <item x="4"/>
        <item x="7"/>
        <item x="5"/>
        <item x="1"/>
        <item x="3"/>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Count of Thu nhập bình quân tháng theo Hợp đồng lao động của bạn là bao nhiêu? (Vui lòng điền tổng thu nhập trước khi khấu trừ các loại Bảo hiểm (BHXH, BHYT, BHTN) và Thuế TNC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83461E-472F-43B8-8D13-C1279CB5C86C}" name="PivotTable1" cacheId="2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ge">
  <location ref="E19:F26" firstHeaderRow="1" firstDataRow="1" firstDataCol="1"/>
  <pivotFields count="17">
    <pivotField numFmtId="22" showAll="0"/>
    <pivotField showAll="0">
      <items count="3">
        <item n="Male" x="1"/>
        <item n="Female" x="0"/>
        <item t="default"/>
      </items>
    </pivotField>
    <pivotField axis="axisRow" dataField="1" showAll="0">
      <items count="7">
        <item x="2"/>
        <item x="0"/>
        <item x="3"/>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Độ tuổi của bạ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E1CBA6-78F3-4540-9169-600D9C7488DB}" name="PivotTable22" cacheId="2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Gender">
  <location ref="E13:F16" firstHeaderRow="1" firstDataRow="1" firstDataCol="1"/>
  <pivotFields count="17">
    <pivotField numFmtId="22" showAll="0"/>
    <pivotField axis="axisRow" dataField="1" showAll="0">
      <items count="3">
        <item n="Male" x="1"/>
        <item n="Female"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Number of participan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5" xr16:uid="{8C288689-D8A0-4580-BE45-7D71BEC1B7E4}" autoFormatId="16" applyNumberFormats="0" applyBorderFormats="0" applyFontFormats="0" applyPatternFormats="0" applyAlignmentFormats="0" applyWidthHeightFormats="0">
  <queryTableRefresh nextId="46">
    <queryTableFields count="45">
      <queryTableField id="1" name="Persona_ID" tableColumnId="1"/>
      <queryTableField id="2" name="Used_Seed" tableColumnId="2"/>
      <queryTableField id="3" name="Gender" tableColumnId="3"/>
      <queryTableField id="4" name="Age_Group" tableColumnId="4"/>
      <queryTableField id="5" name="Region" tableColumnId="5"/>
      <queryTableField id="6" name="Education" tableColumnId="6"/>
      <queryTableField id="7" name="Employment" tableColumnId="7"/>
      <queryTableField id="8" name="Income_Mil" tableColumnId="8"/>
      <queryTableField id="9" name="Dependents" tableColumnId="9"/>
      <queryTableField id="10" name="AI_ENF1" tableColumnId="10"/>
      <queryTableField id="11" name="Human_ENF1" tableColumnId="11"/>
      <queryTableField id="12" name="d_ENF1" tableColumnId="12"/>
      <queryTableField id="13" name="AI_ENF2" tableColumnId="13"/>
      <queryTableField id="14" name="Human_ENF2" tableColumnId="14"/>
      <queryTableField id="15" name="d_ENF2" tableColumnId="15"/>
      <queryTableField id="16" name="AI_FAC1" tableColumnId="16"/>
      <queryTableField id="17" name="Human_FAC1" tableColumnId="17"/>
      <queryTableField id="18" name="d_FAC1" tableColumnId="18"/>
      <queryTableField id="19" name="AI_FAC2" tableColumnId="19"/>
      <queryTableField id="20" name="Human_FAC2" tableColumnId="20"/>
      <queryTableField id="21" name="d_FAC2" tableColumnId="21"/>
      <queryTableField id="22" name="AI_TRU1" tableColumnId="22"/>
      <queryTableField id="23" name="Human_TRU1" tableColumnId="23"/>
      <queryTableField id="24" name="d_TRU1" tableColumnId="24"/>
      <queryTableField id="25" name="AI_TRU2" tableColumnId="25"/>
      <queryTableField id="26" name="Human_TRU2" tableColumnId="26"/>
      <queryTableField id="27" name="d_TRU2" tableColumnId="27"/>
      <queryTableField id="28" name="AI_TRU3" tableColumnId="28"/>
      <queryTableField id="29" name="Human_TRU3" tableColumnId="29"/>
      <queryTableField id="30" name="d_TRU3" tableColumnId="30"/>
      <queryTableField id="31" name="AI_TRU4" tableColumnId="31"/>
      <queryTableField id="32" name="Human_TRU4" tableColumnId="32"/>
      <queryTableField id="33" name="d_TRU4" tableColumnId="33"/>
      <queryTableField id="34" name="AI_OUT1" tableColumnId="34"/>
      <queryTableField id="35" name="Human_OUT1" tableColumnId="35"/>
      <queryTableField id="36" name="d_OUT1" tableColumnId="36"/>
      <queryTableField id="37" name="AI_ENF1_Reason" tableColumnId="37"/>
      <queryTableField id="38" name="AI_ENF2_Reason" tableColumnId="38"/>
      <queryTableField id="39" name="AI_FAC1_Reason" tableColumnId="39"/>
      <queryTableField id="40" name="AI_FAC2_Reason" tableColumnId="40"/>
      <queryTableField id="41" name="AI_TRU1_Reason" tableColumnId="41"/>
      <queryTableField id="42" name="AI_TRU2_Reason" tableColumnId="42"/>
      <queryTableField id="43" name="AI_TRU3_Reason" tableColumnId="43"/>
      <queryTableField id="44" name="AI_TRU4_Reason" tableColumnId="44"/>
      <queryTableField id="45" name="AI_OUT1_Reason" tableColumnId="4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2" xr16:uid="{0D6B1F0C-5774-475A-AC4B-AF4E6A8A1A5E}" autoFormatId="16" applyNumberFormats="0" applyBorderFormats="0" applyFontFormats="0" applyPatternFormats="0" applyAlignmentFormats="0" applyWidthHeightFormats="0">
  <queryTableRefresh nextId="18">
    <queryTableFields count="17">
      <queryTableField id="1" name="Timestamp" tableColumnId="1"/>
      <queryTableField id="2" name="Giới tính của bạn:" tableColumnId="2"/>
      <queryTableField id="3" name="Độ tuổi của bạn:" tableColumnId="3"/>
      <queryTableField id="4" name="Khu vực bạn đang sinh sống:" tableColumnId="4"/>
      <queryTableField id="5" name="Trình độ học vấn cao nhất:" tableColumnId="5"/>
      <queryTableField id="6" name="Tình trạng việc làm chính:" tableColumnId="6"/>
      <queryTableField id="7" name="Thu nhập bình quân tháng theo Hợp đồng lao động của bạn là bao nhiêu? (Vui lòng điền tổng thu nhập trước khi khấu trừ các loại Bảo hiểm (BHXH, BHYT, BHTN) và Thuế TNCN)" tableColumnId="7"/>
      <queryTableField id="8" name="Số người phụ thuộc (con nhỏ, cha mẹ già...) đủ điều kiện giảm trừ gia cảnh:" tableColumnId="8"/>
      <queryTableField id="9" name="Tôi tin rằng với các quy định quản lý thuế hiện nay, hành vi gian lận hoặc trốn thuế sẽ dễ dàng bị phát hiện và xử lý nghiêm. - HUMAN-ENF1" tableColumnId="9"/>
      <queryTableField id="10" name="Tôi tin rằng Nhà nước, cơ quan thuế có đủ khả năng và công nghệ để phát hiện, xử lý nghiêm các hành vi trốn thuế. - HUMAN-ENF2" tableColumnId="10"/>
      <queryTableField id="11" name="Các thủ tục khai báo thuế VÀ/HOẶC quy trình làm việc với cơ quan thuế đơn giản, tiện lợi, nhanh chóng hơn so với trước đây. - HUMAN-FAC1" tableColumnId="11"/>
      <queryTableField id="12" name="So với trước đây, tôi thấy cách tính thuế và các bậc thuế trong phương án mới đơn giản, dễ hiểu và dễ thực hiện hơn. - HUMAN-FAC2" tableColumnId="12"/>
      <queryTableField id="13" name="Tôi tin rằng Nhà nước, cơ quan thuế sẽ thực thi chính sách mới một cách khách quan, công tâm và đối xử bình đẳng với mọi người nộp thuế.  - HUMAN-TRU1" tableColumnId="13"/>
      <queryTableField id="14" name="Tôi thấy mức thuế tôi phải đóng theo phương án mới là công bằng (người thu nhập như tôi đóng mức này là hợp lý). - HUMAN-TRU2" tableColumnId="14"/>
      <queryTableField id="15" name="Tôi tin tưởng số tiền thuế tôi đóng sẽ được Nhà nước sử dụng hiệu quả để cải thiện dịch vụ công (y tế, đường xá...). - HUMAN-TRU3" tableColumnId="15"/>
      <queryTableField id="16" name="Tôi thấy Nhà nước đã giải thích rõ ràng, minh bạch về lý do và mục tiêu của việc sửa đổi thuế lần này. - HUMAN-TRU4" tableColumnId="16"/>
      <queryTableField id="17" name="Sau khi xem xét các quyền lợi và nghĩa vụ, bạn có ủng hộ và tuân thủ chính sách mới hiện nay? - HUMAN-OUT1"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5B07BC-6C12-4475-AC8C-783D6521EFE7}" name="step3_validation" displayName="step3_validation" ref="A1:AS404" tableType="queryTable" totalsRowShown="0">
  <autoFilter ref="A1:AS404" xr:uid="{0F5B07BC-6C12-4475-AC8C-783D6521EFE7}"/>
  <tableColumns count="45">
    <tableColumn id="1" xr3:uid="{53279836-9FF8-48DE-9590-81540231404C}" uniqueName="1" name="Persona_ID" queryTableFieldId="1"/>
    <tableColumn id="2" xr3:uid="{27B7A919-DF60-469E-910F-C979C929737F}" uniqueName="2" name="Used_Seed" queryTableFieldId="2"/>
    <tableColumn id="3" xr3:uid="{082D90CF-9682-47E0-BB78-3AF5C177F921}" uniqueName="3" name="Gender" queryTableFieldId="3" dataDxfId="21"/>
    <tableColumn id="4" xr3:uid="{017C12BD-CD74-49C6-9D27-807B2BDC9362}" uniqueName="4" name="Age_Group" queryTableFieldId="4" dataDxfId="20"/>
    <tableColumn id="5" xr3:uid="{C2713242-B0FE-431E-B737-5C0CD2717C43}" uniqueName="5" name="Region" queryTableFieldId="5" dataDxfId="19"/>
    <tableColumn id="6" xr3:uid="{E5F27353-47D0-4ADE-9327-26504714A55E}" uniqueName="6" name="Education" queryTableFieldId="6" dataDxfId="18"/>
    <tableColumn id="7" xr3:uid="{E6A982F0-981B-494A-8DCF-355A55AA0B25}" uniqueName="7" name="Employment" queryTableFieldId="7" dataDxfId="17"/>
    <tableColumn id="8" xr3:uid="{B148918C-0ADD-4C65-B814-A9B2E9EEB193}" uniqueName="8" name="Income_Mil" queryTableFieldId="8"/>
    <tableColumn id="9" xr3:uid="{0EA60FEE-F5A5-42D7-8BAC-9EF596AF1ADC}" uniqueName="9" name="Dependents" queryTableFieldId="9"/>
    <tableColumn id="10" xr3:uid="{1A2C1A90-066F-40EB-98B9-13349DE4F0D3}" uniqueName="10" name="AI_ENF1" queryTableFieldId="10"/>
    <tableColumn id="11" xr3:uid="{B3460B37-8A0E-43CF-91C9-39AE8C2CCA22}" uniqueName="11" name="Human_ENF1" queryTableFieldId="11"/>
    <tableColumn id="12" xr3:uid="{E30EADBA-1828-4014-BD2A-DF69C3CA0662}" uniqueName="12" name="d_ENF1" queryTableFieldId="12"/>
    <tableColumn id="13" xr3:uid="{1E206847-FEB6-45BF-B161-AE5A499FC5FD}" uniqueName="13" name="AI_ENF2" queryTableFieldId="13"/>
    <tableColumn id="14" xr3:uid="{10E8DED4-5C91-455D-BADB-81176A6622B9}" uniqueName="14" name="Human_ENF2" queryTableFieldId="14"/>
    <tableColumn id="15" xr3:uid="{7D5C0B3D-6E82-437A-A1AE-29363477A508}" uniqueName="15" name="d_ENF2" queryTableFieldId="15"/>
    <tableColumn id="16" xr3:uid="{6926FC19-316C-4D11-9430-D81D6D2F22EC}" uniqueName="16" name="AI_FAC1" queryTableFieldId="16"/>
    <tableColumn id="17" xr3:uid="{01761D5B-A7FA-4D80-AEF9-75D5FA700327}" uniqueName="17" name="Human_FAC1" queryTableFieldId="17"/>
    <tableColumn id="18" xr3:uid="{02B7C340-518C-431F-9AF1-2A19A5868F74}" uniqueName="18" name="d_FAC1" queryTableFieldId="18"/>
    <tableColumn id="19" xr3:uid="{AB10F9F3-064C-43BA-BA8F-AD223A8CFE0C}" uniqueName="19" name="AI_FAC2" queryTableFieldId="19"/>
    <tableColumn id="20" xr3:uid="{CEB09EC3-FDCA-4050-B150-1C1B6F11105B}" uniqueName="20" name="Human_FAC2" queryTableFieldId="20"/>
    <tableColumn id="21" xr3:uid="{464A3B57-F6F4-43CD-A960-AC2CC3E8ED89}" uniqueName="21" name="d_FAC2" queryTableFieldId="21"/>
    <tableColumn id="22" xr3:uid="{1279FF14-69ED-4B44-8C91-944FD1783B0D}" uniqueName="22" name="AI_TRU1" queryTableFieldId="22"/>
    <tableColumn id="23" xr3:uid="{E9F3B0E7-1180-4C34-99DC-2F99518B7B3F}" uniqueName="23" name="Human_TRU1" queryTableFieldId="23"/>
    <tableColumn id="24" xr3:uid="{B192DE74-A90D-433A-B70F-051EAF9A0E79}" uniqueName="24" name="d_TRU1" queryTableFieldId="24"/>
    <tableColumn id="25" xr3:uid="{3976816D-35C3-451B-9F05-AD7B74C2E8B2}" uniqueName="25" name="AI_TRU2" queryTableFieldId="25"/>
    <tableColumn id="26" xr3:uid="{04A7EAE2-4A81-4808-8893-F4D1BA6FB322}" uniqueName="26" name="Human_TRU2" queryTableFieldId="26"/>
    <tableColumn id="27" xr3:uid="{0E3D25EB-942C-4B84-B9BB-43E127D3051C}" uniqueName="27" name="d_TRU2" queryTableFieldId="27"/>
    <tableColumn id="28" xr3:uid="{1D8A56DF-7B3F-457D-A244-7E9780DD019B}" uniqueName="28" name="AI_TRU3" queryTableFieldId="28"/>
    <tableColumn id="29" xr3:uid="{C5CF3B27-33E7-497E-B63F-FA4469E69F86}" uniqueName="29" name="Human_TRU3" queryTableFieldId="29"/>
    <tableColumn id="30" xr3:uid="{9FD010C6-E64B-45BA-ACCB-3597FB3DC382}" uniqueName="30" name="d_TRU3" queryTableFieldId="30"/>
    <tableColumn id="31" xr3:uid="{3E3CAC0A-F2AE-4B78-B926-D8D8AE561E1C}" uniqueName="31" name="AI_TRU4" queryTableFieldId="31"/>
    <tableColumn id="32" xr3:uid="{FC6A2DF6-EDB7-452A-AAEE-24F5B3AE420A}" uniqueName="32" name="Human_TRU4" queryTableFieldId="32"/>
    <tableColumn id="33" xr3:uid="{64B00BE8-4370-4F93-91D7-8EA7BB14D39A}" uniqueName="33" name="d_TRU4" queryTableFieldId="33"/>
    <tableColumn id="34" xr3:uid="{7AA7B9F2-BB87-404D-BD47-1DCE3D06DB6A}" uniqueName="34" name="AI_OUT1" queryTableFieldId="34"/>
    <tableColumn id="35" xr3:uid="{CA4F69F8-B5BF-4FA1-A762-A7D9231F8AD4}" uniqueName="35" name="Human_OUT1" queryTableFieldId="35"/>
    <tableColumn id="36" xr3:uid="{6294FC09-F8EC-42D6-A6FE-749BF2A136AA}" uniqueName="36" name="d_OUT1" queryTableFieldId="36"/>
    <tableColumn id="37" xr3:uid="{3347022C-DB80-490F-AC25-9CF81086D339}" uniqueName="37" name="AI_ENF1_Reason" queryTableFieldId="37" dataDxfId="16"/>
    <tableColumn id="38" xr3:uid="{59E06D61-5446-4036-9E8A-6431D69E2262}" uniqueName="38" name="AI_ENF2_Reason" queryTableFieldId="38" dataDxfId="15"/>
    <tableColumn id="39" xr3:uid="{9D1C1D03-694B-4325-8F99-68F56F072770}" uniqueName="39" name="AI_FAC1_Reason" queryTableFieldId="39" dataDxfId="14"/>
    <tableColumn id="40" xr3:uid="{8FEF3FC1-2AF9-42B5-8A87-85B0ADC12867}" uniqueName="40" name="AI_FAC2_Reason" queryTableFieldId="40" dataDxfId="13"/>
    <tableColumn id="41" xr3:uid="{AB3E1509-A716-4A8D-9E39-4E0B0AE2B00D}" uniqueName="41" name="AI_TRU1_Reason" queryTableFieldId="41" dataDxfId="12"/>
    <tableColumn id="42" xr3:uid="{0D0A5242-E2E8-48E5-A7D9-B642CD19DAA7}" uniqueName="42" name="AI_TRU2_Reason" queryTableFieldId="42" dataDxfId="11"/>
    <tableColumn id="43" xr3:uid="{F4E6D1B8-17F4-4F8C-8ACA-9736CA19FECE}" uniqueName="43" name="AI_TRU3_Reason" queryTableFieldId="43" dataDxfId="10"/>
    <tableColumn id="44" xr3:uid="{EE2B5768-EBF5-41BD-BEE7-30229A31065E}" uniqueName="44" name="AI_TRU4_Reason" queryTableFieldId="44" dataDxfId="9"/>
    <tableColumn id="45" xr3:uid="{DB2E6CA3-26A2-4ACC-9570-BF64E63CE544}" uniqueName="45" name="AI_OUT1_Reason" queryTableFieldId="45"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A15079-4DF6-4B9E-BAFA-08970D3D4855}" name="survey_responses" displayName="survey_responses" ref="A1:Q404" tableType="queryTable" totalsRowShown="0">
  <autoFilter ref="A1:Q404" xr:uid="{09A15079-4DF6-4B9E-BAFA-08970D3D4855}"/>
  <tableColumns count="17">
    <tableColumn id="1" xr3:uid="{49BC4699-8DD6-4E9E-BC8F-8E0F7764D36D}" uniqueName="1" name="Timestamp" queryTableFieldId="1" dataDxfId="7"/>
    <tableColumn id="2" xr3:uid="{70DF3C2A-4006-456B-B8C3-F96B58C2A548}" uniqueName="2" name="Giới tính của bạn:" queryTableFieldId="2" dataDxfId="6"/>
    <tableColumn id="3" xr3:uid="{0D396F6A-7119-4DC5-929F-B9AA4716EA07}" uniqueName="3" name="Độ tuổi của bạn:" queryTableFieldId="3" dataDxfId="5"/>
    <tableColumn id="4" xr3:uid="{ED653D15-E907-45B2-87AB-56E1BDF8551E}" uniqueName="4" name="Khu vực bạn đang sinh sống:" queryTableFieldId="4" dataDxfId="4"/>
    <tableColumn id="5" xr3:uid="{FE3B4B68-6D22-4F02-9BCA-E0A8406F84CD}" uniqueName="5" name="Trình độ học vấn cao nhất:" queryTableFieldId="5" dataDxfId="3"/>
    <tableColumn id="6" xr3:uid="{226E0D0D-66B8-4BB7-9AB8-878A6AA53121}" uniqueName="6" name="Tình trạng việc làm chính:" queryTableFieldId="6" dataDxfId="2"/>
    <tableColumn id="7" xr3:uid="{4F05F01F-9707-4A40-B1C2-7F98802FF5B6}" uniqueName="7" name="Thu nhập bình quân tháng theo Hợp đồng lao động của bạn là bao nhiêu? (Vui lòng điền tổng thu nhập trước khi khấu trừ các loại Bảo hiểm (BHXH, BHYT, BHTN) và Thuế TNCN)" queryTableFieldId="7" dataDxfId="1"/>
    <tableColumn id="8" xr3:uid="{8122D652-5704-4626-BD56-0363FEA77FC6}" uniqueName="8" name="Số người phụ thuộc (con nhỏ, cha mẹ già...) đủ điều kiện giảm trừ gia cảnh:" queryTableFieldId="8" dataDxfId="0"/>
    <tableColumn id="9" xr3:uid="{82F99BEE-6733-4E22-973E-5A79D8BA419C}" uniqueName="9" name="Tôi tin rằng với các quy định quản lý thuế hiện nay, hành vi gian lận hoặc trốn thuế sẽ dễ dàng bị phát hiện và xử lý nghiêm. - HUMAN-ENF1" queryTableFieldId="9"/>
    <tableColumn id="10" xr3:uid="{CBC01827-5A2B-4CD5-AF3D-824684649587}" uniqueName="10" name="Tôi tin rằng Nhà nước, cơ quan thuế có đủ khả năng và công nghệ để phát hiện, xử lý nghiêm các hành vi trốn thuế. - HUMAN-ENF2" queryTableFieldId="10"/>
    <tableColumn id="11" xr3:uid="{8D391F88-C6B8-4999-B248-CC968F547211}" uniqueName="11" name="Các thủ tục khai báo thuế VÀ/HOẶC quy trình làm việc với cơ quan thuế đơn giản, tiện lợi, nhanh chóng hơn so với trước đây. - HUMAN-FAC1" queryTableFieldId="11"/>
    <tableColumn id="12" xr3:uid="{EC0B86F9-B7B3-4A61-A289-524B7ED8E8ED}" uniqueName="12" name="So với trước đây, tôi thấy cách tính thuế và các bậc thuế trong phương án mới đơn giản, dễ hiểu và dễ thực hiện hơn. - HUMAN-FAC2" queryTableFieldId="12"/>
    <tableColumn id="13" xr3:uid="{B06DCAF6-F123-4C41-B2A8-98140B89FF14}" uniqueName="13" name="Tôi tin rằng Nhà nước, cơ quan thuế sẽ thực thi chính sách mới một cách khách quan, công tâm và đối xử bình đẳng với mọi người nộp thuế.  - HUMAN-TRU1" queryTableFieldId="13"/>
    <tableColumn id="14" xr3:uid="{3F217AC2-836E-47DD-B754-307F1FFBB715}" uniqueName="14" name="Tôi thấy mức thuế tôi phải đóng theo phương án mới là công bằng (người thu nhập như tôi đóng mức này là hợp lý). - HUMAN-TRU2" queryTableFieldId="14"/>
    <tableColumn id="15" xr3:uid="{A91D1D07-CD80-4594-AB95-F9BC7DE8118F}" uniqueName="15" name="Tôi tin tưởng số tiền thuế tôi đóng sẽ được Nhà nước sử dụng hiệu quả để cải thiện dịch vụ công (y tế, đường xá...). - HUMAN-TRU3" queryTableFieldId="15"/>
    <tableColumn id="16" xr3:uid="{4B7DABDD-95AB-4F0C-9DE5-CAFF11E135EF}" uniqueName="16" name="Tôi thấy Nhà nước đã giải thích rõ ràng, minh bạch về lý do và mục tiêu của việc sửa đổi thuế lần này. - HUMAN-TRU4" queryTableFieldId="16"/>
    <tableColumn id="17" xr3:uid="{625FCBAF-A8E4-467D-802E-924E6F392BE8}" uniqueName="17" name="Sau khi xem xét các quyền lợi và nghĩa vụ, bạn có ủng hộ và tuân thủ chính sách mới hiện nay? - HUMAN-OUT1"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A3B3-C5DC-4E82-8CC1-48F4CED08087}">
  <dimension ref="A1:AS404"/>
  <sheetViews>
    <sheetView workbookViewId="0">
      <selection activeCell="F2" sqref="F2:AS404"/>
    </sheetView>
  </sheetViews>
  <sheetFormatPr defaultRowHeight="14.25" x14ac:dyDescent="0.45"/>
  <cols>
    <col min="1" max="1" width="12.1328125" bestFit="1" customWidth="1"/>
    <col min="2" max="2" width="12" bestFit="1" customWidth="1"/>
    <col min="3" max="3" width="8.9296875" bestFit="1" customWidth="1"/>
    <col min="4" max="4" width="12.06640625" bestFit="1" customWidth="1"/>
    <col min="5" max="5" width="0" hidden="1" customWidth="1"/>
    <col min="6" max="6" width="17.19921875" bestFit="1" customWidth="1"/>
    <col min="7" max="7" width="13.33203125" bestFit="1" customWidth="1"/>
    <col min="8" max="8" width="12.53125" bestFit="1" customWidth="1"/>
    <col min="9" max="9" width="12.86328125" bestFit="1" customWidth="1"/>
    <col min="10" max="10" width="9.6640625" bestFit="1" customWidth="1"/>
    <col min="11" max="11" width="13.796875" bestFit="1" customWidth="1"/>
    <col min="12" max="12" width="9" bestFit="1" customWidth="1"/>
    <col min="13" max="13" width="9.6640625" bestFit="1" customWidth="1"/>
    <col min="14" max="14" width="13.796875" bestFit="1" customWidth="1"/>
    <col min="15" max="15" width="9" bestFit="1" customWidth="1"/>
    <col min="16" max="16" width="9.6640625" bestFit="1" customWidth="1"/>
    <col min="17" max="17" width="13.796875" bestFit="1" customWidth="1"/>
    <col min="18" max="18" width="9" bestFit="1" customWidth="1"/>
    <col min="19" max="19" width="9.6640625" bestFit="1" customWidth="1"/>
    <col min="20" max="20" width="13.796875" bestFit="1" customWidth="1"/>
    <col min="21" max="21" width="9" bestFit="1" customWidth="1"/>
    <col min="22" max="22" width="9.86328125" bestFit="1" customWidth="1"/>
    <col min="23" max="23" width="14" bestFit="1" customWidth="1"/>
    <col min="24" max="24" width="9.19921875" bestFit="1" customWidth="1"/>
    <col min="25" max="25" width="9.86328125" bestFit="1" customWidth="1"/>
    <col min="26" max="26" width="14" bestFit="1" customWidth="1"/>
    <col min="27" max="27" width="9.19921875" bestFit="1" customWidth="1"/>
    <col min="28" max="28" width="9.86328125" bestFit="1" customWidth="1"/>
    <col min="29" max="29" width="14" bestFit="1" customWidth="1"/>
    <col min="30" max="30" width="9.19921875" bestFit="1" customWidth="1"/>
    <col min="31" max="31" width="9.86328125" bestFit="1" customWidth="1"/>
    <col min="32" max="32" width="14" bestFit="1" customWidth="1"/>
    <col min="33" max="33" width="9.19921875" bestFit="1" customWidth="1"/>
    <col min="34" max="34" width="10.1328125" bestFit="1" customWidth="1"/>
    <col min="35" max="35" width="14.265625" bestFit="1" customWidth="1"/>
    <col min="36" max="36" width="9.46484375" bestFit="1" customWidth="1"/>
    <col min="37" max="45" width="80.53125" bestFit="1" customWidth="1"/>
  </cols>
  <sheetData>
    <row r="1" spans="1:45" x14ac:dyDescent="0.45">
      <c r="A1" t="s">
        <v>37</v>
      </c>
      <c r="B1" t="s">
        <v>199</v>
      </c>
      <c r="C1" t="s">
        <v>38</v>
      </c>
      <c r="D1" t="s">
        <v>170</v>
      </c>
      <c r="E1" t="s">
        <v>40</v>
      </c>
      <c r="F1" t="s">
        <v>41</v>
      </c>
      <c r="G1" t="s">
        <v>42</v>
      </c>
      <c r="H1" t="s">
        <v>43</v>
      </c>
      <c r="I1" t="s">
        <v>44</v>
      </c>
      <c r="J1" t="s">
        <v>171</v>
      </c>
      <c r="K1" t="s">
        <v>46</v>
      </c>
      <c r="L1" t="s">
        <v>172</v>
      </c>
      <c r="M1" t="s">
        <v>173</v>
      </c>
      <c r="N1" t="s">
        <v>49</v>
      </c>
      <c r="O1" t="s">
        <v>174</v>
      </c>
      <c r="P1" t="s">
        <v>175</v>
      </c>
      <c r="Q1" t="s">
        <v>52</v>
      </c>
      <c r="R1" t="s">
        <v>176</v>
      </c>
      <c r="S1" t="s">
        <v>177</v>
      </c>
      <c r="T1" t="s">
        <v>55</v>
      </c>
      <c r="U1" t="s">
        <v>178</v>
      </c>
      <c r="V1" t="s">
        <v>179</v>
      </c>
      <c r="W1" t="s">
        <v>58</v>
      </c>
      <c r="X1" t="s">
        <v>180</v>
      </c>
      <c r="Y1" t="s">
        <v>181</v>
      </c>
      <c r="Z1" t="s">
        <v>61</v>
      </c>
      <c r="AA1" t="s">
        <v>182</v>
      </c>
      <c r="AB1" t="s">
        <v>183</v>
      </c>
      <c r="AC1" t="s">
        <v>64</v>
      </c>
      <c r="AD1" t="s">
        <v>184</v>
      </c>
      <c r="AE1" t="s">
        <v>185</v>
      </c>
      <c r="AF1" t="s">
        <v>67</v>
      </c>
      <c r="AG1" t="s">
        <v>186</v>
      </c>
      <c r="AH1" t="s">
        <v>187</v>
      </c>
      <c r="AI1" t="s">
        <v>70</v>
      </c>
      <c r="AJ1" t="s">
        <v>188</v>
      </c>
      <c r="AK1" t="s">
        <v>47</v>
      </c>
      <c r="AL1" t="s">
        <v>50</v>
      </c>
      <c r="AM1" t="s">
        <v>53</v>
      </c>
      <c r="AN1" t="s">
        <v>56</v>
      </c>
      <c r="AO1" t="s">
        <v>59</v>
      </c>
      <c r="AP1" t="s">
        <v>62</v>
      </c>
      <c r="AQ1" t="s">
        <v>65</v>
      </c>
      <c r="AR1" t="s">
        <v>68</v>
      </c>
      <c r="AS1" t="s">
        <v>71</v>
      </c>
    </row>
    <row r="2" spans="1:45" x14ac:dyDescent="0.45">
      <c r="A2">
        <v>1</v>
      </c>
      <c r="B2">
        <v>2026</v>
      </c>
      <c r="C2" t="s">
        <v>72</v>
      </c>
      <c r="D2" t="s">
        <v>81</v>
      </c>
      <c r="E2" t="s">
        <v>74</v>
      </c>
      <c r="F2" t="s">
        <v>77</v>
      </c>
      <c r="G2" t="s">
        <v>76</v>
      </c>
      <c r="H2">
        <v>12.894674068377181</v>
      </c>
      <c r="I2">
        <v>1</v>
      </c>
      <c r="J2">
        <v>6</v>
      </c>
      <c r="K2">
        <v>10</v>
      </c>
      <c r="L2">
        <v>-4</v>
      </c>
      <c r="M2">
        <v>8</v>
      </c>
      <c r="N2">
        <v>8</v>
      </c>
      <c r="O2">
        <v>0</v>
      </c>
      <c r="P2">
        <v>7</v>
      </c>
      <c r="Q2">
        <v>5</v>
      </c>
      <c r="R2">
        <v>2</v>
      </c>
      <c r="S2">
        <v>9</v>
      </c>
      <c r="T2">
        <v>5</v>
      </c>
      <c r="U2">
        <v>4</v>
      </c>
      <c r="V2">
        <v>5</v>
      </c>
      <c r="W2">
        <v>10</v>
      </c>
      <c r="X2">
        <v>-5</v>
      </c>
      <c r="Y2">
        <v>8</v>
      </c>
      <c r="Z2">
        <v>10</v>
      </c>
      <c r="AA2">
        <v>-2</v>
      </c>
      <c r="AB2">
        <v>7</v>
      </c>
      <c r="AC2">
        <v>10</v>
      </c>
      <c r="AD2">
        <v>-3</v>
      </c>
      <c r="AE2">
        <v>6</v>
      </c>
      <c r="AF2">
        <v>10</v>
      </c>
      <c r="AG2">
        <v>-4</v>
      </c>
      <c r="AH2">
        <v>8</v>
      </c>
      <c r="AI2">
        <v>10</v>
      </c>
      <c r="AJ2">
        <v>-2</v>
      </c>
      <c r="AK2" t="s">
        <v>266</v>
      </c>
      <c r="AL2" t="s">
        <v>267</v>
      </c>
      <c r="AM2" t="s">
        <v>268</v>
      </c>
      <c r="AN2" t="s">
        <v>269</v>
      </c>
      <c r="AO2" t="s">
        <v>270</v>
      </c>
      <c r="AP2" t="s">
        <v>271</v>
      </c>
      <c r="AQ2" t="s">
        <v>272</v>
      </c>
      <c r="AR2" t="s">
        <v>273</v>
      </c>
      <c r="AS2" t="s">
        <v>274</v>
      </c>
    </row>
    <row r="3" spans="1:45" x14ac:dyDescent="0.45">
      <c r="A3">
        <v>2</v>
      </c>
      <c r="B3">
        <v>2027</v>
      </c>
      <c r="C3" t="s">
        <v>72</v>
      </c>
      <c r="D3" t="s">
        <v>81</v>
      </c>
      <c r="E3" t="s">
        <v>74</v>
      </c>
      <c r="F3" t="s">
        <v>77</v>
      </c>
      <c r="G3" t="s">
        <v>76</v>
      </c>
      <c r="H3">
        <v>12.040027302028836</v>
      </c>
      <c r="I3">
        <v>0</v>
      </c>
      <c r="J3">
        <v>7</v>
      </c>
      <c r="K3">
        <v>8</v>
      </c>
      <c r="L3">
        <v>-1</v>
      </c>
      <c r="M3">
        <v>8</v>
      </c>
      <c r="N3">
        <v>8</v>
      </c>
      <c r="O3">
        <v>0</v>
      </c>
      <c r="P3">
        <v>9</v>
      </c>
      <c r="Q3">
        <v>6</v>
      </c>
      <c r="R3">
        <v>3</v>
      </c>
      <c r="S3">
        <v>8</v>
      </c>
      <c r="T3">
        <v>9</v>
      </c>
      <c r="U3">
        <v>-1</v>
      </c>
      <c r="V3">
        <v>7</v>
      </c>
      <c r="W3">
        <v>10</v>
      </c>
      <c r="X3">
        <v>-3</v>
      </c>
      <c r="Y3">
        <v>8</v>
      </c>
      <c r="Z3">
        <v>9</v>
      </c>
      <c r="AA3">
        <v>-1</v>
      </c>
      <c r="AB3">
        <v>7</v>
      </c>
      <c r="AC3">
        <v>8</v>
      </c>
      <c r="AD3">
        <v>-1</v>
      </c>
      <c r="AE3">
        <v>8</v>
      </c>
      <c r="AF3">
        <v>9</v>
      </c>
      <c r="AG3">
        <v>-1</v>
      </c>
      <c r="AH3">
        <v>9</v>
      </c>
      <c r="AI3">
        <v>10</v>
      </c>
      <c r="AJ3">
        <v>-1</v>
      </c>
      <c r="AK3" t="s">
        <v>275</v>
      </c>
      <c r="AL3" t="s">
        <v>276</v>
      </c>
      <c r="AM3" t="s">
        <v>277</v>
      </c>
      <c r="AN3" t="s">
        <v>278</v>
      </c>
      <c r="AO3" t="s">
        <v>279</v>
      </c>
      <c r="AP3" t="s">
        <v>280</v>
      </c>
      <c r="AQ3" t="s">
        <v>281</v>
      </c>
      <c r="AR3" t="s">
        <v>282</v>
      </c>
      <c r="AS3" t="s">
        <v>283</v>
      </c>
    </row>
    <row r="4" spans="1:45" x14ac:dyDescent="0.45">
      <c r="A4">
        <v>3</v>
      </c>
      <c r="B4">
        <v>2028</v>
      </c>
      <c r="C4" t="s">
        <v>78</v>
      </c>
      <c r="D4" t="s">
        <v>79</v>
      </c>
      <c r="E4" t="s">
        <v>74</v>
      </c>
      <c r="F4" t="s">
        <v>75</v>
      </c>
      <c r="G4" t="s">
        <v>76</v>
      </c>
      <c r="H4">
        <v>56.121798619831388</v>
      </c>
      <c r="I4">
        <v>3</v>
      </c>
      <c r="J4">
        <v>7</v>
      </c>
      <c r="K4">
        <v>6</v>
      </c>
      <c r="L4">
        <v>1</v>
      </c>
      <c r="M4">
        <v>6</v>
      </c>
      <c r="N4">
        <v>5</v>
      </c>
      <c r="O4">
        <v>1</v>
      </c>
      <c r="P4">
        <v>7</v>
      </c>
      <c r="Q4">
        <v>4</v>
      </c>
      <c r="R4">
        <v>3</v>
      </c>
      <c r="S4">
        <v>8</v>
      </c>
      <c r="T4">
        <v>5</v>
      </c>
      <c r="U4">
        <v>3</v>
      </c>
      <c r="V4">
        <v>6</v>
      </c>
      <c r="W4">
        <v>4</v>
      </c>
      <c r="X4">
        <v>2</v>
      </c>
      <c r="Y4">
        <v>9</v>
      </c>
      <c r="Z4">
        <v>4</v>
      </c>
      <c r="AA4">
        <v>5</v>
      </c>
      <c r="AB4">
        <v>7</v>
      </c>
      <c r="AC4">
        <v>4</v>
      </c>
      <c r="AD4">
        <v>3</v>
      </c>
      <c r="AE4">
        <v>8</v>
      </c>
      <c r="AF4">
        <v>10</v>
      </c>
      <c r="AG4">
        <v>-2</v>
      </c>
      <c r="AH4">
        <v>9</v>
      </c>
      <c r="AI4">
        <v>4</v>
      </c>
      <c r="AJ4">
        <v>5</v>
      </c>
      <c r="AK4" t="s">
        <v>284</v>
      </c>
      <c r="AL4" t="s">
        <v>285</v>
      </c>
      <c r="AM4" t="s">
        <v>286</v>
      </c>
      <c r="AN4" t="s">
        <v>287</v>
      </c>
      <c r="AO4" t="s">
        <v>288</v>
      </c>
      <c r="AP4" t="s">
        <v>289</v>
      </c>
      <c r="AQ4" t="s">
        <v>290</v>
      </c>
      <c r="AR4" t="s">
        <v>291</v>
      </c>
      <c r="AS4" t="s">
        <v>292</v>
      </c>
    </row>
    <row r="5" spans="1:45" x14ac:dyDescent="0.45">
      <c r="A5">
        <v>4</v>
      </c>
      <c r="B5">
        <v>2029</v>
      </c>
      <c r="C5" t="s">
        <v>72</v>
      </c>
      <c r="D5" t="s">
        <v>189</v>
      </c>
      <c r="E5" t="s">
        <v>74</v>
      </c>
      <c r="F5" t="s">
        <v>77</v>
      </c>
      <c r="G5" t="s">
        <v>76</v>
      </c>
      <c r="H5">
        <v>12</v>
      </c>
      <c r="I5">
        <v>0</v>
      </c>
      <c r="J5">
        <v>7</v>
      </c>
      <c r="K5">
        <v>10</v>
      </c>
      <c r="L5">
        <v>-3</v>
      </c>
      <c r="M5">
        <v>6</v>
      </c>
      <c r="N5">
        <v>10</v>
      </c>
      <c r="O5">
        <v>-4</v>
      </c>
      <c r="P5">
        <v>8</v>
      </c>
      <c r="Q5">
        <v>8</v>
      </c>
      <c r="R5">
        <v>0</v>
      </c>
      <c r="S5">
        <v>9</v>
      </c>
      <c r="T5">
        <v>9</v>
      </c>
      <c r="U5">
        <v>0</v>
      </c>
      <c r="V5">
        <v>8</v>
      </c>
      <c r="W5">
        <v>9</v>
      </c>
      <c r="X5">
        <v>-1</v>
      </c>
      <c r="Y5">
        <v>9</v>
      </c>
      <c r="Z5">
        <v>7</v>
      </c>
      <c r="AA5">
        <v>2</v>
      </c>
      <c r="AB5">
        <v>8</v>
      </c>
      <c r="AC5">
        <v>10</v>
      </c>
      <c r="AD5">
        <v>-2</v>
      </c>
      <c r="AE5">
        <v>9</v>
      </c>
      <c r="AF5">
        <v>7</v>
      </c>
      <c r="AG5">
        <v>2</v>
      </c>
      <c r="AH5">
        <v>10</v>
      </c>
      <c r="AI5">
        <v>10</v>
      </c>
      <c r="AJ5">
        <v>0</v>
      </c>
      <c r="AK5" t="s">
        <v>293</v>
      </c>
      <c r="AL5" t="s">
        <v>294</v>
      </c>
      <c r="AM5" t="s">
        <v>295</v>
      </c>
      <c r="AN5" t="s">
        <v>296</v>
      </c>
      <c r="AO5" t="s">
        <v>297</v>
      </c>
      <c r="AP5" t="s">
        <v>298</v>
      </c>
      <c r="AQ5" t="s">
        <v>299</v>
      </c>
      <c r="AR5" t="s">
        <v>300</v>
      </c>
      <c r="AS5" t="s">
        <v>301</v>
      </c>
    </row>
    <row r="6" spans="1:45" x14ac:dyDescent="0.45">
      <c r="A6">
        <v>5</v>
      </c>
      <c r="B6">
        <v>2030</v>
      </c>
      <c r="C6" t="s">
        <v>72</v>
      </c>
      <c r="D6" t="s">
        <v>81</v>
      </c>
      <c r="E6" t="s">
        <v>74</v>
      </c>
      <c r="F6" t="s">
        <v>77</v>
      </c>
      <c r="G6" t="s">
        <v>76</v>
      </c>
      <c r="H6">
        <v>12</v>
      </c>
      <c r="I6">
        <v>0</v>
      </c>
      <c r="J6">
        <v>7</v>
      </c>
      <c r="K6">
        <v>9</v>
      </c>
      <c r="L6">
        <v>-2</v>
      </c>
      <c r="M6">
        <v>8</v>
      </c>
      <c r="N6">
        <v>9</v>
      </c>
      <c r="O6">
        <v>-1</v>
      </c>
      <c r="P6">
        <v>6</v>
      </c>
      <c r="Q6">
        <v>10</v>
      </c>
      <c r="R6">
        <v>-4</v>
      </c>
      <c r="S6">
        <v>9</v>
      </c>
      <c r="T6">
        <v>9</v>
      </c>
      <c r="U6">
        <v>0</v>
      </c>
      <c r="V6">
        <v>8</v>
      </c>
      <c r="W6">
        <v>9</v>
      </c>
      <c r="X6">
        <v>-1</v>
      </c>
      <c r="Y6">
        <v>9</v>
      </c>
      <c r="Z6">
        <v>9</v>
      </c>
      <c r="AA6">
        <v>0</v>
      </c>
      <c r="AB6">
        <v>8</v>
      </c>
      <c r="AC6">
        <v>9</v>
      </c>
      <c r="AD6">
        <v>-1</v>
      </c>
      <c r="AE6">
        <v>7</v>
      </c>
      <c r="AF6">
        <v>9</v>
      </c>
      <c r="AG6">
        <v>-2</v>
      </c>
      <c r="AH6">
        <v>9</v>
      </c>
      <c r="AI6">
        <v>9</v>
      </c>
      <c r="AJ6">
        <v>0</v>
      </c>
      <c r="AK6" t="s">
        <v>302</v>
      </c>
      <c r="AL6" t="s">
        <v>303</v>
      </c>
      <c r="AM6" t="s">
        <v>304</v>
      </c>
      <c r="AN6" t="s">
        <v>305</v>
      </c>
      <c r="AO6" t="s">
        <v>306</v>
      </c>
      <c r="AP6" t="s">
        <v>307</v>
      </c>
      <c r="AQ6" t="s">
        <v>308</v>
      </c>
      <c r="AR6" t="s">
        <v>309</v>
      </c>
      <c r="AS6" t="s">
        <v>310</v>
      </c>
    </row>
    <row r="7" spans="1:45" x14ac:dyDescent="0.45">
      <c r="A7">
        <v>6</v>
      </c>
      <c r="B7">
        <v>2031</v>
      </c>
      <c r="C7" t="s">
        <v>72</v>
      </c>
      <c r="D7" t="s">
        <v>73</v>
      </c>
      <c r="E7" t="s">
        <v>74</v>
      </c>
      <c r="F7" t="s">
        <v>75</v>
      </c>
      <c r="G7" t="s">
        <v>76</v>
      </c>
      <c r="H7">
        <v>81.953873229830037</v>
      </c>
      <c r="I7">
        <v>4</v>
      </c>
      <c r="J7">
        <v>7</v>
      </c>
      <c r="K7">
        <v>8</v>
      </c>
      <c r="L7">
        <v>-1</v>
      </c>
      <c r="M7">
        <v>7</v>
      </c>
      <c r="N7">
        <v>8</v>
      </c>
      <c r="O7">
        <v>-1</v>
      </c>
      <c r="P7">
        <v>9</v>
      </c>
      <c r="Q7">
        <v>5</v>
      </c>
      <c r="R7">
        <v>4</v>
      </c>
      <c r="S7">
        <v>9</v>
      </c>
      <c r="T7">
        <v>8</v>
      </c>
      <c r="U7">
        <v>1</v>
      </c>
      <c r="V7">
        <v>6</v>
      </c>
      <c r="W7">
        <v>6</v>
      </c>
      <c r="X7">
        <v>0</v>
      </c>
      <c r="Y7">
        <v>7</v>
      </c>
      <c r="Z7">
        <v>6</v>
      </c>
      <c r="AA7">
        <v>1</v>
      </c>
      <c r="AB7">
        <v>6</v>
      </c>
      <c r="AC7">
        <v>4</v>
      </c>
      <c r="AD7">
        <v>2</v>
      </c>
      <c r="AE7">
        <v>7</v>
      </c>
      <c r="AF7">
        <v>5</v>
      </c>
      <c r="AG7">
        <v>2</v>
      </c>
      <c r="AH7">
        <v>9</v>
      </c>
      <c r="AI7">
        <v>6</v>
      </c>
      <c r="AJ7">
        <v>3</v>
      </c>
      <c r="AK7" t="s">
        <v>311</v>
      </c>
      <c r="AL7" t="s">
        <v>312</v>
      </c>
      <c r="AM7" t="s">
        <v>313</v>
      </c>
      <c r="AN7" t="s">
        <v>314</v>
      </c>
      <c r="AO7" t="s">
        <v>315</v>
      </c>
      <c r="AP7" t="s">
        <v>316</v>
      </c>
      <c r="AQ7" t="s">
        <v>317</v>
      </c>
      <c r="AR7" t="s">
        <v>318</v>
      </c>
      <c r="AS7" t="s">
        <v>319</v>
      </c>
    </row>
    <row r="8" spans="1:45" x14ac:dyDescent="0.45">
      <c r="A8">
        <v>7</v>
      </c>
      <c r="B8">
        <v>2032</v>
      </c>
      <c r="C8" t="s">
        <v>72</v>
      </c>
      <c r="D8" t="s">
        <v>73</v>
      </c>
      <c r="E8" t="s">
        <v>74</v>
      </c>
      <c r="F8" t="s">
        <v>77</v>
      </c>
      <c r="G8" t="s">
        <v>76</v>
      </c>
      <c r="H8">
        <v>20.066939675603614</v>
      </c>
      <c r="I8">
        <v>2</v>
      </c>
      <c r="J8">
        <v>7</v>
      </c>
      <c r="K8">
        <v>5</v>
      </c>
      <c r="L8">
        <v>2</v>
      </c>
      <c r="M8">
        <v>6</v>
      </c>
      <c r="N8">
        <v>4</v>
      </c>
      <c r="O8">
        <v>2</v>
      </c>
      <c r="P8">
        <v>9</v>
      </c>
      <c r="Q8">
        <v>4</v>
      </c>
      <c r="R8">
        <v>5</v>
      </c>
      <c r="S8">
        <v>8</v>
      </c>
      <c r="T8">
        <v>6</v>
      </c>
      <c r="U8">
        <v>2</v>
      </c>
      <c r="V8">
        <v>9</v>
      </c>
      <c r="W8">
        <v>6</v>
      </c>
      <c r="X8">
        <v>3</v>
      </c>
      <c r="Y8">
        <v>8</v>
      </c>
      <c r="Z8">
        <v>7</v>
      </c>
      <c r="AA8">
        <v>1</v>
      </c>
      <c r="AB8">
        <v>9</v>
      </c>
      <c r="AC8">
        <v>2</v>
      </c>
      <c r="AD8">
        <v>7</v>
      </c>
      <c r="AE8">
        <v>7</v>
      </c>
      <c r="AF8">
        <v>4</v>
      </c>
      <c r="AG8">
        <v>3</v>
      </c>
      <c r="AH8">
        <v>9</v>
      </c>
      <c r="AI8">
        <v>4</v>
      </c>
      <c r="AJ8">
        <v>5</v>
      </c>
      <c r="AK8" t="s">
        <v>320</v>
      </c>
      <c r="AL8" t="s">
        <v>321</v>
      </c>
      <c r="AM8" t="s">
        <v>322</v>
      </c>
      <c r="AN8" t="s">
        <v>323</v>
      </c>
      <c r="AO8" t="s">
        <v>324</v>
      </c>
      <c r="AP8" t="s">
        <v>325</v>
      </c>
      <c r="AQ8" t="s">
        <v>326</v>
      </c>
      <c r="AR8" t="s">
        <v>327</v>
      </c>
      <c r="AS8" t="s">
        <v>328</v>
      </c>
    </row>
    <row r="9" spans="1:45" x14ac:dyDescent="0.45">
      <c r="A9">
        <v>8</v>
      </c>
      <c r="B9">
        <v>2033</v>
      </c>
      <c r="C9" t="s">
        <v>78</v>
      </c>
      <c r="D9" t="s">
        <v>79</v>
      </c>
      <c r="E9" t="s">
        <v>74</v>
      </c>
      <c r="F9" t="s">
        <v>75</v>
      </c>
      <c r="G9" t="s">
        <v>76</v>
      </c>
      <c r="H9">
        <v>12</v>
      </c>
      <c r="I9">
        <v>2</v>
      </c>
      <c r="J9">
        <v>7</v>
      </c>
      <c r="K9">
        <v>1</v>
      </c>
      <c r="L9">
        <v>6</v>
      </c>
      <c r="M9">
        <v>8</v>
      </c>
      <c r="N9">
        <v>1</v>
      </c>
      <c r="O9">
        <v>7</v>
      </c>
      <c r="P9">
        <v>9</v>
      </c>
      <c r="Q9">
        <v>2</v>
      </c>
      <c r="R9">
        <v>7</v>
      </c>
      <c r="S9">
        <v>8</v>
      </c>
      <c r="T9">
        <v>3</v>
      </c>
      <c r="U9">
        <v>5</v>
      </c>
      <c r="V9">
        <v>9</v>
      </c>
      <c r="W9">
        <v>6</v>
      </c>
      <c r="X9">
        <v>3</v>
      </c>
      <c r="Y9">
        <v>8</v>
      </c>
      <c r="Z9">
        <v>2</v>
      </c>
      <c r="AA9">
        <v>6</v>
      </c>
      <c r="AB9">
        <v>9</v>
      </c>
      <c r="AC9">
        <v>7</v>
      </c>
      <c r="AD9">
        <v>2</v>
      </c>
      <c r="AE9">
        <v>8</v>
      </c>
      <c r="AF9">
        <v>3</v>
      </c>
      <c r="AG9">
        <v>5</v>
      </c>
      <c r="AH9">
        <v>9</v>
      </c>
      <c r="AI9">
        <v>3</v>
      </c>
      <c r="AJ9">
        <v>6</v>
      </c>
      <c r="AK9" t="s">
        <v>329</v>
      </c>
      <c r="AL9" t="s">
        <v>330</v>
      </c>
      <c r="AM9" t="s">
        <v>331</v>
      </c>
      <c r="AN9" t="s">
        <v>332</v>
      </c>
      <c r="AO9" t="s">
        <v>333</v>
      </c>
      <c r="AP9" t="s">
        <v>334</v>
      </c>
      <c r="AQ9" t="s">
        <v>335</v>
      </c>
      <c r="AR9" t="s">
        <v>336</v>
      </c>
      <c r="AS9" t="s">
        <v>337</v>
      </c>
    </row>
    <row r="10" spans="1:45" x14ac:dyDescent="0.45">
      <c r="A10">
        <v>9</v>
      </c>
      <c r="B10">
        <v>2034</v>
      </c>
      <c r="C10" t="s">
        <v>72</v>
      </c>
      <c r="D10" t="s">
        <v>81</v>
      </c>
      <c r="E10" t="s">
        <v>80</v>
      </c>
      <c r="F10" t="s">
        <v>77</v>
      </c>
      <c r="G10" t="s">
        <v>162</v>
      </c>
      <c r="H10">
        <v>12.269456437626699</v>
      </c>
      <c r="I10">
        <v>1</v>
      </c>
      <c r="J10">
        <v>6</v>
      </c>
      <c r="K10">
        <v>10</v>
      </c>
      <c r="L10">
        <v>-4</v>
      </c>
      <c r="M10">
        <v>7</v>
      </c>
      <c r="N10">
        <v>10</v>
      </c>
      <c r="O10">
        <v>-3</v>
      </c>
      <c r="P10">
        <v>5</v>
      </c>
      <c r="Q10">
        <v>8</v>
      </c>
      <c r="R10">
        <v>-3</v>
      </c>
      <c r="S10">
        <v>8</v>
      </c>
      <c r="T10">
        <v>7</v>
      </c>
      <c r="U10">
        <v>1</v>
      </c>
      <c r="V10">
        <v>7</v>
      </c>
      <c r="W10">
        <v>7</v>
      </c>
      <c r="X10">
        <v>0</v>
      </c>
      <c r="Y10">
        <v>9</v>
      </c>
      <c r="Z10">
        <v>5</v>
      </c>
      <c r="AA10">
        <v>4</v>
      </c>
      <c r="AB10">
        <v>6</v>
      </c>
      <c r="AC10">
        <v>5</v>
      </c>
      <c r="AD10">
        <v>1</v>
      </c>
      <c r="AE10">
        <v>7</v>
      </c>
      <c r="AF10">
        <v>9</v>
      </c>
      <c r="AG10">
        <v>-2</v>
      </c>
      <c r="AH10">
        <v>8</v>
      </c>
      <c r="AI10">
        <v>8</v>
      </c>
      <c r="AJ10">
        <v>0</v>
      </c>
      <c r="AK10" t="s">
        <v>338</v>
      </c>
      <c r="AL10" t="s">
        <v>339</v>
      </c>
      <c r="AM10" t="s">
        <v>340</v>
      </c>
      <c r="AN10" t="s">
        <v>341</v>
      </c>
      <c r="AO10" t="s">
        <v>342</v>
      </c>
      <c r="AP10" t="s">
        <v>343</v>
      </c>
      <c r="AQ10" t="s">
        <v>344</v>
      </c>
      <c r="AR10" t="s">
        <v>345</v>
      </c>
      <c r="AS10" t="s">
        <v>346</v>
      </c>
    </row>
    <row r="11" spans="1:45" x14ac:dyDescent="0.45">
      <c r="A11">
        <v>10</v>
      </c>
      <c r="B11">
        <v>2035</v>
      </c>
      <c r="C11" t="s">
        <v>72</v>
      </c>
      <c r="D11" t="s">
        <v>81</v>
      </c>
      <c r="E11" t="s">
        <v>74</v>
      </c>
      <c r="F11" t="s">
        <v>77</v>
      </c>
      <c r="G11" t="s">
        <v>76</v>
      </c>
      <c r="H11">
        <v>18.680398603252097</v>
      </c>
      <c r="I11">
        <v>0</v>
      </c>
      <c r="J11">
        <v>8</v>
      </c>
      <c r="K11">
        <v>7</v>
      </c>
      <c r="L11">
        <v>1</v>
      </c>
      <c r="M11">
        <v>9</v>
      </c>
      <c r="N11">
        <v>10</v>
      </c>
      <c r="O11">
        <v>-1</v>
      </c>
      <c r="P11">
        <v>7</v>
      </c>
      <c r="Q11">
        <v>1</v>
      </c>
      <c r="R11">
        <v>6</v>
      </c>
      <c r="S11">
        <v>9</v>
      </c>
      <c r="T11">
        <v>5</v>
      </c>
      <c r="U11">
        <v>4</v>
      </c>
      <c r="V11">
        <v>7</v>
      </c>
      <c r="W11">
        <v>8</v>
      </c>
      <c r="X11">
        <v>-1</v>
      </c>
      <c r="Y11">
        <v>8</v>
      </c>
      <c r="Z11">
        <v>5</v>
      </c>
      <c r="AA11">
        <v>3</v>
      </c>
      <c r="AB11">
        <v>7</v>
      </c>
      <c r="AC11">
        <v>5</v>
      </c>
      <c r="AD11">
        <v>2</v>
      </c>
      <c r="AE11">
        <v>8</v>
      </c>
      <c r="AF11">
        <v>5</v>
      </c>
      <c r="AG11">
        <v>3</v>
      </c>
      <c r="AH11">
        <v>8</v>
      </c>
      <c r="AI11">
        <v>10</v>
      </c>
      <c r="AJ11">
        <v>-2</v>
      </c>
      <c r="AK11" t="s">
        <v>347</v>
      </c>
      <c r="AL11" t="s">
        <v>348</v>
      </c>
      <c r="AM11" t="s">
        <v>349</v>
      </c>
      <c r="AN11" t="s">
        <v>350</v>
      </c>
      <c r="AO11" t="s">
        <v>351</v>
      </c>
      <c r="AP11" t="s">
        <v>352</v>
      </c>
      <c r="AQ11" t="s">
        <v>353</v>
      </c>
      <c r="AR11" t="s">
        <v>354</v>
      </c>
      <c r="AS11" t="s">
        <v>355</v>
      </c>
    </row>
    <row r="12" spans="1:45" x14ac:dyDescent="0.45">
      <c r="A12">
        <v>11</v>
      </c>
      <c r="B12">
        <v>2036</v>
      </c>
      <c r="C12" t="s">
        <v>78</v>
      </c>
      <c r="D12" t="s">
        <v>73</v>
      </c>
      <c r="E12" t="s">
        <v>74</v>
      </c>
      <c r="F12" t="s">
        <v>75</v>
      </c>
      <c r="G12" t="s">
        <v>162</v>
      </c>
      <c r="H12">
        <v>46.600349502335838</v>
      </c>
      <c r="I12">
        <v>4</v>
      </c>
      <c r="J12">
        <v>6</v>
      </c>
      <c r="K12">
        <v>10</v>
      </c>
      <c r="L12">
        <v>-4</v>
      </c>
      <c r="M12">
        <v>5</v>
      </c>
      <c r="N12">
        <v>3</v>
      </c>
      <c r="O12">
        <v>2</v>
      </c>
      <c r="P12">
        <v>6</v>
      </c>
      <c r="Q12">
        <v>1</v>
      </c>
      <c r="R12">
        <v>5</v>
      </c>
      <c r="S12">
        <v>8</v>
      </c>
      <c r="T12">
        <v>7</v>
      </c>
      <c r="U12">
        <v>1</v>
      </c>
      <c r="V12">
        <v>7</v>
      </c>
      <c r="W12">
        <v>1</v>
      </c>
      <c r="X12">
        <v>6</v>
      </c>
      <c r="Y12">
        <v>8</v>
      </c>
      <c r="Z12">
        <v>5</v>
      </c>
      <c r="AA12">
        <v>3</v>
      </c>
      <c r="AB12">
        <v>7</v>
      </c>
      <c r="AC12">
        <v>1</v>
      </c>
      <c r="AD12">
        <v>6</v>
      </c>
      <c r="AE12">
        <v>6</v>
      </c>
      <c r="AF12">
        <v>8</v>
      </c>
      <c r="AG12">
        <v>-2</v>
      </c>
      <c r="AH12">
        <v>9</v>
      </c>
      <c r="AI12">
        <v>6</v>
      </c>
      <c r="AJ12">
        <v>3</v>
      </c>
      <c r="AK12" t="s">
        <v>356</v>
      </c>
      <c r="AL12" t="s">
        <v>357</v>
      </c>
      <c r="AM12" t="s">
        <v>358</v>
      </c>
      <c r="AN12" t="s">
        <v>359</v>
      </c>
      <c r="AO12" t="s">
        <v>360</v>
      </c>
      <c r="AP12" t="s">
        <v>361</v>
      </c>
      <c r="AQ12" t="s">
        <v>362</v>
      </c>
      <c r="AR12" t="s">
        <v>363</v>
      </c>
      <c r="AS12" t="s">
        <v>364</v>
      </c>
    </row>
    <row r="13" spans="1:45" x14ac:dyDescent="0.45">
      <c r="A13">
        <v>12</v>
      </c>
      <c r="B13">
        <v>2037</v>
      </c>
      <c r="C13" t="s">
        <v>72</v>
      </c>
      <c r="D13" t="s">
        <v>189</v>
      </c>
      <c r="E13" t="s">
        <v>74</v>
      </c>
      <c r="F13" t="s">
        <v>77</v>
      </c>
      <c r="G13" t="s">
        <v>76</v>
      </c>
      <c r="H13">
        <v>12</v>
      </c>
      <c r="I13">
        <v>0</v>
      </c>
      <c r="J13">
        <v>9</v>
      </c>
      <c r="K13">
        <v>5</v>
      </c>
      <c r="L13">
        <v>4</v>
      </c>
      <c r="M13">
        <v>8</v>
      </c>
      <c r="N13">
        <v>8</v>
      </c>
      <c r="O13">
        <v>0</v>
      </c>
      <c r="P13">
        <v>9</v>
      </c>
      <c r="Q13">
        <v>5</v>
      </c>
      <c r="R13">
        <v>4</v>
      </c>
      <c r="S13">
        <v>8</v>
      </c>
      <c r="T13">
        <v>5</v>
      </c>
      <c r="U13">
        <v>3</v>
      </c>
      <c r="V13">
        <v>9</v>
      </c>
      <c r="W13">
        <v>6</v>
      </c>
      <c r="X13">
        <v>3</v>
      </c>
      <c r="Y13">
        <v>8</v>
      </c>
      <c r="Z13">
        <v>5</v>
      </c>
      <c r="AA13">
        <v>3</v>
      </c>
      <c r="AB13">
        <v>9</v>
      </c>
      <c r="AC13">
        <v>5</v>
      </c>
      <c r="AD13">
        <v>4</v>
      </c>
      <c r="AE13">
        <v>8</v>
      </c>
      <c r="AF13">
        <v>5</v>
      </c>
      <c r="AG13">
        <v>3</v>
      </c>
      <c r="AH13">
        <v>9</v>
      </c>
      <c r="AI13">
        <v>5</v>
      </c>
      <c r="AJ13">
        <v>4</v>
      </c>
      <c r="AK13" t="s">
        <v>365</v>
      </c>
      <c r="AL13" t="s">
        <v>366</v>
      </c>
      <c r="AM13" t="s">
        <v>367</v>
      </c>
      <c r="AN13" t="s">
        <v>368</v>
      </c>
      <c r="AO13" t="s">
        <v>369</v>
      </c>
      <c r="AP13" t="s">
        <v>370</v>
      </c>
      <c r="AQ13" t="s">
        <v>371</v>
      </c>
      <c r="AR13" t="s">
        <v>372</v>
      </c>
      <c r="AS13" t="s">
        <v>373</v>
      </c>
    </row>
    <row r="14" spans="1:45" x14ac:dyDescent="0.45">
      <c r="A14">
        <v>13</v>
      </c>
      <c r="B14">
        <v>2038</v>
      </c>
      <c r="C14" t="s">
        <v>72</v>
      </c>
      <c r="D14" t="s">
        <v>189</v>
      </c>
      <c r="E14" t="s">
        <v>74</v>
      </c>
      <c r="F14" t="s">
        <v>77</v>
      </c>
      <c r="G14" t="s">
        <v>76</v>
      </c>
      <c r="H14">
        <v>12</v>
      </c>
      <c r="I14">
        <v>0</v>
      </c>
      <c r="J14">
        <v>7</v>
      </c>
      <c r="K14">
        <v>8</v>
      </c>
      <c r="L14">
        <v>-1</v>
      </c>
      <c r="M14">
        <v>8</v>
      </c>
      <c r="N14">
        <v>7</v>
      </c>
      <c r="O14">
        <v>1</v>
      </c>
      <c r="P14">
        <v>9</v>
      </c>
      <c r="Q14">
        <v>7</v>
      </c>
      <c r="R14">
        <v>2</v>
      </c>
      <c r="S14">
        <v>10</v>
      </c>
      <c r="T14">
        <v>7</v>
      </c>
      <c r="U14">
        <v>3</v>
      </c>
      <c r="V14">
        <v>9</v>
      </c>
      <c r="W14">
        <v>7</v>
      </c>
      <c r="X14">
        <v>2</v>
      </c>
      <c r="Y14">
        <v>8</v>
      </c>
      <c r="Z14">
        <v>8</v>
      </c>
      <c r="AA14">
        <v>0</v>
      </c>
      <c r="AB14">
        <v>7</v>
      </c>
      <c r="AC14">
        <v>7</v>
      </c>
      <c r="AD14">
        <v>0</v>
      </c>
      <c r="AE14">
        <v>6</v>
      </c>
      <c r="AF14">
        <v>7</v>
      </c>
      <c r="AG14">
        <v>-1</v>
      </c>
      <c r="AH14">
        <v>9</v>
      </c>
      <c r="AI14">
        <v>7</v>
      </c>
      <c r="AJ14">
        <v>2</v>
      </c>
      <c r="AK14" t="s">
        <v>374</v>
      </c>
      <c r="AL14" t="s">
        <v>375</v>
      </c>
      <c r="AM14" t="s">
        <v>376</v>
      </c>
      <c r="AN14" t="s">
        <v>377</v>
      </c>
      <c r="AO14" t="s">
        <v>378</v>
      </c>
      <c r="AP14" t="s">
        <v>379</v>
      </c>
      <c r="AQ14" t="s">
        <v>380</v>
      </c>
      <c r="AR14" t="s">
        <v>381</v>
      </c>
      <c r="AS14" t="s">
        <v>382</v>
      </c>
    </row>
    <row r="15" spans="1:45" x14ac:dyDescent="0.45">
      <c r="A15">
        <v>14</v>
      </c>
      <c r="B15">
        <v>2039</v>
      </c>
      <c r="C15" t="s">
        <v>72</v>
      </c>
      <c r="D15" t="s">
        <v>73</v>
      </c>
      <c r="E15" t="s">
        <v>74</v>
      </c>
      <c r="F15" t="s">
        <v>75</v>
      </c>
      <c r="G15" t="s">
        <v>76</v>
      </c>
      <c r="H15">
        <v>20.472077092976154</v>
      </c>
      <c r="I15">
        <v>0</v>
      </c>
      <c r="J15">
        <v>7</v>
      </c>
      <c r="K15">
        <v>10</v>
      </c>
      <c r="L15">
        <v>-3</v>
      </c>
      <c r="M15">
        <v>8</v>
      </c>
      <c r="N15">
        <v>10</v>
      </c>
      <c r="O15">
        <v>-2</v>
      </c>
      <c r="P15">
        <v>9</v>
      </c>
      <c r="Q15">
        <v>8</v>
      </c>
      <c r="R15">
        <v>1</v>
      </c>
      <c r="S15">
        <v>8</v>
      </c>
      <c r="T15">
        <v>8</v>
      </c>
      <c r="U15">
        <v>0</v>
      </c>
      <c r="V15">
        <v>7</v>
      </c>
      <c r="W15">
        <v>8</v>
      </c>
      <c r="X15">
        <v>-1</v>
      </c>
      <c r="Y15">
        <v>9</v>
      </c>
      <c r="Z15">
        <v>6</v>
      </c>
      <c r="AA15">
        <v>3</v>
      </c>
      <c r="AB15">
        <v>7</v>
      </c>
      <c r="AC15">
        <v>6</v>
      </c>
      <c r="AD15">
        <v>1</v>
      </c>
      <c r="AE15">
        <v>9</v>
      </c>
      <c r="AF15">
        <v>5</v>
      </c>
      <c r="AG15">
        <v>4</v>
      </c>
      <c r="AH15">
        <v>8</v>
      </c>
      <c r="AI15">
        <v>5</v>
      </c>
      <c r="AJ15">
        <v>3</v>
      </c>
      <c r="AK15" t="s">
        <v>383</v>
      </c>
      <c r="AL15" t="s">
        <v>384</v>
      </c>
      <c r="AM15" t="s">
        <v>385</v>
      </c>
      <c r="AN15" t="s">
        <v>386</v>
      </c>
      <c r="AO15" t="s">
        <v>387</v>
      </c>
      <c r="AP15" t="s">
        <v>388</v>
      </c>
      <c r="AQ15" t="s">
        <v>389</v>
      </c>
      <c r="AR15" t="s">
        <v>390</v>
      </c>
      <c r="AS15" t="s">
        <v>391</v>
      </c>
    </row>
    <row r="16" spans="1:45" x14ac:dyDescent="0.45">
      <c r="A16">
        <v>15</v>
      </c>
      <c r="B16">
        <v>2040</v>
      </c>
      <c r="C16" t="s">
        <v>78</v>
      </c>
      <c r="D16" t="s">
        <v>73</v>
      </c>
      <c r="E16" t="s">
        <v>74</v>
      </c>
      <c r="F16" t="s">
        <v>75</v>
      </c>
      <c r="G16" t="s">
        <v>76</v>
      </c>
      <c r="H16">
        <v>42.31972795825854</v>
      </c>
      <c r="I16">
        <v>2</v>
      </c>
      <c r="J16">
        <v>8</v>
      </c>
      <c r="K16">
        <v>7</v>
      </c>
      <c r="L16">
        <v>1</v>
      </c>
      <c r="M16">
        <v>6</v>
      </c>
      <c r="N16">
        <v>9</v>
      </c>
      <c r="O16">
        <v>-3</v>
      </c>
      <c r="P16">
        <v>7</v>
      </c>
      <c r="Q16">
        <v>3</v>
      </c>
      <c r="R16">
        <v>4</v>
      </c>
      <c r="S16">
        <v>9</v>
      </c>
      <c r="T16">
        <v>6</v>
      </c>
      <c r="U16">
        <v>3</v>
      </c>
      <c r="V16">
        <v>8</v>
      </c>
      <c r="W16">
        <v>1</v>
      </c>
      <c r="X16">
        <v>7</v>
      </c>
      <c r="Y16">
        <v>9</v>
      </c>
      <c r="Z16">
        <v>1</v>
      </c>
      <c r="AA16">
        <v>8</v>
      </c>
      <c r="AB16">
        <v>8</v>
      </c>
      <c r="AC16">
        <v>1</v>
      </c>
      <c r="AD16">
        <v>7</v>
      </c>
      <c r="AE16">
        <v>9</v>
      </c>
      <c r="AF16">
        <v>1</v>
      </c>
      <c r="AG16">
        <v>8</v>
      </c>
      <c r="AH16">
        <v>8</v>
      </c>
      <c r="AI16">
        <v>1</v>
      </c>
      <c r="AJ16">
        <v>7</v>
      </c>
      <c r="AK16" t="s">
        <v>392</v>
      </c>
      <c r="AL16" t="s">
        <v>393</v>
      </c>
      <c r="AM16" t="s">
        <v>394</v>
      </c>
      <c r="AN16" t="s">
        <v>395</v>
      </c>
      <c r="AO16" t="s">
        <v>396</v>
      </c>
      <c r="AP16" t="s">
        <v>397</v>
      </c>
      <c r="AQ16" t="s">
        <v>398</v>
      </c>
      <c r="AR16" t="s">
        <v>399</v>
      </c>
      <c r="AS16" t="s">
        <v>400</v>
      </c>
    </row>
    <row r="17" spans="1:45" x14ac:dyDescent="0.45">
      <c r="A17">
        <v>16</v>
      </c>
      <c r="B17">
        <v>2041</v>
      </c>
      <c r="C17" t="s">
        <v>78</v>
      </c>
      <c r="D17" t="s">
        <v>79</v>
      </c>
      <c r="E17" t="s">
        <v>74</v>
      </c>
      <c r="F17" t="s">
        <v>75</v>
      </c>
      <c r="G17" t="s">
        <v>76</v>
      </c>
      <c r="H17">
        <v>87.979421474492696</v>
      </c>
      <c r="I17">
        <v>4</v>
      </c>
      <c r="J17">
        <v>8</v>
      </c>
      <c r="K17">
        <v>8</v>
      </c>
      <c r="L17">
        <v>0</v>
      </c>
      <c r="M17">
        <v>9</v>
      </c>
      <c r="N17">
        <v>8</v>
      </c>
      <c r="O17">
        <v>1</v>
      </c>
      <c r="P17">
        <v>7</v>
      </c>
      <c r="Q17">
        <v>8</v>
      </c>
      <c r="R17">
        <v>-1</v>
      </c>
      <c r="S17">
        <v>9</v>
      </c>
      <c r="T17">
        <v>9</v>
      </c>
      <c r="U17">
        <v>0</v>
      </c>
      <c r="V17">
        <v>8</v>
      </c>
      <c r="W17">
        <v>7</v>
      </c>
      <c r="X17">
        <v>1</v>
      </c>
      <c r="Y17">
        <v>9</v>
      </c>
      <c r="Z17">
        <v>7</v>
      </c>
      <c r="AA17">
        <v>2</v>
      </c>
      <c r="AB17">
        <v>8</v>
      </c>
      <c r="AC17">
        <v>9</v>
      </c>
      <c r="AD17">
        <v>-1</v>
      </c>
      <c r="AE17">
        <v>9</v>
      </c>
      <c r="AF17">
        <v>8</v>
      </c>
      <c r="AG17">
        <v>1</v>
      </c>
      <c r="AH17">
        <v>9</v>
      </c>
      <c r="AI17">
        <v>7</v>
      </c>
      <c r="AJ17">
        <v>2</v>
      </c>
      <c r="AK17" t="s">
        <v>401</v>
      </c>
      <c r="AL17" t="s">
        <v>402</v>
      </c>
      <c r="AM17" t="s">
        <v>403</v>
      </c>
      <c r="AN17" t="s">
        <v>404</v>
      </c>
      <c r="AO17" t="s">
        <v>405</v>
      </c>
      <c r="AP17" t="s">
        <v>406</v>
      </c>
      <c r="AQ17" t="s">
        <v>407</v>
      </c>
      <c r="AR17" t="s">
        <v>408</v>
      </c>
      <c r="AS17" t="s">
        <v>409</v>
      </c>
    </row>
    <row r="18" spans="1:45" x14ac:dyDescent="0.45">
      <c r="A18">
        <v>17</v>
      </c>
      <c r="B18">
        <v>2042</v>
      </c>
      <c r="C18" t="s">
        <v>72</v>
      </c>
      <c r="D18" t="s">
        <v>81</v>
      </c>
      <c r="E18" t="s">
        <v>74</v>
      </c>
      <c r="F18" t="s">
        <v>77</v>
      </c>
      <c r="G18" t="s">
        <v>76</v>
      </c>
      <c r="H18">
        <v>20.133872094292034</v>
      </c>
      <c r="I18">
        <v>2</v>
      </c>
      <c r="J18">
        <v>6</v>
      </c>
      <c r="K18">
        <v>6</v>
      </c>
      <c r="L18">
        <v>0</v>
      </c>
      <c r="M18">
        <v>6</v>
      </c>
      <c r="N18">
        <v>7</v>
      </c>
      <c r="O18">
        <v>-1</v>
      </c>
      <c r="P18">
        <v>7</v>
      </c>
      <c r="Q18">
        <v>5</v>
      </c>
      <c r="R18">
        <v>2</v>
      </c>
      <c r="S18">
        <v>7</v>
      </c>
      <c r="T18">
        <v>5</v>
      </c>
      <c r="U18">
        <v>2</v>
      </c>
      <c r="V18">
        <v>5</v>
      </c>
      <c r="W18">
        <v>6</v>
      </c>
      <c r="X18">
        <v>-1</v>
      </c>
      <c r="Y18">
        <v>6</v>
      </c>
      <c r="Z18">
        <v>7</v>
      </c>
      <c r="AA18">
        <v>-1</v>
      </c>
      <c r="AB18">
        <v>5</v>
      </c>
      <c r="AC18">
        <v>3</v>
      </c>
      <c r="AD18">
        <v>2</v>
      </c>
      <c r="AE18">
        <v>6</v>
      </c>
      <c r="AF18">
        <v>4</v>
      </c>
      <c r="AG18">
        <v>2</v>
      </c>
      <c r="AH18">
        <v>7</v>
      </c>
      <c r="AI18">
        <v>5</v>
      </c>
      <c r="AJ18">
        <v>2</v>
      </c>
      <c r="AK18" t="s">
        <v>410</v>
      </c>
      <c r="AL18" t="s">
        <v>411</v>
      </c>
      <c r="AM18" t="s">
        <v>412</v>
      </c>
      <c r="AN18" t="s">
        <v>413</v>
      </c>
      <c r="AO18" t="s">
        <v>414</v>
      </c>
      <c r="AP18" t="s">
        <v>415</v>
      </c>
      <c r="AQ18" t="s">
        <v>416</v>
      </c>
      <c r="AR18" t="s">
        <v>417</v>
      </c>
      <c r="AS18" t="s">
        <v>418</v>
      </c>
    </row>
    <row r="19" spans="1:45" x14ac:dyDescent="0.45">
      <c r="A19">
        <v>18</v>
      </c>
      <c r="B19">
        <v>2043</v>
      </c>
      <c r="C19" t="s">
        <v>78</v>
      </c>
      <c r="D19" t="s">
        <v>79</v>
      </c>
      <c r="E19" t="s">
        <v>74</v>
      </c>
      <c r="F19" t="s">
        <v>77</v>
      </c>
      <c r="G19" t="s">
        <v>162</v>
      </c>
      <c r="H19">
        <v>16.192287050442665</v>
      </c>
      <c r="I19">
        <v>0</v>
      </c>
      <c r="J19">
        <v>7</v>
      </c>
      <c r="K19">
        <v>6</v>
      </c>
      <c r="L19">
        <v>1</v>
      </c>
      <c r="M19">
        <v>8</v>
      </c>
      <c r="N19">
        <v>8</v>
      </c>
      <c r="O19">
        <v>0</v>
      </c>
      <c r="P19">
        <v>6</v>
      </c>
      <c r="Q19">
        <v>7</v>
      </c>
      <c r="R19">
        <v>-1</v>
      </c>
      <c r="S19">
        <v>9</v>
      </c>
      <c r="T19">
        <v>8</v>
      </c>
      <c r="U19">
        <v>1</v>
      </c>
      <c r="V19">
        <v>8</v>
      </c>
      <c r="W19">
        <v>8</v>
      </c>
      <c r="X19">
        <v>0</v>
      </c>
      <c r="Y19">
        <v>9</v>
      </c>
      <c r="Z19">
        <v>7</v>
      </c>
      <c r="AA19">
        <v>2</v>
      </c>
      <c r="AB19">
        <v>8</v>
      </c>
      <c r="AC19">
        <v>7</v>
      </c>
      <c r="AD19">
        <v>1</v>
      </c>
      <c r="AE19">
        <v>7</v>
      </c>
      <c r="AF19">
        <v>6</v>
      </c>
      <c r="AG19">
        <v>1</v>
      </c>
      <c r="AH19">
        <v>9</v>
      </c>
      <c r="AI19">
        <v>8</v>
      </c>
      <c r="AJ19">
        <v>1</v>
      </c>
      <c r="AK19" t="s">
        <v>419</v>
      </c>
      <c r="AL19" t="s">
        <v>420</v>
      </c>
      <c r="AM19" t="s">
        <v>421</v>
      </c>
      <c r="AN19" t="s">
        <v>422</v>
      </c>
      <c r="AO19" t="s">
        <v>423</v>
      </c>
      <c r="AP19" t="s">
        <v>424</v>
      </c>
      <c r="AQ19" t="s">
        <v>425</v>
      </c>
      <c r="AR19" t="s">
        <v>426</v>
      </c>
      <c r="AS19" t="s">
        <v>427</v>
      </c>
    </row>
    <row r="20" spans="1:45" x14ac:dyDescent="0.45">
      <c r="A20">
        <v>19</v>
      </c>
      <c r="B20">
        <v>2044</v>
      </c>
      <c r="C20" t="s">
        <v>78</v>
      </c>
      <c r="D20" t="s">
        <v>79</v>
      </c>
      <c r="E20" t="s">
        <v>74</v>
      </c>
      <c r="F20" t="s">
        <v>77</v>
      </c>
      <c r="G20" t="s">
        <v>76</v>
      </c>
      <c r="H20">
        <v>169.19246089071672</v>
      </c>
      <c r="I20">
        <v>4</v>
      </c>
      <c r="J20">
        <v>7</v>
      </c>
      <c r="K20">
        <v>10</v>
      </c>
      <c r="L20">
        <v>-3</v>
      </c>
      <c r="M20">
        <v>9</v>
      </c>
      <c r="N20">
        <v>10</v>
      </c>
      <c r="O20">
        <v>-1</v>
      </c>
      <c r="P20">
        <v>8</v>
      </c>
      <c r="Q20">
        <v>5</v>
      </c>
      <c r="R20">
        <v>3</v>
      </c>
      <c r="S20">
        <v>9</v>
      </c>
      <c r="T20">
        <v>5</v>
      </c>
      <c r="U20">
        <v>4</v>
      </c>
      <c r="V20">
        <v>8</v>
      </c>
      <c r="W20">
        <v>5</v>
      </c>
      <c r="X20">
        <v>3</v>
      </c>
      <c r="Y20">
        <v>8</v>
      </c>
      <c r="Z20">
        <v>3</v>
      </c>
      <c r="AA20">
        <v>5</v>
      </c>
      <c r="AB20">
        <v>8</v>
      </c>
      <c r="AC20">
        <v>2</v>
      </c>
      <c r="AD20">
        <v>6</v>
      </c>
      <c r="AE20">
        <v>9</v>
      </c>
      <c r="AF20">
        <v>5</v>
      </c>
      <c r="AG20">
        <v>4</v>
      </c>
      <c r="AH20">
        <v>8</v>
      </c>
      <c r="AI20">
        <v>8</v>
      </c>
      <c r="AJ20">
        <v>0</v>
      </c>
      <c r="AK20" t="s">
        <v>428</v>
      </c>
      <c r="AL20" t="s">
        <v>429</v>
      </c>
      <c r="AM20" t="s">
        <v>430</v>
      </c>
      <c r="AN20" t="s">
        <v>431</v>
      </c>
      <c r="AO20" t="s">
        <v>432</v>
      </c>
      <c r="AP20" t="s">
        <v>433</v>
      </c>
      <c r="AQ20" t="s">
        <v>434</v>
      </c>
      <c r="AR20" t="s">
        <v>435</v>
      </c>
      <c r="AS20" t="s">
        <v>436</v>
      </c>
    </row>
    <row r="21" spans="1:45" x14ac:dyDescent="0.45">
      <c r="A21">
        <v>20</v>
      </c>
      <c r="B21">
        <v>2045</v>
      </c>
      <c r="C21" t="s">
        <v>78</v>
      </c>
      <c r="D21" t="s">
        <v>73</v>
      </c>
      <c r="E21" t="s">
        <v>74</v>
      </c>
      <c r="F21" t="s">
        <v>75</v>
      </c>
      <c r="G21" t="s">
        <v>76</v>
      </c>
      <c r="H21">
        <v>67.237648934947359</v>
      </c>
      <c r="I21">
        <v>2</v>
      </c>
      <c r="J21">
        <v>8</v>
      </c>
      <c r="K21">
        <v>9</v>
      </c>
      <c r="L21">
        <v>-1</v>
      </c>
      <c r="M21">
        <v>9</v>
      </c>
      <c r="N21">
        <v>9</v>
      </c>
      <c r="O21">
        <v>0</v>
      </c>
      <c r="P21">
        <v>8</v>
      </c>
      <c r="Q21">
        <v>7</v>
      </c>
      <c r="R21">
        <v>1</v>
      </c>
      <c r="S21">
        <v>9</v>
      </c>
      <c r="T21">
        <v>9</v>
      </c>
      <c r="U21">
        <v>0</v>
      </c>
      <c r="V21">
        <v>8</v>
      </c>
      <c r="W21">
        <v>7</v>
      </c>
      <c r="X21">
        <v>1</v>
      </c>
      <c r="Y21">
        <v>9</v>
      </c>
      <c r="Z21">
        <v>8</v>
      </c>
      <c r="AA21">
        <v>1</v>
      </c>
      <c r="AB21">
        <v>8</v>
      </c>
      <c r="AC21">
        <v>5</v>
      </c>
      <c r="AD21">
        <v>3</v>
      </c>
      <c r="AE21">
        <v>9</v>
      </c>
      <c r="AF21">
        <v>5</v>
      </c>
      <c r="AG21">
        <v>4</v>
      </c>
      <c r="AH21">
        <v>8</v>
      </c>
      <c r="AI21">
        <v>6</v>
      </c>
      <c r="AJ21">
        <v>2</v>
      </c>
      <c r="AK21" t="s">
        <v>437</v>
      </c>
      <c r="AL21" t="s">
        <v>438</v>
      </c>
      <c r="AM21" t="s">
        <v>439</v>
      </c>
      <c r="AN21" t="s">
        <v>440</v>
      </c>
      <c r="AO21" t="s">
        <v>441</v>
      </c>
      <c r="AP21" t="s">
        <v>442</v>
      </c>
      <c r="AQ21" t="s">
        <v>443</v>
      </c>
      <c r="AR21" t="s">
        <v>444</v>
      </c>
      <c r="AS21" t="s">
        <v>445</v>
      </c>
    </row>
    <row r="22" spans="1:45" x14ac:dyDescent="0.45">
      <c r="A22">
        <v>21</v>
      </c>
      <c r="B22">
        <v>2046</v>
      </c>
      <c r="C22" t="s">
        <v>72</v>
      </c>
      <c r="D22" t="s">
        <v>79</v>
      </c>
      <c r="E22" t="s">
        <v>74</v>
      </c>
      <c r="F22" t="s">
        <v>77</v>
      </c>
      <c r="G22" t="s">
        <v>76</v>
      </c>
      <c r="H22">
        <v>164.59881593036766</v>
      </c>
      <c r="I22">
        <v>3</v>
      </c>
      <c r="J22">
        <v>8</v>
      </c>
      <c r="K22">
        <v>10</v>
      </c>
      <c r="L22">
        <v>-2</v>
      </c>
      <c r="M22">
        <v>9</v>
      </c>
      <c r="N22">
        <v>10</v>
      </c>
      <c r="O22">
        <v>-1</v>
      </c>
      <c r="P22">
        <v>8</v>
      </c>
      <c r="Q22">
        <v>8</v>
      </c>
      <c r="R22">
        <v>0</v>
      </c>
      <c r="S22">
        <v>9</v>
      </c>
      <c r="T22">
        <v>7</v>
      </c>
      <c r="U22">
        <v>2</v>
      </c>
      <c r="V22">
        <v>9</v>
      </c>
      <c r="W22">
        <v>7</v>
      </c>
      <c r="X22">
        <v>2</v>
      </c>
      <c r="Y22">
        <v>9</v>
      </c>
      <c r="Z22">
        <v>7</v>
      </c>
      <c r="AA22">
        <v>2</v>
      </c>
      <c r="AB22">
        <v>8</v>
      </c>
      <c r="AC22">
        <v>2</v>
      </c>
      <c r="AD22">
        <v>6</v>
      </c>
      <c r="AE22">
        <v>7</v>
      </c>
      <c r="AF22">
        <v>3</v>
      </c>
      <c r="AG22">
        <v>4</v>
      </c>
      <c r="AH22">
        <v>9</v>
      </c>
      <c r="AI22">
        <v>3</v>
      </c>
      <c r="AJ22">
        <v>6</v>
      </c>
      <c r="AK22" t="s">
        <v>446</v>
      </c>
      <c r="AL22" t="s">
        <v>447</v>
      </c>
      <c r="AM22" t="s">
        <v>448</v>
      </c>
      <c r="AN22" t="s">
        <v>449</v>
      </c>
      <c r="AO22" t="s">
        <v>450</v>
      </c>
      <c r="AP22" t="s">
        <v>451</v>
      </c>
      <c r="AQ22" t="s">
        <v>452</v>
      </c>
      <c r="AR22" t="s">
        <v>453</v>
      </c>
      <c r="AS22" t="s">
        <v>454</v>
      </c>
    </row>
    <row r="23" spans="1:45" x14ac:dyDescent="0.45">
      <c r="A23">
        <v>22</v>
      </c>
      <c r="B23">
        <v>2047</v>
      </c>
      <c r="C23" t="s">
        <v>72</v>
      </c>
      <c r="D23" t="s">
        <v>189</v>
      </c>
      <c r="E23" t="s">
        <v>74</v>
      </c>
      <c r="F23" t="s">
        <v>77</v>
      </c>
      <c r="G23" t="s">
        <v>76</v>
      </c>
      <c r="H23">
        <v>14.434261083054142</v>
      </c>
      <c r="I23">
        <v>0</v>
      </c>
      <c r="J23">
        <v>7</v>
      </c>
      <c r="K23">
        <v>8</v>
      </c>
      <c r="L23">
        <v>-1</v>
      </c>
      <c r="M23">
        <v>6</v>
      </c>
      <c r="N23">
        <v>8</v>
      </c>
      <c r="O23">
        <v>-2</v>
      </c>
      <c r="P23">
        <v>8</v>
      </c>
      <c r="Q23">
        <v>5</v>
      </c>
      <c r="R23">
        <v>3</v>
      </c>
      <c r="S23">
        <v>9</v>
      </c>
      <c r="T23">
        <v>8</v>
      </c>
      <c r="U23">
        <v>1</v>
      </c>
      <c r="V23">
        <v>7</v>
      </c>
      <c r="W23">
        <v>8</v>
      </c>
      <c r="X23">
        <v>-1</v>
      </c>
      <c r="Y23">
        <v>9</v>
      </c>
      <c r="Z23">
        <v>8</v>
      </c>
      <c r="AA23">
        <v>1</v>
      </c>
      <c r="AB23">
        <v>7</v>
      </c>
      <c r="AC23">
        <v>8</v>
      </c>
      <c r="AD23">
        <v>-1</v>
      </c>
      <c r="AE23">
        <v>6</v>
      </c>
      <c r="AF23">
        <v>8</v>
      </c>
      <c r="AG23">
        <v>-2</v>
      </c>
      <c r="AH23">
        <v>9</v>
      </c>
      <c r="AI23">
        <v>8</v>
      </c>
      <c r="AJ23">
        <v>1</v>
      </c>
      <c r="AK23" t="s">
        <v>455</v>
      </c>
      <c r="AL23" t="s">
        <v>456</v>
      </c>
      <c r="AM23" t="s">
        <v>457</v>
      </c>
      <c r="AN23" t="s">
        <v>458</v>
      </c>
      <c r="AO23" t="s">
        <v>459</v>
      </c>
      <c r="AP23" t="s">
        <v>460</v>
      </c>
      <c r="AQ23" t="s">
        <v>461</v>
      </c>
      <c r="AR23" t="s">
        <v>462</v>
      </c>
      <c r="AS23" t="s">
        <v>463</v>
      </c>
    </row>
    <row r="24" spans="1:45" x14ac:dyDescent="0.45">
      <c r="A24">
        <v>23</v>
      </c>
      <c r="B24">
        <v>2048</v>
      </c>
      <c r="C24" t="s">
        <v>72</v>
      </c>
      <c r="D24" t="s">
        <v>79</v>
      </c>
      <c r="E24" t="s">
        <v>74</v>
      </c>
      <c r="F24" t="s">
        <v>75</v>
      </c>
      <c r="G24" t="s">
        <v>76</v>
      </c>
      <c r="H24">
        <v>94.131520402000504</v>
      </c>
      <c r="I24">
        <v>3</v>
      </c>
      <c r="J24">
        <v>6</v>
      </c>
      <c r="K24">
        <v>5</v>
      </c>
      <c r="L24">
        <v>1</v>
      </c>
      <c r="M24">
        <v>7</v>
      </c>
      <c r="N24">
        <v>5</v>
      </c>
      <c r="O24">
        <v>2</v>
      </c>
      <c r="P24">
        <v>9</v>
      </c>
      <c r="Q24">
        <v>5</v>
      </c>
      <c r="R24">
        <v>4</v>
      </c>
      <c r="S24">
        <v>8</v>
      </c>
      <c r="T24">
        <v>5</v>
      </c>
      <c r="U24">
        <v>3</v>
      </c>
      <c r="V24">
        <v>7</v>
      </c>
      <c r="W24">
        <v>5</v>
      </c>
      <c r="X24">
        <v>2</v>
      </c>
      <c r="Y24">
        <v>9</v>
      </c>
      <c r="Z24">
        <v>5</v>
      </c>
      <c r="AA24">
        <v>4</v>
      </c>
      <c r="AB24">
        <v>8</v>
      </c>
      <c r="AC24">
        <v>5</v>
      </c>
      <c r="AD24">
        <v>3</v>
      </c>
      <c r="AE24">
        <v>9</v>
      </c>
      <c r="AF24">
        <v>5</v>
      </c>
      <c r="AG24">
        <v>4</v>
      </c>
      <c r="AH24">
        <v>8</v>
      </c>
      <c r="AI24">
        <v>5</v>
      </c>
      <c r="AJ24">
        <v>3</v>
      </c>
      <c r="AK24" t="s">
        <v>464</v>
      </c>
      <c r="AL24" t="s">
        <v>465</v>
      </c>
      <c r="AM24" t="s">
        <v>466</v>
      </c>
      <c r="AN24" t="s">
        <v>467</v>
      </c>
      <c r="AO24" t="s">
        <v>468</v>
      </c>
      <c r="AP24" t="s">
        <v>469</v>
      </c>
      <c r="AQ24" t="s">
        <v>470</v>
      </c>
      <c r="AR24" t="s">
        <v>471</v>
      </c>
      <c r="AS24" t="s">
        <v>472</v>
      </c>
    </row>
    <row r="25" spans="1:45" x14ac:dyDescent="0.45">
      <c r="A25">
        <v>24</v>
      </c>
      <c r="B25">
        <v>2049</v>
      </c>
      <c r="C25" t="s">
        <v>72</v>
      </c>
      <c r="D25" t="s">
        <v>73</v>
      </c>
      <c r="E25" t="s">
        <v>80</v>
      </c>
      <c r="F25" t="s">
        <v>77</v>
      </c>
      <c r="G25" t="s">
        <v>76</v>
      </c>
      <c r="H25">
        <v>25.82109916600459</v>
      </c>
      <c r="I25">
        <v>2</v>
      </c>
      <c r="J25">
        <v>7</v>
      </c>
      <c r="K25">
        <v>9</v>
      </c>
      <c r="L25">
        <v>-2</v>
      </c>
      <c r="M25">
        <v>7</v>
      </c>
      <c r="N25">
        <v>8</v>
      </c>
      <c r="O25">
        <v>-1</v>
      </c>
      <c r="P25">
        <v>6</v>
      </c>
      <c r="Q25">
        <v>6</v>
      </c>
      <c r="R25">
        <v>0</v>
      </c>
      <c r="S25">
        <v>8</v>
      </c>
      <c r="T25">
        <v>9</v>
      </c>
      <c r="U25">
        <v>-1</v>
      </c>
      <c r="V25">
        <v>9</v>
      </c>
      <c r="W25">
        <v>8</v>
      </c>
      <c r="X25">
        <v>1</v>
      </c>
      <c r="Y25">
        <v>8</v>
      </c>
      <c r="Z25">
        <v>10</v>
      </c>
      <c r="AA25">
        <v>-2</v>
      </c>
      <c r="AB25">
        <v>7</v>
      </c>
      <c r="AC25">
        <v>6</v>
      </c>
      <c r="AD25">
        <v>1</v>
      </c>
      <c r="AE25">
        <v>8</v>
      </c>
      <c r="AF25">
        <v>6</v>
      </c>
      <c r="AG25">
        <v>2</v>
      </c>
      <c r="AH25">
        <v>8</v>
      </c>
      <c r="AI25">
        <v>8</v>
      </c>
      <c r="AJ25">
        <v>0</v>
      </c>
      <c r="AK25" t="s">
        <v>473</v>
      </c>
      <c r="AL25" t="s">
        <v>474</v>
      </c>
      <c r="AM25" t="s">
        <v>475</v>
      </c>
      <c r="AN25" t="s">
        <v>476</v>
      </c>
      <c r="AO25" t="s">
        <v>477</v>
      </c>
      <c r="AP25" t="s">
        <v>478</v>
      </c>
      <c r="AQ25" t="s">
        <v>479</v>
      </c>
      <c r="AR25" t="s">
        <v>480</v>
      </c>
      <c r="AS25" t="s">
        <v>481</v>
      </c>
    </row>
    <row r="26" spans="1:45" x14ac:dyDescent="0.45">
      <c r="A26">
        <v>25</v>
      </c>
      <c r="B26">
        <v>2050</v>
      </c>
      <c r="C26" t="s">
        <v>78</v>
      </c>
      <c r="D26" t="s">
        <v>73</v>
      </c>
      <c r="E26" t="s">
        <v>74</v>
      </c>
      <c r="F26" t="s">
        <v>75</v>
      </c>
      <c r="G26" t="s">
        <v>76</v>
      </c>
      <c r="H26">
        <v>44.699871122693587</v>
      </c>
      <c r="I26">
        <v>1</v>
      </c>
      <c r="J26">
        <v>7</v>
      </c>
      <c r="K26">
        <v>6</v>
      </c>
      <c r="L26">
        <v>1</v>
      </c>
      <c r="M26">
        <v>8</v>
      </c>
      <c r="N26">
        <v>7</v>
      </c>
      <c r="O26">
        <v>1</v>
      </c>
      <c r="P26">
        <v>9</v>
      </c>
      <c r="Q26">
        <v>5</v>
      </c>
      <c r="R26">
        <v>4</v>
      </c>
      <c r="S26">
        <v>9</v>
      </c>
      <c r="T26">
        <v>6</v>
      </c>
      <c r="U26">
        <v>3</v>
      </c>
      <c r="V26">
        <v>8</v>
      </c>
      <c r="W26">
        <v>7</v>
      </c>
      <c r="X26">
        <v>1</v>
      </c>
      <c r="Y26">
        <v>9</v>
      </c>
      <c r="Z26">
        <v>7</v>
      </c>
      <c r="AA26">
        <v>2</v>
      </c>
      <c r="AB26">
        <v>8</v>
      </c>
      <c r="AC26">
        <v>3</v>
      </c>
      <c r="AD26">
        <v>5</v>
      </c>
      <c r="AE26">
        <v>9</v>
      </c>
      <c r="AF26">
        <v>3</v>
      </c>
      <c r="AG26">
        <v>6</v>
      </c>
      <c r="AH26">
        <v>8</v>
      </c>
      <c r="AI26">
        <v>5</v>
      </c>
      <c r="AJ26">
        <v>3</v>
      </c>
      <c r="AK26" t="s">
        <v>482</v>
      </c>
      <c r="AL26" t="s">
        <v>483</v>
      </c>
      <c r="AM26" t="s">
        <v>484</v>
      </c>
      <c r="AN26" t="s">
        <v>485</v>
      </c>
      <c r="AO26" t="s">
        <v>486</v>
      </c>
      <c r="AP26" t="s">
        <v>487</v>
      </c>
      <c r="AQ26" t="s">
        <v>488</v>
      </c>
      <c r="AR26" t="s">
        <v>489</v>
      </c>
      <c r="AS26" t="s">
        <v>490</v>
      </c>
    </row>
    <row r="27" spans="1:45" x14ac:dyDescent="0.45">
      <c r="A27">
        <v>26</v>
      </c>
      <c r="B27">
        <v>2051</v>
      </c>
      <c r="C27" t="s">
        <v>78</v>
      </c>
      <c r="D27" t="s">
        <v>73</v>
      </c>
      <c r="E27" t="s">
        <v>74</v>
      </c>
      <c r="F27" t="s">
        <v>75</v>
      </c>
      <c r="G27" t="s">
        <v>76</v>
      </c>
      <c r="H27">
        <v>12</v>
      </c>
      <c r="I27">
        <v>4</v>
      </c>
      <c r="J27">
        <v>6</v>
      </c>
      <c r="K27">
        <v>10</v>
      </c>
      <c r="L27">
        <v>-4</v>
      </c>
      <c r="M27">
        <v>7</v>
      </c>
      <c r="N27">
        <v>10</v>
      </c>
      <c r="O27">
        <v>-3</v>
      </c>
      <c r="P27">
        <v>8</v>
      </c>
      <c r="Q27">
        <v>10</v>
      </c>
      <c r="R27">
        <v>-2</v>
      </c>
      <c r="S27">
        <v>9</v>
      </c>
      <c r="T27">
        <v>6</v>
      </c>
      <c r="U27">
        <v>3</v>
      </c>
      <c r="V27">
        <v>8</v>
      </c>
      <c r="W27">
        <v>6</v>
      </c>
      <c r="X27">
        <v>2</v>
      </c>
      <c r="Y27">
        <v>9</v>
      </c>
      <c r="Z27">
        <v>10</v>
      </c>
      <c r="AA27">
        <v>-1</v>
      </c>
      <c r="AB27">
        <v>8</v>
      </c>
      <c r="AC27">
        <v>1</v>
      </c>
      <c r="AD27">
        <v>7</v>
      </c>
      <c r="AE27">
        <v>9</v>
      </c>
      <c r="AF27">
        <v>4</v>
      </c>
      <c r="AG27">
        <v>5</v>
      </c>
      <c r="AH27">
        <v>8</v>
      </c>
      <c r="AI27">
        <v>10</v>
      </c>
      <c r="AJ27">
        <v>-2</v>
      </c>
      <c r="AK27" t="s">
        <v>491</v>
      </c>
      <c r="AL27" t="s">
        <v>492</v>
      </c>
      <c r="AM27" t="s">
        <v>493</v>
      </c>
      <c r="AN27" t="s">
        <v>494</v>
      </c>
      <c r="AO27" t="s">
        <v>495</v>
      </c>
      <c r="AP27" t="s">
        <v>496</v>
      </c>
      <c r="AQ27" t="s">
        <v>497</v>
      </c>
      <c r="AR27" t="s">
        <v>498</v>
      </c>
      <c r="AS27" t="s">
        <v>499</v>
      </c>
    </row>
    <row r="28" spans="1:45" x14ac:dyDescent="0.45">
      <c r="A28">
        <v>27</v>
      </c>
      <c r="B28">
        <v>2052</v>
      </c>
      <c r="C28" t="s">
        <v>78</v>
      </c>
      <c r="D28" t="s">
        <v>189</v>
      </c>
      <c r="E28" t="s">
        <v>74</v>
      </c>
      <c r="F28" t="s">
        <v>77</v>
      </c>
      <c r="G28" t="s">
        <v>76</v>
      </c>
      <c r="H28">
        <v>12</v>
      </c>
      <c r="I28">
        <v>0</v>
      </c>
      <c r="J28">
        <v>7</v>
      </c>
      <c r="K28">
        <v>1</v>
      </c>
      <c r="L28">
        <v>6</v>
      </c>
      <c r="M28">
        <v>8</v>
      </c>
      <c r="N28">
        <v>1</v>
      </c>
      <c r="O28">
        <v>7</v>
      </c>
      <c r="P28">
        <v>7</v>
      </c>
      <c r="Q28">
        <v>1</v>
      </c>
      <c r="R28">
        <v>6</v>
      </c>
      <c r="S28">
        <v>9</v>
      </c>
      <c r="T28">
        <v>1</v>
      </c>
      <c r="U28">
        <v>8</v>
      </c>
      <c r="W28">
        <v>1</v>
      </c>
      <c r="Z28">
        <v>1</v>
      </c>
      <c r="AC28">
        <v>1</v>
      </c>
      <c r="AF28">
        <v>1</v>
      </c>
      <c r="AI28">
        <v>1</v>
      </c>
      <c r="AK28" t="s">
        <v>202</v>
      </c>
      <c r="AL28" t="s">
        <v>202</v>
      </c>
      <c r="AM28" t="s">
        <v>202</v>
      </c>
      <c r="AN28" t="s">
        <v>202</v>
      </c>
      <c r="AO28" t="s">
        <v>202</v>
      </c>
      <c r="AP28" t="s">
        <v>202</v>
      </c>
      <c r="AQ28" t="s">
        <v>202</v>
      </c>
      <c r="AR28" t="s">
        <v>202</v>
      </c>
      <c r="AS28" t="s">
        <v>202</v>
      </c>
    </row>
    <row r="29" spans="1:45" x14ac:dyDescent="0.45">
      <c r="A29">
        <v>28</v>
      </c>
      <c r="B29">
        <v>2053</v>
      </c>
      <c r="C29" t="s">
        <v>78</v>
      </c>
      <c r="D29" t="s">
        <v>81</v>
      </c>
      <c r="E29" t="s">
        <v>74</v>
      </c>
      <c r="F29" t="s">
        <v>77</v>
      </c>
      <c r="G29" t="s">
        <v>76</v>
      </c>
      <c r="H29">
        <v>15.826589278218485</v>
      </c>
      <c r="I29">
        <v>0</v>
      </c>
      <c r="J29">
        <v>7</v>
      </c>
      <c r="K29">
        <v>1</v>
      </c>
      <c r="L29">
        <v>6</v>
      </c>
      <c r="M29">
        <v>8</v>
      </c>
      <c r="N29">
        <v>1</v>
      </c>
      <c r="O29">
        <v>7</v>
      </c>
      <c r="P29">
        <v>6</v>
      </c>
      <c r="Q29">
        <v>1</v>
      </c>
      <c r="R29">
        <v>5</v>
      </c>
      <c r="S29">
        <v>8</v>
      </c>
      <c r="T29">
        <v>1</v>
      </c>
      <c r="U29">
        <v>7</v>
      </c>
      <c r="V29">
        <v>7</v>
      </c>
      <c r="W29">
        <v>1</v>
      </c>
      <c r="X29">
        <v>6</v>
      </c>
      <c r="Y29">
        <v>9</v>
      </c>
      <c r="Z29">
        <v>1</v>
      </c>
      <c r="AA29">
        <v>8</v>
      </c>
      <c r="AB29">
        <v>6</v>
      </c>
      <c r="AC29">
        <v>1</v>
      </c>
      <c r="AD29">
        <v>5</v>
      </c>
      <c r="AE29">
        <v>7</v>
      </c>
      <c r="AF29">
        <v>1</v>
      </c>
      <c r="AG29">
        <v>6</v>
      </c>
      <c r="AH29">
        <v>8</v>
      </c>
      <c r="AI29">
        <v>1</v>
      </c>
      <c r="AJ29">
        <v>7</v>
      </c>
      <c r="AK29" t="s">
        <v>500</v>
      </c>
      <c r="AL29" t="s">
        <v>501</v>
      </c>
      <c r="AM29" t="s">
        <v>502</v>
      </c>
      <c r="AN29" t="s">
        <v>503</v>
      </c>
      <c r="AO29" t="s">
        <v>504</v>
      </c>
      <c r="AP29" t="s">
        <v>505</v>
      </c>
      <c r="AQ29" t="s">
        <v>506</v>
      </c>
      <c r="AR29" t="s">
        <v>507</v>
      </c>
      <c r="AS29" t="s">
        <v>508</v>
      </c>
    </row>
    <row r="30" spans="1:45" x14ac:dyDescent="0.45">
      <c r="A30">
        <v>29</v>
      </c>
      <c r="B30">
        <v>2054</v>
      </c>
      <c r="C30" t="s">
        <v>72</v>
      </c>
      <c r="D30" t="s">
        <v>189</v>
      </c>
      <c r="E30" t="s">
        <v>74</v>
      </c>
      <c r="F30" t="s">
        <v>77</v>
      </c>
      <c r="G30" t="s">
        <v>76</v>
      </c>
      <c r="H30">
        <v>14.516807367423905</v>
      </c>
      <c r="I30">
        <v>0</v>
      </c>
      <c r="J30">
        <v>8</v>
      </c>
      <c r="K30">
        <v>10</v>
      </c>
      <c r="L30">
        <v>-2</v>
      </c>
      <c r="M30">
        <v>9</v>
      </c>
      <c r="N30">
        <v>10</v>
      </c>
      <c r="O30">
        <v>-1</v>
      </c>
      <c r="P30">
        <v>8</v>
      </c>
      <c r="Q30">
        <v>9</v>
      </c>
      <c r="R30">
        <v>-1</v>
      </c>
      <c r="S30">
        <v>9</v>
      </c>
      <c r="T30">
        <v>10</v>
      </c>
      <c r="U30">
        <v>-1</v>
      </c>
      <c r="V30">
        <v>8</v>
      </c>
      <c r="W30">
        <v>10</v>
      </c>
      <c r="X30">
        <v>-2</v>
      </c>
      <c r="Y30">
        <v>9</v>
      </c>
      <c r="Z30">
        <v>9</v>
      </c>
      <c r="AA30">
        <v>0</v>
      </c>
      <c r="AB30">
        <v>8</v>
      </c>
      <c r="AC30">
        <v>10</v>
      </c>
      <c r="AD30">
        <v>-2</v>
      </c>
      <c r="AE30">
        <v>9</v>
      </c>
      <c r="AF30">
        <v>10</v>
      </c>
      <c r="AG30">
        <v>-1</v>
      </c>
      <c r="AH30">
        <v>9</v>
      </c>
      <c r="AI30">
        <v>10</v>
      </c>
      <c r="AJ30">
        <v>-1</v>
      </c>
      <c r="AK30" t="s">
        <v>509</v>
      </c>
      <c r="AL30" t="s">
        <v>510</v>
      </c>
      <c r="AM30" t="s">
        <v>511</v>
      </c>
      <c r="AN30" t="s">
        <v>512</v>
      </c>
      <c r="AO30" t="s">
        <v>513</v>
      </c>
      <c r="AP30" t="s">
        <v>514</v>
      </c>
      <c r="AQ30" t="s">
        <v>515</v>
      </c>
      <c r="AR30" t="s">
        <v>516</v>
      </c>
      <c r="AS30" t="s">
        <v>517</v>
      </c>
    </row>
    <row r="31" spans="1:45" x14ac:dyDescent="0.45">
      <c r="A31">
        <v>30</v>
      </c>
      <c r="B31">
        <v>2055</v>
      </c>
      <c r="C31" t="s">
        <v>72</v>
      </c>
      <c r="D31" t="s">
        <v>189</v>
      </c>
      <c r="E31" t="s">
        <v>74</v>
      </c>
      <c r="F31" t="s">
        <v>77</v>
      </c>
      <c r="G31" t="s">
        <v>76</v>
      </c>
      <c r="H31">
        <v>15.744568233524205</v>
      </c>
      <c r="I31">
        <v>0</v>
      </c>
      <c r="J31">
        <v>8</v>
      </c>
      <c r="K31">
        <v>10</v>
      </c>
      <c r="L31">
        <v>-2</v>
      </c>
      <c r="M31">
        <v>9</v>
      </c>
      <c r="N31">
        <v>10</v>
      </c>
      <c r="O31">
        <v>-1</v>
      </c>
      <c r="P31">
        <v>8</v>
      </c>
      <c r="Q31">
        <v>9</v>
      </c>
      <c r="R31">
        <v>-1</v>
      </c>
      <c r="S31">
        <v>9</v>
      </c>
      <c r="T31">
        <v>10</v>
      </c>
      <c r="U31">
        <v>-1</v>
      </c>
      <c r="V31">
        <v>8</v>
      </c>
      <c r="W31">
        <v>10</v>
      </c>
      <c r="X31">
        <v>-2</v>
      </c>
      <c r="Y31">
        <v>9</v>
      </c>
      <c r="Z31">
        <v>10</v>
      </c>
      <c r="AA31">
        <v>-1</v>
      </c>
      <c r="AB31">
        <v>8</v>
      </c>
      <c r="AC31">
        <v>10</v>
      </c>
      <c r="AD31">
        <v>-2</v>
      </c>
      <c r="AE31">
        <v>9</v>
      </c>
      <c r="AF31">
        <v>10</v>
      </c>
      <c r="AG31">
        <v>-1</v>
      </c>
      <c r="AH31">
        <v>8</v>
      </c>
      <c r="AI31">
        <v>10</v>
      </c>
      <c r="AJ31">
        <v>-2</v>
      </c>
      <c r="AK31" t="s">
        <v>518</v>
      </c>
      <c r="AL31" t="s">
        <v>519</v>
      </c>
      <c r="AM31" t="s">
        <v>520</v>
      </c>
      <c r="AN31" t="s">
        <v>521</v>
      </c>
      <c r="AO31" t="s">
        <v>522</v>
      </c>
      <c r="AP31" t="s">
        <v>523</v>
      </c>
      <c r="AQ31" t="s">
        <v>524</v>
      </c>
      <c r="AR31" t="s">
        <v>525</v>
      </c>
      <c r="AS31" t="s">
        <v>526</v>
      </c>
    </row>
    <row r="32" spans="1:45" x14ac:dyDescent="0.45">
      <c r="A32">
        <v>31</v>
      </c>
      <c r="B32">
        <v>2056</v>
      </c>
      <c r="C32" t="s">
        <v>72</v>
      </c>
      <c r="D32" t="s">
        <v>81</v>
      </c>
      <c r="E32" t="s">
        <v>74</v>
      </c>
      <c r="F32" t="s">
        <v>77</v>
      </c>
      <c r="G32" t="s">
        <v>76</v>
      </c>
      <c r="H32">
        <v>29.762060784767023</v>
      </c>
      <c r="I32">
        <v>0</v>
      </c>
      <c r="J32">
        <v>6</v>
      </c>
      <c r="K32">
        <v>10</v>
      </c>
      <c r="L32">
        <v>-4</v>
      </c>
      <c r="M32">
        <v>7</v>
      </c>
      <c r="N32">
        <v>7</v>
      </c>
      <c r="O32">
        <v>0</v>
      </c>
      <c r="P32">
        <v>9</v>
      </c>
      <c r="Q32">
        <v>10</v>
      </c>
      <c r="R32">
        <v>-1</v>
      </c>
      <c r="S32">
        <v>8</v>
      </c>
      <c r="T32">
        <v>7</v>
      </c>
      <c r="U32">
        <v>1</v>
      </c>
      <c r="V32">
        <v>7</v>
      </c>
      <c r="W32">
        <v>10</v>
      </c>
      <c r="X32">
        <v>-3</v>
      </c>
      <c r="Y32">
        <v>8</v>
      </c>
      <c r="Z32">
        <v>10</v>
      </c>
      <c r="AA32">
        <v>-2</v>
      </c>
      <c r="AB32">
        <v>7</v>
      </c>
      <c r="AC32">
        <v>3</v>
      </c>
      <c r="AD32">
        <v>4</v>
      </c>
      <c r="AE32">
        <v>8</v>
      </c>
      <c r="AF32">
        <v>5</v>
      </c>
      <c r="AG32">
        <v>3</v>
      </c>
      <c r="AH32">
        <v>9</v>
      </c>
      <c r="AI32">
        <v>8</v>
      </c>
      <c r="AJ32">
        <v>1</v>
      </c>
      <c r="AK32" t="s">
        <v>527</v>
      </c>
      <c r="AL32" t="s">
        <v>528</v>
      </c>
      <c r="AM32" t="s">
        <v>529</v>
      </c>
      <c r="AN32" t="s">
        <v>530</v>
      </c>
      <c r="AO32" t="s">
        <v>531</v>
      </c>
      <c r="AP32" t="s">
        <v>532</v>
      </c>
      <c r="AQ32" t="s">
        <v>533</v>
      </c>
      <c r="AR32" t="s">
        <v>534</v>
      </c>
      <c r="AS32" t="s">
        <v>256</v>
      </c>
    </row>
    <row r="33" spans="1:45" x14ac:dyDescent="0.45">
      <c r="A33">
        <v>32</v>
      </c>
      <c r="B33">
        <v>2057</v>
      </c>
      <c r="C33" t="s">
        <v>72</v>
      </c>
      <c r="D33" t="s">
        <v>189</v>
      </c>
      <c r="E33" t="s">
        <v>74</v>
      </c>
      <c r="F33" t="s">
        <v>77</v>
      </c>
      <c r="G33" t="s">
        <v>76</v>
      </c>
      <c r="H33">
        <v>30.638065812473538</v>
      </c>
      <c r="I33">
        <v>0</v>
      </c>
      <c r="J33">
        <v>7</v>
      </c>
      <c r="K33">
        <v>5</v>
      </c>
      <c r="L33">
        <v>2</v>
      </c>
      <c r="M33">
        <v>8</v>
      </c>
      <c r="N33">
        <v>5</v>
      </c>
      <c r="O33">
        <v>3</v>
      </c>
      <c r="P33">
        <v>9</v>
      </c>
      <c r="Q33">
        <v>5</v>
      </c>
      <c r="R33">
        <v>4</v>
      </c>
      <c r="S33">
        <v>9</v>
      </c>
      <c r="T33">
        <v>5</v>
      </c>
      <c r="U33">
        <v>4</v>
      </c>
      <c r="V33">
        <v>7</v>
      </c>
      <c r="W33">
        <v>5</v>
      </c>
      <c r="X33">
        <v>2</v>
      </c>
      <c r="Y33">
        <v>9</v>
      </c>
      <c r="Z33">
        <v>5</v>
      </c>
      <c r="AA33">
        <v>4</v>
      </c>
      <c r="AB33">
        <v>7</v>
      </c>
      <c r="AC33">
        <v>5</v>
      </c>
      <c r="AD33">
        <v>2</v>
      </c>
      <c r="AE33">
        <v>8</v>
      </c>
      <c r="AF33">
        <v>5</v>
      </c>
      <c r="AG33">
        <v>3</v>
      </c>
      <c r="AH33">
        <v>9</v>
      </c>
      <c r="AI33">
        <v>5</v>
      </c>
      <c r="AJ33">
        <v>4</v>
      </c>
      <c r="AK33" t="s">
        <v>535</v>
      </c>
      <c r="AL33" t="s">
        <v>536</v>
      </c>
      <c r="AM33" t="s">
        <v>537</v>
      </c>
      <c r="AN33" t="s">
        <v>538</v>
      </c>
      <c r="AO33" t="s">
        <v>539</v>
      </c>
      <c r="AP33" t="s">
        <v>263</v>
      </c>
      <c r="AQ33" t="s">
        <v>540</v>
      </c>
      <c r="AR33" t="s">
        <v>541</v>
      </c>
      <c r="AS33" t="s">
        <v>542</v>
      </c>
    </row>
    <row r="34" spans="1:45" x14ac:dyDescent="0.45">
      <c r="A34">
        <v>33</v>
      </c>
      <c r="B34">
        <v>2058</v>
      </c>
      <c r="C34" t="s">
        <v>72</v>
      </c>
      <c r="D34" t="s">
        <v>81</v>
      </c>
      <c r="E34" t="s">
        <v>74</v>
      </c>
      <c r="F34" t="s">
        <v>77</v>
      </c>
      <c r="G34" t="s">
        <v>76</v>
      </c>
      <c r="H34">
        <v>27.734032954208029</v>
      </c>
      <c r="I34">
        <v>0</v>
      </c>
      <c r="J34">
        <v>7</v>
      </c>
      <c r="K34">
        <v>8</v>
      </c>
      <c r="L34">
        <v>-1</v>
      </c>
      <c r="M34">
        <v>6</v>
      </c>
      <c r="N34">
        <v>9</v>
      </c>
      <c r="O34">
        <v>-3</v>
      </c>
      <c r="P34">
        <v>7</v>
      </c>
      <c r="Q34">
        <v>7</v>
      </c>
      <c r="R34">
        <v>0</v>
      </c>
      <c r="S34">
        <v>9</v>
      </c>
      <c r="T34">
        <v>8</v>
      </c>
      <c r="U34">
        <v>1</v>
      </c>
      <c r="V34">
        <v>8</v>
      </c>
      <c r="W34">
        <v>8</v>
      </c>
      <c r="X34">
        <v>0</v>
      </c>
      <c r="Y34">
        <v>7</v>
      </c>
      <c r="Z34">
        <v>8</v>
      </c>
      <c r="AA34">
        <v>-1</v>
      </c>
      <c r="AB34">
        <v>6</v>
      </c>
      <c r="AC34">
        <v>3</v>
      </c>
      <c r="AD34">
        <v>3</v>
      </c>
      <c r="AE34">
        <v>7</v>
      </c>
      <c r="AF34">
        <v>6</v>
      </c>
      <c r="AG34">
        <v>1</v>
      </c>
      <c r="AH34">
        <v>8</v>
      </c>
      <c r="AI34">
        <v>7</v>
      </c>
      <c r="AJ34">
        <v>1</v>
      </c>
      <c r="AK34" t="s">
        <v>543</v>
      </c>
      <c r="AL34" t="s">
        <v>544</v>
      </c>
      <c r="AM34" t="s">
        <v>545</v>
      </c>
      <c r="AN34" t="s">
        <v>546</v>
      </c>
      <c r="AO34" t="s">
        <v>547</v>
      </c>
      <c r="AP34" t="s">
        <v>548</v>
      </c>
      <c r="AQ34" t="s">
        <v>549</v>
      </c>
      <c r="AR34" t="s">
        <v>550</v>
      </c>
      <c r="AS34" t="s">
        <v>551</v>
      </c>
    </row>
    <row r="35" spans="1:45" x14ac:dyDescent="0.45">
      <c r="A35">
        <v>34</v>
      </c>
      <c r="B35">
        <v>2059</v>
      </c>
      <c r="C35" t="s">
        <v>78</v>
      </c>
      <c r="D35" t="s">
        <v>81</v>
      </c>
      <c r="E35" t="s">
        <v>74</v>
      </c>
      <c r="F35" t="s">
        <v>77</v>
      </c>
      <c r="G35" t="s">
        <v>76</v>
      </c>
      <c r="H35">
        <v>13.397145814734863</v>
      </c>
      <c r="I35">
        <v>1</v>
      </c>
      <c r="J35">
        <v>6</v>
      </c>
      <c r="K35">
        <v>10</v>
      </c>
      <c r="L35">
        <v>-4</v>
      </c>
      <c r="M35">
        <v>7</v>
      </c>
      <c r="N35">
        <v>10</v>
      </c>
      <c r="O35">
        <v>-3</v>
      </c>
      <c r="P35">
        <v>8</v>
      </c>
      <c r="Q35">
        <v>10</v>
      </c>
      <c r="R35">
        <v>-2</v>
      </c>
      <c r="S35">
        <v>9</v>
      </c>
      <c r="T35">
        <v>10</v>
      </c>
      <c r="U35">
        <v>-1</v>
      </c>
      <c r="V35">
        <v>7</v>
      </c>
      <c r="W35">
        <v>10</v>
      </c>
      <c r="X35">
        <v>-3</v>
      </c>
      <c r="Y35">
        <v>8</v>
      </c>
      <c r="Z35">
        <v>10</v>
      </c>
      <c r="AA35">
        <v>-2</v>
      </c>
      <c r="AB35">
        <v>7</v>
      </c>
      <c r="AC35">
        <v>10</v>
      </c>
      <c r="AD35">
        <v>-3</v>
      </c>
      <c r="AE35">
        <v>8</v>
      </c>
      <c r="AF35">
        <v>10</v>
      </c>
      <c r="AG35">
        <v>-2</v>
      </c>
      <c r="AH35">
        <v>8</v>
      </c>
      <c r="AI35">
        <v>10</v>
      </c>
      <c r="AJ35">
        <v>-2</v>
      </c>
      <c r="AK35" t="s">
        <v>552</v>
      </c>
      <c r="AL35" t="s">
        <v>553</v>
      </c>
      <c r="AM35" t="s">
        <v>554</v>
      </c>
      <c r="AN35" t="s">
        <v>555</v>
      </c>
      <c r="AO35" t="s">
        <v>556</v>
      </c>
      <c r="AP35" t="s">
        <v>557</v>
      </c>
      <c r="AQ35" t="s">
        <v>558</v>
      </c>
      <c r="AR35" t="s">
        <v>559</v>
      </c>
      <c r="AS35" t="s">
        <v>560</v>
      </c>
    </row>
    <row r="36" spans="1:45" x14ac:dyDescent="0.45">
      <c r="A36">
        <v>35</v>
      </c>
      <c r="B36">
        <v>2060</v>
      </c>
      <c r="C36" t="s">
        <v>72</v>
      </c>
      <c r="D36" t="s">
        <v>73</v>
      </c>
      <c r="E36" t="s">
        <v>74</v>
      </c>
      <c r="F36" t="s">
        <v>191</v>
      </c>
      <c r="G36" t="s">
        <v>76</v>
      </c>
      <c r="H36">
        <v>16.904640139034235</v>
      </c>
      <c r="I36">
        <v>3</v>
      </c>
      <c r="J36">
        <v>8</v>
      </c>
      <c r="K36">
        <v>10</v>
      </c>
      <c r="L36">
        <v>-2</v>
      </c>
      <c r="M36">
        <v>8</v>
      </c>
      <c r="N36">
        <v>10</v>
      </c>
      <c r="O36">
        <v>-2</v>
      </c>
      <c r="P36">
        <v>9</v>
      </c>
      <c r="Q36">
        <v>10</v>
      </c>
      <c r="R36">
        <v>-1</v>
      </c>
      <c r="S36">
        <v>9</v>
      </c>
      <c r="T36">
        <v>10</v>
      </c>
      <c r="U36">
        <v>-1</v>
      </c>
      <c r="V36">
        <v>9</v>
      </c>
      <c r="W36">
        <v>10</v>
      </c>
      <c r="X36">
        <v>-1</v>
      </c>
      <c r="Y36">
        <v>8</v>
      </c>
      <c r="Z36">
        <v>10</v>
      </c>
      <c r="AA36">
        <v>-2</v>
      </c>
      <c r="AB36">
        <v>9</v>
      </c>
      <c r="AC36">
        <v>10</v>
      </c>
      <c r="AD36">
        <v>-1</v>
      </c>
      <c r="AE36">
        <v>8</v>
      </c>
      <c r="AF36">
        <v>10</v>
      </c>
      <c r="AG36">
        <v>-2</v>
      </c>
      <c r="AH36">
        <v>9</v>
      </c>
      <c r="AI36">
        <v>10</v>
      </c>
      <c r="AJ36">
        <v>-1</v>
      </c>
      <c r="AK36" t="s">
        <v>561</v>
      </c>
      <c r="AL36" t="s">
        <v>562</v>
      </c>
      <c r="AM36" t="s">
        <v>563</v>
      </c>
      <c r="AN36" t="s">
        <v>564</v>
      </c>
      <c r="AO36" t="s">
        <v>565</v>
      </c>
      <c r="AP36" t="s">
        <v>566</v>
      </c>
      <c r="AQ36" t="s">
        <v>567</v>
      </c>
      <c r="AR36" t="s">
        <v>568</v>
      </c>
      <c r="AS36" t="s">
        <v>569</v>
      </c>
    </row>
    <row r="37" spans="1:45" x14ac:dyDescent="0.45">
      <c r="A37">
        <v>36</v>
      </c>
      <c r="B37">
        <v>2061</v>
      </c>
      <c r="C37" t="s">
        <v>72</v>
      </c>
      <c r="D37" t="s">
        <v>189</v>
      </c>
      <c r="E37" t="s">
        <v>74</v>
      </c>
      <c r="F37" t="s">
        <v>77</v>
      </c>
      <c r="G37" t="s">
        <v>76</v>
      </c>
      <c r="H37">
        <v>12.766162122864227</v>
      </c>
      <c r="I37">
        <v>0</v>
      </c>
      <c r="J37">
        <v>7</v>
      </c>
      <c r="K37">
        <v>10</v>
      </c>
      <c r="L37">
        <v>-3</v>
      </c>
      <c r="M37">
        <v>6</v>
      </c>
      <c r="N37">
        <v>9</v>
      </c>
      <c r="O37">
        <v>-3</v>
      </c>
      <c r="P37">
        <v>9</v>
      </c>
      <c r="Q37">
        <v>10</v>
      </c>
      <c r="R37">
        <v>-1</v>
      </c>
      <c r="S37">
        <v>8</v>
      </c>
      <c r="T37">
        <v>8</v>
      </c>
      <c r="U37">
        <v>0</v>
      </c>
      <c r="V37">
        <v>7</v>
      </c>
      <c r="W37">
        <v>10</v>
      </c>
      <c r="X37">
        <v>-3</v>
      </c>
      <c r="Y37">
        <v>8</v>
      </c>
      <c r="Z37">
        <v>9</v>
      </c>
      <c r="AA37">
        <v>-1</v>
      </c>
      <c r="AB37">
        <v>7</v>
      </c>
      <c r="AC37">
        <v>10</v>
      </c>
      <c r="AD37">
        <v>-3</v>
      </c>
      <c r="AE37">
        <v>6</v>
      </c>
      <c r="AF37">
        <v>10</v>
      </c>
      <c r="AG37">
        <v>-4</v>
      </c>
      <c r="AH37">
        <v>8</v>
      </c>
      <c r="AI37">
        <v>10</v>
      </c>
      <c r="AJ37">
        <v>-2</v>
      </c>
      <c r="AK37" t="s">
        <v>570</v>
      </c>
      <c r="AL37" t="s">
        <v>571</v>
      </c>
      <c r="AM37" t="s">
        <v>572</v>
      </c>
      <c r="AN37" t="s">
        <v>573</v>
      </c>
      <c r="AO37" t="s">
        <v>574</v>
      </c>
      <c r="AP37" t="s">
        <v>575</v>
      </c>
      <c r="AQ37" t="s">
        <v>576</v>
      </c>
      <c r="AR37" t="s">
        <v>577</v>
      </c>
      <c r="AS37" t="s">
        <v>578</v>
      </c>
    </row>
    <row r="38" spans="1:45" x14ac:dyDescent="0.45">
      <c r="A38">
        <v>37</v>
      </c>
      <c r="B38">
        <v>2062</v>
      </c>
      <c r="C38" t="s">
        <v>78</v>
      </c>
      <c r="D38" t="s">
        <v>189</v>
      </c>
      <c r="E38" t="s">
        <v>74</v>
      </c>
      <c r="F38" t="s">
        <v>77</v>
      </c>
      <c r="G38" t="s">
        <v>76</v>
      </c>
      <c r="H38">
        <v>16.417761124094746</v>
      </c>
      <c r="I38">
        <v>0</v>
      </c>
      <c r="J38">
        <v>6</v>
      </c>
      <c r="K38">
        <v>10</v>
      </c>
      <c r="L38">
        <v>-4</v>
      </c>
      <c r="M38">
        <v>8</v>
      </c>
      <c r="N38">
        <v>10</v>
      </c>
      <c r="O38">
        <v>-2</v>
      </c>
      <c r="P38">
        <v>9</v>
      </c>
      <c r="Q38">
        <v>10</v>
      </c>
      <c r="R38">
        <v>-1</v>
      </c>
      <c r="S38">
        <v>10</v>
      </c>
      <c r="T38">
        <v>10</v>
      </c>
      <c r="U38">
        <v>0</v>
      </c>
      <c r="V38">
        <v>8</v>
      </c>
      <c r="W38">
        <v>9</v>
      </c>
      <c r="X38">
        <v>-1</v>
      </c>
      <c r="Y38">
        <v>9</v>
      </c>
      <c r="Z38">
        <v>9</v>
      </c>
      <c r="AA38">
        <v>0</v>
      </c>
      <c r="AB38">
        <v>8</v>
      </c>
      <c r="AC38">
        <v>9</v>
      </c>
      <c r="AD38">
        <v>-1</v>
      </c>
      <c r="AE38">
        <v>7</v>
      </c>
      <c r="AF38">
        <v>9</v>
      </c>
      <c r="AG38">
        <v>-2</v>
      </c>
      <c r="AH38">
        <v>9</v>
      </c>
      <c r="AI38">
        <v>8</v>
      </c>
      <c r="AJ38">
        <v>1</v>
      </c>
      <c r="AK38" t="s">
        <v>579</v>
      </c>
      <c r="AL38" t="s">
        <v>580</v>
      </c>
      <c r="AM38" t="s">
        <v>581</v>
      </c>
      <c r="AN38" t="s">
        <v>582</v>
      </c>
      <c r="AO38" t="s">
        <v>583</v>
      </c>
      <c r="AP38" t="s">
        <v>584</v>
      </c>
      <c r="AQ38" t="s">
        <v>585</v>
      </c>
      <c r="AR38" t="s">
        <v>586</v>
      </c>
      <c r="AS38" t="s">
        <v>587</v>
      </c>
    </row>
    <row r="39" spans="1:45" x14ac:dyDescent="0.45">
      <c r="A39">
        <v>38</v>
      </c>
      <c r="B39">
        <v>2063</v>
      </c>
      <c r="C39" t="s">
        <v>72</v>
      </c>
      <c r="D39" t="s">
        <v>73</v>
      </c>
      <c r="E39" t="s">
        <v>74</v>
      </c>
      <c r="F39" t="s">
        <v>77</v>
      </c>
      <c r="G39" t="s">
        <v>76</v>
      </c>
      <c r="H39">
        <v>36.770758499302943</v>
      </c>
      <c r="I39">
        <v>1</v>
      </c>
      <c r="J39">
        <v>7</v>
      </c>
      <c r="K39">
        <v>8</v>
      </c>
      <c r="L39">
        <v>-1</v>
      </c>
      <c r="M39">
        <v>8</v>
      </c>
      <c r="N39">
        <v>8</v>
      </c>
      <c r="O39">
        <v>0</v>
      </c>
      <c r="P39">
        <v>6</v>
      </c>
      <c r="Q39">
        <v>8</v>
      </c>
      <c r="R39">
        <v>-2</v>
      </c>
      <c r="S39">
        <v>9</v>
      </c>
      <c r="T39">
        <v>8</v>
      </c>
      <c r="U39">
        <v>1</v>
      </c>
      <c r="V39">
        <v>8</v>
      </c>
      <c r="W39">
        <v>8</v>
      </c>
      <c r="X39">
        <v>0</v>
      </c>
      <c r="Y39">
        <v>7</v>
      </c>
      <c r="Z39">
        <v>8</v>
      </c>
      <c r="AA39">
        <v>-1</v>
      </c>
      <c r="AB39">
        <v>6</v>
      </c>
      <c r="AC39">
        <v>8</v>
      </c>
      <c r="AD39">
        <v>-2</v>
      </c>
      <c r="AE39">
        <v>7</v>
      </c>
      <c r="AF39">
        <v>8</v>
      </c>
      <c r="AG39">
        <v>-1</v>
      </c>
      <c r="AH39">
        <v>9</v>
      </c>
      <c r="AI39">
        <v>8</v>
      </c>
      <c r="AJ39">
        <v>1</v>
      </c>
      <c r="AK39" t="s">
        <v>588</v>
      </c>
      <c r="AL39" t="s">
        <v>589</v>
      </c>
      <c r="AM39" t="s">
        <v>590</v>
      </c>
      <c r="AN39" t="s">
        <v>591</v>
      </c>
      <c r="AO39" t="s">
        <v>592</v>
      </c>
      <c r="AP39" t="s">
        <v>593</v>
      </c>
      <c r="AQ39" t="s">
        <v>594</v>
      </c>
      <c r="AR39" t="s">
        <v>595</v>
      </c>
      <c r="AS39" t="s">
        <v>596</v>
      </c>
    </row>
    <row r="40" spans="1:45" x14ac:dyDescent="0.45">
      <c r="A40">
        <v>39</v>
      </c>
      <c r="B40">
        <v>2064</v>
      </c>
      <c r="C40" t="s">
        <v>78</v>
      </c>
      <c r="D40" t="s">
        <v>81</v>
      </c>
      <c r="E40" t="s">
        <v>74</v>
      </c>
      <c r="F40" t="s">
        <v>77</v>
      </c>
      <c r="G40" t="s">
        <v>76</v>
      </c>
      <c r="H40">
        <v>15.260241947641184</v>
      </c>
      <c r="I40">
        <v>0</v>
      </c>
      <c r="J40">
        <v>6</v>
      </c>
      <c r="K40">
        <v>10</v>
      </c>
      <c r="L40">
        <v>-4</v>
      </c>
      <c r="M40">
        <v>5</v>
      </c>
      <c r="N40">
        <v>10</v>
      </c>
      <c r="O40">
        <v>-5</v>
      </c>
      <c r="P40">
        <v>9</v>
      </c>
      <c r="Q40">
        <v>10</v>
      </c>
      <c r="R40">
        <v>-1</v>
      </c>
      <c r="S40">
        <v>10</v>
      </c>
      <c r="T40">
        <v>10</v>
      </c>
      <c r="U40">
        <v>0</v>
      </c>
      <c r="V40">
        <v>8</v>
      </c>
      <c r="W40">
        <v>10</v>
      </c>
      <c r="X40">
        <v>-2</v>
      </c>
      <c r="Y40">
        <v>9</v>
      </c>
      <c r="Z40">
        <v>10</v>
      </c>
      <c r="AA40">
        <v>-1</v>
      </c>
      <c r="AB40">
        <v>7</v>
      </c>
      <c r="AC40">
        <v>10</v>
      </c>
      <c r="AD40">
        <v>-3</v>
      </c>
      <c r="AE40">
        <v>8</v>
      </c>
      <c r="AF40">
        <v>10</v>
      </c>
      <c r="AG40">
        <v>-2</v>
      </c>
      <c r="AH40">
        <v>9</v>
      </c>
      <c r="AI40">
        <v>10</v>
      </c>
      <c r="AJ40">
        <v>-1</v>
      </c>
      <c r="AK40" t="s">
        <v>597</v>
      </c>
      <c r="AL40" t="s">
        <v>598</v>
      </c>
      <c r="AM40" t="s">
        <v>599</v>
      </c>
      <c r="AN40" t="s">
        <v>600</v>
      </c>
      <c r="AO40" t="s">
        <v>601</v>
      </c>
      <c r="AP40" t="s">
        <v>602</v>
      </c>
      <c r="AQ40" t="s">
        <v>603</v>
      </c>
      <c r="AR40" t="s">
        <v>604</v>
      </c>
      <c r="AS40" t="s">
        <v>605</v>
      </c>
    </row>
    <row r="41" spans="1:45" x14ac:dyDescent="0.45">
      <c r="A41">
        <v>40</v>
      </c>
      <c r="B41">
        <v>2065</v>
      </c>
      <c r="C41" t="s">
        <v>78</v>
      </c>
      <c r="D41" t="s">
        <v>73</v>
      </c>
      <c r="E41" t="s">
        <v>74</v>
      </c>
      <c r="F41" t="s">
        <v>77</v>
      </c>
      <c r="G41" t="s">
        <v>76</v>
      </c>
      <c r="H41">
        <v>213.1129214539863</v>
      </c>
      <c r="I41">
        <v>1</v>
      </c>
      <c r="J41">
        <v>9</v>
      </c>
      <c r="K41">
        <v>8</v>
      </c>
      <c r="L41">
        <v>1</v>
      </c>
      <c r="M41">
        <v>8</v>
      </c>
      <c r="N41">
        <v>8</v>
      </c>
      <c r="O41">
        <v>0</v>
      </c>
      <c r="P41">
        <v>9</v>
      </c>
      <c r="Q41">
        <v>6</v>
      </c>
      <c r="R41">
        <v>3</v>
      </c>
      <c r="S41">
        <v>8</v>
      </c>
      <c r="T41">
        <v>8</v>
      </c>
      <c r="U41">
        <v>0</v>
      </c>
      <c r="V41">
        <v>9</v>
      </c>
      <c r="W41">
        <v>7</v>
      </c>
      <c r="X41">
        <v>2</v>
      </c>
      <c r="Y41">
        <v>8</v>
      </c>
      <c r="Z41">
        <v>8</v>
      </c>
      <c r="AA41">
        <v>0</v>
      </c>
      <c r="AB41">
        <v>9</v>
      </c>
      <c r="AC41">
        <v>5</v>
      </c>
      <c r="AD41">
        <v>4</v>
      </c>
      <c r="AE41">
        <v>8</v>
      </c>
      <c r="AF41">
        <v>6</v>
      </c>
      <c r="AG41">
        <v>2</v>
      </c>
      <c r="AH41">
        <v>9</v>
      </c>
      <c r="AI41">
        <v>7</v>
      </c>
      <c r="AJ41">
        <v>2</v>
      </c>
      <c r="AK41" t="s">
        <v>606</v>
      </c>
      <c r="AL41" t="s">
        <v>607</v>
      </c>
      <c r="AM41" t="s">
        <v>608</v>
      </c>
      <c r="AN41" t="s">
        <v>609</v>
      </c>
      <c r="AO41" t="s">
        <v>610</v>
      </c>
      <c r="AP41" t="s">
        <v>611</v>
      </c>
      <c r="AQ41" t="s">
        <v>612</v>
      </c>
      <c r="AR41" t="s">
        <v>613</v>
      </c>
      <c r="AS41" t="s">
        <v>614</v>
      </c>
    </row>
    <row r="42" spans="1:45" x14ac:dyDescent="0.45">
      <c r="A42">
        <v>41</v>
      </c>
      <c r="B42">
        <v>2066</v>
      </c>
      <c r="C42" t="s">
        <v>78</v>
      </c>
      <c r="D42" t="s">
        <v>73</v>
      </c>
      <c r="E42" t="s">
        <v>74</v>
      </c>
      <c r="F42" t="s">
        <v>77</v>
      </c>
      <c r="G42" t="s">
        <v>76</v>
      </c>
      <c r="H42">
        <v>70.305033061748276</v>
      </c>
      <c r="I42">
        <v>2</v>
      </c>
      <c r="J42">
        <v>8</v>
      </c>
      <c r="K42">
        <v>9</v>
      </c>
      <c r="L42">
        <v>-1</v>
      </c>
      <c r="M42">
        <v>9</v>
      </c>
      <c r="N42">
        <v>8</v>
      </c>
      <c r="O42">
        <v>1</v>
      </c>
      <c r="P42">
        <v>8</v>
      </c>
      <c r="Q42">
        <v>7</v>
      </c>
      <c r="R42">
        <v>1</v>
      </c>
      <c r="S42">
        <v>9</v>
      </c>
      <c r="T42">
        <v>8</v>
      </c>
      <c r="U42">
        <v>1</v>
      </c>
      <c r="V42">
        <v>8</v>
      </c>
      <c r="W42">
        <v>7</v>
      </c>
      <c r="X42">
        <v>1</v>
      </c>
      <c r="Y42">
        <v>9</v>
      </c>
      <c r="Z42">
        <v>4</v>
      </c>
      <c r="AA42">
        <v>5</v>
      </c>
      <c r="AB42">
        <v>8</v>
      </c>
      <c r="AC42">
        <v>2</v>
      </c>
      <c r="AD42">
        <v>6</v>
      </c>
      <c r="AE42">
        <v>9</v>
      </c>
      <c r="AF42">
        <v>8</v>
      </c>
      <c r="AG42">
        <v>1</v>
      </c>
      <c r="AH42">
        <v>10</v>
      </c>
      <c r="AI42">
        <v>8</v>
      </c>
      <c r="AJ42">
        <v>2</v>
      </c>
      <c r="AK42" t="s">
        <v>615</v>
      </c>
      <c r="AL42" t="s">
        <v>616</v>
      </c>
      <c r="AM42" t="s">
        <v>617</v>
      </c>
      <c r="AN42" t="s">
        <v>618</v>
      </c>
      <c r="AO42" t="s">
        <v>619</v>
      </c>
      <c r="AP42" t="s">
        <v>620</v>
      </c>
      <c r="AQ42" t="s">
        <v>621</v>
      </c>
      <c r="AR42" t="s">
        <v>622</v>
      </c>
      <c r="AS42" t="s">
        <v>623</v>
      </c>
    </row>
    <row r="43" spans="1:45" x14ac:dyDescent="0.45">
      <c r="A43">
        <v>42</v>
      </c>
      <c r="B43">
        <v>2067</v>
      </c>
      <c r="C43" t="s">
        <v>72</v>
      </c>
      <c r="D43" t="s">
        <v>73</v>
      </c>
      <c r="E43" t="s">
        <v>74</v>
      </c>
      <c r="F43" t="s">
        <v>77</v>
      </c>
      <c r="G43" t="s">
        <v>76</v>
      </c>
      <c r="H43">
        <v>44.491598483886804</v>
      </c>
      <c r="I43">
        <v>3</v>
      </c>
      <c r="J43">
        <v>7</v>
      </c>
      <c r="K43">
        <v>10</v>
      </c>
      <c r="L43">
        <v>-3</v>
      </c>
      <c r="M43">
        <v>8</v>
      </c>
      <c r="N43">
        <v>10</v>
      </c>
      <c r="O43">
        <v>-2</v>
      </c>
      <c r="P43">
        <v>9</v>
      </c>
      <c r="Q43">
        <v>9</v>
      </c>
      <c r="R43">
        <v>0</v>
      </c>
      <c r="S43">
        <v>9</v>
      </c>
      <c r="T43">
        <v>8</v>
      </c>
      <c r="U43">
        <v>1</v>
      </c>
      <c r="V43">
        <v>8</v>
      </c>
      <c r="W43">
        <v>7</v>
      </c>
      <c r="X43">
        <v>1</v>
      </c>
      <c r="Y43">
        <v>9</v>
      </c>
      <c r="Z43">
        <v>9</v>
      </c>
      <c r="AA43">
        <v>0</v>
      </c>
      <c r="AB43">
        <v>7</v>
      </c>
      <c r="AC43">
        <v>9</v>
      </c>
      <c r="AD43">
        <v>-2</v>
      </c>
      <c r="AE43">
        <v>8</v>
      </c>
      <c r="AF43">
        <v>8</v>
      </c>
      <c r="AG43">
        <v>0</v>
      </c>
      <c r="AH43">
        <v>9</v>
      </c>
      <c r="AI43">
        <v>8</v>
      </c>
      <c r="AJ43">
        <v>1</v>
      </c>
      <c r="AK43" t="s">
        <v>624</v>
      </c>
      <c r="AL43" t="s">
        <v>625</v>
      </c>
      <c r="AM43" t="s">
        <v>626</v>
      </c>
      <c r="AN43" t="s">
        <v>627</v>
      </c>
      <c r="AO43" t="s">
        <v>628</v>
      </c>
      <c r="AP43" t="s">
        <v>629</v>
      </c>
      <c r="AQ43" t="s">
        <v>630</v>
      </c>
      <c r="AR43" t="s">
        <v>631</v>
      </c>
      <c r="AS43" t="s">
        <v>632</v>
      </c>
    </row>
    <row r="44" spans="1:45" x14ac:dyDescent="0.45">
      <c r="A44">
        <v>43</v>
      </c>
      <c r="B44">
        <v>2068</v>
      </c>
      <c r="C44" t="s">
        <v>72</v>
      </c>
      <c r="D44" t="s">
        <v>73</v>
      </c>
      <c r="E44" t="s">
        <v>74</v>
      </c>
      <c r="F44" t="s">
        <v>77</v>
      </c>
      <c r="G44" t="s">
        <v>76</v>
      </c>
      <c r="H44">
        <v>219.69463858226527</v>
      </c>
      <c r="I44">
        <v>2</v>
      </c>
      <c r="J44">
        <v>6</v>
      </c>
      <c r="K44">
        <v>6</v>
      </c>
      <c r="L44">
        <v>0</v>
      </c>
      <c r="M44">
        <v>7</v>
      </c>
      <c r="N44">
        <v>6</v>
      </c>
      <c r="O44">
        <v>1</v>
      </c>
      <c r="P44">
        <v>8</v>
      </c>
      <c r="Q44">
        <v>8</v>
      </c>
      <c r="R44">
        <v>0</v>
      </c>
      <c r="S44">
        <v>9</v>
      </c>
      <c r="T44">
        <v>10</v>
      </c>
      <c r="U44">
        <v>-1</v>
      </c>
      <c r="V44">
        <v>8</v>
      </c>
      <c r="W44">
        <v>9</v>
      </c>
      <c r="X44">
        <v>-1</v>
      </c>
      <c r="Y44">
        <v>9</v>
      </c>
      <c r="Z44">
        <v>1</v>
      </c>
      <c r="AA44">
        <v>8</v>
      </c>
      <c r="AB44">
        <v>8</v>
      </c>
      <c r="AC44">
        <v>7</v>
      </c>
      <c r="AD44">
        <v>1</v>
      </c>
      <c r="AE44">
        <v>9</v>
      </c>
      <c r="AF44">
        <v>7</v>
      </c>
      <c r="AG44">
        <v>2</v>
      </c>
      <c r="AH44">
        <v>9</v>
      </c>
      <c r="AI44">
        <v>8</v>
      </c>
      <c r="AJ44">
        <v>1</v>
      </c>
      <c r="AK44" t="s">
        <v>633</v>
      </c>
      <c r="AL44" t="s">
        <v>634</v>
      </c>
      <c r="AM44" t="s">
        <v>635</v>
      </c>
      <c r="AN44" t="s">
        <v>636</v>
      </c>
      <c r="AO44" t="s">
        <v>637</v>
      </c>
      <c r="AP44" t="s">
        <v>638</v>
      </c>
      <c r="AQ44" t="s">
        <v>639</v>
      </c>
      <c r="AR44" t="s">
        <v>640</v>
      </c>
      <c r="AS44" t="s">
        <v>641</v>
      </c>
    </row>
    <row r="45" spans="1:45" x14ac:dyDescent="0.45">
      <c r="A45">
        <v>44</v>
      </c>
      <c r="B45">
        <v>2069</v>
      </c>
      <c r="C45" t="s">
        <v>78</v>
      </c>
      <c r="D45" t="s">
        <v>73</v>
      </c>
      <c r="E45" t="s">
        <v>74</v>
      </c>
      <c r="F45" t="s">
        <v>77</v>
      </c>
      <c r="G45" t="s">
        <v>76</v>
      </c>
      <c r="H45">
        <v>25.502999772061084</v>
      </c>
      <c r="I45">
        <v>1</v>
      </c>
      <c r="J45">
        <v>7</v>
      </c>
      <c r="K45">
        <v>8</v>
      </c>
      <c r="L45">
        <v>-1</v>
      </c>
      <c r="M45">
        <v>8</v>
      </c>
      <c r="N45">
        <v>8</v>
      </c>
      <c r="O45">
        <v>0</v>
      </c>
      <c r="P45">
        <v>9</v>
      </c>
      <c r="Q45">
        <v>8</v>
      </c>
      <c r="R45">
        <v>1</v>
      </c>
      <c r="S45">
        <v>10</v>
      </c>
      <c r="T45">
        <v>8</v>
      </c>
      <c r="U45">
        <v>2</v>
      </c>
      <c r="V45">
        <v>9</v>
      </c>
      <c r="W45">
        <v>8</v>
      </c>
      <c r="X45">
        <v>1</v>
      </c>
      <c r="Y45">
        <v>8</v>
      </c>
      <c r="Z45">
        <v>8</v>
      </c>
      <c r="AA45">
        <v>0</v>
      </c>
      <c r="AB45">
        <v>9</v>
      </c>
      <c r="AC45">
        <v>9</v>
      </c>
      <c r="AD45">
        <v>0</v>
      </c>
      <c r="AE45">
        <v>8</v>
      </c>
      <c r="AF45">
        <v>5</v>
      </c>
      <c r="AG45">
        <v>3</v>
      </c>
      <c r="AH45">
        <v>9</v>
      </c>
      <c r="AI45">
        <v>9</v>
      </c>
      <c r="AJ45">
        <v>0</v>
      </c>
      <c r="AK45" t="s">
        <v>642</v>
      </c>
      <c r="AL45" t="s">
        <v>643</v>
      </c>
      <c r="AM45" t="s">
        <v>644</v>
      </c>
      <c r="AN45" t="s">
        <v>645</v>
      </c>
      <c r="AO45" t="s">
        <v>646</v>
      </c>
      <c r="AP45" t="s">
        <v>647</v>
      </c>
      <c r="AQ45" t="s">
        <v>648</v>
      </c>
      <c r="AR45" t="s">
        <v>649</v>
      </c>
      <c r="AS45" t="s">
        <v>650</v>
      </c>
    </row>
    <row r="46" spans="1:45" x14ac:dyDescent="0.45">
      <c r="A46">
        <v>45</v>
      </c>
      <c r="B46">
        <v>2070</v>
      </c>
      <c r="C46" t="s">
        <v>72</v>
      </c>
      <c r="D46" t="s">
        <v>79</v>
      </c>
      <c r="E46" t="s">
        <v>74</v>
      </c>
      <c r="F46" t="s">
        <v>77</v>
      </c>
      <c r="G46" t="s">
        <v>76</v>
      </c>
      <c r="H46">
        <v>25.014512247536622</v>
      </c>
      <c r="I46">
        <v>2</v>
      </c>
      <c r="J46">
        <v>8</v>
      </c>
      <c r="K46">
        <v>10</v>
      </c>
      <c r="L46">
        <v>-2</v>
      </c>
      <c r="M46">
        <v>7</v>
      </c>
      <c r="N46">
        <v>10</v>
      </c>
      <c r="O46">
        <v>-3</v>
      </c>
      <c r="P46">
        <v>6</v>
      </c>
      <c r="Q46">
        <v>10</v>
      </c>
      <c r="R46">
        <v>-4</v>
      </c>
      <c r="S46">
        <v>9</v>
      </c>
      <c r="T46">
        <v>9</v>
      </c>
      <c r="U46">
        <v>0</v>
      </c>
      <c r="V46">
        <v>7</v>
      </c>
      <c r="W46">
        <v>10</v>
      </c>
      <c r="X46">
        <v>-3</v>
      </c>
      <c r="Y46">
        <v>9</v>
      </c>
      <c r="Z46">
        <v>10</v>
      </c>
      <c r="AA46">
        <v>-1</v>
      </c>
      <c r="AB46">
        <v>7</v>
      </c>
      <c r="AC46">
        <v>10</v>
      </c>
      <c r="AD46">
        <v>-3</v>
      </c>
      <c r="AE46">
        <v>6</v>
      </c>
      <c r="AF46">
        <v>10</v>
      </c>
      <c r="AG46">
        <v>-4</v>
      </c>
      <c r="AH46">
        <v>9</v>
      </c>
      <c r="AI46">
        <v>10</v>
      </c>
      <c r="AJ46">
        <v>-1</v>
      </c>
      <c r="AK46" t="s">
        <v>651</v>
      </c>
      <c r="AL46" t="s">
        <v>652</v>
      </c>
      <c r="AM46" t="s">
        <v>653</v>
      </c>
      <c r="AN46" t="s">
        <v>654</v>
      </c>
      <c r="AO46" t="s">
        <v>655</v>
      </c>
      <c r="AP46" t="s">
        <v>656</v>
      </c>
      <c r="AQ46" t="s">
        <v>657</v>
      </c>
      <c r="AR46" t="s">
        <v>658</v>
      </c>
      <c r="AS46" t="s">
        <v>659</v>
      </c>
    </row>
    <row r="47" spans="1:45" x14ac:dyDescent="0.45">
      <c r="A47">
        <v>46</v>
      </c>
      <c r="B47">
        <v>2071</v>
      </c>
      <c r="C47" t="s">
        <v>72</v>
      </c>
      <c r="D47" t="s">
        <v>192</v>
      </c>
      <c r="E47" t="s">
        <v>80</v>
      </c>
      <c r="F47" t="s">
        <v>77</v>
      </c>
      <c r="G47" t="s">
        <v>76</v>
      </c>
      <c r="H47">
        <v>12</v>
      </c>
      <c r="I47">
        <v>2</v>
      </c>
      <c r="J47">
        <v>7</v>
      </c>
      <c r="K47">
        <v>1</v>
      </c>
      <c r="L47">
        <v>6</v>
      </c>
      <c r="M47">
        <v>6</v>
      </c>
      <c r="N47">
        <v>1</v>
      </c>
      <c r="O47">
        <v>5</v>
      </c>
      <c r="P47">
        <v>8</v>
      </c>
      <c r="Q47">
        <v>2</v>
      </c>
      <c r="R47">
        <v>6</v>
      </c>
      <c r="S47">
        <v>9</v>
      </c>
      <c r="T47">
        <v>1</v>
      </c>
      <c r="U47">
        <v>8</v>
      </c>
      <c r="V47">
        <v>8</v>
      </c>
      <c r="W47">
        <v>1</v>
      </c>
      <c r="X47">
        <v>7</v>
      </c>
      <c r="Y47">
        <v>9</v>
      </c>
      <c r="Z47">
        <v>1</v>
      </c>
      <c r="AA47">
        <v>8</v>
      </c>
      <c r="AB47">
        <v>8</v>
      </c>
      <c r="AC47">
        <v>1</v>
      </c>
      <c r="AD47">
        <v>7</v>
      </c>
      <c r="AE47">
        <v>7</v>
      </c>
      <c r="AF47">
        <v>1</v>
      </c>
      <c r="AG47">
        <v>6</v>
      </c>
      <c r="AH47">
        <v>9</v>
      </c>
      <c r="AI47">
        <v>1</v>
      </c>
      <c r="AJ47">
        <v>8</v>
      </c>
      <c r="AK47" t="s">
        <v>660</v>
      </c>
      <c r="AL47" t="s">
        <v>661</v>
      </c>
      <c r="AM47" t="s">
        <v>662</v>
      </c>
      <c r="AN47" t="s">
        <v>663</v>
      </c>
      <c r="AO47" t="s">
        <v>664</v>
      </c>
      <c r="AP47" t="s">
        <v>665</v>
      </c>
      <c r="AQ47" t="s">
        <v>666</v>
      </c>
      <c r="AR47" t="s">
        <v>667</v>
      </c>
      <c r="AS47" t="s">
        <v>668</v>
      </c>
    </row>
    <row r="48" spans="1:45" x14ac:dyDescent="0.45">
      <c r="A48">
        <v>47</v>
      </c>
      <c r="B48">
        <v>2072</v>
      </c>
      <c r="C48" t="s">
        <v>78</v>
      </c>
      <c r="D48" t="s">
        <v>73</v>
      </c>
      <c r="E48" t="s">
        <v>74</v>
      </c>
      <c r="F48" t="s">
        <v>77</v>
      </c>
      <c r="G48" t="s">
        <v>76</v>
      </c>
      <c r="H48">
        <v>12</v>
      </c>
      <c r="I48">
        <v>0</v>
      </c>
      <c r="J48">
        <v>6</v>
      </c>
      <c r="K48">
        <v>8</v>
      </c>
      <c r="L48">
        <v>-2</v>
      </c>
      <c r="M48">
        <v>7</v>
      </c>
      <c r="N48">
        <v>8</v>
      </c>
      <c r="O48">
        <v>-1</v>
      </c>
      <c r="P48">
        <v>8</v>
      </c>
      <c r="Q48">
        <v>8</v>
      </c>
      <c r="R48">
        <v>0</v>
      </c>
      <c r="S48">
        <v>9</v>
      </c>
      <c r="T48">
        <v>7</v>
      </c>
      <c r="U48">
        <v>2</v>
      </c>
      <c r="V48">
        <v>7</v>
      </c>
      <c r="W48">
        <v>6</v>
      </c>
      <c r="X48">
        <v>1</v>
      </c>
      <c r="Y48">
        <v>8</v>
      </c>
      <c r="Z48">
        <v>8</v>
      </c>
      <c r="AA48">
        <v>0</v>
      </c>
      <c r="AB48">
        <v>7</v>
      </c>
      <c r="AC48">
        <v>8</v>
      </c>
      <c r="AD48">
        <v>-1</v>
      </c>
      <c r="AE48">
        <v>6</v>
      </c>
      <c r="AF48">
        <v>9</v>
      </c>
      <c r="AG48">
        <v>-3</v>
      </c>
      <c r="AH48">
        <v>9</v>
      </c>
      <c r="AI48">
        <v>8</v>
      </c>
      <c r="AJ48">
        <v>1</v>
      </c>
      <c r="AK48" t="s">
        <v>669</v>
      </c>
      <c r="AL48" t="s">
        <v>670</v>
      </c>
      <c r="AM48" t="s">
        <v>671</v>
      </c>
      <c r="AN48" t="s">
        <v>672</v>
      </c>
      <c r="AO48" t="s">
        <v>673</v>
      </c>
      <c r="AP48" t="s">
        <v>674</v>
      </c>
      <c r="AQ48" t="s">
        <v>675</v>
      </c>
      <c r="AR48" t="s">
        <v>676</v>
      </c>
      <c r="AS48" t="s">
        <v>677</v>
      </c>
    </row>
    <row r="49" spans="1:45" x14ac:dyDescent="0.45">
      <c r="A49">
        <v>48</v>
      </c>
      <c r="B49">
        <v>2073</v>
      </c>
      <c r="C49" t="s">
        <v>72</v>
      </c>
      <c r="D49" t="s">
        <v>73</v>
      </c>
      <c r="E49" t="s">
        <v>74</v>
      </c>
      <c r="F49" t="s">
        <v>77</v>
      </c>
      <c r="G49" t="s">
        <v>76</v>
      </c>
      <c r="H49">
        <v>46.731063330532756</v>
      </c>
      <c r="I49">
        <v>3</v>
      </c>
      <c r="J49">
        <v>8</v>
      </c>
      <c r="K49">
        <v>10</v>
      </c>
      <c r="L49">
        <v>-2</v>
      </c>
      <c r="M49">
        <v>8</v>
      </c>
      <c r="N49">
        <v>10</v>
      </c>
      <c r="O49">
        <v>-2</v>
      </c>
      <c r="P49">
        <v>9</v>
      </c>
      <c r="Q49">
        <v>10</v>
      </c>
      <c r="R49">
        <v>-1</v>
      </c>
      <c r="S49">
        <v>9</v>
      </c>
      <c r="T49">
        <v>10</v>
      </c>
      <c r="U49">
        <v>-1</v>
      </c>
      <c r="V49">
        <v>7</v>
      </c>
      <c r="W49">
        <v>10</v>
      </c>
      <c r="X49">
        <v>-3</v>
      </c>
      <c r="Y49">
        <v>9</v>
      </c>
      <c r="Z49">
        <v>10</v>
      </c>
      <c r="AA49">
        <v>-1</v>
      </c>
      <c r="AB49">
        <v>8</v>
      </c>
      <c r="AC49">
        <v>10</v>
      </c>
      <c r="AD49">
        <v>-2</v>
      </c>
      <c r="AE49">
        <v>8</v>
      </c>
      <c r="AF49">
        <v>10</v>
      </c>
      <c r="AG49">
        <v>-2</v>
      </c>
      <c r="AH49">
        <v>8</v>
      </c>
      <c r="AI49">
        <v>10</v>
      </c>
      <c r="AJ49">
        <v>-2</v>
      </c>
      <c r="AK49" t="s">
        <v>678</v>
      </c>
      <c r="AL49" t="s">
        <v>679</v>
      </c>
      <c r="AM49" t="s">
        <v>680</v>
      </c>
      <c r="AN49" t="s">
        <v>681</v>
      </c>
      <c r="AO49" t="s">
        <v>682</v>
      </c>
      <c r="AP49" t="s">
        <v>683</v>
      </c>
      <c r="AQ49" t="s">
        <v>684</v>
      </c>
      <c r="AR49" t="s">
        <v>685</v>
      </c>
      <c r="AS49" t="s">
        <v>686</v>
      </c>
    </row>
    <row r="50" spans="1:45" x14ac:dyDescent="0.45">
      <c r="A50">
        <v>49</v>
      </c>
      <c r="B50">
        <v>2074</v>
      </c>
      <c r="C50" t="s">
        <v>78</v>
      </c>
      <c r="D50" t="s">
        <v>73</v>
      </c>
      <c r="E50" t="s">
        <v>74</v>
      </c>
      <c r="F50" t="s">
        <v>77</v>
      </c>
      <c r="G50" t="s">
        <v>76</v>
      </c>
      <c r="H50">
        <v>127.15811609299585</v>
      </c>
      <c r="I50">
        <v>2</v>
      </c>
      <c r="J50">
        <v>7</v>
      </c>
      <c r="K50">
        <v>8</v>
      </c>
      <c r="L50">
        <v>-1</v>
      </c>
      <c r="M50">
        <v>8</v>
      </c>
      <c r="N50">
        <v>8</v>
      </c>
      <c r="O50">
        <v>0</v>
      </c>
      <c r="P50">
        <v>9</v>
      </c>
      <c r="Q50">
        <v>7</v>
      </c>
      <c r="R50">
        <v>2</v>
      </c>
      <c r="S50">
        <v>10</v>
      </c>
      <c r="T50">
        <v>8</v>
      </c>
      <c r="U50">
        <v>2</v>
      </c>
      <c r="V50">
        <v>7</v>
      </c>
      <c r="W50">
        <v>6</v>
      </c>
      <c r="X50">
        <v>1</v>
      </c>
      <c r="Y50">
        <v>9</v>
      </c>
      <c r="Z50">
        <v>8</v>
      </c>
      <c r="AA50">
        <v>1</v>
      </c>
      <c r="AB50">
        <v>8</v>
      </c>
      <c r="AC50">
        <v>6</v>
      </c>
      <c r="AD50">
        <v>2</v>
      </c>
      <c r="AE50">
        <v>7</v>
      </c>
      <c r="AF50">
        <v>5</v>
      </c>
      <c r="AG50">
        <v>2</v>
      </c>
      <c r="AH50">
        <v>9</v>
      </c>
      <c r="AI50">
        <v>8</v>
      </c>
      <c r="AJ50">
        <v>1</v>
      </c>
      <c r="AK50" t="s">
        <v>687</v>
      </c>
      <c r="AL50" t="s">
        <v>688</v>
      </c>
      <c r="AM50" t="s">
        <v>689</v>
      </c>
      <c r="AN50" t="s">
        <v>690</v>
      </c>
      <c r="AO50" t="s">
        <v>691</v>
      </c>
      <c r="AP50" t="s">
        <v>692</v>
      </c>
      <c r="AQ50" t="s">
        <v>693</v>
      </c>
      <c r="AR50" t="s">
        <v>694</v>
      </c>
      <c r="AS50" t="s">
        <v>695</v>
      </c>
    </row>
    <row r="51" spans="1:45" x14ac:dyDescent="0.45">
      <c r="A51">
        <v>50</v>
      </c>
      <c r="B51">
        <v>2075</v>
      </c>
      <c r="C51" t="s">
        <v>72</v>
      </c>
      <c r="D51" t="s">
        <v>73</v>
      </c>
      <c r="E51" t="s">
        <v>74</v>
      </c>
      <c r="F51" t="s">
        <v>77</v>
      </c>
      <c r="G51" t="s">
        <v>76</v>
      </c>
      <c r="H51">
        <v>20.537467236225865</v>
      </c>
      <c r="I51">
        <v>3</v>
      </c>
      <c r="J51">
        <v>8</v>
      </c>
      <c r="K51">
        <v>10</v>
      </c>
      <c r="L51">
        <v>-2</v>
      </c>
      <c r="M51">
        <v>9</v>
      </c>
      <c r="N51">
        <v>10</v>
      </c>
      <c r="O51">
        <v>-1</v>
      </c>
      <c r="P51">
        <v>8</v>
      </c>
      <c r="Q51">
        <v>10</v>
      </c>
      <c r="R51">
        <v>-2</v>
      </c>
      <c r="S51">
        <v>9</v>
      </c>
      <c r="T51">
        <v>8</v>
      </c>
      <c r="U51">
        <v>1</v>
      </c>
      <c r="V51">
        <v>8</v>
      </c>
      <c r="W51">
        <v>8</v>
      </c>
      <c r="X51">
        <v>0</v>
      </c>
      <c r="Y51">
        <v>9</v>
      </c>
      <c r="Z51">
        <v>8</v>
      </c>
      <c r="AA51">
        <v>1</v>
      </c>
      <c r="AB51">
        <v>8</v>
      </c>
      <c r="AC51">
        <v>8</v>
      </c>
      <c r="AD51">
        <v>0</v>
      </c>
      <c r="AE51">
        <v>9</v>
      </c>
      <c r="AF51">
        <v>8</v>
      </c>
      <c r="AG51">
        <v>1</v>
      </c>
      <c r="AH51">
        <v>8</v>
      </c>
      <c r="AI51">
        <v>8</v>
      </c>
      <c r="AJ51">
        <v>0</v>
      </c>
      <c r="AK51" t="s">
        <v>696</v>
      </c>
      <c r="AL51" t="s">
        <v>697</v>
      </c>
      <c r="AM51" t="s">
        <v>698</v>
      </c>
      <c r="AN51" t="s">
        <v>699</v>
      </c>
      <c r="AO51" t="s">
        <v>700</v>
      </c>
      <c r="AP51" t="s">
        <v>701</v>
      </c>
      <c r="AQ51" t="s">
        <v>702</v>
      </c>
      <c r="AR51" t="s">
        <v>703</v>
      </c>
      <c r="AS51" t="s">
        <v>704</v>
      </c>
    </row>
    <row r="52" spans="1:45" x14ac:dyDescent="0.45">
      <c r="A52">
        <v>51</v>
      </c>
      <c r="B52">
        <v>2076</v>
      </c>
      <c r="C52" t="s">
        <v>78</v>
      </c>
      <c r="D52" t="s">
        <v>81</v>
      </c>
      <c r="E52" t="s">
        <v>74</v>
      </c>
      <c r="F52" t="s">
        <v>77</v>
      </c>
      <c r="G52" t="s">
        <v>76</v>
      </c>
      <c r="H52">
        <v>12.678193407051058</v>
      </c>
      <c r="I52">
        <v>0</v>
      </c>
      <c r="J52">
        <v>6</v>
      </c>
      <c r="K52">
        <v>10</v>
      </c>
      <c r="L52">
        <v>-4</v>
      </c>
      <c r="M52">
        <v>6</v>
      </c>
      <c r="N52">
        <v>10</v>
      </c>
      <c r="O52">
        <v>-4</v>
      </c>
      <c r="P52">
        <v>7</v>
      </c>
      <c r="Q52">
        <v>10</v>
      </c>
      <c r="R52">
        <v>-3</v>
      </c>
      <c r="S52">
        <v>9</v>
      </c>
      <c r="T52">
        <v>10</v>
      </c>
      <c r="U52">
        <v>-1</v>
      </c>
      <c r="V52">
        <v>7</v>
      </c>
      <c r="W52">
        <v>10</v>
      </c>
      <c r="X52">
        <v>-3</v>
      </c>
      <c r="Y52">
        <v>9</v>
      </c>
      <c r="Z52">
        <v>10</v>
      </c>
      <c r="AA52">
        <v>-1</v>
      </c>
      <c r="AB52">
        <v>7</v>
      </c>
      <c r="AC52">
        <v>10</v>
      </c>
      <c r="AD52">
        <v>-3</v>
      </c>
      <c r="AE52">
        <v>8</v>
      </c>
      <c r="AF52">
        <v>10</v>
      </c>
      <c r="AG52">
        <v>-2</v>
      </c>
      <c r="AH52">
        <v>9</v>
      </c>
      <c r="AI52">
        <v>10</v>
      </c>
      <c r="AJ52">
        <v>-1</v>
      </c>
      <c r="AK52" t="s">
        <v>705</v>
      </c>
      <c r="AL52" t="s">
        <v>706</v>
      </c>
      <c r="AM52" t="s">
        <v>707</v>
      </c>
      <c r="AN52" t="s">
        <v>708</v>
      </c>
      <c r="AO52" t="s">
        <v>709</v>
      </c>
      <c r="AP52" t="s">
        <v>710</v>
      </c>
      <c r="AQ52" t="s">
        <v>711</v>
      </c>
      <c r="AR52" t="s">
        <v>712</v>
      </c>
      <c r="AS52" t="s">
        <v>713</v>
      </c>
    </row>
    <row r="53" spans="1:45" x14ac:dyDescent="0.45">
      <c r="A53">
        <v>52</v>
      </c>
      <c r="B53">
        <v>2077</v>
      </c>
      <c r="C53" t="s">
        <v>72</v>
      </c>
      <c r="D53" t="s">
        <v>81</v>
      </c>
      <c r="E53" t="s">
        <v>74</v>
      </c>
      <c r="F53" t="s">
        <v>77</v>
      </c>
      <c r="G53" t="s">
        <v>76</v>
      </c>
      <c r="H53">
        <v>21.908318374234778</v>
      </c>
      <c r="I53">
        <v>1</v>
      </c>
      <c r="J53">
        <v>7</v>
      </c>
      <c r="K53">
        <v>10</v>
      </c>
      <c r="L53">
        <v>-3</v>
      </c>
      <c r="M53">
        <v>6</v>
      </c>
      <c r="N53">
        <v>10</v>
      </c>
      <c r="O53">
        <v>-4</v>
      </c>
      <c r="P53">
        <v>8</v>
      </c>
      <c r="Q53">
        <v>10</v>
      </c>
      <c r="R53">
        <v>-2</v>
      </c>
      <c r="S53">
        <v>9</v>
      </c>
      <c r="T53">
        <v>10</v>
      </c>
      <c r="U53">
        <v>-1</v>
      </c>
      <c r="V53">
        <v>7</v>
      </c>
      <c r="W53">
        <v>10</v>
      </c>
      <c r="X53">
        <v>-3</v>
      </c>
      <c r="Y53">
        <v>9</v>
      </c>
      <c r="Z53">
        <v>10</v>
      </c>
      <c r="AA53">
        <v>-1</v>
      </c>
      <c r="AB53">
        <v>8</v>
      </c>
      <c r="AC53">
        <v>10</v>
      </c>
      <c r="AD53">
        <v>-2</v>
      </c>
      <c r="AE53">
        <v>7</v>
      </c>
      <c r="AF53">
        <v>10</v>
      </c>
      <c r="AG53">
        <v>-3</v>
      </c>
      <c r="AH53">
        <v>8</v>
      </c>
      <c r="AI53">
        <v>8</v>
      </c>
      <c r="AJ53">
        <v>0</v>
      </c>
      <c r="AK53" t="s">
        <v>714</v>
      </c>
      <c r="AL53" t="s">
        <v>715</v>
      </c>
      <c r="AM53" t="s">
        <v>716</v>
      </c>
      <c r="AN53" t="s">
        <v>717</v>
      </c>
      <c r="AO53" t="s">
        <v>718</v>
      </c>
      <c r="AP53" t="s">
        <v>719</v>
      </c>
      <c r="AQ53" t="s">
        <v>720</v>
      </c>
      <c r="AR53" t="s">
        <v>721</v>
      </c>
      <c r="AS53" t="s">
        <v>722</v>
      </c>
    </row>
    <row r="54" spans="1:45" x14ac:dyDescent="0.45">
      <c r="A54">
        <v>53</v>
      </c>
      <c r="B54">
        <v>2078</v>
      </c>
      <c r="C54" t="s">
        <v>78</v>
      </c>
      <c r="D54" t="s">
        <v>81</v>
      </c>
      <c r="E54" t="s">
        <v>74</v>
      </c>
      <c r="F54" t="s">
        <v>75</v>
      </c>
      <c r="G54" t="s">
        <v>76</v>
      </c>
      <c r="H54">
        <v>14.483188240647426</v>
      </c>
      <c r="I54">
        <v>2</v>
      </c>
      <c r="J54">
        <v>8</v>
      </c>
      <c r="K54">
        <v>10</v>
      </c>
      <c r="L54">
        <v>-2</v>
      </c>
      <c r="M54">
        <v>9</v>
      </c>
      <c r="N54">
        <v>10</v>
      </c>
      <c r="O54">
        <v>-1</v>
      </c>
      <c r="P54">
        <v>7</v>
      </c>
      <c r="Q54">
        <v>10</v>
      </c>
      <c r="R54">
        <v>-3</v>
      </c>
      <c r="S54">
        <v>6</v>
      </c>
      <c r="T54">
        <v>10</v>
      </c>
      <c r="U54">
        <v>-4</v>
      </c>
      <c r="V54">
        <v>9</v>
      </c>
      <c r="W54">
        <v>10</v>
      </c>
      <c r="X54">
        <v>-1</v>
      </c>
      <c r="Y54">
        <v>8</v>
      </c>
      <c r="Z54">
        <v>10</v>
      </c>
      <c r="AA54">
        <v>-2</v>
      </c>
      <c r="AB54">
        <v>7</v>
      </c>
      <c r="AC54">
        <v>10</v>
      </c>
      <c r="AD54">
        <v>-3</v>
      </c>
      <c r="AE54">
        <v>8</v>
      </c>
      <c r="AF54">
        <v>10</v>
      </c>
      <c r="AG54">
        <v>-2</v>
      </c>
      <c r="AH54">
        <v>9</v>
      </c>
      <c r="AI54">
        <v>10</v>
      </c>
      <c r="AJ54">
        <v>-1</v>
      </c>
      <c r="AK54" t="s">
        <v>723</v>
      </c>
      <c r="AL54" t="s">
        <v>724</v>
      </c>
      <c r="AM54" t="s">
        <v>725</v>
      </c>
      <c r="AN54" t="s">
        <v>726</v>
      </c>
      <c r="AO54" t="s">
        <v>727</v>
      </c>
      <c r="AP54" t="s">
        <v>728</v>
      </c>
      <c r="AQ54" t="s">
        <v>729</v>
      </c>
      <c r="AR54" t="s">
        <v>730</v>
      </c>
      <c r="AS54" t="s">
        <v>731</v>
      </c>
    </row>
    <row r="55" spans="1:45" x14ac:dyDescent="0.45">
      <c r="A55">
        <v>54</v>
      </c>
      <c r="B55">
        <v>2079</v>
      </c>
      <c r="C55" t="s">
        <v>72</v>
      </c>
      <c r="D55" t="s">
        <v>79</v>
      </c>
      <c r="E55" t="s">
        <v>74</v>
      </c>
      <c r="F55" t="s">
        <v>77</v>
      </c>
      <c r="G55" t="s">
        <v>76</v>
      </c>
      <c r="H55">
        <v>39.885700409580231</v>
      </c>
      <c r="I55">
        <v>2</v>
      </c>
      <c r="J55">
        <v>7</v>
      </c>
      <c r="K55">
        <v>8</v>
      </c>
      <c r="L55">
        <v>-1</v>
      </c>
      <c r="M55">
        <v>6</v>
      </c>
      <c r="N55">
        <v>7</v>
      </c>
      <c r="O55">
        <v>-1</v>
      </c>
      <c r="P55">
        <v>8</v>
      </c>
      <c r="Q55">
        <v>7</v>
      </c>
      <c r="R55">
        <v>1</v>
      </c>
      <c r="S55">
        <v>9</v>
      </c>
      <c r="T55">
        <v>8</v>
      </c>
      <c r="U55">
        <v>1</v>
      </c>
      <c r="V55">
        <v>7</v>
      </c>
      <c r="W55">
        <v>7</v>
      </c>
      <c r="X55">
        <v>0</v>
      </c>
      <c r="Y55">
        <v>8</v>
      </c>
      <c r="Z55">
        <v>8</v>
      </c>
      <c r="AA55">
        <v>0</v>
      </c>
      <c r="AB55">
        <v>6</v>
      </c>
      <c r="AC55">
        <v>7</v>
      </c>
      <c r="AD55">
        <v>-1</v>
      </c>
      <c r="AE55">
        <v>7</v>
      </c>
      <c r="AF55">
        <v>7</v>
      </c>
      <c r="AG55">
        <v>0</v>
      </c>
      <c r="AH55">
        <v>8</v>
      </c>
      <c r="AI55">
        <v>8</v>
      </c>
      <c r="AJ55">
        <v>0</v>
      </c>
      <c r="AK55" t="s">
        <v>732</v>
      </c>
      <c r="AL55" t="s">
        <v>733</v>
      </c>
      <c r="AM55" t="s">
        <v>734</v>
      </c>
      <c r="AN55" t="s">
        <v>735</v>
      </c>
      <c r="AO55" t="s">
        <v>736</v>
      </c>
      <c r="AP55" t="s">
        <v>737</v>
      </c>
      <c r="AQ55" t="s">
        <v>738</v>
      </c>
      <c r="AR55" t="s">
        <v>739</v>
      </c>
      <c r="AS55" t="s">
        <v>740</v>
      </c>
    </row>
    <row r="56" spans="1:45" x14ac:dyDescent="0.45">
      <c r="A56">
        <v>55</v>
      </c>
      <c r="B56">
        <v>2080</v>
      </c>
      <c r="C56" t="s">
        <v>72</v>
      </c>
      <c r="D56" t="s">
        <v>73</v>
      </c>
      <c r="E56" t="s">
        <v>74</v>
      </c>
      <c r="F56" t="s">
        <v>77</v>
      </c>
      <c r="G56" t="s">
        <v>76</v>
      </c>
      <c r="H56">
        <v>33.623516564615294</v>
      </c>
      <c r="I56">
        <v>1</v>
      </c>
      <c r="J56">
        <v>9</v>
      </c>
      <c r="K56">
        <v>10</v>
      </c>
      <c r="L56">
        <v>-1</v>
      </c>
      <c r="M56">
        <v>9</v>
      </c>
      <c r="N56">
        <v>9</v>
      </c>
      <c r="O56">
        <v>0</v>
      </c>
      <c r="P56">
        <v>8</v>
      </c>
      <c r="Q56">
        <v>3</v>
      </c>
      <c r="R56">
        <v>5</v>
      </c>
      <c r="S56">
        <v>9</v>
      </c>
      <c r="T56">
        <v>4</v>
      </c>
      <c r="U56">
        <v>5</v>
      </c>
      <c r="V56">
        <v>8</v>
      </c>
      <c r="W56">
        <v>3</v>
      </c>
      <c r="X56">
        <v>5</v>
      </c>
      <c r="Y56">
        <v>9</v>
      </c>
      <c r="Z56">
        <v>3</v>
      </c>
      <c r="AA56">
        <v>6</v>
      </c>
      <c r="AB56">
        <v>8</v>
      </c>
      <c r="AC56">
        <v>1</v>
      </c>
      <c r="AD56">
        <v>7</v>
      </c>
      <c r="AE56">
        <v>9</v>
      </c>
      <c r="AF56">
        <v>1</v>
      </c>
      <c r="AG56">
        <v>8</v>
      </c>
      <c r="AH56">
        <v>9</v>
      </c>
      <c r="AI56">
        <v>3</v>
      </c>
      <c r="AJ56">
        <v>6</v>
      </c>
      <c r="AK56" t="s">
        <v>741</v>
      </c>
      <c r="AL56" t="s">
        <v>742</v>
      </c>
      <c r="AM56" t="s">
        <v>743</v>
      </c>
      <c r="AN56" t="s">
        <v>744</v>
      </c>
      <c r="AO56" t="s">
        <v>745</v>
      </c>
      <c r="AP56" t="s">
        <v>746</v>
      </c>
      <c r="AQ56" t="s">
        <v>747</v>
      </c>
      <c r="AR56" t="s">
        <v>748</v>
      </c>
      <c r="AS56" t="s">
        <v>749</v>
      </c>
    </row>
    <row r="57" spans="1:45" x14ac:dyDescent="0.45">
      <c r="A57">
        <v>56</v>
      </c>
      <c r="B57">
        <v>2081</v>
      </c>
      <c r="C57" t="s">
        <v>78</v>
      </c>
      <c r="D57" t="s">
        <v>81</v>
      </c>
      <c r="E57" t="s">
        <v>74</v>
      </c>
      <c r="F57" t="s">
        <v>77</v>
      </c>
      <c r="G57" t="s">
        <v>76</v>
      </c>
      <c r="H57">
        <v>12</v>
      </c>
      <c r="I57">
        <v>0</v>
      </c>
      <c r="J57">
        <v>6</v>
      </c>
      <c r="K57">
        <v>10</v>
      </c>
      <c r="L57">
        <v>-4</v>
      </c>
      <c r="M57">
        <v>6</v>
      </c>
      <c r="N57">
        <v>10</v>
      </c>
      <c r="O57">
        <v>-4</v>
      </c>
      <c r="P57">
        <v>8</v>
      </c>
      <c r="Q57">
        <v>9</v>
      </c>
      <c r="R57">
        <v>-1</v>
      </c>
      <c r="S57">
        <v>9</v>
      </c>
      <c r="T57">
        <v>10</v>
      </c>
      <c r="U57">
        <v>-1</v>
      </c>
      <c r="V57">
        <v>6</v>
      </c>
      <c r="W57">
        <v>9</v>
      </c>
      <c r="X57">
        <v>-3</v>
      </c>
      <c r="Y57">
        <v>7</v>
      </c>
      <c r="Z57">
        <v>10</v>
      </c>
      <c r="AA57">
        <v>-3</v>
      </c>
      <c r="AB57">
        <v>6</v>
      </c>
      <c r="AC57">
        <v>9</v>
      </c>
      <c r="AD57">
        <v>-3</v>
      </c>
      <c r="AE57">
        <v>6</v>
      </c>
      <c r="AF57">
        <v>10</v>
      </c>
      <c r="AG57">
        <v>-4</v>
      </c>
      <c r="AH57">
        <v>7</v>
      </c>
      <c r="AI57">
        <v>9</v>
      </c>
      <c r="AJ57">
        <v>-2</v>
      </c>
      <c r="AK57" t="s">
        <v>750</v>
      </c>
      <c r="AL57" t="s">
        <v>751</v>
      </c>
      <c r="AM57" t="s">
        <v>752</v>
      </c>
      <c r="AN57" t="s">
        <v>753</v>
      </c>
      <c r="AO57" t="s">
        <v>754</v>
      </c>
      <c r="AP57" t="s">
        <v>755</v>
      </c>
      <c r="AQ57" t="s">
        <v>756</v>
      </c>
      <c r="AR57" t="s">
        <v>757</v>
      </c>
      <c r="AS57" t="s">
        <v>758</v>
      </c>
    </row>
    <row r="58" spans="1:45" x14ac:dyDescent="0.45">
      <c r="A58">
        <v>57</v>
      </c>
      <c r="B58">
        <v>2082</v>
      </c>
      <c r="C58" t="s">
        <v>72</v>
      </c>
      <c r="D58" t="s">
        <v>73</v>
      </c>
      <c r="E58" t="s">
        <v>74</v>
      </c>
      <c r="F58" t="s">
        <v>77</v>
      </c>
      <c r="G58" t="s">
        <v>76</v>
      </c>
      <c r="H58">
        <v>14.286362299942033</v>
      </c>
      <c r="I58">
        <v>2</v>
      </c>
      <c r="J58">
        <v>7</v>
      </c>
      <c r="K58">
        <v>10</v>
      </c>
      <c r="L58">
        <v>-3</v>
      </c>
      <c r="M58">
        <v>6</v>
      </c>
      <c r="N58">
        <v>10</v>
      </c>
      <c r="O58">
        <v>-4</v>
      </c>
      <c r="P58">
        <v>9</v>
      </c>
      <c r="Q58">
        <v>1</v>
      </c>
      <c r="R58">
        <v>8</v>
      </c>
      <c r="S58">
        <v>9</v>
      </c>
      <c r="T58">
        <v>5</v>
      </c>
      <c r="U58">
        <v>4</v>
      </c>
      <c r="V58">
        <v>8</v>
      </c>
      <c r="W58">
        <v>7</v>
      </c>
      <c r="X58">
        <v>1</v>
      </c>
      <c r="Y58">
        <v>9</v>
      </c>
      <c r="Z58">
        <v>10</v>
      </c>
      <c r="AA58">
        <v>-1</v>
      </c>
      <c r="AB58">
        <v>8</v>
      </c>
      <c r="AC58">
        <v>9</v>
      </c>
      <c r="AD58">
        <v>-1</v>
      </c>
      <c r="AE58">
        <v>7</v>
      </c>
      <c r="AF58">
        <v>9</v>
      </c>
      <c r="AG58">
        <v>-2</v>
      </c>
      <c r="AH58">
        <v>9</v>
      </c>
      <c r="AI58">
        <v>10</v>
      </c>
      <c r="AJ58">
        <v>-1</v>
      </c>
      <c r="AK58" t="s">
        <v>759</v>
      </c>
      <c r="AL58" t="s">
        <v>760</v>
      </c>
      <c r="AM58" t="s">
        <v>761</v>
      </c>
      <c r="AN58" t="s">
        <v>762</v>
      </c>
      <c r="AO58" t="s">
        <v>763</v>
      </c>
      <c r="AP58" t="s">
        <v>764</v>
      </c>
      <c r="AQ58" t="s">
        <v>765</v>
      </c>
      <c r="AR58" t="s">
        <v>766</v>
      </c>
      <c r="AS58" t="s">
        <v>767</v>
      </c>
    </row>
    <row r="59" spans="1:45" x14ac:dyDescent="0.45">
      <c r="A59">
        <v>58</v>
      </c>
      <c r="B59">
        <v>2083</v>
      </c>
      <c r="C59" t="s">
        <v>72</v>
      </c>
      <c r="D59" t="s">
        <v>79</v>
      </c>
      <c r="E59" t="s">
        <v>74</v>
      </c>
      <c r="F59" t="s">
        <v>75</v>
      </c>
      <c r="G59" t="s">
        <v>76</v>
      </c>
      <c r="H59">
        <v>30.771428466564885</v>
      </c>
      <c r="I59">
        <v>1</v>
      </c>
      <c r="J59">
        <v>7</v>
      </c>
      <c r="K59">
        <v>5</v>
      </c>
      <c r="L59">
        <v>2</v>
      </c>
      <c r="M59">
        <v>8</v>
      </c>
      <c r="N59">
        <v>5</v>
      </c>
      <c r="O59">
        <v>3</v>
      </c>
      <c r="P59">
        <v>6</v>
      </c>
      <c r="Q59">
        <v>4</v>
      </c>
      <c r="R59">
        <v>2</v>
      </c>
      <c r="S59">
        <v>9</v>
      </c>
      <c r="T59">
        <v>8</v>
      </c>
      <c r="U59">
        <v>1</v>
      </c>
      <c r="V59">
        <v>7</v>
      </c>
      <c r="W59">
        <v>5</v>
      </c>
      <c r="X59">
        <v>2</v>
      </c>
      <c r="Y59">
        <v>9</v>
      </c>
      <c r="Z59">
        <v>7</v>
      </c>
      <c r="AA59">
        <v>2</v>
      </c>
      <c r="AB59">
        <v>7</v>
      </c>
      <c r="AC59">
        <v>7</v>
      </c>
      <c r="AD59">
        <v>0</v>
      </c>
      <c r="AE59">
        <v>8</v>
      </c>
      <c r="AF59">
        <v>7</v>
      </c>
      <c r="AG59">
        <v>1</v>
      </c>
      <c r="AH59">
        <v>9</v>
      </c>
      <c r="AI59">
        <v>7</v>
      </c>
      <c r="AJ59">
        <v>2</v>
      </c>
      <c r="AK59" t="s">
        <v>768</v>
      </c>
      <c r="AL59" t="s">
        <v>769</v>
      </c>
      <c r="AM59" t="s">
        <v>770</v>
      </c>
      <c r="AN59" t="s">
        <v>771</v>
      </c>
      <c r="AO59" t="s">
        <v>772</v>
      </c>
      <c r="AP59" t="s">
        <v>773</v>
      </c>
      <c r="AQ59" t="s">
        <v>774</v>
      </c>
      <c r="AR59" t="s">
        <v>775</v>
      </c>
      <c r="AS59" t="s">
        <v>776</v>
      </c>
    </row>
    <row r="60" spans="1:45" x14ac:dyDescent="0.45">
      <c r="A60">
        <v>59</v>
      </c>
      <c r="B60">
        <v>2084</v>
      </c>
      <c r="C60" t="s">
        <v>72</v>
      </c>
      <c r="D60" t="s">
        <v>189</v>
      </c>
      <c r="E60" t="s">
        <v>74</v>
      </c>
      <c r="F60" t="s">
        <v>77</v>
      </c>
      <c r="G60" t="s">
        <v>162</v>
      </c>
      <c r="H60">
        <v>12</v>
      </c>
      <c r="I60">
        <v>0</v>
      </c>
      <c r="J60">
        <v>7</v>
      </c>
      <c r="K60">
        <v>9</v>
      </c>
      <c r="L60">
        <v>-2</v>
      </c>
      <c r="M60">
        <v>6</v>
      </c>
      <c r="N60">
        <v>9</v>
      </c>
      <c r="O60">
        <v>-3</v>
      </c>
      <c r="P60">
        <v>9</v>
      </c>
      <c r="Q60">
        <v>9</v>
      </c>
      <c r="R60">
        <v>0</v>
      </c>
      <c r="S60">
        <v>8</v>
      </c>
      <c r="T60">
        <v>7</v>
      </c>
      <c r="U60">
        <v>1</v>
      </c>
      <c r="V60">
        <v>7</v>
      </c>
      <c r="W60">
        <v>7</v>
      </c>
      <c r="X60">
        <v>0</v>
      </c>
      <c r="Y60">
        <v>8</v>
      </c>
      <c r="Z60">
        <v>8</v>
      </c>
      <c r="AA60">
        <v>0</v>
      </c>
      <c r="AB60">
        <v>6</v>
      </c>
      <c r="AC60">
        <v>8</v>
      </c>
      <c r="AD60">
        <v>-2</v>
      </c>
      <c r="AE60">
        <v>5</v>
      </c>
      <c r="AF60">
        <v>6</v>
      </c>
      <c r="AG60">
        <v>-1</v>
      </c>
      <c r="AH60">
        <v>8</v>
      </c>
      <c r="AI60">
        <v>5</v>
      </c>
      <c r="AJ60">
        <v>3</v>
      </c>
      <c r="AK60" t="s">
        <v>202</v>
      </c>
      <c r="AL60" t="s">
        <v>202</v>
      </c>
      <c r="AM60" t="s">
        <v>202</v>
      </c>
      <c r="AN60" t="s">
        <v>202</v>
      </c>
      <c r="AO60" t="s">
        <v>202</v>
      </c>
      <c r="AP60" t="s">
        <v>202</v>
      </c>
      <c r="AQ60" t="s">
        <v>202</v>
      </c>
      <c r="AR60" t="s">
        <v>202</v>
      </c>
      <c r="AS60" t="s">
        <v>202</v>
      </c>
    </row>
    <row r="61" spans="1:45" x14ac:dyDescent="0.45">
      <c r="A61">
        <v>60</v>
      </c>
      <c r="B61">
        <v>2085</v>
      </c>
      <c r="C61" t="s">
        <v>78</v>
      </c>
      <c r="D61" t="s">
        <v>81</v>
      </c>
      <c r="E61" t="s">
        <v>74</v>
      </c>
      <c r="F61" t="s">
        <v>77</v>
      </c>
      <c r="G61" t="s">
        <v>76</v>
      </c>
      <c r="H61">
        <v>15.02703303822214</v>
      </c>
      <c r="I61">
        <v>0</v>
      </c>
      <c r="J61">
        <v>8</v>
      </c>
      <c r="K61">
        <v>5</v>
      </c>
      <c r="L61">
        <v>3</v>
      </c>
      <c r="M61">
        <v>8</v>
      </c>
      <c r="N61">
        <v>5</v>
      </c>
      <c r="O61">
        <v>3</v>
      </c>
      <c r="P61">
        <v>9</v>
      </c>
      <c r="Q61">
        <v>5</v>
      </c>
      <c r="R61">
        <v>4</v>
      </c>
      <c r="S61">
        <v>9</v>
      </c>
      <c r="T61">
        <v>5</v>
      </c>
      <c r="U61">
        <v>4</v>
      </c>
      <c r="V61">
        <v>8</v>
      </c>
      <c r="W61">
        <v>5</v>
      </c>
      <c r="X61">
        <v>3</v>
      </c>
      <c r="Y61">
        <v>9</v>
      </c>
      <c r="Z61">
        <v>8</v>
      </c>
      <c r="AA61">
        <v>1</v>
      </c>
      <c r="AB61">
        <v>8</v>
      </c>
      <c r="AC61">
        <v>4</v>
      </c>
      <c r="AD61">
        <v>4</v>
      </c>
      <c r="AE61">
        <v>7</v>
      </c>
      <c r="AF61">
        <v>5</v>
      </c>
      <c r="AG61">
        <v>2</v>
      </c>
      <c r="AH61">
        <v>9</v>
      </c>
      <c r="AI61">
        <v>5</v>
      </c>
      <c r="AJ61">
        <v>4</v>
      </c>
      <c r="AK61" t="s">
        <v>777</v>
      </c>
      <c r="AL61" t="s">
        <v>778</v>
      </c>
      <c r="AM61" t="s">
        <v>779</v>
      </c>
      <c r="AN61" t="s">
        <v>780</v>
      </c>
      <c r="AO61" t="s">
        <v>781</v>
      </c>
      <c r="AP61" t="s">
        <v>782</v>
      </c>
      <c r="AQ61" t="s">
        <v>783</v>
      </c>
      <c r="AR61" t="s">
        <v>784</v>
      </c>
      <c r="AS61" t="s">
        <v>785</v>
      </c>
    </row>
    <row r="62" spans="1:45" x14ac:dyDescent="0.45">
      <c r="A62">
        <v>61</v>
      </c>
      <c r="B62">
        <v>2086</v>
      </c>
      <c r="C62" t="s">
        <v>72</v>
      </c>
      <c r="D62" t="s">
        <v>73</v>
      </c>
      <c r="E62" t="s">
        <v>74</v>
      </c>
      <c r="F62" t="s">
        <v>75</v>
      </c>
      <c r="G62" t="s">
        <v>76</v>
      </c>
      <c r="H62">
        <v>18.332078427425902</v>
      </c>
      <c r="I62">
        <v>1</v>
      </c>
      <c r="J62">
        <v>8</v>
      </c>
      <c r="K62">
        <v>8</v>
      </c>
      <c r="L62">
        <v>0</v>
      </c>
      <c r="M62">
        <v>7</v>
      </c>
      <c r="N62">
        <v>9</v>
      </c>
      <c r="O62">
        <v>-2</v>
      </c>
      <c r="P62">
        <v>8</v>
      </c>
      <c r="Q62">
        <v>9</v>
      </c>
      <c r="R62">
        <v>-1</v>
      </c>
      <c r="S62">
        <v>9</v>
      </c>
      <c r="T62">
        <v>9</v>
      </c>
      <c r="U62">
        <v>0</v>
      </c>
      <c r="V62">
        <v>7</v>
      </c>
      <c r="W62">
        <v>9</v>
      </c>
      <c r="X62">
        <v>-2</v>
      </c>
      <c r="Y62">
        <v>8</v>
      </c>
      <c r="Z62">
        <v>8</v>
      </c>
      <c r="AA62">
        <v>0</v>
      </c>
      <c r="AB62">
        <v>7</v>
      </c>
      <c r="AC62">
        <v>8</v>
      </c>
      <c r="AD62">
        <v>-1</v>
      </c>
      <c r="AE62">
        <v>6</v>
      </c>
      <c r="AF62">
        <v>8</v>
      </c>
      <c r="AG62">
        <v>-2</v>
      </c>
      <c r="AH62">
        <v>7</v>
      </c>
      <c r="AI62">
        <v>9</v>
      </c>
      <c r="AJ62">
        <v>-2</v>
      </c>
      <c r="AK62" t="s">
        <v>786</v>
      </c>
      <c r="AL62" t="s">
        <v>787</v>
      </c>
      <c r="AM62" t="s">
        <v>788</v>
      </c>
      <c r="AN62" t="s">
        <v>789</v>
      </c>
      <c r="AO62" t="s">
        <v>790</v>
      </c>
      <c r="AP62" t="s">
        <v>791</v>
      </c>
      <c r="AQ62" t="s">
        <v>792</v>
      </c>
      <c r="AR62" t="s">
        <v>793</v>
      </c>
      <c r="AS62" t="s">
        <v>794</v>
      </c>
    </row>
    <row r="63" spans="1:45" x14ac:dyDescent="0.45">
      <c r="A63">
        <v>62</v>
      </c>
      <c r="B63">
        <v>2087</v>
      </c>
      <c r="C63" t="s">
        <v>72</v>
      </c>
      <c r="D63" t="s">
        <v>81</v>
      </c>
      <c r="E63" t="s">
        <v>74</v>
      </c>
      <c r="F63" t="s">
        <v>75</v>
      </c>
      <c r="G63" t="s">
        <v>76</v>
      </c>
      <c r="H63">
        <v>26.341976997812576</v>
      </c>
      <c r="I63">
        <v>0</v>
      </c>
      <c r="J63">
        <v>6</v>
      </c>
      <c r="K63">
        <v>9</v>
      </c>
      <c r="L63">
        <v>-3</v>
      </c>
      <c r="M63">
        <v>7</v>
      </c>
      <c r="N63">
        <v>9</v>
      </c>
      <c r="O63">
        <v>-2</v>
      </c>
      <c r="P63">
        <v>9</v>
      </c>
      <c r="Q63">
        <v>7</v>
      </c>
      <c r="R63">
        <v>2</v>
      </c>
      <c r="S63">
        <v>8</v>
      </c>
      <c r="T63">
        <v>6</v>
      </c>
      <c r="U63">
        <v>2</v>
      </c>
      <c r="V63">
        <v>7</v>
      </c>
      <c r="W63">
        <v>7</v>
      </c>
      <c r="X63">
        <v>0</v>
      </c>
      <c r="Y63">
        <v>9</v>
      </c>
      <c r="Z63">
        <v>5</v>
      </c>
      <c r="AA63">
        <v>4</v>
      </c>
      <c r="AB63">
        <v>6</v>
      </c>
      <c r="AC63">
        <v>6</v>
      </c>
      <c r="AD63">
        <v>0</v>
      </c>
      <c r="AE63">
        <v>7</v>
      </c>
      <c r="AF63">
        <v>8</v>
      </c>
      <c r="AG63">
        <v>-1</v>
      </c>
      <c r="AH63">
        <v>8</v>
      </c>
      <c r="AI63">
        <v>5</v>
      </c>
      <c r="AJ63">
        <v>3</v>
      </c>
      <c r="AK63" t="s">
        <v>795</v>
      </c>
      <c r="AL63" t="s">
        <v>796</v>
      </c>
      <c r="AM63" t="s">
        <v>797</v>
      </c>
      <c r="AN63" t="s">
        <v>798</v>
      </c>
      <c r="AO63" t="s">
        <v>799</v>
      </c>
      <c r="AP63" t="s">
        <v>800</v>
      </c>
      <c r="AQ63" t="s">
        <v>801</v>
      </c>
      <c r="AR63" t="s">
        <v>802</v>
      </c>
      <c r="AS63" t="s">
        <v>803</v>
      </c>
    </row>
    <row r="64" spans="1:45" x14ac:dyDescent="0.45">
      <c r="A64">
        <v>63</v>
      </c>
      <c r="B64">
        <v>2088</v>
      </c>
      <c r="C64" t="s">
        <v>72</v>
      </c>
      <c r="D64" t="s">
        <v>192</v>
      </c>
      <c r="E64" t="s">
        <v>80</v>
      </c>
      <c r="F64" t="s">
        <v>77</v>
      </c>
      <c r="G64" t="s">
        <v>76</v>
      </c>
      <c r="H64">
        <v>19.176103235392247</v>
      </c>
      <c r="I64">
        <v>1</v>
      </c>
      <c r="J64">
        <v>7</v>
      </c>
      <c r="K64">
        <v>9</v>
      </c>
      <c r="L64">
        <v>-2</v>
      </c>
      <c r="M64">
        <v>8</v>
      </c>
      <c r="N64">
        <v>9</v>
      </c>
      <c r="O64">
        <v>-1</v>
      </c>
      <c r="P64">
        <v>9</v>
      </c>
      <c r="Q64">
        <v>9</v>
      </c>
      <c r="R64">
        <v>0</v>
      </c>
      <c r="S64">
        <v>10</v>
      </c>
      <c r="T64">
        <v>9</v>
      </c>
      <c r="U64">
        <v>1</v>
      </c>
      <c r="V64">
        <v>9</v>
      </c>
      <c r="W64">
        <v>8</v>
      </c>
      <c r="X64">
        <v>1</v>
      </c>
      <c r="Y64">
        <v>10</v>
      </c>
      <c r="Z64">
        <v>9</v>
      </c>
      <c r="AA64">
        <v>1</v>
      </c>
      <c r="AB64">
        <v>9</v>
      </c>
      <c r="AC64">
        <v>9</v>
      </c>
      <c r="AD64">
        <v>0</v>
      </c>
      <c r="AE64">
        <v>8</v>
      </c>
      <c r="AF64">
        <v>8</v>
      </c>
      <c r="AG64">
        <v>0</v>
      </c>
      <c r="AH64">
        <v>10</v>
      </c>
      <c r="AI64">
        <v>7</v>
      </c>
      <c r="AJ64">
        <v>3</v>
      </c>
      <c r="AK64" t="s">
        <v>804</v>
      </c>
      <c r="AL64" t="s">
        <v>805</v>
      </c>
      <c r="AM64" t="s">
        <v>806</v>
      </c>
      <c r="AN64" t="s">
        <v>807</v>
      </c>
      <c r="AO64" t="s">
        <v>808</v>
      </c>
      <c r="AP64" t="s">
        <v>809</v>
      </c>
      <c r="AQ64" t="s">
        <v>810</v>
      </c>
      <c r="AR64" t="s">
        <v>811</v>
      </c>
      <c r="AS64" t="s">
        <v>812</v>
      </c>
    </row>
    <row r="65" spans="1:45" x14ac:dyDescent="0.45">
      <c r="A65">
        <v>64</v>
      </c>
      <c r="B65">
        <v>2089</v>
      </c>
      <c r="C65" t="s">
        <v>72</v>
      </c>
      <c r="D65" t="s">
        <v>73</v>
      </c>
      <c r="E65" t="s">
        <v>74</v>
      </c>
      <c r="F65" t="s">
        <v>77</v>
      </c>
      <c r="G65" t="s">
        <v>162</v>
      </c>
      <c r="H65">
        <v>117.06931912645403</v>
      </c>
      <c r="I65">
        <v>2</v>
      </c>
      <c r="J65">
        <v>8</v>
      </c>
      <c r="K65">
        <v>9</v>
      </c>
      <c r="L65">
        <v>-1</v>
      </c>
      <c r="M65">
        <v>7</v>
      </c>
      <c r="N65">
        <v>10</v>
      </c>
      <c r="O65">
        <v>-3</v>
      </c>
      <c r="P65">
        <v>9</v>
      </c>
      <c r="Q65">
        <v>9</v>
      </c>
      <c r="R65">
        <v>0</v>
      </c>
      <c r="S65">
        <v>10</v>
      </c>
      <c r="T65">
        <v>10</v>
      </c>
      <c r="U65">
        <v>0</v>
      </c>
      <c r="V65">
        <v>9</v>
      </c>
      <c r="W65">
        <v>10</v>
      </c>
      <c r="X65">
        <v>-1</v>
      </c>
      <c r="Y65">
        <v>8</v>
      </c>
      <c r="Z65">
        <v>5</v>
      </c>
      <c r="AA65">
        <v>3</v>
      </c>
      <c r="AB65">
        <v>9</v>
      </c>
      <c r="AC65">
        <v>10</v>
      </c>
      <c r="AD65">
        <v>-1</v>
      </c>
      <c r="AE65">
        <v>7</v>
      </c>
      <c r="AF65">
        <v>7</v>
      </c>
      <c r="AG65">
        <v>0</v>
      </c>
      <c r="AH65">
        <v>9</v>
      </c>
      <c r="AI65">
        <v>9</v>
      </c>
      <c r="AJ65">
        <v>0</v>
      </c>
      <c r="AK65" t="s">
        <v>813</v>
      </c>
      <c r="AL65" t="s">
        <v>814</v>
      </c>
      <c r="AM65" t="s">
        <v>815</v>
      </c>
      <c r="AN65" t="s">
        <v>816</v>
      </c>
      <c r="AO65" t="s">
        <v>817</v>
      </c>
      <c r="AP65" t="s">
        <v>818</v>
      </c>
      <c r="AQ65" t="s">
        <v>819</v>
      </c>
      <c r="AR65" t="s">
        <v>820</v>
      </c>
      <c r="AS65" t="s">
        <v>821</v>
      </c>
    </row>
    <row r="66" spans="1:45" x14ac:dyDescent="0.45">
      <c r="A66">
        <v>65</v>
      </c>
      <c r="B66">
        <v>2090</v>
      </c>
      <c r="C66" t="s">
        <v>72</v>
      </c>
      <c r="D66" t="s">
        <v>79</v>
      </c>
      <c r="E66" t="s">
        <v>80</v>
      </c>
      <c r="F66" t="s">
        <v>77</v>
      </c>
      <c r="G66" t="s">
        <v>76</v>
      </c>
      <c r="H66">
        <v>12</v>
      </c>
      <c r="I66">
        <v>2</v>
      </c>
      <c r="J66">
        <v>5</v>
      </c>
      <c r="K66">
        <v>10</v>
      </c>
      <c r="L66">
        <v>-5</v>
      </c>
      <c r="M66">
        <v>6</v>
      </c>
      <c r="N66">
        <v>10</v>
      </c>
      <c r="O66">
        <v>-4</v>
      </c>
      <c r="P66">
        <v>8</v>
      </c>
      <c r="Q66">
        <v>10</v>
      </c>
      <c r="R66">
        <v>-2</v>
      </c>
      <c r="S66">
        <v>9</v>
      </c>
      <c r="T66">
        <v>10</v>
      </c>
      <c r="U66">
        <v>-1</v>
      </c>
      <c r="V66">
        <v>8</v>
      </c>
      <c r="W66">
        <v>10</v>
      </c>
      <c r="X66">
        <v>-2</v>
      </c>
      <c r="Y66">
        <v>7</v>
      </c>
      <c r="Z66">
        <v>10</v>
      </c>
      <c r="AA66">
        <v>-3</v>
      </c>
      <c r="AB66">
        <v>8</v>
      </c>
      <c r="AC66">
        <v>10</v>
      </c>
      <c r="AD66">
        <v>-2</v>
      </c>
      <c r="AE66">
        <v>7</v>
      </c>
      <c r="AF66">
        <v>10</v>
      </c>
      <c r="AG66">
        <v>-3</v>
      </c>
      <c r="AH66">
        <v>8</v>
      </c>
      <c r="AI66">
        <v>10</v>
      </c>
      <c r="AJ66">
        <v>-2</v>
      </c>
      <c r="AK66" t="s">
        <v>822</v>
      </c>
      <c r="AL66" t="s">
        <v>823</v>
      </c>
      <c r="AM66" t="s">
        <v>824</v>
      </c>
      <c r="AN66" t="s">
        <v>825</v>
      </c>
      <c r="AO66" t="s">
        <v>826</v>
      </c>
      <c r="AP66" t="s">
        <v>827</v>
      </c>
      <c r="AQ66" t="s">
        <v>828</v>
      </c>
      <c r="AR66" t="s">
        <v>829</v>
      </c>
      <c r="AS66" t="s">
        <v>830</v>
      </c>
    </row>
    <row r="67" spans="1:45" x14ac:dyDescent="0.45">
      <c r="A67">
        <v>66</v>
      </c>
      <c r="B67">
        <v>2091</v>
      </c>
      <c r="C67" t="s">
        <v>72</v>
      </c>
      <c r="D67" t="s">
        <v>81</v>
      </c>
      <c r="E67" t="s">
        <v>74</v>
      </c>
      <c r="F67" t="s">
        <v>191</v>
      </c>
      <c r="G67" t="s">
        <v>76</v>
      </c>
      <c r="H67">
        <v>12.870425584750935</v>
      </c>
      <c r="I67">
        <v>0</v>
      </c>
      <c r="J67">
        <v>7</v>
      </c>
      <c r="K67">
        <v>7</v>
      </c>
      <c r="L67">
        <v>0</v>
      </c>
      <c r="M67">
        <v>6</v>
      </c>
      <c r="N67">
        <v>5</v>
      </c>
      <c r="O67">
        <v>1</v>
      </c>
      <c r="P67">
        <v>9</v>
      </c>
      <c r="Q67">
        <v>3</v>
      </c>
      <c r="R67">
        <v>6</v>
      </c>
      <c r="S67">
        <v>8</v>
      </c>
      <c r="T67">
        <v>5</v>
      </c>
      <c r="U67">
        <v>3</v>
      </c>
      <c r="V67">
        <v>7</v>
      </c>
      <c r="W67">
        <v>4</v>
      </c>
      <c r="X67">
        <v>3</v>
      </c>
      <c r="Y67">
        <v>9</v>
      </c>
      <c r="Z67">
        <v>3</v>
      </c>
      <c r="AA67">
        <v>6</v>
      </c>
      <c r="AB67">
        <v>6</v>
      </c>
      <c r="AC67">
        <v>5</v>
      </c>
      <c r="AD67">
        <v>1</v>
      </c>
      <c r="AE67">
        <v>5</v>
      </c>
      <c r="AF67">
        <v>6</v>
      </c>
      <c r="AG67">
        <v>-1</v>
      </c>
      <c r="AH67">
        <v>8</v>
      </c>
      <c r="AI67">
        <v>6</v>
      </c>
      <c r="AJ67">
        <v>2</v>
      </c>
      <c r="AK67" t="s">
        <v>831</v>
      </c>
      <c r="AL67" t="s">
        <v>832</v>
      </c>
      <c r="AM67" t="s">
        <v>833</v>
      </c>
      <c r="AN67" t="s">
        <v>834</v>
      </c>
      <c r="AO67" t="s">
        <v>835</v>
      </c>
      <c r="AP67" t="s">
        <v>836</v>
      </c>
      <c r="AQ67" t="s">
        <v>837</v>
      </c>
      <c r="AR67" t="s">
        <v>838</v>
      </c>
      <c r="AS67" t="s">
        <v>839</v>
      </c>
    </row>
    <row r="68" spans="1:45" x14ac:dyDescent="0.45">
      <c r="A68">
        <v>67</v>
      </c>
      <c r="B68">
        <v>2092</v>
      </c>
      <c r="C68" t="s">
        <v>78</v>
      </c>
      <c r="D68" t="s">
        <v>79</v>
      </c>
      <c r="E68" t="s">
        <v>74</v>
      </c>
      <c r="F68" t="s">
        <v>75</v>
      </c>
      <c r="G68" t="s">
        <v>76</v>
      </c>
      <c r="H68">
        <v>92.83454409634939</v>
      </c>
      <c r="I68">
        <v>2</v>
      </c>
      <c r="J68">
        <v>7</v>
      </c>
      <c r="K68">
        <v>5</v>
      </c>
      <c r="L68">
        <v>2</v>
      </c>
      <c r="M68">
        <v>6</v>
      </c>
      <c r="N68">
        <v>5</v>
      </c>
      <c r="O68">
        <v>1</v>
      </c>
      <c r="P68">
        <v>8</v>
      </c>
      <c r="Q68">
        <v>4</v>
      </c>
      <c r="R68">
        <v>4</v>
      </c>
      <c r="S68">
        <v>9</v>
      </c>
      <c r="T68">
        <v>4</v>
      </c>
      <c r="U68">
        <v>5</v>
      </c>
      <c r="V68">
        <v>7</v>
      </c>
      <c r="W68">
        <v>2</v>
      </c>
      <c r="X68">
        <v>5</v>
      </c>
      <c r="Y68">
        <v>9</v>
      </c>
      <c r="Z68">
        <v>3</v>
      </c>
      <c r="AA68">
        <v>6</v>
      </c>
      <c r="AB68">
        <v>8</v>
      </c>
      <c r="AC68">
        <v>2</v>
      </c>
      <c r="AD68">
        <v>6</v>
      </c>
      <c r="AE68">
        <v>7</v>
      </c>
      <c r="AF68">
        <v>3</v>
      </c>
      <c r="AG68">
        <v>4</v>
      </c>
      <c r="AH68">
        <v>9</v>
      </c>
      <c r="AI68">
        <v>3</v>
      </c>
      <c r="AJ68">
        <v>6</v>
      </c>
      <c r="AK68" t="s">
        <v>840</v>
      </c>
      <c r="AL68" t="s">
        <v>841</v>
      </c>
      <c r="AM68" t="s">
        <v>842</v>
      </c>
      <c r="AN68" t="s">
        <v>843</v>
      </c>
      <c r="AO68" t="s">
        <v>844</v>
      </c>
      <c r="AP68" t="s">
        <v>845</v>
      </c>
      <c r="AQ68" t="s">
        <v>846</v>
      </c>
      <c r="AR68" t="s">
        <v>847</v>
      </c>
      <c r="AS68" t="s">
        <v>848</v>
      </c>
    </row>
    <row r="69" spans="1:45" x14ac:dyDescent="0.45">
      <c r="A69">
        <v>68</v>
      </c>
      <c r="B69">
        <v>2093</v>
      </c>
      <c r="C69" t="s">
        <v>72</v>
      </c>
      <c r="D69" t="s">
        <v>79</v>
      </c>
      <c r="E69" t="s">
        <v>74</v>
      </c>
      <c r="F69" t="s">
        <v>77</v>
      </c>
      <c r="G69" t="s">
        <v>76</v>
      </c>
      <c r="H69">
        <v>68.339576582534093</v>
      </c>
      <c r="I69">
        <v>2</v>
      </c>
      <c r="J69">
        <v>8</v>
      </c>
      <c r="K69">
        <v>4</v>
      </c>
      <c r="L69">
        <v>4</v>
      </c>
      <c r="M69">
        <v>7</v>
      </c>
      <c r="N69">
        <v>3</v>
      </c>
      <c r="O69">
        <v>4</v>
      </c>
      <c r="P69">
        <v>9</v>
      </c>
      <c r="Q69">
        <v>1</v>
      </c>
      <c r="R69">
        <v>8</v>
      </c>
      <c r="S69">
        <v>8</v>
      </c>
      <c r="T69">
        <v>5</v>
      </c>
      <c r="U69">
        <v>3</v>
      </c>
      <c r="V69">
        <v>6</v>
      </c>
      <c r="W69">
        <v>4</v>
      </c>
      <c r="X69">
        <v>2</v>
      </c>
      <c r="Y69">
        <v>9</v>
      </c>
      <c r="Z69">
        <v>3</v>
      </c>
      <c r="AA69">
        <v>6</v>
      </c>
      <c r="AB69">
        <v>7</v>
      </c>
      <c r="AC69">
        <v>1</v>
      </c>
      <c r="AD69">
        <v>6</v>
      </c>
      <c r="AE69">
        <v>6</v>
      </c>
      <c r="AF69">
        <v>3</v>
      </c>
      <c r="AG69">
        <v>3</v>
      </c>
      <c r="AH69">
        <v>8</v>
      </c>
      <c r="AI69">
        <v>5</v>
      </c>
      <c r="AJ69">
        <v>3</v>
      </c>
      <c r="AK69" t="s">
        <v>849</v>
      </c>
      <c r="AL69" t="s">
        <v>850</v>
      </c>
      <c r="AM69" t="s">
        <v>851</v>
      </c>
      <c r="AN69" t="s">
        <v>852</v>
      </c>
      <c r="AO69" t="s">
        <v>853</v>
      </c>
      <c r="AP69" t="s">
        <v>854</v>
      </c>
      <c r="AQ69" t="s">
        <v>855</v>
      </c>
      <c r="AR69" t="s">
        <v>856</v>
      </c>
      <c r="AS69" t="s">
        <v>857</v>
      </c>
    </row>
    <row r="70" spans="1:45" x14ac:dyDescent="0.45">
      <c r="A70">
        <v>69</v>
      </c>
      <c r="B70">
        <v>2094</v>
      </c>
      <c r="C70" t="s">
        <v>78</v>
      </c>
      <c r="D70" t="s">
        <v>81</v>
      </c>
      <c r="E70" t="s">
        <v>74</v>
      </c>
      <c r="F70" t="s">
        <v>77</v>
      </c>
      <c r="G70" t="s">
        <v>76</v>
      </c>
      <c r="H70">
        <v>18.177356308135195</v>
      </c>
      <c r="I70">
        <v>0</v>
      </c>
      <c r="J70">
        <v>7</v>
      </c>
      <c r="K70">
        <v>7</v>
      </c>
      <c r="L70">
        <v>0</v>
      </c>
      <c r="M70">
        <v>6</v>
      </c>
      <c r="N70">
        <v>7</v>
      </c>
      <c r="O70">
        <v>-1</v>
      </c>
      <c r="P70">
        <v>8</v>
      </c>
      <c r="Q70">
        <v>8</v>
      </c>
      <c r="R70">
        <v>0</v>
      </c>
      <c r="S70">
        <v>9</v>
      </c>
      <c r="T70">
        <v>9</v>
      </c>
      <c r="U70">
        <v>0</v>
      </c>
      <c r="V70">
        <v>8</v>
      </c>
      <c r="W70">
        <v>8</v>
      </c>
      <c r="X70">
        <v>0</v>
      </c>
      <c r="Y70">
        <v>9</v>
      </c>
      <c r="Z70">
        <v>10</v>
      </c>
      <c r="AA70">
        <v>-1</v>
      </c>
      <c r="AB70">
        <v>8</v>
      </c>
      <c r="AC70">
        <v>9</v>
      </c>
      <c r="AD70">
        <v>-1</v>
      </c>
      <c r="AE70">
        <v>7</v>
      </c>
      <c r="AF70">
        <v>9</v>
      </c>
      <c r="AG70">
        <v>-2</v>
      </c>
      <c r="AH70">
        <v>9</v>
      </c>
      <c r="AI70">
        <v>9</v>
      </c>
      <c r="AJ70">
        <v>0</v>
      </c>
      <c r="AK70" t="s">
        <v>858</v>
      </c>
      <c r="AL70" t="s">
        <v>859</v>
      </c>
      <c r="AM70" t="s">
        <v>860</v>
      </c>
      <c r="AN70" t="s">
        <v>861</v>
      </c>
      <c r="AO70" t="s">
        <v>862</v>
      </c>
      <c r="AP70" t="s">
        <v>863</v>
      </c>
      <c r="AQ70" t="s">
        <v>864</v>
      </c>
      <c r="AR70" t="s">
        <v>865</v>
      </c>
      <c r="AS70" t="s">
        <v>866</v>
      </c>
    </row>
    <row r="71" spans="1:45" x14ac:dyDescent="0.45">
      <c r="A71">
        <v>70</v>
      </c>
      <c r="B71">
        <v>2095</v>
      </c>
      <c r="C71" t="s">
        <v>78</v>
      </c>
      <c r="D71" t="s">
        <v>79</v>
      </c>
      <c r="E71" t="s">
        <v>74</v>
      </c>
      <c r="F71" t="s">
        <v>75</v>
      </c>
      <c r="G71" t="s">
        <v>162</v>
      </c>
      <c r="H71">
        <v>234.86312148195492</v>
      </c>
      <c r="I71">
        <v>1</v>
      </c>
      <c r="J71">
        <v>8</v>
      </c>
      <c r="K71">
        <v>6</v>
      </c>
      <c r="L71">
        <v>2</v>
      </c>
      <c r="M71">
        <v>9</v>
      </c>
      <c r="N71">
        <v>6</v>
      </c>
      <c r="O71">
        <v>3</v>
      </c>
      <c r="P71">
        <v>7</v>
      </c>
      <c r="Q71">
        <v>5</v>
      </c>
      <c r="R71">
        <v>2</v>
      </c>
      <c r="S71">
        <v>9</v>
      </c>
      <c r="T71">
        <v>5</v>
      </c>
      <c r="U71">
        <v>4</v>
      </c>
      <c r="V71">
        <v>8</v>
      </c>
      <c r="W71">
        <v>5</v>
      </c>
      <c r="X71">
        <v>3</v>
      </c>
      <c r="Y71">
        <v>9</v>
      </c>
      <c r="Z71">
        <v>1</v>
      </c>
      <c r="AA71">
        <v>8</v>
      </c>
      <c r="AB71">
        <v>8</v>
      </c>
      <c r="AC71">
        <v>5</v>
      </c>
      <c r="AD71">
        <v>3</v>
      </c>
      <c r="AE71">
        <v>9</v>
      </c>
      <c r="AF71">
        <v>5</v>
      </c>
      <c r="AG71">
        <v>4</v>
      </c>
      <c r="AH71">
        <v>8</v>
      </c>
      <c r="AI71">
        <v>5</v>
      </c>
      <c r="AJ71">
        <v>3</v>
      </c>
      <c r="AK71" t="s">
        <v>867</v>
      </c>
      <c r="AL71" t="s">
        <v>868</v>
      </c>
      <c r="AM71" t="s">
        <v>869</v>
      </c>
      <c r="AN71" t="s">
        <v>870</v>
      </c>
      <c r="AO71" t="s">
        <v>871</v>
      </c>
      <c r="AP71" t="s">
        <v>872</v>
      </c>
      <c r="AQ71" t="s">
        <v>873</v>
      </c>
      <c r="AR71" t="s">
        <v>874</v>
      </c>
      <c r="AS71" t="s">
        <v>253</v>
      </c>
    </row>
    <row r="72" spans="1:45" x14ac:dyDescent="0.45">
      <c r="A72">
        <v>71</v>
      </c>
      <c r="B72">
        <v>2096</v>
      </c>
      <c r="C72" t="s">
        <v>72</v>
      </c>
      <c r="D72" t="s">
        <v>73</v>
      </c>
      <c r="E72" t="s">
        <v>74</v>
      </c>
      <c r="F72" t="s">
        <v>75</v>
      </c>
      <c r="G72" t="s">
        <v>76</v>
      </c>
      <c r="H72">
        <v>24.219488216535261</v>
      </c>
      <c r="I72">
        <v>2</v>
      </c>
      <c r="J72">
        <v>8</v>
      </c>
      <c r="K72">
        <v>3</v>
      </c>
      <c r="L72">
        <v>5</v>
      </c>
      <c r="M72">
        <v>9</v>
      </c>
      <c r="N72">
        <v>3</v>
      </c>
      <c r="O72">
        <v>6</v>
      </c>
      <c r="P72">
        <v>8</v>
      </c>
      <c r="Q72">
        <v>3</v>
      </c>
      <c r="R72">
        <v>5</v>
      </c>
      <c r="S72">
        <v>10</v>
      </c>
      <c r="T72">
        <v>5</v>
      </c>
      <c r="U72">
        <v>5</v>
      </c>
      <c r="V72">
        <v>9</v>
      </c>
      <c r="W72">
        <v>3</v>
      </c>
      <c r="X72">
        <v>6</v>
      </c>
      <c r="Y72">
        <v>10</v>
      </c>
      <c r="Z72">
        <v>3</v>
      </c>
      <c r="AA72">
        <v>7</v>
      </c>
      <c r="AB72">
        <v>8</v>
      </c>
      <c r="AC72">
        <v>3</v>
      </c>
      <c r="AD72">
        <v>5</v>
      </c>
      <c r="AE72">
        <v>10</v>
      </c>
      <c r="AF72">
        <v>3</v>
      </c>
      <c r="AG72">
        <v>7</v>
      </c>
      <c r="AH72">
        <v>10</v>
      </c>
      <c r="AI72">
        <v>4</v>
      </c>
      <c r="AJ72">
        <v>6</v>
      </c>
      <c r="AK72" t="s">
        <v>875</v>
      </c>
      <c r="AL72" t="s">
        <v>876</v>
      </c>
      <c r="AM72" t="s">
        <v>877</v>
      </c>
      <c r="AN72" t="s">
        <v>878</v>
      </c>
      <c r="AO72" t="s">
        <v>879</v>
      </c>
      <c r="AP72" t="s">
        <v>880</v>
      </c>
      <c r="AQ72" t="s">
        <v>881</v>
      </c>
      <c r="AR72" t="s">
        <v>882</v>
      </c>
      <c r="AS72" t="s">
        <v>883</v>
      </c>
    </row>
    <row r="73" spans="1:45" x14ac:dyDescent="0.45">
      <c r="A73">
        <v>72</v>
      </c>
      <c r="B73">
        <v>2097</v>
      </c>
      <c r="C73" t="s">
        <v>78</v>
      </c>
      <c r="D73" t="s">
        <v>73</v>
      </c>
      <c r="E73" t="s">
        <v>74</v>
      </c>
      <c r="F73" t="s">
        <v>77</v>
      </c>
      <c r="G73" t="s">
        <v>162</v>
      </c>
      <c r="H73">
        <v>18.411774060836969</v>
      </c>
      <c r="I73">
        <v>3</v>
      </c>
      <c r="J73">
        <v>7</v>
      </c>
      <c r="K73">
        <v>8</v>
      </c>
      <c r="L73">
        <v>-1</v>
      </c>
      <c r="M73">
        <v>6</v>
      </c>
      <c r="N73">
        <v>8</v>
      </c>
      <c r="O73">
        <v>-2</v>
      </c>
      <c r="P73">
        <v>8</v>
      </c>
      <c r="Q73">
        <v>4</v>
      </c>
      <c r="R73">
        <v>4</v>
      </c>
      <c r="S73">
        <v>9</v>
      </c>
      <c r="T73">
        <v>2</v>
      </c>
      <c r="U73">
        <v>7</v>
      </c>
      <c r="V73">
        <v>7</v>
      </c>
      <c r="W73">
        <v>6</v>
      </c>
      <c r="X73">
        <v>1</v>
      </c>
      <c r="Y73">
        <v>9</v>
      </c>
      <c r="Z73">
        <v>3</v>
      </c>
      <c r="AA73">
        <v>6</v>
      </c>
      <c r="AB73">
        <v>8</v>
      </c>
      <c r="AC73">
        <v>8</v>
      </c>
      <c r="AD73">
        <v>0</v>
      </c>
      <c r="AE73">
        <v>6</v>
      </c>
      <c r="AF73">
        <v>4</v>
      </c>
      <c r="AG73">
        <v>2</v>
      </c>
      <c r="AH73">
        <v>5</v>
      </c>
      <c r="AI73">
        <v>8</v>
      </c>
      <c r="AJ73">
        <v>-3</v>
      </c>
      <c r="AK73" t="s">
        <v>884</v>
      </c>
      <c r="AL73" t="s">
        <v>885</v>
      </c>
      <c r="AM73" t="s">
        <v>886</v>
      </c>
      <c r="AN73" t="s">
        <v>887</v>
      </c>
      <c r="AO73" t="s">
        <v>888</v>
      </c>
      <c r="AP73" t="s">
        <v>889</v>
      </c>
      <c r="AQ73" t="s">
        <v>890</v>
      </c>
      <c r="AR73" t="s">
        <v>891</v>
      </c>
      <c r="AS73" t="s">
        <v>892</v>
      </c>
    </row>
    <row r="74" spans="1:45" x14ac:dyDescent="0.45">
      <c r="A74">
        <v>73</v>
      </c>
      <c r="B74">
        <v>2098</v>
      </c>
      <c r="C74" t="s">
        <v>78</v>
      </c>
      <c r="D74" t="s">
        <v>189</v>
      </c>
      <c r="E74" t="s">
        <v>74</v>
      </c>
      <c r="F74" t="s">
        <v>193</v>
      </c>
      <c r="G74" t="s">
        <v>76</v>
      </c>
      <c r="H74">
        <v>14.186306823579844</v>
      </c>
      <c r="I74">
        <v>0</v>
      </c>
      <c r="J74">
        <v>7</v>
      </c>
      <c r="K74">
        <v>5</v>
      </c>
      <c r="L74">
        <v>2</v>
      </c>
      <c r="M74">
        <v>8</v>
      </c>
      <c r="N74">
        <v>5</v>
      </c>
      <c r="O74">
        <v>3</v>
      </c>
      <c r="P74">
        <v>9</v>
      </c>
      <c r="Q74">
        <v>5</v>
      </c>
      <c r="R74">
        <v>4</v>
      </c>
      <c r="S74">
        <v>8</v>
      </c>
      <c r="T74">
        <v>5</v>
      </c>
      <c r="U74">
        <v>3</v>
      </c>
      <c r="V74">
        <v>9</v>
      </c>
      <c r="W74">
        <v>5</v>
      </c>
      <c r="X74">
        <v>4</v>
      </c>
      <c r="Y74">
        <v>10</v>
      </c>
      <c r="Z74">
        <v>10</v>
      </c>
      <c r="AA74">
        <v>0</v>
      </c>
      <c r="AB74">
        <v>9</v>
      </c>
      <c r="AC74">
        <v>5</v>
      </c>
      <c r="AD74">
        <v>4</v>
      </c>
      <c r="AE74">
        <v>10</v>
      </c>
      <c r="AF74">
        <v>5</v>
      </c>
      <c r="AG74">
        <v>5</v>
      </c>
      <c r="AH74">
        <v>9</v>
      </c>
      <c r="AI74">
        <v>10</v>
      </c>
      <c r="AJ74">
        <v>-1</v>
      </c>
      <c r="AK74" t="s">
        <v>893</v>
      </c>
      <c r="AL74" t="s">
        <v>894</v>
      </c>
      <c r="AM74" t="s">
        <v>895</v>
      </c>
      <c r="AN74" t="s">
        <v>896</v>
      </c>
      <c r="AO74" t="s">
        <v>897</v>
      </c>
      <c r="AP74" t="s">
        <v>898</v>
      </c>
      <c r="AQ74" t="s">
        <v>899</v>
      </c>
      <c r="AR74" t="s">
        <v>900</v>
      </c>
      <c r="AS74" t="s">
        <v>901</v>
      </c>
    </row>
    <row r="75" spans="1:45" x14ac:dyDescent="0.45">
      <c r="A75">
        <v>74</v>
      </c>
      <c r="B75">
        <v>2099</v>
      </c>
      <c r="C75" t="s">
        <v>72</v>
      </c>
      <c r="D75" t="s">
        <v>73</v>
      </c>
      <c r="E75" t="s">
        <v>74</v>
      </c>
      <c r="F75" t="s">
        <v>77</v>
      </c>
      <c r="G75" t="s">
        <v>162</v>
      </c>
      <c r="H75">
        <v>20.309817357435918</v>
      </c>
      <c r="I75">
        <v>1</v>
      </c>
      <c r="J75">
        <v>7</v>
      </c>
      <c r="K75">
        <v>5</v>
      </c>
      <c r="L75">
        <v>2</v>
      </c>
      <c r="M75">
        <v>8</v>
      </c>
      <c r="N75">
        <v>10</v>
      </c>
      <c r="O75">
        <v>-2</v>
      </c>
      <c r="P75">
        <v>6</v>
      </c>
      <c r="Q75">
        <v>2</v>
      </c>
      <c r="R75">
        <v>4</v>
      </c>
      <c r="S75">
        <v>9</v>
      </c>
      <c r="T75">
        <v>8</v>
      </c>
      <c r="U75">
        <v>1</v>
      </c>
      <c r="V75">
        <v>8</v>
      </c>
      <c r="W75">
        <v>5</v>
      </c>
      <c r="X75">
        <v>3</v>
      </c>
      <c r="Y75">
        <v>9</v>
      </c>
      <c r="Z75">
        <v>5</v>
      </c>
      <c r="AA75">
        <v>4</v>
      </c>
      <c r="AB75">
        <v>8</v>
      </c>
      <c r="AC75">
        <v>1</v>
      </c>
      <c r="AD75">
        <v>7</v>
      </c>
      <c r="AE75">
        <v>7</v>
      </c>
      <c r="AF75">
        <v>4</v>
      </c>
      <c r="AG75">
        <v>3</v>
      </c>
      <c r="AH75">
        <v>9</v>
      </c>
      <c r="AI75">
        <v>5</v>
      </c>
      <c r="AJ75">
        <v>4</v>
      </c>
      <c r="AK75" t="s">
        <v>902</v>
      </c>
      <c r="AL75" t="s">
        <v>903</v>
      </c>
      <c r="AM75" t="s">
        <v>904</v>
      </c>
      <c r="AN75" t="s">
        <v>905</v>
      </c>
      <c r="AO75" t="s">
        <v>906</v>
      </c>
      <c r="AP75" t="s">
        <v>907</v>
      </c>
      <c r="AQ75" t="s">
        <v>908</v>
      </c>
      <c r="AR75" t="s">
        <v>909</v>
      </c>
      <c r="AS75" t="s">
        <v>910</v>
      </c>
    </row>
    <row r="76" spans="1:45" x14ac:dyDescent="0.45">
      <c r="A76">
        <v>75</v>
      </c>
      <c r="B76">
        <v>2100</v>
      </c>
      <c r="C76" t="s">
        <v>78</v>
      </c>
      <c r="D76" t="s">
        <v>79</v>
      </c>
      <c r="E76" t="s">
        <v>74</v>
      </c>
      <c r="F76" t="s">
        <v>75</v>
      </c>
      <c r="G76" t="s">
        <v>76</v>
      </c>
      <c r="H76">
        <v>54.279779262352179</v>
      </c>
      <c r="I76">
        <v>2</v>
      </c>
      <c r="J76">
        <v>9</v>
      </c>
      <c r="K76">
        <v>8</v>
      </c>
      <c r="L76">
        <v>1</v>
      </c>
      <c r="M76">
        <v>7</v>
      </c>
      <c r="N76">
        <v>9</v>
      </c>
      <c r="O76">
        <v>-2</v>
      </c>
      <c r="P76">
        <v>8</v>
      </c>
      <c r="Q76">
        <v>9</v>
      </c>
      <c r="R76">
        <v>-1</v>
      </c>
      <c r="S76">
        <v>9</v>
      </c>
      <c r="T76">
        <v>9</v>
      </c>
      <c r="U76">
        <v>0</v>
      </c>
      <c r="V76">
        <v>8</v>
      </c>
      <c r="W76">
        <v>3</v>
      </c>
      <c r="X76">
        <v>5</v>
      </c>
      <c r="Y76">
        <v>9</v>
      </c>
      <c r="Z76">
        <v>3</v>
      </c>
      <c r="AA76">
        <v>6</v>
      </c>
      <c r="AB76">
        <v>8</v>
      </c>
      <c r="AC76">
        <v>2</v>
      </c>
      <c r="AD76">
        <v>6</v>
      </c>
      <c r="AE76">
        <v>7</v>
      </c>
      <c r="AF76">
        <v>2</v>
      </c>
      <c r="AG76">
        <v>5</v>
      </c>
      <c r="AH76">
        <v>9</v>
      </c>
      <c r="AI76">
        <v>6</v>
      </c>
      <c r="AJ76">
        <v>3</v>
      </c>
      <c r="AK76" t="s">
        <v>911</v>
      </c>
      <c r="AL76" t="s">
        <v>912</v>
      </c>
      <c r="AM76" t="s">
        <v>913</v>
      </c>
      <c r="AN76" t="s">
        <v>914</v>
      </c>
      <c r="AO76" t="s">
        <v>915</v>
      </c>
      <c r="AP76" t="s">
        <v>916</v>
      </c>
      <c r="AQ76" t="s">
        <v>917</v>
      </c>
      <c r="AR76" t="s">
        <v>918</v>
      </c>
      <c r="AS76" t="s">
        <v>919</v>
      </c>
    </row>
    <row r="77" spans="1:45" x14ac:dyDescent="0.45">
      <c r="A77">
        <v>76</v>
      </c>
      <c r="B77">
        <v>2101</v>
      </c>
      <c r="C77" t="s">
        <v>78</v>
      </c>
      <c r="D77" t="s">
        <v>79</v>
      </c>
      <c r="E77" t="s">
        <v>80</v>
      </c>
      <c r="F77" t="s">
        <v>193</v>
      </c>
      <c r="G77" t="s">
        <v>162</v>
      </c>
      <c r="H77">
        <v>12.540853038445734</v>
      </c>
      <c r="I77">
        <v>3</v>
      </c>
      <c r="J77">
        <v>5</v>
      </c>
      <c r="K77">
        <v>5</v>
      </c>
      <c r="L77">
        <v>0</v>
      </c>
      <c r="M77">
        <v>5</v>
      </c>
      <c r="N77">
        <v>5</v>
      </c>
      <c r="O77">
        <v>0</v>
      </c>
      <c r="P77">
        <v>7</v>
      </c>
      <c r="Q77">
        <v>5</v>
      </c>
      <c r="R77">
        <v>2</v>
      </c>
      <c r="S77">
        <v>9</v>
      </c>
      <c r="T77">
        <v>5</v>
      </c>
      <c r="U77">
        <v>4</v>
      </c>
      <c r="V77">
        <v>6</v>
      </c>
      <c r="W77">
        <v>5</v>
      </c>
      <c r="X77">
        <v>1</v>
      </c>
      <c r="Y77">
        <v>8</v>
      </c>
      <c r="Z77">
        <v>5</v>
      </c>
      <c r="AA77">
        <v>3</v>
      </c>
      <c r="AB77">
        <v>6</v>
      </c>
      <c r="AC77">
        <v>5</v>
      </c>
      <c r="AD77">
        <v>1</v>
      </c>
      <c r="AE77">
        <v>7</v>
      </c>
      <c r="AF77">
        <v>5</v>
      </c>
      <c r="AG77">
        <v>2</v>
      </c>
      <c r="AH77">
        <v>9</v>
      </c>
      <c r="AI77">
        <v>5</v>
      </c>
      <c r="AJ77">
        <v>4</v>
      </c>
      <c r="AK77" t="s">
        <v>920</v>
      </c>
      <c r="AL77" t="s">
        <v>921</v>
      </c>
      <c r="AM77" t="s">
        <v>922</v>
      </c>
      <c r="AN77" t="s">
        <v>923</v>
      </c>
      <c r="AO77" t="s">
        <v>924</v>
      </c>
      <c r="AP77" t="s">
        <v>925</v>
      </c>
      <c r="AQ77" t="s">
        <v>926</v>
      </c>
      <c r="AR77" t="s">
        <v>927</v>
      </c>
      <c r="AS77" t="s">
        <v>928</v>
      </c>
    </row>
    <row r="78" spans="1:45" x14ac:dyDescent="0.45">
      <c r="A78">
        <v>77</v>
      </c>
      <c r="B78">
        <v>2102</v>
      </c>
      <c r="C78" t="s">
        <v>72</v>
      </c>
      <c r="D78" t="s">
        <v>192</v>
      </c>
      <c r="E78" t="s">
        <v>74</v>
      </c>
      <c r="F78" t="s">
        <v>77</v>
      </c>
      <c r="G78" t="s">
        <v>76</v>
      </c>
      <c r="H78">
        <v>12.72710053997309</v>
      </c>
      <c r="I78">
        <v>2</v>
      </c>
      <c r="J78">
        <v>7</v>
      </c>
      <c r="K78">
        <v>8</v>
      </c>
      <c r="L78">
        <v>-1</v>
      </c>
      <c r="M78">
        <v>8</v>
      </c>
      <c r="N78">
        <v>8</v>
      </c>
      <c r="O78">
        <v>0</v>
      </c>
      <c r="P78">
        <v>9</v>
      </c>
      <c r="Q78">
        <v>8</v>
      </c>
      <c r="R78">
        <v>1</v>
      </c>
      <c r="S78">
        <v>9</v>
      </c>
      <c r="T78">
        <v>8</v>
      </c>
      <c r="U78">
        <v>1</v>
      </c>
      <c r="V78">
        <v>8</v>
      </c>
      <c r="W78">
        <v>9</v>
      </c>
      <c r="X78">
        <v>-1</v>
      </c>
      <c r="Y78">
        <v>9</v>
      </c>
      <c r="Z78">
        <v>7</v>
      </c>
      <c r="AA78">
        <v>2</v>
      </c>
      <c r="AB78">
        <v>6</v>
      </c>
      <c r="AC78">
        <v>9</v>
      </c>
      <c r="AD78">
        <v>-3</v>
      </c>
      <c r="AE78">
        <v>8</v>
      </c>
      <c r="AF78">
        <v>10</v>
      </c>
      <c r="AG78">
        <v>-2</v>
      </c>
      <c r="AH78">
        <v>9</v>
      </c>
      <c r="AI78">
        <v>8</v>
      </c>
      <c r="AJ78">
        <v>1</v>
      </c>
      <c r="AK78" t="s">
        <v>929</v>
      </c>
      <c r="AL78" t="s">
        <v>930</v>
      </c>
      <c r="AM78" t="s">
        <v>931</v>
      </c>
      <c r="AN78" t="s">
        <v>932</v>
      </c>
      <c r="AO78" t="s">
        <v>933</v>
      </c>
      <c r="AP78" t="s">
        <v>934</v>
      </c>
      <c r="AQ78" t="s">
        <v>935</v>
      </c>
      <c r="AR78" t="s">
        <v>936</v>
      </c>
      <c r="AS78" t="s">
        <v>937</v>
      </c>
    </row>
    <row r="79" spans="1:45" x14ac:dyDescent="0.45">
      <c r="A79">
        <v>78</v>
      </c>
      <c r="B79">
        <v>2103</v>
      </c>
      <c r="C79" t="s">
        <v>72</v>
      </c>
      <c r="D79" t="s">
        <v>73</v>
      </c>
      <c r="E79" t="s">
        <v>74</v>
      </c>
      <c r="F79" t="s">
        <v>75</v>
      </c>
      <c r="G79" t="s">
        <v>76</v>
      </c>
      <c r="H79">
        <v>46.2403264185861</v>
      </c>
      <c r="I79">
        <v>2</v>
      </c>
      <c r="J79">
        <v>9</v>
      </c>
      <c r="K79">
        <v>8</v>
      </c>
      <c r="L79">
        <v>1</v>
      </c>
      <c r="M79">
        <v>8</v>
      </c>
      <c r="N79">
        <v>7</v>
      </c>
      <c r="O79">
        <v>1</v>
      </c>
      <c r="P79">
        <v>9</v>
      </c>
      <c r="Q79">
        <v>9</v>
      </c>
      <c r="R79">
        <v>0</v>
      </c>
      <c r="S79">
        <v>8</v>
      </c>
      <c r="T79">
        <v>8</v>
      </c>
      <c r="U79">
        <v>0</v>
      </c>
      <c r="V79">
        <v>9</v>
      </c>
      <c r="W79">
        <v>8</v>
      </c>
      <c r="X79">
        <v>1</v>
      </c>
      <c r="Y79">
        <v>8</v>
      </c>
      <c r="Z79">
        <v>8</v>
      </c>
      <c r="AA79">
        <v>0</v>
      </c>
      <c r="AB79">
        <v>9</v>
      </c>
      <c r="AC79">
        <v>6</v>
      </c>
      <c r="AD79">
        <v>3</v>
      </c>
      <c r="AE79">
        <v>7</v>
      </c>
      <c r="AF79">
        <v>6</v>
      </c>
      <c r="AG79">
        <v>1</v>
      </c>
      <c r="AH79">
        <v>9</v>
      </c>
      <c r="AI79">
        <v>7</v>
      </c>
      <c r="AJ79">
        <v>2</v>
      </c>
      <c r="AK79" t="s">
        <v>938</v>
      </c>
      <c r="AL79" t="s">
        <v>939</v>
      </c>
      <c r="AM79" t="s">
        <v>940</v>
      </c>
      <c r="AN79" t="s">
        <v>941</v>
      </c>
      <c r="AO79" t="s">
        <v>942</v>
      </c>
      <c r="AP79" t="s">
        <v>943</v>
      </c>
      <c r="AQ79" t="s">
        <v>944</v>
      </c>
      <c r="AR79" t="s">
        <v>945</v>
      </c>
      <c r="AS79" t="s">
        <v>946</v>
      </c>
    </row>
    <row r="80" spans="1:45" x14ac:dyDescent="0.45">
      <c r="A80">
        <v>79</v>
      </c>
      <c r="B80">
        <v>2104</v>
      </c>
      <c r="C80" t="s">
        <v>72</v>
      </c>
      <c r="D80" t="s">
        <v>194</v>
      </c>
      <c r="E80" t="s">
        <v>74</v>
      </c>
      <c r="F80" t="s">
        <v>193</v>
      </c>
      <c r="G80" t="s">
        <v>162</v>
      </c>
      <c r="H80">
        <v>15.293782501370558</v>
      </c>
      <c r="I80">
        <v>0</v>
      </c>
      <c r="J80">
        <v>7</v>
      </c>
      <c r="K80">
        <v>6</v>
      </c>
      <c r="L80">
        <v>1</v>
      </c>
      <c r="M80">
        <v>8</v>
      </c>
      <c r="N80">
        <v>2</v>
      </c>
      <c r="O80">
        <v>6</v>
      </c>
      <c r="P80">
        <v>9</v>
      </c>
      <c r="Q80">
        <v>3</v>
      </c>
      <c r="R80">
        <v>6</v>
      </c>
      <c r="S80">
        <v>9</v>
      </c>
      <c r="T80">
        <v>2</v>
      </c>
      <c r="U80">
        <v>7</v>
      </c>
      <c r="V80">
        <v>7</v>
      </c>
      <c r="W80">
        <v>3</v>
      </c>
      <c r="X80">
        <v>4</v>
      </c>
      <c r="Y80">
        <v>8</v>
      </c>
      <c r="Z80">
        <v>7</v>
      </c>
      <c r="AA80">
        <v>1</v>
      </c>
      <c r="AB80">
        <v>6</v>
      </c>
      <c r="AC80">
        <v>5</v>
      </c>
      <c r="AD80">
        <v>1</v>
      </c>
      <c r="AE80">
        <v>8</v>
      </c>
      <c r="AF80">
        <v>5</v>
      </c>
      <c r="AG80">
        <v>3</v>
      </c>
      <c r="AH80">
        <v>9</v>
      </c>
      <c r="AI80">
        <v>7</v>
      </c>
      <c r="AJ80">
        <v>2</v>
      </c>
      <c r="AK80" t="s">
        <v>947</v>
      </c>
      <c r="AL80" t="s">
        <v>948</v>
      </c>
      <c r="AM80" t="s">
        <v>949</v>
      </c>
      <c r="AN80" t="s">
        <v>950</v>
      </c>
      <c r="AO80" t="s">
        <v>951</v>
      </c>
      <c r="AP80" t="s">
        <v>952</v>
      </c>
      <c r="AQ80" t="s">
        <v>953</v>
      </c>
      <c r="AR80" t="s">
        <v>954</v>
      </c>
      <c r="AS80" t="s">
        <v>955</v>
      </c>
    </row>
    <row r="81" spans="1:45" x14ac:dyDescent="0.45">
      <c r="A81">
        <v>80</v>
      </c>
      <c r="B81">
        <v>2105</v>
      </c>
      <c r="C81" t="s">
        <v>78</v>
      </c>
      <c r="D81" t="s">
        <v>81</v>
      </c>
      <c r="E81" t="s">
        <v>74</v>
      </c>
      <c r="F81" t="s">
        <v>77</v>
      </c>
      <c r="G81" t="s">
        <v>76</v>
      </c>
      <c r="H81">
        <v>16.660673825493227</v>
      </c>
      <c r="I81">
        <v>0</v>
      </c>
      <c r="J81">
        <v>8</v>
      </c>
      <c r="K81">
        <v>8</v>
      </c>
      <c r="L81">
        <v>0</v>
      </c>
      <c r="M81">
        <v>9</v>
      </c>
      <c r="N81">
        <v>8</v>
      </c>
      <c r="O81">
        <v>1</v>
      </c>
      <c r="P81">
        <v>7</v>
      </c>
      <c r="Q81">
        <v>8</v>
      </c>
      <c r="R81">
        <v>-1</v>
      </c>
      <c r="S81">
        <v>9</v>
      </c>
      <c r="T81">
        <v>8</v>
      </c>
      <c r="U81">
        <v>1</v>
      </c>
      <c r="V81">
        <v>8</v>
      </c>
      <c r="W81">
        <v>8</v>
      </c>
      <c r="X81">
        <v>0</v>
      </c>
      <c r="Y81">
        <v>9</v>
      </c>
      <c r="Z81">
        <v>8</v>
      </c>
      <c r="AA81">
        <v>1</v>
      </c>
      <c r="AB81">
        <v>8</v>
      </c>
      <c r="AC81">
        <v>8</v>
      </c>
      <c r="AD81">
        <v>0</v>
      </c>
      <c r="AE81">
        <v>7</v>
      </c>
      <c r="AF81">
        <v>8</v>
      </c>
      <c r="AG81">
        <v>-1</v>
      </c>
      <c r="AH81">
        <v>9</v>
      </c>
      <c r="AI81">
        <v>8</v>
      </c>
      <c r="AJ81">
        <v>1</v>
      </c>
      <c r="AK81" t="s">
        <v>956</v>
      </c>
      <c r="AL81" t="s">
        <v>957</v>
      </c>
      <c r="AM81" t="s">
        <v>958</v>
      </c>
      <c r="AN81" t="s">
        <v>959</v>
      </c>
      <c r="AO81" t="s">
        <v>960</v>
      </c>
      <c r="AP81" t="s">
        <v>961</v>
      </c>
      <c r="AQ81" t="s">
        <v>962</v>
      </c>
      <c r="AR81" t="s">
        <v>963</v>
      </c>
      <c r="AS81" t="s">
        <v>964</v>
      </c>
    </row>
    <row r="82" spans="1:45" x14ac:dyDescent="0.45">
      <c r="A82">
        <v>81</v>
      </c>
      <c r="B82">
        <v>2106</v>
      </c>
      <c r="C82" t="s">
        <v>78</v>
      </c>
      <c r="D82" t="s">
        <v>194</v>
      </c>
      <c r="E82" t="s">
        <v>74</v>
      </c>
      <c r="F82" t="s">
        <v>75</v>
      </c>
      <c r="G82" t="s">
        <v>162</v>
      </c>
      <c r="H82">
        <v>12</v>
      </c>
      <c r="I82">
        <v>0</v>
      </c>
      <c r="J82">
        <v>5</v>
      </c>
      <c r="K82">
        <v>7</v>
      </c>
      <c r="L82">
        <v>-2</v>
      </c>
      <c r="M82">
        <v>6</v>
      </c>
      <c r="N82">
        <v>7</v>
      </c>
      <c r="O82">
        <v>-1</v>
      </c>
      <c r="P82">
        <v>8</v>
      </c>
      <c r="Q82">
        <v>5</v>
      </c>
      <c r="R82">
        <v>3</v>
      </c>
      <c r="S82">
        <v>7</v>
      </c>
      <c r="T82">
        <v>5</v>
      </c>
      <c r="U82">
        <v>2</v>
      </c>
      <c r="V82">
        <v>6</v>
      </c>
      <c r="W82">
        <v>6</v>
      </c>
      <c r="X82">
        <v>0</v>
      </c>
      <c r="Y82">
        <v>7</v>
      </c>
      <c r="Z82">
        <v>5</v>
      </c>
      <c r="AA82">
        <v>2</v>
      </c>
      <c r="AB82">
        <v>6</v>
      </c>
      <c r="AC82">
        <v>8</v>
      </c>
      <c r="AD82">
        <v>-2</v>
      </c>
      <c r="AE82">
        <v>7</v>
      </c>
      <c r="AF82">
        <v>6</v>
      </c>
      <c r="AG82">
        <v>1</v>
      </c>
      <c r="AH82">
        <v>6</v>
      </c>
      <c r="AI82">
        <v>8</v>
      </c>
      <c r="AJ82">
        <v>-2</v>
      </c>
      <c r="AK82" t="s">
        <v>965</v>
      </c>
      <c r="AL82" t="s">
        <v>966</v>
      </c>
      <c r="AM82" t="s">
        <v>967</v>
      </c>
      <c r="AN82" t="s">
        <v>968</v>
      </c>
      <c r="AO82" t="s">
        <v>969</v>
      </c>
      <c r="AP82" t="s">
        <v>970</v>
      </c>
      <c r="AQ82" t="s">
        <v>971</v>
      </c>
      <c r="AR82" t="s">
        <v>972</v>
      </c>
      <c r="AS82" t="s">
        <v>973</v>
      </c>
    </row>
    <row r="83" spans="1:45" x14ac:dyDescent="0.45">
      <c r="A83">
        <v>82</v>
      </c>
      <c r="B83">
        <v>2107</v>
      </c>
      <c r="C83" t="s">
        <v>72</v>
      </c>
      <c r="D83" t="s">
        <v>194</v>
      </c>
      <c r="E83" t="s">
        <v>74</v>
      </c>
      <c r="F83" t="s">
        <v>77</v>
      </c>
      <c r="G83" t="s">
        <v>162</v>
      </c>
      <c r="H83">
        <v>13.767324094667719</v>
      </c>
      <c r="I83">
        <v>1</v>
      </c>
      <c r="J83">
        <v>7</v>
      </c>
      <c r="K83">
        <v>8</v>
      </c>
      <c r="L83">
        <v>-1</v>
      </c>
      <c r="M83">
        <v>8</v>
      </c>
      <c r="N83">
        <v>9</v>
      </c>
      <c r="O83">
        <v>-1</v>
      </c>
      <c r="P83">
        <v>6</v>
      </c>
      <c r="Q83">
        <v>5</v>
      </c>
      <c r="R83">
        <v>1</v>
      </c>
      <c r="S83">
        <v>9</v>
      </c>
      <c r="T83">
        <v>5</v>
      </c>
      <c r="U83">
        <v>4</v>
      </c>
      <c r="V83">
        <v>7</v>
      </c>
      <c r="W83">
        <v>5</v>
      </c>
      <c r="X83">
        <v>2</v>
      </c>
      <c r="Y83">
        <v>9</v>
      </c>
      <c r="Z83">
        <v>5</v>
      </c>
      <c r="AA83">
        <v>4</v>
      </c>
      <c r="AB83">
        <v>8</v>
      </c>
      <c r="AC83">
        <v>1</v>
      </c>
      <c r="AD83">
        <v>7</v>
      </c>
      <c r="AE83">
        <v>7</v>
      </c>
      <c r="AF83">
        <v>5</v>
      </c>
      <c r="AG83">
        <v>2</v>
      </c>
      <c r="AH83">
        <v>9</v>
      </c>
      <c r="AI83">
        <v>5</v>
      </c>
      <c r="AJ83">
        <v>4</v>
      </c>
      <c r="AK83" t="s">
        <v>974</v>
      </c>
      <c r="AL83" t="s">
        <v>975</v>
      </c>
      <c r="AM83" t="s">
        <v>976</v>
      </c>
      <c r="AN83" t="s">
        <v>977</v>
      </c>
      <c r="AO83" t="s">
        <v>978</v>
      </c>
      <c r="AP83" t="s">
        <v>979</v>
      </c>
      <c r="AQ83" t="s">
        <v>980</v>
      </c>
      <c r="AR83" t="s">
        <v>981</v>
      </c>
      <c r="AS83" t="s">
        <v>982</v>
      </c>
    </row>
    <row r="84" spans="1:45" x14ac:dyDescent="0.45">
      <c r="A84">
        <v>83</v>
      </c>
      <c r="B84">
        <v>2108</v>
      </c>
      <c r="C84" t="s">
        <v>72</v>
      </c>
      <c r="D84" t="s">
        <v>79</v>
      </c>
      <c r="E84" t="s">
        <v>74</v>
      </c>
      <c r="F84" t="s">
        <v>75</v>
      </c>
      <c r="G84" t="s">
        <v>76</v>
      </c>
      <c r="H84">
        <v>14.291093238120416</v>
      </c>
      <c r="I84">
        <v>2</v>
      </c>
      <c r="J84">
        <v>7</v>
      </c>
      <c r="K84">
        <v>10</v>
      </c>
      <c r="L84">
        <v>-3</v>
      </c>
      <c r="M84">
        <v>7</v>
      </c>
      <c r="N84">
        <v>8</v>
      </c>
      <c r="O84">
        <v>-1</v>
      </c>
      <c r="P84">
        <v>8</v>
      </c>
      <c r="Q84">
        <v>8</v>
      </c>
      <c r="R84">
        <v>0</v>
      </c>
      <c r="S84">
        <v>9</v>
      </c>
      <c r="T84">
        <v>7</v>
      </c>
      <c r="U84">
        <v>2</v>
      </c>
      <c r="V84">
        <v>8</v>
      </c>
      <c r="W84">
        <v>7</v>
      </c>
      <c r="X84">
        <v>1</v>
      </c>
      <c r="Y84">
        <v>9</v>
      </c>
      <c r="Z84">
        <v>6</v>
      </c>
      <c r="AA84">
        <v>3</v>
      </c>
      <c r="AB84">
        <v>8</v>
      </c>
      <c r="AC84">
        <v>7</v>
      </c>
      <c r="AD84">
        <v>1</v>
      </c>
      <c r="AE84">
        <v>7</v>
      </c>
      <c r="AF84">
        <v>6</v>
      </c>
      <c r="AG84">
        <v>1</v>
      </c>
      <c r="AH84">
        <v>9</v>
      </c>
      <c r="AI84">
        <v>8</v>
      </c>
      <c r="AJ84">
        <v>1</v>
      </c>
      <c r="AK84" t="s">
        <v>983</v>
      </c>
      <c r="AL84" t="s">
        <v>984</v>
      </c>
      <c r="AM84" t="s">
        <v>985</v>
      </c>
      <c r="AN84" t="s">
        <v>986</v>
      </c>
      <c r="AO84" t="s">
        <v>987</v>
      </c>
      <c r="AP84" t="s">
        <v>988</v>
      </c>
      <c r="AQ84" t="s">
        <v>989</v>
      </c>
      <c r="AR84" t="s">
        <v>990</v>
      </c>
      <c r="AS84" t="s">
        <v>991</v>
      </c>
    </row>
    <row r="85" spans="1:45" x14ac:dyDescent="0.45">
      <c r="A85">
        <v>84</v>
      </c>
      <c r="B85">
        <v>2109</v>
      </c>
      <c r="C85" t="s">
        <v>72</v>
      </c>
      <c r="D85" t="s">
        <v>73</v>
      </c>
      <c r="E85" t="s">
        <v>74</v>
      </c>
      <c r="F85" t="s">
        <v>191</v>
      </c>
      <c r="G85" t="s">
        <v>76</v>
      </c>
      <c r="H85">
        <v>13.146205596577964</v>
      </c>
      <c r="I85">
        <v>1</v>
      </c>
      <c r="J85">
        <v>9</v>
      </c>
      <c r="K85">
        <v>6</v>
      </c>
      <c r="L85">
        <v>3</v>
      </c>
      <c r="M85">
        <v>6</v>
      </c>
      <c r="N85">
        <v>7</v>
      </c>
      <c r="O85">
        <v>-1</v>
      </c>
      <c r="P85">
        <v>8</v>
      </c>
      <c r="Q85">
        <v>5</v>
      </c>
      <c r="R85">
        <v>3</v>
      </c>
      <c r="S85">
        <v>9</v>
      </c>
      <c r="T85">
        <v>5</v>
      </c>
      <c r="U85">
        <v>4</v>
      </c>
      <c r="V85">
        <v>7</v>
      </c>
      <c r="W85">
        <v>5</v>
      </c>
      <c r="X85">
        <v>2</v>
      </c>
      <c r="Y85">
        <v>8</v>
      </c>
      <c r="Z85">
        <v>5</v>
      </c>
      <c r="AA85">
        <v>3</v>
      </c>
      <c r="AB85">
        <v>6</v>
      </c>
      <c r="AC85">
        <v>5</v>
      </c>
      <c r="AD85">
        <v>1</v>
      </c>
      <c r="AE85">
        <v>8</v>
      </c>
      <c r="AF85">
        <v>5</v>
      </c>
      <c r="AG85">
        <v>3</v>
      </c>
      <c r="AH85">
        <v>9</v>
      </c>
      <c r="AI85">
        <v>5</v>
      </c>
      <c r="AJ85">
        <v>4</v>
      </c>
      <c r="AK85" t="s">
        <v>992</v>
      </c>
      <c r="AL85" t="s">
        <v>993</v>
      </c>
      <c r="AM85" t="s">
        <v>994</v>
      </c>
      <c r="AN85" t="s">
        <v>995</v>
      </c>
      <c r="AO85" t="s">
        <v>996</v>
      </c>
      <c r="AP85" t="s">
        <v>997</v>
      </c>
      <c r="AQ85" t="s">
        <v>998</v>
      </c>
      <c r="AR85" t="s">
        <v>999</v>
      </c>
      <c r="AS85" t="s">
        <v>1000</v>
      </c>
    </row>
    <row r="86" spans="1:45" x14ac:dyDescent="0.45">
      <c r="A86">
        <v>85</v>
      </c>
      <c r="B86">
        <v>2110</v>
      </c>
      <c r="C86" t="s">
        <v>72</v>
      </c>
      <c r="D86" t="s">
        <v>79</v>
      </c>
      <c r="E86" t="s">
        <v>74</v>
      </c>
      <c r="F86" t="s">
        <v>77</v>
      </c>
      <c r="G86" t="s">
        <v>76</v>
      </c>
      <c r="H86">
        <v>14.285271216828137</v>
      </c>
      <c r="I86">
        <v>2</v>
      </c>
      <c r="J86">
        <v>7</v>
      </c>
      <c r="K86">
        <v>9</v>
      </c>
      <c r="L86">
        <v>-2</v>
      </c>
      <c r="M86">
        <v>8</v>
      </c>
      <c r="N86">
        <v>9</v>
      </c>
      <c r="O86">
        <v>-1</v>
      </c>
      <c r="P86">
        <v>6</v>
      </c>
      <c r="Q86">
        <v>8</v>
      </c>
      <c r="R86">
        <v>-2</v>
      </c>
      <c r="S86">
        <v>9</v>
      </c>
      <c r="T86">
        <v>9</v>
      </c>
      <c r="U86">
        <v>0</v>
      </c>
      <c r="V86">
        <v>7</v>
      </c>
      <c r="W86">
        <v>9</v>
      </c>
      <c r="X86">
        <v>-2</v>
      </c>
      <c r="Y86">
        <v>9</v>
      </c>
      <c r="Z86">
        <v>9</v>
      </c>
      <c r="AA86">
        <v>0</v>
      </c>
      <c r="AB86">
        <v>7</v>
      </c>
      <c r="AC86">
        <v>7</v>
      </c>
      <c r="AD86">
        <v>0</v>
      </c>
      <c r="AE86">
        <v>8</v>
      </c>
      <c r="AF86">
        <v>8</v>
      </c>
      <c r="AG86">
        <v>0</v>
      </c>
      <c r="AH86">
        <v>9</v>
      </c>
      <c r="AI86">
        <v>8</v>
      </c>
      <c r="AJ86">
        <v>1</v>
      </c>
      <c r="AK86" t="s">
        <v>1001</v>
      </c>
      <c r="AL86" t="s">
        <v>1002</v>
      </c>
      <c r="AM86" t="s">
        <v>1003</v>
      </c>
      <c r="AN86" t="s">
        <v>1004</v>
      </c>
      <c r="AO86" t="s">
        <v>1005</v>
      </c>
      <c r="AP86" t="s">
        <v>1006</v>
      </c>
      <c r="AQ86" t="s">
        <v>1007</v>
      </c>
      <c r="AR86" t="s">
        <v>1008</v>
      </c>
      <c r="AS86" t="s">
        <v>1009</v>
      </c>
    </row>
    <row r="87" spans="1:45" x14ac:dyDescent="0.45">
      <c r="A87">
        <v>86</v>
      </c>
      <c r="B87">
        <v>2111</v>
      </c>
      <c r="C87" t="s">
        <v>78</v>
      </c>
      <c r="D87" t="s">
        <v>73</v>
      </c>
      <c r="E87" t="s">
        <v>80</v>
      </c>
      <c r="F87" t="s">
        <v>77</v>
      </c>
      <c r="G87" t="s">
        <v>76</v>
      </c>
      <c r="H87">
        <v>15.353809289270757</v>
      </c>
      <c r="I87">
        <v>0</v>
      </c>
      <c r="J87">
        <v>6</v>
      </c>
      <c r="K87">
        <v>5</v>
      </c>
      <c r="L87">
        <v>1</v>
      </c>
      <c r="M87">
        <v>5</v>
      </c>
      <c r="N87">
        <v>5</v>
      </c>
      <c r="O87">
        <v>0</v>
      </c>
      <c r="P87">
        <v>8</v>
      </c>
      <c r="Q87">
        <v>10</v>
      </c>
      <c r="R87">
        <v>-2</v>
      </c>
      <c r="S87">
        <v>7</v>
      </c>
      <c r="T87">
        <v>4</v>
      </c>
      <c r="U87">
        <v>3</v>
      </c>
      <c r="V87">
        <v>7</v>
      </c>
      <c r="W87">
        <v>4</v>
      </c>
      <c r="X87">
        <v>3</v>
      </c>
      <c r="Y87">
        <v>8</v>
      </c>
      <c r="Z87">
        <v>5</v>
      </c>
      <c r="AA87">
        <v>3</v>
      </c>
      <c r="AB87">
        <v>6</v>
      </c>
      <c r="AC87">
        <v>5</v>
      </c>
      <c r="AD87">
        <v>1</v>
      </c>
      <c r="AE87">
        <v>7</v>
      </c>
      <c r="AF87">
        <v>8</v>
      </c>
      <c r="AG87">
        <v>-1</v>
      </c>
      <c r="AH87">
        <v>9</v>
      </c>
      <c r="AI87">
        <v>8</v>
      </c>
      <c r="AJ87">
        <v>1</v>
      </c>
      <c r="AK87" t="s">
        <v>1010</v>
      </c>
      <c r="AL87" t="s">
        <v>1011</v>
      </c>
      <c r="AM87" t="s">
        <v>1012</v>
      </c>
      <c r="AN87" t="s">
        <v>1013</v>
      </c>
      <c r="AO87" t="s">
        <v>1014</v>
      </c>
      <c r="AP87" t="s">
        <v>1015</v>
      </c>
      <c r="AQ87" t="s">
        <v>1016</v>
      </c>
      <c r="AR87" t="s">
        <v>1017</v>
      </c>
      <c r="AS87" t="s">
        <v>1018</v>
      </c>
    </row>
    <row r="88" spans="1:45" x14ac:dyDescent="0.45">
      <c r="A88">
        <v>87</v>
      </c>
      <c r="B88">
        <v>2112</v>
      </c>
      <c r="C88" t="s">
        <v>78</v>
      </c>
      <c r="D88" t="s">
        <v>79</v>
      </c>
      <c r="E88" t="s">
        <v>74</v>
      </c>
      <c r="F88" t="s">
        <v>77</v>
      </c>
      <c r="G88" t="s">
        <v>76</v>
      </c>
      <c r="H88">
        <v>12.421711402522448</v>
      </c>
      <c r="I88">
        <v>2</v>
      </c>
      <c r="J88">
        <v>7</v>
      </c>
      <c r="K88">
        <v>10</v>
      </c>
      <c r="L88">
        <v>-3</v>
      </c>
      <c r="M88">
        <v>6</v>
      </c>
      <c r="N88">
        <v>9</v>
      </c>
      <c r="O88">
        <v>-3</v>
      </c>
      <c r="P88">
        <v>8</v>
      </c>
      <c r="Q88">
        <v>9</v>
      </c>
      <c r="R88">
        <v>-1</v>
      </c>
      <c r="S88">
        <v>9</v>
      </c>
      <c r="T88">
        <v>9</v>
      </c>
      <c r="U88">
        <v>0</v>
      </c>
      <c r="V88">
        <v>8</v>
      </c>
      <c r="W88">
        <v>9</v>
      </c>
      <c r="X88">
        <v>-1</v>
      </c>
      <c r="Y88">
        <v>9</v>
      </c>
      <c r="Z88">
        <v>9</v>
      </c>
      <c r="AA88">
        <v>0</v>
      </c>
      <c r="AB88">
        <v>8</v>
      </c>
      <c r="AC88">
        <v>10</v>
      </c>
      <c r="AD88">
        <v>-2</v>
      </c>
      <c r="AE88">
        <v>7</v>
      </c>
      <c r="AF88">
        <v>9</v>
      </c>
      <c r="AG88">
        <v>-2</v>
      </c>
      <c r="AH88">
        <v>9</v>
      </c>
      <c r="AI88">
        <v>10</v>
      </c>
      <c r="AJ88">
        <v>-1</v>
      </c>
      <c r="AK88" t="s">
        <v>1019</v>
      </c>
      <c r="AL88" t="s">
        <v>1020</v>
      </c>
      <c r="AM88" t="s">
        <v>1021</v>
      </c>
      <c r="AN88" t="s">
        <v>1022</v>
      </c>
      <c r="AO88" t="s">
        <v>1023</v>
      </c>
      <c r="AP88" t="s">
        <v>1024</v>
      </c>
      <c r="AQ88" t="s">
        <v>1025</v>
      </c>
      <c r="AR88" t="s">
        <v>1026</v>
      </c>
      <c r="AS88" t="s">
        <v>1027</v>
      </c>
    </row>
    <row r="89" spans="1:45" x14ac:dyDescent="0.45">
      <c r="A89">
        <v>88</v>
      </c>
      <c r="B89">
        <v>2113</v>
      </c>
      <c r="C89" t="s">
        <v>72</v>
      </c>
      <c r="D89" t="s">
        <v>79</v>
      </c>
      <c r="E89" t="s">
        <v>74</v>
      </c>
      <c r="F89" t="s">
        <v>193</v>
      </c>
      <c r="G89" t="s">
        <v>76</v>
      </c>
      <c r="H89">
        <v>12</v>
      </c>
      <c r="I89">
        <v>2</v>
      </c>
      <c r="J89">
        <v>6</v>
      </c>
      <c r="K89">
        <v>10</v>
      </c>
      <c r="L89">
        <v>-4</v>
      </c>
      <c r="M89">
        <v>7</v>
      </c>
      <c r="N89">
        <v>10</v>
      </c>
      <c r="O89">
        <v>-3</v>
      </c>
      <c r="P89">
        <v>9</v>
      </c>
      <c r="Q89">
        <v>10</v>
      </c>
      <c r="R89">
        <v>-1</v>
      </c>
      <c r="S89">
        <v>8</v>
      </c>
      <c r="T89">
        <v>10</v>
      </c>
      <c r="U89">
        <v>-2</v>
      </c>
      <c r="V89">
        <v>9</v>
      </c>
      <c r="W89">
        <v>10</v>
      </c>
      <c r="X89">
        <v>-1</v>
      </c>
      <c r="Y89">
        <v>8</v>
      </c>
      <c r="Z89">
        <v>10</v>
      </c>
      <c r="AA89">
        <v>-2</v>
      </c>
      <c r="AB89">
        <v>9</v>
      </c>
      <c r="AC89">
        <v>10</v>
      </c>
      <c r="AD89">
        <v>-1</v>
      </c>
      <c r="AE89">
        <v>7</v>
      </c>
      <c r="AF89">
        <v>10</v>
      </c>
      <c r="AG89">
        <v>-3</v>
      </c>
      <c r="AH89">
        <v>9</v>
      </c>
      <c r="AI89">
        <v>10</v>
      </c>
      <c r="AJ89">
        <v>-1</v>
      </c>
      <c r="AK89" t="s">
        <v>1028</v>
      </c>
      <c r="AL89" t="s">
        <v>1029</v>
      </c>
      <c r="AM89" t="s">
        <v>1030</v>
      </c>
      <c r="AN89" t="s">
        <v>1031</v>
      </c>
      <c r="AO89" t="s">
        <v>1032</v>
      </c>
      <c r="AP89" t="s">
        <v>1033</v>
      </c>
      <c r="AQ89" t="s">
        <v>1034</v>
      </c>
      <c r="AR89" t="s">
        <v>1035</v>
      </c>
      <c r="AS89" t="s">
        <v>1036</v>
      </c>
    </row>
    <row r="90" spans="1:45" x14ac:dyDescent="0.45">
      <c r="A90">
        <v>89</v>
      </c>
      <c r="B90">
        <v>2114</v>
      </c>
      <c r="C90" t="s">
        <v>72</v>
      </c>
      <c r="D90" t="s">
        <v>73</v>
      </c>
      <c r="E90" t="s">
        <v>74</v>
      </c>
      <c r="F90" t="s">
        <v>191</v>
      </c>
      <c r="G90" t="s">
        <v>76</v>
      </c>
      <c r="H90">
        <v>12</v>
      </c>
      <c r="I90">
        <v>1</v>
      </c>
      <c r="J90">
        <v>5</v>
      </c>
      <c r="K90">
        <v>10</v>
      </c>
      <c r="L90">
        <v>-5</v>
      </c>
      <c r="M90">
        <v>4</v>
      </c>
      <c r="N90">
        <v>9</v>
      </c>
      <c r="O90">
        <v>-5</v>
      </c>
      <c r="P90">
        <v>8</v>
      </c>
      <c r="Q90">
        <v>9</v>
      </c>
      <c r="R90">
        <v>-1</v>
      </c>
      <c r="S90">
        <v>9</v>
      </c>
      <c r="T90">
        <v>9</v>
      </c>
      <c r="U90">
        <v>0</v>
      </c>
      <c r="V90">
        <v>8</v>
      </c>
      <c r="W90">
        <v>10</v>
      </c>
      <c r="X90">
        <v>-2</v>
      </c>
      <c r="Y90">
        <v>9</v>
      </c>
      <c r="Z90">
        <v>9</v>
      </c>
      <c r="AA90">
        <v>0</v>
      </c>
      <c r="AB90">
        <v>8</v>
      </c>
      <c r="AC90">
        <v>9</v>
      </c>
      <c r="AD90">
        <v>-1</v>
      </c>
      <c r="AE90">
        <v>7</v>
      </c>
      <c r="AF90">
        <v>8</v>
      </c>
      <c r="AG90">
        <v>-1</v>
      </c>
      <c r="AH90">
        <v>9</v>
      </c>
      <c r="AI90">
        <v>9</v>
      </c>
      <c r="AJ90">
        <v>0</v>
      </c>
      <c r="AK90" t="s">
        <v>1037</v>
      </c>
      <c r="AL90" t="s">
        <v>1038</v>
      </c>
      <c r="AM90" t="s">
        <v>1039</v>
      </c>
      <c r="AN90" t="s">
        <v>1040</v>
      </c>
      <c r="AO90" t="s">
        <v>1041</v>
      </c>
      <c r="AP90" t="s">
        <v>1042</v>
      </c>
      <c r="AQ90" t="s">
        <v>1043</v>
      </c>
      <c r="AR90" t="s">
        <v>1044</v>
      </c>
      <c r="AS90" t="s">
        <v>1045</v>
      </c>
    </row>
    <row r="91" spans="1:45" x14ac:dyDescent="0.45">
      <c r="A91">
        <v>90</v>
      </c>
      <c r="B91">
        <v>2115</v>
      </c>
      <c r="C91" t="s">
        <v>72</v>
      </c>
      <c r="D91" t="s">
        <v>73</v>
      </c>
      <c r="E91" t="s">
        <v>80</v>
      </c>
      <c r="F91" t="s">
        <v>77</v>
      </c>
      <c r="G91" t="s">
        <v>76</v>
      </c>
      <c r="H91">
        <v>12</v>
      </c>
      <c r="I91">
        <v>4</v>
      </c>
      <c r="J91">
        <v>9</v>
      </c>
      <c r="K91">
        <v>6</v>
      </c>
      <c r="L91">
        <v>3</v>
      </c>
      <c r="M91">
        <v>8</v>
      </c>
      <c r="N91">
        <v>10</v>
      </c>
      <c r="O91">
        <v>-2</v>
      </c>
      <c r="P91">
        <v>7</v>
      </c>
      <c r="Q91">
        <v>8</v>
      </c>
      <c r="R91">
        <v>-1</v>
      </c>
      <c r="S91">
        <v>8</v>
      </c>
      <c r="T91">
        <v>9</v>
      </c>
      <c r="U91">
        <v>-1</v>
      </c>
      <c r="V91">
        <v>9</v>
      </c>
      <c r="W91">
        <v>9</v>
      </c>
      <c r="X91">
        <v>0</v>
      </c>
      <c r="Y91">
        <v>9</v>
      </c>
      <c r="Z91">
        <v>9</v>
      </c>
      <c r="AA91">
        <v>0</v>
      </c>
      <c r="AB91">
        <v>8</v>
      </c>
      <c r="AC91">
        <v>8</v>
      </c>
      <c r="AD91">
        <v>0</v>
      </c>
      <c r="AE91">
        <v>7</v>
      </c>
      <c r="AF91">
        <v>8</v>
      </c>
      <c r="AG91">
        <v>-1</v>
      </c>
      <c r="AH91">
        <v>9</v>
      </c>
      <c r="AI91">
        <v>9</v>
      </c>
      <c r="AJ91">
        <v>0</v>
      </c>
      <c r="AK91" t="s">
        <v>1046</v>
      </c>
      <c r="AL91" t="s">
        <v>1047</v>
      </c>
      <c r="AM91" t="s">
        <v>1048</v>
      </c>
      <c r="AN91" t="s">
        <v>1049</v>
      </c>
      <c r="AO91" t="s">
        <v>1050</v>
      </c>
      <c r="AP91" t="s">
        <v>1051</v>
      </c>
      <c r="AQ91" t="s">
        <v>1052</v>
      </c>
      <c r="AR91" t="s">
        <v>1053</v>
      </c>
      <c r="AS91" t="s">
        <v>1054</v>
      </c>
    </row>
    <row r="92" spans="1:45" x14ac:dyDescent="0.45">
      <c r="A92">
        <v>91</v>
      </c>
      <c r="B92">
        <v>2116</v>
      </c>
      <c r="C92" t="s">
        <v>72</v>
      </c>
      <c r="D92" t="s">
        <v>73</v>
      </c>
      <c r="E92" t="s">
        <v>74</v>
      </c>
      <c r="F92" t="s">
        <v>77</v>
      </c>
      <c r="G92" t="s">
        <v>76</v>
      </c>
      <c r="H92">
        <v>12</v>
      </c>
      <c r="I92">
        <v>2</v>
      </c>
      <c r="J92">
        <v>7</v>
      </c>
      <c r="K92">
        <v>10</v>
      </c>
      <c r="L92">
        <v>-3</v>
      </c>
      <c r="M92">
        <v>6</v>
      </c>
      <c r="N92">
        <v>9</v>
      </c>
      <c r="O92">
        <v>-3</v>
      </c>
      <c r="P92">
        <v>9</v>
      </c>
      <c r="Q92">
        <v>9</v>
      </c>
      <c r="R92">
        <v>0</v>
      </c>
      <c r="S92">
        <v>8</v>
      </c>
      <c r="T92">
        <v>9</v>
      </c>
      <c r="U92">
        <v>-1</v>
      </c>
      <c r="V92">
        <v>7</v>
      </c>
      <c r="W92">
        <v>10</v>
      </c>
      <c r="X92">
        <v>-3</v>
      </c>
      <c r="Y92">
        <v>9</v>
      </c>
      <c r="Z92">
        <v>9</v>
      </c>
      <c r="AA92">
        <v>0</v>
      </c>
      <c r="AB92">
        <v>8</v>
      </c>
      <c r="AC92">
        <v>8</v>
      </c>
      <c r="AD92">
        <v>0</v>
      </c>
      <c r="AE92">
        <v>7</v>
      </c>
      <c r="AF92">
        <v>8</v>
      </c>
      <c r="AG92">
        <v>-1</v>
      </c>
      <c r="AH92">
        <v>9</v>
      </c>
      <c r="AI92">
        <v>10</v>
      </c>
      <c r="AJ92">
        <v>-1</v>
      </c>
      <c r="AK92" t="s">
        <v>1055</v>
      </c>
      <c r="AL92" t="s">
        <v>1056</v>
      </c>
      <c r="AM92" t="s">
        <v>1057</v>
      </c>
      <c r="AN92" t="s">
        <v>1058</v>
      </c>
      <c r="AO92" t="s">
        <v>1059</v>
      </c>
      <c r="AP92" t="s">
        <v>1060</v>
      </c>
      <c r="AQ92" t="s">
        <v>1061</v>
      </c>
      <c r="AR92" t="s">
        <v>1062</v>
      </c>
      <c r="AS92" t="s">
        <v>1063</v>
      </c>
    </row>
    <row r="93" spans="1:45" x14ac:dyDescent="0.45">
      <c r="A93">
        <v>92</v>
      </c>
      <c r="B93">
        <v>2117</v>
      </c>
      <c r="C93" t="s">
        <v>78</v>
      </c>
      <c r="D93" t="s">
        <v>73</v>
      </c>
      <c r="E93" t="s">
        <v>74</v>
      </c>
      <c r="F93" t="s">
        <v>77</v>
      </c>
      <c r="G93" t="s">
        <v>76</v>
      </c>
      <c r="H93">
        <v>12</v>
      </c>
      <c r="I93">
        <v>2</v>
      </c>
      <c r="J93">
        <v>8</v>
      </c>
      <c r="K93">
        <v>10</v>
      </c>
      <c r="L93">
        <v>-2</v>
      </c>
      <c r="M93">
        <v>7</v>
      </c>
      <c r="N93">
        <v>10</v>
      </c>
      <c r="O93">
        <v>-3</v>
      </c>
      <c r="P93">
        <v>9</v>
      </c>
      <c r="Q93">
        <v>10</v>
      </c>
      <c r="R93">
        <v>-1</v>
      </c>
      <c r="S93">
        <v>8</v>
      </c>
      <c r="T93">
        <v>10</v>
      </c>
      <c r="U93">
        <v>-2</v>
      </c>
      <c r="V93">
        <v>9</v>
      </c>
      <c r="W93">
        <v>10</v>
      </c>
      <c r="X93">
        <v>-1</v>
      </c>
      <c r="Y93">
        <v>8</v>
      </c>
      <c r="Z93">
        <v>1</v>
      </c>
      <c r="AA93">
        <v>7</v>
      </c>
      <c r="AB93">
        <v>7</v>
      </c>
      <c r="AC93">
        <v>10</v>
      </c>
      <c r="AD93">
        <v>-3</v>
      </c>
      <c r="AE93">
        <v>6</v>
      </c>
      <c r="AF93">
        <v>10</v>
      </c>
      <c r="AG93">
        <v>-4</v>
      </c>
      <c r="AH93">
        <v>9</v>
      </c>
      <c r="AI93">
        <v>10</v>
      </c>
      <c r="AJ93">
        <v>-1</v>
      </c>
      <c r="AK93" t="s">
        <v>1064</v>
      </c>
      <c r="AL93" t="s">
        <v>1065</v>
      </c>
      <c r="AM93" t="s">
        <v>1066</v>
      </c>
      <c r="AN93" t="s">
        <v>1067</v>
      </c>
      <c r="AO93" t="s">
        <v>1068</v>
      </c>
      <c r="AP93" t="s">
        <v>1069</v>
      </c>
      <c r="AQ93" t="s">
        <v>1070</v>
      </c>
      <c r="AR93" t="s">
        <v>1071</v>
      </c>
      <c r="AS93" t="s">
        <v>1072</v>
      </c>
    </row>
    <row r="94" spans="1:45" x14ac:dyDescent="0.45">
      <c r="A94">
        <v>93</v>
      </c>
      <c r="B94">
        <v>2118</v>
      </c>
      <c r="C94" t="s">
        <v>78</v>
      </c>
      <c r="D94" t="s">
        <v>73</v>
      </c>
      <c r="E94" t="s">
        <v>74</v>
      </c>
      <c r="F94" t="s">
        <v>77</v>
      </c>
      <c r="G94" t="s">
        <v>76</v>
      </c>
      <c r="H94">
        <v>36.77821260984939</v>
      </c>
      <c r="I94">
        <v>2</v>
      </c>
      <c r="J94">
        <v>6</v>
      </c>
      <c r="K94">
        <v>5</v>
      </c>
      <c r="L94">
        <v>1</v>
      </c>
      <c r="M94">
        <v>6</v>
      </c>
      <c r="N94">
        <v>8</v>
      </c>
      <c r="O94">
        <v>-2</v>
      </c>
      <c r="P94">
        <v>7</v>
      </c>
      <c r="Q94">
        <v>4</v>
      </c>
      <c r="R94">
        <v>3</v>
      </c>
      <c r="S94">
        <v>8</v>
      </c>
      <c r="T94">
        <v>9</v>
      </c>
      <c r="U94">
        <v>-1</v>
      </c>
      <c r="V94">
        <v>7</v>
      </c>
      <c r="W94">
        <v>7</v>
      </c>
      <c r="X94">
        <v>0</v>
      </c>
      <c r="Y94">
        <v>8</v>
      </c>
      <c r="Z94">
        <v>5</v>
      </c>
      <c r="AA94">
        <v>3</v>
      </c>
      <c r="AB94">
        <v>6</v>
      </c>
      <c r="AC94">
        <v>7</v>
      </c>
      <c r="AD94">
        <v>-1</v>
      </c>
      <c r="AE94">
        <v>7</v>
      </c>
      <c r="AF94">
        <v>8</v>
      </c>
      <c r="AG94">
        <v>-1</v>
      </c>
      <c r="AH94">
        <v>8</v>
      </c>
      <c r="AI94">
        <v>10</v>
      </c>
      <c r="AJ94">
        <v>-2</v>
      </c>
      <c r="AK94" t="s">
        <v>1073</v>
      </c>
      <c r="AL94" t="s">
        <v>1074</v>
      </c>
      <c r="AM94" t="s">
        <v>1075</v>
      </c>
      <c r="AN94" t="s">
        <v>1076</v>
      </c>
      <c r="AO94" t="s">
        <v>1077</v>
      </c>
      <c r="AP94" t="s">
        <v>1078</v>
      </c>
      <c r="AQ94" t="s">
        <v>1079</v>
      </c>
      <c r="AR94" t="s">
        <v>1080</v>
      </c>
      <c r="AS94" t="s">
        <v>1081</v>
      </c>
    </row>
    <row r="95" spans="1:45" x14ac:dyDescent="0.45">
      <c r="A95">
        <v>94</v>
      </c>
      <c r="B95">
        <v>2119</v>
      </c>
      <c r="C95" t="s">
        <v>72</v>
      </c>
      <c r="D95" t="s">
        <v>73</v>
      </c>
      <c r="E95" t="s">
        <v>74</v>
      </c>
      <c r="F95" t="s">
        <v>75</v>
      </c>
      <c r="G95" t="s">
        <v>76</v>
      </c>
      <c r="H95">
        <v>12</v>
      </c>
      <c r="I95">
        <v>0</v>
      </c>
      <c r="J95">
        <v>7</v>
      </c>
      <c r="K95">
        <v>9</v>
      </c>
      <c r="L95">
        <v>-2</v>
      </c>
      <c r="M95">
        <v>6</v>
      </c>
      <c r="N95">
        <v>7</v>
      </c>
      <c r="O95">
        <v>-1</v>
      </c>
      <c r="P95">
        <v>5</v>
      </c>
      <c r="Q95">
        <v>5</v>
      </c>
      <c r="R95">
        <v>0</v>
      </c>
      <c r="S95">
        <v>8</v>
      </c>
      <c r="T95">
        <v>7</v>
      </c>
      <c r="U95">
        <v>1</v>
      </c>
      <c r="V95">
        <v>7</v>
      </c>
      <c r="W95">
        <v>5</v>
      </c>
      <c r="X95">
        <v>2</v>
      </c>
      <c r="Y95">
        <v>8</v>
      </c>
      <c r="Z95">
        <v>8</v>
      </c>
      <c r="AA95">
        <v>0</v>
      </c>
      <c r="AB95">
        <v>6</v>
      </c>
      <c r="AC95">
        <v>5</v>
      </c>
      <c r="AD95">
        <v>1</v>
      </c>
      <c r="AE95">
        <v>9</v>
      </c>
      <c r="AF95">
        <v>5</v>
      </c>
      <c r="AG95">
        <v>4</v>
      </c>
      <c r="AH95">
        <v>8</v>
      </c>
      <c r="AI95">
        <v>7</v>
      </c>
      <c r="AJ95">
        <v>1</v>
      </c>
      <c r="AK95" t="s">
        <v>1082</v>
      </c>
      <c r="AL95" t="s">
        <v>1083</v>
      </c>
      <c r="AM95" t="s">
        <v>1084</v>
      </c>
      <c r="AN95" t="s">
        <v>1085</v>
      </c>
      <c r="AO95" t="s">
        <v>1086</v>
      </c>
      <c r="AP95" t="s">
        <v>1087</v>
      </c>
      <c r="AQ95" t="s">
        <v>1088</v>
      </c>
      <c r="AR95" t="s">
        <v>1089</v>
      </c>
      <c r="AS95" t="s">
        <v>1090</v>
      </c>
    </row>
    <row r="96" spans="1:45" x14ac:dyDescent="0.45">
      <c r="A96">
        <v>95</v>
      </c>
      <c r="B96">
        <v>2120</v>
      </c>
      <c r="C96" t="s">
        <v>72</v>
      </c>
      <c r="D96" t="s">
        <v>79</v>
      </c>
      <c r="E96" t="s">
        <v>74</v>
      </c>
      <c r="F96" t="s">
        <v>77</v>
      </c>
      <c r="G96" t="s">
        <v>76</v>
      </c>
      <c r="H96">
        <v>32.797203467003534</v>
      </c>
      <c r="I96">
        <v>3</v>
      </c>
      <c r="J96">
        <v>6</v>
      </c>
      <c r="K96">
        <v>4</v>
      </c>
      <c r="L96">
        <v>2</v>
      </c>
      <c r="M96">
        <v>8</v>
      </c>
      <c r="N96">
        <v>6</v>
      </c>
      <c r="O96">
        <v>2</v>
      </c>
      <c r="P96">
        <v>9</v>
      </c>
      <c r="Q96">
        <v>5</v>
      </c>
      <c r="R96">
        <v>4</v>
      </c>
      <c r="S96">
        <v>8</v>
      </c>
      <c r="T96">
        <v>5</v>
      </c>
      <c r="U96">
        <v>3</v>
      </c>
      <c r="V96">
        <v>7</v>
      </c>
      <c r="W96">
        <v>4</v>
      </c>
      <c r="X96">
        <v>3</v>
      </c>
      <c r="Y96">
        <v>8</v>
      </c>
      <c r="Z96">
        <v>4</v>
      </c>
      <c r="AA96">
        <v>4</v>
      </c>
      <c r="AB96">
        <v>7</v>
      </c>
      <c r="AC96">
        <v>3</v>
      </c>
      <c r="AD96">
        <v>4</v>
      </c>
      <c r="AE96">
        <v>6</v>
      </c>
      <c r="AF96">
        <v>4</v>
      </c>
      <c r="AG96">
        <v>2</v>
      </c>
      <c r="AH96">
        <v>8</v>
      </c>
      <c r="AI96">
        <v>3</v>
      </c>
      <c r="AJ96">
        <v>5</v>
      </c>
      <c r="AK96" t="s">
        <v>1091</v>
      </c>
      <c r="AL96" t="s">
        <v>1092</v>
      </c>
      <c r="AM96" t="s">
        <v>1093</v>
      </c>
      <c r="AN96" t="s">
        <v>1094</v>
      </c>
      <c r="AO96" t="s">
        <v>1095</v>
      </c>
      <c r="AP96" t="s">
        <v>1096</v>
      </c>
      <c r="AQ96" t="s">
        <v>1097</v>
      </c>
      <c r="AR96" t="s">
        <v>1098</v>
      </c>
      <c r="AS96" t="s">
        <v>1099</v>
      </c>
    </row>
    <row r="97" spans="1:45" x14ac:dyDescent="0.45">
      <c r="A97">
        <v>96</v>
      </c>
      <c r="B97">
        <v>2121</v>
      </c>
      <c r="C97" t="s">
        <v>78</v>
      </c>
      <c r="D97" t="s">
        <v>189</v>
      </c>
      <c r="E97" t="s">
        <v>74</v>
      </c>
      <c r="F97" t="s">
        <v>77</v>
      </c>
      <c r="G97" t="s">
        <v>76</v>
      </c>
      <c r="H97">
        <v>12</v>
      </c>
      <c r="I97">
        <v>0</v>
      </c>
      <c r="J97">
        <v>7</v>
      </c>
      <c r="K97">
        <v>8</v>
      </c>
      <c r="L97">
        <v>-1</v>
      </c>
      <c r="M97">
        <v>8</v>
      </c>
      <c r="N97">
        <v>7</v>
      </c>
      <c r="O97">
        <v>1</v>
      </c>
      <c r="P97">
        <v>9</v>
      </c>
      <c r="Q97">
        <v>5</v>
      </c>
      <c r="R97">
        <v>4</v>
      </c>
      <c r="S97">
        <v>10</v>
      </c>
      <c r="T97">
        <v>7</v>
      </c>
      <c r="U97">
        <v>3</v>
      </c>
      <c r="V97">
        <v>9</v>
      </c>
      <c r="W97">
        <v>7</v>
      </c>
      <c r="X97">
        <v>2</v>
      </c>
      <c r="Y97">
        <v>8</v>
      </c>
      <c r="Z97">
        <v>5</v>
      </c>
      <c r="AA97">
        <v>3</v>
      </c>
      <c r="AB97">
        <v>9</v>
      </c>
      <c r="AC97">
        <v>5</v>
      </c>
      <c r="AD97">
        <v>4</v>
      </c>
      <c r="AE97">
        <v>8</v>
      </c>
      <c r="AF97">
        <v>7</v>
      </c>
      <c r="AG97">
        <v>1</v>
      </c>
      <c r="AH97">
        <v>9</v>
      </c>
      <c r="AI97">
        <v>7</v>
      </c>
      <c r="AJ97">
        <v>2</v>
      </c>
      <c r="AK97" t="s">
        <v>1100</v>
      </c>
      <c r="AL97" t="s">
        <v>1101</v>
      </c>
      <c r="AM97" t="s">
        <v>1102</v>
      </c>
      <c r="AN97" t="s">
        <v>1103</v>
      </c>
      <c r="AO97" t="s">
        <v>1104</v>
      </c>
      <c r="AP97" t="s">
        <v>1105</v>
      </c>
      <c r="AQ97" t="s">
        <v>1106</v>
      </c>
      <c r="AR97" t="s">
        <v>1107</v>
      </c>
      <c r="AS97" t="s">
        <v>1108</v>
      </c>
    </row>
    <row r="98" spans="1:45" x14ac:dyDescent="0.45">
      <c r="A98">
        <v>97</v>
      </c>
      <c r="B98">
        <v>2122</v>
      </c>
      <c r="C98" t="s">
        <v>72</v>
      </c>
      <c r="D98" t="s">
        <v>194</v>
      </c>
      <c r="E98" t="s">
        <v>74</v>
      </c>
      <c r="F98" t="s">
        <v>77</v>
      </c>
      <c r="G98" t="s">
        <v>162</v>
      </c>
      <c r="H98">
        <v>199.28255035736009</v>
      </c>
      <c r="I98">
        <v>4</v>
      </c>
      <c r="J98">
        <v>7</v>
      </c>
      <c r="K98">
        <v>6</v>
      </c>
      <c r="L98">
        <v>1</v>
      </c>
      <c r="M98">
        <v>8</v>
      </c>
      <c r="N98">
        <v>6</v>
      </c>
      <c r="O98">
        <v>2</v>
      </c>
      <c r="P98">
        <v>7</v>
      </c>
      <c r="Q98">
        <v>5</v>
      </c>
      <c r="R98">
        <v>2</v>
      </c>
      <c r="S98">
        <v>9</v>
      </c>
      <c r="T98">
        <v>5</v>
      </c>
      <c r="U98">
        <v>4</v>
      </c>
      <c r="V98">
        <v>6</v>
      </c>
      <c r="W98">
        <v>5</v>
      </c>
      <c r="X98">
        <v>1</v>
      </c>
      <c r="Y98">
        <v>9</v>
      </c>
      <c r="Z98">
        <v>5</v>
      </c>
      <c r="AA98">
        <v>4</v>
      </c>
      <c r="AB98">
        <v>6</v>
      </c>
      <c r="AC98">
        <v>5</v>
      </c>
      <c r="AD98">
        <v>1</v>
      </c>
      <c r="AE98">
        <v>7</v>
      </c>
      <c r="AF98">
        <v>5</v>
      </c>
      <c r="AG98">
        <v>2</v>
      </c>
      <c r="AH98">
        <v>8</v>
      </c>
      <c r="AI98">
        <v>5</v>
      </c>
      <c r="AJ98">
        <v>3</v>
      </c>
      <c r="AK98" t="s">
        <v>1109</v>
      </c>
      <c r="AL98" t="s">
        <v>1110</v>
      </c>
      <c r="AM98" t="s">
        <v>1111</v>
      </c>
      <c r="AN98" t="s">
        <v>1112</v>
      </c>
      <c r="AO98" t="s">
        <v>1113</v>
      </c>
      <c r="AP98" t="s">
        <v>1114</v>
      </c>
      <c r="AQ98" t="s">
        <v>1115</v>
      </c>
      <c r="AR98" t="s">
        <v>1116</v>
      </c>
      <c r="AS98" t="s">
        <v>1117</v>
      </c>
    </row>
    <row r="99" spans="1:45" x14ac:dyDescent="0.45">
      <c r="A99">
        <v>98</v>
      </c>
      <c r="B99">
        <v>2123</v>
      </c>
      <c r="C99" t="s">
        <v>72</v>
      </c>
      <c r="D99" t="s">
        <v>73</v>
      </c>
      <c r="E99" t="s">
        <v>80</v>
      </c>
      <c r="F99" t="s">
        <v>77</v>
      </c>
      <c r="G99" t="s">
        <v>76</v>
      </c>
      <c r="H99">
        <v>18.927292328244672</v>
      </c>
      <c r="I99">
        <v>0</v>
      </c>
      <c r="J99">
        <v>7</v>
      </c>
      <c r="K99">
        <v>8</v>
      </c>
      <c r="L99">
        <v>-1</v>
      </c>
      <c r="M99">
        <v>6</v>
      </c>
      <c r="N99">
        <v>8</v>
      </c>
      <c r="O99">
        <v>-2</v>
      </c>
      <c r="P99">
        <v>8</v>
      </c>
      <c r="Q99">
        <v>5</v>
      </c>
      <c r="R99">
        <v>3</v>
      </c>
      <c r="S99">
        <v>9</v>
      </c>
      <c r="T99">
        <v>8</v>
      </c>
      <c r="U99">
        <v>1</v>
      </c>
      <c r="V99">
        <v>7</v>
      </c>
      <c r="W99">
        <v>6</v>
      </c>
      <c r="X99">
        <v>1</v>
      </c>
      <c r="Y99">
        <v>8</v>
      </c>
      <c r="Z99">
        <v>9</v>
      </c>
      <c r="AA99">
        <v>-1</v>
      </c>
      <c r="AB99">
        <v>7</v>
      </c>
      <c r="AC99">
        <v>5</v>
      </c>
      <c r="AD99">
        <v>2</v>
      </c>
      <c r="AE99">
        <v>6</v>
      </c>
      <c r="AF99">
        <v>7</v>
      </c>
      <c r="AG99">
        <v>-1</v>
      </c>
      <c r="AH99">
        <v>9</v>
      </c>
      <c r="AI99">
        <v>8</v>
      </c>
      <c r="AJ99">
        <v>1</v>
      </c>
      <c r="AK99" t="s">
        <v>1118</v>
      </c>
      <c r="AL99" t="s">
        <v>1119</v>
      </c>
      <c r="AM99" t="s">
        <v>1120</v>
      </c>
      <c r="AN99" t="s">
        <v>1121</v>
      </c>
      <c r="AO99" t="s">
        <v>1122</v>
      </c>
      <c r="AP99" t="s">
        <v>1123</v>
      </c>
      <c r="AQ99" t="s">
        <v>1124</v>
      </c>
      <c r="AR99" t="s">
        <v>1125</v>
      </c>
      <c r="AS99" t="s">
        <v>1126</v>
      </c>
    </row>
    <row r="100" spans="1:45" x14ac:dyDescent="0.45">
      <c r="A100">
        <v>99</v>
      </c>
      <c r="B100">
        <v>2124</v>
      </c>
      <c r="C100" t="s">
        <v>78</v>
      </c>
      <c r="D100" t="s">
        <v>81</v>
      </c>
      <c r="E100" t="s">
        <v>74</v>
      </c>
      <c r="F100" t="s">
        <v>77</v>
      </c>
      <c r="G100" t="s">
        <v>76</v>
      </c>
      <c r="H100">
        <v>26.243013701026527</v>
      </c>
      <c r="I100">
        <v>1</v>
      </c>
      <c r="J100">
        <v>6</v>
      </c>
      <c r="K100">
        <v>6</v>
      </c>
      <c r="L100">
        <v>0</v>
      </c>
      <c r="M100">
        <v>7</v>
      </c>
      <c r="N100">
        <v>6</v>
      </c>
      <c r="O100">
        <v>1</v>
      </c>
      <c r="P100">
        <v>9</v>
      </c>
      <c r="Q100">
        <v>3</v>
      </c>
      <c r="R100">
        <v>6</v>
      </c>
      <c r="S100">
        <v>9</v>
      </c>
      <c r="T100">
        <v>6</v>
      </c>
      <c r="U100">
        <v>3</v>
      </c>
      <c r="V100">
        <v>7</v>
      </c>
      <c r="W100">
        <v>5</v>
      </c>
      <c r="X100">
        <v>2</v>
      </c>
      <c r="Y100">
        <v>8</v>
      </c>
      <c r="Z100">
        <v>6</v>
      </c>
      <c r="AA100">
        <v>2</v>
      </c>
      <c r="AB100">
        <v>7</v>
      </c>
      <c r="AC100">
        <v>5</v>
      </c>
      <c r="AD100">
        <v>2</v>
      </c>
      <c r="AE100">
        <v>6</v>
      </c>
      <c r="AF100">
        <v>6</v>
      </c>
      <c r="AG100">
        <v>0</v>
      </c>
      <c r="AH100">
        <v>9</v>
      </c>
      <c r="AI100">
        <v>6</v>
      </c>
      <c r="AJ100">
        <v>3</v>
      </c>
      <c r="AK100" t="s">
        <v>1127</v>
      </c>
      <c r="AL100" t="s">
        <v>1128</v>
      </c>
      <c r="AM100" t="s">
        <v>1129</v>
      </c>
      <c r="AN100" t="s">
        <v>1130</v>
      </c>
      <c r="AO100" t="s">
        <v>1131</v>
      </c>
      <c r="AP100" t="s">
        <v>1132</v>
      </c>
      <c r="AQ100" t="s">
        <v>1133</v>
      </c>
      <c r="AR100" t="s">
        <v>1134</v>
      </c>
      <c r="AS100" t="s">
        <v>1135</v>
      </c>
    </row>
    <row r="101" spans="1:45" x14ac:dyDescent="0.45">
      <c r="A101">
        <v>100</v>
      </c>
      <c r="B101">
        <v>2125</v>
      </c>
      <c r="C101" t="s">
        <v>72</v>
      </c>
      <c r="D101" t="s">
        <v>194</v>
      </c>
      <c r="E101" t="s">
        <v>74</v>
      </c>
      <c r="F101" t="s">
        <v>77</v>
      </c>
      <c r="G101" t="s">
        <v>76</v>
      </c>
      <c r="H101">
        <v>13.971867425319756</v>
      </c>
      <c r="I101">
        <v>1</v>
      </c>
      <c r="J101">
        <v>6</v>
      </c>
      <c r="K101">
        <v>8</v>
      </c>
      <c r="L101">
        <v>-2</v>
      </c>
      <c r="M101">
        <v>5</v>
      </c>
      <c r="N101">
        <v>8</v>
      </c>
      <c r="O101">
        <v>-3</v>
      </c>
      <c r="P101">
        <v>8</v>
      </c>
      <c r="Q101">
        <v>8</v>
      </c>
      <c r="R101">
        <v>0</v>
      </c>
      <c r="S101">
        <v>9</v>
      </c>
      <c r="T101">
        <v>10</v>
      </c>
      <c r="U101">
        <v>-1</v>
      </c>
      <c r="V101">
        <v>8</v>
      </c>
      <c r="W101">
        <v>10</v>
      </c>
      <c r="X101">
        <v>-2</v>
      </c>
      <c r="Y101">
        <v>7</v>
      </c>
      <c r="Z101">
        <v>10</v>
      </c>
      <c r="AA101">
        <v>-3</v>
      </c>
      <c r="AB101">
        <v>6</v>
      </c>
      <c r="AC101">
        <v>10</v>
      </c>
      <c r="AD101">
        <v>-4</v>
      </c>
      <c r="AE101">
        <v>7</v>
      </c>
      <c r="AF101">
        <v>10</v>
      </c>
      <c r="AG101">
        <v>-3</v>
      </c>
      <c r="AH101">
        <v>9</v>
      </c>
      <c r="AI101">
        <v>10</v>
      </c>
      <c r="AJ101">
        <v>-1</v>
      </c>
      <c r="AK101" t="s">
        <v>1136</v>
      </c>
      <c r="AL101" t="s">
        <v>1137</v>
      </c>
      <c r="AM101" t="s">
        <v>1138</v>
      </c>
      <c r="AN101" t="s">
        <v>1139</v>
      </c>
      <c r="AO101" t="s">
        <v>1140</v>
      </c>
      <c r="AP101" t="s">
        <v>1141</v>
      </c>
      <c r="AQ101" t="s">
        <v>1142</v>
      </c>
      <c r="AR101" t="s">
        <v>1143</v>
      </c>
      <c r="AS101" t="s">
        <v>1144</v>
      </c>
    </row>
    <row r="102" spans="1:45" x14ac:dyDescent="0.45">
      <c r="A102">
        <v>101</v>
      </c>
      <c r="B102">
        <v>2126</v>
      </c>
      <c r="C102" t="s">
        <v>72</v>
      </c>
      <c r="D102" t="s">
        <v>192</v>
      </c>
      <c r="E102" t="s">
        <v>74</v>
      </c>
      <c r="F102" t="s">
        <v>75</v>
      </c>
      <c r="G102" t="s">
        <v>76</v>
      </c>
      <c r="H102">
        <v>82.344373966456686</v>
      </c>
      <c r="I102">
        <v>4</v>
      </c>
      <c r="J102">
        <v>7</v>
      </c>
      <c r="K102">
        <v>8</v>
      </c>
      <c r="L102">
        <v>-1</v>
      </c>
      <c r="M102">
        <v>8</v>
      </c>
      <c r="N102">
        <v>8</v>
      </c>
      <c r="O102">
        <v>0</v>
      </c>
      <c r="P102">
        <v>9</v>
      </c>
      <c r="Q102">
        <v>7</v>
      </c>
      <c r="R102">
        <v>2</v>
      </c>
      <c r="S102">
        <v>8</v>
      </c>
      <c r="T102">
        <v>8</v>
      </c>
      <c r="U102">
        <v>0</v>
      </c>
      <c r="V102">
        <v>6</v>
      </c>
      <c r="W102">
        <v>8</v>
      </c>
      <c r="X102">
        <v>-2</v>
      </c>
      <c r="Y102">
        <v>9</v>
      </c>
      <c r="Z102">
        <v>7</v>
      </c>
      <c r="AA102">
        <v>2</v>
      </c>
      <c r="AB102">
        <v>7</v>
      </c>
      <c r="AC102">
        <v>7</v>
      </c>
      <c r="AD102">
        <v>0</v>
      </c>
      <c r="AE102">
        <v>8</v>
      </c>
      <c r="AF102">
        <v>7</v>
      </c>
      <c r="AG102">
        <v>1</v>
      </c>
      <c r="AH102">
        <v>9</v>
      </c>
      <c r="AI102">
        <v>8</v>
      </c>
      <c r="AJ102">
        <v>1</v>
      </c>
      <c r="AK102" t="s">
        <v>1145</v>
      </c>
      <c r="AL102" t="s">
        <v>1146</v>
      </c>
      <c r="AM102" t="s">
        <v>1147</v>
      </c>
      <c r="AN102" t="s">
        <v>1148</v>
      </c>
      <c r="AO102" t="s">
        <v>1149</v>
      </c>
      <c r="AP102" t="s">
        <v>1150</v>
      </c>
      <c r="AQ102" t="s">
        <v>1151</v>
      </c>
      <c r="AR102" t="s">
        <v>1152</v>
      </c>
      <c r="AS102" t="s">
        <v>1153</v>
      </c>
    </row>
    <row r="103" spans="1:45" x14ac:dyDescent="0.45">
      <c r="A103">
        <v>102</v>
      </c>
      <c r="B103">
        <v>2127</v>
      </c>
      <c r="C103" t="s">
        <v>78</v>
      </c>
      <c r="D103" t="s">
        <v>189</v>
      </c>
      <c r="E103" t="s">
        <v>74</v>
      </c>
      <c r="F103" t="s">
        <v>77</v>
      </c>
      <c r="G103" t="s">
        <v>76</v>
      </c>
      <c r="H103">
        <v>16.930439079791338</v>
      </c>
      <c r="I103">
        <v>0</v>
      </c>
      <c r="J103">
        <v>7</v>
      </c>
      <c r="K103">
        <v>5</v>
      </c>
      <c r="L103">
        <v>2</v>
      </c>
      <c r="M103">
        <v>6</v>
      </c>
      <c r="N103">
        <v>5</v>
      </c>
      <c r="O103">
        <v>1</v>
      </c>
      <c r="P103">
        <v>8</v>
      </c>
      <c r="Q103">
        <v>5</v>
      </c>
      <c r="R103">
        <v>3</v>
      </c>
      <c r="S103">
        <v>9</v>
      </c>
      <c r="T103">
        <v>5</v>
      </c>
      <c r="U103">
        <v>4</v>
      </c>
      <c r="V103">
        <v>7</v>
      </c>
      <c r="W103">
        <v>5</v>
      </c>
      <c r="X103">
        <v>2</v>
      </c>
      <c r="Y103">
        <v>9</v>
      </c>
      <c r="Z103">
        <v>5</v>
      </c>
      <c r="AA103">
        <v>4</v>
      </c>
      <c r="AB103">
        <v>7</v>
      </c>
      <c r="AC103">
        <v>5</v>
      </c>
      <c r="AD103">
        <v>2</v>
      </c>
      <c r="AE103">
        <v>6</v>
      </c>
      <c r="AF103">
        <v>5</v>
      </c>
      <c r="AG103">
        <v>1</v>
      </c>
      <c r="AH103">
        <v>9</v>
      </c>
      <c r="AI103">
        <v>5</v>
      </c>
      <c r="AJ103">
        <v>4</v>
      </c>
      <c r="AK103" t="s">
        <v>1154</v>
      </c>
      <c r="AL103" t="s">
        <v>1155</v>
      </c>
      <c r="AM103" t="s">
        <v>1156</v>
      </c>
      <c r="AN103" t="s">
        <v>1157</v>
      </c>
      <c r="AO103" t="s">
        <v>1158</v>
      </c>
      <c r="AP103" t="s">
        <v>1159</v>
      </c>
      <c r="AQ103" t="s">
        <v>1160</v>
      </c>
      <c r="AR103" t="s">
        <v>1161</v>
      </c>
      <c r="AS103" t="s">
        <v>1162</v>
      </c>
    </row>
    <row r="104" spans="1:45" x14ac:dyDescent="0.45">
      <c r="A104">
        <v>103</v>
      </c>
      <c r="B104">
        <v>2128</v>
      </c>
      <c r="C104" t="s">
        <v>72</v>
      </c>
      <c r="D104" t="s">
        <v>194</v>
      </c>
      <c r="E104" t="s">
        <v>74</v>
      </c>
      <c r="F104" t="s">
        <v>77</v>
      </c>
      <c r="G104" t="s">
        <v>76</v>
      </c>
      <c r="H104">
        <v>43.324997423297802</v>
      </c>
      <c r="I104">
        <v>2</v>
      </c>
      <c r="J104">
        <v>7</v>
      </c>
      <c r="K104">
        <v>8</v>
      </c>
      <c r="L104">
        <v>-1</v>
      </c>
      <c r="M104">
        <v>6</v>
      </c>
      <c r="N104">
        <v>8</v>
      </c>
      <c r="O104">
        <v>-2</v>
      </c>
      <c r="P104">
        <v>8</v>
      </c>
      <c r="Q104">
        <v>5</v>
      </c>
      <c r="R104">
        <v>3</v>
      </c>
      <c r="S104">
        <v>9</v>
      </c>
      <c r="T104">
        <v>8</v>
      </c>
      <c r="U104">
        <v>1</v>
      </c>
      <c r="V104">
        <v>7</v>
      </c>
      <c r="W104">
        <v>5</v>
      </c>
      <c r="X104">
        <v>2</v>
      </c>
      <c r="Y104">
        <v>8</v>
      </c>
      <c r="Z104">
        <v>5</v>
      </c>
      <c r="AA104">
        <v>3</v>
      </c>
      <c r="AB104">
        <v>6</v>
      </c>
      <c r="AC104">
        <v>6</v>
      </c>
      <c r="AD104">
        <v>0</v>
      </c>
      <c r="AE104">
        <v>7</v>
      </c>
      <c r="AF104">
        <v>6</v>
      </c>
      <c r="AG104">
        <v>1</v>
      </c>
      <c r="AH104">
        <v>9</v>
      </c>
      <c r="AI104">
        <v>5</v>
      </c>
      <c r="AJ104">
        <v>4</v>
      </c>
      <c r="AK104" t="s">
        <v>1163</v>
      </c>
      <c r="AL104" t="s">
        <v>1164</v>
      </c>
      <c r="AM104" t="s">
        <v>1165</v>
      </c>
      <c r="AN104" t="s">
        <v>1166</v>
      </c>
      <c r="AO104" t="s">
        <v>1167</v>
      </c>
      <c r="AP104" t="s">
        <v>1168</v>
      </c>
      <c r="AQ104" t="s">
        <v>1169</v>
      </c>
      <c r="AR104" t="s">
        <v>1170</v>
      </c>
      <c r="AS104" t="s">
        <v>1171</v>
      </c>
    </row>
    <row r="105" spans="1:45" x14ac:dyDescent="0.45">
      <c r="A105">
        <v>104</v>
      </c>
      <c r="B105">
        <v>2129</v>
      </c>
      <c r="C105" t="s">
        <v>78</v>
      </c>
      <c r="D105" t="s">
        <v>73</v>
      </c>
      <c r="E105" t="s">
        <v>74</v>
      </c>
      <c r="F105" t="s">
        <v>77</v>
      </c>
      <c r="G105" t="s">
        <v>76</v>
      </c>
      <c r="H105">
        <v>21.318956921411228</v>
      </c>
      <c r="I105">
        <v>0</v>
      </c>
      <c r="J105">
        <v>6</v>
      </c>
      <c r="K105">
        <v>6</v>
      </c>
      <c r="L105">
        <v>0</v>
      </c>
      <c r="M105">
        <v>7</v>
      </c>
      <c r="N105">
        <v>7</v>
      </c>
      <c r="O105">
        <v>0</v>
      </c>
      <c r="P105">
        <v>8</v>
      </c>
      <c r="Q105">
        <v>6</v>
      </c>
      <c r="R105">
        <v>2</v>
      </c>
      <c r="S105">
        <v>9</v>
      </c>
      <c r="T105">
        <v>8</v>
      </c>
      <c r="U105">
        <v>1</v>
      </c>
      <c r="V105">
        <v>8</v>
      </c>
      <c r="W105">
        <v>6</v>
      </c>
      <c r="X105">
        <v>2</v>
      </c>
      <c r="Y105">
        <v>7</v>
      </c>
      <c r="Z105">
        <v>7</v>
      </c>
      <c r="AA105">
        <v>0</v>
      </c>
      <c r="AB105">
        <v>6</v>
      </c>
      <c r="AC105">
        <v>6</v>
      </c>
      <c r="AD105">
        <v>0</v>
      </c>
      <c r="AE105">
        <v>7</v>
      </c>
      <c r="AF105">
        <v>6</v>
      </c>
      <c r="AG105">
        <v>1</v>
      </c>
      <c r="AH105">
        <v>9</v>
      </c>
      <c r="AI105">
        <v>7</v>
      </c>
      <c r="AJ105">
        <v>2</v>
      </c>
      <c r="AK105" t="s">
        <v>1172</v>
      </c>
      <c r="AL105" t="s">
        <v>1173</v>
      </c>
      <c r="AM105" t="s">
        <v>1174</v>
      </c>
      <c r="AN105" t="s">
        <v>1175</v>
      </c>
      <c r="AO105" t="s">
        <v>1176</v>
      </c>
      <c r="AP105" t="s">
        <v>1177</v>
      </c>
      <c r="AQ105" t="s">
        <v>1178</v>
      </c>
      <c r="AR105" t="s">
        <v>1179</v>
      </c>
      <c r="AS105" t="s">
        <v>1180</v>
      </c>
    </row>
    <row r="106" spans="1:45" x14ac:dyDescent="0.45">
      <c r="A106">
        <v>105</v>
      </c>
      <c r="B106">
        <v>2130</v>
      </c>
      <c r="C106" t="s">
        <v>78</v>
      </c>
      <c r="D106" t="s">
        <v>81</v>
      </c>
      <c r="E106" t="s">
        <v>74</v>
      </c>
      <c r="F106" t="s">
        <v>77</v>
      </c>
      <c r="G106" t="s">
        <v>76</v>
      </c>
      <c r="H106">
        <v>16.650486821800033</v>
      </c>
      <c r="I106">
        <v>1</v>
      </c>
      <c r="J106">
        <v>7</v>
      </c>
      <c r="K106">
        <v>9</v>
      </c>
      <c r="L106">
        <v>-2</v>
      </c>
      <c r="M106">
        <v>8</v>
      </c>
      <c r="N106">
        <v>10</v>
      </c>
      <c r="O106">
        <v>-2</v>
      </c>
      <c r="P106">
        <v>7</v>
      </c>
      <c r="Q106">
        <v>8</v>
      </c>
      <c r="R106">
        <v>-1</v>
      </c>
      <c r="S106">
        <v>8</v>
      </c>
      <c r="T106">
        <v>8</v>
      </c>
      <c r="U106">
        <v>0</v>
      </c>
      <c r="V106">
        <v>9</v>
      </c>
      <c r="W106">
        <v>9</v>
      </c>
      <c r="X106">
        <v>0</v>
      </c>
      <c r="Y106">
        <v>8</v>
      </c>
      <c r="Z106">
        <v>9</v>
      </c>
      <c r="AA106">
        <v>-1</v>
      </c>
      <c r="AB106">
        <v>9</v>
      </c>
      <c r="AC106">
        <v>8</v>
      </c>
      <c r="AD106">
        <v>1</v>
      </c>
      <c r="AE106">
        <v>7</v>
      </c>
      <c r="AF106">
        <v>6</v>
      </c>
      <c r="AG106">
        <v>1</v>
      </c>
      <c r="AH106">
        <v>9</v>
      </c>
      <c r="AI106">
        <v>9</v>
      </c>
      <c r="AJ106">
        <v>0</v>
      </c>
      <c r="AK106" t="s">
        <v>1181</v>
      </c>
      <c r="AL106" t="s">
        <v>1182</v>
      </c>
      <c r="AM106" t="s">
        <v>1183</v>
      </c>
      <c r="AN106" t="s">
        <v>1184</v>
      </c>
      <c r="AO106" t="s">
        <v>1185</v>
      </c>
      <c r="AP106" t="s">
        <v>1186</v>
      </c>
      <c r="AQ106" t="s">
        <v>1187</v>
      </c>
      <c r="AR106" t="s">
        <v>1188</v>
      </c>
      <c r="AS106" t="s">
        <v>1189</v>
      </c>
    </row>
    <row r="107" spans="1:45" x14ac:dyDescent="0.45">
      <c r="A107">
        <v>106</v>
      </c>
      <c r="B107">
        <v>2131</v>
      </c>
      <c r="C107" t="s">
        <v>72</v>
      </c>
      <c r="D107" t="s">
        <v>81</v>
      </c>
      <c r="E107" t="s">
        <v>74</v>
      </c>
      <c r="F107" t="s">
        <v>77</v>
      </c>
      <c r="G107" t="s">
        <v>76</v>
      </c>
      <c r="H107">
        <v>12</v>
      </c>
      <c r="I107">
        <v>0</v>
      </c>
      <c r="J107">
        <v>7</v>
      </c>
      <c r="K107">
        <v>10</v>
      </c>
      <c r="L107">
        <v>-3</v>
      </c>
      <c r="M107">
        <v>7</v>
      </c>
      <c r="N107">
        <v>5</v>
      </c>
      <c r="O107">
        <v>2</v>
      </c>
      <c r="P107">
        <v>9</v>
      </c>
      <c r="Q107">
        <v>8</v>
      </c>
      <c r="R107">
        <v>1</v>
      </c>
      <c r="S107">
        <v>8</v>
      </c>
      <c r="T107">
        <v>8</v>
      </c>
      <c r="U107">
        <v>0</v>
      </c>
      <c r="V107">
        <v>7</v>
      </c>
      <c r="W107">
        <v>10</v>
      </c>
      <c r="X107">
        <v>-3</v>
      </c>
      <c r="Y107">
        <v>8</v>
      </c>
      <c r="Z107">
        <v>10</v>
      </c>
      <c r="AA107">
        <v>-2</v>
      </c>
      <c r="AB107">
        <v>7</v>
      </c>
      <c r="AC107">
        <v>10</v>
      </c>
      <c r="AD107">
        <v>-3</v>
      </c>
      <c r="AE107">
        <v>6</v>
      </c>
      <c r="AF107">
        <v>10</v>
      </c>
      <c r="AG107">
        <v>-4</v>
      </c>
      <c r="AH107">
        <v>8</v>
      </c>
      <c r="AI107">
        <v>10</v>
      </c>
      <c r="AJ107">
        <v>-2</v>
      </c>
      <c r="AK107" t="s">
        <v>1190</v>
      </c>
      <c r="AL107" t="s">
        <v>1191</v>
      </c>
      <c r="AM107" t="s">
        <v>1192</v>
      </c>
      <c r="AN107" t="s">
        <v>1193</v>
      </c>
      <c r="AO107" t="s">
        <v>1194</v>
      </c>
      <c r="AP107" t="s">
        <v>1195</v>
      </c>
      <c r="AQ107" t="s">
        <v>1196</v>
      </c>
      <c r="AR107" t="s">
        <v>1197</v>
      </c>
      <c r="AS107" t="s">
        <v>1198</v>
      </c>
    </row>
    <row r="108" spans="1:45" x14ac:dyDescent="0.45">
      <c r="A108">
        <v>107</v>
      </c>
      <c r="B108">
        <v>2132</v>
      </c>
      <c r="C108" t="s">
        <v>72</v>
      </c>
      <c r="D108" t="s">
        <v>79</v>
      </c>
      <c r="E108" t="s">
        <v>74</v>
      </c>
      <c r="F108" t="s">
        <v>77</v>
      </c>
      <c r="G108" t="s">
        <v>76</v>
      </c>
      <c r="H108">
        <v>29.459763549088798</v>
      </c>
      <c r="I108">
        <v>1</v>
      </c>
      <c r="J108">
        <v>6</v>
      </c>
      <c r="K108">
        <v>7</v>
      </c>
      <c r="L108">
        <v>-1</v>
      </c>
      <c r="M108">
        <v>6</v>
      </c>
      <c r="N108">
        <v>7</v>
      </c>
      <c r="O108">
        <v>-1</v>
      </c>
      <c r="P108">
        <v>7</v>
      </c>
      <c r="Q108">
        <v>7</v>
      </c>
      <c r="R108">
        <v>0</v>
      </c>
      <c r="S108">
        <v>9</v>
      </c>
      <c r="T108">
        <v>7</v>
      </c>
      <c r="U108">
        <v>2</v>
      </c>
      <c r="V108">
        <v>7</v>
      </c>
      <c r="W108">
        <v>7</v>
      </c>
      <c r="X108">
        <v>0</v>
      </c>
      <c r="Y108">
        <v>9</v>
      </c>
      <c r="Z108">
        <v>7</v>
      </c>
      <c r="AA108">
        <v>2</v>
      </c>
      <c r="AB108">
        <v>9</v>
      </c>
      <c r="AC108">
        <v>7</v>
      </c>
      <c r="AD108">
        <v>2</v>
      </c>
      <c r="AE108">
        <v>8</v>
      </c>
      <c r="AF108">
        <v>7</v>
      </c>
      <c r="AG108">
        <v>1</v>
      </c>
      <c r="AH108">
        <v>9</v>
      </c>
      <c r="AI108">
        <v>8</v>
      </c>
      <c r="AJ108">
        <v>1</v>
      </c>
      <c r="AK108" t="s">
        <v>1199</v>
      </c>
      <c r="AL108" t="s">
        <v>1200</v>
      </c>
      <c r="AM108" t="s">
        <v>1201</v>
      </c>
      <c r="AN108" t="s">
        <v>1202</v>
      </c>
      <c r="AO108" t="s">
        <v>1203</v>
      </c>
      <c r="AP108" t="s">
        <v>1204</v>
      </c>
      <c r="AQ108" t="s">
        <v>1205</v>
      </c>
      <c r="AR108" t="s">
        <v>1206</v>
      </c>
      <c r="AS108" t="s">
        <v>1207</v>
      </c>
    </row>
    <row r="109" spans="1:45" x14ac:dyDescent="0.45">
      <c r="A109">
        <v>108</v>
      </c>
      <c r="B109">
        <v>2133</v>
      </c>
      <c r="C109" t="s">
        <v>72</v>
      </c>
      <c r="D109" t="s">
        <v>79</v>
      </c>
      <c r="E109" t="s">
        <v>74</v>
      </c>
      <c r="F109" t="s">
        <v>77</v>
      </c>
      <c r="G109" t="s">
        <v>76</v>
      </c>
      <c r="H109">
        <v>13.250913260472789</v>
      </c>
      <c r="I109">
        <v>1</v>
      </c>
      <c r="J109">
        <v>7</v>
      </c>
      <c r="K109">
        <v>5</v>
      </c>
      <c r="L109">
        <v>2</v>
      </c>
      <c r="M109">
        <v>8</v>
      </c>
      <c r="N109">
        <v>10</v>
      </c>
      <c r="O109">
        <v>-2</v>
      </c>
      <c r="P109">
        <v>6</v>
      </c>
      <c r="Q109">
        <v>5</v>
      </c>
      <c r="R109">
        <v>1</v>
      </c>
      <c r="S109">
        <v>9</v>
      </c>
      <c r="T109">
        <v>5</v>
      </c>
      <c r="U109">
        <v>4</v>
      </c>
      <c r="V109">
        <v>7</v>
      </c>
      <c r="W109">
        <v>5</v>
      </c>
      <c r="X109">
        <v>2</v>
      </c>
      <c r="Y109">
        <v>8</v>
      </c>
      <c r="Z109">
        <v>5</v>
      </c>
      <c r="AA109">
        <v>3</v>
      </c>
      <c r="AB109">
        <v>7</v>
      </c>
      <c r="AC109">
        <v>8</v>
      </c>
      <c r="AD109">
        <v>-1</v>
      </c>
      <c r="AE109">
        <v>6</v>
      </c>
      <c r="AF109">
        <v>5</v>
      </c>
      <c r="AG109">
        <v>1</v>
      </c>
      <c r="AH109">
        <v>9</v>
      </c>
      <c r="AI109">
        <v>6</v>
      </c>
      <c r="AJ109">
        <v>3</v>
      </c>
      <c r="AK109" t="s">
        <v>1208</v>
      </c>
      <c r="AL109" t="s">
        <v>1209</v>
      </c>
      <c r="AM109" t="s">
        <v>1210</v>
      </c>
      <c r="AN109" t="s">
        <v>1211</v>
      </c>
      <c r="AO109" t="s">
        <v>1212</v>
      </c>
      <c r="AP109" t="s">
        <v>1213</v>
      </c>
      <c r="AQ109" t="s">
        <v>1214</v>
      </c>
      <c r="AR109" t="s">
        <v>1215</v>
      </c>
      <c r="AS109" t="s">
        <v>1216</v>
      </c>
    </row>
    <row r="110" spans="1:45" x14ac:dyDescent="0.45">
      <c r="A110">
        <v>109</v>
      </c>
      <c r="B110">
        <v>2134</v>
      </c>
      <c r="C110" t="s">
        <v>72</v>
      </c>
      <c r="D110" t="s">
        <v>79</v>
      </c>
      <c r="E110" t="s">
        <v>74</v>
      </c>
      <c r="F110" t="s">
        <v>77</v>
      </c>
      <c r="G110" t="s">
        <v>76</v>
      </c>
      <c r="H110">
        <v>15.482546722924972</v>
      </c>
      <c r="I110">
        <v>1</v>
      </c>
      <c r="J110">
        <v>7</v>
      </c>
      <c r="K110">
        <v>10</v>
      </c>
      <c r="L110">
        <v>-3</v>
      </c>
      <c r="M110">
        <v>8</v>
      </c>
      <c r="N110">
        <v>10</v>
      </c>
      <c r="O110">
        <v>-2</v>
      </c>
      <c r="P110">
        <v>9</v>
      </c>
      <c r="Q110">
        <v>10</v>
      </c>
      <c r="R110">
        <v>-1</v>
      </c>
      <c r="S110">
        <v>8</v>
      </c>
      <c r="T110">
        <v>10</v>
      </c>
      <c r="U110">
        <v>-2</v>
      </c>
      <c r="V110">
        <v>9</v>
      </c>
      <c r="W110">
        <v>10</v>
      </c>
      <c r="X110">
        <v>-1</v>
      </c>
      <c r="Y110">
        <v>9</v>
      </c>
      <c r="Z110">
        <v>10</v>
      </c>
      <c r="AA110">
        <v>-1</v>
      </c>
      <c r="AB110">
        <v>8</v>
      </c>
      <c r="AC110">
        <v>10</v>
      </c>
      <c r="AD110">
        <v>-2</v>
      </c>
      <c r="AE110">
        <v>9</v>
      </c>
      <c r="AF110">
        <v>10</v>
      </c>
      <c r="AG110">
        <v>-1</v>
      </c>
      <c r="AH110">
        <v>9</v>
      </c>
      <c r="AI110">
        <v>10</v>
      </c>
      <c r="AJ110">
        <v>-1</v>
      </c>
      <c r="AK110" t="s">
        <v>1217</v>
      </c>
      <c r="AL110" t="s">
        <v>1218</v>
      </c>
      <c r="AM110" t="s">
        <v>1219</v>
      </c>
      <c r="AN110" t="s">
        <v>1220</v>
      </c>
      <c r="AO110" t="s">
        <v>1221</v>
      </c>
      <c r="AP110" t="s">
        <v>1222</v>
      </c>
      <c r="AQ110" t="s">
        <v>1223</v>
      </c>
      <c r="AR110" t="s">
        <v>1224</v>
      </c>
      <c r="AS110" t="s">
        <v>1225</v>
      </c>
    </row>
    <row r="111" spans="1:45" x14ac:dyDescent="0.45">
      <c r="A111">
        <v>110</v>
      </c>
      <c r="B111">
        <v>2135</v>
      </c>
      <c r="C111" t="s">
        <v>78</v>
      </c>
      <c r="D111" t="s">
        <v>73</v>
      </c>
      <c r="E111" t="s">
        <v>74</v>
      </c>
      <c r="F111" t="s">
        <v>77</v>
      </c>
      <c r="G111" t="s">
        <v>76</v>
      </c>
      <c r="H111">
        <v>57.646688879409737</v>
      </c>
      <c r="I111">
        <v>2</v>
      </c>
      <c r="J111">
        <v>7</v>
      </c>
      <c r="K111">
        <v>7</v>
      </c>
      <c r="L111">
        <v>0</v>
      </c>
      <c r="M111">
        <v>8</v>
      </c>
      <c r="N111">
        <v>6</v>
      </c>
      <c r="O111">
        <v>2</v>
      </c>
      <c r="P111">
        <v>9</v>
      </c>
      <c r="Q111">
        <v>8</v>
      </c>
      <c r="R111">
        <v>1</v>
      </c>
      <c r="S111">
        <v>10</v>
      </c>
      <c r="T111">
        <v>8</v>
      </c>
      <c r="U111">
        <v>2</v>
      </c>
      <c r="V111">
        <v>9</v>
      </c>
      <c r="W111">
        <v>7</v>
      </c>
      <c r="X111">
        <v>2</v>
      </c>
      <c r="Y111">
        <v>8</v>
      </c>
      <c r="Z111">
        <v>6</v>
      </c>
      <c r="AA111">
        <v>2</v>
      </c>
      <c r="AB111">
        <v>9</v>
      </c>
      <c r="AC111">
        <v>5</v>
      </c>
      <c r="AD111">
        <v>4</v>
      </c>
      <c r="AE111">
        <v>7</v>
      </c>
      <c r="AF111">
        <v>5</v>
      </c>
      <c r="AG111">
        <v>2</v>
      </c>
      <c r="AH111">
        <v>9</v>
      </c>
      <c r="AI111">
        <v>8</v>
      </c>
      <c r="AJ111">
        <v>1</v>
      </c>
      <c r="AK111" t="s">
        <v>1226</v>
      </c>
      <c r="AL111" t="s">
        <v>1227</v>
      </c>
      <c r="AM111" t="s">
        <v>1228</v>
      </c>
      <c r="AN111" t="s">
        <v>1229</v>
      </c>
      <c r="AO111" t="s">
        <v>1230</v>
      </c>
      <c r="AP111" t="s">
        <v>1231</v>
      </c>
      <c r="AQ111" t="s">
        <v>1232</v>
      </c>
      <c r="AR111" t="s">
        <v>1233</v>
      </c>
      <c r="AS111" t="s">
        <v>1234</v>
      </c>
    </row>
    <row r="112" spans="1:45" x14ac:dyDescent="0.45">
      <c r="A112">
        <v>111</v>
      </c>
      <c r="B112">
        <v>2136</v>
      </c>
      <c r="C112" t="s">
        <v>78</v>
      </c>
      <c r="D112" t="s">
        <v>192</v>
      </c>
      <c r="E112" t="s">
        <v>74</v>
      </c>
      <c r="F112" t="s">
        <v>77</v>
      </c>
      <c r="G112" t="s">
        <v>76</v>
      </c>
      <c r="H112">
        <v>27.030741484792316</v>
      </c>
      <c r="I112">
        <v>1</v>
      </c>
      <c r="J112">
        <v>9</v>
      </c>
      <c r="K112">
        <v>8</v>
      </c>
      <c r="L112">
        <v>1</v>
      </c>
      <c r="M112">
        <v>8</v>
      </c>
      <c r="N112">
        <v>8</v>
      </c>
      <c r="O112">
        <v>0</v>
      </c>
      <c r="P112">
        <v>9</v>
      </c>
      <c r="Q112">
        <v>6</v>
      </c>
      <c r="R112">
        <v>3</v>
      </c>
      <c r="S112">
        <v>8</v>
      </c>
      <c r="T112">
        <v>7</v>
      </c>
      <c r="U112">
        <v>1</v>
      </c>
      <c r="V112">
        <v>9</v>
      </c>
      <c r="W112">
        <v>6</v>
      </c>
      <c r="X112">
        <v>3</v>
      </c>
      <c r="Y112">
        <v>8</v>
      </c>
      <c r="Z112">
        <v>7</v>
      </c>
      <c r="AA112">
        <v>1</v>
      </c>
      <c r="AB112">
        <v>9</v>
      </c>
      <c r="AC112">
        <v>5</v>
      </c>
      <c r="AD112">
        <v>4</v>
      </c>
      <c r="AE112">
        <v>8</v>
      </c>
      <c r="AF112">
        <v>5</v>
      </c>
      <c r="AG112">
        <v>3</v>
      </c>
      <c r="AH112">
        <v>9</v>
      </c>
      <c r="AI112">
        <v>5</v>
      </c>
      <c r="AJ112">
        <v>4</v>
      </c>
      <c r="AK112" t="s">
        <v>1235</v>
      </c>
      <c r="AL112" t="s">
        <v>1236</v>
      </c>
      <c r="AM112" t="s">
        <v>1237</v>
      </c>
      <c r="AN112" t="s">
        <v>1238</v>
      </c>
      <c r="AO112" t="s">
        <v>1239</v>
      </c>
      <c r="AP112" t="s">
        <v>1240</v>
      </c>
      <c r="AQ112" t="s">
        <v>1241</v>
      </c>
      <c r="AR112" t="s">
        <v>1242</v>
      </c>
      <c r="AS112" t="s">
        <v>1243</v>
      </c>
    </row>
    <row r="113" spans="1:45" x14ac:dyDescent="0.45">
      <c r="A113">
        <v>112</v>
      </c>
      <c r="B113">
        <v>2137</v>
      </c>
      <c r="C113" t="s">
        <v>72</v>
      </c>
      <c r="D113" t="s">
        <v>79</v>
      </c>
      <c r="E113" t="s">
        <v>74</v>
      </c>
      <c r="F113" t="s">
        <v>77</v>
      </c>
      <c r="G113" t="s">
        <v>76</v>
      </c>
      <c r="H113">
        <v>19.498798349359337</v>
      </c>
      <c r="I113">
        <v>2</v>
      </c>
      <c r="J113">
        <v>7</v>
      </c>
      <c r="K113">
        <v>7</v>
      </c>
      <c r="L113">
        <v>0</v>
      </c>
      <c r="M113">
        <v>7</v>
      </c>
      <c r="N113">
        <v>8</v>
      </c>
      <c r="O113">
        <v>-1</v>
      </c>
      <c r="P113">
        <v>8</v>
      </c>
      <c r="Q113">
        <v>8</v>
      </c>
      <c r="R113">
        <v>0</v>
      </c>
      <c r="S113">
        <v>9</v>
      </c>
      <c r="T113">
        <v>8</v>
      </c>
      <c r="U113">
        <v>1</v>
      </c>
      <c r="V113">
        <v>8</v>
      </c>
      <c r="W113">
        <v>8</v>
      </c>
      <c r="X113">
        <v>0</v>
      </c>
      <c r="Y113">
        <v>9</v>
      </c>
      <c r="Z113">
        <v>8</v>
      </c>
      <c r="AA113">
        <v>1</v>
      </c>
      <c r="AB113">
        <v>8</v>
      </c>
      <c r="AC113">
        <v>8</v>
      </c>
      <c r="AD113">
        <v>0</v>
      </c>
      <c r="AE113">
        <v>9</v>
      </c>
      <c r="AF113">
        <v>8</v>
      </c>
      <c r="AG113">
        <v>1</v>
      </c>
      <c r="AH113">
        <v>8</v>
      </c>
      <c r="AI113">
        <v>8</v>
      </c>
      <c r="AJ113">
        <v>0</v>
      </c>
      <c r="AK113" t="s">
        <v>1244</v>
      </c>
      <c r="AL113" t="s">
        <v>1245</v>
      </c>
      <c r="AM113" t="s">
        <v>1246</v>
      </c>
      <c r="AN113" t="s">
        <v>1247</v>
      </c>
      <c r="AO113" t="s">
        <v>1248</v>
      </c>
      <c r="AP113" t="s">
        <v>1249</v>
      </c>
      <c r="AQ113" t="s">
        <v>1250</v>
      </c>
      <c r="AR113" t="s">
        <v>1251</v>
      </c>
      <c r="AS113" t="s">
        <v>1252</v>
      </c>
    </row>
    <row r="114" spans="1:45" x14ac:dyDescent="0.45">
      <c r="A114">
        <v>113</v>
      </c>
      <c r="B114">
        <v>2138</v>
      </c>
      <c r="C114" t="s">
        <v>72</v>
      </c>
      <c r="D114" t="s">
        <v>73</v>
      </c>
      <c r="E114" t="s">
        <v>74</v>
      </c>
      <c r="F114" t="s">
        <v>77</v>
      </c>
      <c r="G114" t="s">
        <v>76</v>
      </c>
      <c r="H114">
        <v>12</v>
      </c>
      <c r="I114">
        <v>3</v>
      </c>
      <c r="J114">
        <v>8</v>
      </c>
      <c r="K114">
        <v>1</v>
      </c>
      <c r="L114">
        <v>7</v>
      </c>
      <c r="M114">
        <v>7</v>
      </c>
      <c r="N114">
        <v>1</v>
      </c>
      <c r="O114">
        <v>6</v>
      </c>
      <c r="P114">
        <v>9</v>
      </c>
      <c r="Q114">
        <v>1</v>
      </c>
      <c r="R114">
        <v>8</v>
      </c>
      <c r="S114">
        <v>7</v>
      </c>
      <c r="T114">
        <v>1</v>
      </c>
      <c r="U114">
        <v>6</v>
      </c>
      <c r="V114">
        <v>8</v>
      </c>
      <c r="W114">
        <v>1</v>
      </c>
      <c r="X114">
        <v>7</v>
      </c>
      <c r="Y114">
        <v>9</v>
      </c>
      <c r="Z114">
        <v>1</v>
      </c>
      <c r="AA114">
        <v>8</v>
      </c>
      <c r="AB114">
        <v>8</v>
      </c>
      <c r="AC114">
        <v>1</v>
      </c>
      <c r="AD114">
        <v>7</v>
      </c>
      <c r="AE114">
        <v>7</v>
      </c>
      <c r="AF114">
        <v>1</v>
      </c>
      <c r="AG114">
        <v>6</v>
      </c>
      <c r="AH114">
        <v>9</v>
      </c>
      <c r="AI114">
        <v>1</v>
      </c>
      <c r="AJ114">
        <v>8</v>
      </c>
      <c r="AK114" t="s">
        <v>1253</v>
      </c>
      <c r="AL114" t="s">
        <v>1254</v>
      </c>
      <c r="AM114" t="s">
        <v>1255</v>
      </c>
      <c r="AN114" t="s">
        <v>1256</v>
      </c>
      <c r="AO114" t="s">
        <v>1257</v>
      </c>
      <c r="AP114" t="s">
        <v>1258</v>
      </c>
      <c r="AQ114" t="s">
        <v>1259</v>
      </c>
      <c r="AR114" t="s">
        <v>1260</v>
      </c>
      <c r="AS114" t="s">
        <v>1261</v>
      </c>
    </row>
    <row r="115" spans="1:45" x14ac:dyDescent="0.45">
      <c r="A115">
        <v>114</v>
      </c>
      <c r="B115">
        <v>2139</v>
      </c>
      <c r="C115" t="s">
        <v>72</v>
      </c>
      <c r="D115" t="s">
        <v>79</v>
      </c>
      <c r="E115" t="s">
        <v>74</v>
      </c>
      <c r="F115" t="s">
        <v>77</v>
      </c>
      <c r="G115" t="s">
        <v>76</v>
      </c>
      <c r="H115">
        <v>21.303432143635934</v>
      </c>
      <c r="I115">
        <v>4</v>
      </c>
      <c r="J115">
        <v>5</v>
      </c>
      <c r="K115">
        <v>10</v>
      </c>
      <c r="L115">
        <v>-5</v>
      </c>
      <c r="M115">
        <v>6</v>
      </c>
      <c r="N115">
        <v>10</v>
      </c>
      <c r="O115">
        <v>-4</v>
      </c>
      <c r="P115">
        <v>9</v>
      </c>
      <c r="Q115">
        <v>10</v>
      </c>
      <c r="R115">
        <v>-1</v>
      </c>
      <c r="S115">
        <v>9</v>
      </c>
      <c r="T115">
        <v>10</v>
      </c>
      <c r="U115">
        <v>-1</v>
      </c>
      <c r="V115">
        <v>7</v>
      </c>
      <c r="W115">
        <v>10</v>
      </c>
      <c r="X115">
        <v>-3</v>
      </c>
      <c r="Y115">
        <v>9</v>
      </c>
      <c r="Z115">
        <v>10</v>
      </c>
      <c r="AA115">
        <v>-1</v>
      </c>
      <c r="AB115">
        <v>8</v>
      </c>
      <c r="AC115">
        <v>10</v>
      </c>
      <c r="AD115">
        <v>-2</v>
      </c>
      <c r="AE115">
        <v>7</v>
      </c>
      <c r="AF115">
        <v>10</v>
      </c>
      <c r="AG115">
        <v>-3</v>
      </c>
      <c r="AH115">
        <v>8</v>
      </c>
      <c r="AI115">
        <v>10</v>
      </c>
      <c r="AJ115">
        <v>-2</v>
      </c>
      <c r="AK115" t="s">
        <v>1262</v>
      </c>
      <c r="AL115" t="s">
        <v>1263</v>
      </c>
      <c r="AM115" t="s">
        <v>1264</v>
      </c>
      <c r="AN115" t="s">
        <v>1265</v>
      </c>
      <c r="AO115" t="s">
        <v>1266</v>
      </c>
      <c r="AP115" t="s">
        <v>1267</v>
      </c>
      <c r="AQ115" t="s">
        <v>1268</v>
      </c>
      <c r="AR115" t="s">
        <v>1269</v>
      </c>
      <c r="AS115" t="s">
        <v>1270</v>
      </c>
    </row>
    <row r="116" spans="1:45" x14ac:dyDescent="0.45">
      <c r="A116">
        <v>115</v>
      </c>
      <c r="B116">
        <v>2140</v>
      </c>
      <c r="C116" t="s">
        <v>72</v>
      </c>
      <c r="D116" t="s">
        <v>79</v>
      </c>
      <c r="E116" t="s">
        <v>74</v>
      </c>
      <c r="F116" t="s">
        <v>75</v>
      </c>
      <c r="G116" t="s">
        <v>76</v>
      </c>
      <c r="H116">
        <v>13.742364406331557</v>
      </c>
      <c r="I116">
        <v>4</v>
      </c>
      <c r="J116">
        <v>7</v>
      </c>
      <c r="K116">
        <v>1</v>
      </c>
      <c r="L116">
        <v>6</v>
      </c>
      <c r="M116">
        <v>8</v>
      </c>
      <c r="N116">
        <v>1</v>
      </c>
      <c r="O116">
        <v>7</v>
      </c>
      <c r="P116">
        <v>7</v>
      </c>
      <c r="Q116">
        <v>1</v>
      </c>
      <c r="R116">
        <v>6</v>
      </c>
      <c r="S116">
        <v>9</v>
      </c>
      <c r="T116">
        <v>1</v>
      </c>
      <c r="U116">
        <v>8</v>
      </c>
      <c r="V116">
        <v>8</v>
      </c>
      <c r="W116">
        <v>1</v>
      </c>
      <c r="X116">
        <v>7</v>
      </c>
      <c r="Y116">
        <v>9</v>
      </c>
      <c r="Z116">
        <v>1</v>
      </c>
      <c r="AA116">
        <v>8</v>
      </c>
      <c r="AB116">
        <v>8</v>
      </c>
      <c r="AC116">
        <v>1</v>
      </c>
      <c r="AD116">
        <v>7</v>
      </c>
      <c r="AE116">
        <v>9</v>
      </c>
      <c r="AF116">
        <v>1</v>
      </c>
      <c r="AG116">
        <v>8</v>
      </c>
      <c r="AH116">
        <v>8</v>
      </c>
      <c r="AI116">
        <v>1</v>
      </c>
      <c r="AJ116">
        <v>7</v>
      </c>
      <c r="AK116" t="s">
        <v>1271</v>
      </c>
      <c r="AL116" t="s">
        <v>1272</v>
      </c>
      <c r="AM116" t="s">
        <v>1273</v>
      </c>
      <c r="AN116" t="s">
        <v>1274</v>
      </c>
      <c r="AO116" t="s">
        <v>1275</v>
      </c>
      <c r="AP116" t="s">
        <v>1276</v>
      </c>
      <c r="AQ116" t="s">
        <v>1277</v>
      </c>
      <c r="AR116" t="s">
        <v>1278</v>
      </c>
      <c r="AS116" t="s">
        <v>1279</v>
      </c>
    </row>
    <row r="117" spans="1:45" x14ac:dyDescent="0.45">
      <c r="A117">
        <v>116</v>
      </c>
      <c r="B117">
        <v>2141</v>
      </c>
      <c r="C117" t="s">
        <v>72</v>
      </c>
      <c r="D117" t="s">
        <v>79</v>
      </c>
      <c r="E117" t="s">
        <v>74</v>
      </c>
      <c r="F117" t="s">
        <v>75</v>
      </c>
      <c r="G117" t="s">
        <v>76</v>
      </c>
      <c r="H117">
        <v>12.67404857828916</v>
      </c>
      <c r="I117">
        <v>0</v>
      </c>
      <c r="J117">
        <v>7</v>
      </c>
      <c r="K117">
        <v>9</v>
      </c>
      <c r="L117">
        <v>-2</v>
      </c>
      <c r="M117">
        <v>6</v>
      </c>
      <c r="N117">
        <v>9</v>
      </c>
      <c r="O117">
        <v>-3</v>
      </c>
      <c r="P117">
        <v>9</v>
      </c>
      <c r="Q117">
        <v>9</v>
      </c>
      <c r="R117">
        <v>0</v>
      </c>
      <c r="S117">
        <v>8</v>
      </c>
      <c r="T117">
        <v>9</v>
      </c>
      <c r="U117">
        <v>-1</v>
      </c>
      <c r="V117">
        <v>6</v>
      </c>
      <c r="W117">
        <v>9</v>
      </c>
      <c r="X117">
        <v>-3</v>
      </c>
      <c r="Y117">
        <v>9</v>
      </c>
      <c r="Z117">
        <v>9</v>
      </c>
      <c r="AA117">
        <v>0</v>
      </c>
      <c r="AB117">
        <v>7</v>
      </c>
      <c r="AC117">
        <v>9</v>
      </c>
      <c r="AD117">
        <v>-2</v>
      </c>
      <c r="AE117">
        <v>6</v>
      </c>
      <c r="AF117">
        <v>8</v>
      </c>
      <c r="AG117">
        <v>-2</v>
      </c>
      <c r="AH117">
        <v>8</v>
      </c>
      <c r="AI117">
        <v>9</v>
      </c>
      <c r="AJ117">
        <v>-1</v>
      </c>
      <c r="AK117" t="s">
        <v>1280</v>
      </c>
      <c r="AL117" t="s">
        <v>1281</v>
      </c>
      <c r="AM117" t="s">
        <v>1282</v>
      </c>
      <c r="AN117" t="s">
        <v>1283</v>
      </c>
      <c r="AO117" t="s">
        <v>1284</v>
      </c>
      <c r="AP117" t="s">
        <v>1285</v>
      </c>
      <c r="AQ117" t="s">
        <v>1286</v>
      </c>
      <c r="AR117" t="s">
        <v>1287</v>
      </c>
      <c r="AS117" t="s">
        <v>1288</v>
      </c>
    </row>
    <row r="118" spans="1:45" x14ac:dyDescent="0.45">
      <c r="A118">
        <v>117</v>
      </c>
      <c r="B118">
        <v>2142</v>
      </c>
      <c r="C118" t="s">
        <v>72</v>
      </c>
      <c r="D118" t="s">
        <v>79</v>
      </c>
      <c r="E118" t="s">
        <v>74</v>
      </c>
      <c r="F118" t="s">
        <v>77</v>
      </c>
      <c r="G118" t="s">
        <v>76</v>
      </c>
      <c r="H118">
        <v>49.048057594631516</v>
      </c>
      <c r="I118">
        <v>0</v>
      </c>
      <c r="J118">
        <v>9</v>
      </c>
      <c r="K118">
        <v>8</v>
      </c>
      <c r="L118">
        <v>1</v>
      </c>
      <c r="M118">
        <v>7</v>
      </c>
      <c r="N118">
        <v>9</v>
      </c>
      <c r="O118">
        <v>-2</v>
      </c>
      <c r="P118">
        <v>8</v>
      </c>
      <c r="Q118">
        <v>8</v>
      </c>
      <c r="R118">
        <v>0</v>
      </c>
      <c r="S118">
        <v>9</v>
      </c>
      <c r="T118">
        <v>6</v>
      </c>
      <c r="U118">
        <v>3</v>
      </c>
      <c r="V118">
        <v>8</v>
      </c>
      <c r="W118">
        <v>8</v>
      </c>
      <c r="X118">
        <v>0</v>
      </c>
      <c r="Y118">
        <v>9</v>
      </c>
      <c r="Z118">
        <v>8</v>
      </c>
      <c r="AA118">
        <v>1</v>
      </c>
      <c r="AB118">
        <v>8</v>
      </c>
      <c r="AC118">
        <v>8</v>
      </c>
      <c r="AD118">
        <v>0</v>
      </c>
      <c r="AE118">
        <v>9</v>
      </c>
      <c r="AF118">
        <v>8</v>
      </c>
      <c r="AG118">
        <v>1</v>
      </c>
      <c r="AH118">
        <v>10</v>
      </c>
      <c r="AI118">
        <v>6</v>
      </c>
      <c r="AJ118">
        <v>4</v>
      </c>
      <c r="AK118" t="s">
        <v>1289</v>
      </c>
      <c r="AL118" t="s">
        <v>1290</v>
      </c>
      <c r="AM118" t="s">
        <v>1291</v>
      </c>
      <c r="AN118" t="s">
        <v>1292</v>
      </c>
      <c r="AO118" t="s">
        <v>1293</v>
      </c>
      <c r="AP118" t="s">
        <v>1294</v>
      </c>
      <c r="AQ118" t="s">
        <v>1295</v>
      </c>
      <c r="AR118" t="s">
        <v>1296</v>
      </c>
      <c r="AS118" t="s">
        <v>1297</v>
      </c>
    </row>
    <row r="119" spans="1:45" x14ac:dyDescent="0.45">
      <c r="A119">
        <v>118</v>
      </c>
      <c r="B119">
        <v>2143</v>
      </c>
      <c r="C119" t="s">
        <v>78</v>
      </c>
      <c r="D119" t="s">
        <v>73</v>
      </c>
      <c r="E119" t="s">
        <v>74</v>
      </c>
      <c r="F119" t="s">
        <v>75</v>
      </c>
      <c r="G119" t="s">
        <v>76</v>
      </c>
      <c r="H119">
        <v>41.026562611168941</v>
      </c>
      <c r="I119">
        <v>1</v>
      </c>
      <c r="J119">
        <v>7</v>
      </c>
      <c r="K119">
        <v>4</v>
      </c>
      <c r="L119">
        <v>3</v>
      </c>
      <c r="M119">
        <v>8</v>
      </c>
      <c r="N119">
        <v>1</v>
      </c>
      <c r="O119">
        <v>7</v>
      </c>
      <c r="P119">
        <v>7</v>
      </c>
      <c r="Q119">
        <v>1</v>
      </c>
      <c r="R119">
        <v>6</v>
      </c>
      <c r="S119">
        <v>9</v>
      </c>
      <c r="T119">
        <v>5</v>
      </c>
      <c r="U119">
        <v>4</v>
      </c>
      <c r="V119">
        <v>6</v>
      </c>
      <c r="W119">
        <v>1</v>
      </c>
      <c r="X119">
        <v>5</v>
      </c>
      <c r="Y119">
        <v>8</v>
      </c>
      <c r="Z119">
        <v>3</v>
      </c>
      <c r="AA119">
        <v>5</v>
      </c>
      <c r="AB119">
        <v>6</v>
      </c>
      <c r="AC119">
        <v>1</v>
      </c>
      <c r="AD119">
        <v>5</v>
      </c>
      <c r="AE119">
        <v>7</v>
      </c>
      <c r="AF119">
        <v>1</v>
      </c>
      <c r="AG119">
        <v>6</v>
      </c>
      <c r="AH119">
        <v>8</v>
      </c>
      <c r="AI119">
        <v>5</v>
      </c>
      <c r="AJ119">
        <v>3</v>
      </c>
      <c r="AK119" t="s">
        <v>1298</v>
      </c>
      <c r="AL119" t="s">
        <v>1299</v>
      </c>
      <c r="AM119" t="s">
        <v>1300</v>
      </c>
      <c r="AN119" t="s">
        <v>1301</v>
      </c>
      <c r="AO119" t="s">
        <v>1302</v>
      </c>
      <c r="AP119" t="s">
        <v>1303</v>
      </c>
      <c r="AQ119" t="s">
        <v>1304</v>
      </c>
      <c r="AR119" t="s">
        <v>1305</v>
      </c>
      <c r="AS119" t="s">
        <v>1306</v>
      </c>
    </row>
    <row r="120" spans="1:45" x14ac:dyDescent="0.45">
      <c r="A120">
        <v>119</v>
      </c>
      <c r="B120">
        <v>2144</v>
      </c>
      <c r="C120" t="s">
        <v>72</v>
      </c>
      <c r="D120" t="s">
        <v>194</v>
      </c>
      <c r="E120" t="s">
        <v>74</v>
      </c>
      <c r="F120" t="s">
        <v>77</v>
      </c>
      <c r="G120" t="s">
        <v>76</v>
      </c>
      <c r="H120">
        <v>51.836876213739146</v>
      </c>
      <c r="I120">
        <v>4</v>
      </c>
      <c r="J120">
        <v>7</v>
      </c>
      <c r="K120">
        <v>8</v>
      </c>
      <c r="L120">
        <v>-1</v>
      </c>
      <c r="M120">
        <v>8</v>
      </c>
      <c r="N120">
        <v>8</v>
      </c>
      <c r="O120">
        <v>0</v>
      </c>
      <c r="P120">
        <v>7</v>
      </c>
      <c r="Q120">
        <v>6</v>
      </c>
      <c r="R120">
        <v>1</v>
      </c>
      <c r="S120">
        <v>9</v>
      </c>
      <c r="T120">
        <v>9</v>
      </c>
      <c r="U120">
        <v>0</v>
      </c>
      <c r="V120">
        <v>7</v>
      </c>
      <c r="W120">
        <v>8</v>
      </c>
      <c r="X120">
        <v>-1</v>
      </c>
      <c r="Y120">
        <v>8</v>
      </c>
      <c r="Z120">
        <v>7</v>
      </c>
      <c r="AA120">
        <v>1</v>
      </c>
      <c r="AB120">
        <v>7</v>
      </c>
      <c r="AC120">
        <v>7</v>
      </c>
      <c r="AD120">
        <v>0</v>
      </c>
      <c r="AE120">
        <v>6</v>
      </c>
      <c r="AF120">
        <v>7</v>
      </c>
      <c r="AG120">
        <v>-1</v>
      </c>
      <c r="AH120">
        <v>7</v>
      </c>
      <c r="AI120">
        <v>7</v>
      </c>
      <c r="AJ120">
        <v>0</v>
      </c>
      <c r="AK120" t="s">
        <v>1307</v>
      </c>
      <c r="AL120" t="s">
        <v>1308</v>
      </c>
      <c r="AM120" t="s">
        <v>1309</v>
      </c>
      <c r="AN120" t="s">
        <v>1310</v>
      </c>
      <c r="AO120" t="s">
        <v>1311</v>
      </c>
      <c r="AP120" t="s">
        <v>1312</v>
      </c>
      <c r="AQ120" t="s">
        <v>1313</v>
      </c>
      <c r="AR120" t="s">
        <v>1314</v>
      </c>
      <c r="AS120" t="s">
        <v>1315</v>
      </c>
    </row>
    <row r="121" spans="1:45" x14ac:dyDescent="0.45">
      <c r="A121">
        <v>120</v>
      </c>
      <c r="B121">
        <v>2145</v>
      </c>
      <c r="C121" t="s">
        <v>72</v>
      </c>
      <c r="D121" t="s">
        <v>79</v>
      </c>
      <c r="E121" t="s">
        <v>80</v>
      </c>
      <c r="F121" t="s">
        <v>77</v>
      </c>
      <c r="G121" t="s">
        <v>76</v>
      </c>
      <c r="H121">
        <v>29.588223348090047</v>
      </c>
      <c r="I121">
        <v>3</v>
      </c>
      <c r="J121">
        <v>8</v>
      </c>
      <c r="K121">
        <v>6</v>
      </c>
      <c r="L121">
        <v>2</v>
      </c>
      <c r="M121">
        <v>9</v>
      </c>
      <c r="N121">
        <v>6</v>
      </c>
      <c r="O121">
        <v>3</v>
      </c>
      <c r="P121">
        <v>8</v>
      </c>
      <c r="Q121">
        <v>6</v>
      </c>
      <c r="R121">
        <v>2</v>
      </c>
      <c r="S121">
        <v>9</v>
      </c>
      <c r="T121">
        <v>6</v>
      </c>
      <c r="U121">
        <v>3</v>
      </c>
      <c r="V121">
        <v>8</v>
      </c>
      <c r="W121">
        <v>6</v>
      </c>
      <c r="X121">
        <v>2</v>
      </c>
      <c r="Y121">
        <v>9</v>
      </c>
      <c r="Z121">
        <v>6</v>
      </c>
      <c r="AA121">
        <v>3</v>
      </c>
      <c r="AB121">
        <v>8</v>
      </c>
      <c r="AC121">
        <v>6</v>
      </c>
      <c r="AD121">
        <v>2</v>
      </c>
      <c r="AE121">
        <v>9</v>
      </c>
      <c r="AF121">
        <v>6</v>
      </c>
      <c r="AG121">
        <v>3</v>
      </c>
      <c r="AH121">
        <v>9</v>
      </c>
      <c r="AI121">
        <v>6</v>
      </c>
      <c r="AJ121">
        <v>3</v>
      </c>
      <c r="AK121" t="s">
        <v>1316</v>
      </c>
      <c r="AL121" t="s">
        <v>1317</v>
      </c>
      <c r="AM121" t="s">
        <v>1318</v>
      </c>
      <c r="AN121" t="s">
        <v>1319</v>
      </c>
      <c r="AO121" t="s">
        <v>1320</v>
      </c>
      <c r="AP121" t="s">
        <v>1321</v>
      </c>
      <c r="AQ121" t="s">
        <v>1322</v>
      </c>
      <c r="AR121" t="s">
        <v>1323</v>
      </c>
      <c r="AS121" t="s">
        <v>1324</v>
      </c>
    </row>
    <row r="122" spans="1:45" x14ac:dyDescent="0.45">
      <c r="A122">
        <v>121</v>
      </c>
      <c r="B122">
        <v>2146</v>
      </c>
      <c r="C122" t="s">
        <v>78</v>
      </c>
      <c r="D122" t="s">
        <v>192</v>
      </c>
      <c r="E122" t="s">
        <v>74</v>
      </c>
      <c r="F122" t="s">
        <v>75</v>
      </c>
      <c r="G122" t="s">
        <v>162</v>
      </c>
      <c r="H122">
        <v>119.17250359388431</v>
      </c>
      <c r="I122">
        <v>4</v>
      </c>
      <c r="J122">
        <v>7</v>
      </c>
      <c r="K122">
        <v>1</v>
      </c>
      <c r="L122">
        <v>6</v>
      </c>
      <c r="M122">
        <v>8</v>
      </c>
      <c r="N122">
        <v>1</v>
      </c>
      <c r="O122">
        <v>7</v>
      </c>
      <c r="P122">
        <v>9</v>
      </c>
      <c r="Q122">
        <v>1</v>
      </c>
      <c r="R122">
        <v>8</v>
      </c>
      <c r="S122">
        <v>8</v>
      </c>
      <c r="T122">
        <v>5</v>
      </c>
      <c r="U122">
        <v>3</v>
      </c>
      <c r="V122">
        <v>7</v>
      </c>
      <c r="W122">
        <v>1</v>
      </c>
      <c r="X122">
        <v>6</v>
      </c>
      <c r="Y122">
        <v>9</v>
      </c>
      <c r="Z122">
        <v>1</v>
      </c>
      <c r="AA122">
        <v>8</v>
      </c>
      <c r="AB122">
        <v>7</v>
      </c>
      <c r="AC122">
        <v>1</v>
      </c>
      <c r="AD122">
        <v>6</v>
      </c>
      <c r="AE122">
        <v>9</v>
      </c>
      <c r="AF122">
        <v>1</v>
      </c>
      <c r="AG122">
        <v>8</v>
      </c>
      <c r="AH122">
        <v>9</v>
      </c>
      <c r="AI122">
        <v>5</v>
      </c>
      <c r="AJ122">
        <v>4</v>
      </c>
      <c r="AK122" t="s">
        <v>1325</v>
      </c>
      <c r="AL122" t="s">
        <v>1326</v>
      </c>
      <c r="AM122" t="s">
        <v>1327</v>
      </c>
      <c r="AN122" t="s">
        <v>1328</v>
      </c>
      <c r="AO122" t="s">
        <v>1329</v>
      </c>
      <c r="AP122" t="s">
        <v>1330</v>
      </c>
      <c r="AQ122" t="s">
        <v>1331</v>
      </c>
      <c r="AR122" t="s">
        <v>1332</v>
      </c>
      <c r="AS122" t="s">
        <v>1333</v>
      </c>
    </row>
    <row r="123" spans="1:45" x14ac:dyDescent="0.45">
      <c r="A123">
        <v>122</v>
      </c>
      <c r="B123">
        <v>2147</v>
      </c>
      <c r="C123" t="s">
        <v>78</v>
      </c>
      <c r="D123" t="s">
        <v>79</v>
      </c>
      <c r="E123" t="s">
        <v>74</v>
      </c>
      <c r="F123" t="s">
        <v>77</v>
      </c>
      <c r="G123" t="s">
        <v>76</v>
      </c>
      <c r="H123">
        <v>146.02299438962618</v>
      </c>
      <c r="I123">
        <v>0</v>
      </c>
      <c r="J123">
        <v>7</v>
      </c>
      <c r="K123">
        <v>4</v>
      </c>
      <c r="L123">
        <v>3</v>
      </c>
      <c r="M123">
        <v>8</v>
      </c>
      <c r="N123">
        <v>4</v>
      </c>
      <c r="O123">
        <v>4</v>
      </c>
      <c r="P123">
        <v>9</v>
      </c>
      <c r="Q123">
        <v>2</v>
      </c>
      <c r="R123">
        <v>7</v>
      </c>
      <c r="S123">
        <v>10</v>
      </c>
      <c r="T123">
        <v>5</v>
      </c>
      <c r="U123">
        <v>5</v>
      </c>
      <c r="V123">
        <v>6</v>
      </c>
      <c r="W123">
        <v>1</v>
      </c>
      <c r="X123">
        <v>5</v>
      </c>
      <c r="Y123">
        <v>7</v>
      </c>
      <c r="Z123">
        <v>1</v>
      </c>
      <c r="AA123">
        <v>6</v>
      </c>
      <c r="AB123">
        <v>6</v>
      </c>
      <c r="AC123">
        <v>1</v>
      </c>
      <c r="AD123">
        <v>5</v>
      </c>
      <c r="AE123">
        <v>7</v>
      </c>
      <c r="AF123">
        <v>4</v>
      </c>
      <c r="AG123">
        <v>3</v>
      </c>
      <c r="AH123">
        <v>8</v>
      </c>
      <c r="AI123">
        <v>4</v>
      </c>
      <c r="AJ123">
        <v>4</v>
      </c>
      <c r="AK123" t="s">
        <v>1334</v>
      </c>
      <c r="AL123" t="s">
        <v>1335</v>
      </c>
      <c r="AM123" t="s">
        <v>1336</v>
      </c>
      <c r="AN123" t="s">
        <v>1337</v>
      </c>
      <c r="AO123" t="s">
        <v>1338</v>
      </c>
      <c r="AP123" t="s">
        <v>1339</v>
      </c>
      <c r="AQ123" t="s">
        <v>1340</v>
      </c>
      <c r="AR123" t="s">
        <v>1341</v>
      </c>
      <c r="AS123" t="s">
        <v>1342</v>
      </c>
    </row>
    <row r="124" spans="1:45" x14ac:dyDescent="0.45">
      <c r="A124">
        <v>123</v>
      </c>
      <c r="B124">
        <v>2148</v>
      </c>
      <c r="C124" t="s">
        <v>72</v>
      </c>
      <c r="D124" t="s">
        <v>189</v>
      </c>
      <c r="E124" t="s">
        <v>74</v>
      </c>
      <c r="F124" t="s">
        <v>77</v>
      </c>
      <c r="G124" t="s">
        <v>76</v>
      </c>
      <c r="H124">
        <v>12</v>
      </c>
      <c r="I124">
        <v>0</v>
      </c>
      <c r="J124">
        <v>6</v>
      </c>
      <c r="K124">
        <v>7</v>
      </c>
      <c r="L124">
        <v>-1</v>
      </c>
      <c r="M124">
        <v>8</v>
      </c>
      <c r="N124">
        <v>7</v>
      </c>
      <c r="O124">
        <v>1</v>
      </c>
      <c r="P124">
        <v>7</v>
      </c>
      <c r="Q124">
        <v>7</v>
      </c>
      <c r="R124">
        <v>0</v>
      </c>
      <c r="S124">
        <v>9</v>
      </c>
      <c r="T124">
        <v>7</v>
      </c>
      <c r="U124">
        <v>2</v>
      </c>
      <c r="V124">
        <v>7</v>
      </c>
      <c r="W124">
        <v>7</v>
      </c>
      <c r="X124">
        <v>0</v>
      </c>
      <c r="Y124">
        <v>8</v>
      </c>
      <c r="Z124">
        <v>7</v>
      </c>
      <c r="AA124">
        <v>1</v>
      </c>
      <c r="AB124">
        <v>7</v>
      </c>
      <c r="AC124">
        <v>7</v>
      </c>
      <c r="AD124">
        <v>0</v>
      </c>
      <c r="AE124">
        <v>6</v>
      </c>
      <c r="AF124">
        <v>7</v>
      </c>
      <c r="AG124">
        <v>-1</v>
      </c>
      <c r="AH124">
        <v>8</v>
      </c>
      <c r="AI124">
        <v>8</v>
      </c>
      <c r="AJ124">
        <v>0</v>
      </c>
      <c r="AK124" t="s">
        <v>1343</v>
      </c>
      <c r="AL124" t="s">
        <v>1344</v>
      </c>
      <c r="AM124" t="s">
        <v>1345</v>
      </c>
      <c r="AN124" t="s">
        <v>1346</v>
      </c>
      <c r="AO124" t="s">
        <v>1347</v>
      </c>
      <c r="AP124" t="s">
        <v>1348</v>
      </c>
      <c r="AQ124" t="s">
        <v>1349</v>
      </c>
      <c r="AR124" t="s">
        <v>1350</v>
      </c>
      <c r="AS124" t="s">
        <v>1351</v>
      </c>
    </row>
    <row r="125" spans="1:45" x14ac:dyDescent="0.45">
      <c r="A125">
        <v>124</v>
      </c>
      <c r="B125">
        <v>2149</v>
      </c>
      <c r="C125" t="s">
        <v>72</v>
      </c>
      <c r="D125" t="s">
        <v>192</v>
      </c>
      <c r="E125" t="s">
        <v>74</v>
      </c>
      <c r="F125" t="s">
        <v>75</v>
      </c>
      <c r="G125" t="s">
        <v>76</v>
      </c>
      <c r="H125">
        <v>33.46719409588362</v>
      </c>
      <c r="I125">
        <v>1</v>
      </c>
      <c r="J125">
        <v>7</v>
      </c>
      <c r="K125">
        <v>10</v>
      </c>
      <c r="L125">
        <v>-3</v>
      </c>
      <c r="M125">
        <v>8</v>
      </c>
      <c r="N125">
        <v>9</v>
      </c>
      <c r="O125">
        <v>-1</v>
      </c>
      <c r="P125">
        <v>7</v>
      </c>
      <c r="Q125">
        <v>10</v>
      </c>
      <c r="R125">
        <v>-3</v>
      </c>
      <c r="S125">
        <v>9</v>
      </c>
      <c r="T125">
        <v>10</v>
      </c>
      <c r="U125">
        <v>-1</v>
      </c>
      <c r="V125">
        <v>6</v>
      </c>
      <c r="W125">
        <v>10</v>
      </c>
      <c r="X125">
        <v>-4</v>
      </c>
      <c r="Y125">
        <v>8</v>
      </c>
      <c r="Z125">
        <v>8</v>
      </c>
      <c r="AA125">
        <v>0</v>
      </c>
      <c r="AB125">
        <v>7</v>
      </c>
      <c r="AC125">
        <v>9</v>
      </c>
      <c r="AD125">
        <v>-2</v>
      </c>
      <c r="AE125">
        <v>8</v>
      </c>
      <c r="AF125">
        <v>9</v>
      </c>
      <c r="AG125">
        <v>-1</v>
      </c>
      <c r="AH125">
        <v>9</v>
      </c>
      <c r="AI125">
        <v>9</v>
      </c>
      <c r="AJ125">
        <v>0</v>
      </c>
      <c r="AK125" t="s">
        <v>1352</v>
      </c>
      <c r="AL125" t="s">
        <v>1353</v>
      </c>
      <c r="AM125" t="s">
        <v>1354</v>
      </c>
      <c r="AN125" t="s">
        <v>1355</v>
      </c>
      <c r="AO125" t="s">
        <v>1356</v>
      </c>
      <c r="AP125" t="s">
        <v>1357</v>
      </c>
      <c r="AQ125" t="s">
        <v>1358</v>
      </c>
      <c r="AR125" t="s">
        <v>1359</v>
      </c>
      <c r="AS125" t="s">
        <v>1360</v>
      </c>
    </row>
    <row r="126" spans="1:45" x14ac:dyDescent="0.45">
      <c r="A126">
        <v>125</v>
      </c>
      <c r="B126">
        <v>2150</v>
      </c>
      <c r="C126" t="s">
        <v>72</v>
      </c>
      <c r="D126" t="s">
        <v>189</v>
      </c>
      <c r="E126" t="s">
        <v>74</v>
      </c>
      <c r="F126" t="s">
        <v>77</v>
      </c>
      <c r="G126" t="s">
        <v>76</v>
      </c>
      <c r="H126">
        <v>16.372898626805611</v>
      </c>
      <c r="I126">
        <v>2</v>
      </c>
      <c r="J126">
        <v>6</v>
      </c>
      <c r="K126">
        <v>10</v>
      </c>
      <c r="L126">
        <v>-4</v>
      </c>
      <c r="M126">
        <v>8</v>
      </c>
      <c r="N126">
        <v>10</v>
      </c>
      <c r="O126">
        <v>-2</v>
      </c>
      <c r="P126">
        <v>9</v>
      </c>
      <c r="Q126">
        <v>10</v>
      </c>
      <c r="R126">
        <v>-1</v>
      </c>
      <c r="S126">
        <v>10</v>
      </c>
      <c r="T126">
        <v>10</v>
      </c>
      <c r="U126">
        <v>0</v>
      </c>
      <c r="V126">
        <v>7</v>
      </c>
      <c r="W126">
        <v>10</v>
      </c>
      <c r="X126">
        <v>-3</v>
      </c>
      <c r="Y126">
        <v>9</v>
      </c>
      <c r="Z126">
        <v>10</v>
      </c>
      <c r="AA126">
        <v>-1</v>
      </c>
      <c r="AB126">
        <v>8</v>
      </c>
      <c r="AC126">
        <v>10</v>
      </c>
      <c r="AD126">
        <v>-2</v>
      </c>
      <c r="AE126">
        <v>9</v>
      </c>
      <c r="AF126">
        <v>10</v>
      </c>
      <c r="AG126">
        <v>-1</v>
      </c>
      <c r="AH126">
        <v>10</v>
      </c>
      <c r="AI126">
        <v>10</v>
      </c>
      <c r="AJ126">
        <v>0</v>
      </c>
      <c r="AK126" t="s">
        <v>1361</v>
      </c>
      <c r="AL126" t="s">
        <v>1362</v>
      </c>
      <c r="AM126" t="s">
        <v>1363</v>
      </c>
      <c r="AN126" t="s">
        <v>1364</v>
      </c>
      <c r="AO126" t="s">
        <v>1365</v>
      </c>
      <c r="AP126" t="s">
        <v>1366</v>
      </c>
      <c r="AQ126" t="s">
        <v>1367</v>
      </c>
      <c r="AR126" t="s">
        <v>223</v>
      </c>
      <c r="AS126" t="s">
        <v>1368</v>
      </c>
    </row>
    <row r="127" spans="1:45" x14ac:dyDescent="0.45">
      <c r="A127">
        <v>126</v>
      </c>
      <c r="B127">
        <v>2151</v>
      </c>
      <c r="C127" t="s">
        <v>78</v>
      </c>
      <c r="D127" t="s">
        <v>81</v>
      </c>
      <c r="E127" t="s">
        <v>74</v>
      </c>
      <c r="F127" t="s">
        <v>77</v>
      </c>
      <c r="G127" t="s">
        <v>76</v>
      </c>
      <c r="H127">
        <v>28.507590905989076</v>
      </c>
      <c r="I127">
        <v>0</v>
      </c>
      <c r="J127">
        <v>8</v>
      </c>
      <c r="K127">
        <v>8</v>
      </c>
      <c r="L127">
        <v>0</v>
      </c>
      <c r="M127">
        <v>8</v>
      </c>
      <c r="N127">
        <v>8</v>
      </c>
      <c r="O127">
        <v>0</v>
      </c>
      <c r="P127">
        <v>9</v>
      </c>
      <c r="Q127">
        <v>5</v>
      </c>
      <c r="R127">
        <v>4</v>
      </c>
      <c r="S127">
        <v>9</v>
      </c>
      <c r="T127">
        <v>8</v>
      </c>
      <c r="U127">
        <v>1</v>
      </c>
      <c r="V127">
        <v>7</v>
      </c>
      <c r="W127">
        <v>8</v>
      </c>
      <c r="X127">
        <v>-1</v>
      </c>
      <c r="Y127">
        <v>8</v>
      </c>
      <c r="Z127">
        <v>8</v>
      </c>
      <c r="AA127">
        <v>0</v>
      </c>
      <c r="AB127">
        <v>7</v>
      </c>
      <c r="AC127">
        <v>7</v>
      </c>
      <c r="AD127">
        <v>0</v>
      </c>
      <c r="AE127">
        <v>8</v>
      </c>
      <c r="AF127">
        <v>7</v>
      </c>
      <c r="AG127">
        <v>1</v>
      </c>
      <c r="AH127">
        <v>9</v>
      </c>
      <c r="AI127">
        <v>8</v>
      </c>
      <c r="AJ127">
        <v>1</v>
      </c>
      <c r="AK127" t="s">
        <v>1369</v>
      </c>
      <c r="AL127" t="s">
        <v>1370</v>
      </c>
      <c r="AM127" t="s">
        <v>1371</v>
      </c>
      <c r="AN127" t="s">
        <v>1372</v>
      </c>
      <c r="AO127" t="s">
        <v>1373</v>
      </c>
      <c r="AP127" t="s">
        <v>1374</v>
      </c>
      <c r="AQ127" t="s">
        <v>1375</v>
      </c>
      <c r="AR127" t="s">
        <v>1376</v>
      </c>
      <c r="AS127" t="s">
        <v>1377</v>
      </c>
    </row>
    <row r="128" spans="1:45" x14ac:dyDescent="0.45">
      <c r="A128">
        <v>127</v>
      </c>
      <c r="B128">
        <v>2152</v>
      </c>
      <c r="C128" t="s">
        <v>72</v>
      </c>
      <c r="D128" t="s">
        <v>79</v>
      </c>
      <c r="E128" t="s">
        <v>74</v>
      </c>
      <c r="F128" t="s">
        <v>77</v>
      </c>
      <c r="G128" t="s">
        <v>76</v>
      </c>
      <c r="H128">
        <v>249.59796248611758</v>
      </c>
      <c r="I128">
        <v>4</v>
      </c>
      <c r="J128">
        <v>7</v>
      </c>
      <c r="K128">
        <v>1</v>
      </c>
      <c r="L128">
        <v>6</v>
      </c>
      <c r="M128">
        <v>6</v>
      </c>
      <c r="N128">
        <v>1</v>
      </c>
      <c r="O128">
        <v>5</v>
      </c>
      <c r="P128">
        <v>8</v>
      </c>
      <c r="Q128">
        <v>1</v>
      </c>
      <c r="R128">
        <v>7</v>
      </c>
      <c r="S128">
        <v>9</v>
      </c>
      <c r="T128">
        <v>5</v>
      </c>
      <c r="U128">
        <v>4</v>
      </c>
      <c r="V128">
        <v>7</v>
      </c>
      <c r="W128">
        <v>1</v>
      </c>
      <c r="X128">
        <v>6</v>
      </c>
      <c r="Y128">
        <v>8</v>
      </c>
      <c r="Z128">
        <v>1</v>
      </c>
      <c r="AA128">
        <v>7</v>
      </c>
      <c r="AB128">
        <v>6</v>
      </c>
      <c r="AC128">
        <v>1</v>
      </c>
      <c r="AD128">
        <v>5</v>
      </c>
      <c r="AE128">
        <v>8</v>
      </c>
      <c r="AF128">
        <v>5</v>
      </c>
      <c r="AG128">
        <v>3</v>
      </c>
      <c r="AH128">
        <v>9</v>
      </c>
      <c r="AI128">
        <v>5</v>
      </c>
      <c r="AJ128">
        <v>4</v>
      </c>
      <c r="AK128" t="s">
        <v>1378</v>
      </c>
      <c r="AL128" t="s">
        <v>1379</v>
      </c>
      <c r="AM128" t="s">
        <v>1380</v>
      </c>
      <c r="AN128" t="s">
        <v>1381</v>
      </c>
      <c r="AO128" t="s">
        <v>1382</v>
      </c>
      <c r="AP128" t="s">
        <v>1383</v>
      </c>
      <c r="AQ128" t="s">
        <v>1384</v>
      </c>
      <c r="AR128" t="s">
        <v>1385</v>
      </c>
      <c r="AS128" t="s">
        <v>1386</v>
      </c>
    </row>
    <row r="129" spans="1:45" x14ac:dyDescent="0.45">
      <c r="A129">
        <v>128</v>
      </c>
      <c r="B129">
        <v>2153</v>
      </c>
      <c r="C129" t="s">
        <v>78</v>
      </c>
      <c r="D129" t="s">
        <v>192</v>
      </c>
      <c r="E129" t="s">
        <v>74</v>
      </c>
      <c r="F129" t="s">
        <v>77</v>
      </c>
      <c r="G129" t="s">
        <v>76</v>
      </c>
      <c r="H129">
        <v>201.42857396570378</v>
      </c>
      <c r="I129">
        <v>4</v>
      </c>
      <c r="J129">
        <v>8</v>
      </c>
      <c r="K129">
        <v>6</v>
      </c>
      <c r="L129">
        <v>2</v>
      </c>
      <c r="M129">
        <v>9</v>
      </c>
      <c r="N129">
        <v>6</v>
      </c>
      <c r="O129">
        <v>3</v>
      </c>
      <c r="P129">
        <v>7</v>
      </c>
      <c r="Q129">
        <v>6</v>
      </c>
      <c r="R129">
        <v>1</v>
      </c>
      <c r="S129">
        <v>9</v>
      </c>
      <c r="T129">
        <v>8</v>
      </c>
      <c r="U129">
        <v>1</v>
      </c>
      <c r="V129">
        <v>8</v>
      </c>
      <c r="W129">
        <v>6</v>
      </c>
      <c r="X129">
        <v>2</v>
      </c>
      <c r="Y129">
        <v>9</v>
      </c>
      <c r="Z129">
        <v>3</v>
      </c>
      <c r="AA129">
        <v>6</v>
      </c>
      <c r="AB129">
        <v>8</v>
      </c>
      <c r="AC129">
        <v>5</v>
      </c>
      <c r="AD129">
        <v>3</v>
      </c>
      <c r="AE129">
        <v>7</v>
      </c>
      <c r="AF129">
        <v>5</v>
      </c>
      <c r="AG129">
        <v>2</v>
      </c>
      <c r="AH129">
        <v>9</v>
      </c>
      <c r="AI129">
        <v>4</v>
      </c>
      <c r="AJ129">
        <v>5</v>
      </c>
      <c r="AK129" t="s">
        <v>1387</v>
      </c>
      <c r="AL129" t="s">
        <v>1388</v>
      </c>
      <c r="AM129" t="s">
        <v>1389</v>
      </c>
      <c r="AN129" t="s">
        <v>1390</v>
      </c>
      <c r="AO129" t="s">
        <v>1391</v>
      </c>
      <c r="AP129" t="s">
        <v>1392</v>
      </c>
      <c r="AQ129" t="s">
        <v>1393</v>
      </c>
      <c r="AR129" t="s">
        <v>1394</v>
      </c>
      <c r="AS129" t="s">
        <v>1395</v>
      </c>
    </row>
    <row r="130" spans="1:45" x14ac:dyDescent="0.45">
      <c r="A130">
        <v>129</v>
      </c>
      <c r="B130">
        <v>2154</v>
      </c>
      <c r="C130" t="s">
        <v>78</v>
      </c>
      <c r="D130" t="s">
        <v>192</v>
      </c>
      <c r="E130" t="s">
        <v>74</v>
      </c>
      <c r="F130" t="s">
        <v>75</v>
      </c>
      <c r="G130" t="s">
        <v>76</v>
      </c>
      <c r="H130">
        <v>175.65153653923511</v>
      </c>
      <c r="I130">
        <v>3</v>
      </c>
      <c r="J130">
        <v>8</v>
      </c>
      <c r="K130">
        <v>6</v>
      </c>
      <c r="L130">
        <v>2</v>
      </c>
      <c r="M130">
        <v>9</v>
      </c>
      <c r="N130">
        <v>6</v>
      </c>
      <c r="O130">
        <v>3</v>
      </c>
      <c r="P130">
        <v>8</v>
      </c>
      <c r="Q130">
        <v>4</v>
      </c>
      <c r="R130">
        <v>4</v>
      </c>
      <c r="S130">
        <v>9</v>
      </c>
      <c r="T130">
        <v>5</v>
      </c>
      <c r="U130">
        <v>4</v>
      </c>
      <c r="V130">
        <v>8</v>
      </c>
      <c r="W130">
        <v>5</v>
      </c>
      <c r="X130">
        <v>3</v>
      </c>
      <c r="Y130">
        <v>7</v>
      </c>
      <c r="Z130">
        <v>1</v>
      </c>
      <c r="AA130">
        <v>6</v>
      </c>
      <c r="AB130">
        <v>8</v>
      </c>
      <c r="AC130">
        <v>5</v>
      </c>
      <c r="AD130">
        <v>3</v>
      </c>
      <c r="AE130">
        <v>7</v>
      </c>
      <c r="AF130">
        <v>4</v>
      </c>
      <c r="AG130">
        <v>3</v>
      </c>
      <c r="AH130">
        <v>8</v>
      </c>
      <c r="AI130">
        <v>5</v>
      </c>
      <c r="AJ130">
        <v>3</v>
      </c>
      <c r="AK130" t="s">
        <v>1396</v>
      </c>
      <c r="AL130" t="s">
        <v>1397</v>
      </c>
      <c r="AM130" t="s">
        <v>224</v>
      </c>
      <c r="AN130" t="s">
        <v>1398</v>
      </c>
      <c r="AO130" t="s">
        <v>1399</v>
      </c>
      <c r="AP130" t="s">
        <v>1400</v>
      </c>
      <c r="AQ130" t="s">
        <v>260</v>
      </c>
      <c r="AR130" t="s">
        <v>1401</v>
      </c>
      <c r="AS130" t="s">
        <v>1402</v>
      </c>
    </row>
    <row r="131" spans="1:45" x14ac:dyDescent="0.45">
      <c r="A131">
        <v>130</v>
      </c>
      <c r="B131">
        <v>2155</v>
      </c>
      <c r="C131" t="s">
        <v>72</v>
      </c>
      <c r="D131" t="s">
        <v>194</v>
      </c>
      <c r="E131" t="s">
        <v>74</v>
      </c>
      <c r="F131" t="s">
        <v>75</v>
      </c>
      <c r="G131" t="s">
        <v>76</v>
      </c>
      <c r="H131">
        <v>75.896471922235506</v>
      </c>
      <c r="I131">
        <v>2</v>
      </c>
      <c r="J131">
        <v>7</v>
      </c>
      <c r="K131">
        <v>5</v>
      </c>
      <c r="L131">
        <v>2</v>
      </c>
      <c r="M131">
        <v>8</v>
      </c>
      <c r="N131">
        <v>5</v>
      </c>
      <c r="O131">
        <v>3</v>
      </c>
      <c r="P131">
        <v>9</v>
      </c>
      <c r="Q131">
        <v>1</v>
      </c>
      <c r="R131">
        <v>8</v>
      </c>
      <c r="S131">
        <v>9</v>
      </c>
      <c r="T131">
        <v>4</v>
      </c>
      <c r="U131">
        <v>5</v>
      </c>
      <c r="V131">
        <v>8</v>
      </c>
      <c r="W131">
        <v>2</v>
      </c>
      <c r="X131">
        <v>6</v>
      </c>
      <c r="Y131">
        <v>9</v>
      </c>
      <c r="Z131">
        <v>1</v>
      </c>
      <c r="AA131">
        <v>8</v>
      </c>
      <c r="AB131">
        <v>8</v>
      </c>
      <c r="AC131">
        <v>1</v>
      </c>
      <c r="AD131">
        <v>7</v>
      </c>
      <c r="AE131">
        <v>7</v>
      </c>
      <c r="AF131">
        <v>1</v>
      </c>
      <c r="AG131">
        <v>6</v>
      </c>
      <c r="AH131">
        <v>9</v>
      </c>
      <c r="AI131">
        <v>5</v>
      </c>
      <c r="AJ131">
        <v>4</v>
      </c>
      <c r="AK131" t="s">
        <v>1403</v>
      </c>
      <c r="AL131" t="s">
        <v>1404</v>
      </c>
      <c r="AM131" t="s">
        <v>1405</v>
      </c>
      <c r="AN131" t="s">
        <v>1406</v>
      </c>
      <c r="AO131" t="s">
        <v>1407</v>
      </c>
      <c r="AP131" t="s">
        <v>1408</v>
      </c>
      <c r="AQ131" t="s">
        <v>1409</v>
      </c>
      <c r="AR131" t="s">
        <v>1410</v>
      </c>
      <c r="AS131" t="s">
        <v>1411</v>
      </c>
    </row>
    <row r="132" spans="1:45" x14ac:dyDescent="0.45">
      <c r="A132">
        <v>131</v>
      </c>
      <c r="B132">
        <v>2156</v>
      </c>
      <c r="C132" t="s">
        <v>72</v>
      </c>
      <c r="D132" t="s">
        <v>73</v>
      </c>
      <c r="E132" t="s">
        <v>74</v>
      </c>
      <c r="F132" t="s">
        <v>75</v>
      </c>
      <c r="G132" t="s">
        <v>76</v>
      </c>
      <c r="H132">
        <v>93.372135894555768</v>
      </c>
      <c r="I132">
        <v>1</v>
      </c>
      <c r="J132">
        <v>6</v>
      </c>
      <c r="K132">
        <v>8</v>
      </c>
      <c r="L132">
        <v>-2</v>
      </c>
      <c r="M132">
        <v>7</v>
      </c>
      <c r="N132">
        <v>9</v>
      </c>
      <c r="O132">
        <v>-2</v>
      </c>
      <c r="P132">
        <v>9</v>
      </c>
      <c r="Q132">
        <v>5</v>
      </c>
      <c r="R132">
        <v>4</v>
      </c>
      <c r="S132">
        <v>8</v>
      </c>
      <c r="T132">
        <v>5</v>
      </c>
      <c r="U132">
        <v>3</v>
      </c>
      <c r="V132">
        <v>9</v>
      </c>
      <c r="W132">
        <v>5</v>
      </c>
      <c r="X132">
        <v>4</v>
      </c>
      <c r="Y132">
        <v>8</v>
      </c>
      <c r="Z132">
        <v>4</v>
      </c>
      <c r="AA132">
        <v>4</v>
      </c>
      <c r="AB132">
        <v>9</v>
      </c>
      <c r="AC132">
        <v>5</v>
      </c>
      <c r="AD132">
        <v>4</v>
      </c>
      <c r="AE132">
        <v>8</v>
      </c>
      <c r="AF132">
        <v>5</v>
      </c>
      <c r="AG132">
        <v>3</v>
      </c>
      <c r="AH132">
        <v>9</v>
      </c>
      <c r="AI132">
        <v>5</v>
      </c>
      <c r="AJ132">
        <v>4</v>
      </c>
      <c r="AK132" t="s">
        <v>1412</v>
      </c>
      <c r="AL132" t="s">
        <v>1413</v>
      </c>
      <c r="AM132" t="s">
        <v>1414</v>
      </c>
      <c r="AN132" t="s">
        <v>1415</v>
      </c>
      <c r="AO132" t="s">
        <v>1416</v>
      </c>
      <c r="AP132" t="s">
        <v>1417</v>
      </c>
      <c r="AQ132" t="s">
        <v>1418</v>
      </c>
      <c r="AR132" t="s">
        <v>1419</v>
      </c>
      <c r="AS132" t="s">
        <v>1420</v>
      </c>
    </row>
    <row r="133" spans="1:45" x14ac:dyDescent="0.45">
      <c r="A133">
        <v>132</v>
      </c>
      <c r="B133">
        <v>2157</v>
      </c>
      <c r="C133" t="s">
        <v>78</v>
      </c>
      <c r="D133" t="s">
        <v>189</v>
      </c>
      <c r="E133" t="s">
        <v>74</v>
      </c>
      <c r="F133" t="s">
        <v>77</v>
      </c>
      <c r="G133" t="s">
        <v>76</v>
      </c>
      <c r="H133">
        <v>14.897245347143553</v>
      </c>
      <c r="I133">
        <v>0</v>
      </c>
      <c r="J133">
        <v>6</v>
      </c>
      <c r="K133">
        <v>9</v>
      </c>
      <c r="L133">
        <v>-3</v>
      </c>
      <c r="M133">
        <v>7</v>
      </c>
      <c r="N133">
        <v>9</v>
      </c>
      <c r="O133">
        <v>-2</v>
      </c>
      <c r="P133">
        <v>9</v>
      </c>
      <c r="Q133">
        <v>9</v>
      </c>
      <c r="R133">
        <v>0</v>
      </c>
      <c r="S133">
        <v>8</v>
      </c>
      <c r="T133">
        <v>9</v>
      </c>
      <c r="U133">
        <v>-1</v>
      </c>
      <c r="V133">
        <v>9</v>
      </c>
      <c r="W133">
        <v>7</v>
      </c>
      <c r="X133">
        <v>2</v>
      </c>
      <c r="Y133">
        <v>8</v>
      </c>
      <c r="Z133">
        <v>10</v>
      </c>
      <c r="AA133">
        <v>-2</v>
      </c>
      <c r="AB133">
        <v>9</v>
      </c>
      <c r="AC133">
        <v>5</v>
      </c>
      <c r="AD133">
        <v>4</v>
      </c>
      <c r="AE133">
        <v>8</v>
      </c>
      <c r="AF133">
        <v>5</v>
      </c>
      <c r="AG133">
        <v>3</v>
      </c>
      <c r="AH133">
        <v>9</v>
      </c>
      <c r="AI133">
        <v>9</v>
      </c>
      <c r="AJ133">
        <v>0</v>
      </c>
      <c r="AK133" t="s">
        <v>1421</v>
      </c>
      <c r="AL133" t="s">
        <v>1422</v>
      </c>
      <c r="AM133" t="s">
        <v>1423</v>
      </c>
      <c r="AN133" t="s">
        <v>1424</v>
      </c>
      <c r="AO133" t="s">
        <v>1425</v>
      </c>
      <c r="AP133" t="s">
        <v>1426</v>
      </c>
      <c r="AQ133" t="s">
        <v>1427</v>
      </c>
      <c r="AR133" t="s">
        <v>1428</v>
      </c>
      <c r="AS133" t="s">
        <v>1429</v>
      </c>
    </row>
    <row r="134" spans="1:45" x14ac:dyDescent="0.45">
      <c r="A134">
        <v>133</v>
      </c>
      <c r="B134">
        <v>2158</v>
      </c>
      <c r="C134" t="s">
        <v>78</v>
      </c>
      <c r="D134" t="s">
        <v>81</v>
      </c>
      <c r="E134" t="s">
        <v>74</v>
      </c>
      <c r="F134" t="s">
        <v>191</v>
      </c>
      <c r="G134" t="s">
        <v>76</v>
      </c>
      <c r="H134">
        <v>44.908480033311399</v>
      </c>
      <c r="I134">
        <v>0</v>
      </c>
      <c r="J134">
        <v>6</v>
      </c>
      <c r="K134">
        <v>5</v>
      </c>
      <c r="L134">
        <v>1</v>
      </c>
      <c r="M134">
        <v>6</v>
      </c>
      <c r="N134">
        <v>5</v>
      </c>
      <c r="O134">
        <v>1</v>
      </c>
      <c r="P134">
        <v>7</v>
      </c>
      <c r="Q134">
        <v>5</v>
      </c>
      <c r="R134">
        <v>2</v>
      </c>
      <c r="S134">
        <v>8</v>
      </c>
      <c r="T134">
        <v>5</v>
      </c>
      <c r="U134">
        <v>3</v>
      </c>
      <c r="V134">
        <v>7</v>
      </c>
      <c r="W134">
        <v>5</v>
      </c>
      <c r="X134">
        <v>2</v>
      </c>
      <c r="Y134">
        <v>9</v>
      </c>
      <c r="Z134">
        <v>5</v>
      </c>
      <c r="AA134">
        <v>4</v>
      </c>
      <c r="AB134">
        <v>8</v>
      </c>
      <c r="AC134">
        <v>5</v>
      </c>
      <c r="AD134">
        <v>3</v>
      </c>
      <c r="AE134">
        <v>7</v>
      </c>
      <c r="AF134">
        <v>5</v>
      </c>
      <c r="AG134">
        <v>2</v>
      </c>
      <c r="AH134">
        <v>9</v>
      </c>
      <c r="AI134">
        <v>5</v>
      </c>
      <c r="AJ134">
        <v>4</v>
      </c>
      <c r="AK134" t="s">
        <v>1430</v>
      </c>
      <c r="AL134" t="s">
        <v>1431</v>
      </c>
      <c r="AM134" t="s">
        <v>1432</v>
      </c>
      <c r="AN134" t="s">
        <v>1433</v>
      </c>
      <c r="AO134" t="s">
        <v>1434</v>
      </c>
      <c r="AP134" t="s">
        <v>1435</v>
      </c>
      <c r="AQ134" t="s">
        <v>1436</v>
      </c>
      <c r="AR134" t="s">
        <v>1437</v>
      </c>
      <c r="AS134" t="s">
        <v>1438</v>
      </c>
    </row>
    <row r="135" spans="1:45" x14ac:dyDescent="0.45">
      <c r="A135">
        <v>134</v>
      </c>
      <c r="B135">
        <v>2159</v>
      </c>
      <c r="C135" t="s">
        <v>72</v>
      </c>
      <c r="D135" t="s">
        <v>189</v>
      </c>
      <c r="E135" t="s">
        <v>74</v>
      </c>
      <c r="F135" t="s">
        <v>77</v>
      </c>
      <c r="G135" t="s">
        <v>76</v>
      </c>
      <c r="H135">
        <v>19.155357302420796</v>
      </c>
      <c r="I135">
        <v>0</v>
      </c>
      <c r="J135">
        <v>6</v>
      </c>
      <c r="K135">
        <v>9</v>
      </c>
      <c r="L135">
        <v>-3</v>
      </c>
      <c r="M135">
        <v>7</v>
      </c>
      <c r="N135">
        <v>9</v>
      </c>
      <c r="O135">
        <v>-2</v>
      </c>
      <c r="P135">
        <v>9</v>
      </c>
      <c r="Q135">
        <v>5</v>
      </c>
      <c r="R135">
        <v>4</v>
      </c>
      <c r="S135">
        <v>8</v>
      </c>
      <c r="T135">
        <v>9</v>
      </c>
      <c r="U135">
        <v>-1</v>
      </c>
      <c r="V135">
        <v>6</v>
      </c>
      <c r="W135">
        <v>8</v>
      </c>
      <c r="X135">
        <v>-2</v>
      </c>
      <c r="Y135">
        <v>7</v>
      </c>
      <c r="Z135">
        <v>10</v>
      </c>
      <c r="AA135">
        <v>-3</v>
      </c>
      <c r="AB135">
        <v>6</v>
      </c>
      <c r="AC135">
        <v>5</v>
      </c>
      <c r="AD135">
        <v>1</v>
      </c>
      <c r="AE135">
        <v>7</v>
      </c>
      <c r="AF135">
        <v>5</v>
      </c>
      <c r="AG135">
        <v>2</v>
      </c>
      <c r="AH135">
        <v>8</v>
      </c>
      <c r="AI135">
        <v>7</v>
      </c>
      <c r="AJ135">
        <v>1</v>
      </c>
      <c r="AK135" t="s">
        <v>1439</v>
      </c>
      <c r="AL135" t="s">
        <v>1440</v>
      </c>
      <c r="AM135" t="s">
        <v>1441</v>
      </c>
      <c r="AN135" t="s">
        <v>1442</v>
      </c>
      <c r="AO135" t="s">
        <v>1443</v>
      </c>
      <c r="AP135" t="s">
        <v>1444</v>
      </c>
      <c r="AQ135" t="s">
        <v>1445</v>
      </c>
      <c r="AR135" t="s">
        <v>1446</v>
      </c>
      <c r="AS135" t="s">
        <v>1447</v>
      </c>
    </row>
    <row r="136" spans="1:45" x14ac:dyDescent="0.45">
      <c r="A136">
        <v>135</v>
      </c>
      <c r="B136">
        <v>2160</v>
      </c>
      <c r="C136" t="s">
        <v>78</v>
      </c>
      <c r="D136" t="s">
        <v>189</v>
      </c>
      <c r="E136" t="s">
        <v>74</v>
      </c>
      <c r="F136" t="s">
        <v>77</v>
      </c>
      <c r="G136" t="s">
        <v>76</v>
      </c>
      <c r="H136">
        <v>14.7876944821538</v>
      </c>
      <c r="I136">
        <v>0</v>
      </c>
      <c r="J136">
        <v>7</v>
      </c>
      <c r="K136">
        <v>5</v>
      </c>
      <c r="L136">
        <v>2</v>
      </c>
      <c r="M136">
        <v>7</v>
      </c>
      <c r="N136">
        <v>5</v>
      </c>
      <c r="O136">
        <v>2</v>
      </c>
      <c r="P136">
        <v>9</v>
      </c>
      <c r="Q136">
        <v>5</v>
      </c>
      <c r="R136">
        <v>4</v>
      </c>
      <c r="S136">
        <v>9</v>
      </c>
      <c r="T136">
        <v>6</v>
      </c>
      <c r="U136">
        <v>3</v>
      </c>
      <c r="V136">
        <v>6</v>
      </c>
      <c r="W136">
        <v>6</v>
      </c>
      <c r="X136">
        <v>0</v>
      </c>
      <c r="Y136">
        <v>8</v>
      </c>
      <c r="Z136">
        <v>6</v>
      </c>
      <c r="AA136">
        <v>2</v>
      </c>
      <c r="AB136">
        <v>7</v>
      </c>
      <c r="AC136">
        <v>6</v>
      </c>
      <c r="AD136">
        <v>1</v>
      </c>
      <c r="AE136">
        <v>8</v>
      </c>
      <c r="AF136">
        <v>6</v>
      </c>
      <c r="AG136">
        <v>2</v>
      </c>
      <c r="AH136">
        <v>9</v>
      </c>
      <c r="AI136">
        <v>6</v>
      </c>
      <c r="AJ136">
        <v>3</v>
      </c>
      <c r="AK136" t="s">
        <v>1448</v>
      </c>
      <c r="AL136" t="s">
        <v>1449</v>
      </c>
      <c r="AM136" t="s">
        <v>1450</v>
      </c>
      <c r="AN136" t="s">
        <v>1451</v>
      </c>
      <c r="AO136" t="s">
        <v>1452</v>
      </c>
      <c r="AP136" t="s">
        <v>1453</v>
      </c>
      <c r="AQ136" t="s">
        <v>1454</v>
      </c>
      <c r="AR136" t="s">
        <v>261</v>
      </c>
      <c r="AS136" t="s">
        <v>1455</v>
      </c>
    </row>
    <row r="137" spans="1:45" x14ac:dyDescent="0.45">
      <c r="A137">
        <v>136</v>
      </c>
      <c r="B137">
        <v>2161</v>
      </c>
      <c r="C137" t="s">
        <v>72</v>
      </c>
      <c r="D137" t="s">
        <v>194</v>
      </c>
      <c r="E137" t="s">
        <v>74</v>
      </c>
      <c r="F137" t="s">
        <v>77</v>
      </c>
      <c r="G137" t="s">
        <v>162</v>
      </c>
      <c r="H137">
        <v>12</v>
      </c>
      <c r="I137">
        <v>0</v>
      </c>
      <c r="J137">
        <v>6</v>
      </c>
      <c r="K137">
        <v>8</v>
      </c>
      <c r="L137">
        <v>-2</v>
      </c>
      <c r="M137">
        <v>6</v>
      </c>
      <c r="N137">
        <v>8</v>
      </c>
      <c r="O137">
        <v>-2</v>
      </c>
      <c r="P137">
        <v>8</v>
      </c>
      <c r="Q137">
        <v>8</v>
      </c>
      <c r="R137">
        <v>0</v>
      </c>
      <c r="S137">
        <v>9</v>
      </c>
      <c r="T137">
        <v>8</v>
      </c>
      <c r="U137">
        <v>1</v>
      </c>
      <c r="V137">
        <v>7</v>
      </c>
      <c r="W137">
        <v>10</v>
      </c>
      <c r="X137">
        <v>-3</v>
      </c>
      <c r="Y137">
        <v>8</v>
      </c>
      <c r="Z137">
        <v>10</v>
      </c>
      <c r="AA137">
        <v>-2</v>
      </c>
      <c r="AB137">
        <v>7</v>
      </c>
      <c r="AC137">
        <v>10</v>
      </c>
      <c r="AD137">
        <v>-3</v>
      </c>
      <c r="AE137">
        <v>6</v>
      </c>
      <c r="AF137">
        <v>10</v>
      </c>
      <c r="AG137">
        <v>-4</v>
      </c>
      <c r="AH137">
        <v>7</v>
      </c>
      <c r="AI137">
        <v>10</v>
      </c>
      <c r="AJ137">
        <v>-3</v>
      </c>
      <c r="AK137" t="s">
        <v>1456</v>
      </c>
      <c r="AL137" t="s">
        <v>1457</v>
      </c>
      <c r="AM137" t="s">
        <v>1458</v>
      </c>
      <c r="AN137" t="s">
        <v>1459</v>
      </c>
      <c r="AO137" t="s">
        <v>1460</v>
      </c>
      <c r="AP137" t="s">
        <v>1461</v>
      </c>
      <c r="AQ137" t="s">
        <v>1462</v>
      </c>
      <c r="AR137" t="s">
        <v>1463</v>
      </c>
      <c r="AS137" t="s">
        <v>1464</v>
      </c>
    </row>
    <row r="138" spans="1:45" x14ac:dyDescent="0.45">
      <c r="A138">
        <v>137</v>
      </c>
      <c r="B138">
        <v>2162</v>
      </c>
      <c r="C138" t="s">
        <v>78</v>
      </c>
      <c r="D138" t="s">
        <v>192</v>
      </c>
      <c r="E138" t="s">
        <v>74</v>
      </c>
      <c r="F138" t="s">
        <v>77</v>
      </c>
      <c r="G138" t="s">
        <v>76</v>
      </c>
      <c r="H138">
        <v>158.49332291542495</v>
      </c>
      <c r="I138">
        <v>4</v>
      </c>
      <c r="J138">
        <v>7</v>
      </c>
      <c r="K138">
        <v>8</v>
      </c>
      <c r="L138">
        <v>-1</v>
      </c>
      <c r="M138">
        <v>8</v>
      </c>
      <c r="N138">
        <v>8</v>
      </c>
      <c r="O138">
        <v>0</v>
      </c>
      <c r="P138">
        <v>9</v>
      </c>
      <c r="Q138">
        <v>8</v>
      </c>
      <c r="R138">
        <v>1</v>
      </c>
      <c r="S138">
        <v>8</v>
      </c>
      <c r="T138">
        <v>8</v>
      </c>
      <c r="U138">
        <v>0</v>
      </c>
      <c r="V138">
        <v>9</v>
      </c>
      <c r="W138">
        <v>8</v>
      </c>
      <c r="X138">
        <v>1</v>
      </c>
      <c r="Y138">
        <v>8</v>
      </c>
      <c r="Z138">
        <v>8</v>
      </c>
      <c r="AA138">
        <v>0</v>
      </c>
      <c r="AB138">
        <v>9</v>
      </c>
      <c r="AC138">
        <v>5</v>
      </c>
      <c r="AD138">
        <v>4</v>
      </c>
      <c r="AE138">
        <v>8</v>
      </c>
      <c r="AF138">
        <v>7</v>
      </c>
      <c r="AG138">
        <v>1</v>
      </c>
      <c r="AH138">
        <v>9</v>
      </c>
      <c r="AI138">
        <v>8</v>
      </c>
      <c r="AJ138">
        <v>1</v>
      </c>
      <c r="AK138" t="s">
        <v>1465</v>
      </c>
      <c r="AL138" t="s">
        <v>1466</v>
      </c>
      <c r="AM138" t="s">
        <v>1467</v>
      </c>
      <c r="AN138" t="s">
        <v>1468</v>
      </c>
      <c r="AO138" t="s">
        <v>1469</v>
      </c>
      <c r="AP138" t="s">
        <v>1470</v>
      </c>
      <c r="AQ138" t="s">
        <v>1471</v>
      </c>
      <c r="AR138" t="s">
        <v>1472</v>
      </c>
      <c r="AS138" t="s">
        <v>1473</v>
      </c>
    </row>
    <row r="139" spans="1:45" x14ac:dyDescent="0.45">
      <c r="A139">
        <v>138</v>
      </c>
      <c r="B139">
        <v>2163</v>
      </c>
      <c r="C139" t="s">
        <v>72</v>
      </c>
      <c r="D139" t="s">
        <v>81</v>
      </c>
      <c r="E139" t="s">
        <v>74</v>
      </c>
      <c r="F139" t="s">
        <v>75</v>
      </c>
      <c r="G139" t="s">
        <v>76</v>
      </c>
      <c r="H139">
        <v>15.989699430852641</v>
      </c>
      <c r="I139">
        <v>0</v>
      </c>
      <c r="J139">
        <v>8</v>
      </c>
      <c r="K139">
        <v>8</v>
      </c>
      <c r="L139">
        <v>0</v>
      </c>
      <c r="M139">
        <v>9</v>
      </c>
      <c r="N139">
        <v>9</v>
      </c>
      <c r="O139">
        <v>0</v>
      </c>
      <c r="P139">
        <v>10</v>
      </c>
      <c r="Q139">
        <v>7</v>
      </c>
      <c r="R139">
        <v>3</v>
      </c>
      <c r="S139">
        <v>9</v>
      </c>
      <c r="T139">
        <v>7</v>
      </c>
      <c r="U139">
        <v>2</v>
      </c>
      <c r="V139">
        <v>8</v>
      </c>
      <c r="W139">
        <v>6</v>
      </c>
      <c r="X139">
        <v>2</v>
      </c>
      <c r="Y139">
        <v>9</v>
      </c>
      <c r="Z139">
        <v>6</v>
      </c>
      <c r="AA139">
        <v>3</v>
      </c>
      <c r="AB139">
        <v>8</v>
      </c>
      <c r="AC139">
        <v>2</v>
      </c>
      <c r="AD139">
        <v>6</v>
      </c>
      <c r="AE139">
        <v>7</v>
      </c>
      <c r="AF139">
        <v>5</v>
      </c>
      <c r="AG139">
        <v>2</v>
      </c>
      <c r="AH139">
        <v>8</v>
      </c>
      <c r="AI139">
        <v>6</v>
      </c>
      <c r="AJ139">
        <v>2</v>
      </c>
      <c r="AK139" t="s">
        <v>1474</v>
      </c>
      <c r="AL139" t="s">
        <v>1475</v>
      </c>
      <c r="AM139" t="s">
        <v>1476</v>
      </c>
      <c r="AN139" t="s">
        <v>1477</v>
      </c>
      <c r="AO139" t="s">
        <v>1478</v>
      </c>
      <c r="AP139" t="s">
        <v>1479</v>
      </c>
      <c r="AQ139" t="s">
        <v>1480</v>
      </c>
      <c r="AR139" t="s">
        <v>1481</v>
      </c>
      <c r="AS139" t="s">
        <v>1482</v>
      </c>
    </row>
    <row r="140" spans="1:45" x14ac:dyDescent="0.45">
      <c r="A140">
        <v>139</v>
      </c>
      <c r="B140">
        <v>2164</v>
      </c>
      <c r="C140" t="s">
        <v>72</v>
      </c>
      <c r="D140" t="s">
        <v>79</v>
      </c>
      <c r="E140" t="s">
        <v>74</v>
      </c>
      <c r="F140" t="s">
        <v>75</v>
      </c>
      <c r="G140" t="s">
        <v>76</v>
      </c>
      <c r="H140">
        <v>153.36402565950686</v>
      </c>
      <c r="I140">
        <v>2</v>
      </c>
      <c r="J140">
        <v>7</v>
      </c>
      <c r="K140">
        <v>5</v>
      </c>
      <c r="L140">
        <v>2</v>
      </c>
      <c r="M140">
        <v>6</v>
      </c>
      <c r="N140">
        <v>4</v>
      </c>
      <c r="O140">
        <v>2</v>
      </c>
      <c r="P140">
        <v>8</v>
      </c>
      <c r="Q140">
        <v>7</v>
      </c>
      <c r="R140">
        <v>1</v>
      </c>
      <c r="S140">
        <v>9</v>
      </c>
      <c r="T140">
        <v>6</v>
      </c>
      <c r="U140">
        <v>3</v>
      </c>
      <c r="V140">
        <v>7</v>
      </c>
      <c r="W140">
        <v>3</v>
      </c>
      <c r="X140">
        <v>4</v>
      </c>
      <c r="Y140">
        <v>8</v>
      </c>
      <c r="Z140">
        <v>4</v>
      </c>
      <c r="AA140">
        <v>4</v>
      </c>
      <c r="AB140">
        <v>6</v>
      </c>
      <c r="AC140">
        <v>4</v>
      </c>
      <c r="AD140">
        <v>2</v>
      </c>
      <c r="AE140">
        <v>7</v>
      </c>
      <c r="AF140">
        <v>5</v>
      </c>
      <c r="AG140">
        <v>2</v>
      </c>
      <c r="AH140">
        <v>9</v>
      </c>
      <c r="AI140">
        <v>5</v>
      </c>
      <c r="AJ140">
        <v>4</v>
      </c>
      <c r="AK140" t="s">
        <v>1483</v>
      </c>
      <c r="AL140" t="s">
        <v>1484</v>
      </c>
      <c r="AM140" t="s">
        <v>1485</v>
      </c>
      <c r="AN140" t="s">
        <v>1486</v>
      </c>
      <c r="AO140" t="s">
        <v>1487</v>
      </c>
      <c r="AP140" t="s">
        <v>1488</v>
      </c>
      <c r="AQ140" t="s">
        <v>1489</v>
      </c>
      <c r="AR140" t="s">
        <v>1490</v>
      </c>
      <c r="AS140" t="s">
        <v>1491</v>
      </c>
    </row>
    <row r="141" spans="1:45" x14ac:dyDescent="0.45">
      <c r="A141">
        <v>140</v>
      </c>
      <c r="B141">
        <v>2165</v>
      </c>
      <c r="C141" t="s">
        <v>72</v>
      </c>
      <c r="D141" t="s">
        <v>73</v>
      </c>
      <c r="E141" t="s">
        <v>74</v>
      </c>
      <c r="F141" t="s">
        <v>77</v>
      </c>
      <c r="G141" t="s">
        <v>76</v>
      </c>
      <c r="H141">
        <v>29.509981072435291</v>
      </c>
      <c r="I141">
        <v>1</v>
      </c>
      <c r="J141">
        <v>5</v>
      </c>
      <c r="K141">
        <v>10</v>
      </c>
      <c r="L141">
        <v>-5</v>
      </c>
      <c r="M141">
        <v>6</v>
      </c>
      <c r="N141">
        <v>9</v>
      </c>
      <c r="O141">
        <v>-3</v>
      </c>
      <c r="P141">
        <v>8</v>
      </c>
      <c r="Q141">
        <v>9</v>
      </c>
      <c r="R141">
        <v>-1</v>
      </c>
      <c r="S141">
        <v>9</v>
      </c>
      <c r="T141">
        <v>9</v>
      </c>
      <c r="U141">
        <v>0</v>
      </c>
      <c r="V141">
        <v>7</v>
      </c>
      <c r="W141">
        <v>8</v>
      </c>
      <c r="X141">
        <v>-1</v>
      </c>
      <c r="Y141">
        <v>8</v>
      </c>
      <c r="Z141">
        <v>8</v>
      </c>
      <c r="AA141">
        <v>0</v>
      </c>
      <c r="AB141">
        <v>6</v>
      </c>
      <c r="AC141">
        <v>8</v>
      </c>
      <c r="AD141">
        <v>-2</v>
      </c>
      <c r="AE141">
        <v>7</v>
      </c>
      <c r="AF141">
        <v>8</v>
      </c>
      <c r="AG141">
        <v>-1</v>
      </c>
      <c r="AH141">
        <v>9</v>
      </c>
      <c r="AI141">
        <v>10</v>
      </c>
      <c r="AJ141">
        <v>-1</v>
      </c>
      <c r="AK141" t="s">
        <v>1492</v>
      </c>
      <c r="AL141" t="s">
        <v>1493</v>
      </c>
      <c r="AM141" t="s">
        <v>1494</v>
      </c>
      <c r="AN141" t="s">
        <v>1495</v>
      </c>
      <c r="AO141" t="s">
        <v>1496</v>
      </c>
      <c r="AP141" t="s">
        <v>1497</v>
      </c>
      <c r="AQ141" t="s">
        <v>1498</v>
      </c>
      <c r="AR141" t="s">
        <v>1499</v>
      </c>
      <c r="AS141" t="s">
        <v>1500</v>
      </c>
    </row>
    <row r="142" spans="1:45" x14ac:dyDescent="0.45">
      <c r="A142">
        <v>141</v>
      </c>
      <c r="B142">
        <v>2166</v>
      </c>
      <c r="C142" t="s">
        <v>78</v>
      </c>
      <c r="D142" t="s">
        <v>73</v>
      </c>
      <c r="E142" t="s">
        <v>74</v>
      </c>
      <c r="F142" t="s">
        <v>77</v>
      </c>
      <c r="G142" t="s">
        <v>76</v>
      </c>
      <c r="H142">
        <v>25.441347630755921</v>
      </c>
      <c r="I142">
        <v>1</v>
      </c>
      <c r="J142">
        <v>7</v>
      </c>
      <c r="K142">
        <v>8</v>
      </c>
      <c r="L142">
        <v>-1</v>
      </c>
      <c r="M142">
        <v>8</v>
      </c>
      <c r="N142">
        <v>7</v>
      </c>
      <c r="O142">
        <v>1</v>
      </c>
      <c r="P142">
        <v>9</v>
      </c>
      <c r="Q142">
        <v>6</v>
      </c>
      <c r="R142">
        <v>3</v>
      </c>
      <c r="S142">
        <v>10</v>
      </c>
      <c r="T142">
        <v>6</v>
      </c>
      <c r="U142">
        <v>4</v>
      </c>
      <c r="V142">
        <v>8</v>
      </c>
      <c r="W142">
        <v>5</v>
      </c>
      <c r="X142">
        <v>3</v>
      </c>
      <c r="Y142">
        <v>9</v>
      </c>
      <c r="Z142">
        <v>5</v>
      </c>
      <c r="AA142">
        <v>4</v>
      </c>
      <c r="AB142">
        <v>8</v>
      </c>
      <c r="AC142">
        <v>3</v>
      </c>
      <c r="AD142">
        <v>5</v>
      </c>
      <c r="AE142">
        <v>9</v>
      </c>
      <c r="AF142">
        <v>3</v>
      </c>
      <c r="AG142">
        <v>6</v>
      </c>
      <c r="AH142">
        <v>10</v>
      </c>
      <c r="AI142">
        <v>5</v>
      </c>
      <c r="AJ142">
        <v>5</v>
      </c>
      <c r="AK142" t="s">
        <v>1501</v>
      </c>
      <c r="AL142" t="s">
        <v>1502</v>
      </c>
      <c r="AM142" t="s">
        <v>1503</v>
      </c>
      <c r="AN142" t="s">
        <v>1504</v>
      </c>
      <c r="AO142" t="s">
        <v>1505</v>
      </c>
      <c r="AP142" t="s">
        <v>1506</v>
      </c>
      <c r="AQ142" t="s">
        <v>1507</v>
      </c>
      <c r="AR142" t="s">
        <v>1508</v>
      </c>
      <c r="AS142" t="s">
        <v>1509</v>
      </c>
    </row>
    <row r="143" spans="1:45" x14ac:dyDescent="0.45">
      <c r="A143">
        <v>142</v>
      </c>
      <c r="B143">
        <v>2167</v>
      </c>
      <c r="C143" t="s">
        <v>78</v>
      </c>
      <c r="D143" t="s">
        <v>79</v>
      </c>
      <c r="E143" t="s">
        <v>74</v>
      </c>
      <c r="F143" t="s">
        <v>75</v>
      </c>
      <c r="G143" t="s">
        <v>76</v>
      </c>
      <c r="H143">
        <v>12</v>
      </c>
      <c r="I143">
        <v>1</v>
      </c>
      <c r="J143">
        <v>7</v>
      </c>
      <c r="K143">
        <v>5</v>
      </c>
      <c r="L143">
        <v>2</v>
      </c>
      <c r="M143">
        <v>6</v>
      </c>
      <c r="N143">
        <v>6</v>
      </c>
      <c r="O143">
        <v>0</v>
      </c>
      <c r="P143">
        <v>8</v>
      </c>
      <c r="Q143">
        <v>5</v>
      </c>
      <c r="R143">
        <v>3</v>
      </c>
      <c r="S143">
        <v>9</v>
      </c>
      <c r="T143">
        <v>7</v>
      </c>
      <c r="U143">
        <v>2</v>
      </c>
      <c r="V143">
        <v>7</v>
      </c>
      <c r="W143">
        <v>6</v>
      </c>
      <c r="X143">
        <v>1</v>
      </c>
      <c r="Y143">
        <v>8</v>
      </c>
      <c r="Z143">
        <v>6</v>
      </c>
      <c r="AA143">
        <v>2</v>
      </c>
      <c r="AB143">
        <v>6</v>
      </c>
      <c r="AC143">
        <v>6</v>
      </c>
      <c r="AD143">
        <v>0</v>
      </c>
      <c r="AE143">
        <v>9</v>
      </c>
      <c r="AF143">
        <v>7</v>
      </c>
      <c r="AG143">
        <v>2</v>
      </c>
      <c r="AH143">
        <v>8</v>
      </c>
      <c r="AI143">
        <v>7</v>
      </c>
      <c r="AJ143">
        <v>1</v>
      </c>
      <c r="AK143" t="s">
        <v>1510</v>
      </c>
      <c r="AL143" t="s">
        <v>1511</v>
      </c>
      <c r="AM143" t="s">
        <v>1512</v>
      </c>
      <c r="AN143" t="s">
        <v>1513</v>
      </c>
      <c r="AO143" t="s">
        <v>1514</v>
      </c>
      <c r="AP143" t="s">
        <v>1515</v>
      </c>
      <c r="AQ143" t="s">
        <v>1516</v>
      </c>
      <c r="AR143" t="s">
        <v>1517</v>
      </c>
      <c r="AS143" t="s">
        <v>1518</v>
      </c>
    </row>
    <row r="144" spans="1:45" x14ac:dyDescent="0.45">
      <c r="A144">
        <v>143</v>
      </c>
      <c r="B144">
        <v>2168</v>
      </c>
      <c r="C144" t="s">
        <v>78</v>
      </c>
      <c r="D144" t="s">
        <v>73</v>
      </c>
      <c r="E144" t="s">
        <v>74</v>
      </c>
      <c r="F144" t="s">
        <v>75</v>
      </c>
      <c r="G144" t="s">
        <v>76</v>
      </c>
      <c r="H144">
        <v>178.2528981815465</v>
      </c>
      <c r="I144">
        <v>0</v>
      </c>
      <c r="J144">
        <v>7</v>
      </c>
      <c r="K144">
        <v>1</v>
      </c>
      <c r="L144">
        <v>6</v>
      </c>
      <c r="M144">
        <v>8</v>
      </c>
      <c r="N144">
        <v>1</v>
      </c>
      <c r="O144">
        <v>7</v>
      </c>
      <c r="P144">
        <v>6</v>
      </c>
      <c r="Q144">
        <v>8</v>
      </c>
      <c r="R144">
        <v>-2</v>
      </c>
      <c r="S144">
        <v>9</v>
      </c>
      <c r="T144">
        <v>8</v>
      </c>
      <c r="U144">
        <v>1</v>
      </c>
      <c r="V144">
        <v>7</v>
      </c>
      <c r="W144">
        <v>8</v>
      </c>
      <c r="X144">
        <v>-1</v>
      </c>
      <c r="Y144">
        <v>8</v>
      </c>
      <c r="Z144">
        <v>8</v>
      </c>
      <c r="AA144">
        <v>0</v>
      </c>
      <c r="AB144">
        <v>7</v>
      </c>
      <c r="AC144">
        <v>8</v>
      </c>
      <c r="AD144">
        <v>-1</v>
      </c>
      <c r="AE144">
        <v>6</v>
      </c>
      <c r="AF144">
        <v>8</v>
      </c>
      <c r="AG144">
        <v>-2</v>
      </c>
      <c r="AH144">
        <v>8</v>
      </c>
      <c r="AI144">
        <v>8</v>
      </c>
      <c r="AJ144">
        <v>0</v>
      </c>
      <c r="AK144" t="s">
        <v>1519</v>
      </c>
      <c r="AL144" t="s">
        <v>1520</v>
      </c>
      <c r="AM144" t="s">
        <v>1521</v>
      </c>
      <c r="AN144" t="s">
        <v>1522</v>
      </c>
      <c r="AO144" t="s">
        <v>1523</v>
      </c>
      <c r="AP144" t="s">
        <v>1524</v>
      </c>
      <c r="AQ144" t="s">
        <v>1525</v>
      </c>
      <c r="AR144" t="s">
        <v>1526</v>
      </c>
      <c r="AS144" t="s">
        <v>1527</v>
      </c>
    </row>
    <row r="145" spans="1:45" x14ac:dyDescent="0.45">
      <c r="A145">
        <v>144</v>
      </c>
      <c r="B145">
        <v>2169</v>
      </c>
      <c r="C145" t="s">
        <v>72</v>
      </c>
      <c r="D145" t="s">
        <v>192</v>
      </c>
      <c r="E145" t="s">
        <v>74</v>
      </c>
      <c r="F145" t="s">
        <v>77</v>
      </c>
      <c r="G145" t="s">
        <v>76</v>
      </c>
      <c r="H145">
        <v>65.292130954642033</v>
      </c>
      <c r="I145">
        <v>2</v>
      </c>
      <c r="J145">
        <v>9</v>
      </c>
      <c r="K145">
        <v>9</v>
      </c>
      <c r="L145">
        <v>0</v>
      </c>
      <c r="M145">
        <v>8</v>
      </c>
      <c r="N145">
        <v>9</v>
      </c>
      <c r="O145">
        <v>-1</v>
      </c>
      <c r="P145">
        <v>8</v>
      </c>
      <c r="Q145">
        <v>9</v>
      </c>
      <c r="R145">
        <v>-1</v>
      </c>
      <c r="S145">
        <v>8</v>
      </c>
      <c r="T145">
        <v>9</v>
      </c>
      <c r="U145">
        <v>-1</v>
      </c>
      <c r="V145">
        <v>9</v>
      </c>
      <c r="W145">
        <v>10</v>
      </c>
      <c r="X145">
        <v>-1</v>
      </c>
      <c r="Y145">
        <v>8</v>
      </c>
      <c r="Z145">
        <v>5</v>
      </c>
      <c r="AA145">
        <v>3</v>
      </c>
      <c r="AB145">
        <v>9</v>
      </c>
      <c r="AC145">
        <v>9</v>
      </c>
      <c r="AD145">
        <v>0</v>
      </c>
      <c r="AE145">
        <v>8</v>
      </c>
      <c r="AF145">
        <v>9</v>
      </c>
      <c r="AG145">
        <v>-1</v>
      </c>
      <c r="AH145">
        <v>9</v>
      </c>
      <c r="AI145">
        <v>10</v>
      </c>
      <c r="AJ145">
        <v>-1</v>
      </c>
      <c r="AK145" t="s">
        <v>1528</v>
      </c>
      <c r="AL145" t="s">
        <v>1529</v>
      </c>
      <c r="AM145" t="s">
        <v>1530</v>
      </c>
      <c r="AN145" t="s">
        <v>1531</v>
      </c>
      <c r="AO145" t="s">
        <v>1532</v>
      </c>
      <c r="AP145" t="s">
        <v>1533</v>
      </c>
      <c r="AQ145" t="s">
        <v>1534</v>
      </c>
      <c r="AR145" t="s">
        <v>1535</v>
      </c>
      <c r="AS145" t="s">
        <v>1536</v>
      </c>
    </row>
    <row r="146" spans="1:45" x14ac:dyDescent="0.45">
      <c r="A146">
        <v>145</v>
      </c>
      <c r="B146">
        <v>2170</v>
      </c>
      <c r="C146" t="s">
        <v>72</v>
      </c>
      <c r="D146" t="s">
        <v>79</v>
      </c>
      <c r="E146" t="s">
        <v>74</v>
      </c>
      <c r="F146" t="s">
        <v>77</v>
      </c>
      <c r="G146" t="s">
        <v>76</v>
      </c>
      <c r="H146">
        <v>57.142928137015538</v>
      </c>
      <c r="I146">
        <v>2</v>
      </c>
      <c r="J146">
        <v>7</v>
      </c>
      <c r="K146">
        <v>10</v>
      </c>
      <c r="L146">
        <v>-3</v>
      </c>
      <c r="M146">
        <v>8</v>
      </c>
      <c r="N146">
        <v>10</v>
      </c>
      <c r="O146">
        <v>-2</v>
      </c>
      <c r="P146">
        <v>9</v>
      </c>
      <c r="Q146">
        <v>9</v>
      </c>
      <c r="R146">
        <v>0</v>
      </c>
      <c r="S146">
        <v>10</v>
      </c>
      <c r="T146">
        <v>6</v>
      </c>
      <c r="U146">
        <v>4</v>
      </c>
      <c r="V146">
        <v>8</v>
      </c>
      <c r="W146">
        <v>6</v>
      </c>
      <c r="X146">
        <v>2</v>
      </c>
      <c r="Y146">
        <v>9</v>
      </c>
      <c r="Z146">
        <v>3</v>
      </c>
      <c r="AA146">
        <v>6</v>
      </c>
      <c r="AB146">
        <v>8</v>
      </c>
      <c r="AC146">
        <v>5</v>
      </c>
      <c r="AD146">
        <v>3</v>
      </c>
      <c r="AE146">
        <v>7</v>
      </c>
      <c r="AF146">
        <v>5</v>
      </c>
      <c r="AG146">
        <v>2</v>
      </c>
      <c r="AH146">
        <v>9</v>
      </c>
      <c r="AI146">
        <v>1</v>
      </c>
      <c r="AJ146">
        <v>8</v>
      </c>
      <c r="AK146" t="s">
        <v>1537</v>
      </c>
      <c r="AL146" t="s">
        <v>1538</v>
      </c>
      <c r="AM146" t="s">
        <v>1539</v>
      </c>
      <c r="AN146" t="s">
        <v>1540</v>
      </c>
      <c r="AO146" t="s">
        <v>1541</v>
      </c>
      <c r="AP146" t="s">
        <v>1542</v>
      </c>
      <c r="AQ146" t="s">
        <v>1543</v>
      </c>
      <c r="AR146" t="s">
        <v>1544</v>
      </c>
      <c r="AS146" t="s">
        <v>1545</v>
      </c>
    </row>
    <row r="147" spans="1:45" x14ac:dyDescent="0.45">
      <c r="A147">
        <v>146</v>
      </c>
      <c r="B147">
        <v>2171</v>
      </c>
      <c r="C147" t="s">
        <v>72</v>
      </c>
      <c r="D147" t="s">
        <v>79</v>
      </c>
      <c r="E147" t="s">
        <v>74</v>
      </c>
      <c r="F147" t="s">
        <v>77</v>
      </c>
      <c r="G147" t="s">
        <v>76</v>
      </c>
      <c r="H147">
        <v>87.067652463083746</v>
      </c>
      <c r="I147">
        <v>3</v>
      </c>
      <c r="J147">
        <v>8</v>
      </c>
      <c r="K147">
        <v>8</v>
      </c>
      <c r="L147">
        <v>0</v>
      </c>
      <c r="M147">
        <v>9</v>
      </c>
      <c r="N147">
        <v>8</v>
      </c>
      <c r="O147">
        <v>1</v>
      </c>
      <c r="P147">
        <v>7</v>
      </c>
      <c r="Q147">
        <v>5</v>
      </c>
      <c r="R147">
        <v>2</v>
      </c>
      <c r="S147">
        <v>9</v>
      </c>
      <c r="T147">
        <v>5</v>
      </c>
      <c r="U147">
        <v>4</v>
      </c>
      <c r="V147">
        <v>8</v>
      </c>
      <c r="W147">
        <v>5</v>
      </c>
      <c r="X147">
        <v>3</v>
      </c>
      <c r="Y147">
        <v>9</v>
      </c>
      <c r="Z147">
        <v>3</v>
      </c>
      <c r="AA147">
        <v>6</v>
      </c>
      <c r="AB147">
        <v>8</v>
      </c>
      <c r="AC147">
        <v>5</v>
      </c>
      <c r="AD147">
        <v>3</v>
      </c>
      <c r="AE147">
        <v>7</v>
      </c>
      <c r="AF147">
        <v>5</v>
      </c>
      <c r="AG147">
        <v>2</v>
      </c>
      <c r="AH147">
        <v>9</v>
      </c>
      <c r="AI147">
        <v>5</v>
      </c>
      <c r="AJ147">
        <v>4</v>
      </c>
      <c r="AK147" t="s">
        <v>1546</v>
      </c>
      <c r="AL147" t="s">
        <v>1547</v>
      </c>
      <c r="AM147" t="s">
        <v>1548</v>
      </c>
      <c r="AN147" t="s">
        <v>1549</v>
      </c>
      <c r="AO147" t="s">
        <v>1550</v>
      </c>
      <c r="AP147" t="s">
        <v>1551</v>
      </c>
      <c r="AQ147" t="s">
        <v>1552</v>
      </c>
      <c r="AR147" t="s">
        <v>1553</v>
      </c>
      <c r="AS147" t="s">
        <v>1554</v>
      </c>
    </row>
    <row r="148" spans="1:45" x14ac:dyDescent="0.45">
      <c r="A148">
        <v>147</v>
      </c>
      <c r="B148">
        <v>2172</v>
      </c>
      <c r="C148" t="s">
        <v>72</v>
      </c>
      <c r="D148" t="s">
        <v>194</v>
      </c>
      <c r="E148" t="s">
        <v>74</v>
      </c>
      <c r="F148" t="s">
        <v>75</v>
      </c>
      <c r="G148" t="s">
        <v>76</v>
      </c>
      <c r="H148">
        <v>161.6736632827685</v>
      </c>
      <c r="I148">
        <v>0</v>
      </c>
      <c r="J148">
        <v>7</v>
      </c>
      <c r="K148">
        <v>7</v>
      </c>
      <c r="L148">
        <v>0</v>
      </c>
      <c r="M148">
        <v>8</v>
      </c>
      <c r="N148">
        <v>7</v>
      </c>
      <c r="O148">
        <v>1</v>
      </c>
      <c r="P148">
        <v>7</v>
      </c>
      <c r="Q148">
        <v>1</v>
      </c>
      <c r="R148">
        <v>6</v>
      </c>
      <c r="S148">
        <v>9</v>
      </c>
      <c r="T148">
        <v>6</v>
      </c>
      <c r="U148">
        <v>3</v>
      </c>
      <c r="V148">
        <v>6</v>
      </c>
      <c r="W148">
        <v>3</v>
      </c>
      <c r="X148">
        <v>3</v>
      </c>
      <c r="Y148">
        <v>8</v>
      </c>
      <c r="Z148">
        <v>5</v>
      </c>
      <c r="AA148">
        <v>3</v>
      </c>
      <c r="AB148">
        <v>7</v>
      </c>
      <c r="AC148">
        <v>1</v>
      </c>
      <c r="AD148">
        <v>6</v>
      </c>
      <c r="AE148">
        <v>6</v>
      </c>
      <c r="AF148">
        <v>4</v>
      </c>
      <c r="AG148">
        <v>2</v>
      </c>
      <c r="AH148">
        <v>7</v>
      </c>
      <c r="AI148">
        <v>5</v>
      </c>
      <c r="AJ148">
        <v>2</v>
      </c>
      <c r="AK148" t="s">
        <v>1555</v>
      </c>
      <c r="AL148" t="s">
        <v>1556</v>
      </c>
      <c r="AM148" t="s">
        <v>1557</v>
      </c>
      <c r="AN148" t="s">
        <v>1558</v>
      </c>
      <c r="AO148" t="s">
        <v>1559</v>
      </c>
      <c r="AP148" t="s">
        <v>1560</v>
      </c>
      <c r="AQ148" t="s">
        <v>1561</v>
      </c>
      <c r="AR148" t="s">
        <v>1562</v>
      </c>
      <c r="AS148" t="s">
        <v>1563</v>
      </c>
    </row>
    <row r="149" spans="1:45" x14ac:dyDescent="0.45">
      <c r="A149">
        <v>148</v>
      </c>
      <c r="B149">
        <v>2173</v>
      </c>
      <c r="C149" t="s">
        <v>78</v>
      </c>
      <c r="D149" t="s">
        <v>81</v>
      </c>
      <c r="E149" t="s">
        <v>74</v>
      </c>
      <c r="F149" t="s">
        <v>77</v>
      </c>
      <c r="G149" t="s">
        <v>76</v>
      </c>
      <c r="H149">
        <v>20.765939402212396</v>
      </c>
      <c r="I149">
        <v>0</v>
      </c>
      <c r="J149">
        <v>7</v>
      </c>
      <c r="K149">
        <v>6</v>
      </c>
      <c r="L149">
        <v>1</v>
      </c>
      <c r="M149">
        <v>6</v>
      </c>
      <c r="N149">
        <v>6</v>
      </c>
      <c r="O149">
        <v>0</v>
      </c>
      <c r="P149">
        <v>8</v>
      </c>
      <c r="Q149">
        <v>5</v>
      </c>
      <c r="R149">
        <v>3</v>
      </c>
      <c r="S149">
        <v>9</v>
      </c>
      <c r="T149">
        <v>7</v>
      </c>
      <c r="U149">
        <v>2</v>
      </c>
      <c r="V149">
        <v>7</v>
      </c>
      <c r="W149">
        <v>5</v>
      </c>
      <c r="X149">
        <v>2</v>
      </c>
      <c r="Y149">
        <v>9</v>
      </c>
      <c r="Z149">
        <v>7</v>
      </c>
      <c r="AA149">
        <v>2</v>
      </c>
      <c r="AB149">
        <v>8</v>
      </c>
      <c r="AC149">
        <v>5</v>
      </c>
      <c r="AD149">
        <v>3</v>
      </c>
      <c r="AE149">
        <v>7</v>
      </c>
      <c r="AF149">
        <v>6</v>
      </c>
      <c r="AG149">
        <v>1</v>
      </c>
      <c r="AH149">
        <v>9</v>
      </c>
      <c r="AI149">
        <v>7</v>
      </c>
      <c r="AJ149">
        <v>2</v>
      </c>
      <c r="AK149" t="s">
        <v>1564</v>
      </c>
      <c r="AL149" t="s">
        <v>1565</v>
      </c>
      <c r="AM149" t="s">
        <v>1566</v>
      </c>
      <c r="AN149" t="s">
        <v>1567</v>
      </c>
      <c r="AO149" t="s">
        <v>1568</v>
      </c>
      <c r="AP149" t="s">
        <v>1569</v>
      </c>
      <c r="AQ149" t="s">
        <v>1570</v>
      </c>
      <c r="AR149" t="s">
        <v>1571</v>
      </c>
      <c r="AS149" t="s">
        <v>1572</v>
      </c>
    </row>
    <row r="150" spans="1:45" x14ac:dyDescent="0.45">
      <c r="A150">
        <v>149</v>
      </c>
      <c r="B150">
        <v>2174</v>
      </c>
      <c r="C150" t="s">
        <v>72</v>
      </c>
      <c r="D150" t="s">
        <v>79</v>
      </c>
      <c r="E150" t="s">
        <v>74</v>
      </c>
      <c r="F150" t="s">
        <v>77</v>
      </c>
      <c r="G150" t="s">
        <v>76</v>
      </c>
      <c r="H150">
        <v>239.95288139250445</v>
      </c>
      <c r="I150">
        <v>3</v>
      </c>
      <c r="J150">
        <v>9</v>
      </c>
      <c r="K150">
        <v>10</v>
      </c>
      <c r="L150">
        <v>-1</v>
      </c>
      <c r="M150">
        <v>9</v>
      </c>
      <c r="N150">
        <v>10</v>
      </c>
      <c r="O150">
        <v>-1</v>
      </c>
      <c r="P150">
        <v>8</v>
      </c>
      <c r="Q150">
        <v>7</v>
      </c>
      <c r="R150">
        <v>1</v>
      </c>
      <c r="S150">
        <v>9</v>
      </c>
      <c r="T150">
        <v>8</v>
      </c>
      <c r="U150">
        <v>1</v>
      </c>
      <c r="V150">
        <v>8</v>
      </c>
      <c r="W150">
        <v>8</v>
      </c>
      <c r="X150">
        <v>0</v>
      </c>
      <c r="Y150">
        <v>9</v>
      </c>
      <c r="Z150">
        <v>4</v>
      </c>
      <c r="AA150">
        <v>5</v>
      </c>
      <c r="AB150">
        <v>8</v>
      </c>
      <c r="AC150">
        <v>1</v>
      </c>
      <c r="AD150">
        <v>7</v>
      </c>
      <c r="AE150">
        <v>7</v>
      </c>
      <c r="AF150">
        <v>3</v>
      </c>
      <c r="AG150">
        <v>4</v>
      </c>
      <c r="AH150">
        <v>9</v>
      </c>
      <c r="AI150">
        <v>6</v>
      </c>
      <c r="AJ150">
        <v>3</v>
      </c>
      <c r="AK150" t="s">
        <v>1573</v>
      </c>
      <c r="AL150" t="s">
        <v>1574</v>
      </c>
      <c r="AM150" t="s">
        <v>1575</v>
      </c>
      <c r="AN150" t="s">
        <v>1576</v>
      </c>
      <c r="AO150" t="s">
        <v>1577</v>
      </c>
      <c r="AP150" t="s">
        <v>1578</v>
      </c>
      <c r="AQ150" t="s">
        <v>1579</v>
      </c>
      <c r="AR150" t="s">
        <v>1580</v>
      </c>
      <c r="AS150" t="s">
        <v>1581</v>
      </c>
    </row>
    <row r="151" spans="1:45" x14ac:dyDescent="0.45">
      <c r="A151">
        <v>150</v>
      </c>
      <c r="B151">
        <v>2175</v>
      </c>
      <c r="C151" t="s">
        <v>72</v>
      </c>
      <c r="D151" t="s">
        <v>79</v>
      </c>
      <c r="E151" t="s">
        <v>74</v>
      </c>
      <c r="F151" t="s">
        <v>77</v>
      </c>
      <c r="G151" t="s">
        <v>76</v>
      </c>
      <c r="H151">
        <v>54.88756858131746</v>
      </c>
      <c r="I151">
        <v>2</v>
      </c>
      <c r="J151">
        <v>8</v>
      </c>
      <c r="K151">
        <v>7</v>
      </c>
      <c r="L151">
        <v>1</v>
      </c>
      <c r="M151">
        <v>7</v>
      </c>
      <c r="N151">
        <v>10</v>
      </c>
      <c r="O151">
        <v>-3</v>
      </c>
      <c r="P151">
        <v>8</v>
      </c>
      <c r="Q151">
        <v>5</v>
      </c>
      <c r="R151">
        <v>3</v>
      </c>
      <c r="S151">
        <v>9</v>
      </c>
      <c r="T151">
        <v>7</v>
      </c>
      <c r="U151">
        <v>2</v>
      </c>
      <c r="V151">
        <v>7</v>
      </c>
      <c r="W151">
        <v>7</v>
      </c>
      <c r="X151">
        <v>0</v>
      </c>
      <c r="Y151">
        <v>9</v>
      </c>
      <c r="Z151">
        <v>7</v>
      </c>
      <c r="AA151">
        <v>2</v>
      </c>
      <c r="AB151">
        <v>8</v>
      </c>
      <c r="AC151">
        <v>7</v>
      </c>
      <c r="AD151">
        <v>1</v>
      </c>
      <c r="AE151">
        <v>7</v>
      </c>
      <c r="AF151">
        <v>7</v>
      </c>
      <c r="AG151">
        <v>0</v>
      </c>
      <c r="AH151">
        <v>9</v>
      </c>
      <c r="AI151">
        <v>10</v>
      </c>
      <c r="AJ151">
        <v>-1</v>
      </c>
      <c r="AK151" t="s">
        <v>1582</v>
      </c>
      <c r="AL151" t="s">
        <v>1583</v>
      </c>
      <c r="AM151" t="s">
        <v>1584</v>
      </c>
      <c r="AN151" t="s">
        <v>1585</v>
      </c>
      <c r="AO151" t="s">
        <v>1586</v>
      </c>
      <c r="AP151" t="s">
        <v>1587</v>
      </c>
      <c r="AQ151" t="s">
        <v>1588</v>
      </c>
      <c r="AR151" t="s">
        <v>1589</v>
      </c>
      <c r="AS151" t="s">
        <v>1590</v>
      </c>
    </row>
    <row r="152" spans="1:45" x14ac:dyDescent="0.45">
      <c r="A152">
        <v>151</v>
      </c>
      <c r="B152">
        <v>2176</v>
      </c>
      <c r="C152" t="s">
        <v>72</v>
      </c>
      <c r="D152" t="s">
        <v>73</v>
      </c>
      <c r="E152" t="s">
        <v>74</v>
      </c>
      <c r="F152" t="s">
        <v>77</v>
      </c>
      <c r="G152" t="s">
        <v>76</v>
      </c>
      <c r="H152">
        <v>83.098625344927342</v>
      </c>
      <c r="I152">
        <v>2</v>
      </c>
      <c r="J152">
        <v>8</v>
      </c>
      <c r="K152">
        <v>8</v>
      </c>
      <c r="L152">
        <v>0</v>
      </c>
      <c r="M152">
        <v>8</v>
      </c>
      <c r="N152">
        <v>8</v>
      </c>
      <c r="O152">
        <v>0</v>
      </c>
      <c r="P152">
        <v>9</v>
      </c>
      <c r="Q152">
        <v>8</v>
      </c>
      <c r="R152">
        <v>1</v>
      </c>
      <c r="S152">
        <v>9</v>
      </c>
      <c r="T152">
        <v>8</v>
      </c>
      <c r="U152">
        <v>1</v>
      </c>
      <c r="V152">
        <v>8</v>
      </c>
      <c r="W152">
        <v>8</v>
      </c>
      <c r="X152">
        <v>0</v>
      </c>
      <c r="Y152">
        <v>8</v>
      </c>
      <c r="Z152">
        <v>8</v>
      </c>
      <c r="AA152">
        <v>0</v>
      </c>
      <c r="AB152">
        <v>8</v>
      </c>
      <c r="AC152">
        <v>8</v>
      </c>
      <c r="AD152">
        <v>0</v>
      </c>
      <c r="AE152">
        <v>8</v>
      </c>
      <c r="AF152">
        <v>8</v>
      </c>
      <c r="AG152">
        <v>0</v>
      </c>
      <c r="AH152">
        <v>9</v>
      </c>
      <c r="AI152">
        <v>8</v>
      </c>
      <c r="AJ152">
        <v>1</v>
      </c>
      <c r="AK152" t="s">
        <v>1591</v>
      </c>
      <c r="AL152" t="s">
        <v>1592</v>
      </c>
      <c r="AM152" t="s">
        <v>1593</v>
      </c>
      <c r="AN152" t="s">
        <v>1594</v>
      </c>
      <c r="AO152" t="s">
        <v>1595</v>
      </c>
      <c r="AP152" t="s">
        <v>1596</v>
      </c>
      <c r="AQ152" t="s">
        <v>1597</v>
      </c>
      <c r="AR152" t="s">
        <v>1598</v>
      </c>
      <c r="AS152" t="s">
        <v>1599</v>
      </c>
    </row>
    <row r="153" spans="1:45" x14ac:dyDescent="0.45">
      <c r="A153">
        <v>152</v>
      </c>
      <c r="B153">
        <v>2177</v>
      </c>
      <c r="C153" t="s">
        <v>72</v>
      </c>
      <c r="D153" t="s">
        <v>79</v>
      </c>
      <c r="E153" t="s">
        <v>74</v>
      </c>
      <c r="F153" t="s">
        <v>75</v>
      </c>
      <c r="G153" t="s">
        <v>76</v>
      </c>
      <c r="H153">
        <v>75.455923341418085</v>
      </c>
      <c r="I153">
        <v>2</v>
      </c>
      <c r="J153">
        <v>7</v>
      </c>
      <c r="K153">
        <v>10</v>
      </c>
      <c r="L153">
        <v>-3</v>
      </c>
      <c r="M153">
        <v>6</v>
      </c>
      <c r="N153">
        <v>10</v>
      </c>
      <c r="O153">
        <v>-4</v>
      </c>
      <c r="P153">
        <v>9</v>
      </c>
      <c r="Q153">
        <v>10</v>
      </c>
      <c r="R153">
        <v>-1</v>
      </c>
      <c r="S153">
        <v>8</v>
      </c>
      <c r="T153">
        <v>10</v>
      </c>
      <c r="U153">
        <v>-2</v>
      </c>
      <c r="V153">
        <v>7</v>
      </c>
      <c r="W153">
        <v>10</v>
      </c>
      <c r="X153">
        <v>-3</v>
      </c>
      <c r="Y153">
        <v>9</v>
      </c>
      <c r="Z153">
        <v>10</v>
      </c>
      <c r="AA153">
        <v>-1</v>
      </c>
      <c r="AB153">
        <v>6</v>
      </c>
      <c r="AC153">
        <v>10</v>
      </c>
      <c r="AD153">
        <v>-4</v>
      </c>
      <c r="AE153">
        <v>5</v>
      </c>
      <c r="AF153">
        <v>10</v>
      </c>
      <c r="AG153">
        <v>-5</v>
      </c>
      <c r="AH153">
        <v>8</v>
      </c>
      <c r="AI153">
        <v>10</v>
      </c>
      <c r="AJ153">
        <v>-2</v>
      </c>
      <c r="AK153" t="s">
        <v>1600</v>
      </c>
      <c r="AL153" t="s">
        <v>1601</v>
      </c>
      <c r="AM153" t="s">
        <v>1602</v>
      </c>
      <c r="AN153" t="s">
        <v>1603</v>
      </c>
      <c r="AO153" t="s">
        <v>1604</v>
      </c>
      <c r="AP153" t="s">
        <v>1605</v>
      </c>
      <c r="AQ153" t="s">
        <v>1606</v>
      </c>
      <c r="AR153" t="s">
        <v>1607</v>
      </c>
      <c r="AS153" t="s">
        <v>1608</v>
      </c>
    </row>
    <row r="154" spans="1:45" x14ac:dyDescent="0.45">
      <c r="A154">
        <v>153</v>
      </c>
      <c r="B154">
        <v>2178</v>
      </c>
      <c r="C154" t="s">
        <v>78</v>
      </c>
      <c r="D154" t="s">
        <v>73</v>
      </c>
      <c r="E154" t="s">
        <v>74</v>
      </c>
      <c r="F154" t="s">
        <v>77</v>
      </c>
      <c r="G154" t="s">
        <v>76</v>
      </c>
      <c r="H154">
        <v>12</v>
      </c>
      <c r="I154">
        <v>1</v>
      </c>
      <c r="J154">
        <v>5</v>
      </c>
      <c r="K154">
        <v>7</v>
      </c>
      <c r="L154">
        <v>-2</v>
      </c>
      <c r="M154">
        <v>6</v>
      </c>
      <c r="N154">
        <v>7</v>
      </c>
      <c r="O154">
        <v>-1</v>
      </c>
      <c r="P154">
        <v>8</v>
      </c>
      <c r="Q154">
        <v>5</v>
      </c>
      <c r="R154">
        <v>3</v>
      </c>
      <c r="S154">
        <v>9</v>
      </c>
      <c r="T154">
        <v>7</v>
      </c>
      <c r="U154">
        <v>2</v>
      </c>
      <c r="V154">
        <v>8</v>
      </c>
      <c r="W154">
        <v>7</v>
      </c>
      <c r="X154">
        <v>1</v>
      </c>
      <c r="Y154">
        <v>7</v>
      </c>
      <c r="Z154">
        <v>7</v>
      </c>
      <c r="AA154">
        <v>0</v>
      </c>
      <c r="AB154">
        <v>6</v>
      </c>
      <c r="AC154">
        <v>7</v>
      </c>
      <c r="AD154">
        <v>-1</v>
      </c>
      <c r="AE154">
        <v>7</v>
      </c>
      <c r="AF154">
        <v>7</v>
      </c>
      <c r="AG154">
        <v>0</v>
      </c>
      <c r="AH154">
        <v>8</v>
      </c>
      <c r="AI154">
        <v>7</v>
      </c>
      <c r="AJ154">
        <v>1</v>
      </c>
      <c r="AK154" t="s">
        <v>1609</v>
      </c>
      <c r="AL154" t="s">
        <v>1610</v>
      </c>
      <c r="AM154" t="s">
        <v>1611</v>
      </c>
      <c r="AN154" t="s">
        <v>1612</v>
      </c>
      <c r="AO154" t="s">
        <v>1613</v>
      </c>
      <c r="AP154" t="s">
        <v>1614</v>
      </c>
      <c r="AQ154" t="s">
        <v>1615</v>
      </c>
      <c r="AR154" t="s">
        <v>1616</v>
      </c>
      <c r="AS154" t="s">
        <v>1617</v>
      </c>
    </row>
    <row r="155" spans="1:45" x14ac:dyDescent="0.45">
      <c r="A155">
        <v>154</v>
      </c>
      <c r="B155">
        <v>2179</v>
      </c>
      <c r="C155" t="s">
        <v>72</v>
      </c>
      <c r="D155" t="s">
        <v>81</v>
      </c>
      <c r="E155" t="s">
        <v>74</v>
      </c>
      <c r="F155" t="s">
        <v>77</v>
      </c>
      <c r="G155" t="s">
        <v>76</v>
      </c>
      <c r="H155">
        <v>12</v>
      </c>
      <c r="I155">
        <v>2</v>
      </c>
      <c r="J155">
        <v>8</v>
      </c>
      <c r="K155">
        <v>7</v>
      </c>
      <c r="L155">
        <v>1</v>
      </c>
      <c r="M155">
        <v>9</v>
      </c>
      <c r="N155">
        <v>8</v>
      </c>
      <c r="O155">
        <v>1</v>
      </c>
      <c r="P155">
        <v>9</v>
      </c>
      <c r="Q155">
        <v>8</v>
      </c>
      <c r="R155">
        <v>1</v>
      </c>
      <c r="S155">
        <v>8</v>
      </c>
      <c r="T155">
        <v>8</v>
      </c>
      <c r="U155">
        <v>0</v>
      </c>
      <c r="V155">
        <v>7</v>
      </c>
      <c r="W155">
        <v>6</v>
      </c>
      <c r="X155">
        <v>1</v>
      </c>
      <c r="Y155">
        <v>8</v>
      </c>
      <c r="Z155">
        <v>8</v>
      </c>
      <c r="AA155">
        <v>0</v>
      </c>
      <c r="AB155">
        <v>7</v>
      </c>
      <c r="AC155">
        <v>5</v>
      </c>
      <c r="AD155">
        <v>2</v>
      </c>
      <c r="AE155">
        <v>8</v>
      </c>
      <c r="AF155">
        <v>8</v>
      </c>
      <c r="AG155">
        <v>0</v>
      </c>
      <c r="AH155">
        <v>9</v>
      </c>
      <c r="AI155">
        <v>8</v>
      </c>
      <c r="AJ155">
        <v>1</v>
      </c>
      <c r="AK155" t="s">
        <v>1618</v>
      </c>
      <c r="AL155" t="s">
        <v>1619</v>
      </c>
      <c r="AM155" t="s">
        <v>1620</v>
      </c>
      <c r="AN155" t="s">
        <v>1621</v>
      </c>
      <c r="AO155" t="s">
        <v>1622</v>
      </c>
      <c r="AP155" t="s">
        <v>1623</v>
      </c>
      <c r="AQ155" t="s">
        <v>1624</v>
      </c>
      <c r="AR155" t="s">
        <v>1625</v>
      </c>
      <c r="AS155" t="s">
        <v>1626</v>
      </c>
    </row>
    <row r="156" spans="1:45" x14ac:dyDescent="0.45">
      <c r="A156">
        <v>155</v>
      </c>
      <c r="B156">
        <v>2180</v>
      </c>
      <c r="C156" t="s">
        <v>72</v>
      </c>
      <c r="D156" t="s">
        <v>73</v>
      </c>
      <c r="E156" t="s">
        <v>74</v>
      </c>
      <c r="F156" t="s">
        <v>75</v>
      </c>
      <c r="G156" t="s">
        <v>76</v>
      </c>
      <c r="H156">
        <v>52.748563270957902</v>
      </c>
      <c r="I156">
        <v>1</v>
      </c>
      <c r="J156">
        <v>5</v>
      </c>
      <c r="K156">
        <v>10</v>
      </c>
      <c r="L156">
        <v>-5</v>
      </c>
      <c r="M156">
        <v>6</v>
      </c>
      <c r="N156">
        <v>10</v>
      </c>
      <c r="O156">
        <v>-4</v>
      </c>
      <c r="P156">
        <v>7</v>
      </c>
      <c r="Q156">
        <v>10</v>
      </c>
      <c r="R156">
        <v>-3</v>
      </c>
      <c r="S156">
        <v>9</v>
      </c>
      <c r="T156">
        <v>10</v>
      </c>
      <c r="U156">
        <v>-1</v>
      </c>
      <c r="V156">
        <v>7</v>
      </c>
      <c r="W156">
        <v>10</v>
      </c>
      <c r="X156">
        <v>-3</v>
      </c>
      <c r="Y156">
        <v>9</v>
      </c>
      <c r="Z156">
        <v>10</v>
      </c>
      <c r="AA156">
        <v>-1</v>
      </c>
      <c r="AB156">
        <v>8</v>
      </c>
      <c r="AC156">
        <v>10</v>
      </c>
      <c r="AD156">
        <v>-2</v>
      </c>
      <c r="AE156">
        <v>7</v>
      </c>
      <c r="AF156">
        <v>10</v>
      </c>
      <c r="AG156">
        <v>-3</v>
      </c>
      <c r="AH156">
        <v>9</v>
      </c>
      <c r="AI156">
        <v>10</v>
      </c>
      <c r="AJ156">
        <v>-1</v>
      </c>
      <c r="AK156" t="s">
        <v>1627</v>
      </c>
      <c r="AL156" t="s">
        <v>1628</v>
      </c>
      <c r="AM156" t="s">
        <v>1629</v>
      </c>
      <c r="AN156" t="s">
        <v>1630</v>
      </c>
      <c r="AO156" t="s">
        <v>1631</v>
      </c>
      <c r="AP156" t="s">
        <v>1632</v>
      </c>
      <c r="AQ156" t="s">
        <v>1633</v>
      </c>
      <c r="AR156" t="s">
        <v>1634</v>
      </c>
      <c r="AS156" t="s">
        <v>1635</v>
      </c>
    </row>
    <row r="157" spans="1:45" x14ac:dyDescent="0.45">
      <c r="A157">
        <v>156</v>
      </c>
      <c r="B157">
        <v>2181</v>
      </c>
      <c r="C157" t="s">
        <v>72</v>
      </c>
      <c r="D157" t="s">
        <v>73</v>
      </c>
      <c r="E157" t="s">
        <v>74</v>
      </c>
      <c r="F157" t="s">
        <v>75</v>
      </c>
      <c r="G157" t="s">
        <v>76</v>
      </c>
      <c r="H157">
        <v>26.050707377876122</v>
      </c>
      <c r="I157">
        <v>1</v>
      </c>
      <c r="J157">
        <v>6</v>
      </c>
      <c r="K157">
        <v>10</v>
      </c>
      <c r="L157">
        <v>-4</v>
      </c>
      <c r="M157">
        <v>7</v>
      </c>
      <c r="N157">
        <v>10</v>
      </c>
      <c r="O157">
        <v>-3</v>
      </c>
      <c r="P157">
        <v>8</v>
      </c>
      <c r="Q157">
        <v>10</v>
      </c>
      <c r="R157">
        <v>-2</v>
      </c>
      <c r="S157">
        <v>9</v>
      </c>
      <c r="T157">
        <v>10</v>
      </c>
      <c r="U157">
        <v>-1</v>
      </c>
      <c r="V157">
        <v>8</v>
      </c>
      <c r="W157">
        <v>10</v>
      </c>
      <c r="X157">
        <v>-2</v>
      </c>
      <c r="Y157">
        <v>9</v>
      </c>
      <c r="Z157">
        <v>10</v>
      </c>
      <c r="AA157">
        <v>-1</v>
      </c>
      <c r="AB157">
        <v>8</v>
      </c>
      <c r="AC157">
        <v>10</v>
      </c>
      <c r="AD157">
        <v>-2</v>
      </c>
      <c r="AE157">
        <v>7</v>
      </c>
      <c r="AF157">
        <v>10</v>
      </c>
      <c r="AG157">
        <v>-3</v>
      </c>
      <c r="AH157">
        <v>9</v>
      </c>
      <c r="AI157">
        <v>10</v>
      </c>
      <c r="AJ157">
        <v>-1</v>
      </c>
      <c r="AK157" t="s">
        <v>222</v>
      </c>
      <c r="AL157" t="s">
        <v>1636</v>
      </c>
      <c r="AM157" t="s">
        <v>1637</v>
      </c>
      <c r="AN157" t="s">
        <v>1638</v>
      </c>
      <c r="AO157" t="s">
        <v>1639</v>
      </c>
      <c r="AP157" t="s">
        <v>1640</v>
      </c>
      <c r="AQ157" t="s">
        <v>1641</v>
      </c>
      <c r="AR157" t="s">
        <v>1642</v>
      </c>
      <c r="AS157" t="s">
        <v>1643</v>
      </c>
    </row>
    <row r="158" spans="1:45" x14ac:dyDescent="0.45">
      <c r="A158">
        <v>157</v>
      </c>
      <c r="B158">
        <v>2182</v>
      </c>
      <c r="C158" t="s">
        <v>78</v>
      </c>
      <c r="D158" t="s">
        <v>73</v>
      </c>
      <c r="E158" t="s">
        <v>74</v>
      </c>
      <c r="F158" t="s">
        <v>77</v>
      </c>
      <c r="G158" t="s">
        <v>76</v>
      </c>
      <c r="H158">
        <v>93.297236366051052</v>
      </c>
      <c r="I158">
        <v>4</v>
      </c>
      <c r="J158">
        <v>7</v>
      </c>
      <c r="K158">
        <v>10</v>
      </c>
      <c r="L158">
        <v>-3</v>
      </c>
      <c r="M158">
        <v>8</v>
      </c>
      <c r="N158">
        <v>10</v>
      </c>
      <c r="O158">
        <v>-2</v>
      </c>
      <c r="P158">
        <v>9</v>
      </c>
      <c r="Q158">
        <v>1</v>
      </c>
      <c r="R158">
        <v>8</v>
      </c>
      <c r="S158">
        <v>9</v>
      </c>
      <c r="T158">
        <v>10</v>
      </c>
      <c r="U158">
        <v>-1</v>
      </c>
      <c r="V158">
        <v>7</v>
      </c>
      <c r="W158">
        <v>1</v>
      </c>
      <c r="X158">
        <v>6</v>
      </c>
      <c r="Y158">
        <v>8</v>
      </c>
      <c r="Z158">
        <v>1</v>
      </c>
      <c r="AA158">
        <v>7</v>
      </c>
      <c r="AB158">
        <v>9</v>
      </c>
      <c r="AC158">
        <v>1</v>
      </c>
      <c r="AD158">
        <v>8</v>
      </c>
      <c r="AE158">
        <v>7</v>
      </c>
      <c r="AF158">
        <v>1</v>
      </c>
      <c r="AG158">
        <v>6</v>
      </c>
      <c r="AH158">
        <v>9</v>
      </c>
      <c r="AI158">
        <v>6</v>
      </c>
      <c r="AJ158">
        <v>3</v>
      </c>
      <c r="AK158" t="s">
        <v>1644</v>
      </c>
      <c r="AL158" t="s">
        <v>1645</v>
      </c>
      <c r="AM158" t="s">
        <v>1646</v>
      </c>
      <c r="AN158" t="s">
        <v>1647</v>
      </c>
      <c r="AO158" t="s">
        <v>1648</v>
      </c>
      <c r="AP158" t="s">
        <v>1649</v>
      </c>
      <c r="AQ158" t="s">
        <v>1650</v>
      </c>
      <c r="AR158" t="s">
        <v>1651</v>
      </c>
      <c r="AS158" t="s">
        <v>1652</v>
      </c>
    </row>
    <row r="159" spans="1:45" x14ac:dyDescent="0.45">
      <c r="A159">
        <v>158</v>
      </c>
      <c r="B159">
        <v>2183</v>
      </c>
      <c r="C159" t="s">
        <v>72</v>
      </c>
      <c r="D159" t="s">
        <v>73</v>
      </c>
      <c r="E159" t="s">
        <v>74</v>
      </c>
      <c r="F159" t="s">
        <v>77</v>
      </c>
      <c r="G159" t="s">
        <v>76</v>
      </c>
      <c r="H159">
        <v>74.740971459858514</v>
      </c>
      <c r="I159">
        <v>2</v>
      </c>
      <c r="J159">
        <v>5</v>
      </c>
      <c r="K159">
        <v>7</v>
      </c>
      <c r="L159">
        <v>-2</v>
      </c>
      <c r="M159">
        <v>6</v>
      </c>
      <c r="N159">
        <v>8</v>
      </c>
      <c r="O159">
        <v>-2</v>
      </c>
      <c r="P159">
        <v>8</v>
      </c>
      <c r="Q159">
        <v>6</v>
      </c>
      <c r="R159">
        <v>2</v>
      </c>
      <c r="S159">
        <v>9</v>
      </c>
      <c r="T159">
        <v>6</v>
      </c>
      <c r="U159">
        <v>3</v>
      </c>
      <c r="V159">
        <v>7</v>
      </c>
      <c r="W159">
        <v>7</v>
      </c>
      <c r="X159">
        <v>0</v>
      </c>
      <c r="Y159">
        <v>8</v>
      </c>
      <c r="Z159">
        <v>5</v>
      </c>
      <c r="AA159">
        <v>3</v>
      </c>
      <c r="AB159">
        <v>6</v>
      </c>
      <c r="AC159">
        <v>6</v>
      </c>
      <c r="AD159">
        <v>0</v>
      </c>
      <c r="AE159">
        <v>8</v>
      </c>
      <c r="AF159">
        <v>7</v>
      </c>
      <c r="AG159">
        <v>1</v>
      </c>
      <c r="AH159">
        <v>9</v>
      </c>
      <c r="AI159">
        <v>7</v>
      </c>
      <c r="AJ159">
        <v>2</v>
      </c>
      <c r="AK159" t="s">
        <v>1653</v>
      </c>
      <c r="AL159" t="s">
        <v>1654</v>
      </c>
      <c r="AM159" t="s">
        <v>1655</v>
      </c>
      <c r="AN159" t="s">
        <v>1656</v>
      </c>
      <c r="AO159" t="s">
        <v>1657</v>
      </c>
      <c r="AP159" t="s">
        <v>1658</v>
      </c>
      <c r="AQ159" t="s">
        <v>1659</v>
      </c>
      <c r="AR159" t="s">
        <v>1660</v>
      </c>
      <c r="AS159" t="s">
        <v>1661</v>
      </c>
    </row>
    <row r="160" spans="1:45" x14ac:dyDescent="0.45">
      <c r="A160">
        <v>159</v>
      </c>
      <c r="B160">
        <v>2184</v>
      </c>
      <c r="C160" t="s">
        <v>78</v>
      </c>
      <c r="D160" t="s">
        <v>79</v>
      </c>
      <c r="E160" t="s">
        <v>74</v>
      </c>
      <c r="F160" t="s">
        <v>77</v>
      </c>
      <c r="G160" t="s">
        <v>76</v>
      </c>
      <c r="H160">
        <v>36.948773906421572</v>
      </c>
      <c r="I160">
        <v>0</v>
      </c>
      <c r="J160">
        <v>8</v>
      </c>
      <c r="K160">
        <v>2</v>
      </c>
      <c r="L160">
        <v>6</v>
      </c>
      <c r="M160">
        <v>9</v>
      </c>
      <c r="N160">
        <v>7</v>
      </c>
      <c r="O160">
        <v>2</v>
      </c>
      <c r="P160">
        <v>7</v>
      </c>
      <c r="Q160">
        <v>10</v>
      </c>
      <c r="R160">
        <v>-3</v>
      </c>
      <c r="S160">
        <v>9</v>
      </c>
      <c r="T160">
        <v>2</v>
      </c>
      <c r="U160">
        <v>7</v>
      </c>
      <c r="V160">
        <v>8</v>
      </c>
      <c r="W160">
        <v>10</v>
      </c>
      <c r="X160">
        <v>-2</v>
      </c>
      <c r="Y160">
        <v>9</v>
      </c>
      <c r="Z160">
        <v>5</v>
      </c>
      <c r="AA160">
        <v>4</v>
      </c>
      <c r="AB160">
        <v>8</v>
      </c>
      <c r="AC160">
        <v>10</v>
      </c>
      <c r="AD160">
        <v>-2</v>
      </c>
      <c r="AE160">
        <v>9</v>
      </c>
      <c r="AF160">
        <v>3</v>
      </c>
      <c r="AG160">
        <v>6</v>
      </c>
      <c r="AH160">
        <v>10</v>
      </c>
      <c r="AI160">
        <v>3</v>
      </c>
      <c r="AJ160">
        <v>7</v>
      </c>
      <c r="AK160" t="s">
        <v>1662</v>
      </c>
      <c r="AL160" t="s">
        <v>1663</v>
      </c>
      <c r="AM160" t="s">
        <v>1664</v>
      </c>
      <c r="AN160" t="s">
        <v>1665</v>
      </c>
      <c r="AO160" t="s">
        <v>1666</v>
      </c>
      <c r="AP160" t="s">
        <v>1667</v>
      </c>
      <c r="AQ160" t="s">
        <v>1668</v>
      </c>
      <c r="AR160" t="s">
        <v>1669</v>
      </c>
      <c r="AS160" t="s">
        <v>1670</v>
      </c>
    </row>
    <row r="161" spans="1:45" x14ac:dyDescent="0.45">
      <c r="A161">
        <v>160</v>
      </c>
      <c r="B161">
        <v>2185</v>
      </c>
      <c r="C161" t="s">
        <v>72</v>
      </c>
      <c r="D161" t="s">
        <v>73</v>
      </c>
      <c r="E161" t="s">
        <v>74</v>
      </c>
      <c r="F161" t="s">
        <v>75</v>
      </c>
      <c r="G161" t="s">
        <v>76</v>
      </c>
      <c r="H161">
        <v>43.747207744892705</v>
      </c>
      <c r="I161">
        <v>0</v>
      </c>
      <c r="J161">
        <v>7</v>
      </c>
      <c r="K161">
        <v>9</v>
      </c>
      <c r="L161">
        <v>-2</v>
      </c>
      <c r="M161">
        <v>8</v>
      </c>
      <c r="N161">
        <v>9</v>
      </c>
      <c r="O161">
        <v>-1</v>
      </c>
      <c r="P161">
        <v>9</v>
      </c>
      <c r="Q161">
        <v>10</v>
      </c>
      <c r="R161">
        <v>-1</v>
      </c>
      <c r="S161">
        <v>9</v>
      </c>
      <c r="T161">
        <v>2</v>
      </c>
      <c r="U161">
        <v>7</v>
      </c>
      <c r="V161">
        <v>8</v>
      </c>
      <c r="W161">
        <v>9</v>
      </c>
      <c r="X161">
        <v>-1</v>
      </c>
      <c r="Y161">
        <v>9</v>
      </c>
      <c r="Z161">
        <v>9</v>
      </c>
      <c r="AA161">
        <v>0</v>
      </c>
      <c r="AB161">
        <v>8</v>
      </c>
      <c r="AC161">
        <v>6</v>
      </c>
      <c r="AD161">
        <v>2</v>
      </c>
      <c r="AE161">
        <v>7</v>
      </c>
      <c r="AF161">
        <v>8</v>
      </c>
      <c r="AG161">
        <v>-1</v>
      </c>
      <c r="AH161">
        <v>9</v>
      </c>
      <c r="AI161">
        <v>10</v>
      </c>
      <c r="AJ161">
        <v>-1</v>
      </c>
      <c r="AK161" t="s">
        <v>1671</v>
      </c>
      <c r="AL161" t="s">
        <v>1672</v>
      </c>
      <c r="AM161" t="s">
        <v>1673</v>
      </c>
      <c r="AN161" t="s">
        <v>1674</v>
      </c>
      <c r="AO161" t="s">
        <v>1675</v>
      </c>
      <c r="AP161" t="s">
        <v>1676</v>
      </c>
      <c r="AQ161" t="s">
        <v>1677</v>
      </c>
      <c r="AR161" t="s">
        <v>1678</v>
      </c>
      <c r="AS161" t="s">
        <v>1679</v>
      </c>
    </row>
    <row r="162" spans="1:45" x14ac:dyDescent="0.45">
      <c r="A162">
        <v>161</v>
      </c>
      <c r="B162">
        <v>2186</v>
      </c>
      <c r="C162" t="s">
        <v>72</v>
      </c>
      <c r="D162" t="s">
        <v>73</v>
      </c>
      <c r="E162" t="s">
        <v>74</v>
      </c>
      <c r="F162" t="s">
        <v>77</v>
      </c>
      <c r="G162" t="s">
        <v>76</v>
      </c>
      <c r="H162">
        <v>13.836921905190801</v>
      </c>
      <c r="I162">
        <v>0</v>
      </c>
      <c r="J162">
        <v>7</v>
      </c>
      <c r="K162">
        <v>7</v>
      </c>
      <c r="L162">
        <v>0</v>
      </c>
      <c r="M162">
        <v>8</v>
      </c>
      <c r="N162">
        <v>5</v>
      </c>
      <c r="O162">
        <v>3</v>
      </c>
      <c r="P162">
        <v>9</v>
      </c>
      <c r="Q162">
        <v>7</v>
      </c>
      <c r="R162">
        <v>2</v>
      </c>
      <c r="S162">
        <v>10</v>
      </c>
      <c r="T162">
        <v>5</v>
      </c>
      <c r="U162">
        <v>5</v>
      </c>
      <c r="V162">
        <v>7</v>
      </c>
      <c r="W162">
        <v>3</v>
      </c>
      <c r="X162">
        <v>4</v>
      </c>
      <c r="Y162">
        <v>9</v>
      </c>
      <c r="Z162">
        <v>4</v>
      </c>
      <c r="AA162">
        <v>5</v>
      </c>
      <c r="AB162">
        <v>7</v>
      </c>
      <c r="AC162">
        <v>1</v>
      </c>
      <c r="AD162">
        <v>6</v>
      </c>
      <c r="AE162">
        <v>8</v>
      </c>
      <c r="AF162">
        <v>5</v>
      </c>
      <c r="AG162">
        <v>3</v>
      </c>
      <c r="AH162">
        <v>9</v>
      </c>
      <c r="AI162">
        <v>5</v>
      </c>
      <c r="AJ162">
        <v>4</v>
      </c>
      <c r="AK162" t="s">
        <v>1680</v>
      </c>
      <c r="AL162" t="s">
        <v>1681</v>
      </c>
      <c r="AM162" t="s">
        <v>1682</v>
      </c>
      <c r="AN162" t="s">
        <v>1683</v>
      </c>
      <c r="AO162" t="s">
        <v>1684</v>
      </c>
      <c r="AP162" t="s">
        <v>1685</v>
      </c>
      <c r="AQ162" t="s">
        <v>1686</v>
      </c>
      <c r="AR162" t="s">
        <v>1687</v>
      </c>
      <c r="AS162" t="s">
        <v>1688</v>
      </c>
    </row>
    <row r="163" spans="1:45" x14ac:dyDescent="0.45">
      <c r="A163">
        <v>162</v>
      </c>
      <c r="B163">
        <v>2187</v>
      </c>
      <c r="C163" t="s">
        <v>72</v>
      </c>
      <c r="D163" t="s">
        <v>81</v>
      </c>
      <c r="E163" t="s">
        <v>74</v>
      </c>
      <c r="F163" t="s">
        <v>77</v>
      </c>
      <c r="G163" t="s">
        <v>76</v>
      </c>
      <c r="H163">
        <v>12</v>
      </c>
      <c r="I163">
        <v>0</v>
      </c>
      <c r="J163">
        <v>6</v>
      </c>
      <c r="K163">
        <v>3</v>
      </c>
      <c r="L163">
        <v>3</v>
      </c>
      <c r="M163">
        <v>7</v>
      </c>
      <c r="N163">
        <v>8</v>
      </c>
      <c r="O163">
        <v>-1</v>
      </c>
      <c r="P163">
        <v>9</v>
      </c>
      <c r="Q163">
        <v>4</v>
      </c>
      <c r="R163">
        <v>5</v>
      </c>
      <c r="S163">
        <v>10</v>
      </c>
      <c r="T163">
        <v>5</v>
      </c>
      <c r="U163">
        <v>5</v>
      </c>
      <c r="V163">
        <v>8</v>
      </c>
      <c r="W163">
        <v>5</v>
      </c>
      <c r="X163">
        <v>3</v>
      </c>
      <c r="Y163">
        <v>9</v>
      </c>
      <c r="Z163">
        <v>5</v>
      </c>
      <c r="AA163">
        <v>4</v>
      </c>
      <c r="AB163">
        <v>8</v>
      </c>
      <c r="AC163">
        <v>5</v>
      </c>
      <c r="AD163">
        <v>3</v>
      </c>
      <c r="AE163">
        <v>7</v>
      </c>
      <c r="AF163">
        <v>5</v>
      </c>
      <c r="AG163">
        <v>2</v>
      </c>
      <c r="AH163">
        <v>9</v>
      </c>
      <c r="AI163">
        <v>5</v>
      </c>
      <c r="AJ163">
        <v>4</v>
      </c>
      <c r="AK163" t="s">
        <v>1689</v>
      </c>
      <c r="AL163" t="s">
        <v>1690</v>
      </c>
      <c r="AM163" t="s">
        <v>1691</v>
      </c>
      <c r="AN163" t="s">
        <v>1692</v>
      </c>
      <c r="AO163" t="s">
        <v>1693</v>
      </c>
      <c r="AP163" t="s">
        <v>1694</v>
      </c>
      <c r="AQ163" t="s">
        <v>1695</v>
      </c>
      <c r="AR163" t="s">
        <v>1696</v>
      </c>
      <c r="AS163" t="s">
        <v>1697</v>
      </c>
    </row>
    <row r="164" spans="1:45" x14ac:dyDescent="0.45">
      <c r="A164">
        <v>163</v>
      </c>
      <c r="B164">
        <v>2188</v>
      </c>
      <c r="C164" t="s">
        <v>72</v>
      </c>
      <c r="D164" t="s">
        <v>81</v>
      </c>
      <c r="E164" t="s">
        <v>74</v>
      </c>
      <c r="F164" t="s">
        <v>77</v>
      </c>
      <c r="G164" t="s">
        <v>76</v>
      </c>
      <c r="H164">
        <v>12.688219564202335</v>
      </c>
      <c r="I164">
        <v>0</v>
      </c>
      <c r="J164">
        <v>9</v>
      </c>
      <c r="K164">
        <v>10</v>
      </c>
      <c r="L164">
        <v>-1</v>
      </c>
      <c r="M164">
        <v>8</v>
      </c>
      <c r="N164">
        <v>10</v>
      </c>
      <c r="O164">
        <v>-2</v>
      </c>
      <c r="P164">
        <v>9</v>
      </c>
      <c r="Q164">
        <v>10</v>
      </c>
      <c r="R164">
        <v>-1</v>
      </c>
      <c r="S164">
        <v>8</v>
      </c>
      <c r="T164">
        <v>10</v>
      </c>
      <c r="U164">
        <v>-2</v>
      </c>
      <c r="V164">
        <v>9</v>
      </c>
      <c r="W164">
        <v>10</v>
      </c>
      <c r="X164">
        <v>-1</v>
      </c>
      <c r="Y164">
        <v>8</v>
      </c>
      <c r="Z164">
        <v>10</v>
      </c>
      <c r="AA164">
        <v>-2</v>
      </c>
      <c r="AB164">
        <v>9</v>
      </c>
      <c r="AC164">
        <v>10</v>
      </c>
      <c r="AD164">
        <v>-1</v>
      </c>
      <c r="AE164">
        <v>8</v>
      </c>
      <c r="AF164">
        <v>10</v>
      </c>
      <c r="AG164">
        <v>-2</v>
      </c>
      <c r="AH164">
        <v>9</v>
      </c>
      <c r="AI164">
        <v>10</v>
      </c>
      <c r="AJ164">
        <v>-1</v>
      </c>
      <c r="AK164" t="s">
        <v>1698</v>
      </c>
      <c r="AL164" t="s">
        <v>1699</v>
      </c>
      <c r="AM164" t="s">
        <v>1700</v>
      </c>
      <c r="AN164" t="s">
        <v>1701</v>
      </c>
      <c r="AO164" t="s">
        <v>201</v>
      </c>
      <c r="AP164" t="s">
        <v>1702</v>
      </c>
      <c r="AQ164" t="s">
        <v>1703</v>
      </c>
      <c r="AR164" t="s">
        <v>1704</v>
      </c>
      <c r="AS164" t="s">
        <v>1705</v>
      </c>
    </row>
    <row r="165" spans="1:45" x14ac:dyDescent="0.45">
      <c r="A165">
        <v>164</v>
      </c>
      <c r="B165">
        <v>2189</v>
      </c>
      <c r="C165" t="s">
        <v>72</v>
      </c>
      <c r="D165" t="s">
        <v>79</v>
      </c>
      <c r="E165" t="s">
        <v>74</v>
      </c>
      <c r="F165" t="s">
        <v>77</v>
      </c>
      <c r="G165" t="s">
        <v>76</v>
      </c>
      <c r="H165">
        <v>38.104304331939581</v>
      </c>
      <c r="I165">
        <v>2</v>
      </c>
      <c r="J165">
        <v>5</v>
      </c>
      <c r="K165">
        <v>8</v>
      </c>
      <c r="L165">
        <v>-3</v>
      </c>
      <c r="M165">
        <v>7</v>
      </c>
      <c r="N165">
        <v>9</v>
      </c>
      <c r="O165">
        <v>-2</v>
      </c>
      <c r="P165">
        <v>9</v>
      </c>
      <c r="Q165">
        <v>9</v>
      </c>
      <c r="R165">
        <v>0</v>
      </c>
      <c r="S165">
        <v>8</v>
      </c>
      <c r="T165">
        <v>9</v>
      </c>
      <c r="U165">
        <v>-1</v>
      </c>
      <c r="V165">
        <v>6</v>
      </c>
      <c r="W165">
        <v>5</v>
      </c>
      <c r="X165">
        <v>1</v>
      </c>
      <c r="Y165">
        <v>9</v>
      </c>
      <c r="Z165">
        <v>7</v>
      </c>
      <c r="AA165">
        <v>2</v>
      </c>
      <c r="AB165">
        <v>8</v>
      </c>
      <c r="AC165">
        <v>5</v>
      </c>
      <c r="AD165">
        <v>3</v>
      </c>
      <c r="AE165">
        <v>7</v>
      </c>
      <c r="AF165">
        <v>7</v>
      </c>
      <c r="AG165">
        <v>0</v>
      </c>
      <c r="AH165">
        <v>8</v>
      </c>
      <c r="AI165">
        <v>7</v>
      </c>
      <c r="AJ165">
        <v>1</v>
      </c>
      <c r="AK165" t="s">
        <v>1706</v>
      </c>
      <c r="AL165" t="s">
        <v>1707</v>
      </c>
      <c r="AM165" t="s">
        <v>1708</v>
      </c>
      <c r="AN165" t="s">
        <v>1709</v>
      </c>
      <c r="AO165" t="s">
        <v>1710</v>
      </c>
      <c r="AP165" t="s">
        <v>1711</v>
      </c>
      <c r="AQ165" t="s">
        <v>1712</v>
      </c>
      <c r="AR165" t="s">
        <v>1713</v>
      </c>
      <c r="AS165" t="s">
        <v>1714</v>
      </c>
    </row>
    <row r="166" spans="1:45" x14ac:dyDescent="0.45">
      <c r="A166">
        <v>165</v>
      </c>
      <c r="B166">
        <v>2190</v>
      </c>
      <c r="C166" t="s">
        <v>72</v>
      </c>
      <c r="D166" t="s">
        <v>73</v>
      </c>
      <c r="E166" t="s">
        <v>74</v>
      </c>
      <c r="F166" t="s">
        <v>75</v>
      </c>
      <c r="G166" t="s">
        <v>76</v>
      </c>
      <c r="H166">
        <v>40.56640017996903</v>
      </c>
      <c r="I166">
        <v>0</v>
      </c>
      <c r="J166">
        <v>7</v>
      </c>
      <c r="K166">
        <v>5</v>
      </c>
      <c r="L166">
        <v>2</v>
      </c>
      <c r="M166">
        <v>6</v>
      </c>
      <c r="N166">
        <v>5</v>
      </c>
      <c r="O166">
        <v>1</v>
      </c>
      <c r="P166">
        <v>9</v>
      </c>
      <c r="Q166">
        <v>6</v>
      </c>
      <c r="R166">
        <v>3</v>
      </c>
      <c r="S166">
        <v>8</v>
      </c>
      <c r="T166">
        <v>6</v>
      </c>
      <c r="U166">
        <v>2</v>
      </c>
      <c r="V166">
        <v>7</v>
      </c>
      <c r="W166">
        <v>6</v>
      </c>
      <c r="X166">
        <v>1</v>
      </c>
      <c r="Y166">
        <v>9</v>
      </c>
      <c r="Z166">
        <v>6</v>
      </c>
      <c r="AA166">
        <v>3</v>
      </c>
      <c r="AB166">
        <v>7</v>
      </c>
      <c r="AC166">
        <v>5</v>
      </c>
      <c r="AD166">
        <v>2</v>
      </c>
      <c r="AE166">
        <v>6</v>
      </c>
      <c r="AF166">
        <v>7</v>
      </c>
      <c r="AG166">
        <v>-1</v>
      </c>
      <c r="AH166">
        <v>8</v>
      </c>
      <c r="AI166">
        <v>8</v>
      </c>
      <c r="AJ166">
        <v>0</v>
      </c>
      <c r="AK166" t="s">
        <v>1715</v>
      </c>
      <c r="AL166" t="s">
        <v>1716</v>
      </c>
      <c r="AM166" t="s">
        <v>1717</v>
      </c>
      <c r="AN166" t="s">
        <v>1718</v>
      </c>
      <c r="AO166" t="s">
        <v>1719</v>
      </c>
      <c r="AP166" t="s">
        <v>1720</v>
      </c>
      <c r="AQ166" t="s">
        <v>1721</v>
      </c>
      <c r="AR166" t="s">
        <v>1722</v>
      </c>
      <c r="AS166" t="s">
        <v>1723</v>
      </c>
    </row>
    <row r="167" spans="1:45" x14ac:dyDescent="0.45">
      <c r="A167">
        <v>166</v>
      </c>
      <c r="B167">
        <v>2191</v>
      </c>
      <c r="C167" t="s">
        <v>72</v>
      </c>
      <c r="D167" t="s">
        <v>73</v>
      </c>
      <c r="E167" t="s">
        <v>74</v>
      </c>
      <c r="F167" t="s">
        <v>75</v>
      </c>
      <c r="G167" t="s">
        <v>76</v>
      </c>
      <c r="H167">
        <v>35.989241593571307</v>
      </c>
      <c r="I167">
        <v>1</v>
      </c>
      <c r="J167">
        <v>8</v>
      </c>
      <c r="K167">
        <v>10</v>
      </c>
      <c r="L167">
        <v>-2</v>
      </c>
      <c r="M167">
        <v>9</v>
      </c>
      <c r="N167">
        <v>8</v>
      </c>
      <c r="O167">
        <v>1</v>
      </c>
      <c r="P167">
        <v>9</v>
      </c>
      <c r="Q167">
        <v>10</v>
      </c>
      <c r="R167">
        <v>-1</v>
      </c>
      <c r="S167">
        <v>9</v>
      </c>
      <c r="T167">
        <v>10</v>
      </c>
      <c r="U167">
        <v>-1</v>
      </c>
      <c r="V167">
        <v>8</v>
      </c>
      <c r="W167">
        <v>10</v>
      </c>
      <c r="X167">
        <v>-2</v>
      </c>
      <c r="Y167">
        <v>9</v>
      </c>
      <c r="Z167">
        <v>10</v>
      </c>
      <c r="AA167">
        <v>-1</v>
      </c>
      <c r="AB167">
        <v>8</v>
      </c>
      <c r="AC167">
        <v>10</v>
      </c>
      <c r="AD167">
        <v>-2</v>
      </c>
      <c r="AE167">
        <v>9</v>
      </c>
      <c r="AF167">
        <v>10</v>
      </c>
      <c r="AG167">
        <v>-1</v>
      </c>
      <c r="AH167">
        <v>8</v>
      </c>
      <c r="AI167">
        <v>8</v>
      </c>
      <c r="AJ167">
        <v>0</v>
      </c>
      <c r="AK167" t="s">
        <v>1724</v>
      </c>
      <c r="AL167" t="s">
        <v>1725</v>
      </c>
      <c r="AM167" t="s">
        <v>1726</v>
      </c>
      <c r="AN167" t="s">
        <v>264</v>
      </c>
      <c r="AO167" t="s">
        <v>1727</v>
      </c>
      <c r="AP167" t="s">
        <v>1728</v>
      </c>
      <c r="AQ167" t="s">
        <v>1729</v>
      </c>
      <c r="AR167" t="s">
        <v>1730</v>
      </c>
      <c r="AS167" t="s">
        <v>1731</v>
      </c>
    </row>
    <row r="168" spans="1:45" x14ac:dyDescent="0.45">
      <c r="A168">
        <v>167</v>
      </c>
      <c r="B168">
        <v>2192</v>
      </c>
      <c r="C168" t="s">
        <v>78</v>
      </c>
      <c r="D168" t="s">
        <v>73</v>
      </c>
      <c r="E168" t="s">
        <v>74</v>
      </c>
      <c r="F168" t="s">
        <v>75</v>
      </c>
      <c r="G168" t="s">
        <v>76</v>
      </c>
      <c r="H168">
        <v>77.321595157775064</v>
      </c>
      <c r="I168">
        <v>0</v>
      </c>
      <c r="J168">
        <v>8</v>
      </c>
      <c r="K168">
        <v>5</v>
      </c>
      <c r="L168">
        <v>3</v>
      </c>
      <c r="M168">
        <v>7</v>
      </c>
      <c r="N168">
        <v>8</v>
      </c>
      <c r="O168">
        <v>-1</v>
      </c>
      <c r="P168">
        <v>9</v>
      </c>
      <c r="Q168">
        <v>5</v>
      </c>
      <c r="R168">
        <v>4</v>
      </c>
      <c r="S168">
        <v>8</v>
      </c>
      <c r="T168">
        <v>8</v>
      </c>
      <c r="U168">
        <v>0</v>
      </c>
      <c r="V168">
        <v>9</v>
      </c>
      <c r="W168">
        <v>4</v>
      </c>
      <c r="X168">
        <v>5</v>
      </c>
      <c r="Y168">
        <v>8</v>
      </c>
      <c r="Z168">
        <v>5</v>
      </c>
      <c r="AA168">
        <v>3</v>
      </c>
      <c r="AB168">
        <v>9</v>
      </c>
      <c r="AC168">
        <v>1</v>
      </c>
      <c r="AD168">
        <v>8</v>
      </c>
      <c r="AE168">
        <v>8</v>
      </c>
      <c r="AF168">
        <v>5</v>
      </c>
      <c r="AG168">
        <v>3</v>
      </c>
      <c r="AH168">
        <v>9</v>
      </c>
      <c r="AI168">
        <v>5</v>
      </c>
      <c r="AJ168">
        <v>4</v>
      </c>
      <c r="AK168" t="s">
        <v>1732</v>
      </c>
      <c r="AL168" t="s">
        <v>1733</v>
      </c>
      <c r="AM168" t="s">
        <v>1734</v>
      </c>
      <c r="AN168" t="s">
        <v>1735</v>
      </c>
      <c r="AO168" t="s">
        <v>1736</v>
      </c>
      <c r="AP168" t="s">
        <v>1737</v>
      </c>
      <c r="AQ168" t="s">
        <v>1738</v>
      </c>
      <c r="AR168" t="s">
        <v>1739</v>
      </c>
      <c r="AS168" t="s">
        <v>1740</v>
      </c>
    </row>
    <row r="169" spans="1:45" x14ac:dyDescent="0.45">
      <c r="A169">
        <v>168</v>
      </c>
      <c r="B169">
        <v>2193</v>
      </c>
      <c r="C169" t="s">
        <v>72</v>
      </c>
      <c r="D169" t="s">
        <v>81</v>
      </c>
      <c r="E169" t="s">
        <v>74</v>
      </c>
      <c r="F169" t="s">
        <v>77</v>
      </c>
      <c r="G169" t="s">
        <v>76</v>
      </c>
      <c r="H169">
        <v>20.557301222785071</v>
      </c>
      <c r="I169">
        <v>0</v>
      </c>
      <c r="J169">
        <v>7</v>
      </c>
      <c r="K169">
        <v>7</v>
      </c>
      <c r="L169">
        <v>0</v>
      </c>
      <c r="M169">
        <v>8</v>
      </c>
      <c r="N169">
        <v>7</v>
      </c>
      <c r="O169">
        <v>1</v>
      </c>
      <c r="P169">
        <v>6</v>
      </c>
      <c r="Q169">
        <v>8</v>
      </c>
      <c r="R169">
        <v>-2</v>
      </c>
      <c r="S169">
        <v>9</v>
      </c>
      <c r="T169">
        <v>8</v>
      </c>
      <c r="U169">
        <v>1</v>
      </c>
      <c r="V169">
        <v>7</v>
      </c>
      <c r="W169">
        <v>7</v>
      </c>
      <c r="X169">
        <v>0</v>
      </c>
      <c r="Y169">
        <v>8</v>
      </c>
      <c r="Z169">
        <v>8</v>
      </c>
      <c r="AA169">
        <v>0</v>
      </c>
      <c r="AB169">
        <v>7</v>
      </c>
      <c r="AC169">
        <v>8</v>
      </c>
      <c r="AD169">
        <v>-1</v>
      </c>
      <c r="AE169">
        <v>6</v>
      </c>
      <c r="AF169">
        <v>8</v>
      </c>
      <c r="AG169">
        <v>-2</v>
      </c>
      <c r="AH169">
        <v>8</v>
      </c>
      <c r="AI169">
        <v>9</v>
      </c>
      <c r="AJ169">
        <v>-1</v>
      </c>
      <c r="AK169" t="s">
        <v>1741</v>
      </c>
      <c r="AL169" t="s">
        <v>1742</v>
      </c>
      <c r="AM169" t="s">
        <v>1743</v>
      </c>
      <c r="AN169" t="s">
        <v>1744</v>
      </c>
      <c r="AO169" t="s">
        <v>1745</v>
      </c>
      <c r="AP169" t="s">
        <v>1746</v>
      </c>
      <c r="AQ169" t="s">
        <v>1747</v>
      </c>
      <c r="AR169" t="s">
        <v>1748</v>
      </c>
      <c r="AS169" t="s">
        <v>1749</v>
      </c>
    </row>
    <row r="170" spans="1:45" x14ac:dyDescent="0.45">
      <c r="A170">
        <v>169</v>
      </c>
      <c r="B170">
        <v>2194</v>
      </c>
      <c r="C170" t="s">
        <v>78</v>
      </c>
      <c r="D170" t="s">
        <v>79</v>
      </c>
      <c r="E170" t="s">
        <v>74</v>
      </c>
      <c r="F170" t="s">
        <v>77</v>
      </c>
      <c r="G170" t="s">
        <v>76</v>
      </c>
      <c r="H170">
        <v>39.051620371938974</v>
      </c>
      <c r="I170">
        <v>0</v>
      </c>
      <c r="J170">
        <v>8</v>
      </c>
      <c r="K170">
        <v>8</v>
      </c>
      <c r="L170">
        <v>0</v>
      </c>
      <c r="M170">
        <v>9</v>
      </c>
      <c r="N170">
        <v>8</v>
      </c>
      <c r="O170">
        <v>1</v>
      </c>
      <c r="P170">
        <v>9</v>
      </c>
      <c r="Q170">
        <v>7</v>
      </c>
      <c r="R170">
        <v>2</v>
      </c>
      <c r="S170">
        <v>8</v>
      </c>
      <c r="T170">
        <v>8</v>
      </c>
      <c r="U170">
        <v>0</v>
      </c>
      <c r="V170">
        <v>9</v>
      </c>
      <c r="W170">
        <v>7</v>
      </c>
      <c r="X170">
        <v>2</v>
      </c>
      <c r="Y170">
        <v>8</v>
      </c>
      <c r="Z170">
        <v>7</v>
      </c>
      <c r="AA170">
        <v>1</v>
      </c>
      <c r="AB170">
        <v>9</v>
      </c>
      <c r="AC170">
        <v>7</v>
      </c>
      <c r="AD170">
        <v>2</v>
      </c>
      <c r="AE170">
        <v>8</v>
      </c>
      <c r="AF170">
        <v>8</v>
      </c>
      <c r="AG170">
        <v>0</v>
      </c>
      <c r="AH170">
        <v>9</v>
      </c>
      <c r="AI170">
        <v>8</v>
      </c>
      <c r="AJ170">
        <v>1</v>
      </c>
      <c r="AK170" t="s">
        <v>1750</v>
      </c>
      <c r="AL170" t="s">
        <v>1751</v>
      </c>
      <c r="AM170" t="s">
        <v>1752</v>
      </c>
      <c r="AN170" t="s">
        <v>1753</v>
      </c>
      <c r="AO170" t="s">
        <v>1754</v>
      </c>
      <c r="AP170" t="s">
        <v>1755</v>
      </c>
      <c r="AQ170" t="s">
        <v>1756</v>
      </c>
      <c r="AR170" t="s">
        <v>1757</v>
      </c>
      <c r="AS170" t="s">
        <v>1758</v>
      </c>
    </row>
    <row r="171" spans="1:45" x14ac:dyDescent="0.45">
      <c r="A171">
        <v>170</v>
      </c>
      <c r="B171">
        <v>2195</v>
      </c>
      <c r="C171" t="s">
        <v>78</v>
      </c>
      <c r="D171" t="s">
        <v>81</v>
      </c>
      <c r="E171" t="s">
        <v>74</v>
      </c>
      <c r="F171" t="s">
        <v>77</v>
      </c>
      <c r="G171" t="s">
        <v>162</v>
      </c>
      <c r="H171">
        <v>15.138012185357109</v>
      </c>
      <c r="I171">
        <v>0</v>
      </c>
      <c r="J171">
        <v>6</v>
      </c>
      <c r="K171">
        <v>5</v>
      </c>
      <c r="L171">
        <v>1</v>
      </c>
      <c r="M171">
        <v>7</v>
      </c>
      <c r="N171">
        <v>8</v>
      </c>
      <c r="O171">
        <v>-1</v>
      </c>
      <c r="P171">
        <v>8</v>
      </c>
      <c r="Q171">
        <v>7</v>
      </c>
      <c r="R171">
        <v>1</v>
      </c>
      <c r="S171">
        <v>9</v>
      </c>
      <c r="T171">
        <v>8</v>
      </c>
      <c r="U171">
        <v>1</v>
      </c>
      <c r="V171">
        <v>7</v>
      </c>
      <c r="W171">
        <v>1</v>
      </c>
      <c r="X171">
        <v>6</v>
      </c>
      <c r="Y171">
        <v>8</v>
      </c>
      <c r="Z171">
        <v>2</v>
      </c>
      <c r="AA171">
        <v>6</v>
      </c>
      <c r="AB171">
        <v>7</v>
      </c>
      <c r="AC171">
        <v>3</v>
      </c>
      <c r="AD171">
        <v>4</v>
      </c>
      <c r="AE171">
        <v>8</v>
      </c>
      <c r="AF171">
        <v>3</v>
      </c>
      <c r="AG171">
        <v>5</v>
      </c>
      <c r="AH171">
        <v>9</v>
      </c>
      <c r="AI171">
        <v>7</v>
      </c>
      <c r="AJ171">
        <v>2</v>
      </c>
      <c r="AK171" t="s">
        <v>1759</v>
      </c>
      <c r="AL171" t="s">
        <v>1760</v>
      </c>
      <c r="AM171" t="s">
        <v>1761</v>
      </c>
      <c r="AN171" t="s">
        <v>1762</v>
      </c>
      <c r="AO171" t="s">
        <v>1763</v>
      </c>
      <c r="AP171" t="s">
        <v>1764</v>
      </c>
      <c r="AQ171" t="s">
        <v>1765</v>
      </c>
      <c r="AR171" t="s">
        <v>1766</v>
      </c>
      <c r="AS171" t="s">
        <v>1767</v>
      </c>
    </row>
    <row r="172" spans="1:45" x14ac:dyDescent="0.45">
      <c r="A172">
        <v>171</v>
      </c>
      <c r="B172">
        <v>2196</v>
      </c>
      <c r="C172" t="s">
        <v>78</v>
      </c>
      <c r="D172" t="s">
        <v>189</v>
      </c>
      <c r="E172" t="s">
        <v>74</v>
      </c>
      <c r="F172" t="s">
        <v>77</v>
      </c>
      <c r="G172" t="s">
        <v>76</v>
      </c>
      <c r="H172">
        <v>12</v>
      </c>
      <c r="I172">
        <v>0</v>
      </c>
      <c r="J172">
        <v>7</v>
      </c>
      <c r="K172">
        <v>6</v>
      </c>
      <c r="L172">
        <v>1</v>
      </c>
      <c r="M172">
        <v>8</v>
      </c>
      <c r="N172">
        <v>7</v>
      </c>
      <c r="O172">
        <v>1</v>
      </c>
      <c r="P172">
        <v>9</v>
      </c>
      <c r="Q172">
        <v>5</v>
      </c>
      <c r="R172">
        <v>4</v>
      </c>
      <c r="S172">
        <v>10</v>
      </c>
      <c r="T172">
        <v>7</v>
      </c>
      <c r="U172">
        <v>3</v>
      </c>
      <c r="V172">
        <v>7</v>
      </c>
      <c r="W172">
        <v>7</v>
      </c>
      <c r="X172">
        <v>0</v>
      </c>
      <c r="Y172">
        <v>9</v>
      </c>
      <c r="Z172">
        <v>7</v>
      </c>
      <c r="AA172">
        <v>2</v>
      </c>
      <c r="AB172">
        <v>8</v>
      </c>
      <c r="AC172">
        <v>5</v>
      </c>
      <c r="AD172">
        <v>3</v>
      </c>
      <c r="AE172">
        <v>9</v>
      </c>
      <c r="AF172">
        <v>7</v>
      </c>
      <c r="AG172">
        <v>2</v>
      </c>
      <c r="AH172">
        <v>10</v>
      </c>
      <c r="AI172">
        <v>7</v>
      </c>
      <c r="AJ172">
        <v>3</v>
      </c>
      <c r="AK172" t="s">
        <v>1768</v>
      </c>
      <c r="AL172" t="s">
        <v>1769</v>
      </c>
      <c r="AM172" t="s">
        <v>1770</v>
      </c>
      <c r="AN172" t="s">
        <v>1771</v>
      </c>
      <c r="AO172" t="s">
        <v>1772</v>
      </c>
      <c r="AP172" t="s">
        <v>1773</v>
      </c>
      <c r="AQ172" t="s">
        <v>1774</v>
      </c>
      <c r="AR172" t="s">
        <v>1775</v>
      </c>
      <c r="AS172" t="s">
        <v>1776</v>
      </c>
    </row>
    <row r="173" spans="1:45" x14ac:dyDescent="0.45">
      <c r="A173">
        <v>172</v>
      </c>
      <c r="B173">
        <v>2197</v>
      </c>
      <c r="C173" t="s">
        <v>78</v>
      </c>
      <c r="D173" t="s">
        <v>192</v>
      </c>
      <c r="E173" t="s">
        <v>74</v>
      </c>
      <c r="F173" t="s">
        <v>75</v>
      </c>
      <c r="G173" t="s">
        <v>76</v>
      </c>
      <c r="H173">
        <v>188.41791865277463</v>
      </c>
      <c r="I173">
        <v>4</v>
      </c>
      <c r="J173">
        <v>6</v>
      </c>
      <c r="K173">
        <v>8</v>
      </c>
      <c r="L173">
        <v>-2</v>
      </c>
      <c r="M173">
        <v>8</v>
      </c>
      <c r="N173">
        <v>8</v>
      </c>
      <c r="O173">
        <v>0</v>
      </c>
      <c r="P173">
        <v>9</v>
      </c>
      <c r="Q173">
        <v>8</v>
      </c>
      <c r="R173">
        <v>1</v>
      </c>
      <c r="S173">
        <v>8</v>
      </c>
      <c r="T173">
        <v>9</v>
      </c>
      <c r="U173">
        <v>-1</v>
      </c>
      <c r="V173">
        <v>7</v>
      </c>
      <c r="W173">
        <v>9</v>
      </c>
      <c r="X173">
        <v>-2</v>
      </c>
      <c r="Y173">
        <v>9</v>
      </c>
      <c r="Z173">
        <v>5</v>
      </c>
      <c r="AA173">
        <v>4</v>
      </c>
      <c r="AB173">
        <v>8</v>
      </c>
      <c r="AC173">
        <v>5</v>
      </c>
      <c r="AD173">
        <v>3</v>
      </c>
      <c r="AE173">
        <v>7</v>
      </c>
      <c r="AF173">
        <v>8</v>
      </c>
      <c r="AG173">
        <v>-1</v>
      </c>
      <c r="AH173">
        <v>9</v>
      </c>
      <c r="AI173">
        <v>6</v>
      </c>
      <c r="AJ173">
        <v>3</v>
      </c>
      <c r="AK173" t="s">
        <v>1777</v>
      </c>
      <c r="AL173" t="s">
        <v>1778</v>
      </c>
      <c r="AM173" t="s">
        <v>1779</v>
      </c>
      <c r="AN173" t="s">
        <v>1780</v>
      </c>
      <c r="AO173" t="s">
        <v>1781</v>
      </c>
      <c r="AP173" t="s">
        <v>1782</v>
      </c>
      <c r="AQ173" t="s">
        <v>1783</v>
      </c>
      <c r="AR173" t="s">
        <v>1784</v>
      </c>
      <c r="AS173" t="s">
        <v>1785</v>
      </c>
    </row>
    <row r="174" spans="1:45" x14ac:dyDescent="0.45">
      <c r="A174">
        <v>173</v>
      </c>
      <c r="B174">
        <v>2198</v>
      </c>
      <c r="C174" t="s">
        <v>72</v>
      </c>
      <c r="D174" t="s">
        <v>79</v>
      </c>
      <c r="E174" t="s">
        <v>74</v>
      </c>
      <c r="F174" t="s">
        <v>77</v>
      </c>
      <c r="G174" t="s">
        <v>76</v>
      </c>
      <c r="H174">
        <v>100.48932860121602</v>
      </c>
      <c r="I174">
        <v>3</v>
      </c>
      <c r="J174">
        <v>7</v>
      </c>
      <c r="K174">
        <v>5</v>
      </c>
      <c r="L174">
        <v>2</v>
      </c>
      <c r="M174">
        <v>8</v>
      </c>
      <c r="N174">
        <v>5</v>
      </c>
      <c r="O174">
        <v>3</v>
      </c>
      <c r="P174">
        <v>7</v>
      </c>
      <c r="Q174">
        <v>4</v>
      </c>
      <c r="R174">
        <v>3</v>
      </c>
      <c r="S174">
        <v>9</v>
      </c>
      <c r="T174">
        <v>6</v>
      </c>
      <c r="U174">
        <v>3</v>
      </c>
      <c r="V174">
        <v>8</v>
      </c>
      <c r="W174">
        <v>5</v>
      </c>
      <c r="X174">
        <v>3</v>
      </c>
      <c r="Y174">
        <v>9</v>
      </c>
      <c r="Z174">
        <v>4</v>
      </c>
      <c r="AA174">
        <v>5</v>
      </c>
      <c r="AB174">
        <v>7</v>
      </c>
      <c r="AC174">
        <v>4</v>
      </c>
      <c r="AD174">
        <v>3</v>
      </c>
      <c r="AE174">
        <v>8</v>
      </c>
      <c r="AF174">
        <v>5</v>
      </c>
      <c r="AG174">
        <v>3</v>
      </c>
      <c r="AH174">
        <v>9</v>
      </c>
      <c r="AI174">
        <v>5</v>
      </c>
      <c r="AJ174">
        <v>4</v>
      </c>
      <c r="AK174" t="s">
        <v>1786</v>
      </c>
      <c r="AL174" t="s">
        <v>1787</v>
      </c>
      <c r="AM174" t="s">
        <v>1788</v>
      </c>
      <c r="AN174" t="s">
        <v>1789</v>
      </c>
      <c r="AO174" t="s">
        <v>1790</v>
      </c>
      <c r="AP174" t="s">
        <v>1791</v>
      </c>
      <c r="AQ174" t="s">
        <v>1792</v>
      </c>
      <c r="AR174" t="s">
        <v>1793</v>
      </c>
      <c r="AS174" t="s">
        <v>1794</v>
      </c>
    </row>
    <row r="175" spans="1:45" x14ac:dyDescent="0.45">
      <c r="A175">
        <v>174</v>
      </c>
      <c r="B175">
        <v>2199</v>
      </c>
      <c r="C175" t="s">
        <v>72</v>
      </c>
      <c r="D175" t="s">
        <v>81</v>
      </c>
      <c r="E175" t="s">
        <v>74</v>
      </c>
      <c r="F175" t="s">
        <v>77</v>
      </c>
      <c r="G175" t="s">
        <v>76</v>
      </c>
      <c r="H175">
        <v>43.547367865424363</v>
      </c>
      <c r="I175">
        <v>1</v>
      </c>
      <c r="J175">
        <v>6</v>
      </c>
      <c r="K175">
        <v>6</v>
      </c>
      <c r="L175">
        <v>0</v>
      </c>
      <c r="M175">
        <v>7</v>
      </c>
      <c r="N175">
        <v>6</v>
      </c>
      <c r="O175">
        <v>1</v>
      </c>
      <c r="P175">
        <v>8</v>
      </c>
      <c r="Q175">
        <v>6</v>
      </c>
      <c r="R175">
        <v>2</v>
      </c>
      <c r="S175">
        <v>9</v>
      </c>
      <c r="T175">
        <v>6</v>
      </c>
      <c r="U175">
        <v>3</v>
      </c>
      <c r="V175">
        <v>7</v>
      </c>
      <c r="W175">
        <v>7</v>
      </c>
      <c r="X175">
        <v>0</v>
      </c>
      <c r="Y175">
        <v>9</v>
      </c>
      <c r="Z175">
        <v>7</v>
      </c>
      <c r="AA175">
        <v>2</v>
      </c>
      <c r="AB175">
        <v>8</v>
      </c>
      <c r="AC175">
        <v>5</v>
      </c>
      <c r="AD175">
        <v>3</v>
      </c>
      <c r="AE175">
        <v>7</v>
      </c>
      <c r="AF175">
        <v>7</v>
      </c>
      <c r="AG175">
        <v>0</v>
      </c>
      <c r="AH175">
        <v>9</v>
      </c>
      <c r="AI175">
        <v>6</v>
      </c>
      <c r="AJ175">
        <v>3</v>
      </c>
      <c r="AK175" t="s">
        <v>1795</v>
      </c>
      <c r="AL175" t="s">
        <v>1796</v>
      </c>
      <c r="AM175" t="s">
        <v>1797</v>
      </c>
      <c r="AN175" t="s">
        <v>1798</v>
      </c>
      <c r="AO175" t="s">
        <v>1799</v>
      </c>
      <c r="AP175" t="s">
        <v>1800</v>
      </c>
      <c r="AQ175" t="s">
        <v>1801</v>
      </c>
      <c r="AR175" t="s">
        <v>1802</v>
      </c>
      <c r="AS175" t="s">
        <v>1803</v>
      </c>
    </row>
    <row r="176" spans="1:45" x14ac:dyDescent="0.45">
      <c r="A176">
        <v>175</v>
      </c>
      <c r="B176">
        <v>2200</v>
      </c>
      <c r="C176" t="s">
        <v>72</v>
      </c>
      <c r="D176" t="s">
        <v>192</v>
      </c>
      <c r="E176" t="s">
        <v>74</v>
      </c>
      <c r="F176" t="s">
        <v>75</v>
      </c>
      <c r="G176" t="s">
        <v>76</v>
      </c>
      <c r="H176">
        <v>204.86008664032727</v>
      </c>
      <c r="I176">
        <v>3</v>
      </c>
      <c r="J176">
        <v>8</v>
      </c>
      <c r="K176">
        <v>4</v>
      </c>
      <c r="L176">
        <v>4</v>
      </c>
      <c r="M176">
        <v>10</v>
      </c>
      <c r="N176">
        <v>5</v>
      </c>
      <c r="O176">
        <v>5</v>
      </c>
      <c r="P176">
        <v>9</v>
      </c>
      <c r="Q176">
        <v>4</v>
      </c>
      <c r="R176">
        <v>5</v>
      </c>
      <c r="S176">
        <v>10</v>
      </c>
      <c r="T176">
        <v>6</v>
      </c>
      <c r="U176">
        <v>4</v>
      </c>
      <c r="V176">
        <v>9</v>
      </c>
      <c r="W176">
        <v>4</v>
      </c>
      <c r="X176">
        <v>5</v>
      </c>
      <c r="Y176">
        <v>8</v>
      </c>
      <c r="Z176">
        <v>4</v>
      </c>
      <c r="AA176">
        <v>4</v>
      </c>
      <c r="AB176">
        <v>9</v>
      </c>
      <c r="AC176">
        <v>4</v>
      </c>
      <c r="AD176">
        <v>5</v>
      </c>
      <c r="AE176">
        <v>8</v>
      </c>
      <c r="AF176">
        <v>5</v>
      </c>
      <c r="AG176">
        <v>3</v>
      </c>
      <c r="AH176">
        <v>9</v>
      </c>
      <c r="AI176">
        <v>4</v>
      </c>
      <c r="AJ176">
        <v>5</v>
      </c>
      <c r="AK176" t="s">
        <v>1804</v>
      </c>
      <c r="AL176" t="s">
        <v>1805</v>
      </c>
      <c r="AM176" t="s">
        <v>1806</v>
      </c>
      <c r="AN176" t="s">
        <v>1807</v>
      </c>
      <c r="AO176" t="s">
        <v>1808</v>
      </c>
      <c r="AP176" t="s">
        <v>1809</v>
      </c>
      <c r="AQ176" t="s">
        <v>1810</v>
      </c>
      <c r="AR176" t="s">
        <v>1811</v>
      </c>
      <c r="AS176" t="s">
        <v>1812</v>
      </c>
    </row>
    <row r="177" spans="1:45" x14ac:dyDescent="0.45">
      <c r="A177">
        <v>176</v>
      </c>
      <c r="B177">
        <v>2201</v>
      </c>
      <c r="C177" t="s">
        <v>72</v>
      </c>
      <c r="D177" t="s">
        <v>194</v>
      </c>
      <c r="E177" t="s">
        <v>80</v>
      </c>
      <c r="F177" t="s">
        <v>75</v>
      </c>
      <c r="G177" t="s">
        <v>76</v>
      </c>
      <c r="H177">
        <v>210.65034564725966</v>
      </c>
      <c r="I177">
        <v>0</v>
      </c>
      <c r="J177">
        <v>5</v>
      </c>
      <c r="K177">
        <v>2</v>
      </c>
      <c r="L177">
        <v>3</v>
      </c>
      <c r="M177">
        <v>4</v>
      </c>
      <c r="N177">
        <v>4</v>
      </c>
      <c r="O177">
        <v>0</v>
      </c>
      <c r="P177">
        <v>7</v>
      </c>
      <c r="Q177">
        <v>3</v>
      </c>
      <c r="R177">
        <v>4</v>
      </c>
      <c r="S177">
        <v>8</v>
      </c>
      <c r="T177">
        <v>5</v>
      </c>
      <c r="U177">
        <v>3</v>
      </c>
      <c r="V177">
        <v>6</v>
      </c>
      <c r="W177">
        <v>4</v>
      </c>
      <c r="X177">
        <v>2</v>
      </c>
      <c r="Y177">
        <v>9</v>
      </c>
      <c r="Z177">
        <v>1</v>
      </c>
      <c r="AA177">
        <v>8</v>
      </c>
      <c r="AB177">
        <v>6</v>
      </c>
      <c r="AC177">
        <v>1</v>
      </c>
      <c r="AD177">
        <v>5</v>
      </c>
      <c r="AE177">
        <v>8</v>
      </c>
      <c r="AF177">
        <v>4</v>
      </c>
      <c r="AG177">
        <v>4</v>
      </c>
      <c r="AH177">
        <v>7</v>
      </c>
      <c r="AI177">
        <v>4</v>
      </c>
      <c r="AJ177">
        <v>3</v>
      </c>
      <c r="AK177" t="s">
        <v>1813</v>
      </c>
      <c r="AL177" t="s">
        <v>1814</v>
      </c>
      <c r="AM177" t="s">
        <v>1815</v>
      </c>
      <c r="AN177" t="s">
        <v>1816</v>
      </c>
      <c r="AO177" t="s">
        <v>1817</v>
      </c>
      <c r="AP177" t="s">
        <v>1818</v>
      </c>
      <c r="AQ177" t="s">
        <v>1819</v>
      </c>
      <c r="AR177" t="s">
        <v>1820</v>
      </c>
      <c r="AS177" t="s">
        <v>1821</v>
      </c>
    </row>
    <row r="178" spans="1:45" x14ac:dyDescent="0.45">
      <c r="A178">
        <v>177</v>
      </c>
      <c r="B178">
        <v>2202</v>
      </c>
      <c r="C178" t="s">
        <v>72</v>
      </c>
      <c r="D178" t="s">
        <v>192</v>
      </c>
      <c r="E178" t="s">
        <v>74</v>
      </c>
      <c r="F178" t="s">
        <v>75</v>
      </c>
      <c r="G178" t="s">
        <v>76</v>
      </c>
      <c r="H178">
        <v>91.932530903322956</v>
      </c>
      <c r="I178">
        <v>2</v>
      </c>
      <c r="J178">
        <v>8</v>
      </c>
      <c r="K178">
        <v>4</v>
      </c>
      <c r="L178">
        <v>4</v>
      </c>
      <c r="M178">
        <v>7</v>
      </c>
      <c r="N178">
        <v>4</v>
      </c>
      <c r="O178">
        <v>3</v>
      </c>
      <c r="P178">
        <v>9</v>
      </c>
      <c r="Q178">
        <v>3</v>
      </c>
      <c r="R178">
        <v>6</v>
      </c>
      <c r="S178">
        <v>8</v>
      </c>
      <c r="T178">
        <v>5</v>
      </c>
      <c r="U178">
        <v>3</v>
      </c>
      <c r="V178">
        <v>9</v>
      </c>
      <c r="W178">
        <v>3</v>
      </c>
      <c r="X178">
        <v>6</v>
      </c>
      <c r="Y178">
        <v>8</v>
      </c>
      <c r="Z178">
        <v>2</v>
      </c>
      <c r="AA178">
        <v>6</v>
      </c>
      <c r="AB178">
        <v>9</v>
      </c>
      <c r="AC178">
        <v>1</v>
      </c>
      <c r="AD178">
        <v>8</v>
      </c>
      <c r="AE178">
        <v>8</v>
      </c>
      <c r="AF178">
        <v>1</v>
      </c>
      <c r="AG178">
        <v>7</v>
      </c>
      <c r="AH178">
        <v>9</v>
      </c>
      <c r="AI178">
        <v>1</v>
      </c>
      <c r="AJ178">
        <v>8</v>
      </c>
      <c r="AK178" t="s">
        <v>1822</v>
      </c>
      <c r="AL178" t="s">
        <v>1823</v>
      </c>
      <c r="AM178" t="s">
        <v>1824</v>
      </c>
      <c r="AN178" t="s">
        <v>1825</v>
      </c>
      <c r="AO178" t="s">
        <v>1826</v>
      </c>
      <c r="AP178" t="s">
        <v>1827</v>
      </c>
      <c r="AQ178" t="s">
        <v>1828</v>
      </c>
      <c r="AR178" t="s">
        <v>1829</v>
      </c>
      <c r="AS178" t="s">
        <v>1830</v>
      </c>
    </row>
    <row r="179" spans="1:45" x14ac:dyDescent="0.45">
      <c r="A179">
        <v>178</v>
      </c>
      <c r="B179">
        <v>2203</v>
      </c>
      <c r="C179" t="s">
        <v>72</v>
      </c>
      <c r="D179" t="s">
        <v>194</v>
      </c>
      <c r="E179" t="s">
        <v>74</v>
      </c>
      <c r="F179" t="s">
        <v>77</v>
      </c>
      <c r="G179" t="s">
        <v>76</v>
      </c>
      <c r="H179">
        <v>36.618279209320391</v>
      </c>
      <c r="I179">
        <v>4</v>
      </c>
      <c r="J179">
        <v>8</v>
      </c>
      <c r="K179">
        <v>6</v>
      </c>
      <c r="L179">
        <v>2</v>
      </c>
      <c r="M179">
        <v>7</v>
      </c>
      <c r="N179">
        <v>7</v>
      </c>
      <c r="O179">
        <v>0</v>
      </c>
      <c r="P179">
        <v>9</v>
      </c>
      <c r="Q179">
        <v>6</v>
      </c>
      <c r="R179">
        <v>3</v>
      </c>
      <c r="S179">
        <v>9</v>
      </c>
      <c r="T179">
        <v>6</v>
      </c>
      <c r="U179">
        <v>3</v>
      </c>
      <c r="V179">
        <v>8</v>
      </c>
      <c r="W179">
        <v>6</v>
      </c>
      <c r="X179">
        <v>2</v>
      </c>
      <c r="Y179">
        <v>9</v>
      </c>
      <c r="Z179">
        <v>7</v>
      </c>
      <c r="AA179">
        <v>2</v>
      </c>
      <c r="AB179">
        <v>8</v>
      </c>
      <c r="AC179">
        <v>5</v>
      </c>
      <c r="AD179">
        <v>3</v>
      </c>
      <c r="AE179">
        <v>7</v>
      </c>
      <c r="AF179">
        <v>6</v>
      </c>
      <c r="AG179">
        <v>1</v>
      </c>
      <c r="AH179">
        <v>9</v>
      </c>
      <c r="AI179">
        <v>7</v>
      </c>
      <c r="AJ179">
        <v>2</v>
      </c>
      <c r="AK179" t="s">
        <v>1831</v>
      </c>
      <c r="AL179" t="s">
        <v>1832</v>
      </c>
      <c r="AM179" t="s">
        <v>1833</v>
      </c>
      <c r="AN179" t="s">
        <v>1834</v>
      </c>
      <c r="AO179" t="s">
        <v>1835</v>
      </c>
      <c r="AP179" t="s">
        <v>1836</v>
      </c>
      <c r="AQ179" t="s">
        <v>1837</v>
      </c>
      <c r="AR179" t="s">
        <v>1838</v>
      </c>
      <c r="AS179" t="s">
        <v>1839</v>
      </c>
    </row>
    <row r="180" spans="1:45" x14ac:dyDescent="0.45">
      <c r="A180">
        <v>179</v>
      </c>
      <c r="B180">
        <v>2204</v>
      </c>
      <c r="C180" t="s">
        <v>72</v>
      </c>
      <c r="D180" t="s">
        <v>73</v>
      </c>
      <c r="E180" t="s">
        <v>74</v>
      </c>
      <c r="F180" t="s">
        <v>75</v>
      </c>
      <c r="G180" t="s">
        <v>76</v>
      </c>
      <c r="H180">
        <v>29.4035575735934</v>
      </c>
      <c r="I180">
        <v>1</v>
      </c>
      <c r="J180">
        <v>7</v>
      </c>
      <c r="K180">
        <v>7</v>
      </c>
      <c r="L180">
        <v>0</v>
      </c>
      <c r="M180">
        <v>6</v>
      </c>
      <c r="N180">
        <v>7</v>
      </c>
      <c r="O180">
        <v>-1</v>
      </c>
      <c r="P180">
        <v>9</v>
      </c>
      <c r="Q180">
        <v>7</v>
      </c>
      <c r="R180">
        <v>2</v>
      </c>
      <c r="S180">
        <v>10</v>
      </c>
      <c r="T180">
        <v>8</v>
      </c>
      <c r="U180">
        <v>2</v>
      </c>
      <c r="V180">
        <v>8</v>
      </c>
      <c r="W180">
        <v>7</v>
      </c>
      <c r="X180">
        <v>1</v>
      </c>
      <c r="Y180">
        <v>9</v>
      </c>
      <c r="Z180">
        <v>8</v>
      </c>
      <c r="AA180">
        <v>1</v>
      </c>
      <c r="AB180">
        <v>8</v>
      </c>
      <c r="AC180">
        <v>7</v>
      </c>
      <c r="AD180">
        <v>1</v>
      </c>
      <c r="AE180">
        <v>9</v>
      </c>
      <c r="AF180">
        <v>7</v>
      </c>
      <c r="AG180">
        <v>2</v>
      </c>
      <c r="AH180">
        <v>10</v>
      </c>
      <c r="AI180">
        <v>8</v>
      </c>
      <c r="AJ180">
        <v>2</v>
      </c>
      <c r="AK180" t="s">
        <v>1840</v>
      </c>
      <c r="AL180" t="s">
        <v>1841</v>
      </c>
      <c r="AM180" t="s">
        <v>1842</v>
      </c>
      <c r="AN180" t="s">
        <v>1843</v>
      </c>
      <c r="AO180" t="s">
        <v>1844</v>
      </c>
      <c r="AP180" t="s">
        <v>1845</v>
      </c>
      <c r="AQ180" t="s">
        <v>1846</v>
      </c>
      <c r="AR180" t="s">
        <v>1847</v>
      </c>
      <c r="AS180" t="s">
        <v>1848</v>
      </c>
    </row>
    <row r="181" spans="1:45" x14ac:dyDescent="0.45">
      <c r="A181">
        <v>180</v>
      </c>
      <c r="B181">
        <v>2205</v>
      </c>
      <c r="C181" t="s">
        <v>72</v>
      </c>
      <c r="D181" t="s">
        <v>79</v>
      </c>
      <c r="E181" t="s">
        <v>74</v>
      </c>
      <c r="F181" t="s">
        <v>77</v>
      </c>
      <c r="G181" t="s">
        <v>76</v>
      </c>
      <c r="H181">
        <v>57.563251372229828</v>
      </c>
      <c r="I181">
        <v>1</v>
      </c>
      <c r="J181">
        <v>8</v>
      </c>
      <c r="K181">
        <v>5</v>
      </c>
      <c r="L181">
        <v>3</v>
      </c>
      <c r="M181">
        <v>9</v>
      </c>
      <c r="N181">
        <v>5</v>
      </c>
      <c r="O181">
        <v>4</v>
      </c>
      <c r="P181">
        <v>7</v>
      </c>
      <c r="Q181">
        <v>5</v>
      </c>
      <c r="R181">
        <v>2</v>
      </c>
      <c r="S181">
        <v>8</v>
      </c>
      <c r="T181">
        <v>7</v>
      </c>
      <c r="U181">
        <v>1</v>
      </c>
      <c r="V181">
        <v>9</v>
      </c>
      <c r="W181">
        <v>5</v>
      </c>
      <c r="X181">
        <v>4</v>
      </c>
      <c r="Y181">
        <v>9</v>
      </c>
      <c r="Z181">
        <v>6</v>
      </c>
      <c r="AA181">
        <v>3</v>
      </c>
      <c r="AB181">
        <v>8</v>
      </c>
      <c r="AC181">
        <v>5</v>
      </c>
      <c r="AD181">
        <v>3</v>
      </c>
      <c r="AE181">
        <v>9</v>
      </c>
      <c r="AF181">
        <v>7</v>
      </c>
      <c r="AG181">
        <v>2</v>
      </c>
      <c r="AH181">
        <v>9</v>
      </c>
      <c r="AI181">
        <v>7</v>
      </c>
      <c r="AJ181">
        <v>2</v>
      </c>
      <c r="AK181" t="s">
        <v>1849</v>
      </c>
      <c r="AL181" t="s">
        <v>1850</v>
      </c>
      <c r="AM181" t="s">
        <v>1851</v>
      </c>
      <c r="AN181" t="s">
        <v>1852</v>
      </c>
      <c r="AO181" t="s">
        <v>1853</v>
      </c>
      <c r="AP181" t="s">
        <v>1854</v>
      </c>
      <c r="AQ181" t="s">
        <v>1855</v>
      </c>
      <c r="AR181" t="s">
        <v>1856</v>
      </c>
      <c r="AS181" t="s">
        <v>1857</v>
      </c>
    </row>
    <row r="182" spans="1:45" x14ac:dyDescent="0.45">
      <c r="A182">
        <v>181</v>
      </c>
      <c r="B182">
        <v>2206</v>
      </c>
      <c r="C182" t="s">
        <v>72</v>
      </c>
      <c r="D182" t="s">
        <v>73</v>
      </c>
      <c r="E182" t="s">
        <v>74</v>
      </c>
      <c r="F182" t="s">
        <v>75</v>
      </c>
      <c r="G182" t="s">
        <v>76</v>
      </c>
      <c r="H182">
        <v>61.161980058425847</v>
      </c>
      <c r="I182">
        <v>2</v>
      </c>
      <c r="J182">
        <v>6</v>
      </c>
      <c r="K182">
        <v>6</v>
      </c>
      <c r="L182">
        <v>0</v>
      </c>
      <c r="M182">
        <v>6</v>
      </c>
      <c r="N182">
        <v>7</v>
      </c>
      <c r="O182">
        <v>-1</v>
      </c>
      <c r="P182">
        <v>8</v>
      </c>
      <c r="Q182">
        <v>7</v>
      </c>
      <c r="R182">
        <v>1</v>
      </c>
      <c r="S182">
        <v>7</v>
      </c>
      <c r="T182">
        <v>8</v>
      </c>
      <c r="U182">
        <v>-1</v>
      </c>
      <c r="V182">
        <v>7</v>
      </c>
      <c r="W182">
        <v>8</v>
      </c>
      <c r="X182">
        <v>-1</v>
      </c>
      <c r="Y182">
        <v>9</v>
      </c>
      <c r="Z182">
        <v>7</v>
      </c>
      <c r="AA182">
        <v>2</v>
      </c>
      <c r="AB182">
        <v>7</v>
      </c>
      <c r="AC182">
        <v>5</v>
      </c>
      <c r="AD182">
        <v>2</v>
      </c>
      <c r="AE182">
        <v>8</v>
      </c>
      <c r="AF182">
        <v>7</v>
      </c>
      <c r="AG182">
        <v>1</v>
      </c>
      <c r="AH182">
        <v>9</v>
      </c>
      <c r="AI182">
        <v>7</v>
      </c>
      <c r="AJ182">
        <v>2</v>
      </c>
      <c r="AK182" t="s">
        <v>1858</v>
      </c>
      <c r="AL182" t="s">
        <v>1859</v>
      </c>
      <c r="AM182" t="s">
        <v>1860</v>
      </c>
      <c r="AN182" t="s">
        <v>1861</v>
      </c>
      <c r="AO182" t="s">
        <v>1862</v>
      </c>
      <c r="AP182" t="s">
        <v>1863</v>
      </c>
      <c r="AQ182" t="s">
        <v>1864</v>
      </c>
      <c r="AR182" t="s">
        <v>1865</v>
      </c>
      <c r="AS182" t="s">
        <v>1866</v>
      </c>
    </row>
    <row r="183" spans="1:45" x14ac:dyDescent="0.45">
      <c r="A183">
        <v>182</v>
      </c>
      <c r="B183">
        <v>2207</v>
      </c>
      <c r="C183" t="s">
        <v>72</v>
      </c>
      <c r="D183" t="s">
        <v>81</v>
      </c>
      <c r="E183" t="s">
        <v>74</v>
      </c>
      <c r="F183" t="s">
        <v>77</v>
      </c>
      <c r="G183" t="s">
        <v>76</v>
      </c>
      <c r="H183">
        <v>28.244939358367787</v>
      </c>
      <c r="I183">
        <v>0</v>
      </c>
      <c r="J183">
        <v>7</v>
      </c>
      <c r="K183">
        <v>8</v>
      </c>
      <c r="L183">
        <v>-1</v>
      </c>
      <c r="M183">
        <v>8</v>
      </c>
      <c r="N183">
        <v>8</v>
      </c>
      <c r="O183">
        <v>0</v>
      </c>
      <c r="P183">
        <v>9</v>
      </c>
      <c r="Q183">
        <v>5</v>
      </c>
      <c r="R183">
        <v>4</v>
      </c>
      <c r="S183">
        <v>8</v>
      </c>
      <c r="T183">
        <v>8</v>
      </c>
      <c r="U183">
        <v>0</v>
      </c>
      <c r="V183">
        <v>7</v>
      </c>
      <c r="W183">
        <v>6</v>
      </c>
      <c r="X183">
        <v>1</v>
      </c>
      <c r="Y183">
        <v>9</v>
      </c>
      <c r="Z183">
        <v>8</v>
      </c>
      <c r="AA183">
        <v>1</v>
      </c>
      <c r="AB183">
        <v>8</v>
      </c>
      <c r="AC183">
        <v>6</v>
      </c>
      <c r="AD183">
        <v>2</v>
      </c>
      <c r="AE183">
        <v>9</v>
      </c>
      <c r="AF183">
        <v>7</v>
      </c>
      <c r="AG183">
        <v>2</v>
      </c>
      <c r="AH183">
        <v>8</v>
      </c>
      <c r="AI183">
        <v>7</v>
      </c>
      <c r="AJ183">
        <v>1</v>
      </c>
      <c r="AK183" t="s">
        <v>1867</v>
      </c>
      <c r="AL183" t="s">
        <v>1868</v>
      </c>
      <c r="AM183" t="s">
        <v>1869</v>
      </c>
      <c r="AN183" t="s">
        <v>1870</v>
      </c>
      <c r="AO183" t="s">
        <v>1871</v>
      </c>
      <c r="AP183" t="s">
        <v>1872</v>
      </c>
      <c r="AQ183" t="s">
        <v>1873</v>
      </c>
      <c r="AR183" t="s">
        <v>1874</v>
      </c>
      <c r="AS183" t="s">
        <v>1875</v>
      </c>
    </row>
    <row r="184" spans="1:45" x14ac:dyDescent="0.45">
      <c r="A184">
        <v>183</v>
      </c>
      <c r="B184">
        <v>2208</v>
      </c>
      <c r="C184" t="s">
        <v>78</v>
      </c>
      <c r="D184" t="s">
        <v>194</v>
      </c>
      <c r="E184" t="s">
        <v>74</v>
      </c>
      <c r="F184" t="s">
        <v>75</v>
      </c>
      <c r="G184" t="s">
        <v>76</v>
      </c>
      <c r="H184">
        <v>223.60694142834305</v>
      </c>
      <c r="I184">
        <v>3</v>
      </c>
      <c r="J184">
        <v>7</v>
      </c>
      <c r="K184">
        <v>2</v>
      </c>
      <c r="L184">
        <v>5</v>
      </c>
      <c r="M184">
        <v>7</v>
      </c>
      <c r="N184">
        <v>5</v>
      </c>
      <c r="O184">
        <v>2</v>
      </c>
      <c r="P184">
        <v>8</v>
      </c>
      <c r="Q184">
        <v>3</v>
      </c>
      <c r="R184">
        <v>5</v>
      </c>
      <c r="S184">
        <v>8</v>
      </c>
      <c r="T184">
        <v>5</v>
      </c>
      <c r="U184">
        <v>3</v>
      </c>
      <c r="V184">
        <v>7</v>
      </c>
      <c r="W184">
        <v>3</v>
      </c>
      <c r="X184">
        <v>4</v>
      </c>
      <c r="Y184">
        <v>8</v>
      </c>
      <c r="Z184">
        <v>2</v>
      </c>
      <c r="AA184">
        <v>6</v>
      </c>
      <c r="AB184">
        <v>7</v>
      </c>
      <c r="AC184">
        <v>1</v>
      </c>
      <c r="AD184">
        <v>6</v>
      </c>
      <c r="AE184">
        <v>8</v>
      </c>
      <c r="AF184">
        <v>5</v>
      </c>
      <c r="AG184">
        <v>3</v>
      </c>
      <c r="AH184">
        <v>8</v>
      </c>
      <c r="AI184">
        <v>5</v>
      </c>
      <c r="AJ184">
        <v>3</v>
      </c>
      <c r="AK184" t="s">
        <v>1876</v>
      </c>
      <c r="AL184" t="s">
        <v>1877</v>
      </c>
      <c r="AM184" t="s">
        <v>1878</v>
      </c>
      <c r="AN184" t="s">
        <v>1879</v>
      </c>
      <c r="AO184" t="s">
        <v>1880</v>
      </c>
      <c r="AP184" t="s">
        <v>1881</v>
      </c>
      <c r="AQ184" t="s">
        <v>1882</v>
      </c>
      <c r="AR184" t="s">
        <v>1883</v>
      </c>
      <c r="AS184" t="s">
        <v>1884</v>
      </c>
    </row>
    <row r="185" spans="1:45" x14ac:dyDescent="0.45">
      <c r="A185">
        <v>184</v>
      </c>
      <c r="B185">
        <v>2209</v>
      </c>
      <c r="C185" t="s">
        <v>78</v>
      </c>
      <c r="D185" t="s">
        <v>189</v>
      </c>
      <c r="E185" t="s">
        <v>74</v>
      </c>
      <c r="F185" t="s">
        <v>77</v>
      </c>
      <c r="G185" t="s">
        <v>76</v>
      </c>
      <c r="H185">
        <v>13.590698473914165</v>
      </c>
      <c r="I185">
        <v>0</v>
      </c>
      <c r="J185">
        <v>7</v>
      </c>
      <c r="K185">
        <v>6</v>
      </c>
      <c r="L185">
        <v>1</v>
      </c>
      <c r="M185">
        <v>6</v>
      </c>
      <c r="N185">
        <v>6</v>
      </c>
      <c r="O185">
        <v>0</v>
      </c>
      <c r="P185">
        <v>9</v>
      </c>
      <c r="Q185">
        <v>5</v>
      </c>
      <c r="R185">
        <v>4</v>
      </c>
      <c r="S185">
        <v>8</v>
      </c>
      <c r="T185">
        <v>9</v>
      </c>
      <c r="U185">
        <v>-1</v>
      </c>
      <c r="V185">
        <v>9</v>
      </c>
      <c r="W185">
        <v>7</v>
      </c>
      <c r="X185">
        <v>2</v>
      </c>
      <c r="Y185">
        <v>8</v>
      </c>
      <c r="Z185">
        <v>8</v>
      </c>
      <c r="AA185">
        <v>0</v>
      </c>
      <c r="AB185">
        <v>9</v>
      </c>
      <c r="AC185">
        <v>5</v>
      </c>
      <c r="AD185">
        <v>4</v>
      </c>
      <c r="AE185">
        <v>7</v>
      </c>
      <c r="AF185">
        <v>7</v>
      </c>
      <c r="AG185">
        <v>0</v>
      </c>
      <c r="AH185">
        <v>9</v>
      </c>
      <c r="AI185">
        <v>7</v>
      </c>
      <c r="AJ185">
        <v>2</v>
      </c>
      <c r="AK185" t="s">
        <v>1885</v>
      </c>
      <c r="AL185" t="s">
        <v>1886</v>
      </c>
      <c r="AM185" t="s">
        <v>1887</v>
      </c>
      <c r="AN185" t="s">
        <v>1888</v>
      </c>
      <c r="AO185" t="s">
        <v>1889</v>
      </c>
      <c r="AP185" t="s">
        <v>1890</v>
      </c>
      <c r="AQ185" t="s">
        <v>1891</v>
      </c>
      <c r="AR185" t="s">
        <v>1892</v>
      </c>
      <c r="AS185" t="s">
        <v>1893</v>
      </c>
    </row>
    <row r="186" spans="1:45" x14ac:dyDescent="0.45">
      <c r="A186">
        <v>185</v>
      </c>
      <c r="B186">
        <v>2210</v>
      </c>
      <c r="C186" t="s">
        <v>72</v>
      </c>
      <c r="D186" t="s">
        <v>79</v>
      </c>
      <c r="E186" t="s">
        <v>80</v>
      </c>
      <c r="F186" t="s">
        <v>77</v>
      </c>
      <c r="G186" t="s">
        <v>162</v>
      </c>
      <c r="H186">
        <v>43.499319405292795</v>
      </c>
      <c r="I186">
        <v>3</v>
      </c>
      <c r="J186">
        <v>9</v>
      </c>
      <c r="K186">
        <v>7</v>
      </c>
      <c r="L186">
        <v>2</v>
      </c>
      <c r="M186">
        <v>9</v>
      </c>
      <c r="N186">
        <v>7</v>
      </c>
      <c r="O186">
        <v>2</v>
      </c>
      <c r="P186">
        <v>8</v>
      </c>
      <c r="Q186">
        <v>6</v>
      </c>
      <c r="R186">
        <v>2</v>
      </c>
      <c r="S186">
        <v>9</v>
      </c>
      <c r="T186">
        <v>8</v>
      </c>
      <c r="U186">
        <v>1</v>
      </c>
      <c r="V186">
        <v>8</v>
      </c>
      <c r="W186">
        <v>5</v>
      </c>
      <c r="X186">
        <v>3</v>
      </c>
      <c r="Y186">
        <v>9</v>
      </c>
      <c r="Z186">
        <v>5</v>
      </c>
      <c r="AA186">
        <v>4</v>
      </c>
      <c r="AB186">
        <v>8</v>
      </c>
      <c r="AC186">
        <v>5</v>
      </c>
      <c r="AD186">
        <v>3</v>
      </c>
      <c r="AE186">
        <v>9</v>
      </c>
      <c r="AF186">
        <v>6</v>
      </c>
      <c r="AG186">
        <v>3</v>
      </c>
      <c r="AH186">
        <v>8</v>
      </c>
      <c r="AI186">
        <v>5</v>
      </c>
      <c r="AJ186">
        <v>3</v>
      </c>
      <c r="AK186" t="s">
        <v>1894</v>
      </c>
      <c r="AL186" t="s">
        <v>1895</v>
      </c>
      <c r="AM186" t="s">
        <v>1896</v>
      </c>
      <c r="AN186" t="s">
        <v>1897</v>
      </c>
      <c r="AO186" t="s">
        <v>1898</v>
      </c>
      <c r="AP186" t="s">
        <v>1899</v>
      </c>
      <c r="AQ186" t="s">
        <v>1900</v>
      </c>
      <c r="AR186" t="s">
        <v>1901</v>
      </c>
      <c r="AS186" t="s">
        <v>1902</v>
      </c>
    </row>
    <row r="187" spans="1:45" x14ac:dyDescent="0.45">
      <c r="A187">
        <v>186</v>
      </c>
      <c r="B187">
        <v>2211</v>
      </c>
      <c r="C187" t="s">
        <v>72</v>
      </c>
      <c r="D187" t="s">
        <v>194</v>
      </c>
      <c r="E187" t="s">
        <v>74</v>
      </c>
      <c r="F187" t="s">
        <v>77</v>
      </c>
      <c r="G187" t="s">
        <v>162</v>
      </c>
      <c r="H187">
        <v>15.882232999897195</v>
      </c>
      <c r="I187">
        <v>0</v>
      </c>
      <c r="J187">
        <v>6</v>
      </c>
      <c r="K187">
        <v>7</v>
      </c>
      <c r="L187">
        <v>-1</v>
      </c>
      <c r="M187">
        <v>6</v>
      </c>
      <c r="N187">
        <v>7</v>
      </c>
      <c r="O187">
        <v>-1</v>
      </c>
      <c r="P187">
        <v>8</v>
      </c>
      <c r="Q187">
        <v>5</v>
      </c>
      <c r="R187">
        <v>3</v>
      </c>
      <c r="S187">
        <v>7</v>
      </c>
      <c r="T187">
        <v>7</v>
      </c>
      <c r="U187">
        <v>0</v>
      </c>
      <c r="V187">
        <v>5</v>
      </c>
      <c r="W187">
        <v>5</v>
      </c>
      <c r="X187">
        <v>0</v>
      </c>
      <c r="Y187">
        <v>9</v>
      </c>
      <c r="Z187">
        <v>5</v>
      </c>
      <c r="AA187">
        <v>4</v>
      </c>
      <c r="AB187">
        <v>8</v>
      </c>
      <c r="AC187">
        <v>5</v>
      </c>
      <c r="AD187">
        <v>3</v>
      </c>
      <c r="AE187">
        <v>6</v>
      </c>
      <c r="AF187">
        <v>5</v>
      </c>
      <c r="AG187">
        <v>1</v>
      </c>
      <c r="AH187">
        <v>9</v>
      </c>
      <c r="AI187">
        <v>6</v>
      </c>
      <c r="AJ187">
        <v>3</v>
      </c>
      <c r="AK187" t="s">
        <v>1903</v>
      </c>
      <c r="AL187" t="s">
        <v>1904</v>
      </c>
      <c r="AM187" t="s">
        <v>1905</v>
      </c>
      <c r="AN187" t="s">
        <v>1906</v>
      </c>
      <c r="AO187" t="s">
        <v>1907</v>
      </c>
      <c r="AP187" t="s">
        <v>1908</v>
      </c>
      <c r="AQ187" t="s">
        <v>190</v>
      </c>
      <c r="AR187" t="s">
        <v>1909</v>
      </c>
      <c r="AS187" t="s">
        <v>1910</v>
      </c>
    </row>
    <row r="188" spans="1:45" x14ac:dyDescent="0.45">
      <c r="A188">
        <v>187</v>
      </c>
      <c r="B188">
        <v>2212</v>
      </c>
      <c r="C188" t="s">
        <v>78</v>
      </c>
      <c r="D188" t="s">
        <v>79</v>
      </c>
      <c r="E188" t="s">
        <v>74</v>
      </c>
      <c r="F188" t="s">
        <v>75</v>
      </c>
      <c r="G188" t="s">
        <v>76</v>
      </c>
      <c r="H188">
        <v>44.141240573551528</v>
      </c>
      <c r="I188">
        <v>2</v>
      </c>
      <c r="J188">
        <v>7</v>
      </c>
      <c r="K188">
        <v>6</v>
      </c>
      <c r="L188">
        <v>1</v>
      </c>
      <c r="M188">
        <v>8</v>
      </c>
      <c r="N188">
        <v>7</v>
      </c>
      <c r="O188">
        <v>1</v>
      </c>
      <c r="P188">
        <v>7</v>
      </c>
      <c r="Q188">
        <v>6</v>
      </c>
      <c r="R188">
        <v>1</v>
      </c>
      <c r="S188">
        <v>9</v>
      </c>
      <c r="T188">
        <v>7</v>
      </c>
      <c r="U188">
        <v>2</v>
      </c>
      <c r="V188">
        <v>6</v>
      </c>
      <c r="W188">
        <v>6</v>
      </c>
      <c r="X188">
        <v>0</v>
      </c>
      <c r="Y188">
        <v>8</v>
      </c>
      <c r="Z188">
        <v>6</v>
      </c>
      <c r="AA188">
        <v>2</v>
      </c>
      <c r="AB188">
        <v>6</v>
      </c>
      <c r="AC188">
        <v>5</v>
      </c>
      <c r="AD188">
        <v>1</v>
      </c>
      <c r="AE188">
        <v>7</v>
      </c>
      <c r="AF188">
        <v>5</v>
      </c>
      <c r="AG188">
        <v>2</v>
      </c>
      <c r="AH188">
        <v>8</v>
      </c>
      <c r="AI188">
        <v>6</v>
      </c>
      <c r="AJ188">
        <v>2</v>
      </c>
      <c r="AK188" t="s">
        <v>1911</v>
      </c>
      <c r="AL188" t="s">
        <v>1912</v>
      </c>
      <c r="AM188" t="s">
        <v>1913</v>
      </c>
      <c r="AN188" t="s">
        <v>1914</v>
      </c>
      <c r="AO188" t="s">
        <v>1915</v>
      </c>
      <c r="AP188" t="s">
        <v>1916</v>
      </c>
      <c r="AQ188" t="s">
        <v>1516</v>
      </c>
      <c r="AR188" t="s">
        <v>1917</v>
      </c>
      <c r="AS188" t="s">
        <v>1918</v>
      </c>
    </row>
    <row r="189" spans="1:45" x14ac:dyDescent="0.45">
      <c r="A189">
        <v>188</v>
      </c>
      <c r="B189">
        <v>2213</v>
      </c>
      <c r="C189" t="s">
        <v>78</v>
      </c>
      <c r="D189" t="s">
        <v>81</v>
      </c>
      <c r="E189" t="s">
        <v>74</v>
      </c>
      <c r="F189" t="s">
        <v>77</v>
      </c>
      <c r="G189" t="s">
        <v>76</v>
      </c>
      <c r="H189">
        <v>29.826746547450107</v>
      </c>
      <c r="I189">
        <v>1</v>
      </c>
      <c r="J189">
        <v>7</v>
      </c>
      <c r="K189">
        <v>5</v>
      </c>
      <c r="L189">
        <v>2</v>
      </c>
      <c r="M189">
        <v>6</v>
      </c>
      <c r="N189">
        <v>5</v>
      </c>
      <c r="O189">
        <v>1</v>
      </c>
      <c r="P189">
        <v>8</v>
      </c>
      <c r="Q189">
        <v>4</v>
      </c>
      <c r="R189">
        <v>4</v>
      </c>
      <c r="S189">
        <v>9</v>
      </c>
      <c r="T189">
        <v>6</v>
      </c>
      <c r="U189">
        <v>3</v>
      </c>
      <c r="V189">
        <v>6</v>
      </c>
      <c r="W189">
        <v>5</v>
      </c>
      <c r="X189">
        <v>1</v>
      </c>
      <c r="Y189">
        <v>9</v>
      </c>
      <c r="Z189">
        <v>5</v>
      </c>
      <c r="AA189">
        <v>4</v>
      </c>
      <c r="AB189">
        <v>8</v>
      </c>
      <c r="AC189">
        <v>5</v>
      </c>
      <c r="AD189">
        <v>3</v>
      </c>
      <c r="AE189">
        <v>7</v>
      </c>
      <c r="AF189">
        <v>5</v>
      </c>
      <c r="AG189">
        <v>2</v>
      </c>
      <c r="AH189">
        <v>8</v>
      </c>
      <c r="AI189">
        <v>5</v>
      </c>
      <c r="AJ189">
        <v>3</v>
      </c>
      <c r="AK189" t="s">
        <v>1919</v>
      </c>
      <c r="AL189" t="s">
        <v>1920</v>
      </c>
      <c r="AM189" t="s">
        <v>1921</v>
      </c>
      <c r="AN189" t="s">
        <v>1922</v>
      </c>
      <c r="AO189" t="s">
        <v>1923</v>
      </c>
      <c r="AP189" t="s">
        <v>1924</v>
      </c>
      <c r="AQ189" t="s">
        <v>1925</v>
      </c>
      <c r="AR189" t="s">
        <v>1926</v>
      </c>
      <c r="AS189" t="s">
        <v>1927</v>
      </c>
    </row>
    <row r="190" spans="1:45" x14ac:dyDescent="0.45">
      <c r="A190">
        <v>189</v>
      </c>
      <c r="B190">
        <v>2214</v>
      </c>
      <c r="C190" t="s">
        <v>78</v>
      </c>
      <c r="D190" t="s">
        <v>79</v>
      </c>
      <c r="E190" t="s">
        <v>74</v>
      </c>
      <c r="F190" t="s">
        <v>77</v>
      </c>
      <c r="G190" t="s">
        <v>76</v>
      </c>
      <c r="H190">
        <v>54.0873404483496</v>
      </c>
      <c r="I190">
        <v>2</v>
      </c>
      <c r="J190">
        <v>9</v>
      </c>
      <c r="K190">
        <v>8</v>
      </c>
      <c r="L190">
        <v>1</v>
      </c>
      <c r="M190">
        <v>8</v>
      </c>
      <c r="N190">
        <v>8</v>
      </c>
      <c r="O190">
        <v>0</v>
      </c>
      <c r="P190">
        <v>9</v>
      </c>
      <c r="Q190">
        <v>5</v>
      </c>
      <c r="R190">
        <v>4</v>
      </c>
      <c r="S190">
        <v>10</v>
      </c>
      <c r="T190">
        <v>7</v>
      </c>
      <c r="U190">
        <v>3</v>
      </c>
      <c r="V190">
        <v>9</v>
      </c>
      <c r="W190">
        <v>6</v>
      </c>
      <c r="X190">
        <v>3</v>
      </c>
      <c r="Y190">
        <v>9</v>
      </c>
      <c r="Z190">
        <v>8</v>
      </c>
      <c r="AA190">
        <v>1</v>
      </c>
      <c r="AB190">
        <v>8</v>
      </c>
      <c r="AC190">
        <v>5</v>
      </c>
      <c r="AD190">
        <v>3</v>
      </c>
      <c r="AE190">
        <v>9</v>
      </c>
      <c r="AF190">
        <v>7</v>
      </c>
      <c r="AG190">
        <v>2</v>
      </c>
      <c r="AH190">
        <v>9</v>
      </c>
      <c r="AI190">
        <v>8</v>
      </c>
      <c r="AJ190">
        <v>1</v>
      </c>
      <c r="AK190" t="s">
        <v>1928</v>
      </c>
      <c r="AL190" t="s">
        <v>1929</v>
      </c>
      <c r="AM190" t="s">
        <v>1930</v>
      </c>
      <c r="AN190" t="s">
        <v>1931</v>
      </c>
      <c r="AO190" t="s">
        <v>1932</v>
      </c>
      <c r="AP190" t="s">
        <v>1933</v>
      </c>
      <c r="AQ190" t="s">
        <v>1934</v>
      </c>
      <c r="AR190" t="s">
        <v>1935</v>
      </c>
      <c r="AS190" t="s">
        <v>1936</v>
      </c>
    </row>
    <row r="191" spans="1:45" x14ac:dyDescent="0.45">
      <c r="A191">
        <v>190</v>
      </c>
      <c r="B191">
        <v>2215</v>
      </c>
      <c r="C191" t="s">
        <v>78</v>
      </c>
      <c r="D191" t="s">
        <v>81</v>
      </c>
      <c r="E191" t="s">
        <v>74</v>
      </c>
      <c r="F191" t="s">
        <v>75</v>
      </c>
      <c r="G191" t="s">
        <v>76</v>
      </c>
      <c r="H191">
        <v>29.08783472951399</v>
      </c>
      <c r="I191">
        <v>0</v>
      </c>
      <c r="J191">
        <v>7</v>
      </c>
      <c r="K191">
        <v>7</v>
      </c>
      <c r="L191">
        <v>0</v>
      </c>
      <c r="M191">
        <v>6</v>
      </c>
      <c r="N191">
        <v>7</v>
      </c>
      <c r="O191">
        <v>-1</v>
      </c>
      <c r="P191">
        <v>9</v>
      </c>
      <c r="Q191">
        <v>7</v>
      </c>
      <c r="R191">
        <v>2</v>
      </c>
      <c r="S191">
        <v>8</v>
      </c>
      <c r="T191">
        <v>8</v>
      </c>
      <c r="U191">
        <v>0</v>
      </c>
      <c r="V191">
        <v>9</v>
      </c>
      <c r="W191">
        <v>3</v>
      </c>
      <c r="X191">
        <v>6</v>
      </c>
      <c r="Y191">
        <v>8</v>
      </c>
      <c r="Z191">
        <v>3</v>
      </c>
      <c r="AA191">
        <v>5</v>
      </c>
      <c r="AB191">
        <v>9</v>
      </c>
      <c r="AC191">
        <v>2</v>
      </c>
      <c r="AD191">
        <v>7</v>
      </c>
      <c r="AE191">
        <v>7</v>
      </c>
      <c r="AF191">
        <v>3</v>
      </c>
      <c r="AG191">
        <v>4</v>
      </c>
      <c r="AH191">
        <v>9</v>
      </c>
      <c r="AI191">
        <v>8</v>
      </c>
      <c r="AJ191">
        <v>1</v>
      </c>
      <c r="AK191" t="s">
        <v>1937</v>
      </c>
      <c r="AL191" t="s">
        <v>1938</v>
      </c>
      <c r="AM191" t="s">
        <v>1939</v>
      </c>
      <c r="AN191" t="s">
        <v>1940</v>
      </c>
      <c r="AO191" t="s">
        <v>1941</v>
      </c>
      <c r="AP191" t="s">
        <v>1942</v>
      </c>
      <c r="AQ191" t="s">
        <v>1943</v>
      </c>
      <c r="AR191" t="s">
        <v>1944</v>
      </c>
      <c r="AS191" t="s">
        <v>1945</v>
      </c>
    </row>
    <row r="192" spans="1:45" x14ac:dyDescent="0.45">
      <c r="A192">
        <v>191</v>
      </c>
      <c r="B192">
        <v>2216</v>
      </c>
      <c r="C192" t="s">
        <v>78</v>
      </c>
      <c r="D192" t="s">
        <v>73</v>
      </c>
      <c r="E192" t="s">
        <v>74</v>
      </c>
      <c r="F192" t="s">
        <v>75</v>
      </c>
      <c r="G192" t="s">
        <v>76</v>
      </c>
      <c r="H192">
        <v>57.534023892659114</v>
      </c>
      <c r="I192">
        <v>3</v>
      </c>
      <c r="J192">
        <v>9</v>
      </c>
      <c r="K192">
        <v>7</v>
      </c>
      <c r="L192">
        <v>2</v>
      </c>
      <c r="M192">
        <v>8</v>
      </c>
      <c r="N192">
        <v>7</v>
      </c>
      <c r="O192">
        <v>1</v>
      </c>
      <c r="P192">
        <v>9</v>
      </c>
      <c r="Q192">
        <v>6</v>
      </c>
      <c r="R192">
        <v>3</v>
      </c>
      <c r="S192">
        <v>8</v>
      </c>
      <c r="T192">
        <v>8</v>
      </c>
      <c r="U192">
        <v>0</v>
      </c>
      <c r="V192">
        <v>7</v>
      </c>
      <c r="W192">
        <v>7</v>
      </c>
      <c r="X192">
        <v>0</v>
      </c>
      <c r="Y192">
        <v>8</v>
      </c>
      <c r="Z192">
        <v>8</v>
      </c>
      <c r="AA192">
        <v>0</v>
      </c>
      <c r="AB192">
        <v>7</v>
      </c>
      <c r="AC192">
        <v>7</v>
      </c>
      <c r="AD192">
        <v>0</v>
      </c>
      <c r="AE192">
        <v>8</v>
      </c>
      <c r="AF192">
        <v>7</v>
      </c>
      <c r="AG192">
        <v>1</v>
      </c>
      <c r="AH192">
        <v>9</v>
      </c>
      <c r="AI192">
        <v>7</v>
      </c>
      <c r="AJ192">
        <v>2</v>
      </c>
      <c r="AK192" t="s">
        <v>1946</v>
      </c>
      <c r="AL192" t="s">
        <v>1947</v>
      </c>
      <c r="AM192" t="s">
        <v>1948</v>
      </c>
      <c r="AN192" t="s">
        <v>1949</v>
      </c>
      <c r="AO192" t="s">
        <v>1950</v>
      </c>
      <c r="AP192" t="s">
        <v>1951</v>
      </c>
      <c r="AQ192" t="s">
        <v>1952</v>
      </c>
      <c r="AR192" t="s">
        <v>1953</v>
      </c>
      <c r="AS192" t="s">
        <v>1954</v>
      </c>
    </row>
    <row r="193" spans="1:45" x14ac:dyDescent="0.45">
      <c r="A193">
        <v>192</v>
      </c>
      <c r="B193">
        <v>2217</v>
      </c>
      <c r="C193" t="s">
        <v>72</v>
      </c>
      <c r="D193" t="s">
        <v>189</v>
      </c>
      <c r="E193" t="s">
        <v>74</v>
      </c>
      <c r="F193" t="s">
        <v>77</v>
      </c>
      <c r="G193" t="s">
        <v>76</v>
      </c>
      <c r="H193">
        <v>19.777293062118758</v>
      </c>
      <c r="I193">
        <v>0</v>
      </c>
      <c r="J193">
        <v>7</v>
      </c>
      <c r="K193">
        <v>8</v>
      </c>
      <c r="L193">
        <v>-1</v>
      </c>
      <c r="M193">
        <v>8</v>
      </c>
      <c r="N193">
        <v>8</v>
      </c>
      <c r="O193">
        <v>0</v>
      </c>
      <c r="P193">
        <v>6</v>
      </c>
      <c r="Q193">
        <v>9</v>
      </c>
      <c r="R193">
        <v>-3</v>
      </c>
      <c r="S193">
        <v>5</v>
      </c>
      <c r="T193">
        <v>9</v>
      </c>
      <c r="U193">
        <v>-4</v>
      </c>
      <c r="V193">
        <v>7</v>
      </c>
      <c r="W193">
        <v>9</v>
      </c>
      <c r="X193">
        <v>-2</v>
      </c>
      <c r="Y193">
        <v>6</v>
      </c>
      <c r="Z193">
        <v>9</v>
      </c>
      <c r="AA193">
        <v>-3</v>
      </c>
      <c r="AB193">
        <v>7</v>
      </c>
      <c r="AC193">
        <v>8</v>
      </c>
      <c r="AD193">
        <v>-1</v>
      </c>
      <c r="AE193">
        <v>8</v>
      </c>
      <c r="AF193">
        <v>8</v>
      </c>
      <c r="AG193">
        <v>0</v>
      </c>
      <c r="AH193">
        <v>7</v>
      </c>
      <c r="AI193">
        <v>9</v>
      </c>
      <c r="AJ193">
        <v>-2</v>
      </c>
      <c r="AK193" t="s">
        <v>1955</v>
      </c>
      <c r="AL193" t="s">
        <v>1956</v>
      </c>
      <c r="AM193" t="s">
        <v>1957</v>
      </c>
      <c r="AN193" t="s">
        <v>1958</v>
      </c>
      <c r="AO193" t="s">
        <v>1959</v>
      </c>
      <c r="AP193" t="s">
        <v>1960</v>
      </c>
      <c r="AQ193" t="s">
        <v>1961</v>
      </c>
      <c r="AR193" t="s">
        <v>1962</v>
      </c>
      <c r="AS193" t="s">
        <v>1963</v>
      </c>
    </row>
    <row r="194" spans="1:45" x14ac:dyDescent="0.45">
      <c r="A194">
        <v>193</v>
      </c>
      <c r="B194">
        <v>2218</v>
      </c>
      <c r="C194" t="s">
        <v>72</v>
      </c>
      <c r="D194" t="s">
        <v>79</v>
      </c>
      <c r="E194" t="s">
        <v>74</v>
      </c>
      <c r="F194" t="s">
        <v>77</v>
      </c>
      <c r="G194" t="s">
        <v>76</v>
      </c>
      <c r="H194">
        <v>24.943350167528614</v>
      </c>
      <c r="I194">
        <v>2</v>
      </c>
      <c r="J194">
        <v>6</v>
      </c>
      <c r="K194">
        <v>1</v>
      </c>
      <c r="L194">
        <v>5</v>
      </c>
      <c r="M194">
        <v>7</v>
      </c>
      <c r="N194">
        <v>1</v>
      </c>
      <c r="O194">
        <v>6</v>
      </c>
      <c r="P194">
        <v>8</v>
      </c>
      <c r="Q194">
        <v>7</v>
      </c>
      <c r="R194">
        <v>1</v>
      </c>
      <c r="S194">
        <v>9</v>
      </c>
      <c r="T194">
        <v>5</v>
      </c>
      <c r="U194">
        <v>4</v>
      </c>
      <c r="V194">
        <v>7</v>
      </c>
      <c r="W194">
        <v>5</v>
      </c>
      <c r="X194">
        <v>2</v>
      </c>
      <c r="Y194">
        <v>8</v>
      </c>
      <c r="Z194">
        <v>7</v>
      </c>
      <c r="AA194">
        <v>1</v>
      </c>
      <c r="AB194">
        <v>7</v>
      </c>
      <c r="AC194">
        <v>2</v>
      </c>
      <c r="AD194">
        <v>5</v>
      </c>
      <c r="AE194">
        <v>8</v>
      </c>
      <c r="AF194">
        <v>5</v>
      </c>
      <c r="AG194">
        <v>3</v>
      </c>
      <c r="AH194">
        <v>9</v>
      </c>
      <c r="AI194">
        <v>5</v>
      </c>
      <c r="AJ194">
        <v>4</v>
      </c>
      <c r="AK194" t="s">
        <v>1964</v>
      </c>
      <c r="AL194" t="s">
        <v>1965</v>
      </c>
      <c r="AM194" t="s">
        <v>1966</v>
      </c>
      <c r="AN194" t="s">
        <v>1967</v>
      </c>
      <c r="AO194" t="s">
        <v>1968</v>
      </c>
      <c r="AP194" t="s">
        <v>1969</v>
      </c>
      <c r="AQ194" t="s">
        <v>1970</v>
      </c>
      <c r="AR194" t="s">
        <v>1971</v>
      </c>
      <c r="AS194" t="s">
        <v>1581</v>
      </c>
    </row>
    <row r="195" spans="1:45" x14ac:dyDescent="0.45">
      <c r="A195">
        <v>194</v>
      </c>
      <c r="B195">
        <v>2219</v>
      </c>
      <c r="C195" t="s">
        <v>72</v>
      </c>
      <c r="D195" t="s">
        <v>73</v>
      </c>
      <c r="E195" t="s">
        <v>74</v>
      </c>
      <c r="F195" t="s">
        <v>77</v>
      </c>
      <c r="G195" t="s">
        <v>76</v>
      </c>
      <c r="H195">
        <v>20.784714665914258</v>
      </c>
      <c r="I195">
        <v>1</v>
      </c>
      <c r="J195">
        <v>5</v>
      </c>
      <c r="K195">
        <v>10</v>
      </c>
      <c r="L195">
        <v>-5</v>
      </c>
      <c r="M195">
        <v>6</v>
      </c>
      <c r="N195">
        <v>10</v>
      </c>
      <c r="O195">
        <v>-4</v>
      </c>
      <c r="P195">
        <v>9</v>
      </c>
      <c r="Q195">
        <v>6</v>
      </c>
      <c r="R195">
        <v>3</v>
      </c>
      <c r="S195">
        <v>10</v>
      </c>
      <c r="T195">
        <v>4</v>
      </c>
      <c r="U195">
        <v>6</v>
      </c>
      <c r="V195">
        <v>7</v>
      </c>
      <c r="W195">
        <v>8</v>
      </c>
      <c r="X195">
        <v>-1</v>
      </c>
      <c r="Y195">
        <v>9</v>
      </c>
      <c r="Z195">
        <v>3</v>
      </c>
      <c r="AA195">
        <v>6</v>
      </c>
      <c r="AB195">
        <v>8</v>
      </c>
      <c r="AC195">
        <v>10</v>
      </c>
      <c r="AD195">
        <v>-2</v>
      </c>
      <c r="AE195">
        <v>6</v>
      </c>
      <c r="AF195">
        <v>10</v>
      </c>
      <c r="AG195">
        <v>-4</v>
      </c>
      <c r="AH195">
        <v>9</v>
      </c>
      <c r="AI195">
        <v>10</v>
      </c>
      <c r="AJ195">
        <v>-1</v>
      </c>
      <c r="AK195" t="s">
        <v>1972</v>
      </c>
      <c r="AL195" t="s">
        <v>1973</v>
      </c>
      <c r="AM195" t="s">
        <v>1974</v>
      </c>
      <c r="AN195" t="s">
        <v>1975</v>
      </c>
      <c r="AO195" t="s">
        <v>1976</v>
      </c>
      <c r="AP195" t="s">
        <v>1977</v>
      </c>
      <c r="AQ195" t="s">
        <v>1978</v>
      </c>
      <c r="AR195" t="s">
        <v>1979</v>
      </c>
      <c r="AS195" t="s">
        <v>1980</v>
      </c>
    </row>
    <row r="196" spans="1:45" x14ac:dyDescent="0.45">
      <c r="A196">
        <v>195</v>
      </c>
      <c r="B196">
        <v>2220</v>
      </c>
      <c r="C196" t="s">
        <v>72</v>
      </c>
      <c r="D196" t="s">
        <v>81</v>
      </c>
      <c r="E196" t="s">
        <v>74</v>
      </c>
      <c r="F196" t="s">
        <v>77</v>
      </c>
      <c r="G196" t="s">
        <v>76</v>
      </c>
      <c r="H196">
        <v>16.041100748087107</v>
      </c>
      <c r="I196">
        <v>1</v>
      </c>
      <c r="J196">
        <v>7</v>
      </c>
      <c r="K196">
        <v>9</v>
      </c>
      <c r="L196">
        <v>-2</v>
      </c>
      <c r="M196">
        <v>6</v>
      </c>
      <c r="N196">
        <v>9</v>
      </c>
      <c r="O196">
        <v>-3</v>
      </c>
      <c r="P196">
        <v>9</v>
      </c>
      <c r="Q196">
        <v>5</v>
      </c>
      <c r="R196">
        <v>4</v>
      </c>
      <c r="S196">
        <v>8</v>
      </c>
      <c r="T196">
        <v>5</v>
      </c>
      <c r="U196">
        <v>3</v>
      </c>
      <c r="V196">
        <v>7</v>
      </c>
      <c r="W196">
        <v>7</v>
      </c>
      <c r="X196">
        <v>0</v>
      </c>
      <c r="Y196">
        <v>9</v>
      </c>
      <c r="Z196">
        <v>7</v>
      </c>
      <c r="AA196">
        <v>2</v>
      </c>
      <c r="AB196">
        <v>8</v>
      </c>
      <c r="AC196">
        <v>8</v>
      </c>
      <c r="AD196">
        <v>0</v>
      </c>
      <c r="AE196">
        <v>7</v>
      </c>
      <c r="AF196">
        <v>8</v>
      </c>
      <c r="AG196">
        <v>-1</v>
      </c>
      <c r="AH196">
        <v>9</v>
      </c>
      <c r="AI196">
        <v>8</v>
      </c>
      <c r="AJ196">
        <v>1</v>
      </c>
      <c r="AK196" t="s">
        <v>1981</v>
      </c>
      <c r="AL196" t="s">
        <v>1982</v>
      </c>
      <c r="AM196" t="s">
        <v>1983</v>
      </c>
      <c r="AN196" t="s">
        <v>1984</v>
      </c>
      <c r="AO196" t="s">
        <v>1985</v>
      </c>
      <c r="AP196" t="s">
        <v>1986</v>
      </c>
      <c r="AQ196" t="s">
        <v>1987</v>
      </c>
      <c r="AR196" t="s">
        <v>1988</v>
      </c>
      <c r="AS196" t="s">
        <v>259</v>
      </c>
    </row>
    <row r="197" spans="1:45" x14ac:dyDescent="0.45">
      <c r="A197">
        <v>196</v>
      </c>
      <c r="B197">
        <v>2221</v>
      </c>
      <c r="C197" t="s">
        <v>78</v>
      </c>
      <c r="D197" t="s">
        <v>79</v>
      </c>
      <c r="E197" t="s">
        <v>74</v>
      </c>
      <c r="F197" t="s">
        <v>77</v>
      </c>
      <c r="G197" t="s">
        <v>76</v>
      </c>
      <c r="H197">
        <v>14.852598890685107</v>
      </c>
      <c r="I197">
        <v>2</v>
      </c>
      <c r="J197">
        <v>7</v>
      </c>
      <c r="K197">
        <v>9</v>
      </c>
      <c r="L197">
        <v>-2</v>
      </c>
      <c r="M197">
        <v>6</v>
      </c>
      <c r="N197">
        <v>9</v>
      </c>
      <c r="O197">
        <v>-3</v>
      </c>
      <c r="P197">
        <v>9</v>
      </c>
      <c r="Q197">
        <v>9</v>
      </c>
      <c r="R197">
        <v>0</v>
      </c>
      <c r="S197">
        <v>8</v>
      </c>
      <c r="T197">
        <v>9</v>
      </c>
      <c r="U197">
        <v>-1</v>
      </c>
      <c r="V197">
        <v>9</v>
      </c>
      <c r="W197">
        <v>9</v>
      </c>
      <c r="X197">
        <v>0</v>
      </c>
      <c r="Y197">
        <v>8</v>
      </c>
      <c r="Z197">
        <v>9</v>
      </c>
      <c r="AA197">
        <v>-1</v>
      </c>
      <c r="AB197">
        <v>9</v>
      </c>
      <c r="AC197">
        <v>9</v>
      </c>
      <c r="AD197">
        <v>0</v>
      </c>
      <c r="AE197">
        <v>8</v>
      </c>
      <c r="AF197">
        <v>9</v>
      </c>
      <c r="AG197">
        <v>-1</v>
      </c>
      <c r="AH197">
        <v>9</v>
      </c>
      <c r="AI197">
        <v>9</v>
      </c>
      <c r="AJ197">
        <v>0</v>
      </c>
      <c r="AK197" t="s">
        <v>1989</v>
      </c>
      <c r="AL197" t="s">
        <v>1990</v>
      </c>
      <c r="AM197" t="s">
        <v>1991</v>
      </c>
      <c r="AN197" t="s">
        <v>1992</v>
      </c>
      <c r="AO197" t="s">
        <v>1993</v>
      </c>
      <c r="AP197" t="s">
        <v>1994</v>
      </c>
      <c r="AQ197" t="s">
        <v>1995</v>
      </c>
      <c r="AR197" t="s">
        <v>1996</v>
      </c>
      <c r="AS197" t="s">
        <v>1997</v>
      </c>
    </row>
    <row r="198" spans="1:45" x14ac:dyDescent="0.45">
      <c r="A198">
        <v>197</v>
      </c>
      <c r="B198">
        <v>2222</v>
      </c>
      <c r="C198" t="s">
        <v>72</v>
      </c>
      <c r="D198" t="s">
        <v>79</v>
      </c>
      <c r="E198" t="s">
        <v>74</v>
      </c>
      <c r="F198" t="s">
        <v>75</v>
      </c>
      <c r="G198" t="s">
        <v>76</v>
      </c>
      <c r="H198">
        <v>13.589778063185207</v>
      </c>
      <c r="I198">
        <v>3</v>
      </c>
      <c r="J198">
        <v>9</v>
      </c>
      <c r="K198">
        <v>9</v>
      </c>
      <c r="L198">
        <v>0</v>
      </c>
      <c r="M198">
        <v>9</v>
      </c>
      <c r="N198">
        <v>10</v>
      </c>
      <c r="O198">
        <v>-1</v>
      </c>
      <c r="P198">
        <v>8</v>
      </c>
      <c r="Q198">
        <v>10</v>
      </c>
      <c r="R198">
        <v>-2</v>
      </c>
      <c r="S198">
        <v>8</v>
      </c>
      <c r="T198">
        <v>9</v>
      </c>
      <c r="U198">
        <v>-1</v>
      </c>
      <c r="V198">
        <v>9</v>
      </c>
      <c r="W198">
        <v>10</v>
      </c>
      <c r="X198">
        <v>-1</v>
      </c>
      <c r="Y198">
        <v>8</v>
      </c>
      <c r="Z198">
        <v>10</v>
      </c>
      <c r="AA198">
        <v>-2</v>
      </c>
      <c r="AB198">
        <v>9</v>
      </c>
      <c r="AC198">
        <v>10</v>
      </c>
      <c r="AD198">
        <v>-1</v>
      </c>
      <c r="AE198">
        <v>9</v>
      </c>
      <c r="AF198">
        <v>9</v>
      </c>
      <c r="AG198">
        <v>0</v>
      </c>
      <c r="AH198">
        <v>9</v>
      </c>
      <c r="AI198">
        <v>10</v>
      </c>
      <c r="AJ198">
        <v>-1</v>
      </c>
      <c r="AK198" t="s">
        <v>1998</v>
      </c>
      <c r="AL198" t="s">
        <v>1999</v>
      </c>
      <c r="AM198" t="s">
        <v>2000</v>
      </c>
      <c r="AN198" t="s">
        <v>2001</v>
      </c>
      <c r="AO198" t="s">
        <v>2002</v>
      </c>
      <c r="AP198" t="s">
        <v>2003</v>
      </c>
      <c r="AQ198" t="s">
        <v>2004</v>
      </c>
      <c r="AR198" t="s">
        <v>2005</v>
      </c>
      <c r="AS198" t="s">
        <v>2006</v>
      </c>
    </row>
    <row r="199" spans="1:45" x14ac:dyDescent="0.45">
      <c r="A199">
        <v>198</v>
      </c>
      <c r="B199">
        <v>2223</v>
      </c>
      <c r="C199" t="s">
        <v>72</v>
      </c>
      <c r="D199" t="s">
        <v>79</v>
      </c>
      <c r="E199" t="s">
        <v>74</v>
      </c>
      <c r="F199" t="s">
        <v>75</v>
      </c>
      <c r="G199" t="s">
        <v>76</v>
      </c>
      <c r="H199">
        <v>13.101521068160853</v>
      </c>
      <c r="I199">
        <v>2</v>
      </c>
      <c r="J199">
        <v>8</v>
      </c>
      <c r="K199">
        <v>5</v>
      </c>
      <c r="L199">
        <v>3</v>
      </c>
      <c r="M199">
        <v>7</v>
      </c>
      <c r="N199">
        <v>5</v>
      </c>
      <c r="O199">
        <v>2</v>
      </c>
      <c r="P199">
        <v>5</v>
      </c>
      <c r="Q199">
        <v>5</v>
      </c>
      <c r="R199">
        <v>0</v>
      </c>
      <c r="S199">
        <v>6</v>
      </c>
      <c r="T199">
        <v>5</v>
      </c>
      <c r="U199">
        <v>1</v>
      </c>
      <c r="V199">
        <v>7</v>
      </c>
      <c r="W199">
        <v>5</v>
      </c>
      <c r="X199">
        <v>2</v>
      </c>
      <c r="Y199">
        <v>9</v>
      </c>
      <c r="Z199">
        <v>5</v>
      </c>
      <c r="AA199">
        <v>4</v>
      </c>
      <c r="AB199">
        <v>5</v>
      </c>
      <c r="AC199">
        <v>5</v>
      </c>
      <c r="AD199">
        <v>0</v>
      </c>
      <c r="AE199">
        <v>7</v>
      </c>
      <c r="AF199">
        <v>4</v>
      </c>
      <c r="AG199">
        <v>3</v>
      </c>
      <c r="AH199">
        <v>3</v>
      </c>
      <c r="AI199">
        <v>5</v>
      </c>
      <c r="AJ199">
        <v>-2</v>
      </c>
      <c r="AK199" t="s">
        <v>2007</v>
      </c>
      <c r="AL199" t="s">
        <v>2008</v>
      </c>
      <c r="AM199" t="s">
        <v>2009</v>
      </c>
      <c r="AN199" t="s">
        <v>2010</v>
      </c>
      <c r="AO199" t="s">
        <v>2011</v>
      </c>
      <c r="AP199" t="s">
        <v>2012</v>
      </c>
      <c r="AQ199" t="s">
        <v>2013</v>
      </c>
      <c r="AR199" t="s">
        <v>2014</v>
      </c>
      <c r="AS199" t="s">
        <v>2015</v>
      </c>
    </row>
    <row r="200" spans="1:45" x14ac:dyDescent="0.45">
      <c r="A200">
        <v>199</v>
      </c>
      <c r="B200">
        <v>2224</v>
      </c>
      <c r="C200" t="s">
        <v>72</v>
      </c>
      <c r="D200" t="s">
        <v>194</v>
      </c>
      <c r="E200" t="s">
        <v>74</v>
      </c>
      <c r="F200" t="s">
        <v>75</v>
      </c>
      <c r="G200" t="s">
        <v>162</v>
      </c>
      <c r="H200">
        <v>12</v>
      </c>
      <c r="I200">
        <v>1</v>
      </c>
      <c r="J200">
        <v>7</v>
      </c>
      <c r="K200">
        <v>9</v>
      </c>
      <c r="L200">
        <v>-2</v>
      </c>
      <c r="M200">
        <v>6</v>
      </c>
      <c r="N200">
        <v>8</v>
      </c>
      <c r="O200">
        <v>-2</v>
      </c>
      <c r="P200">
        <v>5</v>
      </c>
      <c r="Q200">
        <v>9</v>
      </c>
      <c r="R200">
        <v>-4</v>
      </c>
      <c r="S200">
        <v>8</v>
      </c>
      <c r="T200">
        <v>9</v>
      </c>
      <c r="U200">
        <v>-1</v>
      </c>
      <c r="V200">
        <v>7</v>
      </c>
      <c r="W200">
        <v>8</v>
      </c>
      <c r="X200">
        <v>-1</v>
      </c>
      <c r="Y200">
        <v>8</v>
      </c>
      <c r="Z200">
        <v>9</v>
      </c>
      <c r="AA200">
        <v>-1</v>
      </c>
      <c r="AB200">
        <v>6</v>
      </c>
      <c r="AC200">
        <v>10</v>
      </c>
      <c r="AD200">
        <v>-4</v>
      </c>
      <c r="AE200">
        <v>9</v>
      </c>
      <c r="AF200">
        <v>9</v>
      </c>
      <c r="AG200">
        <v>0</v>
      </c>
      <c r="AH200">
        <v>8</v>
      </c>
      <c r="AI200">
        <v>10</v>
      </c>
      <c r="AJ200">
        <v>-2</v>
      </c>
      <c r="AK200" t="s">
        <v>2016</v>
      </c>
      <c r="AL200" t="s">
        <v>2017</v>
      </c>
      <c r="AM200" t="s">
        <v>2018</v>
      </c>
      <c r="AN200" t="s">
        <v>2019</v>
      </c>
      <c r="AO200" t="s">
        <v>2020</v>
      </c>
      <c r="AP200" t="s">
        <v>2021</v>
      </c>
      <c r="AQ200" t="s">
        <v>2022</v>
      </c>
      <c r="AR200" t="s">
        <v>2023</v>
      </c>
      <c r="AS200" t="s">
        <v>2024</v>
      </c>
    </row>
    <row r="201" spans="1:45" x14ac:dyDescent="0.45">
      <c r="A201">
        <v>200</v>
      </c>
      <c r="B201">
        <v>2225</v>
      </c>
      <c r="C201" t="s">
        <v>78</v>
      </c>
      <c r="D201" t="s">
        <v>192</v>
      </c>
      <c r="E201" t="s">
        <v>74</v>
      </c>
      <c r="F201" t="s">
        <v>77</v>
      </c>
      <c r="G201" t="s">
        <v>76</v>
      </c>
      <c r="H201">
        <v>77.671959396393106</v>
      </c>
      <c r="I201">
        <v>3</v>
      </c>
      <c r="J201">
        <v>7</v>
      </c>
      <c r="K201">
        <v>4</v>
      </c>
      <c r="L201">
        <v>3</v>
      </c>
      <c r="M201">
        <v>8</v>
      </c>
      <c r="N201">
        <v>4</v>
      </c>
      <c r="O201">
        <v>4</v>
      </c>
      <c r="P201">
        <v>9</v>
      </c>
      <c r="Q201">
        <v>3</v>
      </c>
      <c r="R201">
        <v>6</v>
      </c>
      <c r="S201">
        <v>9</v>
      </c>
      <c r="T201">
        <v>5</v>
      </c>
      <c r="U201">
        <v>4</v>
      </c>
      <c r="V201">
        <v>6</v>
      </c>
      <c r="W201">
        <v>4</v>
      </c>
      <c r="X201">
        <v>2</v>
      </c>
      <c r="Y201">
        <v>8</v>
      </c>
      <c r="Z201">
        <v>5</v>
      </c>
      <c r="AA201">
        <v>3</v>
      </c>
      <c r="AB201">
        <v>7</v>
      </c>
      <c r="AC201">
        <v>1</v>
      </c>
      <c r="AD201">
        <v>6</v>
      </c>
      <c r="AE201">
        <v>6</v>
      </c>
      <c r="AF201">
        <v>5</v>
      </c>
      <c r="AG201">
        <v>1</v>
      </c>
      <c r="AH201">
        <v>9</v>
      </c>
      <c r="AI201">
        <v>5</v>
      </c>
      <c r="AJ201">
        <v>4</v>
      </c>
      <c r="AK201" t="s">
        <v>2025</v>
      </c>
      <c r="AL201" t="s">
        <v>2026</v>
      </c>
      <c r="AM201" t="s">
        <v>2027</v>
      </c>
      <c r="AN201" t="s">
        <v>2028</v>
      </c>
      <c r="AO201" t="s">
        <v>2029</v>
      </c>
      <c r="AP201" t="s">
        <v>2030</v>
      </c>
      <c r="AQ201" t="s">
        <v>2031</v>
      </c>
      <c r="AR201" t="s">
        <v>2032</v>
      </c>
      <c r="AS201" t="s">
        <v>2033</v>
      </c>
    </row>
    <row r="202" spans="1:45" x14ac:dyDescent="0.45">
      <c r="A202">
        <v>201</v>
      </c>
      <c r="B202">
        <v>2226</v>
      </c>
      <c r="C202" t="s">
        <v>72</v>
      </c>
      <c r="D202" t="s">
        <v>194</v>
      </c>
      <c r="E202" t="s">
        <v>74</v>
      </c>
      <c r="F202" t="s">
        <v>75</v>
      </c>
      <c r="G202" t="s">
        <v>76</v>
      </c>
      <c r="H202">
        <v>58.668880008919636</v>
      </c>
      <c r="I202">
        <v>1</v>
      </c>
      <c r="J202">
        <v>8</v>
      </c>
      <c r="K202">
        <v>5</v>
      </c>
      <c r="L202">
        <v>3</v>
      </c>
      <c r="M202">
        <v>9</v>
      </c>
      <c r="N202">
        <v>5</v>
      </c>
      <c r="O202">
        <v>4</v>
      </c>
      <c r="P202">
        <v>9</v>
      </c>
      <c r="Q202">
        <v>1</v>
      </c>
      <c r="R202">
        <v>8</v>
      </c>
      <c r="S202">
        <v>9</v>
      </c>
      <c r="T202">
        <v>5</v>
      </c>
      <c r="U202">
        <v>4</v>
      </c>
      <c r="V202">
        <v>8</v>
      </c>
      <c r="W202">
        <v>4</v>
      </c>
      <c r="X202">
        <v>4</v>
      </c>
      <c r="Y202">
        <v>9</v>
      </c>
      <c r="Z202">
        <v>2</v>
      </c>
      <c r="AA202">
        <v>7</v>
      </c>
      <c r="AB202">
        <v>8</v>
      </c>
      <c r="AC202">
        <v>2</v>
      </c>
      <c r="AD202">
        <v>6</v>
      </c>
      <c r="AE202">
        <v>8</v>
      </c>
      <c r="AF202">
        <v>5</v>
      </c>
      <c r="AG202">
        <v>3</v>
      </c>
      <c r="AH202">
        <v>9</v>
      </c>
      <c r="AI202">
        <v>4</v>
      </c>
      <c r="AJ202">
        <v>5</v>
      </c>
      <c r="AK202" t="s">
        <v>2034</v>
      </c>
      <c r="AL202" t="s">
        <v>2035</v>
      </c>
      <c r="AM202" t="s">
        <v>2036</v>
      </c>
      <c r="AN202" t="s">
        <v>2037</v>
      </c>
      <c r="AO202" t="s">
        <v>2038</v>
      </c>
      <c r="AP202" t="s">
        <v>2039</v>
      </c>
      <c r="AQ202" t="s">
        <v>2040</v>
      </c>
      <c r="AR202" t="s">
        <v>2041</v>
      </c>
      <c r="AS202" t="s">
        <v>2042</v>
      </c>
    </row>
    <row r="203" spans="1:45" x14ac:dyDescent="0.45">
      <c r="A203">
        <v>202</v>
      </c>
      <c r="B203">
        <v>2227</v>
      </c>
      <c r="C203" t="s">
        <v>72</v>
      </c>
      <c r="D203" t="s">
        <v>79</v>
      </c>
      <c r="E203" t="s">
        <v>74</v>
      </c>
      <c r="F203" t="s">
        <v>77</v>
      </c>
      <c r="G203" t="s">
        <v>76</v>
      </c>
      <c r="H203">
        <v>93.417320678687318</v>
      </c>
      <c r="I203">
        <v>4</v>
      </c>
      <c r="J203">
        <v>5</v>
      </c>
      <c r="K203">
        <v>6</v>
      </c>
      <c r="L203">
        <v>-1</v>
      </c>
      <c r="M203">
        <v>5</v>
      </c>
      <c r="N203">
        <v>8</v>
      </c>
      <c r="O203">
        <v>-3</v>
      </c>
      <c r="P203">
        <v>7</v>
      </c>
      <c r="Q203">
        <v>8</v>
      </c>
      <c r="R203">
        <v>-1</v>
      </c>
      <c r="S203">
        <v>8</v>
      </c>
      <c r="T203">
        <v>9</v>
      </c>
      <c r="U203">
        <v>-1</v>
      </c>
      <c r="V203">
        <v>7</v>
      </c>
      <c r="W203">
        <v>7</v>
      </c>
      <c r="X203">
        <v>0</v>
      </c>
      <c r="Y203">
        <v>9</v>
      </c>
      <c r="Z203">
        <v>7</v>
      </c>
      <c r="AA203">
        <v>2</v>
      </c>
      <c r="AB203">
        <v>7</v>
      </c>
      <c r="AC203">
        <v>7</v>
      </c>
      <c r="AD203">
        <v>0</v>
      </c>
      <c r="AE203">
        <v>9</v>
      </c>
      <c r="AF203">
        <v>8</v>
      </c>
      <c r="AG203">
        <v>1</v>
      </c>
      <c r="AH203">
        <v>8</v>
      </c>
      <c r="AI203">
        <v>8</v>
      </c>
      <c r="AJ203">
        <v>0</v>
      </c>
      <c r="AK203" t="s">
        <v>2043</v>
      </c>
      <c r="AL203" t="s">
        <v>2044</v>
      </c>
      <c r="AM203" t="s">
        <v>2045</v>
      </c>
      <c r="AN203" t="s">
        <v>2046</v>
      </c>
      <c r="AO203" t="s">
        <v>2047</v>
      </c>
      <c r="AP203" t="s">
        <v>2048</v>
      </c>
      <c r="AQ203" t="s">
        <v>2049</v>
      </c>
      <c r="AR203" t="s">
        <v>2050</v>
      </c>
      <c r="AS203" t="s">
        <v>2051</v>
      </c>
    </row>
    <row r="204" spans="1:45" x14ac:dyDescent="0.45">
      <c r="A204">
        <v>203</v>
      </c>
      <c r="B204">
        <v>2228</v>
      </c>
      <c r="C204" t="s">
        <v>72</v>
      </c>
      <c r="D204" t="s">
        <v>192</v>
      </c>
      <c r="E204" t="s">
        <v>74</v>
      </c>
      <c r="F204" t="s">
        <v>75</v>
      </c>
      <c r="G204" t="s">
        <v>76</v>
      </c>
      <c r="H204">
        <v>206.81017455348751</v>
      </c>
      <c r="I204">
        <v>3</v>
      </c>
      <c r="J204">
        <v>9</v>
      </c>
      <c r="K204">
        <v>5</v>
      </c>
      <c r="L204">
        <v>4</v>
      </c>
      <c r="M204">
        <v>8</v>
      </c>
      <c r="N204">
        <v>5</v>
      </c>
      <c r="O204">
        <v>3</v>
      </c>
      <c r="P204">
        <v>9</v>
      </c>
      <c r="Q204">
        <v>5</v>
      </c>
      <c r="R204">
        <v>4</v>
      </c>
      <c r="S204">
        <v>8</v>
      </c>
      <c r="T204">
        <v>5</v>
      </c>
      <c r="U204">
        <v>3</v>
      </c>
      <c r="V204">
        <v>9</v>
      </c>
      <c r="W204">
        <v>5</v>
      </c>
      <c r="X204">
        <v>4</v>
      </c>
      <c r="Y204">
        <v>8</v>
      </c>
      <c r="Z204">
        <v>5</v>
      </c>
      <c r="AA204">
        <v>3</v>
      </c>
      <c r="AB204">
        <v>9</v>
      </c>
      <c r="AC204">
        <v>5</v>
      </c>
      <c r="AD204">
        <v>4</v>
      </c>
      <c r="AE204">
        <v>8</v>
      </c>
      <c r="AF204">
        <v>5</v>
      </c>
      <c r="AG204">
        <v>3</v>
      </c>
      <c r="AH204">
        <v>9</v>
      </c>
      <c r="AI204">
        <v>5</v>
      </c>
      <c r="AJ204">
        <v>4</v>
      </c>
      <c r="AK204" t="s">
        <v>2052</v>
      </c>
      <c r="AL204" t="s">
        <v>2053</v>
      </c>
      <c r="AM204" t="s">
        <v>2054</v>
      </c>
      <c r="AN204" t="s">
        <v>2055</v>
      </c>
      <c r="AO204" t="s">
        <v>2056</v>
      </c>
      <c r="AP204" t="s">
        <v>2057</v>
      </c>
      <c r="AQ204" t="s">
        <v>2058</v>
      </c>
      <c r="AR204" t="s">
        <v>2059</v>
      </c>
      <c r="AS204" t="s">
        <v>2060</v>
      </c>
    </row>
    <row r="205" spans="1:45" x14ac:dyDescent="0.45">
      <c r="A205">
        <v>204</v>
      </c>
      <c r="B205">
        <v>2229</v>
      </c>
      <c r="C205" t="s">
        <v>72</v>
      </c>
      <c r="D205" t="s">
        <v>73</v>
      </c>
      <c r="E205" t="s">
        <v>74</v>
      </c>
      <c r="F205" t="s">
        <v>77</v>
      </c>
      <c r="G205" t="s">
        <v>76</v>
      </c>
      <c r="H205">
        <v>32.306418821954402</v>
      </c>
      <c r="I205">
        <v>1</v>
      </c>
      <c r="J205">
        <v>7</v>
      </c>
      <c r="K205">
        <v>7</v>
      </c>
      <c r="L205">
        <v>0</v>
      </c>
      <c r="M205">
        <v>8</v>
      </c>
      <c r="N205">
        <v>7</v>
      </c>
      <c r="O205">
        <v>1</v>
      </c>
      <c r="P205">
        <v>9</v>
      </c>
      <c r="Q205">
        <v>7</v>
      </c>
      <c r="R205">
        <v>2</v>
      </c>
      <c r="S205">
        <v>9</v>
      </c>
      <c r="T205">
        <v>8</v>
      </c>
      <c r="U205">
        <v>1</v>
      </c>
      <c r="V205">
        <v>6</v>
      </c>
      <c r="W205">
        <v>7</v>
      </c>
      <c r="X205">
        <v>-1</v>
      </c>
      <c r="Y205">
        <v>8</v>
      </c>
      <c r="Z205">
        <v>7</v>
      </c>
      <c r="AA205">
        <v>1</v>
      </c>
      <c r="AB205">
        <v>7</v>
      </c>
      <c r="AC205">
        <v>7</v>
      </c>
      <c r="AD205">
        <v>0</v>
      </c>
      <c r="AE205">
        <v>8</v>
      </c>
      <c r="AF205">
        <v>7</v>
      </c>
      <c r="AG205">
        <v>1</v>
      </c>
      <c r="AH205">
        <v>9</v>
      </c>
      <c r="AI205">
        <v>7</v>
      </c>
      <c r="AJ205">
        <v>2</v>
      </c>
      <c r="AK205" t="s">
        <v>202</v>
      </c>
      <c r="AL205" t="s">
        <v>202</v>
      </c>
      <c r="AM205" t="s">
        <v>202</v>
      </c>
      <c r="AN205" t="s">
        <v>202</v>
      </c>
      <c r="AO205" t="s">
        <v>202</v>
      </c>
      <c r="AP205" t="s">
        <v>202</v>
      </c>
      <c r="AQ205" t="s">
        <v>202</v>
      </c>
      <c r="AR205" t="s">
        <v>202</v>
      </c>
      <c r="AS205" t="s">
        <v>202</v>
      </c>
    </row>
    <row r="206" spans="1:45" x14ac:dyDescent="0.45">
      <c r="A206">
        <v>205</v>
      </c>
      <c r="B206">
        <v>2230</v>
      </c>
      <c r="C206" t="s">
        <v>72</v>
      </c>
      <c r="D206" t="s">
        <v>73</v>
      </c>
      <c r="E206" t="s">
        <v>74</v>
      </c>
      <c r="F206" t="s">
        <v>75</v>
      </c>
      <c r="G206" t="s">
        <v>76</v>
      </c>
      <c r="H206">
        <v>30.62342370542337</v>
      </c>
      <c r="I206">
        <v>0</v>
      </c>
      <c r="J206">
        <v>7</v>
      </c>
      <c r="K206">
        <v>3</v>
      </c>
      <c r="L206">
        <v>4</v>
      </c>
      <c r="M206">
        <v>6</v>
      </c>
      <c r="N206">
        <v>1</v>
      </c>
      <c r="O206">
        <v>5</v>
      </c>
      <c r="P206">
        <v>8</v>
      </c>
      <c r="Q206">
        <v>1</v>
      </c>
      <c r="R206">
        <v>7</v>
      </c>
      <c r="S206">
        <v>9</v>
      </c>
      <c r="T206">
        <v>5</v>
      </c>
      <c r="U206">
        <v>4</v>
      </c>
      <c r="V206">
        <v>7</v>
      </c>
      <c r="W206">
        <v>1</v>
      </c>
      <c r="X206">
        <v>6</v>
      </c>
      <c r="Y206">
        <v>9</v>
      </c>
      <c r="Z206">
        <v>1</v>
      </c>
      <c r="AA206">
        <v>8</v>
      </c>
      <c r="AB206">
        <v>7</v>
      </c>
      <c r="AC206">
        <v>1</v>
      </c>
      <c r="AD206">
        <v>6</v>
      </c>
      <c r="AE206">
        <v>6</v>
      </c>
      <c r="AF206">
        <v>4</v>
      </c>
      <c r="AG206">
        <v>2</v>
      </c>
      <c r="AH206">
        <v>9</v>
      </c>
      <c r="AI206">
        <v>5</v>
      </c>
      <c r="AJ206">
        <v>4</v>
      </c>
      <c r="AK206" t="s">
        <v>2061</v>
      </c>
      <c r="AL206" t="s">
        <v>2062</v>
      </c>
      <c r="AM206" t="s">
        <v>2063</v>
      </c>
      <c r="AN206" t="s">
        <v>2064</v>
      </c>
      <c r="AO206" t="s">
        <v>2065</v>
      </c>
      <c r="AP206" t="s">
        <v>2066</v>
      </c>
      <c r="AQ206" t="s">
        <v>2067</v>
      </c>
      <c r="AR206" t="s">
        <v>2068</v>
      </c>
      <c r="AS206" t="s">
        <v>2069</v>
      </c>
    </row>
    <row r="207" spans="1:45" x14ac:dyDescent="0.45">
      <c r="A207">
        <v>206</v>
      </c>
      <c r="B207">
        <v>2231</v>
      </c>
      <c r="C207" t="s">
        <v>72</v>
      </c>
      <c r="D207" t="s">
        <v>79</v>
      </c>
      <c r="E207" t="s">
        <v>74</v>
      </c>
      <c r="F207" t="s">
        <v>77</v>
      </c>
      <c r="G207" t="s">
        <v>76</v>
      </c>
      <c r="H207">
        <v>66.754555655497384</v>
      </c>
      <c r="I207">
        <v>1</v>
      </c>
      <c r="J207">
        <v>7</v>
      </c>
      <c r="K207">
        <v>8</v>
      </c>
      <c r="L207">
        <v>-1</v>
      </c>
      <c r="M207">
        <v>6</v>
      </c>
      <c r="N207">
        <v>8</v>
      </c>
      <c r="O207">
        <v>-2</v>
      </c>
      <c r="P207">
        <v>8</v>
      </c>
      <c r="Q207">
        <v>5</v>
      </c>
      <c r="R207">
        <v>3</v>
      </c>
      <c r="S207">
        <v>9</v>
      </c>
      <c r="T207">
        <v>7</v>
      </c>
      <c r="U207">
        <v>2</v>
      </c>
      <c r="V207">
        <v>8</v>
      </c>
      <c r="W207">
        <v>7</v>
      </c>
      <c r="X207">
        <v>1</v>
      </c>
      <c r="Y207">
        <v>9</v>
      </c>
      <c r="Z207">
        <v>6</v>
      </c>
      <c r="AA207">
        <v>3</v>
      </c>
      <c r="AB207">
        <v>8</v>
      </c>
      <c r="AC207">
        <v>6</v>
      </c>
      <c r="AD207">
        <v>2</v>
      </c>
      <c r="AE207">
        <v>7</v>
      </c>
      <c r="AF207">
        <v>7</v>
      </c>
      <c r="AG207">
        <v>0</v>
      </c>
      <c r="AH207">
        <v>9</v>
      </c>
      <c r="AI207">
        <v>7</v>
      </c>
      <c r="AJ207">
        <v>2</v>
      </c>
      <c r="AK207" t="s">
        <v>2070</v>
      </c>
      <c r="AL207" t="s">
        <v>2071</v>
      </c>
      <c r="AM207" t="s">
        <v>2072</v>
      </c>
      <c r="AN207" t="s">
        <v>2073</v>
      </c>
      <c r="AO207" t="s">
        <v>2074</v>
      </c>
      <c r="AP207" t="s">
        <v>2075</v>
      </c>
      <c r="AQ207" t="s">
        <v>2076</v>
      </c>
      <c r="AR207" t="s">
        <v>2077</v>
      </c>
      <c r="AS207" t="s">
        <v>2078</v>
      </c>
    </row>
    <row r="208" spans="1:45" x14ac:dyDescent="0.45">
      <c r="A208">
        <v>207</v>
      </c>
      <c r="B208">
        <v>2232</v>
      </c>
      <c r="C208" t="s">
        <v>78</v>
      </c>
      <c r="D208" t="s">
        <v>73</v>
      </c>
      <c r="E208" t="s">
        <v>74</v>
      </c>
      <c r="F208" t="s">
        <v>77</v>
      </c>
      <c r="G208" t="s">
        <v>76</v>
      </c>
      <c r="H208">
        <v>48.582354279252861</v>
      </c>
      <c r="I208">
        <v>2</v>
      </c>
      <c r="J208">
        <v>9</v>
      </c>
      <c r="K208">
        <v>4</v>
      </c>
      <c r="L208">
        <v>5</v>
      </c>
      <c r="M208">
        <v>8</v>
      </c>
      <c r="N208">
        <v>3</v>
      </c>
      <c r="O208">
        <v>5</v>
      </c>
      <c r="P208">
        <v>7</v>
      </c>
      <c r="Q208">
        <v>1</v>
      </c>
      <c r="R208">
        <v>6</v>
      </c>
      <c r="S208">
        <v>8</v>
      </c>
      <c r="T208">
        <v>2</v>
      </c>
      <c r="U208">
        <v>6</v>
      </c>
      <c r="V208">
        <v>9</v>
      </c>
      <c r="W208">
        <v>1</v>
      </c>
      <c r="X208">
        <v>8</v>
      </c>
      <c r="Y208">
        <v>9</v>
      </c>
      <c r="Z208">
        <v>1</v>
      </c>
      <c r="AA208">
        <v>8</v>
      </c>
      <c r="AB208">
        <v>8</v>
      </c>
      <c r="AC208">
        <v>1</v>
      </c>
      <c r="AD208">
        <v>7</v>
      </c>
      <c r="AE208">
        <v>9</v>
      </c>
      <c r="AF208">
        <v>4</v>
      </c>
      <c r="AG208">
        <v>5</v>
      </c>
      <c r="AH208">
        <v>9</v>
      </c>
      <c r="AI208">
        <v>2</v>
      </c>
      <c r="AJ208">
        <v>7</v>
      </c>
      <c r="AK208" t="s">
        <v>2079</v>
      </c>
      <c r="AL208" t="s">
        <v>2080</v>
      </c>
      <c r="AM208" t="s">
        <v>2081</v>
      </c>
      <c r="AN208" t="s">
        <v>2082</v>
      </c>
      <c r="AO208" t="s">
        <v>2083</v>
      </c>
      <c r="AP208" t="s">
        <v>2084</v>
      </c>
      <c r="AQ208" t="s">
        <v>2085</v>
      </c>
      <c r="AR208" t="s">
        <v>2086</v>
      </c>
      <c r="AS208" t="s">
        <v>2087</v>
      </c>
    </row>
    <row r="209" spans="1:45" x14ac:dyDescent="0.45">
      <c r="A209">
        <v>208</v>
      </c>
      <c r="B209">
        <v>2233</v>
      </c>
      <c r="C209" t="s">
        <v>72</v>
      </c>
      <c r="D209" t="s">
        <v>73</v>
      </c>
      <c r="E209" t="s">
        <v>74</v>
      </c>
      <c r="F209" t="s">
        <v>75</v>
      </c>
      <c r="G209" t="s">
        <v>76</v>
      </c>
      <c r="H209">
        <v>36.61376532837847</v>
      </c>
      <c r="I209">
        <v>1</v>
      </c>
      <c r="J209">
        <v>5</v>
      </c>
      <c r="K209">
        <v>7</v>
      </c>
      <c r="L209">
        <v>-2</v>
      </c>
      <c r="M209">
        <v>6</v>
      </c>
      <c r="N209">
        <v>8</v>
      </c>
      <c r="O209">
        <v>-2</v>
      </c>
      <c r="P209">
        <v>7</v>
      </c>
      <c r="Q209">
        <v>6</v>
      </c>
      <c r="R209">
        <v>1</v>
      </c>
      <c r="S209">
        <v>9</v>
      </c>
      <c r="T209">
        <v>7</v>
      </c>
      <c r="U209">
        <v>2</v>
      </c>
      <c r="V209">
        <v>4</v>
      </c>
      <c r="W209">
        <v>6</v>
      </c>
      <c r="X209">
        <v>-2</v>
      </c>
      <c r="Y209">
        <v>8</v>
      </c>
      <c r="Z209">
        <v>7</v>
      </c>
      <c r="AA209">
        <v>1</v>
      </c>
      <c r="AB209">
        <v>6</v>
      </c>
      <c r="AC209">
        <v>6</v>
      </c>
      <c r="AD209">
        <v>0</v>
      </c>
      <c r="AE209">
        <v>7</v>
      </c>
      <c r="AF209">
        <v>6</v>
      </c>
      <c r="AG209">
        <v>1</v>
      </c>
      <c r="AH209">
        <v>6</v>
      </c>
      <c r="AI209">
        <v>6</v>
      </c>
      <c r="AJ209">
        <v>0</v>
      </c>
      <c r="AK209" t="s">
        <v>2088</v>
      </c>
      <c r="AL209" t="s">
        <v>2089</v>
      </c>
      <c r="AM209" t="s">
        <v>2090</v>
      </c>
      <c r="AN209" t="s">
        <v>2091</v>
      </c>
      <c r="AO209" t="s">
        <v>2092</v>
      </c>
      <c r="AP209" t="s">
        <v>2093</v>
      </c>
      <c r="AQ209" t="s">
        <v>2094</v>
      </c>
      <c r="AR209" t="s">
        <v>2095</v>
      </c>
      <c r="AS209" t="s">
        <v>2096</v>
      </c>
    </row>
    <row r="210" spans="1:45" x14ac:dyDescent="0.45">
      <c r="A210">
        <v>209</v>
      </c>
      <c r="B210">
        <v>2234</v>
      </c>
      <c r="C210" t="s">
        <v>72</v>
      </c>
      <c r="D210" t="s">
        <v>73</v>
      </c>
      <c r="E210" t="s">
        <v>74</v>
      </c>
      <c r="F210" t="s">
        <v>77</v>
      </c>
      <c r="G210" t="s">
        <v>76</v>
      </c>
      <c r="H210">
        <v>37.444890378158497</v>
      </c>
      <c r="I210">
        <v>0</v>
      </c>
      <c r="J210">
        <v>7</v>
      </c>
      <c r="K210">
        <v>6</v>
      </c>
      <c r="L210">
        <v>1</v>
      </c>
      <c r="M210">
        <v>8</v>
      </c>
      <c r="N210">
        <v>6</v>
      </c>
      <c r="O210">
        <v>2</v>
      </c>
      <c r="P210">
        <v>9</v>
      </c>
      <c r="Q210">
        <v>6</v>
      </c>
      <c r="R210">
        <v>3</v>
      </c>
      <c r="S210">
        <v>8</v>
      </c>
      <c r="T210">
        <v>6</v>
      </c>
      <c r="U210">
        <v>2</v>
      </c>
      <c r="V210">
        <v>9</v>
      </c>
      <c r="W210">
        <v>6</v>
      </c>
      <c r="X210">
        <v>3</v>
      </c>
      <c r="Y210">
        <v>8</v>
      </c>
      <c r="Z210">
        <v>5</v>
      </c>
      <c r="AA210">
        <v>3</v>
      </c>
      <c r="AB210">
        <v>9</v>
      </c>
      <c r="AC210">
        <v>6</v>
      </c>
      <c r="AD210">
        <v>3</v>
      </c>
      <c r="AE210">
        <v>8</v>
      </c>
      <c r="AF210">
        <v>6</v>
      </c>
      <c r="AG210">
        <v>2</v>
      </c>
      <c r="AH210">
        <v>9</v>
      </c>
      <c r="AI210">
        <v>6</v>
      </c>
      <c r="AJ210">
        <v>3</v>
      </c>
      <c r="AK210" t="s">
        <v>2097</v>
      </c>
      <c r="AL210" t="s">
        <v>2098</v>
      </c>
      <c r="AM210" t="s">
        <v>2099</v>
      </c>
      <c r="AN210" t="s">
        <v>2100</v>
      </c>
      <c r="AO210" t="s">
        <v>201</v>
      </c>
      <c r="AP210" t="s">
        <v>2101</v>
      </c>
      <c r="AQ210" t="s">
        <v>2102</v>
      </c>
      <c r="AR210" t="s">
        <v>2103</v>
      </c>
      <c r="AS210" t="s">
        <v>2104</v>
      </c>
    </row>
    <row r="211" spans="1:45" x14ac:dyDescent="0.45">
      <c r="A211">
        <v>210</v>
      </c>
      <c r="B211">
        <v>2235</v>
      </c>
      <c r="C211" t="s">
        <v>78</v>
      </c>
      <c r="D211" t="s">
        <v>73</v>
      </c>
      <c r="E211" t="s">
        <v>74</v>
      </c>
      <c r="F211" t="s">
        <v>77</v>
      </c>
      <c r="G211" t="s">
        <v>76</v>
      </c>
      <c r="H211">
        <v>26.478413865656933</v>
      </c>
      <c r="I211">
        <v>0</v>
      </c>
      <c r="J211">
        <v>8</v>
      </c>
      <c r="K211">
        <v>7</v>
      </c>
      <c r="L211">
        <v>1</v>
      </c>
      <c r="M211">
        <v>9</v>
      </c>
      <c r="N211">
        <v>7</v>
      </c>
      <c r="O211">
        <v>2</v>
      </c>
      <c r="P211">
        <v>8</v>
      </c>
      <c r="Q211">
        <v>8</v>
      </c>
      <c r="R211">
        <v>0</v>
      </c>
      <c r="S211">
        <v>9</v>
      </c>
      <c r="T211">
        <v>8</v>
      </c>
      <c r="U211">
        <v>1</v>
      </c>
      <c r="V211">
        <v>8</v>
      </c>
      <c r="W211">
        <v>8</v>
      </c>
      <c r="X211">
        <v>0</v>
      </c>
      <c r="Y211">
        <v>9</v>
      </c>
      <c r="Z211">
        <v>9</v>
      </c>
      <c r="AA211">
        <v>0</v>
      </c>
      <c r="AB211">
        <v>8</v>
      </c>
      <c r="AC211">
        <v>8</v>
      </c>
      <c r="AD211">
        <v>0</v>
      </c>
      <c r="AE211">
        <v>9</v>
      </c>
      <c r="AF211">
        <v>8</v>
      </c>
      <c r="AG211">
        <v>1</v>
      </c>
      <c r="AH211">
        <v>8</v>
      </c>
      <c r="AI211">
        <v>8</v>
      </c>
      <c r="AJ211">
        <v>0</v>
      </c>
      <c r="AK211" t="s">
        <v>2105</v>
      </c>
      <c r="AL211" t="s">
        <v>2106</v>
      </c>
      <c r="AM211" t="s">
        <v>2107</v>
      </c>
      <c r="AN211" t="s">
        <v>2108</v>
      </c>
      <c r="AO211" t="s">
        <v>2109</v>
      </c>
      <c r="AP211" t="s">
        <v>2110</v>
      </c>
      <c r="AQ211" t="s">
        <v>2111</v>
      </c>
      <c r="AR211" t="s">
        <v>2112</v>
      </c>
      <c r="AS211" t="s">
        <v>2113</v>
      </c>
    </row>
    <row r="212" spans="1:45" x14ac:dyDescent="0.45">
      <c r="A212">
        <v>211</v>
      </c>
      <c r="B212">
        <v>2236</v>
      </c>
      <c r="C212" t="s">
        <v>72</v>
      </c>
      <c r="D212" t="s">
        <v>73</v>
      </c>
      <c r="E212" t="s">
        <v>74</v>
      </c>
      <c r="F212" t="s">
        <v>77</v>
      </c>
      <c r="G212" t="s">
        <v>76</v>
      </c>
      <c r="H212">
        <v>56.273450871487782</v>
      </c>
      <c r="I212">
        <v>1</v>
      </c>
      <c r="J212">
        <v>7</v>
      </c>
      <c r="K212">
        <v>7</v>
      </c>
      <c r="L212">
        <v>0</v>
      </c>
      <c r="M212">
        <v>6</v>
      </c>
      <c r="N212">
        <v>7</v>
      </c>
      <c r="O212">
        <v>-1</v>
      </c>
      <c r="P212">
        <v>8</v>
      </c>
      <c r="Q212">
        <v>7</v>
      </c>
      <c r="R212">
        <v>1</v>
      </c>
      <c r="S212">
        <v>9</v>
      </c>
      <c r="T212">
        <v>7</v>
      </c>
      <c r="U212">
        <v>2</v>
      </c>
      <c r="V212">
        <v>7</v>
      </c>
      <c r="W212">
        <v>7</v>
      </c>
      <c r="X212">
        <v>0</v>
      </c>
      <c r="Y212">
        <v>8</v>
      </c>
      <c r="Z212">
        <v>7</v>
      </c>
      <c r="AA212">
        <v>1</v>
      </c>
      <c r="AB212">
        <v>7</v>
      </c>
      <c r="AC212">
        <v>7</v>
      </c>
      <c r="AD212">
        <v>0</v>
      </c>
      <c r="AE212">
        <v>6</v>
      </c>
      <c r="AF212">
        <v>7</v>
      </c>
      <c r="AG212">
        <v>-1</v>
      </c>
      <c r="AH212">
        <v>9</v>
      </c>
      <c r="AI212">
        <v>7</v>
      </c>
      <c r="AJ212">
        <v>2</v>
      </c>
      <c r="AK212" t="s">
        <v>2114</v>
      </c>
      <c r="AL212" t="s">
        <v>2115</v>
      </c>
      <c r="AM212" t="s">
        <v>2116</v>
      </c>
      <c r="AN212" t="s">
        <v>2117</v>
      </c>
      <c r="AO212" t="s">
        <v>2118</v>
      </c>
      <c r="AP212" t="s">
        <v>2119</v>
      </c>
      <c r="AQ212" t="s">
        <v>2120</v>
      </c>
      <c r="AR212" t="s">
        <v>2121</v>
      </c>
      <c r="AS212" t="s">
        <v>2122</v>
      </c>
    </row>
    <row r="213" spans="1:45" x14ac:dyDescent="0.45">
      <c r="A213">
        <v>212</v>
      </c>
      <c r="B213">
        <v>2237</v>
      </c>
      <c r="C213" t="s">
        <v>72</v>
      </c>
      <c r="D213" t="s">
        <v>73</v>
      </c>
      <c r="E213" t="s">
        <v>74</v>
      </c>
      <c r="F213" t="s">
        <v>77</v>
      </c>
      <c r="G213" t="s">
        <v>76</v>
      </c>
      <c r="H213">
        <v>64.505820703954043</v>
      </c>
      <c r="I213">
        <v>0</v>
      </c>
      <c r="J213">
        <v>6</v>
      </c>
      <c r="K213">
        <v>5</v>
      </c>
      <c r="L213">
        <v>1</v>
      </c>
      <c r="M213">
        <v>5</v>
      </c>
      <c r="N213">
        <v>5</v>
      </c>
      <c r="O213">
        <v>0</v>
      </c>
      <c r="P213">
        <v>7</v>
      </c>
      <c r="Q213">
        <v>1</v>
      </c>
      <c r="R213">
        <v>6</v>
      </c>
      <c r="S213">
        <v>8</v>
      </c>
      <c r="T213">
        <v>5</v>
      </c>
      <c r="U213">
        <v>3</v>
      </c>
      <c r="V213">
        <v>6</v>
      </c>
      <c r="W213">
        <v>5</v>
      </c>
      <c r="X213">
        <v>1</v>
      </c>
      <c r="Y213">
        <v>9</v>
      </c>
      <c r="Z213">
        <v>5</v>
      </c>
      <c r="AA213">
        <v>4</v>
      </c>
      <c r="AB213">
        <v>7</v>
      </c>
      <c r="AC213">
        <v>4</v>
      </c>
      <c r="AD213">
        <v>3</v>
      </c>
      <c r="AE213">
        <v>8</v>
      </c>
      <c r="AF213">
        <v>5</v>
      </c>
      <c r="AG213">
        <v>3</v>
      </c>
      <c r="AH213">
        <v>9</v>
      </c>
      <c r="AI213">
        <v>5</v>
      </c>
      <c r="AJ213">
        <v>4</v>
      </c>
      <c r="AK213" t="s">
        <v>2123</v>
      </c>
      <c r="AL213" t="s">
        <v>2124</v>
      </c>
      <c r="AM213" t="s">
        <v>2125</v>
      </c>
      <c r="AN213" t="s">
        <v>2126</v>
      </c>
      <c r="AO213" t="s">
        <v>2127</v>
      </c>
      <c r="AP213" t="s">
        <v>2128</v>
      </c>
      <c r="AQ213" t="s">
        <v>2129</v>
      </c>
      <c r="AR213" t="s">
        <v>2130</v>
      </c>
      <c r="AS213" t="s">
        <v>2131</v>
      </c>
    </row>
    <row r="214" spans="1:45" x14ac:dyDescent="0.45">
      <c r="A214">
        <v>213</v>
      </c>
      <c r="B214">
        <v>2238</v>
      </c>
      <c r="C214" t="s">
        <v>72</v>
      </c>
      <c r="D214" t="s">
        <v>73</v>
      </c>
      <c r="E214" t="s">
        <v>74</v>
      </c>
      <c r="F214" t="s">
        <v>77</v>
      </c>
      <c r="G214" t="s">
        <v>76</v>
      </c>
      <c r="H214">
        <v>56.55646127419498</v>
      </c>
      <c r="I214">
        <v>4</v>
      </c>
      <c r="J214">
        <v>7</v>
      </c>
      <c r="K214">
        <v>7</v>
      </c>
      <c r="L214">
        <v>0</v>
      </c>
      <c r="M214">
        <v>6</v>
      </c>
      <c r="N214">
        <v>8</v>
      </c>
      <c r="O214">
        <v>-2</v>
      </c>
      <c r="P214">
        <v>8</v>
      </c>
      <c r="Q214">
        <v>8</v>
      </c>
      <c r="R214">
        <v>0</v>
      </c>
      <c r="S214">
        <v>9</v>
      </c>
      <c r="T214">
        <v>8</v>
      </c>
      <c r="U214">
        <v>1</v>
      </c>
      <c r="V214">
        <v>7</v>
      </c>
      <c r="W214">
        <v>8</v>
      </c>
      <c r="X214">
        <v>-1</v>
      </c>
      <c r="Y214">
        <v>9</v>
      </c>
      <c r="Z214">
        <v>8</v>
      </c>
      <c r="AA214">
        <v>1</v>
      </c>
      <c r="AB214">
        <v>7</v>
      </c>
      <c r="AC214">
        <v>8</v>
      </c>
      <c r="AD214">
        <v>-1</v>
      </c>
      <c r="AE214">
        <v>8</v>
      </c>
      <c r="AF214">
        <v>8</v>
      </c>
      <c r="AG214">
        <v>0</v>
      </c>
      <c r="AH214">
        <v>9</v>
      </c>
      <c r="AI214">
        <v>8</v>
      </c>
      <c r="AJ214">
        <v>1</v>
      </c>
      <c r="AK214" t="s">
        <v>2132</v>
      </c>
      <c r="AL214" t="s">
        <v>2133</v>
      </c>
      <c r="AM214" t="s">
        <v>2134</v>
      </c>
      <c r="AN214" t="s">
        <v>2135</v>
      </c>
      <c r="AO214" t="s">
        <v>2136</v>
      </c>
      <c r="AP214" t="s">
        <v>2137</v>
      </c>
      <c r="AQ214" t="s">
        <v>2138</v>
      </c>
      <c r="AR214" t="s">
        <v>2139</v>
      </c>
      <c r="AS214" t="s">
        <v>2140</v>
      </c>
    </row>
    <row r="215" spans="1:45" x14ac:dyDescent="0.45">
      <c r="A215">
        <v>214</v>
      </c>
      <c r="B215">
        <v>2239</v>
      </c>
      <c r="C215" t="s">
        <v>72</v>
      </c>
      <c r="D215" t="s">
        <v>73</v>
      </c>
      <c r="E215" t="s">
        <v>74</v>
      </c>
      <c r="F215" t="s">
        <v>75</v>
      </c>
      <c r="G215" t="s">
        <v>76</v>
      </c>
      <c r="H215">
        <v>62.367035847502066</v>
      </c>
      <c r="I215">
        <v>4</v>
      </c>
      <c r="J215">
        <v>6</v>
      </c>
      <c r="K215">
        <v>9</v>
      </c>
      <c r="L215">
        <v>-3</v>
      </c>
      <c r="M215">
        <v>7</v>
      </c>
      <c r="N215">
        <v>9</v>
      </c>
      <c r="O215">
        <v>-2</v>
      </c>
      <c r="P215">
        <v>8</v>
      </c>
      <c r="Q215">
        <v>9</v>
      </c>
      <c r="R215">
        <v>-1</v>
      </c>
      <c r="S215">
        <v>9</v>
      </c>
      <c r="T215">
        <v>9</v>
      </c>
      <c r="U215">
        <v>0</v>
      </c>
      <c r="V215">
        <v>7</v>
      </c>
      <c r="W215">
        <v>9</v>
      </c>
      <c r="X215">
        <v>-2</v>
      </c>
      <c r="Y215">
        <v>9</v>
      </c>
      <c r="Z215">
        <v>9</v>
      </c>
      <c r="AA215">
        <v>0</v>
      </c>
      <c r="AB215">
        <v>7</v>
      </c>
      <c r="AC215">
        <v>9</v>
      </c>
      <c r="AD215">
        <v>-2</v>
      </c>
      <c r="AE215">
        <v>6</v>
      </c>
      <c r="AF215">
        <v>9</v>
      </c>
      <c r="AG215">
        <v>-3</v>
      </c>
      <c r="AH215">
        <v>8</v>
      </c>
      <c r="AI215">
        <v>9</v>
      </c>
      <c r="AJ215">
        <v>-1</v>
      </c>
      <c r="AK215" t="s">
        <v>2141</v>
      </c>
      <c r="AL215" t="s">
        <v>2142</v>
      </c>
      <c r="AM215" t="s">
        <v>2143</v>
      </c>
      <c r="AN215" t="s">
        <v>2144</v>
      </c>
      <c r="AO215" t="s">
        <v>2145</v>
      </c>
      <c r="AP215" t="s">
        <v>2146</v>
      </c>
      <c r="AQ215" t="s">
        <v>2147</v>
      </c>
      <c r="AR215" t="s">
        <v>2148</v>
      </c>
      <c r="AS215" t="s">
        <v>2149</v>
      </c>
    </row>
    <row r="216" spans="1:45" x14ac:dyDescent="0.45">
      <c r="A216">
        <v>215</v>
      </c>
      <c r="B216">
        <v>2240</v>
      </c>
      <c r="C216" t="s">
        <v>72</v>
      </c>
      <c r="D216" t="s">
        <v>73</v>
      </c>
      <c r="E216" t="s">
        <v>74</v>
      </c>
      <c r="F216" t="s">
        <v>75</v>
      </c>
      <c r="G216" t="s">
        <v>76</v>
      </c>
      <c r="H216">
        <v>21.156921352696777</v>
      </c>
      <c r="I216">
        <v>2</v>
      </c>
      <c r="J216">
        <v>8</v>
      </c>
      <c r="K216">
        <v>5</v>
      </c>
      <c r="L216">
        <v>3</v>
      </c>
      <c r="M216">
        <v>7</v>
      </c>
      <c r="N216">
        <v>5</v>
      </c>
      <c r="O216">
        <v>2</v>
      </c>
      <c r="P216">
        <v>9</v>
      </c>
      <c r="Q216">
        <v>5</v>
      </c>
      <c r="R216">
        <v>4</v>
      </c>
      <c r="S216">
        <v>8</v>
      </c>
      <c r="T216">
        <v>5</v>
      </c>
      <c r="U216">
        <v>3</v>
      </c>
      <c r="V216">
        <v>9</v>
      </c>
      <c r="W216">
        <v>5</v>
      </c>
      <c r="X216">
        <v>4</v>
      </c>
      <c r="Y216">
        <v>8</v>
      </c>
      <c r="Z216">
        <v>5</v>
      </c>
      <c r="AA216">
        <v>3</v>
      </c>
      <c r="AB216">
        <v>9</v>
      </c>
      <c r="AC216">
        <v>5</v>
      </c>
      <c r="AD216">
        <v>4</v>
      </c>
      <c r="AE216">
        <v>8</v>
      </c>
      <c r="AF216">
        <v>5</v>
      </c>
      <c r="AG216">
        <v>3</v>
      </c>
      <c r="AH216">
        <v>9</v>
      </c>
      <c r="AI216">
        <v>5</v>
      </c>
      <c r="AJ216">
        <v>4</v>
      </c>
      <c r="AK216" t="s">
        <v>2150</v>
      </c>
      <c r="AL216" t="s">
        <v>2151</v>
      </c>
      <c r="AM216" t="s">
        <v>2152</v>
      </c>
      <c r="AN216" t="s">
        <v>2153</v>
      </c>
      <c r="AO216" t="s">
        <v>2154</v>
      </c>
      <c r="AP216" t="s">
        <v>2155</v>
      </c>
      <c r="AQ216" t="s">
        <v>2156</v>
      </c>
      <c r="AR216" t="s">
        <v>2157</v>
      </c>
      <c r="AS216" t="s">
        <v>2158</v>
      </c>
    </row>
    <row r="217" spans="1:45" x14ac:dyDescent="0.45">
      <c r="A217">
        <v>216</v>
      </c>
      <c r="B217">
        <v>2241</v>
      </c>
      <c r="C217" t="s">
        <v>72</v>
      </c>
      <c r="D217" t="s">
        <v>73</v>
      </c>
      <c r="E217" t="s">
        <v>74</v>
      </c>
      <c r="F217" t="s">
        <v>75</v>
      </c>
      <c r="G217" t="s">
        <v>76</v>
      </c>
      <c r="H217">
        <v>46.732707487689403</v>
      </c>
      <c r="I217">
        <v>1</v>
      </c>
      <c r="J217">
        <v>6</v>
      </c>
      <c r="K217">
        <v>6</v>
      </c>
      <c r="L217">
        <v>0</v>
      </c>
      <c r="M217">
        <v>6</v>
      </c>
      <c r="N217">
        <v>7</v>
      </c>
      <c r="O217">
        <v>-1</v>
      </c>
      <c r="P217">
        <v>9</v>
      </c>
      <c r="Q217">
        <v>7</v>
      </c>
      <c r="R217">
        <v>2</v>
      </c>
      <c r="S217">
        <v>9</v>
      </c>
      <c r="T217">
        <v>7</v>
      </c>
      <c r="U217">
        <v>2</v>
      </c>
      <c r="V217">
        <v>8</v>
      </c>
      <c r="W217">
        <v>6</v>
      </c>
      <c r="X217">
        <v>2</v>
      </c>
      <c r="Y217">
        <v>8</v>
      </c>
      <c r="Z217">
        <v>7</v>
      </c>
      <c r="AA217">
        <v>1</v>
      </c>
      <c r="AB217">
        <v>7</v>
      </c>
      <c r="AC217">
        <v>7</v>
      </c>
      <c r="AD217">
        <v>0</v>
      </c>
      <c r="AE217">
        <v>8</v>
      </c>
      <c r="AF217">
        <v>7</v>
      </c>
      <c r="AG217">
        <v>1</v>
      </c>
      <c r="AH217">
        <v>7</v>
      </c>
      <c r="AI217">
        <v>7</v>
      </c>
      <c r="AJ217">
        <v>0</v>
      </c>
      <c r="AK217" t="s">
        <v>2159</v>
      </c>
      <c r="AL217" t="s">
        <v>2160</v>
      </c>
      <c r="AM217" t="s">
        <v>2161</v>
      </c>
      <c r="AN217" t="s">
        <v>2162</v>
      </c>
      <c r="AO217" t="s">
        <v>2163</v>
      </c>
      <c r="AP217" t="s">
        <v>2164</v>
      </c>
      <c r="AQ217" t="s">
        <v>2165</v>
      </c>
      <c r="AR217" t="s">
        <v>2166</v>
      </c>
      <c r="AS217" t="s">
        <v>2167</v>
      </c>
    </row>
    <row r="218" spans="1:45" x14ac:dyDescent="0.45">
      <c r="A218">
        <v>217</v>
      </c>
      <c r="B218">
        <v>2242</v>
      </c>
      <c r="C218" t="s">
        <v>78</v>
      </c>
      <c r="D218" t="s">
        <v>73</v>
      </c>
      <c r="E218" t="s">
        <v>74</v>
      </c>
      <c r="F218" t="s">
        <v>77</v>
      </c>
      <c r="G218" t="s">
        <v>76</v>
      </c>
      <c r="H218">
        <v>44.52353099344927</v>
      </c>
      <c r="I218">
        <v>0</v>
      </c>
      <c r="J218">
        <v>7</v>
      </c>
      <c r="K218">
        <v>5</v>
      </c>
      <c r="L218">
        <v>2</v>
      </c>
      <c r="M218">
        <v>8</v>
      </c>
      <c r="N218">
        <v>5</v>
      </c>
      <c r="O218">
        <v>3</v>
      </c>
      <c r="P218">
        <v>9</v>
      </c>
      <c r="Q218">
        <v>5</v>
      </c>
      <c r="R218">
        <v>4</v>
      </c>
      <c r="S218">
        <v>10</v>
      </c>
      <c r="T218">
        <v>6</v>
      </c>
      <c r="U218">
        <v>4</v>
      </c>
      <c r="V218">
        <v>7</v>
      </c>
      <c r="W218">
        <v>5</v>
      </c>
      <c r="X218">
        <v>2</v>
      </c>
      <c r="Y218">
        <v>9</v>
      </c>
      <c r="Z218">
        <v>5</v>
      </c>
      <c r="AA218">
        <v>4</v>
      </c>
      <c r="AB218">
        <v>8</v>
      </c>
      <c r="AC218">
        <v>5</v>
      </c>
      <c r="AD218">
        <v>3</v>
      </c>
      <c r="AE218">
        <v>9</v>
      </c>
      <c r="AF218">
        <v>5</v>
      </c>
      <c r="AG218">
        <v>4</v>
      </c>
      <c r="AH218">
        <v>10</v>
      </c>
      <c r="AI218">
        <v>5</v>
      </c>
      <c r="AJ218">
        <v>5</v>
      </c>
      <c r="AK218" t="s">
        <v>2168</v>
      </c>
      <c r="AL218" t="s">
        <v>2169</v>
      </c>
      <c r="AM218" t="s">
        <v>2170</v>
      </c>
      <c r="AN218" t="s">
        <v>2171</v>
      </c>
      <c r="AO218" t="s">
        <v>2172</v>
      </c>
      <c r="AP218" t="s">
        <v>2173</v>
      </c>
      <c r="AQ218" t="s">
        <v>82</v>
      </c>
      <c r="AR218" t="s">
        <v>2174</v>
      </c>
      <c r="AS218" t="s">
        <v>2175</v>
      </c>
    </row>
    <row r="219" spans="1:45" x14ac:dyDescent="0.45">
      <c r="A219">
        <v>218</v>
      </c>
      <c r="B219">
        <v>2243</v>
      </c>
      <c r="C219" t="s">
        <v>72</v>
      </c>
      <c r="D219" t="s">
        <v>73</v>
      </c>
      <c r="E219" t="s">
        <v>74</v>
      </c>
      <c r="F219" t="s">
        <v>77</v>
      </c>
      <c r="G219" t="s">
        <v>76</v>
      </c>
      <c r="H219">
        <v>56.230318205755836</v>
      </c>
      <c r="I219">
        <v>3</v>
      </c>
      <c r="J219">
        <v>7</v>
      </c>
      <c r="K219">
        <v>6</v>
      </c>
      <c r="L219">
        <v>1</v>
      </c>
      <c r="M219">
        <v>8</v>
      </c>
      <c r="N219">
        <v>7</v>
      </c>
      <c r="O219">
        <v>1</v>
      </c>
      <c r="P219">
        <v>9</v>
      </c>
      <c r="Q219">
        <v>7</v>
      </c>
      <c r="R219">
        <v>2</v>
      </c>
      <c r="S219">
        <v>9</v>
      </c>
      <c r="T219">
        <v>7</v>
      </c>
      <c r="U219">
        <v>2</v>
      </c>
      <c r="V219">
        <v>8</v>
      </c>
      <c r="W219">
        <v>7</v>
      </c>
      <c r="X219">
        <v>1</v>
      </c>
      <c r="Y219">
        <v>8</v>
      </c>
      <c r="Z219">
        <v>7</v>
      </c>
      <c r="AA219">
        <v>1</v>
      </c>
      <c r="AB219">
        <v>7</v>
      </c>
      <c r="AC219">
        <v>7</v>
      </c>
      <c r="AD219">
        <v>0</v>
      </c>
      <c r="AE219">
        <v>8</v>
      </c>
      <c r="AF219">
        <v>7</v>
      </c>
      <c r="AG219">
        <v>1</v>
      </c>
      <c r="AH219">
        <v>9</v>
      </c>
      <c r="AI219">
        <v>7</v>
      </c>
      <c r="AJ219">
        <v>2</v>
      </c>
      <c r="AK219" t="s">
        <v>2176</v>
      </c>
      <c r="AL219" t="s">
        <v>2177</v>
      </c>
      <c r="AM219" t="s">
        <v>2178</v>
      </c>
      <c r="AN219" t="s">
        <v>2179</v>
      </c>
      <c r="AO219" t="s">
        <v>2180</v>
      </c>
      <c r="AP219" t="s">
        <v>2181</v>
      </c>
      <c r="AQ219" t="s">
        <v>2182</v>
      </c>
      <c r="AR219" t="s">
        <v>2183</v>
      </c>
      <c r="AS219" t="s">
        <v>2184</v>
      </c>
    </row>
    <row r="220" spans="1:45" x14ac:dyDescent="0.45">
      <c r="A220">
        <v>219</v>
      </c>
      <c r="B220">
        <v>2244</v>
      </c>
      <c r="C220" t="s">
        <v>78</v>
      </c>
      <c r="D220" t="s">
        <v>194</v>
      </c>
      <c r="E220" t="s">
        <v>74</v>
      </c>
      <c r="F220" t="s">
        <v>75</v>
      </c>
      <c r="G220" t="s">
        <v>76</v>
      </c>
      <c r="H220">
        <v>182.44724905347212</v>
      </c>
      <c r="I220">
        <v>2</v>
      </c>
      <c r="J220">
        <v>8</v>
      </c>
      <c r="K220">
        <v>7</v>
      </c>
      <c r="L220">
        <v>1</v>
      </c>
      <c r="M220">
        <v>9</v>
      </c>
      <c r="N220">
        <v>8</v>
      </c>
      <c r="O220">
        <v>1</v>
      </c>
      <c r="P220">
        <v>8</v>
      </c>
      <c r="Q220">
        <v>8</v>
      </c>
      <c r="R220">
        <v>0</v>
      </c>
      <c r="S220">
        <v>9</v>
      </c>
      <c r="T220">
        <v>8</v>
      </c>
      <c r="U220">
        <v>1</v>
      </c>
      <c r="V220">
        <v>8</v>
      </c>
      <c r="W220">
        <v>8</v>
      </c>
      <c r="X220">
        <v>0</v>
      </c>
      <c r="Y220">
        <v>9</v>
      </c>
      <c r="Z220">
        <v>5</v>
      </c>
      <c r="AA220">
        <v>4</v>
      </c>
      <c r="AB220">
        <v>8</v>
      </c>
      <c r="AC220">
        <v>5</v>
      </c>
      <c r="AD220">
        <v>3</v>
      </c>
      <c r="AE220">
        <v>9</v>
      </c>
      <c r="AF220">
        <v>7</v>
      </c>
      <c r="AG220">
        <v>2</v>
      </c>
      <c r="AH220">
        <v>8</v>
      </c>
      <c r="AI220">
        <v>6</v>
      </c>
      <c r="AJ220">
        <v>2</v>
      </c>
      <c r="AK220" t="s">
        <v>2185</v>
      </c>
      <c r="AL220" t="s">
        <v>2186</v>
      </c>
      <c r="AM220" t="s">
        <v>2187</v>
      </c>
      <c r="AN220" t="s">
        <v>2188</v>
      </c>
      <c r="AO220" t="s">
        <v>2189</v>
      </c>
      <c r="AP220" t="s">
        <v>2190</v>
      </c>
      <c r="AQ220" t="s">
        <v>2191</v>
      </c>
      <c r="AR220" t="s">
        <v>2192</v>
      </c>
      <c r="AS220" t="s">
        <v>2193</v>
      </c>
    </row>
    <row r="221" spans="1:45" x14ac:dyDescent="0.45">
      <c r="A221">
        <v>220</v>
      </c>
      <c r="B221">
        <v>2245</v>
      </c>
      <c r="C221" t="s">
        <v>72</v>
      </c>
      <c r="D221" t="s">
        <v>192</v>
      </c>
      <c r="E221" t="s">
        <v>74</v>
      </c>
      <c r="F221" t="s">
        <v>75</v>
      </c>
      <c r="G221" t="s">
        <v>76</v>
      </c>
      <c r="H221">
        <v>196.9270448940442</v>
      </c>
      <c r="I221">
        <v>1</v>
      </c>
      <c r="J221">
        <v>6</v>
      </c>
      <c r="K221">
        <v>10</v>
      </c>
      <c r="L221">
        <v>-4</v>
      </c>
      <c r="M221">
        <v>6</v>
      </c>
      <c r="N221">
        <v>10</v>
      </c>
      <c r="O221">
        <v>-4</v>
      </c>
      <c r="P221">
        <v>8</v>
      </c>
      <c r="Q221">
        <v>6</v>
      </c>
      <c r="R221">
        <v>2</v>
      </c>
      <c r="S221">
        <v>9</v>
      </c>
      <c r="T221">
        <v>9</v>
      </c>
      <c r="U221">
        <v>0</v>
      </c>
      <c r="V221">
        <v>7</v>
      </c>
      <c r="W221">
        <v>9</v>
      </c>
      <c r="X221">
        <v>-2</v>
      </c>
      <c r="Y221">
        <v>9</v>
      </c>
      <c r="Z221">
        <v>9</v>
      </c>
      <c r="AA221">
        <v>0</v>
      </c>
      <c r="AB221">
        <v>8</v>
      </c>
      <c r="AC221">
        <v>9</v>
      </c>
      <c r="AD221">
        <v>-1</v>
      </c>
      <c r="AE221">
        <v>7</v>
      </c>
      <c r="AF221">
        <v>8</v>
      </c>
      <c r="AG221">
        <v>-1</v>
      </c>
      <c r="AH221">
        <v>9</v>
      </c>
      <c r="AI221">
        <v>8</v>
      </c>
      <c r="AJ221">
        <v>1</v>
      </c>
      <c r="AK221" t="s">
        <v>2194</v>
      </c>
      <c r="AL221" t="s">
        <v>2195</v>
      </c>
      <c r="AM221" t="s">
        <v>2196</v>
      </c>
      <c r="AN221" t="s">
        <v>2197</v>
      </c>
      <c r="AO221" t="s">
        <v>2198</v>
      </c>
      <c r="AP221" t="s">
        <v>2199</v>
      </c>
      <c r="AQ221" t="s">
        <v>2200</v>
      </c>
      <c r="AR221" t="s">
        <v>2201</v>
      </c>
      <c r="AS221" t="s">
        <v>2202</v>
      </c>
    </row>
    <row r="222" spans="1:45" x14ac:dyDescent="0.45">
      <c r="A222">
        <v>221</v>
      </c>
      <c r="B222">
        <v>2246</v>
      </c>
      <c r="C222" t="s">
        <v>72</v>
      </c>
      <c r="D222" t="s">
        <v>79</v>
      </c>
      <c r="E222" t="s">
        <v>74</v>
      </c>
      <c r="F222" t="s">
        <v>77</v>
      </c>
      <c r="G222" t="s">
        <v>76</v>
      </c>
      <c r="H222">
        <v>55.586348861787485</v>
      </c>
      <c r="I222">
        <v>1</v>
      </c>
      <c r="J222">
        <v>7</v>
      </c>
      <c r="K222">
        <v>4</v>
      </c>
      <c r="L222">
        <v>3</v>
      </c>
      <c r="M222">
        <v>6</v>
      </c>
      <c r="N222">
        <v>4</v>
      </c>
      <c r="O222">
        <v>2</v>
      </c>
      <c r="P222">
        <v>9</v>
      </c>
      <c r="Q222">
        <v>4</v>
      </c>
      <c r="R222">
        <v>5</v>
      </c>
      <c r="S222">
        <v>8</v>
      </c>
      <c r="T222">
        <v>6</v>
      </c>
      <c r="U222">
        <v>2</v>
      </c>
      <c r="V222">
        <v>7</v>
      </c>
      <c r="W222">
        <v>5</v>
      </c>
      <c r="X222">
        <v>2</v>
      </c>
      <c r="Y222">
        <v>9</v>
      </c>
      <c r="Z222">
        <v>6</v>
      </c>
      <c r="AA222">
        <v>3</v>
      </c>
      <c r="AB222">
        <v>8</v>
      </c>
      <c r="AC222">
        <v>5</v>
      </c>
      <c r="AD222">
        <v>3</v>
      </c>
      <c r="AE222">
        <v>7</v>
      </c>
      <c r="AF222">
        <v>6</v>
      </c>
      <c r="AG222">
        <v>1</v>
      </c>
      <c r="AH222">
        <v>8</v>
      </c>
      <c r="AI222">
        <v>5</v>
      </c>
      <c r="AJ222">
        <v>3</v>
      </c>
      <c r="AK222" t="s">
        <v>2203</v>
      </c>
      <c r="AL222" t="s">
        <v>2204</v>
      </c>
      <c r="AM222" t="s">
        <v>2205</v>
      </c>
      <c r="AN222" t="s">
        <v>2206</v>
      </c>
      <c r="AO222" t="s">
        <v>2207</v>
      </c>
      <c r="AP222" t="s">
        <v>2208</v>
      </c>
      <c r="AQ222" t="s">
        <v>2209</v>
      </c>
      <c r="AR222" t="s">
        <v>2210</v>
      </c>
      <c r="AS222" t="s">
        <v>2211</v>
      </c>
    </row>
    <row r="223" spans="1:45" x14ac:dyDescent="0.45">
      <c r="A223">
        <v>222</v>
      </c>
      <c r="B223">
        <v>2247</v>
      </c>
      <c r="C223" t="s">
        <v>72</v>
      </c>
      <c r="D223" t="s">
        <v>192</v>
      </c>
      <c r="E223" t="s">
        <v>74</v>
      </c>
      <c r="F223" t="s">
        <v>77</v>
      </c>
      <c r="G223" t="s">
        <v>76</v>
      </c>
      <c r="H223">
        <v>49.179815053040443</v>
      </c>
      <c r="I223">
        <v>2</v>
      </c>
      <c r="J223">
        <v>6</v>
      </c>
      <c r="K223">
        <v>4</v>
      </c>
      <c r="L223">
        <v>2</v>
      </c>
      <c r="M223">
        <v>5</v>
      </c>
      <c r="N223">
        <v>5</v>
      </c>
      <c r="O223">
        <v>0</v>
      </c>
      <c r="P223">
        <v>8</v>
      </c>
      <c r="Q223">
        <v>4</v>
      </c>
      <c r="R223">
        <v>4</v>
      </c>
      <c r="S223">
        <v>9</v>
      </c>
      <c r="T223">
        <v>5</v>
      </c>
      <c r="U223">
        <v>4</v>
      </c>
      <c r="V223">
        <v>7</v>
      </c>
      <c r="W223">
        <v>5</v>
      </c>
      <c r="X223">
        <v>2</v>
      </c>
      <c r="Y223">
        <v>8</v>
      </c>
      <c r="Z223">
        <v>5</v>
      </c>
      <c r="AA223">
        <v>3</v>
      </c>
      <c r="AB223">
        <v>7</v>
      </c>
      <c r="AC223">
        <v>5</v>
      </c>
      <c r="AD223">
        <v>2</v>
      </c>
      <c r="AE223">
        <v>8</v>
      </c>
      <c r="AF223">
        <v>5</v>
      </c>
      <c r="AG223">
        <v>3</v>
      </c>
      <c r="AH223">
        <v>7</v>
      </c>
      <c r="AI223">
        <v>5</v>
      </c>
      <c r="AJ223">
        <v>2</v>
      </c>
      <c r="AK223" t="s">
        <v>202</v>
      </c>
      <c r="AL223" t="s">
        <v>202</v>
      </c>
      <c r="AM223" t="s">
        <v>202</v>
      </c>
      <c r="AN223" t="s">
        <v>202</v>
      </c>
      <c r="AO223" t="s">
        <v>202</v>
      </c>
      <c r="AP223" t="s">
        <v>202</v>
      </c>
      <c r="AQ223" t="s">
        <v>202</v>
      </c>
      <c r="AR223" t="s">
        <v>202</v>
      </c>
      <c r="AS223" t="s">
        <v>202</v>
      </c>
    </row>
    <row r="224" spans="1:45" x14ac:dyDescent="0.45">
      <c r="A224">
        <v>223</v>
      </c>
      <c r="B224">
        <v>2248</v>
      </c>
      <c r="C224" t="s">
        <v>78</v>
      </c>
      <c r="D224" t="s">
        <v>73</v>
      </c>
      <c r="E224" t="s">
        <v>74</v>
      </c>
      <c r="F224" t="s">
        <v>77</v>
      </c>
      <c r="G224" t="s">
        <v>76</v>
      </c>
      <c r="H224">
        <v>68.345061331934133</v>
      </c>
      <c r="I224">
        <v>2</v>
      </c>
      <c r="J224">
        <v>8</v>
      </c>
      <c r="K224">
        <v>6</v>
      </c>
      <c r="L224">
        <v>2</v>
      </c>
      <c r="M224">
        <v>8</v>
      </c>
      <c r="N224">
        <v>6</v>
      </c>
      <c r="O224">
        <v>2</v>
      </c>
      <c r="P224">
        <v>9</v>
      </c>
      <c r="Q224">
        <v>7</v>
      </c>
      <c r="R224">
        <v>2</v>
      </c>
      <c r="S224">
        <v>8</v>
      </c>
      <c r="T224">
        <v>7</v>
      </c>
      <c r="U224">
        <v>1</v>
      </c>
      <c r="V224">
        <v>8</v>
      </c>
      <c r="W224">
        <v>6</v>
      </c>
      <c r="X224">
        <v>2</v>
      </c>
      <c r="Y224">
        <v>9</v>
      </c>
      <c r="Z224">
        <v>6</v>
      </c>
      <c r="AA224">
        <v>3</v>
      </c>
      <c r="AB224">
        <v>8</v>
      </c>
      <c r="AC224">
        <v>8</v>
      </c>
      <c r="AD224">
        <v>0</v>
      </c>
      <c r="AE224">
        <v>8</v>
      </c>
      <c r="AF224">
        <v>8</v>
      </c>
      <c r="AG224">
        <v>0</v>
      </c>
      <c r="AH224">
        <v>9</v>
      </c>
      <c r="AI224">
        <v>7</v>
      </c>
      <c r="AJ224">
        <v>2</v>
      </c>
      <c r="AK224" t="s">
        <v>2212</v>
      </c>
      <c r="AL224" t="s">
        <v>2213</v>
      </c>
      <c r="AM224" t="s">
        <v>2214</v>
      </c>
      <c r="AN224" t="s">
        <v>2215</v>
      </c>
      <c r="AO224" t="s">
        <v>2216</v>
      </c>
      <c r="AP224" t="s">
        <v>2217</v>
      </c>
      <c r="AQ224" t="s">
        <v>2218</v>
      </c>
      <c r="AR224" t="s">
        <v>2219</v>
      </c>
      <c r="AS224" t="s">
        <v>2220</v>
      </c>
    </row>
    <row r="225" spans="1:45" x14ac:dyDescent="0.45">
      <c r="A225">
        <v>224</v>
      </c>
      <c r="B225">
        <v>2249</v>
      </c>
      <c r="C225" t="s">
        <v>72</v>
      </c>
      <c r="D225" t="s">
        <v>73</v>
      </c>
      <c r="E225" t="s">
        <v>74</v>
      </c>
      <c r="F225" t="s">
        <v>75</v>
      </c>
      <c r="G225" t="s">
        <v>76</v>
      </c>
      <c r="H225">
        <v>60.750625424014274</v>
      </c>
      <c r="I225">
        <v>0</v>
      </c>
      <c r="J225">
        <v>6</v>
      </c>
      <c r="K225">
        <v>7</v>
      </c>
      <c r="L225">
        <v>-1</v>
      </c>
      <c r="M225">
        <v>7</v>
      </c>
      <c r="N225">
        <v>7</v>
      </c>
      <c r="O225">
        <v>0</v>
      </c>
      <c r="P225">
        <v>5</v>
      </c>
      <c r="Q225">
        <v>7</v>
      </c>
      <c r="R225">
        <v>-2</v>
      </c>
      <c r="S225">
        <v>8</v>
      </c>
      <c r="T225">
        <v>7</v>
      </c>
      <c r="U225">
        <v>1</v>
      </c>
      <c r="V225">
        <v>6</v>
      </c>
      <c r="W225">
        <v>7</v>
      </c>
      <c r="X225">
        <v>-1</v>
      </c>
      <c r="Y225">
        <v>7</v>
      </c>
      <c r="Z225">
        <v>7</v>
      </c>
      <c r="AA225">
        <v>0</v>
      </c>
      <c r="AB225">
        <v>6</v>
      </c>
      <c r="AC225">
        <v>7</v>
      </c>
      <c r="AD225">
        <v>-1</v>
      </c>
      <c r="AE225">
        <v>7</v>
      </c>
      <c r="AF225">
        <v>7</v>
      </c>
      <c r="AG225">
        <v>0</v>
      </c>
      <c r="AH225">
        <v>9</v>
      </c>
      <c r="AI225">
        <v>7</v>
      </c>
      <c r="AJ225">
        <v>2</v>
      </c>
      <c r="AK225" t="s">
        <v>2221</v>
      </c>
      <c r="AL225" t="s">
        <v>2222</v>
      </c>
      <c r="AM225" t="s">
        <v>2223</v>
      </c>
      <c r="AN225" t="s">
        <v>2224</v>
      </c>
      <c r="AO225" t="s">
        <v>2225</v>
      </c>
      <c r="AP225" t="s">
        <v>2226</v>
      </c>
      <c r="AQ225" t="s">
        <v>2227</v>
      </c>
      <c r="AR225" t="s">
        <v>2228</v>
      </c>
      <c r="AS225" t="s">
        <v>2229</v>
      </c>
    </row>
    <row r="226" spans="1:45" x14ac:dyDescent="0.45">
      <c r="A226">
        <v>225</v>
      </c>
      <c r="B226">
        <v>2250</v>
      </c>
      <c r="C226" t="s">
        <v>72</v>
      </c>
      <c r="D226" t="s">
        <v>73</v>
      </c>
      <c r="E226" t="s">
        <v>74</v>
      </c>
      <c r="F226" t="s">
        <v>77</v>
      </c>
      <c r="G226" t="s">
        <v>76</v>
      </c>
      <c r="H226">
        <v>37.838960492696707</v>
      </c>
      <c r="I226">
        <v>1</v>
      </c>
      <c r="J226">
        <v>7</v>
      </c>
      <c r="K226">
        <v>6</v>
      </c>
      <c r="L226">
        <v>1</v>
      </c>
      <c r="M226">
        <v>8</v>
      </c>
      <c r="N226">
        <v>6</v>
      </c>
      <c r="O226">
        <v>2</v>
      </c>
      <c r="P226">
        <v>6</v>
      </c>
      <c r="Q226">
        <v>7</v>
      </c>
      <c r="R226">
        <v>-1</v>
      </c>
      <c r="S226">
        <v>9</v>
      </c>
      <c r="T226">
        <v>7</v>
      </c>
      <c r="U226">
        <v>2</v>
      </c>
      <c r="V226">
        <v>7</v>
      </c>
      <c r="W226">
        <v>5</v>
      </c>
      <c r="X226">
        <v>2</v>
      </c>
      <c r="Y226">
        <v>9</v>
      </c>
      <c r="Z226">
        <v>6</v>
      </c>
      <c r="AA226">
        <v>3</v>
      </c>
      <c r="AB226">
        <v>7</v>
      </c>
      <c r="AC226">
        <v>6</v>
      </c>
      <c r="AD226">
        <v>1</v>
      </c>
      <c r="AE226">
        <v>6</v>
      </c>
      <c r="AF226">
        <v>6</v>
      </c>
      <c r="AG226">
        <v>0</v>
      </c>
      <c r="AH226">
        <v>9</v>
      </c>
      <c r="AI226">
        <v>7</v>
      </c>
      <c r="AJ226">
        <v>2</v>
      </c>
      <c r="AK226" t="s">
        <v>2230</v>
      </c>
      <c r="AL226" t="s">
        <v>2231</v>
      </c>
      <c r="AM226" t="s">
        <v>2232</v>
      </c>
      <c r="AN226" t="s">
        <v>2233</v>
      </c>
      <c r="AO226" t="s">
        <v>2234</v>
      </c>
      <c r="AP226" t="s">
        <v>2235</v>
      </c>
      <c r="AQ226" t="s">
        <v>2236</v>
      </c>
      <c r="AR226" t="s">
        <v>2237</v>
      </c>
      <c r="AS226" t="s">
        <v>2238</v>
      </c>
    </row>
    <row r="227" spans="1:45" x14ac:dyDescent="0.45">
      <c r="A227">
        <v>226</v>
      </c>
      <c r="B227">
        <v>2251</v>
      </c>
      <c r="C227" t="s">
        <v>72</v>
      </c>
      <c r="D227" t="s">
        <v>194</v>
      </c>
      <c r="E227" t="s">
        <v>74</v>
      </c>
      <c r="F227" t="s">
        <v>75</v>
      </c>
      <c r="G227" t="s">
        <v>76</v>
      </c>
      <c r="H227">
        <v>96.15980918559913</v>
      </c>
      <c r="I227">
        <v>2</v>
      </c>
      <c r="J227">
        <v>6</v>
      </c>
      <c r="K227">
        <v>7</v>
      </c>
      <c r="L227">
        <v>-1</v>
      </c>
      <c r="M227">
        <v>5</v>
      </c>
      <c r="N227">
        <v>7</v>
      </c>
      <c r="O227">
        <v>-2</v>
      </c>
      <c r="P227">
        <v>8</v>
      </c>
      <c r="Q227">
        <v>6</v>
      </c>
      <c r="R227">
        <v>2</v>
      </c>
      <c r="S227">
        <v>9</v>
      </c>
      <c r="T227">
        <v>7</v>
      </c>
      <c r="U227">
        <v>2</v>
      </c>
      <c r="V227">
        <v>7</v>
      </c>
      <c r="W227">
        <v>7</v>
      </c>
      <c r="X227">
        <v>0</v>
      </c>
      <c r="Y227">
        <v>8</v>
      </c>
      <c r="Z227">
        <v>7</v>
      </c>
      <c r="AA227">
        <v>1</v>
      </c>
      <c r="AB227">
        <v>6</v>
      </c>
      <c r="AC227">
        <v>7</v>
      </c>
      <c r="AD227">
        <v>-1</v>
      </c>
      <c r="AE227">
        <v>7</v>
      </c>
      <c r="AF227">
        <v>7</v>
      </c>
      <c r="AG227">
        <v>0</v>
      </c>
      <c r="AH227">
        <v>9</v>
      </c>
      <c r="AI227">
        <v>7</v>
      </c>
      <c r="AJ227">
        <v>2</v>
      </c>
      <c r="AK227" t="s">
        <v>2239</v>
      </c>
      <c r="AL227" t="s">
        <v>2240</v>
      </c>
      <c r="AM227" t="s">
        <v>2241</v>
      </c>
      <c r="AN227" t="s">
        <v>2242</v>
      </c>
      <c r="AO227" t="s">
        <v>2243</v>
      </c>
      <c r="AP227" t="s">
        <v>2244</v>
      </c>
      <c r="AQ227" t="s">
        <v>2245</v>
      </c>
      <c r="AR227" t="s">
        <v>2246</v>
      </c>
      <c r="AS227" t="s">
        <v>2247</v>
      </c>
    </row>
    <row r="228" spans="1:45" x14ac:dyDescent="0.45">
      <c r="A228">
        <v>227</v>
      </c>
      <c r="B228">
        <v>2252</v>
      </c>
      <c r="C228" t="s">
        <v>72</v>
      </c>
      <c r="D228" t="s">
        <v>81</v>
      </c>
      <c r="E228" t="s">
        <v>74</v>
      </c>
      <c r="F228" t="s">
        <v>77</v>
      </c>
      <c r="G228" t="s">
        <v>76</v>
      </c>
      <c r="H228">
        <v>24.711511458319233</v>
      </c>
      <c r="I228">
        <v>0</v>
      </c>
      <c r="J228">
        <v>7</v>
      </c>
      <c r="K228">
        <v>6</v>
      </c>
      <c r="L228">
        <v>1</v>
      </c>
      <c r="M228">
        <v>8</v>
      </c>
      <c r="N228">
        <v>6</v>
      </c>
      <c r="O228">
        <v>2</v>
      </c>
      <c r="P228">
        <v>9</v>
      </c>
      <c r="Q228">
        <v>6</v>
      </c>
      <c r="R228">
        <v>3</v>
      </c>
      <c r="S228">
        <v>10</v>
      </c>
      <c r="T228">
        <v>6</v>
      </c>
      <c r="U228">
        <v>4</v>
      </c>
      <c r="V228">
        <v>8</v>
      </c>
      <c r="W228">
        <v>6</v>
      </c>
      <c r="X228">
        <v>2</v>
      </c>
      <c r="Y228">
        <v>9</v>
      </c>
      <c r="Z228">
        <v>6</v>
      </c>
      <c r="AA228">
        <v>3</v>
      </c>
      <c r="AB228">
        <v>8</v>
      </c>
      <c r="AC228">
        <v>6</v>
      </c>
      <c r="AD228">
        <v>2</v>
      </c>
      <c r="AE228">
        <v>9</v>
      </c>
      <c r="AF228">
        <v>6</v>
      </c>
      <c r="AG228">
        <v>3</v>
      </c>
      <c r="AH228">
        <v>9</v>
      </c>
      <c r="AI228">
        <v>6</v>
      </c>
      <c r="AJ228">
        <v>3</v>
      </c>
      <c r="AK228" t="s">
        <v>2248</v>
      </c>
      <c r="AL228" t="s">
        <v>2249</v>
      </c>
      <c r="AM228" t="s">
        <v>2250</v>
      </c>
      <c r="AN228" t="s">
        <v>2251</v>
      </c>
      <c r="AO228" t="s">
        <v>2252</v>
      </c>
      <c r="AP228" t="s">
        <v>2253</v>
      </c>
      <c r="AQ228" t="s">
        <v>2254</v>
      </c>
      <c r="AR228" t="s">
        <v>2255</v>
      </c>
      <c r="AS228" t="s">
        <v>2256</v>
      </c>
    </row>
    <row r="229" spans="1:45" x14ac:dyDescent="0.45">
      <c r="A229">
        <v>228</v>
      </c>
      <c r="B229">
        <v>2253</v>
      </c>
      <c r="C229" t="s">
        <v>72</v>
      </c>
      <c r="D229" t="s">
        <v>81</v>
      </c>
      <c r="E229" t="s">
        <v>74</v>
      </c>
      <c r="F229" t="s">
        <v>77</v>
      </c>
      <c r="G229" t="s">
        <v>76</v>
      </c>
      <c r="H229">
        <v>18.526748555527661</v>
      </c>
      <c r="I229">
        <v>2</v>
      </c>
      <c r="J229">
        <v>7</v>
      </c>
      <c r="K229">
        <v>8</v>
      </c>
      <c r="L229">
        <v>-1</v>
      </c>
      <c r="M229">
        <v>8</v>
      </c>
      <c r="N229">
        <v>9</v>
      </c>
      <c r="O229">
        <v>-1</v>
      </c>
      <c r="P229">
        <v>9</v>
      </c>
      <c r="Q229">
        <v>7</v>
      </c>
      <c r="R229">
        <v>2</v>
      </c>
      <c r="S229">
        <v>9</v>
      </c>
      <c r="T229">
        <v>8</v>
      </c>
      <c r="U229">
        <v>1</v>
      </c>
      <c r="V229">
        <v>8</v>
      </c>
      <c r="W229">
        <v>9</v>
      </c>
      <c r="X229">
        <v>-1</v>
      </c>
      <c r="Y229">
        <v>9</v>
      </c>
      <c r="Z229">
        <v>8</v>
      </c>
      <c r="AA229">
        <v>1</v>
      </c>
      <c r="AB229">
        <v>8</v>
      </c>
      <c r="AC229">
        <v>8</v>
      </c>
      <c r="AD229">
        <v>0</v>
      </c>
      <c r="AE229">
        <v>9</v>
      </c>
      <c r="AF229">
        <v>8</v>
      </c>
      <c r="AG229">
        <v>1</v>
      </c>
      <c r="AH229">
        <v>8</v>
      </c>
      <c r="AI229">
        <v>8</v>
      </c>
      <c r="AJ229">
        <v>0</v>
      </c>
      <c r="AK229" t="s">
        <v>2257</v>
      </c>
      <c r="AL229" t="s">
        <v>2258</v>
      </c>
      <c r="AM229" t="s">
        <v>2259</v>
      </c>
      <c r="AN229" t="s">
        <v>2260</v>
      </c>
      <c r="AO229" t="s">
        <v>2261</v>
      </c>
      <c r="AP229" t="s">
        <v>2262</v>
      </c>
      <c r="AQ229" t="s">
        <v>2263</v>
      </c>
      <c r="AR229" t="s">
        <v>2264</v>
      </c>
      <c r="AS229" t="s">
        <v>2265</v>
      </c>
    </row>
    <row r="230" spans="1:45" x14ac:dyDescent="0.45">
      <c r="A230">
        <v>229</v>
      </c>
      <c r="B230">
        <v>2254</v>
      </c>
      <c r="C230" t="s">
        <v>72</v>
      </c>
      <c r="D230" t="s">
        <v>73</v>
      </c>
      <c r="E230" t="s">
        <v>74</v>
      </c>
      <c r="F230" t="s">
        <v>77</v>
      </c>
      <c r="G230" t="s">
        <v>76</v>
      </c>
      <c r="H230">
        <v>53.322674605307988</v>
      </c>
      <c r="I230">
        <v>2</v>
      </c>
      <c r="J230">
        <v>8</v>
      </c>
      <c r="K230">
        <v>6</v>
      </c>
      <c r="L230">
        <v>2</v>
      </c>
      <c r="M230">
        <v>9</v>
      </c>
      <c r="N230">
        <v>6</v>
      </c>
      <c r="O230">
        <v>3</v>
      </c>
      <c r="P230">
        <v>8</v>
      </c>
      <c r="Q230">
        <v>6</v>
      </c>
      <c r="R230">
        <v>2</v>
      </c>
      <c r="S230">
        <v>9</v>
      </c>
      <c r="T230">
        <v>6</v>
      </c>
      <c r="U230">
        <v>3</v>
      </c>
      <c r="V230">
        <v>8</v>
      </c>
      <c r="W230">
        <v>6</v>
      </c>
      <c r="X230">
        <v>2</v>
      </c>
      <c r="Y230">
        <v>9</v>
      </c>
      <c r="Z230">
        <v>7</v>
      </c>
      <c r="AA230">
        <v>2</v>
      </c>
      <c r="AB230">
        <v>8</v>
      </c>
      <c r="AC230">
        <v>6</v>
      </c>
      <c r="AD230">
        <v>2</v>
      </c>
      <c r="AE230">
        <v>9</v>
      </c>
      <c r="AF230">
        <v>6</v>
      </c>
      <c r="AG230">
        <v>3</v>
      </c>
      <c r="AH230">
        <v>8</v>
      </c>
      <c r="AI230">
        <v>7</v>
      </c>
      <c r="AJ230">
        <v>1</v>
      </c>
      <c r="AK230" t="s">
        <v>2266</v>
      </c>
      <c r="AL230" t="s">
        <v>2267</v>
      </c>
      <c r="AM230" t="s">
        <v>2268</v>
      </c>
      <c r="AN230" t="s">
        <v>2269</v>
      </c>
      <c r="AO230" t="s">
        <v>2270</v>
      </c>
      <c r="AP230" t="s">
        <v>2271</v>
      </c>
      <c r="AQ230" t="s">
        <v>2272</v>
      </c>
      <c r="AR230" t="s">
        <v>2273</v>
      </c>
      <c r="AS230" t="s">
        <v>2274</v>
      </c>
    </row>
    <row r="231" spans="1:45" x14ac:dyDescent="0.45">
      <c r="A231">
        <v>230</v>
      </c>
      <c r="B231">
        <v>2255</v>
      </c>
      <c r="C231" t="s">
        <v>72</v>
      </c>
      <c r="D231" t="s">
        <v>79</v>
      </c>
      <c r="E231" t="s">
        <v>74</v>
      </c>
      <c r="F231" t="s">
        <v>75</v>
      </c>
      <c r="G231" t="s">
        <v>76</v>
      </c>
      <c r="H231">
        <v>71.793361494037015</v>
      </c>
      <c r="I231">
        <v>4</v>
      </c>
      <c r="J231">
        <v>6</v>
      </c>
      <c r="K231">
        <v>4</v>
      </c>
      <c r="L231">
        <v>2</v>
      </c>
      <c r="M231">
        <v>7</v>
      </c>
      <c r="N231">
        <v>5</v>
      </c>
      <c r="O231">
        <v>2</v>
      </c>
      <c r="P231">
        <v>8</v>
      </c>
      <c r="Q231">
        <v>1</v>
      </c>
      <c r="R231">
        <v>7</v>
      </c>
      <c r="S231">
        <v>9</v>
      </c>
      <c r="T231">
        <v>6</v>
      </c>
      <c r="U231">
        <v>3</v>
      </c>
      <c r="V231">
        <v>7</v>
      </c>
      <c r="W231">
        <v>4</v>
      </c>
      <c r="X231">
        <v>3</v>
      </c>
      <c r="Y231">
        <v>9</v>
      </c>
      <c r="Z231">
        <v>4</v>
      </c>
      <c r="AA231">
        <v>5</v>
      </c>
      <c r="AB231">
        <v>7</v>
      </c>
      <c r="AC231">
        <v>5</v>
      </c>
      <c r="AD231">
        <v>2</v>
      </c>
      <c r="AE231">
        <v>8</v>
      </c>
      <c r="AF231">
        <v>5</v>
      </c>
      <c r="AG231">
        <v>3</v>
      </c>
      <c r="AH231">
        <v>6</v>
      </c>
      <c r="AI231">
        <v>5</v>
      </c>
      <c r="AJ231">
        <v>1</v>
      </c>
      <c r="AK231" t="s">
        <v>2275</v>
      </c>
      <c r="AL231" t="s">
        <v>2276</v>
      </c>
      <c r="AM231" t="s">
        <v>2277</v>
      </c>
      <c r="AN231" t="s">
        <v>2278</v>
      </c>
      <c r="AO231" t="s">
        <v>2279</v>
      </c>
      <c r="AP231" t="s">
        <v>2280</v>
      </c>
      <c r="AQ231" t="s">
        <v>2281</v>
      </c>
      <c r="AR231" t="s">
        <v>2282</v>
      </c>
      <c r="AS231" t="s">
        <v>2283</v>
      </c>
    </row>
    <row r="232" spans="1:45" x14ac:dyDescent="0.45">
      <c r="A232">
        <v>231</v>
      </c>
      <c r="B232">
        <v>2256</v>
      </c>
      <c r="C232" t="s">
        <v>78</v>
      </c>
      <c r="D232" t="s">
        <v>194</v>
      </c>
      <c r="E232" t="s">
        <v>74</v>
      </c>
      <c r="F232" t="s">
        <v>75</v>
      </c>
      <c r="G232" t="s">
        <v>76</v>
      </c>
      <c r="H232">
        <v>202.49652860808334</v>
      </c>
      <c r="I232">
        <v>4</v>
      </c>
      <c r="J232">
        <v>8</v>
      </c>
      <c r="K232">
        <v>8</v>
      </c>
      <c r="L232">
        <v>0</v>
      </c>
      <c r="M232">
        <v>9</v>
      </c>
      <c r="N232">
        <v>8</v>
      </c>
      <c r="O232">
        <v>1</v>
      </c>
      <c r="P232">
        <v>6</v>
      </c>
      <c r="Q232">
        <v>8</v>
      </c>
      <c r="R232">
        <v>-2</v>
      </c>
      <c r="S232">
        <v>8</v>
      </c>
      <c r="T232">
        <v>8</v>
      </c>
      <c r="U232">
        <v>0</v>
      </c>
      <c r="V232">
        <v>7</v>
      </c>
      <c r="W232">
        <v>7</v>
      </c>
      <c r="X232">
        <v>0</v>
      </c>
      <c r="Y232">
        <v>9</v>
      </c>
      <c r="Z232">
        <v>7</v>
      </c>
      <c r="AA232">
        <v>2</v>
      </c>
      <c r="AB232">
        <v>7</v>
      </c>
      <c r="AC232">
        <v>8</v>
      </c>
      <c r="AD232">
        <v>-1</v>
      </c>
      <c r="AE232">
        <v>8</v>
      </c>
      <c r="AF232">
        <v>7</v>
      </c>
      <c r="AG232">
        <v>1</v>
      </c>
      <c r="AH232">
        <v>9</v>
      </c>
      <c r="AI232">
        <v>8</v>
      </c>
      <c r="AJ232">
        <v>1</v>
      </c>
      <c r="AK232" t="s">
        <v>2284</v>
      </c>
      <c r="AL232" t="s">
        <v>2285</v>
      </c>
      <c r="AM232" t="s">
        <v>2286</v>
      </c>
      <c r="AN232" t="s">
        <v>2287</v>
      </c>
      <c r="AO232" t="s">
        <v>2288</v>
      </c>
      <c r="AP232" t="s">
        <v>2289</v>
      </c>
      <c r="AQ232" t="s">
        <v>2290</v>
      </c>
      <c r="AR232" t="s">
        <v>2291</v>
      </c>
      <c r="AS232" t="s">
        <v>2292</v>
      </c>
    </row>
    <row r="233" spans="1:45" x14ac:dyDescent="0.45">
      <c r="A233">
        <v>232</v>
      </c>
      <c r="B233">
        <v>2257</v>
      </c>
      <c r="C233" t="s">
        <v>78</v>
      </c>
      <c r="D233" t="s">
        <v>73</v>
      </c>
      <c r="E233" t="s">
        <v>74</v>
      </c>
      <c r="F233" t="s">
        <v>77</v>
      </c>
      <c r="G233" t="s">
        <v>76</v>
      </c>
      <c r="H233">
        <v>60.808420867312741</v>
      </c>
      <c r="I233">
        <v>2</v>
      </c>
      <c r="J233">
        <v>7</v>
      </c>
      <c r="K233">
        <v>6</v>
      </c>
      <c r="L233">
        <v>1</v>
      </c>
      <c r="M233">
        <v>8</v>
      </c>
      <c r="N233">
        <v>6</v>
      </c>
      <c r="O233">
        <v>2</v>
      </c>
      <c r="P233">
        <v>9</v>
      </c>
      <c r="Q233">
        <v>6</v>
      </c>
      <c r="R233">
        <v>3</v>
      </c>
      <c r="S233">
        <v>10</v>
      </c>
      <c r="T233">
        <v>6</v>
      </c>
      <c r="U233">
        <v>4</v>
      </c>
      <c r="V233">
        <v>7</v>
      </c>
      <c r="W233">
        <v>6</v>
      </c>
      <c r="X233">
        <v>1</v>
      </c>
      <c r="Y233">
        <v>9</v>
      </c>
      <c r="Z233">
        <v>6</v>
      </c>
      <c r="AA233">
        <v>3</v>
      </c>
      <c r="AB233">
        <v>8</v>
      </c>
      <c r="AC233">
        <v>6</v>
      </c>
      <c r="AD233">
        <v>2</v>
      </c>
      <c r="AE233">
        <v>7</v>
      </c>
      <c r="AF233">
        <v>6</v>
      </c>
      <c r="AG233">
        <v>1</v>
      </c>
      <c r="AH233">
        <v>9</v>
      </c>
      <c r="AI233">
        <v>6</v>
      </c>
      <c r="AJ233">
        <v>3</v>
      </c>
      <c r="AK233" t="s">
        <v>2293</v>
      </c>
      <c r="AL233" t="s">
        <v>2294</v>
      </c>
      <c r="AM233" t="s">
        <v>2295</v>
      </c>
      <c r="AN233" t="s">
        <v>2296</v>
      </c>
      <c r="AO233" t="s">
        <v>2297</v>
      </c>
      <c r="AP233" t="s">
        <v>2298</v>
      </c>
      <c r="AQ233" t="s">
        <v>2299</v>
      </c>
      <c r="AR233" t="s">
        <v>2300</v>
      </c>
      <c r="AS233" t="s">
        <v>2301</v>
      </c>
    </row>
    <row r="234" spans="1:45" x14ac:dyDescent="0.45">
      <c r="A234">
        <v>233</v>
      </c>
      <c r="B234">
        <v>2258</v>
      </c>
      <c r="C234" t="s">
        <v>72</v>
      </c>
      <c r="D234" t="s">
        <v>79</v>
      </c>
      <c r="E234" t="s">
        <v>74</v>
      </c>
      <c r="F234" t="s">
        <v>77</v>
      </c>
      <c r="G234" t="s">
        <v>76</v>
      </c>
      <c r="H234">
        <v>12.648962453409608</v>
      </c>
      <c r="I234">
        <v>1</v>
      </c>
      <c r="J234">
        <v>8</v>
      </c>
      <c r="K234">
        <v>8</v>
      </c>
      <c r="L234">
        <v>0</v>
      </c>
      <c r="M234">
        <v>9</v>
      </c>
      <c r="N234">
        <v>8</v>
      </c>
      <c r="O234">
        <v>1</v>
      </c>
      <c r="P234">
        <v>8</v>
      </c>
      <c r="Q234">
        <v>8</v>
      </c>
      <c r="R234">
        <v>0</v>
      </c>
      <c r="S234">
        <v>9</v>
      </c>
      <c r="T234">
        <v>8</v>
      </c>
      <c r="U234">
        <v>1</v>
      </c>
      <c r="V234">
        <v>8</v>
      </c>
      <c r="W234">
        <v>9</v>
      </c>
      <c r="X234">
        <v>-1</v>
      </c>
      <c r="Y234">
        <v>9</v>
      </c>
      <c r="Z234">
        <v>8</v>
      </c>
      <c r="AA234">
        <v>1</v>
      </c>
      <c r="AB234">
        <v>8</v>
      </c>
      <c r="AC234">
        <v>8</v>
      </c>
      <c r="AD234">
        <v>0</v>
      </c>
      <c r="AE234">
        <v>7</v>
      </c>
      <c r="AF234">
        <v>8</v>
      </c>
      <c r="AG234">
        <v>-1</v>
      </c>
      <c r="AH234">
        <v>8</v>
      </c>
      <c r="AI234">
        <v>10</v>
      </c>
      <c r="AJ234">
        <v>-2</v>
      </c>
      <c r="AK234" t="s">
        <v>2302</v>
      </c>
      <c r="AL234" t="s">
        <v>2303</v>
      </c>
      <c r="AM234" t="s">
        <v>2304</v>
      </c>
      <c r="AN234" t="s">
        <v>2305</v>
      </c>
      <c r="AO234" t="s">
        <v>2306</v>
      </c>
      <c r="AP234" t="s">
        <v>2307</v>
      </c>
      <c r="AQ234" t="s">
        <v>2308</v>
      </c>
      <c r="AR234" t="s">
        <v>2309</v>
      </c>
      <c r="AS234" t="s">
        <v>2310</v>
      </c>
    </row>
    <row r="235" spans="1:45" x14ac:dyDescent="0.45">
      <c r="A235">
        <v>234</v>
      </c>
      <c r="B235">
        <v>2259</v>
      </c>
      <c r="C235" t="s">
        <v>72</v>
      </c>
      <c r="D235" t="s">
        <v>192</v>
      </c>
      <c r="E235" t="s">
        <v>74</v>
      </c>
      <c r="F235" t="s">
        <v>75</v>
      </c>
      <c r="G235" t="s">
        <v>76</v>
      </c>
      <c r="H235">
        <v>88.673723159444748</v>
      </c>
      <c r="I235">
        <v>3</v>
      </c>
      <c r="J235">
        <v>7</v>
      </c>
      <c r="K235">
        <v>4</v>
      </c>
      <c r="L235">
        <v>3</v>
      </c>
      <c r="M235">
        <v>8</v>
      </c>
      <c r="N235">
        <v>4</v>
      </c>
      <c r="O235">
        <v>4</v>
      </c>
      <c r="P235">
        <v>6</v>
      </c>
      <c r="Q235">
        <v>4</v>
      </c>
      <c r="R235">
        <v>2</v>
      </c>
      <c r="S235">
        <v>9</v>
      </c>
      <c r="T235">
        <v>4</v>
      </c>
      <c r="U235">
        <v>5</v>
      </c>
      <c r="V235">
        <v>7</v>
      </c>
      <c r="W235">
        <v>1</v>
      </c>
      <c r="X235">
        <v>6</v>
      </c>
      <c r="Y235">
        <v>9</v>
      </c>
      <c r="Z235">
        <v>3</v>
      </c>
      <c r="AA235">
        <v>6</v>
      </c>
      <c r="AB235">
        <v>7</v>
      </c>
      <c r="AC235">
        <v>1</v>
      </c>
      <c r="AD235">
        <v>6</v>
      </c>
      <c r="AE235">
        <v>8</v>
      </c>
      <c r="AF235">
        <v>1</v>
      </c>
      <c r="AG235">
        <v>7</v>
      </c>
      <c r="AH235">
        <v>9</v>
      </c>
      <c r="AI235">
        <v>1</v>
      </c>
      <c r="AJ235">
        <v>8</v>
      </c>
      <c r="AK235" t="s">
        <v>2311</v>
      </c>
      <c r="AL235" t="s">
        <v>2312</v>
      </c>
      <c r="AM235" t="s">
        <v>2313</v>
      </c>
      <c r="AN235" t="s">
        <v>2314</v>
      </c>
      <c r="AO235" t="s">
        <v>2315</v>
      </c>
      <c r="AP235" t="s">
        <v>2316</v>
      </c>
      <c r="AQ235" t="s">
        <v>2317</v>
      </c>
      <c r="AR235" t="s">
        <v>2318</v>
      </c>
      <c r="AS235" t="s">
        <v>2319</v>
      </c>
    </row>
    <row r="236" spans="1:45" x14ac:dyDescent="0.45">
      <c r="A236">
        <v>235</v>
      </c>
      <c r="B236">
        <v>2260</v>
      </c>
      <c r="C236" t="s">
        <v>72</v>
      </c>
      <c r="D236" t="s">
        <v>73</v>
      </c>
      <c r="E236" t="s">
        <v>74</v>
      </c>
      <c r="F236" t="s">
        <v>77</v>
      </c>
      <c r="G236" t="s">
        <v>76</v>
      </c>
      <c r="H236">
        <v>32.902722301167124</v>
      </c>
      <c r="I236">
        <v>0</v>
      </c>
      <c r="J236">
        <v>7</v>
      </c>
      <c r="K236">
        <v>6</v>
      </c>
      <c r="L236">
        <v>1</v>
      </c>
      <c r="M236">
        <v>8</v>
      </c>
      <c r="N236">
        <v>6</v>
      </c>
      <c r="O236">
        <v>2</v>
      </c>
      <c r="P236">
        <v>6</v>
      </c>
      <c r="Q236">
        <v>1</v>
      </c>
      <c r="R236">
        <v>5</v>
      </c>
      <c r="S236">
        <v>7</v>
      </c>
      <c r="T236">
        <v>6</v>
      </c>
      <c r="U236">
        <v>1</v>
      </c>
      <c r="V236">
        <v>9</v>
      </c>
      <c r="W236">
        <v>5</v>
      </c>
      <c r="X236">
        <v>4</v>
      </c>
      <c r="Y236">
        <v>8</v>
      </c>
      <c r="Z236">
        <v>6</v>
      </c>
      <c r="AA236">
        <v>2</v>
      </c>
      <c r="AB236">
        <v>9</v>
      </c>
      <c r="AC236">
        <v>5</v>
      </c>
      <c r="AD236">
        <v>4</v>
      </c>
      <c r="AE236">
        <v>8</v>
      </c>
      <c r="AF236">
        <v>6</v>
      </c>
      <c r="AG236">
        <v>2</v>
      </c>
      <c r="AH236">
        <v>9</v>
      </c>
      <c r="AI236">
        <v>6</v>
      </c>
      <c r="AJ236">
        <v>3</v>
      </c>
      <c r="AK236" t="s">
        <v>2320</v>
      </c>
      <c r="AL236" t="s">
        <v>2321</v>
      </c>
      <c r="AM236" t="s">
        <v>2322</v>
      </c>
      <c r="AN236" t="s">
        <v>2323</v>
      </c>
      <c r="AO236" t="s">
        <v>2324</v>
      </c>
      <c r="AP236" t="s">
        <v>2325</v>
      </c>
      <c r="AQ236" t="s">
        <v>2326</v>
      </c>
      <c r="AR236" t="s">
        <v>2327</v>
      </c>
      <c r="AS236" t="s">
        <v>2328</v>
      </c>
    </row>
    <row r="237" spans="1:45" x14ac:dyDescent="0.45">
      <c r="A237">
        <v>236</v>
      </c>
      <c r="B237">
        <v>2261</v>
      </c>
      <c r="C237" t="s">
        <v>72</v>
      </c>
      <c r="D237" t="s">
        <v>73</v>
      </c>
      <c r="E237" t="s">
        <v>74</v>
      </c>
      <c r="F237" t="s">
        <v>75</v>
      </c>
      <c r="G237" t="s">
        <v>76</v>
      </c>
      <c r="H237">
        <v>61.79431873802563</v>
      </c>
      <c r="I237">
        <v>3</v>
      </c>
      <c r="J237">
        <v>6</v>
      </c>
      <c r="K237">
        <v>7</v>
      </c>
      <c r="L237">
        <v>-1</v>
      </c>
      <c r="M237">
        <v>7</v>
      </c>
      <c r="N237">
        <v>7</v>
      </c>
      <c r="O237">
        <v>0</v>
      </c>
      <c r="P237">
        <v>8</v>
      </c>
      <c r="Q237">
        <v>7</v>
      </c>
      <c r="R237">
        <v>1</v>
      </c>
      <c r="S237">
        <v>9</v>
      </c>
      <c r="T237">
        <v>7</v>
      </c>
      <c r="U237">
        <v>2</v>
      </c>
      <c r="V237">
        <v>7</v>
      </c>
      <c r="W237">
        <v>7</v>
      </c>
      <c r="X237">
        <v>0</v>
      </c>
      <c r="Y237">
        <v>9</v>
      </c>
      <c r="Z237">
        <v>7</v>
      </c>
      <c r="AA237">
        <v>2</v>
      </c>
      <c r="AB237">
        <v>8</v>
      </c>
      <c r="AC237">
        <v>7</v>
      </c>
      <c r="AD237">
        <v>1</v>
      </c>
      <c r="AE237">
        <v>7</v>
      </c>
      <c r="AF237">
        <v>7</v>
      </c>
      <c r="AG237">
        <v>0</v>
      </c>
      <c r="AH237">
        <v>9</v>
      </c>
      <c r="AI237">
        <v>7</v>
      </c>
      <c r="AJ237">
        <v>2</v>
      </c>
      <c r="AK237" t="s">
        <v>2329</v>
      </c>
      <c r="AL237" t="s">
        <v>2330</v>
      </c>
      <c r="AM237" t="s">
        <v>2331</v>
      </c>
      <c r="AN237" t="s">
        <v>2332</v>
      </c>
      <c r="AO237" t="s">
        <v>2333</v>
      </c>
      <c r="AP237" t="s">
        <v>2334</v>
      </c>
      <c r="AQ237" t="s">
        <v>2335</v>
      </c>
      <c r="AR237" t="s">
        <v>2336</v>
      </c>
      <c r="AS237" t="s">
        <v>2337</v>
      </c>
    </row>
    <row r="238" spans="1:45" x14ac:dyDescent="0.45">
      <c r="A238">
        <v>237</v>
      </c>
      <c r="B238">
        <v>2262</v>
      </c>
      <c r="C238" t="s">
        <v>78</v>
      </c>
      <c r="D238" t="s">
        <v>73</v>
      </c>
      <c r="E238" t="s">
        <v>74</v>
      </c>
      <c r="F238" t="s">
        <v>75</v>
      </c>
      <c r="G238" t="s">
        <v>162</v>
      </c>
      <c r="H238">
        <v>15.736009406673354</v>
      </c>
      <c r="I238">
        <v>3</v>
      </c>
      <c r="J238">
        <v>8</v>
      </c>
      <c r="K238">
        <v>10</v>
      </c>
      <c r="L238">
        <v>-2</v>
      </c>
      <c r="M238">
        <v>7</v>
      </c>
      <c r="N238">
        <v>10</v>
      </c>
      <c r="O238">
        <v>-3</v>
      </c>
      <c r="P238">
        <v>6</v>
      </c>
      <c r="Q238">
        <v>4</v>
      </c>
      <c r="R238">
        <v>2</v>
      </c>
      <c r="S238">
        <v>9</v>
      </c>
      <c r="T238">
        <v>6</v>
      </c>
      <c r="U238">
        <v>3</v>
      </c>
      <c r="V238">
        <v>7</v>
      </c>
      <c r="W238">
        <v>3</v>
      </c>
      <c r="X238">
        <v>4</v>
      </c>
      <c r="Y238">
        <v>9</v>
      </c>
      <c r="Z238">
        <v>1</v>
      </c>
      <c r="AA238">
        <v>8</v>
      </c>
      <c r="AB238">
        <v>8</v>
      </c>
      <c r="AC238">
        <v>1</v>
      </c>
      <c r="AD238">
        <v>7</v>
      </c>
      <c r="AE238">
        <v>7</v>
      </c>
      <c r="AF238">
        <v>3</v>
      </c>
      <c r="AG238">
        <v>4</v>
      </c>
      <c r="AH238">
        <v>9</v>
      </c>
      <c r="AI238">
        <v>1</v>
      </c>
      <c r="AJ238">
        <v>8</v>
      </c>
      <c r="AK238" t="s">
        <v>2338</v>
      </c>
      <c r="AL238" t="s">
        <v>2339</v>
      </c>
      <c r="AM238" t="s">
        <v>2340</v>
      </c>
      <c r="AN238" t="s">
        <v>2341</v>
      </c>
      <c r="AO238" t="s">
        <v>2342</v>
      </c>
      <c r="AP238" t="s">
        <v>2343</v>
      </c>
      <c r="AQ238" t="s">
        <v>2344</v>
      </c>
      <c r="AR238" t="s">
        <v>2345</v>
      </c>
      <c r="AS238" t="s">
        <v>2346</v>
      </c>
    </row>
    <row r="239" spans="1:45" x14ac:dyDescent="0.45">
      <c r="A239">
        <v>238</v>
      </c>
      <c r="B239">
        <v>2263</v>
      </c>
      <c r="C239" t="s">
        <v>72</v>
      </c>
      <c r="D239" t="s">
        <v>73</v>
      </c>
      <c r="E239" t="s">
        <v>74</v>
      </c>
      <c r="F239" t="s">
        <v>75</v>
      </c>
      <c r="G239" t="s">
        <v>76</v>
      </c>
      <c r="H239">
        <v>26.40450771697769</v>
      </c>
      <c r="I239">
        <v>1</v>
      </c>
      <c r="J239">
        <v>9</v>
      </c>
      <c r="K239">
        <v>8</v>
      </c>
      <c r="L239">
        <v>1</v>
      </c>
      <c r="M239">
        <v>9</v>
      </c>
      <c r="N239">
        <v>10</v>
      </c>
      <c r="O239">
        <v>-1</v>
      </c>
      <c r="P239">
        <v>8</v>
      </c>
      <c r="Q239">
        <v>8</v>
      </c>
      <c r="R239">
        <v>0</v>
      </c>
      <c r="S239">
        <v>9</v>
      </c>
      <c r="T239">
        <v>10</v>
      </c>
      <c r="U239">
        <v>-1</v>
      </c>
      <c r="V239">
        <v>9</v>
      </c>
      <c r="W239">
        <v>9</v>
      </c>
      <c r="X239">
        <v>0</v>
      </c>
      <c r="Y239">
        <v>9</v>
      </c>
      <c r="Z239">
        <v>8</v>
      </c>
      <c r="AA239">
        <v>1</v>
      </c>
      <c r="AB239">
        <v>9</v>
      </c>
      <c r="AC239">
        <v>7</v>
      </c>
      <c r="AD239">
        <v>2</v>
      </c>
      <c r="AE239">
        <v>9</v>
      </c>
      <c r="AF239">
        <v>9</v>
      </c>
      <c r="AG239">
        <v>0</v>
      </c>
      <c r="AH239">
        <v>9</v>
      </c>
      <c r="AI239">
        <v>9</v>
      </c>
      <c r="AJ239">
        <v>0</v>
      </c>
      <c r="AK239" t="s">
        <v>2347</v>
      </c>
      <c r="AL239" t="s">
        <v>2348</v>
      </c>
      <c r="AM239" t="s">
        <v>2349</v>
      </c>
      <c r="AN239" t="s">
        <v>2350</v>
      </c>
      <c r="AO239" t="s">
        <v>2351</v>
      </c>
      <c r="AP239" t="s">
        <v>2352</v>
      </c>
      <c r="AQ239" t="s">
        <v>2353</v>
      </c>
      <c r="AR239" t="s">
        <v>2354</v>
      </c>
      <c r="AS239" t="s">
        <v>2355</v>
      </c>
    </row>
    <row r="240" spans="1:45" x14ac:dyDescent="0.45">
      <c r="A240">
        <v>239</v>
      </c>
      <c r="B240">
        <v>2264</v>
      </c>
      <c r="C240" t="s">
        <v>78</v>
      </c>
      <c r="D240" t="s">
        <v>194</v>
      </c>
      <c r="E240" t="s">
        <v>74</v>
      </c>
      <c r="F240" t="s">
        <v>75</v>
      </c>
      <c r="G240" t="s">
        <v>76</v>
      </c>
      <c r="H240">
        <v>94.086136189230544</v>
      </c>
      <c r="I240">
        <v>4</v>
      </c>
      <c r="J240">
        <v>6</v>
      </c>
      <c r="K240">
        <v>6</v>
      </c>
      <c r="L240">
        <v>0</v>
      </c>
      <c r="M240">
        <v>8</v>
      </c>
      <c r="N240">
        <v>6</v>
      </c>
      <c r="O240">
        <v>2</v>
      </c>
      <c r="P240">
        <v>7</v>
      </c>
      <c r="Q240">
        <v>6</v>
      </c>
      <c r="R240">
        <v>1</v>
      </c>
      <c r="S240">
        <v>9</v>
      </c>
      <c r="T240">
        <v>6</v>
      </c>
      <c r="U240">
        <v>3</v>
      </c>
      <c r="V240">
        <v>7</v>
      </c>
      <c r="W240">
        <v>6</v>
      </c>
      <c r="X240">
        <v>1</v>
      </c>
      <c r="Y240">
        <v>9</v>
      </c>
      <c r="Z240">
        <v>6</v>
      </c>
      <c r="AA240">
        <v>3</v>
      </c>
      <c r="AB240">
        <v>8</v>
      </c>
      <c r="AC240">
        <v>6</v>
      </c>
      <c r="AD240">
        <v>2</v>
      </c>
      <c r="AE240">
        <v>7</v>
      </c>
      <c r="AF240">
        <v>7</v>
      </c>
      <c r="AG240">
        <v>0</v>
      </c>
      <c r="AH240">
        <v>8</v>
      </c>
      <c r="AI240">
        <v>6</v>
      </c>
      <c r="AJ240">
        <v>2</v>
      </c>
      <c r="AK240" t="s">
        <v>2356</v>
      </c>
      <c r="AL240" t="s">
        <v>2357</v>
      </c>
      <c r="AM240" t="s">
        <v>2358</v>
      </c>
      <c r="AN240" t="s">
        <v>2359</v>
      </c>
      <c r="AO240" t="s">
        <v>2360</v>
      </c>
      <c r="AP240" t="s">
        <v>2361</v>
      </c>
      <c r="AQ240" t="s">
        <v>2362</v>
      </c>
      <c r="AR240" t="s">
        <v>2363</v>
      </c>
      <c r="AS240" t="s">
        <v>2364</v>
      </c>
    </row>
    <row r="241" spans="1:45" x14ac:dyDescent="0.45">
      <c r="A241">
        <v>240</v>
      </c>
      <c r="B241">
        <v>2265</v>
      </c>
      <c r="C241" t="s">
        <v>72</v>
      </c>
      <c r="D241" t="s">
        <v>73</v>
      </c>
      <c r="E241" t="s">
        <v>74</v>
      </c>
      <c r="F241" t="s">
        <v>77</v>
      </c>
      <c r="G241" t="s">
        <v>76</v>
      </c>
      <c r="H241">
        <v>56.468503536521119</v>
      </c>
      <c r="I241">
        <v>3</v>
      </c>
      <c r="J241">
        <v>8</v>
      </c>
      <c r="K241">
        <v>8</v>
      </c>
      <c r="L241">
        <v>0</v>
      </c>
      <c r="M241">
        <v>8</v>
      </c>
      <c r="N241">
        <v>8</v>
      </c>
      <c r="O241">
        <v>0</v>
      </c>
      <c r="P241">
        <v>9</v>
      </c>
      <c r="Q241">
        <v>8</v>
      </c>
      <c r="R241">
        <v>1</v>
      </c>
      <c r="S241">
        <v>9</v>
      </c>
      <c r="T241">
        <v>8</v>
      </c>
      <c r="U241">
        <v>1</v>
      </c>
      <c r="V241">
        <v>8</v>
      </c>
      <c r="W241">
        <v>8</v>
      </c>
      <c r="X241">
        <v>0</v>
      </c>
      <c r="Y241">
        <v>9</v>
      </c>
      <c r="Z241">
        <v>8</v>
      </c>
      <c r="AA241">
        <v>1</v>
      </c>
      <c r="AB241">
        <v>8</v>
      </c>
      <c r="AC241">
        <v>8</v>
      </c>
      <c r="AD241">
        <v>0</v>
      </c>
      <c r="AE241">
        <v>9</v>
      </c>
      <c r="AF241">
        <v>8</v>
      </c>
      <c r="AG241">
        <v>1</v>
      </c>
      <c r="AH241">
        <v>8</v>
      </c>
      <c r="AI241">
        <v>8</v>
      </c>
      <c r="AJ241">
        <v>0</v>
      </c>
      <c r="AK241" t="s">
        <v>2365</v>
      </c>
      <c r="AL241" t="s">
        <v>2366</v>
      </c>
      <c r="AM241" t="s">
        <v>2367</v>
      </c>
      <c r="AN241" t="s">
        <v>2368</v>
      </c>
      <c r="AO241" t="s">
        <v>2369</v>
      </c>
      <c r="AP241" t="s">
        <v>2370</v>
      </c>
      <c r="AQ241" t="s">
        <v>2371</v>
      </c>
      <c r="AR241" t="s">
        <v>2372</v>
      </c>
      <c r="AS241" t="s">
        <v>2373</v>
      </c>
    </row>
    <row r="242" spans="1:45" x14ac:dyDescent="0.45">
      <c r="A242">
        <v>241</v>
      </c>
      <c r="B242">
        <v>2266</v>
      </c>
      <c r="C242" t="s">
        <v>72</v>
      </c>
      <c r="D242" t="s">
        <v>73</v>
      </c>
      <c r="E242" t="s">
        <v>74</v>
      </c>
      <c r="F242" t="s">
        <v>75</v>
      </c>
      <c r="G242" t="s">
        <v>76</v>
      </c>
      <c r="H242">
        <v>65.234155035261509</v>
      </c>
      <c r="I242">
        <v>1</v>
      </c>
      <c r="J242">
        <v>7</v>
      </c>
      <c r="K242">
        <v>7</v>
      </c>
      <c r="L242">
        <v>0</v>
      </c>
      <c r="M242">
        <v>6</v>
      </c>
      <c r="N242">
        <v>6</v>
      </c>
      <c r="O242">
        <v>0</v>
      </c>
      <c r="P242">
        <v>8</v>
      </c>
      <c r="Q242">
        <v>7</v>
      </c>
      <c r="R242">
        <v>1</v>
      </c>
      <c r="S242">
        <v>9</v>
      </c>
      <c r="T242">
        <v>7</v>
      </c>
      <c r="U242">
        <v>2</v>
      </c>
      <c r="V242">
        <v>9</v>
      </c>
      <c r="W242">
        <v>8</v>
      </c>
      <c r="X242">
        <v>1</v>
      </c>
      <c r="Y242">
        <v>8</v>
      </c>
      <c r="Z242">
        <v>8</v>
      </c>
      <c r="AA242">
        <v>0</v>
      </c>
      <c r="AB242">
        <v>9</v>
      </c>
      <c r="AC242">
        <v>8</v>
      </c>
      <c r="AD242">
        <v>1</v>
      </c>
      <c r="AE242">
        <v>7</v>
      </c>
      <c r="AF242">
        <v>8</v>
      </c>
      <c r="AG242">
        <v>-1</v>
      </c>
      <c r="AH242">
        <v>9</v>
      </c>
      <c r="AI242">
        <v>8</v>
      </c>
      <c r="AJ242">
        <v>1</v>
      </c>
      <c r="AK242" t="s">
        <v>2374</v>
      </c>
      <c r="AL242" t="s">
        <v>2375</v>
      </c>
      <c r="AM242" t="s">
        <v>2376</v>
      </c>
      <c r="AN242" t="s">
        <v>2377</v>
      </c>
      <c r="AO242" t="s">
        <v>2378</v>
      </c>
      <c r="AP242" t="s">
        <v>2379</v>
      </c>
      <c r="AQ242" t="s">
        <v>2380</v>
      </c>
      <c r="AR242" t="s">
        <v>2381</v>
      </c>
      <c r="AS242" t="s">
        <v>2382</v>
      </c>
    </row>
    <row r="243" spans="1:45" x14ac:dyDescent="0.45">
      <c r="A243">
        <v>242</v>
      </c>
      <c r="B243">
        <v>2267</v>
      </c>
      <c r="C243" t="s">
        <v>78</v>
      </c>
      <c r="D243" t="s">
        <v>73</v>
      </c>
      <c r="E243" t="s">
        <v>74</v>
      </c>
      <c r="F243" t="s">
        <v>77</v>
      </c>
      <c r="G243" t="s">
        <v>76</v>
      </c>
      <c r="H243">
        <v>61.291200347062542</v>
      </c>
      <c r="I243">
        <v>2</v>
      </c>
      <c r="J243">
        <v>7</v>
      </c>
      <c r="K243">
        <v>6</v>
      </c>
      <c r="L243">
        <v>1</v>
      </c>
      <c r="M243">
        <v>6</v>
      </c>
      <c r="N243">
        <v>5</v>
      </c>
      <c r="O243">
        <v>1</v>
      </c>
      <c r="P243">
        <v>8</v>
      </c>
      <c r="Q243">
        <v>5</v>
      </c>
      <c r="R243">
        <v>3</v>
      </c>
      <c r="S243">
        <v>9</v>
      </c>
      <c r="T243">
        <v>7</v>
      </c>
      <c r="U243">
        <v>2</v>
      </c>
      <c r="V243">
        <v>7</v>
      </c>
      <c r="W243">
        <v>7</v>
      </c>
      <c r="X243">
        <v>0</v>
      </c>
      <c r="Y243">
        <v>8</v>
      </c>
      <c r="Z243">
        <v>7</v>
      </c>
      <c r="AA243">
        <v>1</v>
      </c>
      <c r="AB243">
        <v>9</v>
      </c>
      <c r="AC243">
        <v>7</v>
      </c>
      <c r="AD243">
        <v>2</v>
      </c>
      <c r="AE243">
        <v>7</v>
      </c>
      <c r="AF243">
        <v>8</v>
      </c>
      <c r="AG243">
        <v>-1</v>
      </c>
      <c r="AH243">
        <v>9</v>
      </c>
      <c r="AI243">
        <v>8</v>
      </c>
      <c r="AJ243">
        <v>1</v>
      </c>
      <c r="AK243" t="s">
        <v>2383</v>
      </c>
      <c r="AL243" t="s">
        <v>2384</v>
      </c>
      <c r="AM243" t="s">
        <v>2385</v>
      </c>
      <c r="AN243" t="s">
        <v>2386</v>
      </c>
      <c r="AO243" t="s">
        <v>2387</v>
      </c>
      <c r="AP243" t="s">
        <v>2388</v>
      </c>
      <c r="AQ243" t="s">
        <v>2389</v>
      </c>
      <c r="AR243" t="s">
        <v>2390</v>
      </c>
      <c r="AS243" t="s">
        <v>2391</v>
      </c>
    </row>
    <row r="244" spans="1:45" x14ac:dyDescent="0.45">
      <c r="A244">
        <v>243</v>
      </c>
      <c r="B244">
        <v>2268</v>
      </c>
      <c r="C244" t="s">
        <v>78</v>
      </c>
      <c r="D244" t="s">
        <v>192</v>
      </c>
      <c r="E244" t="s">
        <v>74</v>
      </c>
      <c r="F244" t="s">
        <v>77</v>
      </c>
      <c r="G244" t="s">
        <v>76</v>
      </c>
      <c r="H244">
        <v>92.427218596042579</v>
      </c>
      <c r="I244">
        <v>2</v>
      </c>
      <c r="J244">
        <v>8</v>
      </c>
      <c r="K244">
        <v>6</v>
      </c>
      <c r="L244">
        <v>2</v>
      </c>
      <c r="M244">
        <v>9</v>
      </c>
      <c r="N244">
        <v>6</v>
      </c>
      <c r="O244">
        <v>3</v>
      </c>
      <c r="P244">
        <v>9</v>
      </c>
      <c r="Q244">
        <v>6</v>
      </c>
      <c r="R244">
        <v>3</v>
      </c>
      <c r="S244">
        <v>8</v>
      </c>
      <c r="T244">
        <v>6</v>
      </c>
      <c r="U244">
        <v>2</v>
      </c>
      <c r="V244">
        <v>9</v>
      </c>
      <c r="W244">
        <v>6</v>
      </c>
      <c r="X244">
        <v>3</v>
      </c>
      <c r="Y244">
        <v>9</v>
      </c>
      <c r="Z244">
        <v>6</v>
      </c>
      <c r="AA244">
        <v>3</v>
      </c>
      <c r="AB244">
        <v>8</v>
      </c>
      <c r="AC244">
        <v>6</v>
      </c>
      <c r="AD244">
        <v>2</v>
      </c>
      <c r="AE244">
        <v>9</v>
      </c>
      <c r="AF244">
        <v>6</v>
      </c>
      <c r="AG244">
        <v>3</v>
      </c>
      <c r="AH244">
        <v>10</v>
      </c>
      <c r="AI244">
        <v>6</v>
      </c>
      <c r="AJ244">
        <v>4</v>
      </c>
      <c r="AK244" t="s">
        <v>2392</v>
      </c>
      <c r="AL244" t="s">
        <v>2393</v>
      </c>
      <c r="AM244" t="s">
        <v>2394</v>
      </c>
      <c r="AN244" t="s">
        <v>2395</v>
      </c>
      <c r="AO244" t="s">
        <v>2396</v>
      </c>
      <c r="AP244" t="s">
        <v>2397</v>
      </c>
      <c r="AQ244" t="s">
        <v>2398</v>
      </c>
      <c r="AR244" t="s">
        <v>2399</v>
      </c>
      <c r="AS244" t="s">
        <v>2400</v>
      </c>
    </row>
    <row r="245" spans="1:45" x14ac:dyDescent="0.45">
      <c r="A245">
        <v>244</v>
      </c>
      <c r="B245">
        <v>2269</v>
      </c>
      <c r="C245" t="s">
        <v>72</v>
      </c>
      <c r="D245" t="s">
        <v>79</v>
      </c>
      <c r="E245" t="s">
        <v>74</v>
      </c>
      <c r="F245" t="s">
        <v>75</v>
      </c>
      <c r="G245" t="s">
        <v>76</v>
      </c>
      <c r="H245">
        <v>52.483739341609798</v>
      </c>
      <c r="I245">
        <v>3</v>
      </c>
      <c r="J245">
        <v>8</v>
      </c>
      <c r="K245">
        <v>7</v>
      </c>
      <c r="L245">
        <v>1</v>
      </c>
      <c r="M245">
        <v>7</v>
      </c>
      <c r="N245">
        <v>6</v>
      </c>
      <c r="O245">
        <v>1</v>
      </c>
      <c r="P245">
        <v>6</v>
      </c>
      <c r="Q245">
        <v>6</v>
      </c>
      <c r="R245">
        <v>0</v>
      </c>
      <c r="S245">
        <v>9</v>
      </c>
      <c r="T245">
        <v>8</v>
      </c>
      <c r="U245">
        <v>1</v>
      </c>
      <c r="V245">
        <v>8</v>
      </c>
      <c r="W245">
        <v>6</v>
      </c>
      <c r="X245">
        <v>2</v>
      </c>
      <c r="Y245">
        <v>9</v>
      </c>
      <c r="Z245">
        <v>6</v>
      </c>
      <c r="AA245">
        <v>3</v>
      </c>
      <c r="AB245">
        <v>8</v>
      </c>
      <c r="AC245">
        <v>6</v>
      </c>
      <c r="AD245">
        <v>2</v>
      </c>
      <c r="AE245">
        <v>9</v>
      </c>
      <c r="AF245">
        <v>6</v>
      </c>
      <c r="AG245">
        <v>3</v>
      </c>
      <c r="AH245">
        <v>8</v>
      </c>
      <c r="AI245">
        <v>6</v>
      </c>
      <c r="AJ245">
        <v>2</v>
      </c>
      <c r="AK245" t="s">
        <v>2401</v>
      </c>
      <c r="AL245" t="s">
        <v>2402</v>
      </c>
      <c r="AM245" t="s">
        <v>2403</v>
      </c>
      <c r="AN245" t="s">
        <v>2404</v>
      </c>
      <c r="AO245" t="s">
        <v>2405</v>
      </c>
      <c r="AP245" t="s">
        <v>2406</v>
      </c>
      <c r="AQ245" t="s">
        <v>2407</v>
      </c>
      <c r="AR245" t="s">
        <v>1251</v>
      </c>
      <c r="AS245" t="s">
        <v>2408</v>
      </c>
    </row>
    <row r="246" spans="1:45" x14ac:dyDescent="0.45">
      <c r="A246">
        <v>245</v>
      </c>
      <c r="B246">
        <v>2270</v>
      </c>
      <c r="C246" t="s">
        <v>78</v>
      </c>
      <c r="D246" t="s">
        <v>79</v>
      </c>
      <c r="E246" t="s">
        <v>74</v>
      </c>
      <c r="F246" t="s">
        <v>75</v>
      </c>
      <c r="G246" t="s">
        <v>76</v>
      </c>
      <c r="H246">
        <v>107.4817735908309</v>
      </c>
      <c r="I246">
        <v>0</v>
      </c>
      <c r="J246">
        <v>7</v>
      </c>
      <c r="K246">
        <v>4</v>
      </c>
      <c r="L246">
        <v>3</v>
      </c>
      <c r="M246">
        <v>8</v>
      </c>
      <c r="N246">
        <v>4</v>
      </c>
      <c r="O246">
        <v>4</v>
      </c>
      <c r="P246">
        <v>9</v>
      </c>
      <c r="Q246">
        <v>1</v>
      </c>
      <c r="R246">
        <v>8</v>
      </c>
      <c r="S246">
        <v>8</v>
      </c>
      <c r="T246">
        <v>4</v>
      </c>
      <c r="U246">
        <v>4</v>
      </c>
      <c r="V246">
        <v>9</v>
      </c>
      <c r="W246">
        <v>4</v>
      </c>
      <c r="X246">
        <v>5</v>
      </c>
      <c r="Y246">
        <v>9</v>
      </c>
      <c r="Z246">
        <v>4</v>
      </c>
      <c r="AA246">
        <v>5</v>
      </c>
      <c r="AB246">
        <v>8</v>
      </c>
      <c r="AC246">
        <v>5</v>
      </c>
      <c r="AD246">
        <v>3</v>
      </c>
      <c r="AE246">
        <v>7</v>
      </c>
      <c r="AF246">
        <v>5</v>
      </c>
      <c r="AG246">
        <v>2</v>
      </c>
      <c r="AH246">
        <v>9</v>
      </c>
      <c r="AI246">
        <v>5</v>
      </c>
      <c r="AJ246">
        <v>4</v>
      </c>
      <c r="AK246" t="s">
        <v>2409</v>
      </c>
      <c r="AL246" t="s">
        <v>2410</v>
      </c>
      <c r="AM246" t="s">
        <v>2411</v>
      </c>
      <c r="AN246" t="s">
        <v>2412</v>
      </c>
      <c r="AO246" t="s">
        <v>2413</v>
      </c>
      <c r="AP246" t="s">
        <v>2414</v>
      </c>
      <c r="AQ246" t="s">
        <v>2415</v>
      </c>
      <c r="AR246" t="s">
        <v>2416</v>
      </c>
      <c r="AS246" t="s">
        <v>2417</v>
      </c>
    </row>
    <row r="247" spans="1:45" x14ac:dyDescent="0.45">
      <c r="A247">
        <v>246</v>
      </c>
      <c r="B247">
        <v>2271</v>
      </c>
      <c r="C247" t="s">
        <v>78</v>
      </c>
      <c r="D247" t="s">
        <v>73</v>
      </c>
      <c r="E247" t="s">
        <v>74</v>
      </c>
      <c r="F247" t="s">
        <v>77</v>
      </c>
      <c r="G247" t="s">
        <v>76</v>
      </c>
      <c r="H247">
        <v>28.258216592770246</v>
      </c>
      <c r="I247">
        <v>0</v>
      </c>
      <c r="J247">
        <v>8</v>
      </c>
      <c r="K247">
        <v>6</v>
      </c>
      <c r="L247">
        <v>2</v>
      </c>
      <c r="M247">
        <v>7</v>
      </c>
      <c r="N247">
        <v>7</v>
      </c>
      <c r="O247">
        <v>0</v>
      </c>
      <c r="P247">
        <v>9</v>
      </c>
      <c r="Q247">
        <v>7</v>
      </c>
      <c r="R247">
        <v>2</v>
      </c>
      <c r="S247">
        <v>8</v>
      </c>
      <c r="T247">
        <v>7</v>
      </c>
      <c r="U247">
        <v>1</v>
      </c>
      <c r="V247">
        <v>9</v>
      </c>
      <c r="W247">
        <v>7</v>
      </c>
      <c r="X247">
        <v>2</v>
      </c>
      <c r="Y247">
        <v>8</v>
      </c>
      <c r="Z247">
        <v>7</v>
      </c>
      <c r="AA247">
        <v>1</v>
      </c>
      <c r="AB247">
        <v>9</v>
      </c>
      <c r="AC247">
        <v>7</v>
      </c>
      <c r="AD247">
        <v>2</v>
      </c>
      <c r="AE247">
        <v>8</v>
      </c>
      <c r="AF247">
        <v>7</v>
      </c>
      <c r="AG247">
        <v>1</v>
      </c>
      <c r="AH247">
        <v>9</v>
      </c>
      <c r="AI247">
        <v>7</v>
      </c>
      <c r="AJ247">
        <v>2</v>
      </c>
      <c r="AK247" t="s">
        <v>2418</v>
      </c>
      <c r="AL247" t="s">
        <v>2419</v>
      </c>
      <c r="AM247" t="s">
        <v>2420</v>
      </c>
      <c r="AN247" t="s">
        <v>2421</v>
      </c>
      <c r="AO247" t="s">
        <v>2422</v>
      </c>
      <c r="AP247" t="s">
        <v>2423</v>
      </c>
      <c r="AQ247" t="s">
        <v>2424</v>
      </c>
      <c r="AR247" t="s">
        <v>2425</v>
      </c>
      <c r="AS247" t="s">
        <v>2426</v>
      </c>
    </row>
    <row r="248" spans="1:45" x14ac:dyDescent="0.45">
      <c r="A248">
        <v>247</v>
      </c>
      <c r="B248">
        <v>2272</v>
      </c>
      <c r="C248" t="s">
        <v>72</v>
      </c>
      <c r="D248" t="s">
        <v>192</v>
      </c>
      <c r="E248" t="s">
        <v>74</v>
      </c>
      <c r="F248" t="s">
        <v>75</v>
      </c>
      <c r="G248" t="s">
        <v>76</v>
      </c>
      <c r="H248">
        <v>63.194104882923128</v>
      </c>
      <c r="I248">
        <v>4</v>
      </c>
      <c r="J248">
        <v>6</v>
      </c>
      <c r="K248">
        <v>8</v>
      </c>
      <c r="L248">
        <v>-2</v>
      </c>
      <c r="M248">
        <v>7</v>
      </c>
      <c r="N248">
        <v>8</v>
      </c>
      <c r="O248">
        <v>-1</v>
      </c>
      <c r="P248">
        <v>8</v>
      </c>
      <c r="Q248">
        <v>8</v>
      </c>
      <c r="R248">
        <v>0</v>
      </c>
      <c r="S248">
        <v>9</v>
      </c>
      <c r="T248">
        <v>8</v>
      </c>
      <c r="U248">
        <v>1</v>
      </c>
      <c r="V248">
        <v>7</v>
      </c>
      <c r="W248">
        <v>8</v>
      </c>
      <c r="X248">
        <v>-1</v>
      </c>
      <c r="Y248">
        <v>8</v>
      </c>
      <c r="Z248">
        <v>8</v>
      </c>
      <c r="AA248">
        <v>0</v>
      </c>
      <c r="AB248">
        <v>7</v>
      </c>
      <c r="AC248">
        <v>8</v>
      </c>
      <c r="AD248">
        <v>-1</v>
      </c>
      <c r="AE248">
        <v>6</v>
      </c>
      <c r="AF248">
        <v>8</v>
      </c>
      <c r="AG248">
        <v>-2</v>
      </c>
      <c r="AH248">
        <v>9</v>
      </c>
      <c r="AI248">
        <v>8</v>
      </c>
      <c r="AJ248">
        <v>1</v>
      </c>
      <c r="AK248" t="s">
        <v>2427</v>
      </c>
      <c r="AL248" t="s">
        <v>2428</v>
      </c>
      <c r="AM248" t="s">
        <v>2429</v>
      </c>
      <c r="AN248" t="s">
        <v>2430</v>
      </c>
      <c r="AO248" t="s">
        <v>2431</v>
      </c>
      <c r="AP248" t="s">
        <v>2432</v>
      </c>
      <c r="AQ248" t="s">
        <v>2433</v>
      </c>
      <c r="AR248" t="s">
        <v>2434</v>
      </c>
      <c r="AS248" t="s">
        <v>2435</v>
      </c>
    </row>
    <row r="249" spans="1:45" x14ac:dyDescent="0.45">
      <c r="A249">
        <v>248</v>
      </c>
      <c r="B249">
        <v>2273</v>
      </c>
      <c r="C249" t="s">
        <v>72</v>
      </c>
      <c r="D249" t="s">
        <v>79</v>
      </c>
      <c r="E249" t="s">
        <v>74</v>
      </c>
      <c r="F249" t="s">
        <v>77</v>
      </c>
      <c r="G249" t="s">
        <v>76</v>
      </c>
      <c r="H249">
        <v>38.630349952692882</v>
      </c>
      <c r="I249">
        <v>1</v>
      </c>
      <c r="J249">
        <v>7</v>
      </c>
      <c r="K249">
        <v>7</v>
      </c>
      <c r="L249">
        <v>0</v>
      </c>
      <c r="M249">
        <v>8</v>
      </c>
      <c r="N249">
        <v>7</v>
      </c>
      <c r="O249">
        <v>1</v>
      </c>
      <c r="P249">
        <v>9</v>
      </c>
      <c r="Q249">
        <v>7</v>
      </c>
      <c r="R249">
        <v>2</v>
      </c>
      <c r="S249">
        <v>9</v>
      </c>
      <c r="T249">
        <v>7</v>
      </c>
      <c r="U249">
        <v>2</v>
      </c>
      <c r="V249">
        <v>8</v>
      </c>
      <c r="W249">
        <v>7</v>
      </c>
      <c r="X249">
        <v>1</v>
      </c>
      <c r="Y249">
        <v>9</v>
      </c>
      <c r="Z249">
        <v>7</v>
      </c>
      <c r="AA249">
        <v>2</v>
      </c>
      <c r="AB249">
        <v>8</v>
      </c>
      <c r="AC249">
        <v>7</v>
      </c>
      <c r="AD249">
        <v>1</v>
      </c>
      <c r="AE249">
        <v>7</v>
      </c>
      <c r="AF249">
        <v>7</v>
      </c>
      <c r="AG249">
        <v>0</v>
      </c>
      <c r="AH249">
        <v>9</v>
      </c>
      <c r="AI249">
        <v>7</v>
      </c>
      <c r="AJ249">
        <v>2</v>
      </c>
      <c r="AK249" t="s">
        <v>2436</v>
      </c>
      <c r="AL249" t="s">
        <v>2437</v>
      </c>
      <c r="AM249" t="s">
        <v>2438</v>
      </c>
      <c r="AN249" t="s">
        <v>2439</v>
      </c>
      <c r="AO249" t="s">
        <v>2440</v>
      </c>
      <c r="AP249" t="s">
        <v>2441</v>
      </c>
      <c r="AQ249" t="s">
        <v>2442</v>
      </c>
      <c r="AR249" t="s">
        <v>2443</v>
      </c>
      <c r="AS249" t="s">
        <v>2444</v>
      </c>
    </row>
    <row r="250" spans="1:45" x14ac:dyDescent="0.45">
      <c r="A250">
        <v>249</v>
      </c>
      <c r="B250">
        <v>2274</v>
      </c>
      <c r="C250" t="s">
        <v>78</v>
      </c>
      <c r="D250" t="s">
        <v>194</v>
      </c>
      <c r="E250" t="s">
        <v>74</v>
      </c>
      <c r="F250" t="s">
        <v>75</v>
      </c>
      <c r="G250" t="s">
        <v>76</v>
      </c>
      <c r="H250">
        <v>92.724372049302261</v>
      </c>
      <c r="I250">
        <v>3</v>
      </c>
      <c r="J250">
        <v>9</v>
      </c>
      <c r="K250">
        <v>9</v>
      </c>
      <c r="L250">
        <v>0</v>
      </c>
      <c r="M250">
        <v>8</v>
      </c>
      <c r="N250">
        <v>9</v>
      </c>
      <c r="O250">
        <v>-1</v>
      </c>
      <c r="P250">
        <v>9</v>
      </c>
      <c r="Q250">
        <v>9</v>
      </c>
      <c r="R250">
        <v>0</v>
      </c>
      <c r="S250">
        <v>8</v>
      </c>
      <c r="T250">
        <v>9</v>
      </c>
      <c r="U250">
        <v>-1</v>
      </c>
      <c r="V250">
        <v>9</v>
      </c>
      <c r="W250">
        <v>9</v>
      </c>
      <c r="X250">
        <v>0</v>
      </c>
      <c r="Y250">
        <v>8</v>
      </c>
      <c r="Z250">
        <v>9</v>
      </c>
      <c r="AA250">
        <v>-1</v>
      </c>
      <c r="AB250">
        <v>9</v>
      </c>
      <c r="AC250">
        <v>9</v>
      </c>
      <c r="AD250">
        <v>0</v>
      </c>
      <c r="AE250">
        <v>8</v>
      </c>
      <c r="AF250">
        <v>9</v>
      </c>
      <c r="AG250">
        <v>-1</v>
      </c>
      <c r="AH250">
        <v>9</v>
      </c>
      <c r="AI250">
        <v>9</v>
      </c>
      <c r="AJ250">
        <v>0</v>
      </c>
      <c r="AK250" t="s">
        <v>2445</v>
      </c>
      <c r="AL250" t="s">
        <v>2446</v>
      </c>
      <c r="AM250" t="s">
        <v>2447</v>
      </c>
      <c r="AN250" t="s">
        <v>2448</v>
      </c>
      <c r="AO250" t="s">
        <v>2449</v>
      </c>
      <c r="AP250" t="s">
        <v>2450</v>
      </c>
      <c r="AQ250" t="s">
        <v>2451</v>
      </c>
      <c r="AR250" t="s">
        <v>2452</v>
      </c>
      <c r="AS250" t="s">
        <v>2453</v>
      </c>
    </row>
    <row r="251" spans="1:45" x14ac:dyDescent="0.45">
      <c r="A251">
        <v>250</v>
      </c>
      <c r="B251">
        <v>2275</v>
      </c>
      <c r="C251" t="s">
        <v>72</v>
      </c>
      <c r="D251" t="s">
        <v>73</v>
      </c>
      <c r="E251" t="s">
        <v>74</v>
      </c>
      <c r="F251" t="s">
        <v>77</v>
      </c>
      <c r="G251" t="s">
        <v>76</v>
      </c>
      <c r="H251">
        <v>67.086355157018815</v>
      </c>
      <c r="I251">
        <v>3</v>
      </c>
      <c r="J251">
        <v>9</v>
      </c>
      <c r="K251">
        <v>7</v>
      </c>
      <c r="L251">
        <v>2</v>
      </c>
      <c r="M251">
        <v>8</v>
      </c>
      <c r="N251">
        <v>6</v>
      </c>
      <c r="O251">
        <v>2</v>
      </c>
      <c r="P251">
        <v>9</v>
      </c>
      <c r="Q251">
        <v>5</v>
      </c>
      <c r="R251">
        <v>4</v>
      </c>
      <c r="S251">
        <v>8</v>
      </c>
      <c r="T251">
        <v>6</v>
      </c>
      <c r="U251">
        <v>2</v>
      </c>
      <c r="V251">
        <v>9</v>
      </c>
      <c r="W251">
        <v>6</v>
      </c>
      <c r="X251">
        <v>3</v>
      </c>
      <c r="Y251">
        <v>8</v>
      </c>
      <c r="Z251">
        <v>6</v>
      </c>
      <c r="AA251">
        <v>2</v>
      </c>
      <c r="AB251">
        <v>9</v>
      </c>
      <c r="AC251">
        <v>6</v>
      </c>
      <c r="AD251">
        <v>3</v>
      </c>
      <c r="AE251">
        <v>8</v>
      </c>
      <c r="AF251">
        <v>6</v>
      </c>
      <c r="AG251">
        <v>2</v>
      </c>
      <c r="AH251">
        <v>9</v>
      </c>
      <c r="AI251">
        <v>7</v>
      </c>
      <c r="AJ251">
        <v>2</v>
      </c>
      <c r="AK251" t="s">
        <v>2454</v>
      </c>
      <c r="AL251" t="s">
        <v>2455</v>
      </c>
      <c r="AM251" t="s">
        <v>2456</v>
      </c>
      <c r="AN251" t="s">
        <v>2457</v>
      </c>
      <c r="AO251" t="s">
        <v>2458</v>
      </c>
      <c r="AP251" t="s">
        <v>2459</v>
      </c>
      <c r="AQ251" t="s">
        <v>2460</v>
      </c>
      <c r="AR251" t="s">
        <v>2461</v>
      </c>
      <c r="AS251" t="s">
        <v>2462</v>
      </c>
    </row>
    <row r="252" spans="1:45" x14ac:dyDescent="0.45">
      <c r="A252">
        <v>251</v>
      </c>
      <c r="B252">
        <v>2276</v>
      </c>
      <c r="C252" t="s">
        <v>72</v>
      </c>
      <c r="D252" t="s">
        <v>73</v>
      </c>
      <c r="E252" t="s">
        <v>74</v>
      </c>
      <c r="F252" t="s">
        <v>77</v>
      </c>
      <c r="G252" t="s">
        <v>76</v>
      </c>
      <c r="H252">
        <v>37.978933802969514</v>
      </c>
      <c r="I252">
        <v>4</v>
      </c>
      <c r="J252">
        <v>7</v>
      </c>
      <c r="K252">
        <v>8</v>
      </c>
      <c r="L252">
        <v>-1</v>
      </c>
      <c r="M252">
        <v>6</v>
      </c>
      <c r="N252">
        <v>8</v>
      </c>
      <c r="O252">
        <v>-2</v>
      </c>
      <c r="P252">
        <v>8</v>
      </c>
      <c r="Q252">
        <v>8</v>
      </c>
      <c r="R252">
        <v>0</v>
      </c>
      <c r="S252">
        <v>9</v>
      </c>
      <c r="T252">
        <v>9</v>
      </c>
      <c r="U252">
        <v>0</v>
      </c>
      <c r="V252">
        <v>7</v>
      </c>
      <c r="W252">
        <v>8</v>
      </c>
      <c r="X252">
        <v>-1</v>
      </c>
      <c r="Y252">
        <v>9</v>
      </c>
      <c r="Z252">
        <v>10</v>
      </c>
      <c r="AA252">
        <v>-1</v>
      </c>
      <c r="AB252">
        <v>8</v>
      </c>
      <c r="AC252">
        <v>7</v>
      </c>
      <c r="AD252">
        <v>1</v>
      </c>
      <c r="AE252">
        <v>7</v>
      </c>
      <c r="AF252">
        <v>7</v>
      </c>
      <c r="AG252">
        <v>0</v>
      </c>
      <c r="AH252">
        <v>8</v>
      </c>
      <c r="AI252">
        <v>10</v>
      </c>
      <c r="AJ252">
        <v>-2</v>
      </c>
      <c r="AK252" t="s">
        <v>2463</v>
      </c>
      <c r="AL252" t="s">
        <v>2464</v>
      </c>
      <c r="AM252" t="s">
        <v>2465</v>
      </c>
      <c r="AN252" t="s">
        <v>2466</v>
      </c>
      <c r="AO252" t="s">
        <v>2467</v>
      </c>
      <c r="AP252" t="s">
        <v>2468</v>
      </c>
      <c r="AQ252" t="s">
        <v>2469</v>
      </c>
      <c r="AR252" t="s">
        <v>2470</v>
      </c>
      <c r="AS252" t="s">
        <v>2471</v>
      </c>
    </row>
    <row r="253" spans="1:45" x14ac:dyDescent="0.45">
      <c r="A253">
        <v>252</v>
      </c>
      <c r="B253">
        <v>2277</v>
      </c>
      <c r="C253" t="s">
        <v>72</v>
      </c>
      <c r="D253" t="s">
        <v>192</v>
      </c>
      <c r="E253" t="s">
        <v>74</v>
      </c>
      <c r="F253" t="s">
        <v>77</v>
      </c>
      <c r="G253" t="s">
        <v>76</v>
      </c>
      <c r="H253">
        <v>68.388741481585825</v>
      </c>
      <c r="I253">
        <v>3</v>
      </c>
      <c r="J253">
        <v>7</v>
      </c>
      <c r="K253">
        <v>6</v>
      </c>
      <c r="L253">
        <v>1</v>
      </c>
      <c r="M253">
        <v>8</v>
      </c>
      <c r="N253">
        <v>6</v>
      </c>
      <c r="O253">
        <v>2</v>
      </c>
      <c r="P253">
        <v>9</v>
      </c>
      <c r="Q253">
        <v>1</v>
      </c>
      <c r="R253">
        <v>8</v>
      </c>
      <c r="S253">
        <v>10</v>
      </c>
      <c r="T253">
        <v>6</v>
      </c>
      <c r="U253">
        <v>4</v>
      </c>
      <c r="V253">
        <v>7</v>
      </c>
      <c r="W253">
        <v>5</v>
      </c>
      <c r="X253">
        <v>2</v>
      </c>
      <c r="Y253">
        <v>9</v>
      </c>
      <c r="Z253">
        <v>6</v>
      </c>
      <c r="AA253">
        <v>3</v>
      </c>
      <c r="AB253">
        <v>8</v>
      </c>
      <c r="AC253">
        <v>6</v>
      </c>
      <c r="AD253">
        <v>2</v>
      </c>
      <c r="AE253">
        <v>9</v>
      </c>
      <c r="AF253">
        <v>6</v>
      </c>
      <c r="AG253">
        <v>3</v>
      </c>
      <c r="AH253">
        <v>9</v>
      </c>
      <c r="AI253">
        <v>6</v>
      </c>
      <c r="AJ253">
        <v>3</v>
      </c>
      <c r="AK253" t="s">
        <v>2472</v>
      </c>
      <c r="AL253" t="s">
        <v>2473</v>
      </c>
      <c r="AM253" t="s">
        <v>2474</v>
      </c>
      <c r="AN253" t="s">
        <v>2475</v>
      </c>
      <c r="AO253" t="s">
        <v>2476</v>
      </c>
      <c r="AP253" t="s">
        <v>2477</v>
      </c>
      <c r="AQ253" t="s">
        <v>2478</v>
      </c>
      <c r="AR253" t="s">
        <v>2479</v>
      </c>
      <c r="AS253" t="s">
        <v>2480</v>
      </c>
    </row>
    <row r="254" spans="1:45" x14ac:dyDescent="0.45">
      <c r="A254">
        <v>253</v>
      </c>
      <c r="B254">
        <v>2278</v>
      </c>
      <c r="C254" t="s">
        <v>78</v>
      </c>
      <c r="D254" t="s">
        <v>79</v>
      </c>
      <c r="E254" t="s">
        <v>74</v>
      </c>
      <c r="F254" t="s">
        <v>75</v>
      </c>
      <c r="G254" t="s">
        <v>76</v>
      </c>
      <c r="H254">
        <v>93.11240041634484</v>
      </c>
      <c r="I254">
        <v>4</v>
      </c>
      <c r="J254">
        <v>7</v>
      </c>
      <c r="K254">
        <v>8</v>
      </c>
      <c r="L254">
        <v>-1</v>
      </c>
      <c r="M254">
        <v>8</v>
      </c>
      <c r="N254">
        <v>8</v>
      </c>
      <c r="O254">
        <v>0</v>
      </c>
      <c r="P254">
        <v>9</v>
      </c>
      <c r="Q254">
        <v>3</v>
      </c>
      <c r="R254">
        <v>6</v>
      </c>
      <c r="S254">
        <v>9</v>
      </c>
      <c r="T254">
        <v>9</v>
      </c>
      <c r="U254">
        <v>0</v>
      </c>
      <c r="V254">
        <v>8</v>
      </c>
      <c r="W254">
        <v>8</v>
      </c>
      <c r="X254">
        <v>0</v>
      </c>
      <c r="Y254">
        <v>8</v>
      </c>
      <c r="Z254">
        <v>8</v>
      </c>
      <c r="AA254">
        <v>0</v>
      </c>
      <c r="AB254">
        <v>7</v>
      </c>
      <c r="AC254">
        <v>8</v>
      </c>
      <c r="AD254">
        <v>-1</v>
      </c>
      <c r="AE254">
        <v>6</v>
      </c>
      <c r="AF254">
        <v>8</v>
      </c>
      <c r="AG254">
        <v>-2</v>
      </c>
      <c r="AH254">
        <v>8</v>
      </c>
      <c r="AI254">
        <v>8</v>
      </c>
      <c r="AJ254">
        <v>0</v>
      </c>
      <c r="AK254" t="s">
        <v>2481</v>
      </c>
      <c r="AL254" t="s">
        <v>2482</v>
      </c>
      <c r="AM254" t="s">
        <v>2483</v>
      </c>
      <c r="AN254" t="s">
        <v>2484</v>
      </c>
      <c r="AO254" t="s">
        <v>2485</v>
      </c>
      <c r="AP254" t="s">
        <v>2486</v>
      </c>
      <c r="AQ254" t="s">
        <v>2487</v>
      </c>
      <c r="AR254" t="s">
        <v>2488</v>
      </c>
      <c r="AS254" t="s">
        <v>2489</v>
      </c>
    </row>
    <row r="255" spans="1:45" x14ac:dyDescent="0.45">
      <c r="A255">
        <v>254</v>
      </c>
      <c r="B255">
        <v>2279</v>
      </c>
      <c r="C255" t="s">
        <v>78</v>
      </c>
      <c r="D255" t="s">
        <v>79</v>
      </c>
      <c r="E255" t="s">
        <v>74</v>
      </c>
      <c r="F255" t="s">
        <v>75</v>
      </c>
      <c r="G255" t="s">
        <v>76</v>
      </c>
      <c r="H255">
        <v>88.754105105392284</v>
      </c>
      <c r="I255">
        <v>1</v>
      </c>
      <c r="J255">
        <v>8</v>
      </c>
      <c r="K255">
        <v>4</v>
      </c>
      <c r="L255">
        <v>4</v>
      </c>
      <c r="M255">
        <v>8</v>
      </c>
      <c r="N255">
        <v>3</v>
      </c>
      <c r="O255">
        <v>5</v>
      </c>
      <c r="P255">
        <v>9</v>
      </c>
      <c r="Q255">
        <v>1</v>
      </c>
      <c r="R255">
        <v>8</v>
      </c>
      <c r="S255">
        <v>9</v>
      </c>
      <c r="T255">
        <v>7</v>
      </c>
      <c r="U255">
        <v>2</v>
      </c>
      <c r="V255">
        <v>7</v>
      </c>
      <c r="W255">
        <v>3</v>
      </c>
      <c r="X255">
        <v>4</v>
      </c>
      <c r="Y255">
        <v>8</v>
      </c>
      <c r="Z255">
        <v>6</v>
      </c>
      <c r="AA255">
        <v>2</v>
      </c>
      <c r="AB255">
        <v>7</v>
      </c>
      <c r="AC255">
        <v>5</v>
      </c>
      <c r="AD255">
        <v>2</v>
      </c>
      <c r="AE255">
        <v>6</v>
      </c>
      <c r="AF255">
        <v>6</v>
      </c>
      <c r="AG255">
        <v>0</v>
      </c>
      <c r="AH255">
        <v>9</v>
      </c>
      <c r="AI255">
        <v>6</v>
      </c>
      <c r="AJ255">
        <v>3</v>
      </c>
      <c r="AK255" t="s">
        <v>2490</v>
      </c>
      <c r="AL255" t="s">
        <v>2491</v>
      </c>
      <c r="AM255" t="s">
        <v>2492</v>
      </c>
      <c r="AN255" t="s">
        <v>2493</v>
      </c>
      <c r="AO255" t="s">
        <v>2494</v>
      </c>
      <c r="AP255" t="s">
        <v>2495</v>
      </c>
      <c r="AQ255" t="s">
        <v>2496</v>
      </c>
      <c r="AR255" t="s">
        <v>2497</v>
      </c>
      <c r="AS255" t="s">
        <v>2498</v>
      </c>
    </row>
    <row r="256" spans="1:45" x14ac:dyDescent="0.45">
      <c r="A256">
        <v>255</v>
      </c>
      <c r="B256">
        <v>2280</v>
      </c>
      <c r="C256" t="s">
        <v>72</v>
      </c>
      <c r="D256" t="s">
        <v>73</v>
      </c>
      <c r="E256" t="s">
        <v>74</v>
      </c>
      <c r="F256" t="s">
        <v>75</v>
      </c>
      <c r="G256" t="s">
        <v>76</v>
      </c>
      <c r="H256">
        <v>55.451391784362599</v>
      </c>
      <c r="I256">
        <v>1</v>
      </c>
      <c r="J256">
        <v>7</v>
      </c>
      <c r="K256">
        <v>6</v>
      </c>
      <c r="L256">
        <v>1</v>
      </c>
      <c r="M256">
        <v>6</v>
      </c>
      <c r="N256">
        <v>6</v>
      </c>
      <c r="O256">
        <v>0</v>
      </c>
      <c r="P256">
        <v>8</v>
      </c>
      <c r="Q256">
        <v>1</v>
      </c>
      <c r="R256">
        <v>7</v>
      </c>
      <c r="S256">
        <v>9</v>
      </c>
      <c r="T256">
        <v>7</v>
      </c>
      <c r="U256">
        <v>2</v>
      </c>
      <c r="V256">
        <v>7</v>
      </c>
      <c r="W256">
        <v>5</v>
      </c>
      <c r="X256">
        <v>2</v>
      </c>
      <c r="Y256">
        <v>9</v>
      </c>
      <c r="Z256">
        <v>6</v>
      </c>
      <c r="AA256">
        <v>3</v>
      </c>
      <c r="AB256">
        <v>7</v>
      </c>
      <c r="AC256">
        <v>6</v>
      </c>
      <c r="AD256">
        <v>1</v>
      </c>
      <c r="AE256">
        <v>8</v>
      </c>
      <c r="AF256">
        <v>6</v>
      </c>
      <c r="AG256">
        <v>2</v>
      </c>
      <c r="AH256">
        <v>9</v>
      </c>
      <c r="AI256">
        <v>6</v>
      </c>
      <c r="AJ256">
        <v>3</v>
      </c>
      <c r="AK256" t="s">
        <v>2499</v>
      </c>
      <c r="AL256" t="s">
        <v>2500</v>
      </c>
      <c r="AM256" t="s">
        <v>2501</v>
      </c>
      <c r="AN256" t="s">
        <v>2502</v>
      </c>
      <c r="AO256" t="s">
        <v>2503</v>
      </c>
      <c r="AP256" t="s">
        <v>2504</v>
      </c>
      <c r="AQ256" t="s">
        <v>2505</v>
      </c>
      <c r="AR256" t="s">
        <v>2506</v>
      </c>
      <c r="AS256" t="s">
        <v>2507</v>
      </c>
    </row>
    <row r="257" spans="1:45" x14ac:dyDescent="0.45">
      <c r="A257">
        <v>256</v>
      </c>
      <c r="B257">
        <v>2281</v>
      </c>
      <c r="C257" t="s">
        <v>72</v>
      </c>
      <c r="D257" t="s">
        <v>192</v>
      </c>
      <c r="E257" t="s">
        <v>74</v>
      </c>
      <c r="F257" t="s">
        <v>77</v>
      </c>
      <c r="G257" t="s">
        <v>76</v>
      </c>
      <c r="H257">
        <v>137.91560640133088</v>
      </c>
      <c r="I257">
        <v>4</v>
      </c>
      <c r="J257">
        <v>7</v>
      </c>
      <c r="K257">
        <v>8</v>
      </c>
      <c r="L257">
        <v>-1</v>
      </c>
      <c r="M257">
        <v>8</v>
      </c>
      <c r="N257">
        <v>8</v>
      </c>
      <c r="O257">
        <v>0</v>
      </c>
      <c r="P257">
        <v>6</v>
      </c>
      <c r="Q257">
        <v>5</v>
      </c>
      <c r="R257">
        <v>1</v>
      </c>
      <c r="S257">
        <v>9</v>
      </c>
      <c r="T257">
        <v>8</v>
      </c>
      <c r="U257">
        <v>1</v>
      </c>
      <c r="V257">
        <v>7</v>
      </c>
      <c r="W257">
        <v>8</v>
      </c>
      <c r="X257">
        <v>-1</v>
      </c>
      <c r="Y257">
        <v>9</v>
      </c>
      <c r="Z257">
        <v>7</v>
      </c>
      <c r="AA257">
        <v>2</v>
      </c>
      <c r="AB257">
        <v>8</v>
      </c>
      <c r="AC257">
        <v>7</v>
      </c>
      <c r="AD257">
        <v>1</v>
      </c>
      <c r="AE257">
        <v>7</v>
      </c>
      <c r="AF257">
        <v>7</v>
      </c>
      <c r="AG257">
        <v>0</v>
      </c>
      <c r="AH257">
        <v>9</v>
      </c>
      <c r="AI257">
        <v>7</v>
      </c>
      <c r="AJ257">
        <v>2</v>
      </c>
      <c r="AK257" t="s">
        <v>2508</v>
      </c>
      <c r="AL257" t="s">
        <v>2509</v>
      </c>
      <c r="AM257" t="s">
        <v>2510</v>
      </c>
      <c r="AN257" t="s">
        <v>2511</v>
      </c>
      <c r="AO257" t="s">
        <v>2512</v>
      </c>
      <c r="AP257" t="s">
        <v>2513</v>
      </c>
      <c r="AQ257" t="s">
        <v>2514</v>
      </c>
      <c r="AR257" t="s">
        <v>2515</v>
      </c>
      <c r="AS257" t="s">
        <v>2516</v>
      </c>
    </row>
    <row r="258" spans="1:45" x14ac:dyDescent="0.45">
      <c r="A258">
        <v>257</v>
      </c>
      <c r="B258">
        <v>2282</v>
      </c>
      <c r="C258" t="s">
        <v>72</v>
      </c>
      <c r="D258" t="s">
        <v>81</v>
      </c>
      <c r="E258" t="s">
        <v>74</v>
      </c>
      <c r="F258" t="s">
        <v>77</v>
      </c>
      <c r="G258" t="s">
        <v>76</v>
      </c>
      <c r="H258">
        <v>38.004051680886214</v>
      </c>
      <c r="I258">
        <v>1</v>
      </c>
      <c r="J258">
        <v>7</v>
      </c>
      <c r="K258">
        <v>7</v>
      </c>
      <c r="L258">
        <v>0</v>
      </c>
      <c r="M258">
        <v>7</v>
      </c>
      <c r="N258">
        <v>8</v>
      </c>
      <c r="O258">
        <v>-1</v>
      </c>
      <c r="P258">
        <v>9</v>
      </c>
      <c r="Q258">
        <v>4</v>
      </c>
      <c r="R258">
        <v>5</v>
      </c>
      <c r="S258">
        <v>8</v>
      </c>
      <c r="T258">
        <v>8</v>
      </c>
      <c r="U258">
        <v>0</v>
      </c>
      <c r="V258">
        <v>7</v>
      </c>
      <c r="W258">
        <v>5</v>
      </c>
      <c r="X258">
        <v>2</v>
      </c>
      <c r="Y258">
        <v>8</v>
      </c>
      <c r="Z258">
        <v>7</v>
      </c>
      <c r="AA258">
        <v>1</v>
      </c>
      <c r="AB258">
        <v>6</v>
      </c>
      <c r="AC258">
        <v>5</v>
      </c>
      <c r="AD258">
        <v>1</v>
      </c>
      <c r="AE258">
        <v>7</v>
      </c>
      <c r="AF258">
        <v>6</v>
      </c>
      <c r="AG258">
        <v>1</v>
      </c>
      <c r="AH258">
        <v>9</v>
      </c>
      <c r="AI258">
        <v>6</v>
      </c>
      <c r="AJ258">
        <v>3</v>
      </c>
      <c r="AK258" t="s">
        <v>2517</v>
      </c>
      <c r="AL258" t="s">
        <v>2518</v>
      </c>
      <c r="AM258" t="s">
        <v>2519</v>
      </c>
      <c r="AN258" t="s">
        <v>2520</v>
      </c>
      <c r="AO258" t="s">
        <v>2521</v>
      </c>
      <c r="AP258" t="s">
        <v>2522</v>
      </c>
      <c r="AQ258" t="s">
        <v>2523</v>
      </c>
      <c r="AR258" t="s">
        <v>2524</v>
      </c>
      <c r="AS258" t="s">
        <v>2525</v>
      </c>
    </row>
    <row r="259" spans="1:45" x14ac:dyDescent="0.45">
      <c r="A259">
        <v>258</v>
      </c>
      <c r="B259">
        <v>2283</v>
      </c>
      <c r="C259" t="s">
        <v>78</v>
      </c>
      <c r="D259" t="s">
        <v>79</v>
      </c>
      <c r="E259" t="s">
        <v>74</v>
      </c>
      <c r="F259" t="s">
        <v>77</v>
      </c>
      <c r="G259" t="s">
        <v>76</v>
      </c>
      <c r="H259">
        <v>63.589395489618362</v>
      </c>
      <c r="I259">
        <v>2</v>
      </c>
      <c r="J259">
        <v>6</v>
      </c>
      <c r="K259">
        <v>6</v>
      </c>
      <c r="L259">
        <v>0</v>
      </c>
      <c r="M259">
        <v>5</v>
      </c>
      <c r="N259">
        <v>7</v>
      </c>
      <c r="O259">
        <v>-2</v>
      </c>
      <c r="P259">
        <v>8</v>
      </c>
      <c r="Q259">
        <v>2</v>
      </c>
      <c r="R259">
        <v>6</v>
      </c>
      <c r="S259">
        <v>7</v>
      </c>
      <c r="T259">
        <v>7</v>
      </c>
      <c r="U259">
        <v>0</v>
      </c>
      <c r="V259">
        <v>9</v>
      </c>
      <c r="W259">
        <v>5</v>
      </c>
      <c r="X259">
        <v>4</v>
      </c>
      <c r="Y259">
        <v>9</v>
      </c>
      <c r="Z259">
        <v>5</v>
      </c>
      <c r="AA259">
        <v>4</v>
      </c>
      <c r="AB259">
        <v>8</v>
      </c>
      <c r="AC259">
        <v>5</v>
      </c>
      <c r="AD259">
        <v>3</v>
      </c>
      <c r="AE259">
        <v>7</v>
      </c>
      <c r="AF259">
        <v>6</v>
      </c>
      <c r="AG259">
        <v>1</v>
      </c>
      <c r="AH259">
        <v>9</v>
      </c>
      <c r="AI259">
        <v>5</v>
      </c>
      <c r="AJ259">
        <v>4</v>
      </c>
      <c r="AK259" t="s">
        <v>222</v>
      </c>
      <c r="AL259" t="s">
        <v>2526</v>
      </c>
      <c r="AM259" t="s">
        <v>2527</v>
      </c>
      <c r="AN259" t="s">
        <v>2528</v>
      </c>
      <c r="AO259" t="s">
        <v>2529</v>
      </c>
      <c r="AP259" t="s">
        <v>2530</v>
      </c>
      <c r="AQ259" t="s">
        <v>2531</v>
      </c>
      <c r="AR259" t="s">
        <v>2532</v>
      </c>
      <c r="AS259" t="s">
        <v>2533</v>
      </c>
    </row>
    <row r="260" spans="1:45" x14ac:dyDescent="0.45">
      <c r="A260">
        <v>259</v>
      </c>
      <c r="B260">
        <v>2284</v>
      </c>
      <c r="C260" t="s">
        <v>78</v>
      </c>
      <c r="D260" t="s">
        <v>192</v>
      </c>
      <c r="E260" t="s">
        <v>74</v>
      </c>
      <c r="F260" t="s">
        <v>75</v>
      </c>
      <c r="G260" t="s">
        <v>76</v>
      </c>
      <c r="H260">
        <v>232.13934677245291</v>
      </c>
      <c r="I260">
        <v>4</v>
      </c>
      <c r="J260">
        <v>7</v>
      </c>
      <c r="K260">
        <v>2</v>
      </c>
      <c r="L260">
        <v>5</v>
      </c>
      <c r="M260">
        <v>6</v>
      </c>
      <c r="N260">
        <v>1</v>
      </c>
      <c r="O260">
        <v>5</v>
      </c>
      <c r="P260">
        <v>9</v>
      </c>
      <c r="Q260">
        <v>1</v>
      </c>
      <c r="R260">
        <v>8</v>
      </c>
      <c r="S260">
        <v>8</v>
      </c>
      <c r="T260">
        <v>6</v>
      </c>
      <c r="U260">
        <v>2</v>
      </c>
      <c r="V260">
        <v>7</v>
      </c>
      <c r="W260">
        <v>2</v>
      </c>
      <c r="X260">
        <v>5</v>
      </c>
      <c r="Y260">
        <v>9</v>
      </c>
      <c r="Z260">
        <v>3</v>
      </c>
      <c r="AA260">
        <v>6</v>
      </c>
      <c r="AB260">
        <v>7</v>
      </c>
      <c r="AC260">
        <v>1</v>
      </c>
      <c r="AD260">
        <v>6</v>
      </c>
      <c r="AE260">
        <v>6</v>
      </c>
      <c r="AF260">
        <v>5</v>
      </c>
      <c r="AG260">
        <v>1</v>
      </c>
      <c r="AH260">
        <v>9</v>
      </c>
      <c r="AI260">
        <v>4</v>
      </c>
      <c r="AJ260">
        <v>5</v>
      </c>
      <c r="AK260" t="s">
        <v>2534</v>
      </c>
      <c r="AL260" t="s">
        <v>2535</v>
      </c>
      <c r="AM260" t="s">
        <v>2536</v>
      </c>
      <c r="AN260" t="s">
        <v>2537</v>
      </c>
      <c r="AO260" t="s">
        <v>2538</v>
      </c>
      <c r="AP260" t="s">
        <v>2539</v>
      </c>
      <c r="AQ260" t="s">
        <v>2540</v>
      </c>
      <c r="AR260" t="s">
        <v>2541</v>
      </c>
      <c r="AS260" t="s">
        <v>2542</v>
      </c>
    </row>
    <row r="261" spans="1:45" x14ac:dyDescent="0.45">
      <c r="A261">
        <v>260</v>
      </c>
      <c r="B261">
        <v>2285</v>
      </c>
      <c r="C261" t="s">
        <v>72</v>
      </c>
      <c r="D261" t="s">
        <v>73</v>
      </c>
      <c r="E261" t="s">
        <v>80</v>
      </c>
      <c r="F261" t="s">
        <v>77</v>
      </c>
      <c r="G261" t="s">
        <v>76</v>
      </c>
      <c r="H261">
        <v>35.617338665214369</v>
      </c>
      <c r="I261">
        <v>2</v>
      </c>
      <c r="J261">
        <v>8</v>
      </c>
      <c r="K261">
        <v>6</v>
      </c>
      <c r="L261">
        <v>2</v>
      </c>
      <c r="M261">
        <v>7</v>
      </c>
      <c r="N261">
        <v>6</v>
      </c>
      <c r="O261">
        <v>1</v>
      </c>
      <c r="P261">
        <v>9</v>
      </c>
      <c r="Q261">
        <v>7</v>
      </c>
      <c r="R261">
        <v>2</v>
      </c>
      <c r="S261">
        <v>8</v>
      </c>
      <c r="T261">
        <v>6</v>
      </c>
      <c r="U261">
        <v>2</v>
      </c>
      <c r="V261">
        <v>9</v>
      </c>
      <c r="W261">
        <v>5</v>
      </c>
      <c r="X261">
        <v>4</v>
      </c>
      <c r="Y261">
        <v>8</v>
      </c>
      <c r="Z261">
        <v>6</v>
      </c>
      <c r="AA261">
        <v>2</v>
      </c>
      <c r="AB261">
        <v>9</v>
      </c>
      <c r="AC261">
        <v>5</v>
      </c>
      <c r="AD261">
        <v>4</v>
      </c>
      <c r="AE261">
        <v>7</v>
      </c>
      <c r="AF261">
        <v>6</v>
      </c>
      <c r="AG261">
        <v>1</v>
      </c>
      <c r="AH261">
        <v>8</v>
      </c>
      <c r="AI261">
        <v>6</v>
      </c>
      <c r="AJ261">
        <v>2</v>
      </c>
      <c r="AK261" t="s">
        <v>2543</v>
      </c>
      <c r="AL261" t="s">
        <v>2544</v>
      </c>
      <c r="AM261" t="s">
        <v>2545</v>
      </c>
      <c r="AN261" t="s">
        <v>2546</v>
      </c>
      <c r="AO261" t="s">
        <v>2547</v>
      </c>
      <c r="AP261" t="s">
        <v>2548</v>
      </c>
      <c r="AQ261" t="s">
        <v>2549</v>
      </c>
      <c r="AR261" t="s">
        <v>2550</v>
      </c>
      <c r="AS261" t="s">
        <v>2551</v>
      </c>
    </row>
    <row r="262" spans="1:45" x14ac:dyDescent="0.45">
      <c r="A262">
        <v>261</v>
      </c>
      <c r="B262">
        <v>2286</v>
      </c>
      <c r="C262" t="s">
        <v>78</v>
      </c>
      <c r="D262" t="s">
        <v>73</v>
      </c>
      <c r="E262" t="s">
        <v>74</v>
      </c>
      <c r="F262" t="s">
        <v>77</v>
      </c>
      <c r="G262" t="s">
        <v>76</v>
      </c>
      <c r="H262">
        <v>33.97602373354075</v>
      </c>
      <c r="I262">
        <v>1</v>
      </c>
      <c r="J262">
        <v>7</v>
      </c>
      <c r="K262">
        <v>6</v>
      </c>
      <c r="L262">
        <v>1</v>
      </c>
      <c r="M262">
        <v>6</v>
      </c>
      <c r="N262">
        <v>7</v>
      </c>
      <c r="O262">
        <v>-1</v>
      </c>
      <c r="P262">
        <v>9</v>
      </c>
      <c r="Q262">
        <v>1</v>
      </c>
      <c r="R262">
        <v>8</v>
      </c>
      <c r="S262">
        <v>8</v>
      </c>
      <c r="T262">
        <v>9</v>
      </c>
      <c r="U262">
        <v>-1</v>
      </c>
      <c r="V262">
        <v>7</v>
      </c>
      <c r="W262">
        <v>5</v>
      </c>
      <c r="X262">
        <v>2</v>
      </c>
      <c r="Y262">
        <v>9</v>
      </c>
      <c r="Z262">
        <v>4</v>
      </c>
      <c r="AA262">
        <v>5</v>
      </c>
      <c r="AB262">
        <v>8</v>
      </c>
      <c r="AC262">
        <v>4</v>
      </c>
      <c r="AD262">
        <v>4</v>
      </c>
      <c r="AE262">
        <v>7</v>
      </c>
      <c r="AF262">
        <v>5</v>
      </c>
      <c r="AG262">
        <v>2</v>
      </c>
      <c r="AH262">
        <v>9</v>
      </c>
      <c r="AI262">
        <v>5</v>
      </c>
      <c r="AJ262">
        <v>4</v>
      </c>
      <c r="AK262" t="s">
        <v>2552</v>
      </c>
      <c r="AL262" t="s">
        <v>2553</v>
      </c>
      <c r="AM262" t="s">
        <v>2554</v>
      </c>
      <c r="AN262" t="s">
        <v>2108</v>
      </c>
      <c r="AO262" t="s">
        <v>2555</v>
      </c>
      <c r="AP262" t="s">
        <v>2556</v>
      </c>
      <c r="AQ262" t="s">
        <v>2557</v>
      </c>
      <c r="AR262" t="s">
        <v>2558</v>
      </c>
      <c r="AS262" t="s">
        <v>2559</v>
      </c>
    </row>
    <row r="263" spans="1:45" x14ac:dyDescent="0.45">
      <c r="A263">
        <v>262</v>
      </c>
      <c r="B263">
        <v>2287</v>
      </c>
      <c r="C263" t="s">
        <v>78</v>
      </c>
      <c r="D263" t="s">
        <v>73</v>
      </c>
      <c r="E263" t="s">
        <v>74</v>
      </c>
      <c r="F263" t="s">
        <v>77</v>
      </c>
      <c r="G263" t="s">
        <v>76</v>
      </c>
      <c r="H263">
        <v>48.27742925304392</v>
      </c>
      <c r="I263">
        <v>4</v>
      </c>
      <c r="J263">
        <v>7</v>
      </c>
      <c r="K263">
        <v>9</v>
      </c>
      <c r="L263">
        <v>-2</v>
      </c>
      <c r="M263">
        <v>6</v>
      </c>
      <c r="N263">
        <v>9</v>
      </c>
      <c r="O263">
        <v>-3</v>
      </c>
      <c r="P263">
        <v>8</v>
      </c>
      <c r="Q263">
        <v>8</v>
      </c>
      <c r="R263">
        <v>0</v>
      </c>
      <c r="S263">
        <v>5</v>
      </c>
      <c r="T263">
        <v>9</v>
      </c>
      <c r="U263">
        <v>-4</v>
      </c>
      <c r="V263">
        <v>7</v>
      </c>
      <c r="W263">
        <v>8</v>
      </c>
      <c r="X263">
        <v>-1</v>
      </c>
      <c r="Y263">
        <v>9</v>
      </c>
      <c r="Z263">
        <v>9</v>
      </c>
      <c r="AA263">
        <v>0</v>
      </c>
      <c r="AB263">
        <v>6</v>
      </c>
      <c r="AC263">
        <v>9</v>
      </c>
      <c r="AD263">
        <v>-3</v>
      </c>
      <c r="AE263">
        <v>7</v>
      </c>
      <c r="AF263">
        <v>8</v>
      </c>
      <c r="AG263">
        <v>-1</v>
      </c>
      <c r="AH263">
        <v>9</v>
      </c>
      <c r="AI263">
        <v>8</v>
      </c>
      <c r="AJ263">
        <v>1</v>
      </c>
      <c r="AK263" t="s">
        <v>2560</v>
      </c>
      <c r="AL263" t="s">
        <v>2561</v>
      </c>
      <c r="AM263" t="s">
        <v>2562</v>
      </c>
      <c r="AN263" t="s">
        <v>2563</v>
      </c>
      <c r="AO263" t="s">
        <v>2564</v>
      </c>
      <c r="AP263" t="s">
        <v>2565</v>
      </c>
      <c r="AQ263" t="s">
        <v>2566</v>
      </c>
      <c r="AR263" t="s">
        <v>2567</v>
      </c>
      <c r="AS263" t="s">
        <v>2568</v>
      </c>
    </row>
    <row r="264" spans="1:45" x14ac:dyDescent="0.45">
      <c r="A264">
        <v>263</v>
      </c>
      <c r="B264">
        <v>2288</v>
      </c>
      <c r="C264" t="s">
        <v>78</v>
      </c>
      <c r="D264" t="s">
        <v>73</v>
      </c>
      <c r="E264" t="s">
        <v>74</v>
      </c>
      <c r="F264" t="s">
        <v>75</v>
      </c>
      <c r="G264" t="s">
        <v>76</v>
      </c>
      <c r="H264">
        <v>81.786182943520089</v>
      </c>
      <c r="I264">
        <v>3</v>
      </c>
      <c r="J264">
        <v>9</v>
      </c>
      <c r="K264">
        <v>8</v>
      </c>
      <c r="L264">
        <v>1</v>
      </c>
      <c r="M264">
        <v>9</v>
      </c>
      <c r="N264">
        <v>8</v>
      </c>
      <c r="O264">
        <v>1</v>
      </c>
      <c r="P264">
        <v>8</v>
      </c>
      <c r="Q264">
        <v>5</v>
      </c>
      <c r="R264">
        <v>3</v>
      </c>
      <c r="S264">
        <v>9</v>
      </c>
      <c r="T264">
        <v>7</v>
      </c>
      <c r="U264">
        <v>2</v>
      </c>
      <c r="V264">
        <v>8</v>
      </c>
      <c r="W264">
        <v>7</v>
      </c>
      <c r="X264">
        <v>1</v>
      </c>
      <c r="Y264">
        <v>9</v>
      </c>
      <c r="Z264">
        <v>5</v>
      </c>
      <c r="AA264">
        <v>4</v>
      </c>
      <c r="AB264">
        <v>8</v>
      </c>
      <c r="AC264">
        <v>5</v>
      </c>
      <c r="AD264">
        <v>3</v>
      </c>
      <c r="AE264">
        <v>9</v>
      </c>
      <c r="AF264">
        <v>6</v>
      </c>
      <c r="AG264">
        <v>3</v>
      </c>
      <c r="AH264">
        <v>9</v>
      </c>
      <c r="AI264">
        <v>6</v>
      </c>
      <c r="AJ264">
        <v>3</v>
      </c>
      <c r="AK264" t="s">
        <v>2569</v>
      </c>
      <c r="AL264" t="s">
        <v>2570</v>
      </c>
      <c r="AM264" t="s">
        <v>2571</v>
      </c>
      <c r="AN264" t="s">
        <v>2572</v>
      </c>
      <c r="AO264" t="s">
        <v>2573</v>
      </c>
      <c r="AP264" t="s">
        <v>2574</v>
      </c>
      <c r="AQ264" t="s">
        <v>2575</v>
      </c>
      <c r="AR264" t="s">
        <v>2576</v>
      </c>
      <c r="AS264" t="s">
        <v>2577</v>
      </c>
    </row>
    <row r="265" spans="1:45" x14ac:dyDescent="0.45">
      <c r="A265">
        <v>264</v>
      </c>
      <c r="B265">
        <v>2289</v>
      </c>
      <c r="C265" t="s">
        <v>78</v>
      </c>
      <c r="D265" t="s">
        <v>79</v>
      </c>
      <c r="E265" t="s">
        <v>74</v>
      </c>
      <c r="F265" t="s">
        <v>75</v>
      </c>
      <c r="G265" t="s">
        <v>76</v>
      </c>
      <c r="H265">
        <v>186.13826148284753</v>
      </c>
      <c r="I265">
        <v>3</v>
      </c>
      <c r="J265">
        <v>7</v>
      </c>
      <c r="K265">
        <v>7</v>
      </c>
      <c r="L265">
        <v>0</v>
      </c>
      <c r="M265">
        <v>8</v>
      </c>
      <c r="N265">
        <v>7</v>
      </c>
      <c r="O265">
        <v>1</v>
      </c>
      <c r="P265">
        <v>9</v>
      </c>
      <c r="Q265">
        <v>7</v>
      </c>
      <c r="R265">
        <v>2</v>
      </c>
      <c r="S265">
        <v>8</v>
      </c>
      <c r="T265">
        <v>8</v>
      </c>
      <c r="U265">
        <v>0</v>
      </c>
      <c r="V265">
        <v>9</v>
      </c>
      <c r="W265">
        <v>7</v>
      </c>
      <c r="X265">
        <v>2</v>
      </c>
      <c r="Y265">
        <v>8</v>
      </c>
      <c r="Z265">
        <v>7</v>
      </c>
      <c r="AA265">
        <v>1</v>
      </c>
      <c r="AB265">
        <v>7</v>
      </c>
      <c r="AC265">
        <v>7</v>
      </c>
      <c r="AD265">
        <v>0</v>
      </c>
      <c r="AE265">
        <v>6</v>
      </c>
      <c r="AF265">
        <v>7</v>
      </c>
      <c r="AG265">
        <v>-1</v>
      </c>
      <c r="AH265">
        <v>9</v>
      </c>
      <c r="AI265">
        <v>7</v>
      </c>
      <c r="AJ265">
        <v>2</v>
      </c>
      <c r="AK265" t="s">
        <v>2578</v>
      </c>
      <c r="AL265" t="s">
        <v>2579</v>
      </c>
      <c r="AM265" t="s">
        <v>2580</v>
      </c>
      <c r="AN265" t="s">
        <v>2581</v>
      </c>
      <c r="AO265" t="s">
        <v>2582</v>
      </c>
      <c r="AP265" t="s">
        <v>2583</v>
      </c>
      <c r="AQ265" t="s">
        <v>2584</v>
      </c>
      <c r="AR265" t="s">
        <v>2585</v>
      </c>
      <c r="AS265" t="s">
        <v>2586</v>
      </c>
    </row>
    <row r="266" spans="1:45" x14ac:dyDescent="0.45">
      <c r="A266">
        <v>265</v>
      </c>
      <c r="B266">
        <v>2290</v>
      </c>
      <c r="C266" t="s">
        <v>72</v>
      </c>
      <c r="D266" t="s">
        <v>73</v>
      </c>
      <c r="E266" t="s">
        <v>74</v>
      </c>
      <c r="F266" t="s">
        <v>77</v>
      </c>
      <c r="G266" t="s">
        <v>76</v>
      </c>
      <c r="H266">
        <v>23.619644223184714</v>
      </c>
      <c r="I266">
        <v>0</v>
      </c>
      <c r="J266">
        <v>7</v>
      </c>
      <c r="K266">
        <v>6</v>
      </c>
      <c r="L266">
        <v>1</v>
      </c>
      <c r="M266">
        <v>8</v>
      </c>
      <c r="N266">
        <v>5</v>
      </c>
      <c r="O266">
        <v>3</v>
      </c>
      <c r="P266">
        <v>9</v>
      </c>
      <c r="Q266">
        <v>5</v>
      </c>
      <c r="R266">
        <v>4</v>
      </c>
      <c r="S266">
        <v>9</v>
      </c>
      <c r="T266">
        <v>7</v>
      </c>
      <c r="U266">
        <v>2</v>
      </c>
      <c r="V266">
        <v>6</v>
      </c>
      <c r="W266">
        <v>6</v>
      </c>
      <c r="X266">
        <v>0</v>
      </c>
      <c r="Y266">
        <v>8</v>
      </c>
      <c r="Z266">
        <v>7</v>
      </c>
      <c r="AA266">
        <v>1</v>
      </c>
      <c r="AB266">
        <v>7</v>
      </c>
      <c r="AC266">
        <v>5</v>
      </c>
      <c r="AD266">
        <v>2</v>
      </c>
      <c r="AE266">
        <v>9</v>
      </c>
      <c r="AF266">
        <v>6</v>
      </c>
      <c r="AG266">
        <v>3</v>
      </c>
      <c r="AH266">
        <v>8</v>
      </c>
      <c r="AI266">
        <v>6</v>
      </c>
      <c r="AJ266">
        <v>2</v>
      </c>
      <c r="AK266" t="s">
        <v>2587</v>
      </c>
      <c r="AL266" t="s">
        <v>2588</v>
      </c>
      <c r="AM266" t="s">
        <v>2589</v>
      </c>
      <c r="AN266" t="s">
        <v>2590</v>
      </c>
      <c r="AO266" t="s">
        <v>2591</v>
      </c>
      <c r="AP266" t="s">
        <v>2592</v>
      </c>
      <c r="AQ266" t="s">
        <v>2593</v>
      </c>
      <c r="AR266" t="s">
        <v>2594</v>
      </c>
      <c r="AS266" t="s">
        <v>2595</v>
      </c>
    </row>
    <row r="267" spans="1:45" x14ac:dyDescent="0.45">
      <c r="A267">
        <v>266</v>
      </c>
      <c r="B267">
        <v>2291</v>
      </c>
      <c r="C267" t="s">
        <v>72</v>
      </c>
      <c r="D267" t="s">
        <v>192</v>
      </c>
      <c r="E267" t="s">
        <v>74</v>
      </c>
      <c r="F267" t="s">
        <v>77</v>
      </c>
      <c r="G267" t="s">
        <v>76</v>
      </c>
      <c r="H267">
        <v>50.716808869580603</v>
      </c>
      <c r="I267">
        <v>3</v>
      </c>
      <c r="J267">
        <v>7</v>
      </c>
      <c r="K267">
        <v>7</v>
      </c>
      <c r="L267">
        <v>0</v>
      </c>
      <c r="M267">
        <v>8</v>
      </c>
      <c r="N267">
        <v>6</v>
      </c>
      <c r="O267">
        <v>2</v>
      </c>
      <c r="P267">
        <v>9</v>
      </c>
      <c r="Q267">
        <v>6</v>
      </c>
      <c r="R267">
        <v>3</v>
      </c>
      <c r="S267">
        <v>10</v>
      </c>
      <c r="T267">
        <v>6</v>
      </c>
      <c r="U267">
        <v>4</v>
      </c>
      <c r="V267">
        <v>8</v>
      </c>
      <c r="W267">
        <v>7</v>
      </c>
      <c r="X267">
        <v>1</v>
      </c>
      <c r="Y267">
        <v>9</v>
      </c>
      <c r="Z267">
        <v>7</v>
      </c>
      <c r="AA267">
        <v>2</v>
      </c>
      <c r="AB267">
        <v>7</v>
      </c>
      <c r="AC267">
        <v>7</v>
      </c>
      <c r="AD267">
        <v>0</v>
      </c>
      <c r="AE267">
        <v>8</v>
      </c>
      <c r="AF267">
        <v>7</v>
      </c>
      <c r="AG267">
        <v>1</v>
      </c>
      <c r="AH267">
        <v>9</v>
      </c>
      <c r="AI267">
        <v>7</v>
      </c>
      <c r="AJ267">
        <v>2</v>
      </c>
      <c r="AK267" t="s">
        <v>2596</v>
      </c>
      <c r="AL267" t="s">
        <v>2597</v>
      </c>
      <c r="AM267" t="s">
        <v>2598</v>
      </c>
      <c r="AN267" t="s">
        <v>2599</v>
      </c>
      <c r="AO267" t="s">
        <v>2600</v>
      </c>
      <c r="AP267" t="s">
        <v>2601</v>
      </c>
      <c r="AQ267" t="s">
        <v>2602</v>
      </c>
      <c r="AR267" t="s">
        <v>2603</v>
      </c>
      <c r="AS267" t="s">
        <v>2604</v>
      </c>
    </row>
    <row r="268" spans="1:45" x14ac:dyDescent="0.45">
      <c r="A268">
        <v>267</v>
      </c>
      <c r="B268">
        <v>2292</v>
      </c>
      <c r="C268" t="s">
        <v>78</v>
      </c>
      <c r="D268" t="s">
        <v>79</v>
      </c>
      <c r="E268" t="s">
        <v>74</v>
      </c>
      <c r="F268" t="s">
        <v>75</v>
      </c>
      <c r="G268" t="s">
        <v>76</v>
      </c>
      <c r="H268">
        <v>54.436543371213034</v>
      </c>
      <c r="I268">
        <v>2</v>
      </c>
      <c r="J268">
        <v>7</v>
      </c>
      <c r="K268">
        <v>6</v>
      </c>
      <c r="L268">
        <v>1</v>
      </c>
      <c r="M268">
        <v>8</v>
      </c>
      <c r="N268">
        <v>7</v>
      </c>
      <c r="O268">
        <v>1</v>
      </c>
      <c r="P268">
        <v>9</v>
      </c>
      <c r="Q268">
        <v>7</v>
      </c>
      <c r="R268">
        <v>2</v>
      </c>
      <c r="S268">
        <v>9</v>
      </c>
      <c r="T268">
        <v>6</v>
      </c>
      <c r="U268">
        <v>3</v>
      </c>
      <c r="V268">
        <v>7</v>
      </c>
      <c r="W268">
        <v>6</v>
      </c>
      <c r="X268">
        <v>1</v>
      </c>
      <c r="Y268">
        <v>8</v>
      </c>
      <c r="Z268">
        <v>6</v>
      </c>
      <c r="AA268">
        <v>2</v>
      </c>
      <c r="AB268">
        <v>6</v>
      </c>
      <c r="AC268">
        <v>6</v>
      </c>
      <c r="AD268">
        <v>0</v>
      </c>
      <c r="AE268">
        <v>8</v>
      </c>
      <c r="AF268">
        <v>7</v>
      </c>
      <c r="AG268">
        <v>1</v>
      </c>
      <c r="AH268">
        <v>9</v>
      </c>
      <c r="AI268">
        <v>7</v>
      </c>
      <c r="AJ268">
        <v>2</v>
      </c>
      <c r="AK268" t="s">
        <v>2605</v>
      </c>
      <c r="AL268" t="s">
        <v>2606</v>
      </c>
      <c r="AM268" t="s">
        <v>2607</v>
      </c>
      <c r="AN268" t="s">
        <v>2608</v>
      </c>
      <c r="AO268" t="s">
        <v>2609</v>
      </c>
      <c r="AP268" t="s">
        <v>2610</v>
      </c>
      <c r="AQ268" t="s">
        <v>2611</v>
      </c>
      <c r="AR268" t="s">
        <v>2612</v>
      </c>
      <c r="AS268" t="s">
        <v>2613</v>
      </c>
    </row>
    <row r="269" spans="1:45" x14ac:dyDescent="0.45">
      <c r="A269">
        <v>268</v>
      </c>
      <c r="B269">
        <v>2293</v>
      </c>
      <c r="C269" t="s">
        <v>72</v>
      </c>
      <c r="D269" t="s">
        <v>81</v>
      </c>
      <c r="E269" t="s">
        <v>74</v>
      </c>
      <c r="F269" t="s">
        <v>77</v>
      </c>
      <c r="G269" t="s">
        <v>76</v>
      </c>
      <c r="H269">
        <v>24.634858690807217</v>
      </c>
      <c r="I269">
        <v>2</v>
      </c>
      <c r="J269">
        <v>7</v>
      </c>
      <c r="K269">
        <v>7</v>
      </c>
      <c r="L269">
        <v>0</v>
      </c>
      <c r="M269">
        <v>8</v>
      </c>
      <c r="N269">
        <v>7</v>
      </c>
      <c r="O269">
        <v>1</v>
      </c>
      <c r="P269">
        <v>6</v>
      </c>
      <c r="Q269">
        <v>2</v>
      </c>
      <c r="R269">
        <v>4</v>
      </c>
      <c r="S269">
        <v>9</v>
      </c>
      <c r="T269">
        <v>7</v>
      </c>
      <c r="U269">
        <v>2</v>
      </c>
      <c r="V269">
        <v>7</v>
      </c>
      <c r="W269">
        <v>7</v>
      </c>
      <c r="X269">
        <v>0</v>
      </c>
      <c r="Y269">
        <v>9</v>
      </c>
      <c r="Z269">
        <v>7</v>
      </c>
      <c r="AA269">
        <v>2</v>
      </c>
      <c r="AB269">
        <v>8</v>
      </c>
      <c r="AC269">
        <v>7</v>
      </c>
      <c r="AD269">
        <v>1</v>
      </c>
      <c r="AE269">
        <v>7</v>
      </c>
      <c r="AF269">
        <v>7</v>
      </c>
      <c r="AG269">
        <v>0</v>
      </c>
      <c r="AH269">
        <v>9</v>
      </c>
      <c r="AI269">
        <v>7</v>
      </c>
      <c r="AJ269">
        <v>2</v>
      </c>
      <c r="AK269" t="s">
        <v>2614</v>
      </c>
      <c r="AL269" t="s">
        <v>2615</v>
      </c>
      <c r="AM269" t="s">
        <v>2616</v>
      </c>
      <c r="AN269" t="s">
        <v>2617</v>
      </c>
      <c r="AO269" t="s">
        <v>2618</v>
      </c>
      <c r="AP269" t="s">
        <v>2619</v>
      </c>
      <c r="AQ269" t="s">
        <v>2620</v>
      </c>
      <c r="AR269" t="s">
        <v>2621</v>
      </c>
      <c r="AS269" t="s">
        <v>2622</v>
      </c>
    </row>
    <row r="270" spans="1:45" x14ac:dyDescent="0.45">
      <c r="A270">
        <v>269</v>
      </c>
      <c r="B270">
        <v>2294</v>
      </c>
      <c r="C270" t="s">
        <v>78</v>
      </c>
      <c r="D270" t="s">
        <v>79</v>
      </c>
      <c r="E270" t="s">
        <v>74</v>
      </c>
      <c r="F270" t="s">
        <v>75</v>
      </c>
      <c r="G270" t="s">
        <v>76</v>
      </c>
      <c r="H270">
        <v>95.393258448050062</v>
      </c>
      <c r="I270">
        <v>4</v>
      </c>
      <c r="J270">
        <v>8</v>
      </c>
      <c r="K270">
        <v>4</v>
      </c>
      <c r="L270">
        <v>4</v>
      </c>
      <c r="M270">
        <v>7</v>
      </c>
      <c r="N270">
        <v>5</v>
      </c>
      <c r="O270">
        <v>2</v>
      </c>
      <c r="P270">
        <v>8</v>
      </c>
      <c r="Q270">
        <v>2</v>
      </c>
      <c r="R270">
        <v>6</v>
      </c>
      <c r="S270">
        <v>9</v>
      </c>
      <c r="T270">
        <v>6</v>
      </c>
      <c r="U270">
        <v>3</v>
      </c>
      <c r="V270">
        <v>7</v>
      </c>
      <c r="W270">
        <v>3</v>
      </c>
      <c r="X270">
        <v>4</v>
      </c>
      <c r="Y270">
        <v>9</v>
      </c>
      <c r="Z270">
        <v>3</v>
      </c>
      <c r="AA270">
        <v>6</v>
      </c>
      <c r="AB270">
        <v>7</v>
      </c>
      <c r="AC270">
        <v>1</v>
      </c>
      <c r="AD270">
        <v>6</v>
      </c>
      <c r="AE270">
        <v>8</v>
      </c>
      <c r="AF270">
        <v>3</v>
      </c>
      <c r="AG270">
        <v>5</v>
      </c>
      <c r="AH270">
        <v>9</v>
      </c>
      <c r="AI270">
        <v>1</v>
      </c>
      <c r="AJ270">
        <v>8</v>
      </c>
      <c r="AK270" t="s">
        <v>2623</v>
      </c>
      <c r="AL270" t="s">
        <v>2624</v>
      </c>
      <c r="AM270" t="s">
        <v>2625</v>
      </c>
      <c r="AN270" t="s">
        <v>2626</v>
      </c>
      <c r="AO270" t="s">
        <v>2627</v>
      </c>
      <c r="AP270" t="s">
        <v>2628</v>
      </c>
      <c r="AQ270" t="s">
        <v>2629</v>
      </c>
      <c r="AR270" t="s">
        <v>2630</v>
      </c>
      <c r="AS270" t="s">
        <v>2631</v>
      </c>
    </row>
    <row r="271" spans="1:45" x14ac:dyDescent="0.45">
      <c r="A271">
        <v>270</v>
      </c>
      <c r="B271">
        <v>2295</v>
      </c>
      <c r="C271" t="s">
        <v>72</v>
      </c>
      <c r="D271" t="s">
        <v>73</v>
      </c>
      <c r="E271" t="s">
        <v>74</v>
      </c>
      <c r="F271" t="s">
        <v>75</v>
      </c>
      <c r="G271" t="s">
        <v>162</v>
      </c>
      <c r="H271">
        <v>58.197854723316212</v>
      </c>
      <c r="I271">
        <v>0</v>
      </c>
      <c r="J271">
        <v>7</v>
      </c>
      <c r="K271">
        <v>8</v>
      </c>
      <c r="L271">
        <v>-1</v>
      </c>
      <c r="M271">
        <v>6</v>
      </c>
      <c r="N271">
        <v>8</v>
      </c>
      <c r="O271">
        <v>-2</v>
      </c>
      <c r="P271">
        <v>5</v>
      </c>
      <c r="Q271">
        <v>3</v>
      </c>
      <c r="R271">
        <v>2</v>
      </c>
      <c r="S271">
        <v>9</v>
      </c>
      <c r="T271">
        <v>8</v>
      </c>
      <c r="U271">
        <v>1</v>
      </c>
      <c r="V271">
        <v>8</v>
      </c>
      <c r="W271">
        <v>3</v>
      </c>
      <c r="X271">
        <v>5</v>
      </c>
      <c r="Y271">
        <v>9</v>
      </c>
      <c r="Z271">
        <v>1</v>
      </c>
      <c r="AA271">
        <v>8</v>
      </c>
      <c r="AB271">
        <v>7</v>
      </c>
      <c r="AC271">
        <v>8</v>
      </c>
      <c r="AD271">
        <v>-1</v>
      </c>
      <c r="AE271">
        <v>8</v>
      </c>
      <c r="AF271">
        <v>6</v>
      </c>
      <c r="AG271">
        <v>2</v>
      </c>
      <c r="AH271">
        <v>9</v>
      </c>
      <c r="AI271">
        <v>7</v>
      </c>
      <c r="AJ271">
        <v>2</v>
      </c>
      <c r="AK271" t="s">
        <v>2632</v>
      </c>
      <c r="AL271" t="s">
        <v>2633</v>
      </c>
      <c r="AM271" t="s">
        <v>2634</v>
      </c>
      <c r="AN271" t="s">
        <v>2635</v>
      </c>
      <c r="AO271" t="s">
        <v>2636</v>
      </c>
      <c r="AP271" t="s">
        <v>2637</v>
      </c>
      <c r="AQ271" t="s">
        <v>2638</v>
      </c>
      <c r="AR271" t="s">
        <v>2639</v>
      </c>
      <c r="AS271" t="s">
        <v>2640</v>
      </c>
    </row>
    <row r="272" spans="1:45" x14ac:dyDescent="0.45">
      <c r="A272">
        <v>271</v>
      </c>
      <c r="B272">
        <v>2296</v>
      </c>
      <c r="C272" t="s">
        <v>72</v>
      </c>
      <c r="D272" t="s">
        <v>73</v>
      </c>
      <c r="E272" t="s">
        <v>74</v>
      </c>
      <c r="F272" t="s">
        <v>75</v>
      </c>
      <c r="G272" t="s">
        <v>76</v>
      </c>
      <c r="H272">
        <v>56.810136217068468</v>
      </c>
      <c r="I272">
        <v>2</v>
      </c>
      <c r="J272">
        <v>7</v>
      </c>
      <c r="K272">
        <v>7</v>
      </c>
      <c r="L272">
        <v>0</v>
      </c>
      <c r="M272">
        <v>6</v>
      </c>
      <c r="N272">
        <v>7</v>
      </c>
      <c r="O272">
        <v>-1</v>
      </c>
      <c r="P272">
        <v>8</v>
      </c>
      <c r="Q272">
        <v>4</v>
      </c>
      <c r="R272">
        <v>4</v>
      </c>
      <c r="S272">
        <v>9</v>
      </c>
      <c r="T272">
        <v>7</v>
      </c>
      <c r="U272">
        <v>2</v>
      </c>
      <c r="V272">
        <v>7</v>
      </c>
      <c r="W272">
        <v>7</v>
      </c>
      <c r="X272">
        <v>0</v>
      </c>
      <c r="Y272">
        <v>9</v>
      </c>
      <c r="Z272">
        <v>6</v>
      </c>
      <c r="AA272">
        <v>3</v>
      </c>
      <c r="AB272">
        <v>7</v>
      </c>
      <c r="AC272">
        <v>5</v>
      </c>
      <c r="AD272">
        <v>2</v>
      </c>
      <c r="AE272">
        <v>6</v>
      </c>
      <c r="AF272">
        <v>7</v>
      </c>
      <c r="AG272">
        <v>-1</v>
      </c>
      <c r="AH272">
        <v>8</v>
      </c>
      <c r="AI272">
        <v>6</v>
      </c>
      <c r="AJ272">
        <v>2</v>
      </c>
      <c r="AK272" t="s">
        <v>2641</v>
      </c>
      <c r="AL272" t="s">
        <v>2642</v>
      </c>
      <c r="AM272" t="s">
        <v>2643</v>
      </c>
      <c r="AN272" t="s">
        <v>2644</v>
      </c>
      <c r="AO272" t="s">
        <v>2645</v>
      </c>
      <c r="AP272" t="s">
        <v>2646</v>
      </c>
      <c r="AQ272" t="s">
        <v>2647</v>
      </c>
      <c r="AR272" t="s">
        <v>2648</v>
      </c>
      <c r="AS272" t="s">
        <v>2649</v>
      </c>
    </row>
    <row r="273" spans="1:45" x14ac:dyDescent="0.45">
      <c r="A273">
        <v>272</v>
      </c>
      <c r="B273">
        <v>2297</v>
      </c>
      <c r="C273" t="s">
        <v>78</v>
      </c>
      <c r="D273" t="s">
        <v>73</v>
      </c>
      <c r="E273" t="s">
        <v>74</v>
      </c>
      <c r="F273" t="s">
        <v>77</v>
      </c>
      <c r="G273" t="s">
        <v>76</v>
      </c>
      <c r="H273">
        <v>40.863904573825955</v>
      </c>
      <c r="I273">
        <v>1</v>
      </c>
      <c r="J273">
        <v>6</v>
      </c>
      <c r="K273">
        <v>7</v>
      </c>
      <c r="L273">
        <v>-1</v>
      </c>
      <c r="M273">
        <v>7</v>
      </c>
      <c r="N273">
        <v>8</v>
      </c>
      <c r="O273">
        <v>-1</v>
      </c>
      <c r="P273">
        <v>8</v>
      </c>
      <c r="Q273">
        <v>2</v>
      </c>
      <c r="R273">
        <v>6</v>
      </c>
      <c r="S273">
        <v>9</v>
      </c>
      <c r="T273">
        <v>6</v>
      </c>
      <c r="U273">
        <v>3</v>
      </c>
      <c r="V273">
        <v>7</v>
      </c>
      <c r="W273">
        <v>6</v>
      </c>
      <c r="X273">
        <v>1</v>
      </c>
      <c r="Y273">
        <v>9</v>
      </c>
      <c r="Z273">
        <v>6</v>
      </c>
      <c r="AA273">
        <v>3</v>
      </c>
      <c r="AB273">
        <v>8</v>
      </c>
      <c r="AC273">
        <v>5</v>
      </c>
      <c r="AD273">
        <v>3</v>
      </c>
      <c r="AE273">
        <v>7</v>
      </c>
      <c r="AF273">
        <v>5</v>
      </c>
      <c r="AG273">
        <v>2</v>
      </c>
      <c r="AH273">
        <v>9</v>
      </c>
      <c r="AI273">
        <v>6</v>
      </c>
      <c r="AJ273">
        <v>3</v>
      </c>
      <c r="AK273" t="s">
        <v>2650</v>
      </c>
      <c r="AL273" t="s">
        <v>2651</v>
      </c>
      <c r="AM273" t="s">
        <v>2652</v>
      </c>
      <c r="AN273" t="s">
        <v>2653</v>
      </c>
      <c r="AO273" t="s">
        <v>2654</v>
      </c>
      <c r="AP273" t="s">
        <v>2655</v>
      </c>
      <c r="AQ273" t="s">
        <v>2656</v>
      </c>
      <c r="AR273" t="s">
        <v>2657</v>
      </c>
      <c r="AS273" t="s">
        <v>2658</v>
      </c>
    </row>
    <row r="274" spans="1:45" x14ac:dyDescent="0.45">
      <c r="A274">
        <v>273</v>
      </c>
      <c r="B274">
        <v>2298</v>
      </c>
      <c r="C274" t="s">
        <v>72</v>
      </c>
      <c r="D274" t="s">
        <v>192</v>
      </c>
      <c r="E274" t="s">
        <v>74</v>
      </c>
      <c r="F274" t="s">
        <v>75</v>
      </c>
      <c r="G274" t="s">
        <v>76</v>
      </c>
      <c r="H274">
        <v>87.341336277122693</v>
      </c>
      <c r="I274">
        <v>4</v>
      </c>
      <c r="J274">
        <v>8</v>
      </c>
      <c r="K274">
        <v>3</v>
      </c>
      <c r="L274">
        <v>5</v>
      </c>
      <c r="M274">
        <v>7</v>
      </c>
      <c r="N274">
        <v>3</v>
      </c>
      <c r="O274">
        <v>4</v>
      </c>
      <c r="P274">
        <v>9</v>
      </c>
      <c r="Q274">
        <v>1</v>
      </c>
      <c r="R274">
        <v>8</v>
      </c>
      <c r="S274">
        <v>8</v>
      </c>
      <c r="T274">
        <v>6</v>
      </c>
      <c r="U274">
        <v>2</v>
      </c>
      <c r="V274">
        <v>7</v>
      </c>
      <c r="W274">
        <v>1</v>
      </c>
      <c r="X274">
        <v>6</v>
      </c>
      <c r="Y274">
        <v>8</v>
      </c>
      <c r="Z274">
        <v>1</v>
      </c>
      <c r="AA274">
        <v>7</v>
      </c>
      <c r="AB274">
        <v>7</v>
      </c>
      <c r="AC274">
        <v>1</v>
      </c>
      <c r="AD274">
        <v>6</v>
      </c>
      <c r="AE274">
        <v>6</v>
      </c>
      <c r="AF274">
        <v>1</v>
      </c>
      <c r="AG274">
        <v>5</v>
      </c>
      <c r="AH274">
        <v>9</v>
      </c>
      <c r="AI274">
        <v>1</v>
      </c>
      <c r="AJ274">
        <v>8</v>
      </c>
      <c r="AK274" t="s">
        <v>2659</v>
      </c>
      <c r="AL274" t="s">
        <v>2660</v>
      </c>
      <c r="AM274" t="s">
        <v>2661</v>
      </c>
      <c r="AN274" t="s">
        <v>2662</v>
      </c>
      <c r="AO274" t="s">
        <v>2663</v>
      </c>
      <c r="AP274" t="s">
        <v>2664</v>
      </c>
      <c r="AQ274" t="s">
        <v>2665</v>
      </c>
      <c r="AR274" t="s">
        <v>2666</v>
      </c>
      <c r="AS274" t="s">
        <v>2667</v>
      </c>
    </row>
    <row r="275" spans="1:45" x14ac:dyDescent="0.45">
      <c r="A275">
        <v>274</v>
      </c>
      <c r="B275">
        <v>2299</v>
      </c>
      <c r="C275" t="s">
        <v>72</v>
      </c>
      <c r="D275" t="s">
        <v>73</v>
      </c>
      <c r="E275" t="s">
        <v>74</v>
      </c>
      <c r="F275" t="s">
        <v>77</v>
      </c>
      <c r="G275" t="s">
        <v>76</v>
      </c>
      <c r="H275">
        <v>50.676369719896847</v>
      </c>
      <c r="I275">
        <v>2</v>
      </c>
      <c r="J275">
        <v>5</v>
      </c>
      <c r="K275">
        <v>6</v>
      </c>
      <c r="L275">
        <v>-1</v>
      </c>
      <c r="M275">
        <v>7</v>
      </c>
      <c r="N275">
        <v>6</v>
      </c>
      <c r="O275">
        <v>1</v>
      </c>
      <c r="P275">
        <v>8</v>
      </c>
      <c r="Q275">
        <v>5</v>
      </c>
      <c r="R275">
        <v>3</v>
      </c>
      <c r="S275">
        <v>9</v>
      </c>
      <c r="T275">
        <v>6</v>
      </c>
      <c r="U275">
        <v>3</v>
      </c>
      <c r="V275">
        <v>7</v>
      </c>
      <c r="W275">
        <v>6</v>
      </c>
      <c r="X275">
        <v>1</v>
      </c>
      <c r="Y275">
        <v>9</v>
      </c>
      <c r="Z275">
        <v>6</v>
      </c>
      <c r="AA275">
        <v>3</v>
      </c>
      <c r="AB275">
        <v>6</v>
      </c>
      <c r="AC275">
        <v>6</v>
      </c>
      <c r="AD275">
        <v>0</v>
      </c>
      <c r="AE275">
        <v>8</v>
      </c>
      <c r="AF275">
        <v>6</v>
      </c>
      <c r="AG275">
        <v>2</v>
      </c>
      <c r="AH275">
        <v>9</v>
      </c>
      <c r="AI275">
        <v>6</v>
      </c>
      <c r="AJ275">
        <v>3</v>
      </c>
      <c r="AK275" t="s">
        <v>2668</v>
      </c>
      <c r="AL275" t="s">
        <v>2669</v>
      </c>
      <c r="AM275" t="s">
        <v>2670</v>
      </c>
      <c r="AN275" t="s">
        <v>2671</v>
      </c>
      <c r="AO275" t="s">
        <v>2672</v>
      </c>
      <c r="AP275" t="s">
        <v>2673</v>
      </c>
      <c r="AQ275" t="s">
        <v>2674</v>
      </c>
      <c r="AR275" t="s">
        <v>2675</v>
      </c>
      <c r="AS275" t="s">
        <v>2676</v>
      </c>
    </row>
    <row r="276" spans="1:45" x14ac:dyDescent="0.45">
      <c r="A276">
        <v>275</v>
      </c>
      <c r="B276">
        <v>2300</v>
      </c>
      <c r="C276" t="s">
        <v>72</v>
      </c>
      <c r="D276" t="s">
        <v>79</v>
      </c>
      <c r="E276" t="s">
        <v>74</v>
      </c>
      <c r="F276" t="s">
        <v>75</v>
      </c>
      <c r="G276" t="s">
        <v>76</v>
      </c>
      <c r="H276">
        <v>67.798166141260467</v>
      </c>
      <c r="I276">
        <v>2</v>
      </c>
      <c r="J276">
        <v>7</v>
      </c>
      <c r="K276">
        <v>8</v>
      </c>
      <c r="L276">
        <v>-1</v>
      </c>
      <c r="M276">
        <v>6</v>
      </c>
      <c r="N276">
        <v>9</v>
      </c>
      <c r="O276">
        <v>-3</v>
      </c>
      <c r="P276">
        <v>8</v>
      </c>
      <c r="Q276">
        <v>5</v>
      </c>
      <c r="R276">
        <v>3</v>
      </c>
      <c r="S276">
        <v>9</v>
      </c>
      <c r="T276">
        <v>7</v>
      </c>
      <c r="U276">
        <v>2</v>
      </c>
      <c r="V276">
        <v>5</v>
      </c>
      <c r="W276">
        <v>6</v>
      </c>
      <c r="X276">
        <v>-1</v>
      </c>
      <c r="Y276">
        <v>9</v>
      </c>
      <c r="Z276">
        <v>7</v>
      </c>
      <c r="AA276">
        <v>2</v>
      </c>
      <c r="AB276">
        <v>6</v>
      </c>
      <c r="AC276">
        <v>7</v>
      </c>
      <c r="AD276">
        <v>-1</v>
      </c>
      <c r="AE276">
        <v>7</v>
      </c>
      <c r="AF276">
        <v>7</v>
      </c>
      <c r="AG276">
        <v>0</v>
      </c>
      <c r="AH276">
        <v>9</v>
      </c>
      <c r="AI276">
        <v>7</v>
      </c>
      <c r="AJ276">
        <v>2</v>
      </c>
      <c r="AK276" t="s">
        <v>2677</v>
      </c>
      <c r="AL276" t="s">
        <v>2678</v>
      </c>
      <c r="AM276" t="s">
        <v>2679</v>
      </c>
      <c r="AN276" t="s">
        <v>2680</v>
      </c>
      <c r="AO276" t="s">
        <v>2681</v>
      </c>
      <c r="AP276" t="s">
        <v>2682</v>
      </c>
      <c r="AQ276" t="s">
        <v>2683</v>
      </c>
      <c r="AR276" t="s">
        <v>2684</v>
      </c>
      <c r="AS276" t="s">
        <v>2685</v>
      </c>
    </row>
    <row r="277" spans="1:45" x14ac:dyDescent="0.45">
      <c r="A277">
        <v>276</v>
      </c>
      <c r="B277">
        <v>2301</v>
      </c>
      <c r="C277" t="s">
        <v>78</v>
      </c>
      <c r="D277" t="s">
        <v>73</v>
      </c>
      <c r="E277" t="s">
        <v>74</v>
      </c>
      <c r="F277" t="s">
        <v>77</v>
      </c>
      <c r="G277" t="s">
        <v>76</v>
      </c>
      <c r="H277">
        <v>43.07065024677577</v>
      </c>
      <c r="I277">
        <v>1</v>
      </c>
      <c r="J277">
        <v>6</v>
      </c>
      <c r="K277">
        <v>6</v>
      </c>
      <c r="L277">
        <v>0</v>
      </c>
      <c r="M277">
        <v>7</v>
      </c>
      <c r="N277">
        <v>6</v>
      </c>
      <c r="O277">
        <v>1</v>
      </c>
      <c r="P277">
        <v>8</v>
      </c>
      <c r="Q277">
        <v>3</v>
      </c>
      <c r="R277">
        <v>5</v>
      </c>
      <c r="S277">
        <v>9</v>
      </c>
      <c r="T277">
        <v>7</v>
      </c>
      <c r="U277">
        <v>2</v>
      </c>
      <c r="V277">
        <v>8</v>
      </c>
      <c r="W277">
        <v>7</v>
      </c>
      <c r="X277">
        <v>1</v>
      </c>
      <c r="Y277">
        <v>9</v>
      </c>
      <c r="Z277">
        <v>7</v>
      </c>
      <c r="AA277">
        <v>2</v>
      </c>
      <c r="AB277">
        <v>8</v>
      </c>
      <c r="AC277">
        <v>5</v>
      </c>
      <c r="AD277">
        <v>3</v>
      </c>
      <c r="AE277">
        <v>7</v>
      </c>
      <c r="AF277">
        <v>7</v>
      </c>
      <c r="AG277">
        <v>0</v>
      </c>
      <c r="AH277">
        <v>8</v>
      </c>
      <c r="AI277">
        <v>7</v>
      </c>
      <c r="AJ277">
        <v>1</v>
      </c>
      <c r="AK277" t="s">
        <v>2686</v>
      </c>
      <c r="AL277" t="s">
        <v>2687</v>
      </c>
      <c r="AM277" t="s">
        <v>2688</v>
      </c>
      <c r="AN277" t="s">
        <v>2689</v>
      </c>
      <c r="AO277" t="s">
        <v>2690</v>
      </c>
      <c r="AP277" t="s">
        <v>2691</v>
      </c>
      <c r="AQ277" t="s">
        <v>2692</v>
      </c>
      <c r="AR277" t="s">
        <v>2693</v>
      </c>
      <c r="AS277" t="s">
        <v>2694</v>
      </c>
    </row>
    <row r="278" spans="1:45" x14ac:dyDescent="0.45">
      <c r="A278">
        <v>277</v>
      </c>
      <c r="B278">
        <v>2302</v>
      </c>
      <c r="C278" t="s">
        <v>72</v>
      </c>
      <c r="D278" t="s">
        <v>79</v>
      </c>
      <c r="E278" t="s">
        <v>74</v>
      </c>
      <c r="F278" t="s">
        <v>77</v>
      </c>
      <c r="G278" t="s">
        <v>76</v>
      </c>
      <c r="H278">
        <v>94.959946929181413</v>
      </c>
      <c r="I278">
        <v>4</v>
      </c>
      <c r="J278">
        <v>9</v>
      </c>
      <c r="K278">
        <v>8</v>
      </c>
      <c r="L278">
        <v>1</v>
      </c>
      <c r="M278">
        <v>8</v>
      </c>
      <c r="N278">
        <v>8</v>
      </c>
      <c r="O278">
        <v>0</v>
      </c>
      <c r="P278">
        <v>7</v>
      </c>
      <c r="Q278">
        <v>6</v>
      </c>
      <c r="R278">
        <v>1</v>
      </c>
      <c r="S278">
        <v>8</v>
      </c>
      <c r="T278">
        <v>7</v>
      </c>
      <c r="U278">
        <v>1</v>
      </c>
      <c r="V278">
        <v>7</v>
      </c>
      <c r="W278">
        <v>7</v>
      </c>
      <c r="X278">
        <v>0</v>
      </c>
      <c r="Y278">
        <v>7</v>
      </c>
      <c r="Z278">
        <v>4</v>
      </c>
      <c r="AA278">
        <v>3</v>
      </c>
      <c r="AB278">
        <v>6</v>
      </c>
      <c r="AC278">
        <v>5</v>
      </c>
      <c r="AD278">
        <v>1</v>
      </c>
      <c r="AE278">
        <v>7</v>
      </c>
      <c r="AF278">
        <v>5</v>
      </c>
      <c r="AG278">
        <v>2</v>
      </c>
      <c r="AH278">
        <v>8</v>
      </c>
      <c r="AI278">
        <v>5</v>
      </c>
      <c r="AJ278">
        <v>3</v>
      </c>
      <c r="AK278" t="s">
        <v>2695</v>
      </c>
      <c r="AL278" t="s">
        <v>2696</v>
      </c>
      <c r="AM278" t="s">
        <v>2697</v>
      </c>
      <c r="AN278" t="s">
        <v>2698</v>
      </c>
      <c r="AO278" t="s">
        <v>2699</v>
      </c>
      <c r="AP278" t="s">
        <v>2700</v>
      </c>
      <c r="AQ278" t="s">
        <v>2701</v>
      </c>
      <c r="AR278" t="s">
        <v>2702</v>
      </c>
      <c r="AS278" t="s">
        <v>2703</v>
      </c>
    </row>
    <row r="279" spans="1:45" x14ac:dyDescent="0.45">
      <c r="A279">
        <v>278</v>
      </c>
      <c r="B279">
        <v>2303</v>
      </c>
      <c r="C279" t="s">
        <v>72</v>
      </c>
      <c r="D279" t="s">
        <v>73</v>
      </c>
      <c r="E279" t="s">
        <v>74</v>
      </c>
      <c r="F279" t="s">
        <v>77</v>
      </c>
      <c r="G279" t="s">
        <v>76</v>
      </c>
      <c r="H279">
        <v>57.573626220631184</v>
      </c>
      <c r="I279">
        <v>3</v>
      </c>
      <c r="J279">
        <v>9</v>
      </c>
      <c r="K279">
        <v>6</v>
      </c>
      <c r="L279">
        <v>3</v>
      </c>
      <c r="M279">
        <v>8</v>
      </c>
      <c r="N279">
        <v>7</v>
      </c>
      <c r="O279">
        <v>1</v>
      </c>
      <c r="P279">
        <v>9</v>
      </c>
      <c r="Q279">
        <v>5</v>
      </c>
      <c r="R279">
        <v>4</v>
      </c>
      <c r="S279">
        <v>8</v>
      </c>
      <c r="T279">
        <v>7</v>
      </c>
      <c r="U279">
        <v>1</v>
      </c>
      <c r="V279">
        <v>9</v>
      </c>
      <c r="W279">
        <v>6</v>
      </c>
      <c r="X279">
        <v>3</v>
      </c>
      <c r="Y279">
        <v>9</v>
      </c>
      <c r="Z279">
        <v>6</v>
      </c>
      <c r="AA279">
        <v>3</v>
      </c>
      <c r="AB279">
        <v>8</v>
      </c>
      <c r="AC279">
        <v>6</v>
      </c>
      <c r="AD279">
        <v>2</v>
      </c>
      <c r="AE279">
        <v>9</v>
      </c>
      <c r="AF279">
        <v>6</v>
      </c>
      <c r="AG279">
        <v>3</v>
      </c>
      <c r="AH279">
        <v>9</v>
      </c>
      <c r="AI279">
        <v>6</v>
      </c>
      <c r="AJ279">
        <v>3</v>
      </c>
      <c r="AK279" t="s">
        <v>2704</v>
      </c>
      <c r="AL279" t="s">
        <v>2705</v>
      </c>
      <c r="AM279" t="s">
        <v>2706</v>
      </c>
      <c r="AN279" t="s">
        <v>2707</v>
      </c>
      <c r="AO279" t="s">
        <v>2708</v>
      </c>
      <c r="AP279" t="s">
        <v>2709</v>
      </c>
      <c r="AQ279" t="s">
        <v>2710</v>
      </c>
      <c r="AR279" t="s">
        <v>2711</v>
      </c>
      <c r="AS279" t="s">
        <v>2712</v>
      </c>
    </row>
    <row r="280" spans="1:45" x14ac:dyDescent="0.45">
      <c r="A280">
        <v>279</v>
      </c>
      <c r="B280">
        <v>2304</v>
      </c>
      <c r="C280" t="s">
        <v>78</v>
      </c>
      <c r="D280" t="s">
        <v>73</v>
      </c>
      <c r="E280" t="s">
        <v>74</v>
      </c>
      <c r="F280" t="s">
        <v>75</v>
      </c>
      <c r="G280" t="s">
        <v>162</v>
      </c>
      <c r="H280">
        <v>98.950452357114571</v>
      </c>
      <c r="I280">
        <v>0</v>
      </c>
      <c r="J280">
        <v>7</v>
      </c>
      <c r="K280">
        <v>6</v>
      </c>
      <c r="L280">
        <v>1</v>
      </c>
      <c r="M280">
        <v>6</v>
      </c>
      <c r="N280">
        <v>7</v>
      </c>
      <c r="O280">
        <v>-1</v>
      </c>
      <c r="P280">
        <v>8</v>
      </c>
      <c r="Q280">
        <v>5</v>
      </c>
      <c r="R280">
        <v>3</v>
      </c>
      <c r="S280">
        <v>9</v>
      </c>
      <c r="T280">
        <v>8</v>
      </c>
      <c r="U280">
        <v>1</v>
      </c>
      <c r="V280">
        <v>8</v>
      </c>
      <c r="W280">
        <v>6</v>
      </c>
      <c r="X280">
        <v>2</v>
      </c>
      <c r="Y280">
        <v>9</v>
      </c>
      <c r="Z280">
        <v>3</v>
      </c>
      <c r="AA280">
        <v>6</v>
      </c>
      <c r="AB280">
        <v>7</v>
      </c>
      <c r="AC280">
        <v>6</v>
      </c>
      <c r="AD280">
        <v>1</v>
      </c>
      <c r="AE280">
        <v>6</v>
      </c>
      <c r="AF280">
        <v>8</v>
      </c>
      <c r="AG280">
        <v>-2</v>
      </c>
      <c r="AH280">
        <v>9</v>
      </c>
      <c r="AI280">
        <v>6</v>
      </c>
      <c r="AJ280">
        <v>3</v>
      </c>
      <c r="AK280" t="s">
        <v>2713</v>
      </c>
      <c r="AL280" t="s">
        <v>2714</v>
      </c>
      <c r="AM280" t="s">
        <v>2715</v>
      </c>
      <c r="AN280" t="s">
        <v>2716</v>
      </c>
      <c r="AO280" t="s">
        <v>2717</v>
      </c>
      <c r="AP280" t="s">
        <v>2718</v>
      </c>
      <c r="AQ280" t="s">
        <v>2719</v>
      </c>
      <c r="AR280" t="s">
        <v>2720</v>
      </c>
      <c r="AS280" t="s">
        <v>2721</v>
      </c>
    </row>
    <row r="281" spans="1:45" x14ac:dyDescent="0.45">
      <c r="A281">
        <v>280</v>
      </c>
      <c r="B281">
        <v>2305</v>
      </c>
      <c r="C281" t="s">
        <v>72</v>
      </c>
      <c r="D281" t="s">
        <v>73</v>
      </c>
      <c r="E281" t="s">
        <v>74</v>
      </c>
      <c r="F281" t="s">
        <v>75</v>
      </c>
      <c r="G281" t="s">
        <v>76</v>
      </c>
      <c r="H281">
        <v>75.008370060338137</v>
      </c>
      <c r="I281">
        <v>2</v>
      </c>
      <c r="J281">
        <v>9</v>
      </c>
      <c r="K281">
        <v>4</v>
      </c>
      <c r="L281">
        <v>5</v>
      </c>
      <c r="M281">
        <v>8</v>
      </c>
      <c r="N281">
        <v>4</v>
      </c>
      <c r="O281">
        <v>4</v>
      </c>
      <c r="P281">
        <v>7</v>
      </c>
      <c r="Q281">
        <v>1</v>
      </c>
      <c r="R281">
        <v>6</v>
      </c>
      <c r="S281">
        <v>8</v>
      </c>
      <c r="T281">
        <v>6</v>
      </c>
      <c r="U281">
        <v>2</v>
      </c>
      <c r="V281">
        <v>7</v>
      </c>
      <c r="W281">
        <v>3</v>
      </c>
      <c r="X281">
        <v>4</v>
      </c>
      <c r="Y281">
        <v>9</v>
      </c>
      <c r="Z281">
        <v>2</v>
      </c>
      <c r="AA281">
        <v>7</v>
      </c>
      <c r="AB281">
        <v>8</v>
      </c>
      <c r="AC281">
        <v>1</v>
      </c>
      <c r="AD281">
        <v>7</v>
      </c>
      <c r="AE281">
        <v>7</v>
      </c>
      <c r="AF281">
        <v>5</v>
      </c>
      <c r="AG281">
        <v>2</v>
      </c>
      <c r="AH281">
        <v>8</v>
      </c>
      <c r="AI281">
        <v>4</v>
      </c>
      <c r="AJ281">
        <v>4</v>
      </c>
      <c r="AK281" t="s">
        <v>2722</v>
      </c>
      <c r="AL281" t="s">
        <v>2723</v>
      </c>
      <c r="AM281" t="s">
        <v>2724</v>
      </c>
      <c r="AN281" t="s">
        <v>2725</v>
      </c>
      <c r="AO281" t="s">
        <v>2726</v>
      </c>
      <c r="AP281" t="s">
        <v>2727</v>
      </c>
      <c r="AQ281" t="s">
        <v>2728</v>
      </c>
      <c r="AR281" t="s">
        <v>2729</v>
      </c>
      <c r="AS281" t="s">
        <v>2730</v>
      </c>
    </row>
    <row r="282" spans="1:45" x14ac:dyDescent="0.45">
      <c r="A282">
        <v>281</v>
      </c>
      <c r="B282">
        <v>2306</v>
      </c>
      <c r="C282" t="s">
        <v>72</v>
      </c>
      <c r="D282" t="s">
        <v>79</v>
      </c>
      <c r="E282" t="s">
        <v>74</v>
      </c>
      <c r="F282" t="s">
        <v>75</v>
      </c>
      <c r="G282" t="s">
        <v>76</v>
      </c>
      <c r="H282">
        <v>99.395966194984965</v>
      </c>
      <c r="I282">
        <v>3</v>
      </c>
      <c r="J282">
        <v>7</v>
      </c>
      <c r="K282">
        <v>6</v>
      </c>
      <c r="L282">
        <v>1</v>
      </c>
      <c r="M282">
        <v>6</v>
      </c>
      <c r="N282">
        <v>7</v>
      </c>
      <c r="O282">
        <v>-1</v>
      </c>
      <c r="P282">
        <v>8</v>
      </c>
      <c r="Q282">
        <v>4</v>
      </c>
      <c r="R282">
        <v>4</v>
      </c>
      <c r="S282">
        <v>9</v>
      </c>
      <c r="T282">
        <v>8</v>
      </c>
      <c r="U282">
        <v>1</v>
      </c>
      <c r="V282">
        <v>5</v>
      </c>
      <c r="W282">
        <v>6</v>
      </c>
      <c r="X282">
        <v>-1</v>
      </c>
      <c r="Y282">
        <v>8</v>
      </c>
      <c r="Z282">
        <v>6</v>
      </c>
      <c r="AA282">
        <v>2</v>
      </c>
      <c r="AB282">
        <v>6</v>
      </c>
      <c r="AC282">
        <v>5</v>
      </c>
      <c r="AD282">
        <v>1</v>
      </c>
      <c r="AE282">
        <v>7</v>
      </c>
      <c r="AF282">
        <v>7</v>
      </c>
      <c r="AG282">
        <v>0</v>
      </c>
      <c r="AH282">
        <v>8</v>
      </c>
      <c r="AI282">
        <v>6</v>
      </c>
      <c r="AJ282">
        <v>2</v>
      </c>
      <c r="AK282" t="s">
        <v>2731</v>
      </c>
      <c r="AL282" t="s">
        <v>2732</v>
      </c>
      <c r="AM282" t="s">
        <v>2733</v>
      </c>
      <c r="AN282" t="s">
        <v>2734</v>
      </c>
      <c r="AO282" t="s">
        <v>2735</v>
      </c>
      <c r="AP282" t="s">
        <v>2736</v>
      </c>
      <c r="AQ282" t="s">
        <v>2737</v>
      </c>
      <c r="AR282" t="s">
        <v>2738</v>
      </c>
      <c r="AS282" t="s">
        <v>2739</v>
      </c>
    </row>
    <row r="283" spans="1:45" x14ac:dyDescent="0.45">
      <c r="A283">
        <v>282</v>
      </c>
      <c r="B283">
        <v>2307</v>
      </c>
      <c r="C283" t="s">
        <v>72</v>
      </c>
      <c r="D283" t="s">
        <v>194</v>
      </c>
      <c r="E283" t="s">
        <v>74</v>
      </c>
      <c r="F283" t="s">
        <v>75</v>
      </c>
      <c r="G283" t="s">
        <v>76</v>
      </c>
      <c r="H283">
        <v>149.78934462067241</v>
      </c>
      <c r="I283">
        <v>4</v>
      </c>
      <c r="J283">
        <v>7</v>
      </c>
      <c r="K283">
        <v>8</v>
      </c>
      <c r="L283">
        <v>-1</v>
      </c>
      <c r="M283">
        <v>8</v>
      </c>
      <c r="N283">
        <v>8</v>
      </c>
      <c r="O283">
        <v>0</v>
      </c>
      <c r="P283">
        <v>9</v>
      </c>
      <c r="Q283">
        <v>9</v>
      </c>
      <c r="R283">
        <v>0</v>
      </c>
      <c r="S283">
        <v>10</v>
      </c>
      <c r="T283">
        <v>9</v>
      </c>
      <c r="U283">
        <v>1</v>
      </c>
      <c r="V283">
        <v>7</v>
      </c>
      <c r="W283">
        <v>7</v>
      </c>
      <c r="X283">
        <v>0</v>
      </c>
      <c r="Y283">
        <v>9</v>
      </c>
      <c r="Z283">
        <v>8</v>
      </c>
      <c r="AA283">
        <v>1</v>
      </c>
      <c r="AB283">
        <v>7</v>
      </c>
      <c r="AC283">
        <v>8</v>
      </c>
      <c r="AD283">
        <v>-1</v>
      </c>
      <c r="AE283">
        <v>8</v>
      </c>
      <c r="AF283">
        <v>8</v>
      </c>
      <c r="AG283">
        <v>0</v>
      </c>
      <c r="AH283">
        <v>9</v>
      </c>
      <c r="AI283">
        <v>7</v>
      </c>
      <c r="AJ283">
        <v>2</v>
      </c>
      <c r="AK283" t="s">
        <v>2740</v>
      </c>
      <c r="AL283" t="s">
        <v>2741</v>
      </c>
      <c r="AM283" t="s">
        <v>2742</v>
      </c>
      <c r="AN283" t="s">
        <v>2743</v>
      </c>
      <c r="AO283" t="s">
        <v>2744</v>
      </c>
      <c r="AP283" t="s">
        <v>2745</v>
      </c>
      <c r="AQ283" t="s">
        <v>2746</v>
      </c>
      <c r="AR283" t="s">
        <v>2747</v>
      </c>
      <c r="AS283" t="s">
        <v>2748</v>
      </c>
    </row>
    <row r="284" spans="1:45" x14ac:dyDescent="0.45">
      <c r="A284">
        <v>283</v>
      </c>
      <c r="B284">
        <v>2308</v>
      </c>
      <c r="C284" t="s">
        <v>72</v>
      </c>
      <c r="D284" t="s">
        <v>79</v>
      </c>
      <c r="E284" t="s">
        <v>74</v>
      </c>
      <c r="F284" t="s">
        <v>77</v>
      </c>
      <c r="G284" t="s">
        <v>76</v>
      </c>
      <c r="H284">
        <v>65.777641182837641</v>
      </c>
      <c r="I284">
        <v>2</v>
      </c>
      <c r="J284">
        <v>6</v>
      </c>
      <c r="K284">
        <v>5</v>
      </c>
      <c r="L284">
        <v>1</v>
      </c>
      <c r="M284">
        <v>6</v>
      </c>
      <c r="N284">
        <v>5</v>
      </c>
      <c r="O284">
        <v>1</v>
      </c>
      <c r="P284">
        <v>8</v>
      </c>
      <c r="Q284">
        <v>2</v>
      </c>
      <c r="R284">
        <v>6</v>
      </c>
      <c r="S284">
        <v>9</v>
      </c>
      <c r="T284">
        <v>6</v>
      </c>
      <c r="U284">
        <v>3</v>
      </c>
      <c r="V284">
        <v>8</v>
      </c>
      <c r="W284">
        <v>5</v>
      </c>
      <c r="X284">
        <v>3</v>
      </c>
      <c r="Y284">
        <v>9</v>
      </c>
      <c r="Z284">
        <v>4</v>
      </c>
      <c r="AA284">
        <v>5</v>
      </c>
      <c r="AB284">
        <v>8</v>
      </c>
      <c r="AC284">
        <v>5</v>
      </c>
      <c r="AD284">
        <v>3</v>
      </c>
      <c r="AE284">
        <v>9</v>
      </c>
      <c r="AF284">
        <v>5</v>
      </c>
      <c r="AG284">
        <v>4</v>
      </c>
      <c r="AH284">
        <v>8</v>
      </c>
      <c r="AI284">
        <v>4</v>
      </c>
      <c r="AJ284">
        <v>4</v>
      </c>
      <c r="AK284" t="s">
        <v>2749</v>
      </c>
      <c r="AL284" t="s">
        <v>2750</v>
      </c>
      <c r="AM284" t="s">
        <v>2751</v>
      </c>
      <c r="AN284" t="s">
        <v>2752</v>
      </c>
      <c r="AO284" t="s">
        <v>2753</v>
      </c>
      <c r="AP284" t="s">
        <v>2754</v>
      </c>
      <c r="AQ284" t="s">
        <v>2755</v>
      </c>
      <c r="AR284" t="s">
        <v>2756</v>
      </c>
      <c r="AS284" t="s">
        <v>2757</v>
      </c>
    </row>
    <row r="285" spans="1:45" x14ac:dyDescent="0.45">
      <c r="A285">
        <v>284</v>
      </c>
      <c r="B285">
        <v>2309</v>
      </c>
      <c r="C285" t="s">
        <v>78</v>
      </c>
      <c r="D285" t="s">
        <v>73</v>
      </c>
      <c r="E285" t="s">
        <v>74</v>
      </c>
      <c r="F285" t="s">
        <v>77</v>
      </c>
      <c r="G285" t="s">
        <v>76</v>
      </c>
      <c r="H285">
        <v>64.388050848229852</v>
      </c>
      <c r="I285">
        <v>2</v>
      </c>
      <c r="J285">
        <v>6</v>
      </c>
      <c r="K285">
        <v>7</v>
      </c>
      <c r="L285">
        <v>-1</v>
      </c>
      <c r="M285">
        <v>6</v>
      </c>
      <c r="N285">
        <v>7</v>
      </c>
      <c r="O285">
        <v>-1</v>
      </c>
      <c r="P285">
        <v>7</v>
      </c>
      <c r="Q285">
        <v>5</v>
      </c>
      <c r="R285">
        <v>2</v>
      </c>
      <c r="S285">
        <v>9</v>
      </c>
      <c r="T285">
        <v>7</v>
      </c>
      <c r="U285">
        <v>2</v>
      </c>
      <c r="V285">
        <v>8</v>
      </c>
      <c r="W285">
        <v>5</v>
      </c>
      <c r="X285">
        <v>3</v>
      </c>
      <c r="Y285">
        <v>9</v>
      </c>
      <c r="Z285">
        <v>6</v>
      </c>
      <c r="AA285">
        <v>3</v>
      </c>
      <c r="AB285">
        <v>8</v>
      </c>
      <c r="AC285">
        <v>5</v>
      </c>
      <c r="AD285">
        <v>3</v>
      </c>
      <c r="AE285">
        <v>9</v>
      </c>
      <c r="AF285">
        <v>7</v>
      </c>
      <c r="AG285">
        <v>2</v>
      </c>
      <c r="AH285">
        <v>9</v>
      </c>
      <c r="AI285">
        <v>6</v>
      </c>
      <c r="AJ285">
        <v>3</v>
      </c>
      <c r="AK285" t="s">
        <v>2758</v>
      </c>
      <c r="AL285" t="s">
        <v>2759</v>
      </c>
      <c r="AM285" t="s">
        <v>2760</v>
      </c>
      <c r="AN285" t="s">
        <v>2761</v>
      </c>
      <c r="AO285" t="s">
        <v>2762</v>
      </c>
      <c r="AP285" t="s">
        <v>2763</v>
      </c>
      <c r="AQ285" t="s">
        <v>2764</v>
      </c>
      <c r="AR285" t="s">
        <v>2765</v>
      </c>
      <c r="AS285" t="s">
        <v>2766</v>
      </c>
    </row>
    <row r="286" spans="1:45" x14ac:dyDescent="0.45">
      <c r="A286">
        <v>285</v>
      </c>
      <c r="B286">
        <v>2310</v>
      </c>
      <c r="C286" t="s">
        <v>78</v>
      </c>
      <c r="D286" t="s">
        <v>192</v>
      </c>
      <c r="E286" t="s">
        <v>74</v>
      </c>
      <c r="F286" t="s">
        <v>77</v>
      </c>
      <c r="G286" t="s">
        <v>76</v>
      </c>
      <c r="H286">
        <v>94.572700351429006</v>
      </c>
      <c r="I286">
        <v>3</v>
      </c>
      <c r="J286">
        <v>5</v>
      </c>
      <c r="K286">
        <v>7</v>
      </c>
      <c r="L286">
        <v>-2</v>
      </c>
      <c r="M286">
        <v>6</v>
      </c>
      <c r="N286">
        <v>7</v>
      </c>
      <c r="O286">
        <v>-1</v>
      </c>
      <c r="P286">
        <v>9</v>
      </c>
      <c r="Q286">
        <v>5</v>
      </c>
      <c r="R286">
        <v>4</v>
      </c>
      <c r="S286">
        <v>7</v>
      </c>
      <c r="T286">
        <v>8</v>
      </c>
      <c r="U286">
        <v>-1</v>
      </c>
      <c r="V286">
        <v>6</v>
      </c>
      <c r="W286">
        <v>6</v>
      </c>
      <c r="X286">
        <v>0</v>
      </c>
      <c r="Y286">
        <v>8</v>
      </c>
      <c r="Z286">
        <v>6</v>
      </c>
      <c r="AA286">
        <v>2</v>
      </c>
      <c r="AB286">
        <v>7</v>
      </c>
      <c r="AC286">
        <v>6</v>
      </c>
      <c r="AD286">
        <v>1</v>
      </c>
      <c r="AE286">
        <v>6</v>
      </c>
      <c r="AF286">
        <v>7</v>
      </c>
      <c r="AG286">
        <v>-1</v>
      </c>
      <c r="AH286">
        <v>8</v>
      </c>
      <c r="AI286">
        <v>7</v>
      </c>
      <c r="AJ286">
        <v>1</v>
      </c>
      <c r="AK286" t="s">
        <v>2767</v>
      </c>
      <c r="AL286" t="s">
        <v>2768</v>
      </c>
      <c r="AM286" t="s">
        <v>2769</v>
      </c>
      <c r="AN286" t="s">
        <v>2770</v>
      </c>
      <c r="AO286" t="s">
        <v>2771</v>
      </c>
      <c r="AP286" t="s">
        <v>2772</v>
      </c>
      <c r="AQ286" t="s">
        <v>2773</v>
      </c>
      <c r="AR286" t="s">
        <v>2774</v>
      </c>
      <c r="AS286" t="s">
        <v>2775</v>
      </c>
    </row>
    <row r="287" spans="1:45" x14ac:dyDescent="0.45">
      <c r="A287">
        <v>286</v>
      </c>
      <c r="B287">
        <v>2311</v>
      </c>
      <c r="C287" t="s">
        <v>72</v>
      </c>
      <c r="D287" t="s">
        <v>73</v>
      </c>
      <c r="E287" t="s">
        <v>74</v>
      </c>
      <c r="F287" t="s">
        <v>77</v>
      </c>
      <c r="G287" t="s">
        <v>76</v>
      </c>
      <c r="H287">
        <v>34.799515759454216</v>
      </c>
      <c r="I287">
        <v>0</v>
      </c>
      <c r="J287">
        <v>7</v>
      </c>
      <c r="K287">
        <v>4</v>
      </c>
      <c r="L287">
        <v>3</v>
      </c>
      <c r="M287">
        <v>8</v>
      </c>
      <c r="N287">
        <v>4</v>
      </c>
      <c r="O287">
        <v>4</v>
      </c>
      <c r="P287">
        <v>9</v>
      </c>
      <c r="Q287">
        <v>2</v>
      </c>
      <c r="R287">
        <v>7</v>
      </c>
      <c r="S287">
        <v>10</v>
      </c>
      <c r="T287">
        <v>8</v>
      </c>
      <c r="U287">
        <v>2</v>
      </c>
      <c r="V287">
        <v>9</v>
      </c>
      <c r="W287">
        <v>5</v>
      </c>
      <c r="X287">
        <v>4</v>
      </c>
      <c r="Y287">
        <v>8</v>
      </c>
      <c r="Z287">
        <v>5</v>
      </c>
      <c r="AA287">
        <v>3</v>
      </c>
      <c r="AB287">
        <v>9</v>
      </c>
      <c r="AC287">
        <v>4</v>
      </c>
      <c r="AD287">
        <v>5</v>
      </c>
      <c r="AE287">
        <v>8</v>
      </c>
      <c r="AF287">
        <v>6</v>
      </c>
      <c r="AG287">
        <v>2</v>
      </c>
      <c r="AH287">
        <v>9</v>
      </c>
      <c r="AI287">
        <v>5</v>
      </c>
      <c r="AJ287">
        <v>4</v>
      </c>
      <c r="AK287" t="s">
        <v>2776</v>
      </c>
      <c r="AL287" t="s">
        <v>2777</v>
      </c>
      <c r="AM287" t="s">
        <v>2778</v>
      </c>
      <c r="AN287" t="s">
        <v>2779</v>
      </c>
      <c r="AO287" t="s">
        <v>1365</v>
      </c>
      <c r="AP287" t="s">
        <v>2780</v>
      </c>
      <c r="AQ287" t="s">
        <v>2781</v>
      </c>
      <c r="AR287" t="s">
        <v>2782</v>
      </c>
      <c r="AS287" t="s">
        <v>2783</v>
      </c>
    </row>
    <row r="288" spans="1:45" x14ac:dyDescent="0.45">
      <c r="A288">
        <v>287</v>
      </c>
      <c r="B288">
        <v>2312</v>
      </c>
      <c r="C288" t="s">
        <v>72</v>
      </c>
      <c r="D288" t="s">
        <v>192</v>
      </c>
      <c r="E288" t="s">
        <v>74</v>
      </c>
      <c r="F288" t="s">
        <v>77</v>
      </c>
      <c r="G288" t="s">
        <v>76</v>
      </c>
      <c r="H288">
        <v>58.081382118635894</v>
      </c>
      <c r="I288">
        <v>4</v>
      </c>
      <c r="J288">
        <v>7</v>
      </c>
      <c r="K288">
        <v>10</v>
      </c>
      <c r="L288">
        <v>-3</v>
      </c>
      <c r="M288">
        <v>8</v>
      </c>
      <c r="N288">
        <v>10</v>
      </c>
      <c r="O288">
        <v>-2</v>
      </c>
      <c r="P288">
        <v>9</v>
      </c>
      <c r="Q288">
        <v>7</v>
      </c>
      <c r="R288">
        <v>2</v>
      </c>
      <c r="S288">
        <v>9</v>
      </c>
      <c r="T288">
        <v>7</v>
      </c>
      <c r="U288">
        <v>2</v>
      </c>
      <c r="V288">
        <v>7</v>
      </c>
      <c r="W288">
        <v>8</v>
      </c>
      <c r="X288">
        <v>-1</v>
      </c>
      <c r="Y288">
        <v>9</v>
      </c>
      <c r="Z288">
        <v>7</v>
      </c>
      <c r="AA288">
        <v>2</v>
      </c>
      <c r="AB288">
        <v>8</v>
      </c>
      <c r="AC288">
        <v>8</v>
      </c>
      <c r="AD288">
        <v>0</v>
      </c>
      <c r="AE288">
        <v>7</v>
      </c>
      <c r="AF288">
        <v>8</v>
      </c>
      <c r="AG288">
        <v>-1</v>
      </c>
      <c r="AH288">
        <v>9</v>
      </c>
      <c r="AI288">
        <v>8</v>
      </c>
      <c r="AJ288">
        <v>1</v>
      </c>
      <c r="AK288" t="s">
        <v>2784</v>
      </c>
      <c r="AL288" t="s">
        <v>2785</v>
      </c>
      <c r="AM288" t="s">
        <v>2786</v>
      </c>
      <c r="AN288" t="s">
        <v>2787</v>
      </c>
      <c r="AO288" t="s">
        <v>2788</v>
      </c>
      <c r="AP288" t="s">
        <v>2789</v>
      </c>
      <c r="AQ288" t="s">
        <v>2790</v>
      </c>
      <c r="AR288" t="s">
        <v>2791</v>
      </c>
      <c r="AS288" t="s">
        <v>2792</v>
      </c>
    </row>
    <row r="289" spans="1:45" x14ac:dyDescent="0.45">
      <c r="A289">
        <v>288</v>
      </c>
      <c r="B289">
        <v>2313</v>
      </c>
      <c r="C289" t="s">
        <v>78</v>
      </c>
      <c r="D289" t="s">
        <v>81</v>
      </c>
      <c r="E289" t="s">
        <v>74</v>
      </c>
      <c r="F289" t="s">
        <v>77</v>
      </c>
      <c r="G289" t="s">
        <v>76</v>
      </c>
      <c r="H289">
        <v>25.672394156601221</v>
      </c>
      <c r="I289">
        <v>0</v>
      </c>
      <c r="J289">
        <v>7</v>
      </c>
      <c r="K289">
        <v>8</v>
      </c>
      <c r="L289">
        <v>-1</v>
      </c>
      <c r="M289">
        <v>6</v>
      </c>
      <c r="N289">
        <v>8</v>
      </c>
      <c r="O289">
        <v>-2</v>
      </c>
      <c r="P289">
        <v>9</v>
      </c>
      <c r="Q289">
        <v>5</v>
      </c>
      <c r="R289">
        <v>4</v>
      </c>
      <c r="S289">
        <v>8</v>
      </c>
      <c r="T289">
        <v>9</v>
      </c>
      <c r="U289">
        <v>-1</v>
      </c>
      <c r="V289">
        <v>9</v>
      </c>
      <c r="W289">
        <v>10</v>
      </c>
      <c r="X289">
        <v>-1</v>
      </c>
      <c r="Y289">
        <v>8</v>
      </c>
      <c r="Z289">
        <v>10</v>
      </c>
      <c r="AA289">
        <v>-2</v>
      </c>
      <c r="AB289">
        <v>9</v>
      </c>
      <c r="AC289">
        <v>9</v>
      </c>
      <c r="AD289">
        <v>0</v>
      </c>
      <c r="AE289">
        <v>8</v>
      </c>
      <c r="AF289">
        <v>9</v>
      </c>
      <c r="AG289">
        <v>-1</v>
      </c>
      <c r="AH289">
        <v>9</v>
      </c>
      <c r="AI289">
        <v>10</v>
      </c>
      <c r="AJ289">
        <v>-1</v>
      </c>
      <c r="AK289" t="s">
        <v>2793</v>
      </c>
      <c r="AL289" t="s">
        <v>2794</v>
      </c>
      <c r="AM289" t="s">
        <v>2795</v>
      </c>
      <c r="AN289" t="s">
        <v>2796</v>
      </c>
      <c r="AO289" t="s">
        <v>2797</v>
      </c>
      <c r="AP289" t="s">
        <v>2798</v>
      </c>
      <c r="AQ289" t="s">
        <v>2799</v>
      </c>
      <c r="AR289" t="s">
        <v>2800</v>
      </c>
      <c r="AS289" t="s">
        <v>2801</v>
      </c>
    </row>
    <row r="290" spans="1:45" x14ac:dyDescent="0.45">
      <c r="A290">
        <v>289</v>
      </c>
      <c r="B290">
        <v>2314</v>
      </c>
      <c r="C290" t="s">
        <v>72</v>
      </c>
      <c r="D290" t="s">
        <v>73</v>
      </c>
      <c r="E290" t="s">
        <v>74</v>
      </c>
      <c r="F290" t="s">
        <v>191</v>
      </c>
      <c r="G290" t="s">
        <v>76</v>
      </c>
      <c r="H290">
        <v>25.308282119297292</v>
      </c>
      <c r="I290">
        <v>1</v>
      </c>
      <c r="J290">
        <v>6</v>
      </c>
      <c r="K290">
        <v>7</v>
      </c>
      <c r="L290">
        <v>-1</v>
      </c>
      <c r="M290">
        <v>6</v>
      </c>
      <c r="N290">
        <v>7</v>
      </c>
      <c r="O290">
        <v>-1</v>
      </c>
      <c r="P290">
        <v>8</v>
      </c>
      <c r="Q290">
        <v>5</v>
      </c>
      <c r="R290">
        <v>3</v>
      </c>
      <c r="S290">
        <v>9</v>
      </c>
      <c r="T290">
        <v>6</v>
      </c>
      <c r="U290">
        <v>3</v>
      </c>
      <c r="V290">
        <v>8</v>
      </c>
      <c r="W290">
        <v>5</v>
      </c>
      <c r="X290">
        <v>3</v>
      </c>
      <c r="Y290">
        <v>9</v>
      </c>
      <c r="Z290">
        <v>5</v>
      </c>
      <c r="AA290">
        <v>4</v>
      </c>
      <c r="AB290">
        <v>7</v>
      </c>
      <c r="AC290">
        <v>5</v>
      </c>
      <c r="AD290">
        <v>2</v>
      </c>
      <c r="AE290">
        <v>6</v>
      </c>
      <c r="AF290">
        <v>5</v>
      </c>
      <c r="AG290">
        <v>1</v>
      </c>
      <c r="AH290">
        <v>9</v>
      </c>
      <c r="AI290">
        <v>6</v>
      </c>
      <c r="AJ290">
        <v>3</v>
      </c>
      <c r="AK290" t="s">
        <v>2802</v>
      </c>
      <c r="AL290" t="s">
        <v>2803</v>
      </c>
      <c r="AM290" t="s">
        <v>2804</v>
      </c>
      <c r="AN290" t="s">
        <v>2805</v>
      </c>
      <c r="AO290" t="s">
        <v>2806</v>
      </c>
      <c r="AP290" t="s">
        <v>2807</v>
      </c>
      <c r="AQ290" t="s">
        <v>2808</v>
      </c>
      <c r="AR290" t="s">
        <v>2809</v>
      </c>
      <c r="AS290" t="s">
        <v>2810</v>
      </c>
    </row>
    <row r="291" spans="1:45" x14ac:dyDescent="0.45">
      <c r="A291">
        <v>290</v>
      </c>
      <c r="B291">
        <v>2315</v>
      </c>
      <c r="C291" t="s">
        <v>78</v>
      </c>
      <c r="D291" t="s">
        <v>73</v>
      </c>
      <c r="E291" t="s">
        <v>74</v>
      </c>
      <c r="F291" t="s">
        <v>77</v>
      </c>
      <c r="G291" t="s">
        <v>76</v>
      </c>
      <c r="H291">
        <v>32.421696879686671</v>
      </c>
      <c r="I291">
        <v>2</v>
      </c>
      <c r="J291">
        <v>7</v>
      </c>
      <c r="K291">
        <v>8</v>
      </c>
      <c r="L291">
        <v>-1</v>
      </c>
      <c r="M291">
        <v>8</v>
      </c>
      <c r="N291">
        <v>8</v>
      </c>
      <c r="O291">
        <v>0</v>
      </c>
      <c r="P291">
        <v>9</v>
      </c>
      <c r="Q291">
        <v>8</v>
      </c>
      <c r="R291">
        <v>1</v>
      </c>
      <c r="S291">
        <v>10</v>
      </c>
      <c r="T291">
        <v>8</v>
      </c>
      <c r="U291">
        <v>2</v>
      </c>
      <c r="V291">
        <v>6</v>
      </c>
      <c r="W291">
        <v>8</v>
      </c>
      <c r="X291">
        <v>-2</v>
      </c>
      <c r="Y291">
        <v>9</v>
      </c>
      <c r="Z291">
        <v>8</v>
      </c>
      <c r="AA291">
        <v>1</v>
      </c>
      <c r="AB291">
        <v>7</v>
      </c>
      <c r="AC291">
        <v>8</v>
      </c>
      <c r="AD291">
        <v>-1</v>
      </c>
      <c r="AE291">
        <v>8</v>
      </c>
      <c r="AF291">
        <v>8</v>
      </c>
      <c r="AG291">
        <v>0</v>
      </c>
      <c r="AH291">
        <v>9</v>
      </c>
      <c r="AI291">
        <v>8</v>
      </c>
      <c r="AJ291">
        <v>1</v>
      </c>
      <c r="AK291" t="s">
        <v>2811</v>
      </c>
      <c r="AL291" t="s">
        <v>2812</v>
      </c>
      <c r="AM291" t="s">
        <v>2813</v>
      </c>
      <c r="AN291" t="s">
        <v>2814</v>
      </c>
      <c r="AO291" t="s">
        <v>2815</v>
      </c>
      <c r="AP291" t="s">
        <v>2816</v>
      </c>
      <c r="AQ291" t="s">
        <v>2817</v>
      </c>
      <c r="AR291" t="s">
        <v>2818</v>
      </c>
      <c r="AS291" t="s">
        <v>2819</v>
      </c>
    </row>
    <row r="292" spans="1:45" x14ac:dyDescent="0.45">
      <c r="A292">
        <v>291</v>
      </c>
      <c r="B292">
        <v>2316</v>
      </c>
      <c r="C292" t="s">
        <v>78</v>
      </c>
      <c r="D292" t="s">
        <v>81</v>
      </c>
      <c r="E292" t="s">
        <v>74</v>
      </c>
      <c r="F292" t="s">
        <v>77</v>
      </c>
      <c r="G292" t="s">
        <v>76</v>
      </c>
      <c r="H292">
        <v>66.599036760439176</v>
      </c>
      <c r="I292">
        <v>2</v>
      </c>
      <c r="J292">
        <v>6</v>
      </c>
      <c r="K292">
        <v>9</v>
      </c>
      <c r="L292">
        <v>-3</v>
      </c>
      <c r="M292">
        <v>8</v>
      </c>
      <c r="N292">
        <v>9</v>
      </c>
      <c r="O292">
        <v>-1</v>
      </c>
      <c r="P292">
        <v>9</v>
      </c>
      <c r="Q292">
        <v>3</v>
      </c>
      <c r="R292">
        <v>6</v>
      </c>
      <c r="S292">
        <v>8</v>
      </c>
      <c r="T292">
        <v>10</v>
      </c>
      <c r="U292">
        <v>-2</v>
      </c>
      <c r="V292">
        <v>9</v>
      </c>
      <c r="W292">
        <v>8</v>
      </c>
      <c r="X292">
        <v>1</v>
      </c>
      <c r="Y292">
        <v>8</v>
      </c>
      <c r="Z292">
        <v>8</v>
      </c>
      <c r="AA292">
        <v>0</v>
      </c>
      <c r="AB292">
        <v>9</v>
      </c>
      <c r="AC292">
        <v>6</v>
      </c>
      <c r="AD292">
        <v>3</v>
      </c>
      <c r="AE292">
        <v>8</v>
      </c>
      <c r="AF292">
        <v>8</v>
      </c>
      <c r="AG292">
        <v>0</v>
      </c>
      <c r="AH292">
        <v>9</v>
      </c>
      <c r="AI292">
        <v>8</v>
      </c>
      <c r="AJ292">
        <v>1</v>
      </c>
      <c r="AK292" t="s">
        <v>2820</v>
      </c>
      <c r="AL292" t="s">
        <v>2821</v>
      </c>
      <c r="AM292" t="s">
        <v>2822</v>
      </c>
      <c r="AN292" t="s">
        <v>2823</v>
      </c>
      <c r="AO292" t="s">
        <v>2824</v>
      </c>
      <c r="AP292" t="s">
        <v>2825</v>
      </c>
      <c r="AQ292" t="s">
        <v>2826</v>
      </c>
      <c r="AR292" t="s">
        <v>2827</v>
      </c>
      <c r="AS292" t="s">
        <v>2828</v>
      </c>
    </row>
    <row r="293" spans="1:45" x14ac:dyDescent="0.45">
      <c r="A293">
        <v>292</v>
      </c>
      <c r="B293">
        <v>2317</v>
      </c>
      <c r="C293" t="s">
        <v>72</v>
      </c>
      <c r="D293" t="s">
        <v>194</v>
      </c>
      <c r="E293" t="s">
        <v>74</v>
      </c>
      <c r="F293" t="s">
        <v>75</v>
      </c>
      <c r="G293" t="s">
        <v>162</v>
      </c>
      <c r="H293">
        <v>65.98256114506934</v>
      </c>
      <c r="I293">
        <v>2</v>
      </c>
      <c r="J293">
        <v>9</v>
      </c>
      <c r="K293">
        <v>6</v>
      </c>
      <c r="L293">
        <v>3</v>
      </c>
      <c r="M293">
        <v>8</v>
      </c>
      <c r="N293">
        <v>6</v>
      </c>
      <c r="O293">
        <v>2</v>
      </c>
      <c r="P293">
        <v>9</v>
      </c>
      <c r="Q293">
        <v>1</v>
      </c>
      <c r="R293">
        <v>8</v>
      </c>
      <c r="S293">
        <v>8</v>
      </c>
      <c r="T293">
        <v>6</v>
      </c>
      <c r="U293">
        <v>2</v>
      </c>
      <c r="V293">
        <v>9</v>
      </c>
      <c r="W293">
        <v>5</v>
      </c>
      <c r="X293">
        <v>4</v>
      </c>
      <c r="Y293">
        <v>8</v>
      </c>
      <c r="Z293">
        <v>6</v>
      </c>
      <c r="AA293">
        <v>2</v>
      </c>
      <c r="AB293">
        <v>9</v>
      </c>
      <c r="AC293">
        <v>5</v>
      </c>
      <c r="AD293">
        <v>4</v>
      </c>
      <c r="AE293">
        <v>8</v>
      </c>
      <c r="AF293">
        <v>6</v>
      </c>
      <c r="AG293">
        <v>2</v>
      </c>
      <c r="AH293">
        <v>9</v>
      </c>
      <c r="AI293">
        <v>6</v>
      </c>
      <c r="AJ293">
        <v>3</v>
      </c>
      <c r="AK293" t="s">
        <v>2829</v>
      </c>
      <c r="AL293" t="s">
        <v>2830</v>
      </c>
      <c r="AM293" t="s">
        <v>2831</v>
      </c>
      <c r="AN293" t="s">
        <v>257</v>
      </c>
      <c r="AO293" t="s">
        <v>2832</v>
      </c>
      <c r="AP293" t="s">
        <v>2833</v>
      </c>
      <c r="AQ293" t="s">
        <v>2834</v>
      </c>
      <c r="AR293" t="s">
        <v>2835</v>
      </c>
      <c r="AS293" t="s">
        <v>1324</v>
      </c>
    </row>
    <row r="294" spans="1:45" x14ac:dyDescent="0.45">
      <c r="A294">
        <v>293</v>
      </c>
      <c r="B294">
        <v>2318</v>
      </c>
      <c r="C294" t="s">
        <v>72</v>
      </c>
      <c r="D294" t="s">
        <v>81</v>
      </c>
      <c r="E294" t="s">
        <v>74</v>
      </c>
      <c r="F294" t="s">
        <v>77</v>
      </c>
      <c r="G294" t="s">
        <v>76</v>
      </c>
      <c r="H294">
        <v>42.14229829487607</v>
      </c>
      <c r="I294">
        <v>1</v>
      </c>
      <c r="J294">
        <v>7</v>
      </c>
      <c r="K294">
        <v>8</v>
      </c>
      <c r="L294">
        <v>-1</v>
      </c>
      <c r="M294">
        <v>8</v>
      </c>
      <c r="N294">
        <v>8</v>
      </c>
      <c r="O294">
        <v>0</v>
      </c>
      <c r="P294">
        <v>9</v>
      </c>
      <c r="Q294">
        <v>5</v>
      </c>
      <c r="R294">
        <v>4</v>
      </c>
      <c r="S294">
        <v>9</v>
      </c>
      <c r="T294">
        <v>8</v>
      </c>
      <c r="U294">
        <v>1</v>
      </c>
      <c r="V294">
        <v>7</v>
      </c>
      <c r="W294">
        <v>5</v>
      </c>
      <c r="X294">
        <v>2</v>
      </c>
      <c r="Y294">
        <v>9</v>
      </c>
      <c r="Z294">
        <v>6</v>
      </c>
      <c r="AA294">
        <v>3</v>
      </c>
      <c r="AB294">
        <v>7</v>
      </c>
      <c r="AC294">
        <v>5</v>
      </c>
      <c r="AD294">
        <v>2</v>
      </c>
      <c r="AE294">
        <v>8</v>
      </c>
      <c r="AF294">
        <v>6</v>
      </c>
      <c r="AG294">
        <v>2</v>
      </c>
      <c r="AH294">
        <v>9</v>
      </c>
      <c r="AI294">
        <v>6</v>
      </c>
      <c r="AJ294">
        <v>3</v>
      </c>
      <c r="AK294" t="s">
        <v>2836</v>
      </c>
      <c r="AL294" t="s">
        <v>2837</v>
      </c>
      <c r="AM294" t="s">
        <v>2838</v>
      </c>
      <c r="AN294" t="s">
        <v>2839</v>
      </c>
      <c r="AO294" t="s">
        <v>2840</v>
      </c>
      <c r="AP294" t="s">
        <v>2841</v>
      </c>
      <c r="AQ294" t="s">
        <v>2842</v>
      </c>
      <c r="AR294" t="s">
        <v>2843</v>
      </c>
      <c r="AS294" t="s">
        <v>2844</v>
      </c>
    </row>
    <row r="295" spans="1:45" x14ac:dyDescent="0.45">
      <c r="A295">
        <v>294</v>
      </c>
      <c r="B295">
        <v>2319</v>
      </c>
      <c r="C295" t="s">
        <v>72</v>
      </c>
      <c r="D295" t="s">
        <v>81</v>
      </c>
      <c r="E295" t="s">
        <v>74</v>
      </c>
      <c r="F295" t="s">
        <v>77</v>
      </c>
      <c r="G295" t="s">
        <v>76</v>
      </c>
      <c r="H295">
        <v>67.858331030542573</v>
      </c>
      <c r="I295">
        <v>3</v>
      </c>
      <c r="J295">
        <v>9</v>
      </c>
      <c r="K295">
        <v>6</v>
      </c>
      <c r="L295">
        <v>3</v>
      </c>
      <c r="M295">
        <v>8</v>
      </c>
      <c r="N295">
        <v>6</v>
      </c>
      <c r="O295">
        <v>2</v>
      </c>
      <c r="P295">
        <v>9</v>
      </c>
      <c r="Q295">
        <v>3</v>
      </c>
      <c r="R295">
        <v>6</v>
      </c>
      <c r="S295">
        <v>8</v>
      </c>
      <c r="T295">
        <v>7</v>
      </c>
      <c r="U295">
        <v>1</v>
      </c>
      <c r="V295">
        <v>9</v>
      </c>
      <c r="W295">
        <v>5</v>
      </c>
      <c r="X295">
        <v>4</v>
      </c>
      <c r="Y295">
        <v>8</v>
      </c>
      <c r="Z295">
        <v>6</v>
      </c>
      <c r="AA295">
        <v>2</v>
      </c>
      <c r="AB295">
        <v>9</v>
      </c>
      <c r="AC295">
        <v>5</v>
      </c>
      <c r="AD295">
        <v>4</v>
      </c>
      <c r="AE295">
        <v>8</v>
      </c>
      <c r="AF295">
        <v>5</v>
      </c>
      <c r="AG295">
        <v>3</v>
      </c>
      <c r="AH295">
        <v>9</v>
      </c>
      <c r="AI295">
        <v>6</v>
      </c>
      <c r="AJ295">
        <v>3</v>
      </c>
      <c r="AK295" t="s">
        <v>2845</v>
      </c>
      <c r="AL295" t="s">
        <v>2846</v>
      </c>
      <c r="AM295" t="s">
        <v>2847</v>
      </c>
      <c r="AN295" t="s">
        <v>2848</v>
      </c>
      <c r="AO295" t="s">
        <v>2849</v>
      </c>
      <c r="AP295" t="s">
        <v>2850</v>
      </c>
      <c r="AQ295" t="s">
        <v>2851</v>
      </c>
      <c r="AR295" t="s">
        <v>2852</v>
      </c>
      <c r="AS295" t="s">
        <v>2853</v>
      </c>
    </row>
    <row r="296" spans="1:45" x14ac:dyDescent="0.45">
      <c r="A296">
        <v>295</v>
      </c>
      <c r="B296">
        <v>2320</v>
      </c>
      <c r="C296" t="s">
        <v>78</v>
      </c>
      <c r="D296" t="s">
        <v>189</v>
      </c>
      <c r="E296" t="s">
        <v>74</v>
      </c>
      <c r="F296" t="s">
        <v>77</v>
      </c>
      <c r="G296" t="s">
        <v>76</v>
      </c>
      <c r="H296">
        <v>23.081123753485056</v>
      </c>
      <c r="I296">
        <v>0</v>
      </c>
      <c r="J296">
        <v>6</v>
      </c>
      <c r="K296">
        <v>8</v>
      </c>
      <c r="L296">
        <v>-2</v>
      </c>
      <c r="M296">
        <v>7</v>
      </c>
      <c r="N296">
        <v>9</v>
      </c>
      <c r="O296">
        <v>-2</v>
      </c>
      <c r="P296">
        <v>9</v>
      </c>
      <c r="Q296">
        <v>9</v>
      </c>
      <c r="R296">
        <v>0</v>
      </c>
      <c r="S296">
        <v>8</v>
      </c>
      <c r="T296">
        <v>10</v>
      </c>
      <c r="U296">
        <v>-2</v>
      </c>
      <c r="V296">
        <v>9</v>
      </c>
      <c r="W296">
        <v>8</v>
      </c>
      <c r="X296">
        <v>1</v>
      </c>
      <c r="Y296">
        <v>8</v>
      </c>
      <c r="Z296">
        <v>8</v>
      </c>
      <c r="AA296">
        <v>0</v>
      </c>
      <c r="AB296">
        <v>9</v>
      </c>
      <c r="AC296">
        <v>9</v>
      </c>
      <c r="AD296">
        <v>0</v>
      </c>
      <c r="AE296">
        <v>8</v>
      </c>
      <c r="AF296">
        <v>10</v>
      </c>
      <c r="AG296">
        <v>-2</v>
      </c>
      <c r="AH296">
        <v>9</v>
      </c>
      <c r="AI296">
        <v>10</v>
      </c>
      <c r="AJ296">
        <v>-1</v>
      </c>
      <c r="AK296" t="s">
        <v>2854</v>
      </c>
      <c r="AL296" t="s">
        <v>2855</v>
      </c>
      <c r="AM296" t="s">
        <v>2856</v>
      </c>
      <c r="AN296" t="s">
        <v>2857</v>
      </c>
      <c r="AO296" t="s">
        <v>2858</v>
      </c>
      <c r="AP296" t="s">
        <v>2859</v>
      </c>
      <c r="AQ296" t="s">
        <v>2860</v>
      </c>
      <c r="AR296" t="s">
        <v>2861</v>
      </c>
      <c r="AS296" t="s">
        <v>2862</v>
      </c>
    </row>
    <row r="297" spans="1:45" x14ac:dyDescent="0.45">
      <c r="A297">
        <v>296</v>
      </c>
      <c r="B297">
        <v>2321</v>
      </c>
      <c r="C297" t="s">
        <v>78</v>
      </c>
      <c r="D297" t="s">
        <v>194</v>
      </c>
      <c r="E297" t="s">
        <v>74</v>
      </c>
      <c r="F297" t="s">
        <v>77</v>
      </c>
      <c r="G297" t="s">
        <v>76</v>
      </c>
      <c r="H297">
        <v>12</v>
      </c>
      <c r="I297">
        <v>0</v>
      </c>
      <c r="J297">
        <v>8</v>
      </c>
      <c r="K297">
        <v>7</v>
      </c>
      <c r="L297">
        <v>1</v>
      </c>
      <c r="M297">
        <v>9</v>
      </c>
      <c r="N297">
        <v>7</v>
      </c>
      <c r="O297">
        <v>2</v>
      </c>
      <c r="P297">
        <v>8</v>
      </c>
      <c r="Q297">
        <v>6</v>
      </c>
      <c r="R297">
        <v>2</v>
      </c>
      <c r="S297">
        <v>9</v>
      </c>
      <c r="T297">
        <v>7</v>
      </c>
      <c r="U297">
        <v>2</v>
      </c>
      <c r="V297">
        <v>8</v>
      </c>
      <c r="W297">
        <v>7</v>
      </c>
      <c r="X297">
        <v>1</v>
      </c>
      <c r="Y297">
        <v>9</v>
      </c>
      <c r="Z297">
        <v>1</v>
      </c>
      <c r="AA297">
        <v>8</v>
      </c>
      <c r="AB297">
        <v>8</v>
      </c>
      <c r="AC297">
        <v>5</v>
      </c>
      <c r="AD297">
        <v>3</v>
      </c>
      <c r="AE297">
        <v>9</v>
      </c>
      <c r="AF297">
        <v>7</v>
      </c>
      <c r="AG297">
        <v>2</v>
      </c>
      <c r="AH297">
        <v>9</v>
      </c>
      <c r="AI297">
        <v>7</v>
      </c>
      <c r="AJ297">
        <v>2</v>
      </c>
      <c r="AK297" t="s">
        <v>2863</v>
      </c>
      <c r="AL297" t="s">
        <v>2864</v>
      </c>
      <c r="AM297" t="s">
        <v>2865</v>
      </c>
      <c r="AN297" t="s">
        <v>2866</v>
      </c>
      <c r="AO297" t="s">
        <v>2867</v>
      </c>
      <c r="AP297" t="s">
        <v>2868</v>
      </c>
      <c r="AQ297" t="s">
        <v>2869</v>
      </c>
      <c r="AR297" t="s">
        <v>2870</v>
      </c>
      <c r="AS297" t="s">
        <v>2871</v>
      </c>
    </row>
    <row r="298" spans="1:45" x14ac:dyDescent="0.45">
      <c r="A298">
        <v>297</v>
      </c>
      <c r="B298">
        <v>2322</v>
      </c>
      <c r="C298" t="s">
        <v>72</v>
      </c>
      <c r="D298" t="s">
        <v>73</v>
      </c>
      <c r="E298" t="s">
        <v>74</v>
      </c>
      <c r="F298" t="s">
        <v>77</v>
      </c>
      <c r="G298" t="s">
        <v>76</v>
      </c>
      <c r="H298">
        <v>58.136515667811452</v>
      </c>
      <c r="I298">
        <v>2</v>
      </c>
      <c r="J298">
        <v>7</v>
      </c>
      <c r="K298">
        <v>5</v>
      </c>
      <c r="L298">
        <v>2</v>
      </c>
      <c r="M298">
        <v>7</v>
      </c>
      <c r="N298">
        <v>10</v>
      </c>
      <c r="O298">
        <v>-3</v>
      </c>
      <c r="P298">
        <v>9</v>
      </c>
      <c r="Q298">
        <v>5</v>
      </c>
      <c r="R298">
        <v>4</v>
      </c>
      <c r="S298">
        <v>8</v>
      </c>
      <c r="T298">
        <v>5</v>
      </c>
      <c r="U298">
        <v>3</v>
      </c>
      <c r="V298">
        <v>7</v>
      </c>
      <c r="W298">
        <v>2</v>
      </c>
      <c r="X298">
        <v>5</v>
      </c>
      <c r="Y298">
        <v>8</v>
      </c>
      <c r="Z298">
        <v>3</v>
      </c>
      <c r="AA298">
        <v>5</v>
      </c>
      <c r="AB298">
        <v>7</v>
      </c>
      <c r="AC298">
        <v>2</v>
      </c>
      <c r="AD298">
        <v>5</v>
      </c>
      <c r="AE298">
        <v>6</v>
      </c>
      <c r="AF298">
        <v>5</v>
      </c>
      <c r="AG298">
        <v>1</v>
      </c>
      <c r="AH298">
        <v>9</v>
      </c>
      <c r="AI298">
        <v>5</v>
      </c>
      <c r="AJ298">
        <v>4</v>
      </c>
      <c r="AK298" t="s">
        <v>2872</v>
      </c>
      <c r="AL298" t="s">
        <v>2873</v>
      </c>
      <c r="AM298" t="s">
        <v>2874</v>
      </c>
      <c r="AN298" t="s">
        <v>2875</v>
      </c>
      <c r="AO298" t="s">
        <v>2876</v>
      </c>
      <c r="AP298" t="s">
        <v>2877</v>
      </c>
      <c r="AQ298" t="s">
        <v>2878</v>
      </c>
      <c r="AR298" t="s">
        <v>2879</v>
      </c>
      <c r="AS298" t="s">
        <v>2880</v>
      </c>
    </row>
    <row r="299" spans="1:45" x14ac:dyDescent="0.45">
      <c r="A299">
        <v>298</v>
      </c>
      <c r="B299">
        <v>2323</v>
      </c>
      <c r="C299" t="s">
        <v>78</v>
      </c>
      <c r="D299" t="s">
        <v>73</v>
      </c>
      <c r="E299" t="s">
        <v>74</v>
      </c>
      <c r="F299" t="s">
        <v>77</v>
      </c>
      <c r="G299" t="s">
        <v>162</v>
      </c>
      <c r="H299">
        <v>12</v>
      </c>
      <c r="I299">
        <v>0</v>
      </c>
      <c r="J299">
        <v>7</v>
      </c>
      <c r="K299">
        <v>5</v>
      </c>
      <c r="L299">
        <v>2</v>
      </c>
      <c r="M299">
        <v>6</v>
      </c>
      <c r="N299">
        <v>5</v>
      </c>
      <c r="O299">
        <v>1</v>
      </c>
      <c r="P299">
        <v>7</v>
      </c>
      <c r="Q299">
        <v>5</v>
      </c>
      <c r="R299">
        <v>2</v>
      </c>
      <c r="S299">
        <v>8</v>
      </c>
      <c r="T299">
        <v>10</v>
      </c>
      <c r="U299">
        <v>-2</v>
      </c>
      <c r="V299">
        <v>6</v>
      </c>
      <c r="W299">
        <v>10</v>
      </c>
      <c r="X299">
        <v>-4</v>
      </c>
      <c r="Y299">
        <v>8</v>
      </c>
      <c r="Z299">
        <v>5</v>
      </c>
      <c r="AA299">
        <v>3</v>
      </c>
      <c r="AB299">
        <v>7</v>
      </c>
      <c r="AC299">
        <v>5</v>
      </c>
      <c r="AD299">
        <v>2</v>
      </c>
      <c r="AE299">
        <v>5</v>
      </c>
      <c r="AF299">
        <v>5</v>
      </c>
      <c r="AG299">
        <v>0</v>
      </c>
      <c r="AH299">
        <v>7</v>
      </c>
      <c r="AI299">
        <v>5</v>
      </c>
      <c r="AJ299">
        <v>2</v>
      </c>
      <c r="AK299" t="s">
        <v>2881</v>
      </c>
      <c r="AL299" t="s">
        <v>2882</v>
      </c>
      <c r="AM299" t="s">
        <v>2883</v>
      </c>
      <c r="AN299" t="s">
        <v>2884</v>
      </c>
      <c r="AO299" t="s">
        <v>2885</v>
      </c>
      <c r="AP299" t="s">
        <v>2886</v>
      </c>
      <c r="AQ299" t="s">
        <v>2887</v>
      </c>
      <c r="AR299" t="s">
        <v>2888</v>
      </c>
      <c r="AS299" t="s">
        <v>2889</v>
      </c>
    </row>
    <row r="300" spans="1:45" x14ac:dyDescent="0.45">
      <c r="A300">
        <v>299</v>
      </c>
      <c r="B300">
        <v>2324</v>
      </c>
      <c r="C300" t="s">
        <v>78</v>
      </c>
      <c r="D300" t="s">
        <v>73</v>
      </c>
      <c r="E300" t="s">
        <v>74</v>
      </c>
      <c r="F300" t="s">
        <v>75</v>
      </c>
      <c r="G300" t="s">
        <v>76</v>
      </c>
      <c r="H300">
        <v>45.439888467800266</v>
      </c>
      <c r="I300">
        <v>0</v>
      </c>
      <c r="J300">
        <v>7</v>
      </c>
      <c r="K300">
        <v>10</v>
      </c>
      <c r="L300">
        <v>-3</v>
      </c>
      <c r="M300">
        <v>8</v>
      </c>
      <c r="N300">
        <v>10</v>
      </c>
      <c r="O300">
        <v>-2</v>
      </c>
      <c r="P300">
        <v>6</v>
      </c>
      <c r="Q300">
        <v>10</v>
      </c>
      <c r="R300">
        <v>-4</v>
      </c>
      <c r="S300">
        <v>9</v>
      </c>
      <c r="T300">
        <v>10</v>
      </c>
      <c r="U300">
        <v>-1</v>
      </c>
      <c r="V300">
        <v>7</v>
      </c>
      <c r="W300">
        <v>10</v>
      </c>
      <c r="X300">
        <v>-3</v>
      </c>
      <c r="Y300">
        <v>9</v>
      </c>
      <c r="Z300">
        <v>10</v>
      </c>
      <c r="AA300">
        <v>-1</v>
      </c>
      <c r="AB300">
        <v>7</v>
      </c>
      <c r="AC300">
        <v>10</v>
      </c>
      <c r="AD300">
        <v>-3</v>
      </c>
      <c r="AE300">
        <v>6</v>
      </c>
      <c r="AF300">
        <v>10</v>
      </c>
      <c r="AG300">
        <v>-4</v>
      </c>
      <c r="AH300">
        <v>9</v>
      </c>
      <c r="AI300">
        <v>10</v>
      </c>
      <c r="AJ300">
        <v>-1</v>
      </c>
      <c r="AK300" t="s">
        <v>2890</v>
      </c>
      <c r="AL300" t="s">
        <v>2891</v>
      </c>
      <c r="AM300" t="s">
        <v>2892</v>
      </c>
      <c r="AN300" t="s">
        <v>2893</v>
      </c>
      <c r="AO300" t="s">
        <v>2894</v>
      </c>
      <c r="AP300" t="s">
        <v>2895</v>
      </c>
      <c r="AQ300" t="s">
        <v>2896</v>
      </c>
      <c r="AR300" t="s">
        <v>2897</v>
      </c>
      <c r="AS300" t="s">
        <v>2898</v>
      </c>
    </row>
    <row r="301" spans="1:45" x14ac:dyDescent="0.45">
      <c r="A301">
        <v>300</v>
      </c>
      <c r="B301">
        <v>2325</v>
      </c>
      <c r="C301" t="s">
        <v>78</v>
      </c>
      <c r="D301" t="s">
        <v>73</v>
      </c>
      <c r="E301" t="s">
        <v>74</v>
      </c>
      <c r="F301" t="s">
        <v>77</v>
      </c>
      <c r="G301" t="s">
        <v>76</v>
      </c>
      <c r="H301">
        <v>30.095306028529489</v>
      </c>
      <c r="I301">
        <v>1</v>
      </c>
      <c r="J301">
        <v>7</v>
      </c>
      <c r="K301">
        <v>9</v>
      </c>
      <c r="L301">
        <v>-2</v>
      </c>
      <c r="M301">
        <v>6</v>
      </c>
      <c r="N301">
        <v>9</v>
      </c>
      <c r="O301">
        <v>-3</v>
      </c>
      <c r="P301">
        <v>8</v>
      </c>
      <c r="Q301">
        <v>8</v>
      </c>
      <c r="R301">
        <v>0</v>
      </c>
      <c r="S301">
        <v>9</v>
      </c>
      <c r="T301">
        <v>10</v>
      </c>
      <c r="U301">
        <v>-1</v>
      </c>
      <c r="V301">
        <v>7</v>
      </c>
      <c r="W301">
        <v>8</v>
      </c>
      <c r="X301">
        <v>-1</v>
      </c>
      <c r="Y301">
        <v>8</v>
      </c>
      <c r="Z301">
        <v>8</v>
      </c>
      <c r="AA301">
        <v>0</v>
      </c>
      <c r="AB301">
        <v>7</v>
      </c>
      <c r="AC301">
        <v>10</v>
      </c>
      <c r="AD301">
        <v>-3</v>
      </c>
      <c r="AE301">
        <v>8</v>
      </c>
      <c r="AF301">
        <v>9</v>
      </c>
      <c r="AG301">
        <v>-1</v>
      </c>
      <c r="AH301">
        <v>9</v>
      </c>
      <c r="AI301">
        <v>9</v>
      </c>
      <c r="AJ301">
        <v>0</v>
      </c>
      <c r="AK301" t="s">
        <v>2899</v>
      </c>
      <c r="AL301" t="s">
        <v>2900</v>
      </c>
      <c r="AM301" t="s">
        <v>2901</v>
      </c>
      <c r="AN301" t="s">
        <v>2902</v>
      </c>
      <c r="AO301" t="s">
        <v>2903</v>
      </c>
      <c r="AP301" t="s">
        <v>2904</v>
      </c>
      <c r="AQ301" t="s">
        <v>2905</v>
      </c>
      <c r="AR301" t="s">
        <v>2906</v>
      </c>
      <c r="AS301" t="s">
        <v>2907</v>
      </c>
    </row>
    <row r="302" spans="1:45" x14ac:dyDescent="0.45">
      <c r="A302">
        <v>301</v>
      </c>
      <c r="B302">
        <v>2326</v>
      </c>
      <c r="C302" t="s">
        <v>78</v>
      </c>
      <c r="D302" t="s">
        <v>81</v>
      </c>
      <c r="E302" t="s">
        <v>74</v>
      </c>
      <c r="F302" t="s">
        <v>77</v>
      </c>
      <c r="G302" t="s">
        <v>76</v>
      </c>
      <c r="H302">
        <v>12</v>
      </c>
      <c r="I302">
        <v>0</v>
      </c>
      <c r="J302">
        <v>8</v>
      </c>
      <c r="K302">
        <v>8</v>
      </c>
      <c r="L302">
        <v>0</v>
      </c>
      <c r="M302">
        <v>9</v>
      </c>
      <c r="N302">
        <v>7</v>
      </c>
      <c r="O302">
        <v>2</v>
      </c>
      <c r="P302">
        <v>7</v>
      </c>
      <c r="Q302">
        <v>9</v>
      </c>
      <c r="R302">
        <v>-2</v>
      </c>
      <c r="S302">
        <v>9</v>
      </c>
      <c r="T302">
        <v>5</v>
      </c>
      <c r="U302">
        <v>4</v>
      </c>
      <c r="V302">
        <v>7</v>
      </c>
      <c r="W302">
        <v>7</v>
      </c>
      <c r="X302">
        <v>0</v>
      </c>
      <c r="Y302">
        <v>9</v>
      </c>
      <c r="Z302">
        <v>7</v>
      </c>
      <c r="AA302">
        <v>2</v>
      </c>
      <c r="AB302">
        <v>8</v>
      </c>
      <c r="AC302">
        <v>7</v>
      </c>
      <c r="AD302">
        <v>1</v>
      </c>
      <c r="AE302">
        <v>7</v>
      </c>
      <c r="AF302">
        <v>6</v>
      </c>
      <c r="AG302">
        <v>1</v>
      </c>
      <c r="AH302">
        <v>9</v>
      </c>
      <c r="AI302">
        <v>7</v>
      </c>
      <c r="AJ302">
        <v>2</v>
      </c>
      <c r="AK302" t="s">
        <v>2908</v>
      </c>
      <c r="AL302" t="s">
        <v>2909</v>
      </c>
      <c r="AM302" t="s">
        <v>2910</v>
      </c>
      <c r="AN302" t="s">
        <v>2911</v>
      </c>
      <c r="AO302" t="s">
        <v>2912</v>
      </c>
      <c r="AP302" t="s">
        <v>2913</v>
      </c>
      <c r="AQ302" t="s">
        <v>2914</v>
      </c>
      <c r="AR302" t="s">
        <v>2915</v>
      </c>
      <c r="AS302" t="s">
        <v>2916</v>
      </c>
    </row>
    <row r="303" spans="1:45" x14ac:dyDescent="0.45">
      <c r="A303">
        <v>302</v>
      </c>
      <c r="B303">
        <v>2327</v>
      </c>
      <c r="C303" t="s">
        <v>72</v>
      </c>
      <c r="D303" t="s">
        <v>73</v>
      </c>
      <c r="E303" t="s">
        <v>74</v>
      </c>
      <c r="F303" t="s">
        <v>77</v>
      </c>
      <c r="G303" t="s">
        <v>76</v>
      </c>
      <c r="H303">
        <v>28.625944835947372</v>
      </c>
      <c r="I303">
        <v>0</v>
      </c>
      <c r="J303">
        <v>5</v>
      </c>
      <c r="K303">
        <v>7</v>
      </c>
      <c r="L303">
        <v>-2</v>
      </c>
      <c r="M303">
        <v>6</v>
      </c>
      <c r="N303">
        <v>7</v>
      </c>
      <c r="O303">
        <v>-1</v>
      </c>
      <c r="P303">
        <v>9</v>
      </c>
      <c r="Q303">
        <v>4</v>
      </c>
      <c r="R303">
        <v>5</v>
      </c>
      <c r="S303">
        <v>8</v>
      </c>
      <c r="T303">
        <v>8</v>
      </c>
      <c r="U303">
        <v>0</v>
      </c>
      <c r="V303">
        <v>7</v>
      </c>
      <c r="W303">
        <v>7</v>
      </c>
      <c r="X303">
        <v>0</v>
      </c>
      <c r="Y303">
        <v>9</v>
      </c>
      <c r="Z303">
        <v>7</v>
      </c>
      <c r="AA303">
        <v>2</v>
      </c>
      <c r="AB303">
        <v>7</v>
      </c>
      <c r="AC303">
        <v>5</v>
      </c>
      <c r="AD303">
        <v>2</v>
      </c>
      <c r="AE303">
        <v>6</v>
      </c>
      <c r="AF303">
        <v>5</v>
      </c>
      <c r="AG303">
        <v>1</v>
      </c>
      <c r="AH303">
        <v>8</v>
      </c>
      <c r="AI303">
        <v>7</v>
      </c>
      <c r="AJ303">
        <v>1</v>
      </c>
      <c r="AK303" t="s">
        <v>2917</v>
      </c>
      <c r="AL303" t="s">
        <v>2918</v>
      </c>
      <c r="AM303" t="s">
        <v>2919</v>
      </c>
      <c r="AN303" t="s">
        <v>2920</v>
      </c>
      <c r="AO303" t="s">
        <v>2921</v>
      </c>
      <c r="AP303" t="s">
        <v>2922</v>
      </c>
      <c r="AQ303" t="s">
        <v>2923</v>
      </c>
      <c r="AR303" t="s">
        <v>2924</v>
      </c>
      <c r="AS303" t="s">
        <v>2925</v>
      </c>
    </row>
    <row r="304" spans="1:45" x14ac:dyDescent="0.45">
      <c r="A304">
        <v>303</v>
      </c>
      <c r="B304">
        <v>2328</v>
      </c>
      <c r="C304" t="s">
        <v>78</v>
      </c>
      <c r="D304" t="s">
        <v>73</v>
      </c>
      <c r="E304" t="s">
        <v>74</v>
      </c>
      <c r="F304" t="s">
        <v>77</v>
      </c>
      <c r="G304" t="s">
        <v>76</v>
      </c>
      <c r="H304">
        <v>30.613704498836046</v>
      </c>
      <c r="I304">
        <v>2</v>
      </c>
      <c r="J304">
        <v>6</v>
      </c>
      <c r="K304">
        <v>6</v>
      </c>
      <c r="L304">
        <v>0</v>
      </c>
      <c r="M304">
        <v>8</v>
      </c>
      <c r="N304">
        <v>10</v>
      </c>
      <c r="O304">
        <v>-2</v>
      </c>
      <c r="P304">
        <v>9</v>
      </c>
      <c r="Q304">
        <v>5</v>
      </c>
      <c r="R304">
        <v>4</v>
      </c>
      <c r="S304">
        <v>8</v>
      </c>
      <c r="T304">
        <v>4</v>
      </c>
      <c r="U304">
        <v>4</v>
      </c>
      <c r="V304">
        <v>7</v>
      </c>
      <c r="W304">
        <v>3</v>
      </c>
      <c r="X304">
        <v>4</v>
      </c>
      <c r="Y304">
        <v>9</v>
      </c>
      <c r="Z304">
        <v>7</v>
      </c>
      <c r="AA304">
        <v>2</v>
      </c>
      <c r="AB304">
        <v>8</v>
      </c>
      <c r="AC304">
        <v>4</v>
      </c>
      <c r="AD304">
        <v>4</v>
      </c>
      <c r="AE304">
        <v>6</v>
      </c>
      <c r="AF304">
        <v>4</v>
      </c>
      <c r="AG304">
        <v>2</v>
      </c>
      <c r="AH304">
        <v>9</v>
      </c>
      <c r="AI304">
        <v>5</v>
      </c>
      <c r="AJ304">
        <v>4</v>
      </c>
      <c r="AK304" t="s">
        <v>2926</v>
      </c>
      <c r="AL304" t="s">
        <v>2927</v>
      </c>
      <c r="AM304" t="s">
        <v>2928</v>
      </c>
      <c r="AN304" t="s">
        <v>2929</v>
      </c>
      <c r="AO304" t="s">
        <v>2930</v>
      </c>
      <c r="AP304" t="s">
        <v>2931</v>
      </c>
      <c r="AQ304" t="s">
        <v>2932</v>
      </c>
      <c r="AR304" t="s">
        <v>2933</v>
      </c>
      <c r="AS304" t="s">
        <v>2934</v>
      </c>
    </row>
    <row r="305" spans="1:45" x14ac:dyDescent="0.45">
      <c r="A305">
        <v>304</v>
      </c>
      <c r="B305">
        <v>2329</v>
      </c>
      <c r="C305" t="s">
        <v>78</v>
      </c>
      <c r="D305" t="s">
        <v>81</v>
      </c>
      <c r="E305" t="s">
        <v>74</v>
      </c>
      <c r="F305" t="s">
        <v>75</v>
      </c>
      <c r="G305" t="s">
        <v>76</v>
      </c>
      <c r="H305">
        <v>12</v>
      </c>
      <c r="I305">
        <v>0</v>
      </c>
      <c r="J305">
        <v>8</v>
      </c>
      <c r="K305">
        <v>10</v>
      </c>
      <c r="L305">
        <v>-2</v>
      </c>
      <c r="M305">
        <v>7</v>
      </c>
      <c r="N305">
        <v>10</v>
      </c>
      <c r="O305">
        <v>-3</v>
      </c>
      <c r="P305">
        <v>9</v>
      </c>
      <c r="Q305">
        <v>10</v>
      </c>
      <c r="R305">
        <v>-1</v>
      </c>
      <c r="S305">
        <v>8</v>
      </c>
      <c r="T305">
        <v>10</v>
      </c>
      <c r="U305">
        <v>-2</v>
      </c>
      <c r="V305">
        <v>9</v>
      </c>
      <c r="W305">
        <v>10</v>
      </c>
      <c r="X305">
        <v>-1</v>
      </c>
      <c r="Y305">
        <v>8</v>
      </c>
      <c r="Z305">
        <v>10</v>
      </c>
      <c r="AA305">
        <v>-2</v>
      </c>
      <c r="AB305">
        <v>9</v>
      </c>
      <c r="AC305">
        <v>10</v>
      </c>
      <c r="AD305">
        <v>-1</v>
      </c>
      <c r="AE305">
        <v>8</v>
      </c>
      <c r="AF305">
        <v>10</v>
      </c>
      <c r="AG305">
        <v>-2</v>
      </c>
      <c r="AH305">
        <v>9</v>
      </c>
      <c r="AI305">
        <v>10</v>
      </c>
      <c r="AJ305">
        <v>-1</v>
      </c>
      <c r="AK305" t="s">
        <v>2935</v>
      </c>
      <c r="AL305" t="s">
        <v>2936</v>
      </c>
      <c r="AM305" t="s">
        <v>2937</v>
      </c>
      <c r="AN305" t="s">
        <v>2938</v>
      </c>
      <c r="AO305" t="s">
        <v>2939</v>
      </c>
      <c r="AP305" t="s">
        <v>2940</v>
      </c>
      <c r="AQ305" t="s">
        <v>2941</v>
      </c>
      <c r="AR305" t="s">
        <v>2942</v>
      </c>
      <c r="AS305" t="s">
        <v>2943</v>
      </c>
    </row>
    <row r="306" spans="1:45" x14ac:dyDescent="0.45">
      <c r="A306">
        <v>305</v>
      </c>
      <c r="B306">
        <v>2330</v>
      </c>
      <c r="C306" t="s">
        <v>78</v>
      </c>
      <c r="D306" t="s">
        <v>73</v>
      </c>
      <c r="E306" t="s">
        <v>74</v>
      </c>
      <c r="F306" t="s">
        <v>77</v>
      </c>
      <c r="G306" t="s">
        <v>76</v>
      </c>
      <c r="H306">
        <v>40.874932966355765</v>
      </c>
      <c r="I306">
        <v>0</v>
      </c>
      <c r="J306">
        <v>7</v>
      </c>
      <c r="K306">
        <v>7</v>
      </c>
      <c r="L306">
        <v>0</v>
      </c>
      <c r="M306">
        <v>8</v>
      </c>
      <c r="N306">
        <v>9</v>
      </c>
      <c r="O306">
        <v>-1</v>
      </c>
      <c r="P306">
        <v>7</v>
      </c>
      <c r="Q306">
        <v>8</v>
      </c>
      <c r="R306">
        <v>-1</v>
      </c>
      <c r="S306">
        <v>9</v>
      </c>
      <c r="T306">
        <v>6</v>
      </c>
      <c r="U306">
        <v>3</v>
      </c>
      <c r="V306">
        <v>8</v>
      </c>
      <c r="W306">
        <v>5</v>
      </c>
      <c r="X306">
        <v>3</v>
      </c>
      <c r="Y306">
        <v>9</v>
      </c>
      <c r="Z306">
        <v>3</v>
      </c>
      <c r="AA306">
        <v>6</v>
      </c>
      <c r="AB306">
        <v>8</v>
      </c>
      <c r="AC306">
        <v>9</v>
      </c>
      <c r="AD306">
        <v>-1</v>
      </c>
      <c r="AE306">
        <v>7</v>
      </c>
      <c r="AF306">
        <v>3</v>
      </c>
      <c r="AG306">
        <v>4</v>
      </c>
      <c r="AH306">
        <v>9</v>
      </c>
      <c r="AI306">
        <v>4</v>
      </c>
      <c r="AJ306">
        <v>5</v>
      </c>
      <c r="AK306" t="s">
        <v>2944</v>
      </c>
      <c r="AL306" t="s">
        <v>2945</v>
      </c>
      <c r="AM306" t="s">
        <v>2946</v>
      </c>
      <c r="AN306" t="s">
        <v>2947</v>
      </c>
      <c r="AO306" t="s">
        <v>2948</v>
      </c>
      <c r="AP306" t="s">
        <v>2949</v>
      </c>
      <c r="AQ306" t="s">
        <v>2950</v>
      </c>
      <c r="AR306" t="s">
        <v>2951</v>
      </c>
      <c r="AS306" t="s">
        <v>2952</v>
      </c>
    </row>
    <row r="307" spans="1:45" x14ac:dyDescent="0.45">
      <c r="A307">
        <v>306</v>
      </c>
      <c r="B307">
        <v>2331</v>
      </c>
      <c r="C307" t="s">
        <v>72</v>
      </c>
      <c r="D307" t="s">
        <v>79</v>
      </c>
      <c r="E307" t="s">
        <v>74</v>
      </c>
      <c r="F307" t="s">
        <v>77</v>
      </c>
      <c r="G307" t="s">
        <v>76</v>
      </c>
      <c r="H307">
        <v>66.477976666327947</v>
      </c>
      <c r="I307">
        <v>3</v>
      </c>
      <c r="J307">
        <v>7</v>
      </c>
      <c r="K307">
        <v>3</v>
      </c>
      <c r="L307">
        <v>4</v>
      </c>
      <c r="M307">
        <v>6</v>
      </c>
      <c r="N307">
        <v>8</v>
      </c>
      <c r="O307">
        <v>-2</v>
      </c>
      <c r="P307">
        <v>8</v>
      </c>
      <c r="Q307">
        <v>8</v>
      </c>
      <c r="R307">
        <v>0</v>
      </c>
      <c r="S307">
        <v>9</v>
      </c>
      <c r="T307">
        <v>4</v>
      </c>
      <c r="U307">
        <v>5</v>
      </c>
      <c r="V307">
        <v>8</v>
      </c>
      <c r="W307">
        <v>4</v>
      </c>
      <c r="X307">
        <v>4</v>
      </c>
      <c r="Y307">
        <v>9</v>
      </c>
      <c r="Z307">
        <v>3</v>
      </c>
      <c r="AA307">
        <v>6</v>
      </c>
      <c r="AB307">
        <v>7</v>
      </c>
      <c r="AC307">
        <v>7</v>
      </c>
      <c r="AD307">
        <v>0</v>
      </c>
      <c r="AE307">
        <v>8</v>
      </c>
      <c r="AF307">
        <v>5</v>
      </c>
      <c r="AG307">
        <v>3</v>
      </c>
      <c r="AH307">
        <v>9</v>
      </c>
      <c r="AI307">
        <v>5</v>
      </c>
      <c r="AJ307">
        <v>4</v>
      </c>
      <c r="AK307" t="s">
        <v>2953</v>
      </c>
      <c r="AL307" t="s">
        <v>2954</v>
      </c>
      <c r="AM307" t="s">
        <v>2955</v>
      </c>
      <c r="AN307" t="s">
        <v>2956</v>
      </c>
      <c r="AO307" t="s">
        <v>2957</v>
      </c>
      <c r="AP307" t="s">
        <v>2958</v>
      </c>
      <c r="AQ307" t="s">
        <v>2959</v>
      </c>
      <c r="AR307" t="s">
        <v>2960</v>
      </c>
      <c r="AS307" t="s">
        <v>2961</v>
      </c>
    </row>
    <row r="308" spans="1:45" x14ac:dyDescent="0.45">
      <c r="A308">
        <v>307</v>
      </c>
      <c r="B308">
        <v>2332</v>
      </c>
      <c r="C308" t="s">
        <v>72</v>
      </c>
      <c r="D308" t="s">
        <v>194</v>
      </c>
      <c r="E308" t="s">
        <v>74</v>
      </c>
      <c r="F308" t="s">
        <v>75</v>
      </c>
      <c r="G308" t="s">
        <v>162</v>
      </c>
      <c r="H308">
        <v>13.118372459798383</v>
      </c>
      <c r="I308">
        <v>2</v>
      </c>
      <c r="J308">
        <v>6</v>
      </c>
      <c r="K308">
        <v>2</v>
      </c>
      <c r="L308">
        <v>4</v>
      </c>
      <c r="M308">
        <v>7</v>
      </c>
      <c r="N308">
        <v>2</v>
      </c>
      <c r="O308">
        <v>5</v>
      </c>
      <c r="P308">
        <v>9</v>
      </c>
      <c r="Q308">
        <v>2</v>
      </c>
      <c r="R308">
        <v>7</v>
      </c>
      <c r="S308">
        <v>8</v>
      </c>
      <c r="T308">
        <v>1</v>
      </c>
      <c r="U308">
        <v>7</v>
      </c>
      <c r="V308">
        <v>7</v>
      </c>
      <c r="W308">
        <v>2</v>
      </c>
      <c r="X308">
        <v>5</v>
      </c>
      <c r="Y308">
        <v>9</v>
      </c>
      <c r="Z308">
        <v>2</v>
      </c>
      <c r="AA308">
        <v>7</v>
      </c>
      <c r="AB308">
        <v>8</v>
      </c>
      <c r="AC308">
        <v>2</v>
      </c>
      <c r="AD308">
        <v>6</v>
      </c>
      <c r="AE308">
        <v>9</v>
      </c>
      <c r="AF308">
        <v>2</v>
      </c>
      <c r="AG308">
        <v>7</v>
      </c>
      <c r="AH308">
        <v>8</v>
      </c>
      <c r="AI308">
        <v>2</v>
      </c>
      <c r="AJ308">
        <v>6</v>
      </c>
      <c r="AK308" t="s">
        <v>2962</v>
      </c>
      <c r="AL308" t="s">
        <v>2963</v>
      </c>
      <c r="AM308" t="s">
        <v>2964</v>
      </c>
      <c r="AN308" t="s">
        <v>2965</v>
      </c>
      <c r="AO308" t="s">
        <v>2966</v>
      </c>
      <c r="AP308" t="s">
        <v>2967</v>
      </c>
      <c r="AQ308" t="s">
        <v>2968</v>
      </c>
      <c r="AR308" t="s">
        <v>2969</v>
      </c>
      <c r="AS308" t="s">
        <v>2970</v>
      </c>
    </row>
    <row r="309" spans="1:45" x14ac:dyDescent="0.45">
      <c r="A309">
        <v>308</v>
      </c>
      <c r="B309">
        <v>2333</v>
      </c>
      <c r="C309" t="s">
        <v>72</v>
      </c>
      <c r="D309" t="s">
        <v>79</v>
      </c>
      <c r="E309" t="s">
        <v>74</v>
      </c>
      <c r="F309" t="s">
        <v>75</v>
      </c>
      <c r="G309" t="s">
        <v>76</v>
      </c>
      <c r="H309">
        <v>180.15001953069222</v>
      </c>
      <c r="I309">
        <v>2</v>
      </c>
      <c r="J309">
        <v>8</v>
      </c>
      <c r="K309">
        <v>10</v>
      </c>
      <c r="L309">
        <v>-2</v>
      </c>
      <c r="M309">
        <v>9</v>
      </c>
      <c r="N309">
        <v>8</v>
      </c>
      <c r="O309">
        <v>1</v>
      </c>
      <c r="P309">
        <v>7</v>
      </c>
      <c r="Q309">
        <v>8</v>
      </c>
      <c r="R309">
        <v>-1</v>
      </c>
      <c r="S309">
        <v>9</v>
      </c>
      <c r="T309">
        <v>8</v>
      </c>
      <c r="U309">
        <v>1</v>
      </c>
      <c r="V309">
        <v>9</v>
      </c>
      <c r="W309">
        <v>10</v>
      </c>
      <c r="X309">
        <v>-1</v>
      </c>
      <c r="Y309">
        <v>8</v>
      </c>
      <c r="Z309">
        <v>10</v>
      </c>
      <c r="AA309">
        <v>-2</v>
      </c>
      <c r="AB309">
        <v>9</v>
      </c>
      <c r="AC309">
        <v>6</v>
      </c>
      <c r="AD309">
        <v>3</v>
      </c>
      <c r="AE309">
        <v>8</v>
      </c>
      <c r="AF309">
        <v>8</v>
      </c>
      <c r="AG309">
        <v>0</v>
      </c>
      <c r="AH309">
        <v>9</v>
      </c>
      <c r="AI309">
        <v>8</v>
      </c>
      <c r="AJ309">
        <v>1</v>
      </c>
      <c r="AK309" t="s">
        <v>2971</v>
      </c>
      <c r="AL309" t="s">
        <v>2972</v>
      </c>
      <c r="AM309" t="s">
        <v>2973</v>
      </c>
      <c r="AN309" t="s">
        <v>2974</v>
      </c>
      <c r="AO309" t="s">
        <v>2975</v>
      </c>
      <c r="AP309" t="s">
        <v>2976</v>
      </c>
      <c r="AQ309" t="s">
        <v>2977</v>
      </c>
      <c r="AR309" t="s">
        <v>2978</v>
      </c>
      <c r="AS309" t="s">
        <v>2979</v>
      </c>
    </row>
    <row r="310" spans="1:45" x14ac:dyDescent="0.45">
      <c r="A310">
        <v>309</v>
      </c>
      <c r="B310">
        <v>2334</v>
      </c>
      <c r="C310" t="s">
        <v>78</v>
      </c>
      <c r="D310" t="s">
        <v>73</v>
      </c>
      <c r="E310" t="s">
        <v>74</v>
      </c>
      <c r="F310" t="s">
        <v>77</v>
      </c>
      <c r="G310" t="s">
        <v>76</v>
      </c>
      <c r="H310">
        <v>64.845851968529757</v>
      </c>
      <c r="I310">
        <v>1</v>
      </c>
      <c r="J310">
        <v>7</v>
      </c>
      <c r="K310">
        <v>10</v>
      </c>
      <c r="L310">
        <v>-3</v>
      </c>
      <c r="M310">
        <v>8</v>
      </c>
      <c r="N310">
        <v>10</v>
      </c>
      <c r="O310">
        <v>-2</v>
      </c>
      <c r="P310">
        <v>9</v>
      </c>
      <c r="Q310">
        <v>10</v>
      </c>
      <c r="R310">
        <v>-1</v>
      </c>
      <c r="S310">
        <v>10</v>
      </c>
      <c r="T310">
        <v>10</v>
      </c>
      <c r="U310">
        <v>0</v>
      </c>
      <c r="V310">
        <v>9</v>
      </c>
      <c r="W310">
        <v>10</v>
      </c>
      <c r="X310">
        <v>-1</v>
      </c>
      <c r="Y310">
        <v>8</v>
      </c>
      <c r="Z310">
        <v>9</v>
      </c>
      <c r="AA310">
        <v>-1</v>
      </c>
      <c r="AB310">
        <v>9</v>
      </c>
      <c r="AC310">
        <v>9</v>
      </c>
      <c r="AD310">
        <v>0</v>
      </c>
      <c r="AE310">
        <v>8</v>
      </c>
      <c r="AF310">
        <v>10</v>
      </c>
      <c r="AG310">
        <v>-2</v>
      </c>
      <c r="AH310">
        <v>9</v>
      </c>
      <c r="AI310">
        <v>10</v>
      </c>
      <c r="AJ310">
        <v>-1</v>
      </c>
      <c r="AK310" t="s">
        <v>2980</v>
      </c>
      <c r="AL310" t="s">
        <v>2981</v>
      </c>
      <c r="AM310" t="s">
        <v>2982</v>
      </c>
      <c r="AN310" t="s">
        <v>2983</v>
      </c>
      <c r="AO310" t="s">
        <v>2984</v>
      </c>
      <c r="AP310" t="s">
        <v>2985</v>
      </c>
      <c r="AQ310" t="s">
        <v>2986</v>
      </c>
      <c r="AR310" t="s">
        <v>2987</v>
      </c>
      <c r="AS310" t="s">
        <v>2988</v>
      </c>
    </row>
    <row r="311" spans="1:45" x14ac:dyDescent="0.45">
      <c r="A311">
        <v>310</v>
      </c>
      <c r="B311">
        <v>2335</v>
      </c>
      <c r="C311" t="s">
        <v>72</v>
      </c>
      <c r="D311" t="s">
        <v>189</v>
      </c>
      <c r="E311" t="s">
        <v>74</v>
      </c>
      <c r="F311" t="s">
        <v>77</v>
      </c>
      <c r="G311" t="s">
        <v>76</v>
      </c>
      <c r="H311">
        <v>21.063525017401624</v>
      </c>
      <c r="I311">
        <v>0</v>
      </c>
      <c r="J311">
        <v>6</v>
      </c>
      <c r="K311">
        <v>7</v>
      </c>
      <c r="L311">
        <v>-1</v>
      </c>
      <c r="M311">
        <v>6</v>
      </c>
      <c r="N311">
        <v>7</v>
      </c>
      <c r="O311">
        <v>-1</v>
      </c>
      <c r="P311">
        <v>7</v>
      </c>
      <c r="Q311">
        <v>5</v>
      </c>
      <c r="R311">
        <v>2</v>
      </c>
      <c r="S311">
        <v>8</v>
      </c>
      <c r="T311">
        <v>8</v>
      </c>
      <c r="U311">
        <v>0</v>
      </c>
      <c r="V311">
        <v>7</v>
      </c>
      <c r="W311">
        <v>8</v>
      </c>
      <c r="X311">
        <v>-1</v>
      </c>
      <c r="Y311">
        <v>8</v>
      </c>
      <c r="Z311">
        <v>9</v>
      </c>
      <c r="AA311">
        <v>-1</v>
      </c>
      <c r="AB311">
        <v>7</v>
      </c>
      <c r="AC311">
        <v>9</v>
      </c>
      <c r="AD311">
        <v>-2</v>
      </c>
      <c r="AE311">
        <v>6</v>
      </c>
      <c r="AF311">
        <v>9</v>
      </c>
      <c r="AG311">
        <v>-3</v>
      </c>
      <c r="AH311">
        <v>7</v>
      </c>
      <c r="AI311">
        <v>10</v>
      </c>
      <c r="AJ311">
        <v>-3</v>
      </c>
      <c r="AK311" t="s">
        <v>2989</v>
      </c>
      <c r="AL311" t="s">
        <v>2990</v>
      </c>
      <c r="AM311" t="s">
        <v>2991</v>
      </c>
      <c r="AN311" t="s">
        <v>2992</v>
      </c>
      <c r="AO311" t="s">
        <v>2993</v>
      </c>
      <c r="AP311" t="s">
        <v>2994</v>
      </c>
      <c r="AQ311" t="s">
        <v>2995</v>
      </c>
      <c r="AR311" t="s">
        <v>2996</v>
      </c>
      <c r="AS311" t="s">
        <v>2997</v>
      </c>
    </row>
    <row r="312" spans="1:45" x14ac:dyDescent="0.45">
      <c r="A312">
        <v>311</v>
      </c>
      <c r="B312">
        <v>2336</v>
      </c>
      <c r="C312" t="s">
        <v>72</v>
      </c>
      <c r="D312" t="s">
        <v>189</v>
      </c>
      <c r="E312" t="s">
        <v>74</v>
      </c>
      <c r="F312" t="s">
        <v>77</v>
      </c>
      <c r="G312" t="s">
        <v>76</v>
      </c>
      <c r="H312">
        <v>13.57450705630349</v>
      </c>
      <c r="I312">
        <v>0</v>
      </c>
      <c r="J312">
        <v>8</v>
      </c>
      <c r="K312">
        <v>6</v>
      </c>
      <c r="L312">
        <v>2</v>
      </c>
      <c r="M312">
        <v>9</v>
      </c>
      <c r="N312">
        <v>5</v>
      </c>
      <c r="O312">
        <v>4</v>
      </c>
      <c r="P312">
        <v>9</v>
      </c>
      <c r="Q312">
        <v>4</v>
      </c>
      <c r="R312">
        <v>5</v>
      </c>
      <c r="S312">
        <v>8</v>
      </c>
      <c r="T312">
        <v>7</v>
      </c>
      <c r="U312">
        <v>1</v>
      </c>
      <c r="V312">
        <v>9</v>
      </c>
      <c r="W312">
        <v>5</v>
      </c>
      <c r="X312">
        <v>4</v>
      </c>
      <c r="Y312">
        <v>8</v>
      </c>
      <c r="Z312">
        <v>6</v>
      </c>
      <c r="AA312">
        <v>2</v>
      </c>
      <c r="AB312">
        <v>9</v>
      </c>
      <c r="AC312">
        <v>6</v>
      </c>
      <c r="AD312">
        <v>3</v>
      </c>
      <c r="AE312">
        <v>8</v>
      </c>
      <c r="AF312">
        <v>7</v>
      </c>
      <c r="AG312">
        <v>1</v>
      </c>
      <c r="AH312">
        <v>9</v>
      </c>
      <c r="AI312">
        <v>7</v>
      </c>
      <c r="AJ312">
        <v>2</v>
      </c>
      <c r="AK312" t="s">
        <v>2998</v>
      </c>
      <c r="AL312" t="s">
        <v>2999</v>
      </c>
      <c r="AM312" t="s">
        <v>3000</v>
      </c>
      <c r="AN312" t="s">
        <v>3001</v>
      </c>
      <c r="AO312" t="s">
        <v>3002</v>
      </c>
      <c r="AP312" t="s">
        <v>3003</v>
      </c>
      <c r="AQ312" t="s">
        <v>3004</v>
      </c>
      <c r="AR312" t="s">
        <v>3005</v>
      </c>
      <c r="AS312" t="s">
        <v>3006</v>
      </c>
    </row>
    <row r="313" spans="1:45" x14ac:dyDescent="0.45">
      <c r="A313">
        <v>312</v>
      </c>
      <c r="B313">
        <v>2337</v>
      </c>
      <c r="C313" t="s">
        <v>78</v>
      </c>
      <c r="D313" t="s">
        <v>81</v>
      </c>
      <c r="E313" t="s">
        <v>74</v>
      </c>
      <c r="F313" t="s">
        <v>77</v>
      </c>
      <c r="G313" t="s">
        <v>76</v>
      </c>
      <c r="H313">
        <v>20.777676159732167</v>
      </c>
      <c r="I313">
        <v>0</v>
      </c>
      <c r="J313">
        <v>7</v>
      </c>
      <c r="K313">
        <v>8</v>
      </c>
      <c r="L313">
        <v>-1</v>
      </c>
      <c r="M313">
        <v>6</v>
      </c>
      <c r="N313">
        <v>9</v>
      </c>
      <c r="O313">
        <v>-3</v>
      </c>
      <c r="P313">
        <v>8</v>
      </c>
      <c r="Q313">
        <v>10</v>
      </c>
      <c r="R313">
        <v>-2</v>
      </c>
      <c r="S313">
        <v>9</v>
      </c>
      <c r="T313">
        <v>10</v>
      </c>
      <c r="U313">
        <v>-1</v>
      </c>
      <c r="V313">
        <v>6</v>
      </c>
      <c r="W313">
        <v>8</v>
      </c>
      <c r="X313">
        <v>-2</v>
      </c>
      <c r="Y313">
        <v>8</v>
      </c>
      <c r="Z313">
        <v>9</v>
      </c>
      <c r="AA313">
        <v>-1</v>
      </c>
      <c r="AB313">
        <v>7</v>
      </c>
      <c r="AC313">
        <v>8</v>
      </c>
      <c r="AD313">
        <v>-1</v>
      </c>
      <c r="AE313">
        <v>5</v>
      </c>
      <c r="AF313">
        <v>8</v>
      </c>
      <c r="AG313">
        <v>-3</v>
      </c>
      <c r="AH313">
        <v>8</v>
      </c>
      <c r="AI313">
        <v>10</v>
      </c>
      <c r="AJ313">
        <v>-2</v>
      </c>
      <c r="AK313" t="s">
        <v>3007</v>
      </c>
      <c r="AL313" t="s">
        <v>3008</v>
      </c>
      <c r="AM313" t="s">
        <v>3009</v>
      </c>
      <c r="AN313" t="s">
        <v>3010</v>
      </c>
      <c r="AO313" t="s">
        <v>3011</v>
      </c>
      <c r="AP313" t="s">
        <v>3012</v>
      </c>
      <c r="AQ313" t="s">
        <v>3013</v>
      </c>
      <c r="AR313" t="s">
        <v>3014</v>
      </c>
      <c r="AS313" t="s">
        <v>3015</v>
      </c>
    </row>
    <row r="314" spans="1:45" x14ac:dyDescent="0.45">
      <c r="A314">
        <v>313</v>
      </c>
      <c r="B314">
        <v>2338</v>
      </c>
      <c r="C314" t="s">
        <v>78</v>
      </c>
      <c r="D314" t="s">
        <v>189</v>
      </c>
      <c r="E314" t="s">
        <v>74</v>
      </c>
      <c r="F314" t="s">
        <v>77</v>
      </c>
      <c r="G314" t="s">
        <v>76</v>
      </c>
      <c r="H314">
        <v>12.81653958565153</v>
      </c>
      <c r="I314">
        <v>0</v>
      </c>
      <c r="J314">
        <v>9</v>
      </c>
      <c r="K314">
        <v>6</v>
      </c>
      <c r="L314">
        <v>3</v>
      </c>
      <c r="M314">
        <v>8</v>
      </c>
      <c r="N314">
        <v>6</v>
      </c>
      <c r="O314">
        <v>2</v>
      </c>
      <c r="P314">
        <v>9</v>
      </c>
      <c r="Q314">
        <v>7</v>
      </c>
      <c r="R314">
        <v>2</v>
      </c>
      <c r="S314">
        <v>9</v>
      </c>
      <c r="T314">
        <v>7</v>
      </c>
      <c r="U314">
        <v>2</v>
      </c>
      <c r="V314">
        <v>7</v>
      </c>
      <c r="W314">
        <v>7</v>
      </c>
      <c r="X314">
        <v>0</v>
      </c>
      <c r="Y314">
        <v>9</v>
      </c>
      <c r="Z314">
        <v>8</v>
      </c>
      <c r="AA314">
        <v>1</v>
      </c>
      <c r="AB314">
        <v>8</v>
      </c>
      <c r="AC314">
        <v>5</v>
      </c>
      <c r="AD314">
        <v>3</v>
      </c>
      <c r="AE314">
        <v>7</v>
      </c>
      <c r="AF314">
        <v>5</v>
      </c>
      <c r="AG314">
        <v>2</v>
      </c>
      <c r="AH314">
        <v>8</v>
      </c>
      <c r="AI314">
        <v>8</v>
      </c>
      <c r="AJ314">
        <v>0</v>
      </c>
      <c r="AK314" t="s">
        <v>3016</v>
      </c>
      <c r="AL314" t="s">
        <v>3017</v>
      </c>
      <c r="AM314" t="s">
        <v>3018</v>
      </c>
      <c r="AN314" t="s">
        <v>3019</v>
      </c>
      <c r="AO314" t="s">
        <v>3020</v>
      </c>
      <c r="AP314" t="s">
        <v>3021</v>
      </c>
      <c r="AQ314" t="s">
        <v>3022</v>
      </c>
      <c r="AR314" t="s">
        <v>3023</v>
      </c>
      <c r="AS314" t="s">
        <v>3024</v>
      </c>
    </row>
    <row r="315" spans="1:45" x14ac:dyDescent="0.45">
      <c r="A315">
        <v>314</v>
      </c>
      <c r="B315">
        <v>2339</v>
      </c>
      <c r="C315" t="s">
        <v>72</v>
      </c>
      <c r="D315" t="s">
        <v>189</v>
      </c>
      <c r="E315" t="s">
        <v>74</v>
      </c>
      <c r="F315" t="s">
        <v>77</v>
      </c>
      <c r="G315" t="s">
        <v>76</v>
      </c>
      <c r="H315">
        <v>14.941510733534926</v>
      </c>
      <c r="I315">
        <v>0</v>
      </c>
      <c r="J315">
        <v>7</v>
      </c>
      <c r="K315">
        <v>7</v>
      </c>
      <c r="L315">
        <v>0</v>
      </c>
      <c r="M315">
        <v>6</v>
      </c>
      <c r="N315">
        <v>8</v>
      </c>
      <c r="O315">
        <v>-2</v>
      </c>
      <c r="P315">
        <v>8</v>
      </c>
      <c r="Q315">
        <v>8</v>
      </c>
      <c r="R315">
        <v>0</v>
      </c>
      <c r="S315">
        <v>9</v>
      </c>
      <c r="T315">
        <v>8</v>
      </c>
      <c r="U315">
        <v>1</v>
      </c>
      <c r="V315">
        <v>8</v>
      </c>
      <c r="W315">
        <v>5</v>
      </c>
      <c r="X315">
        <v>3</v>
      </c>
      <c r="Y315">
        <v>9</v>
      </c>
      <c r="Z315">
        <v>8</v>
      </c>
      <c r="AA315">
        <v>1</v>
      </c>
      <c r="AB315">
        <v>8</v>
      </c>
      <c r="AC315">
        <v>6</v>
      </c>
      <c r="AD315">
        <v>2</v>
      </c>
      <c r="AE315">
        <v>7</v>
      </c>
      <c r="AF315">
        <v>6</v>
      </c>
      <c r="AG315">
        <v>1</v>
      </c>
      <c r="AH315">
        <v>9</v>
      </c>
      <c r="AI315">
        <v>8</v>
      </c>
      <c r="AJ315">
        <v>1</v>
      </c>
      <c r="AK315" t="s">
        <v>3025</v>
      </c>
      <c r="AL315" t="s">
        <v>3026</v>
      </c>
      <c r="AM315" t="s">
        <v>3027</v>
      </c>
      <c r="AN315" t="s">
        <v>3028</v>
      </c>
      <c r="AO315" t="s">
        <v>3029</v>
      </c>
      <c r="AP315" t="s">
        <v>3030</v>
      </c>
      <c r="AQ315" t="s">
        <v>3031</v>
      </c>
      <c r="AR315" t="s">
        <v>3032</v>
      </c>
      <c r="AS315" t="s">
        <v>3033</v>
      </c>
    </row>
    <row r="316" spans="1:45" x14ac:dyDescent="0.45">
      <c r="A316">
        <v>315</v>
      </c>
      <c r="B316">
        <v>2340</v>
      </c>
      <c r="C316" t="s">
        <v>78</v>
      </c>
      <c r="D316" t="s">
        <v>189</v>
      </c>
      <c r="E316" t="s">
        <v>74</v>
      </c>
      <c r="F316" t="s">
        <v>77</v>
      </c>
      <c r="G316" t="s">
        <v>76</v>
      </c>
      <c r="H316">
        <v>18.147151481633205</v>
      </c>
      <c r="I316">
        <v>0</v>
      </c>
      <c r="J316">
        <v>6</v>
      </c>
      <c r="K316">
        <v>4</v>
      </c>
      <c r="L316">
        <v>2</v>
      </c>
      <c r="M316">
        <v>8</v>
      </c>
      <c r="N316">
        <v>5</v>
      </c>
      <c r="O316">
        <v>3</v>
      </c>
      <c r="P316">
        <v>7</v>
      </c>
      <c r="Q316">
        <v>5</v>
      </c>
      <c r="R316">
        <v>2</v>
      </c>
      <c r="S316">
        <v>8</v>
      </c>
      <c r="T316">
        <v>7</v>
      </c>
      <c r="U316">
        <v>1</v>
      </c>
      <c r="V316">
        <v>6</v>
      </c>
      <c r="W316">
        <v>5</v>
      </c>
      <c r="X316">
        <v>1</v>
      </c>
      <c r="Y316">
        <v>9</v>
      </c>
      <c r="Z316">
        <v>8</v>
      </c>
      <c r="AA316">
        <v>1</v>
      </c>
      <c r="AB316">
        <v>6</v>
      </c>
      <c r="AC316">
        <v>5</v>
      </c>
      <c r="AD316">
        <v>1</v>
      </c>
      <c r="AE316">
        <v>7</v>
      </c>
      <c r="AF316">
        <v>6</v>
      </c>
      <c r="AG316">
        <v>1</v>
      </c>
      <c r="AH316">
        <v>8</v>
      </c>
      <c r="AI316">
        <v>8</v>
      </c>
      <c r="AJ316">
        <v>0</v>
      </c>
      <c r="AK316" t="s">
        <v>3034</v>
      </c>
      <c r="AL316" t="s">
        <v>3035</v>
      </c>
      <c r="AM316" t="s">
        <v>3036</v>
      </c>
      <c r="AN316" t="s">
        <v>3037</v>
      </c>
      <c r="AO316" t="s">
        <v>3038</v>
      </c>
      <c r="AP316" t="s">
        <v>3039</v>
      </c>
      <c r="AQ316" t="s">
        <v>3040</v>
      </c>
      <c r="AR316" t="s">
        <v>3041</v>
      </c>
      <c r="AS316" t="s">
        <v>3042</v>
      </c>
    </row>
    <row r="317" spans="1:45" x14ac:dyDescent="0.45">
      <c r="A317">
        <v>316</v>
      </c>
      <c r="B317">
        <v>2341</v>
      </c>
      <c r="C317" t="s">
        <v>72</v>
      </c>
      <c r="D317" t="s">
        <v>81</v>
      </c>
      <c r="E317" t="s">
        <v>74</v>
      </c>
      <c r="F317" t="s">
        <v>77</v>
      </c>
      <c r="G317" t="s">
        <v>76</v>
      </c>
      <c r="H317">
        <v>27.924161228114286</v>
      </c>
      <c r="I317">
        <v>0</v>
      </c>
      <c r="J317">
        <v>6</v>
      </c>
      <c r="K317">
        <v>6</v>
      </c>
      <c r="L317">
        <v>0</v>
      </c>
      <c r="M317">
        <v>7</v>
      </c>
      <c r="N317">
        <v>8</v>
      </c>
      <c r="O317">
        <v>-1</v>
      </c>
      <c r="P317">
        <v>8</v>
      </c>
      <c r="Q317">
        <v>5</v>
      </c>
      <c r="R317">
        <v>3</v>
      </c>
      <c r="S317">
        <v>9</v>
      </c>
      <c r="T317">
        <v>6</v>
      </c>
      <c r="U317">
        <v>3</v>
      </c>
      <c r="V317">
        <v>7</v>
      </c>
      <c r="W317">
        <v>6</v>
      </c>
      <c r="X317">
        <v>1</v>
      </c>
      <c r="Y317">
        <v>8</v>
      </c>
      <c r="Z317">
        <v>7</v>
      </c>
      <c r="AA317">
        <v>1</v>
      </c>
      <c r="AB317">
        <v>9</v>
      </c>
      <c r="AC317">
        <v>6</v>
      </c>
      <c r="AD317">
        <v>3</v>
      </c>
      <c r="AE317">
        <v>8</v>
      </c>
      <c r="AF317">
        <v>7</v>
      </c>
      <c r="AG317">
        <v>1</v>
      </c>
      <c r="AH317">
        <v>9</v>
      </c>
      <c r="AI317">
        <v>7</v>
      </c>
      <c r="AJ317">
        <v>2</v>
      </c>
      <c r="AK317" t="s">
        <v>3043</v>
      </c>
      <c r="AL317" t="s">
        <v>3044</v>
      </c>
      <c r="AM317" t="s">
        <v>3045</v>
      </c>
      <c r="AN317" t="s">
        <v>3046</v>
      </c>
      <c r="AO317" t="s">
        <v>3047</v>
      </c>
      <c r="AP317" t="s">
        <v>3048</v>
      </c>
      <c r="AQ317" t="s">
        <v>3049</v>
      </c>
      <c r="AR317" t="s">
        <v>3050</v>
      </c>
      <c r="AS317" t="s">
        <v>3051</v>
      </c>
    </row>
    <row r="318" spans="1:45" x14ac:dyDescent="0.45">
      <c r="A318">
        <v>317</v>
      </c>
      <c r="B318">
        <v>2342</v>
      </c>
      <c r="C318" t="s">
        <v>72</v>
      </c>
      <c r="D318" t="s">
        <v>189</v>
      </c>
      <c r="E318" t="s">
        <v>74</v>
      </c>
      <c r="F318" t="s">
        <v>77</v>
      </c>
      <c r="G318" t="s">
        <v>76</v>
      </c>
      <c r="H318">
        <v>15.942029005992792</v>
      </c>
      <c r="I318">
        <v>0</v>
      </c>
      <c r="J318">
        <v>8</v>
      </c>
      <c r="K318">
        <v>7</v>
      </c>
      <c r="L318">
        <v>1</v>
      </c>
      <c r="M318">
        <v>9</v>
      </c>
      <c r="N318">
        <v>7</v>
      </c>
      <c r="O318">
        <v>2</v>
      </c>
      <c r="P318">
        <v>8</v>
      </c>
      <c r="Q318">
        <v>5</v>
      </c>
      <c r="R318">
        <v>3</v>
      </c>
      <c r="S318">
        <v>9</v>
      </c>
      <c r="T318">
        <v>8</v>
      </c>
      <c r="U318">
        <v>1</v>
      </c>
      <c r="V318">
        <v>8</v>
      </c>
      <c r="W318">
        <v>5</v>
      </c>
      <c r="X318">
        <v>3</v>
      </c>
      <c r="Y318">
        <v>9</v>
      </c>
      <c r="Z318">
        <v>8</v>
      </c>
      <c r="AA318">
        <v>1</v>
      </c>
      <c r="AB318">
        <v>8</v>
      </c>
      <c r="AC318">
        <v>5</v>
      </c>
      <c r="AD318">
        <v>3</v>
      </c>
      <c r="AE318">
        <v>8</v>
      </c>
      <c r="AF318">
        <v>7</v>
      </c>
      <c r="AG318">
        <v>1</v>
      </c>
      <c r="AH318">
        <v>9</v>
      </c>
      <c r="AI318">
        <v>8</v>
      </c>
      <c r="AJ318">
        <v>1</v>
      </c>
      <c r="AK318" t="s">
        <v>3052</v>
      </c>
      <c r="AL318" t="s">
        <v>3053</v>
      </c>
      <c r="AM318" t="s">
        <v>3054</v>
      </c>
      <c r="AN318" t="s">
        <v>3055</v>
      </c>
      <c r="AO318" t="s">
        <v>3056</v>
      </c>
      <c r="AP318" t="s">
        <v>3057</v>
      </c>
      <c r="AQ318" t="s">
        <v>3058</v>
      </c>
      <c r="AR318" t="s">
        <v>3059</v>
      </c>
      <c r="AS318" t="s">
        <v>3060</v>
      </c>
    </row>
    <row r="319" spans="1:45" x14ac:dyDescent="0.45">
      <c r="A319">
        <v>318</v>
      </c>
      <c r="B319">
        <v>2343</v>
      </c>
      <c r="C319" t="s">
        <v>72</v>
      </c>
      <c r="D319" t="s">
        <v>81</v>
      </c>
      <c r="E319" t="s">
        <v>74</v>
      </c>
      <c r="F319" t="s">
        <v>75</v>
      </c>
      <c r="G319" t="s">
        <v>76</v>
      </c>
      <c r="H319">
        <v>19.923113209322679</v>
      </c>
      <c r="I319">
        <v>0</v>
      </c>
      <c r="J319">
        <v>7</v>
      </c>
      <c r="K319">
        <v>4</v>
      </c>
      <c r="L319">
        <v>3</v>
      </c>
      <c r="M319">
        <v>8</v>
      </c>
      <c r="N319">
        <v>4</v>
      </c>
      <c r="O319">
        <v>4</v>
      </c>
      <c r="P319">
        <v>9</v>
      </c>
      <c r="Q319">
        <v>6</v>
      </c>
      <c r="R319">
        <v>3</v>
      </c>
      <c r="S319">
        <v>10</v>
      </c>
      <c r="T319">
        <v>7</v>
      </c>
      <c r="U319">
        <v>3</v>
      </c>
      <c r="V319">
        <v>8</v>
      </c>
      <c r="W319">
        <v>5</v>
      </c>
      <c r="X319">
        <v>3</v>
      </c>
      <c r="Y319">
        <v>9</v>
      </c>
      <c r="Z319">
        <v>8</v>
      </c>
      <c r="AA319">
        <v>1</v>
      </c>
      <c r="AB319">
        <v>8</v>
      </c>
      <c r="AC319">
        <v>5</v>
      </c>
      <c r="AD319">
        <v>3</v>
      </c>
      <c r="AE319">
        <v>7</v>
      </c>
      <c r="AF319">
        <v>5</v>
      </c>
      <c r="AG319">
        <v>2</v>
      </c>
      <c r="AH319">
        <v>9</v>
      </c>
      <c r="AI319">
        <v>8</v>
      </c>
      <c r="AJ319">
        <v>1</v>
      </c>
      <c r="AK319" t="s">
        <v>3061</v>
      </c>
      <c r="AL319" t="s">
        <v>3062</v>
      </c>
      <c r="AM319" t="s">
        <v>3063</v>
      </c>
      <c r="AN319" t="s">
        <v>3064</v>
      </c>
      <c r="AO319" t="s">
        <v>3065</v>
      </c>
      <c r="AP319" t="s">
        <v>3066</v>
      </c>
      <c r="AQ319" t="s">
        <v>3067</v>
      </c>
      <c r="AR319" t="s">
        <v>3068</v>
      </c>
      <c r="AS319" t="s">
        <v>3069</v>
      </c>
    </row>
    <row r="320" spans="1:45" x14ac:dyDescent="0.45">
      <c r="A320">
        <v>319</v>
      </c>
      <c r="B320">
        <v>2344</v>
      </c>
      <c r="C320" t="s">
        <v>72</v>
      </c>
      <c r="D320" t="s">
        <v>189</v>
      </c>
      <c r="E320" t="s">
        <v>74</v>
      </c>
      <c r="F320" t="s">
        <v>77</v>
      </c>
      <c r="G320" t="s">
        <v>76</v>
      </c>
      <c r="H320">
        <v>15.930593337444501</v>
      </c>
      <c r="I320">
        <v>0</v>
      </c>
      <c r="J320">
        <v>9</v>
      </c>
      <c r="K320">
        <v>8</v>
      </c>
      <c r="L320">
        <v>1</v>
      </c>
      <c r="M320">
        <v>8</v>
      </c>
      <c r="N320">
        <v>8</v>
      </c>
      <c r="O320">
        <v>0</v>
      </c>
      <c r="P320">
        <v>9</v>
      </c>
      <c r="Q320">
        <v>10</v>
      </c>
      <c r="R320">
        <v>-1</v>
      </c>
      <c r="S320">
        <v>8</v>
      </c>
      <c r="T320">
        <v>10</v>
      </c>
      <c r="U320">
        <v>-2</v>
      </c>
      <c r="V320">
        <v>9</v>
      </c>
      <c r="W320">
        <v>9</v>
      </c>
      <c r="X320">
        <v>0</v>
      </c>
      <c r="Y320">
        <v>8</v>
      </c>
      <c r="Z320">
        <v>10</v>
      </c>
      <c r="AA320">
        <v>-2</v>
      </c>
      <c r="AB320">
        <v>9</v>
      </c>
      <c r="AC320">
        <v>8</v>
      </c>
      <c r="AD320">
        <v>1</v>
      </c>
      <c r="AE320">
        <v>8</v>
      </c>
      <c r="AF320">
        <v>8</v>
      </c>
      <c r="AG320">
        <v>0</v>
      </c>
      <c r="AH320">
        <v>9</v>
      </c>
      <c r="AI320">
        <v>10</v>
      </c>
      <c r="AJ320">
        <v>-1</v>
      </c>
      <c r="AK320" t="s">
        <v>3070</v>
      </c>
      <c r="AL320" t="s">
        <v>3071</v>
      </c>
      <c r="AM320" t="s">
        <v>3072</v>
      </c>
      <c r="AN320" t="s">
        <v>3073</v>
      </c>
      <c r="AO320" t="s">
        <v>3074</v>
      </c>
      <c r="AP320" t="s">
        <v>3075</v>
      </c>
      <c r="AQ320" t="s">
        <v>3076</v>
      </c>
      <c r="AR320" t="s">
        <v>3077</v>
      </c>
      <c r="AS320" t="s">
        <v>3078</v>
      </c>
    </row>
    <row r="321" spans="1:45" x14ac:dyDescent="0.45">
      <c r="A321">
        <v>320</v>
      </c>
      <c r="B321">
        <v>2345</v>
      </c>
      <c r="C321" t="s">
        <v>78</v>
      </c>
      <c r="D321" t="s">
        <v>73</v>
      </c>
      <c r="E321" t="s">
        <v>74</v>
      </c>
      <c r="F321" t="s">
        <v>75</v>
      </c>
      <c r="G321" t="s">
        <v>76</v>
      </c>
      <c r="H321">
        <v>27.046570882408638</v>
      </c>
      <c r="I321">
        <v>0</v>
      </c>
      <c r="J321">
        <v>7</v>
      </c>
      <c r="K321">
        <v>5</v>
      </c>
      <c r="L321">
        <v>2</v>
      </c>
      <c r="M321">
        <v>8</v>
      </c>
      <c r="N321">
        <v>7</v>
      </c>
      <c r="O321">
        <v>1</v>
      </c>
      <c r="P321">
        <v>6</v>
      </c>
      <c r="Q321">
        <v>7</v>
      </c>
      <c r="R321">
        <v>-1</v>
      </c>
      <c r="S321">
        <v>7</v>
      </c>
      <c r="T321">
        <v>9</v>
      </c>
      <c r="U321">
        <v>-2</v>
      </c>
      <c r="V321">
        <v>8</v>
      </c>
      <c r="W321">
        <v>5</v>
      </c>
      <c r="X321">
        <v>3</v>
      </c>
      <c r="Y321">
        <v>9</v>
      </c>
      <c r="Z321">
        <v>6</v>
      </c>
      <c r="AA321">
        <v>3</v>
      </c>
      <c r="AB321">
        <v>7</v>
      </c>
      <c r="AC321">
        <v>5</v>
      </c>
      <c r="AD321">
        <v>2</v>
      </c>
      <c r="AE321">
        <v>8</v>
      </c>
      <c r="AF321">
        <v>7</v>
      </c>
      <c r="AG321">
        <v>1</v>
      </c>
      <c r="AH321">
        <v>9</v>
      </c>
      <c r="AI321">
        <v>7</v>
      </c>
      <c r="AJ321">
        <v>2</v>
      </c>
      <c r="AK321" t="s">
        <v>3079</v>
      </c>
      <c r="AL321" t="s">
        <v>3080</v>
      </c>
      <c r="AM321" t="s">
        <v>3081</v>
      </c>
      <c r="AN321" t="s">
        <v>3082</v>
      </c>
      <c r="AO321" t="s">
        <v>3083</v>
      </c>
      <c r="AP321" t="s">
        <v>3084</v>
      </c>
      <c r="AQ321" t="s">
        <v>3085</v>
      </c>
      <c r="AR321" t="s">
        <v>3086</v>
      </c>
      <c r="AS321" t="s">
        <v>3087</v>
      </c>
    </row>
    <row r="322" spans="1:45" x14ac:dyDescent="0.45">
      <c r="A322">
        <v>321</v>
      </c>
      <c r="B322">
        <v>2346</v>
      </c>
      <c r="C322" t="s">
        <v>72</v>
      </c>
      <c r="D322" t="s">
        <v>189</v>
      </c>
      <c r="E322" t="s">
        <v>74</v>
      </c>
      <c r="F322" t="s">
        <v>77</v>
      </c>
      <c r="G322" t="s">
        <v>76</v>
      </c>
      <c r="H322">
        <v>13.29466550493764</v>
      </c>
      <c r="I322">
        <v>0</v>
      </c>
      <c r="J322">
        <v>7</v>
      </c>
      <c r="K322">
        <v>8</v>
      </c>
      <c r="L322">
        <v>-1</v>
      </c>
      <c r="M322">
        <v>6</v>
      </c>
      <c r="N322">
        <v>8</v>
      </c>
      <c r="O322">
        <v>-2</v>
      </c>
      <c r="P322">
        <v>9</v>
      </c>
      <c r="Q322">
        <v>7</v>
      </c>
      <c r="R322">
        <v>2</v>
      </c>
      <c r="S322">
        <v>9</v>
      </c>
      <c r="T322">
        <v>9</v>
      </c>
      <c r="U322">
        <v>0</v>
      </c>
      <c r="V322">
        <v>8</v>
      </c>
      <c r="W322">
        <v>9</v>
      </c>
      <c r="X322">
        <v>-1</v>
      </c>
      <c r="Y322">
        <v>9</v>
      </c>
      <c r="Z322">
        <v>9</v>
      </c>
      <c r="AA322">
        <v>0</v>
      </c>
      <c r="AB322">
        <v>8</v>
      </c>
      <c r="AC322">
        <v>7</v>
      </c>
      <c r="AD322">
        <v>1</v>
      </c>
      <c r="AE322">
        <v>9</v>
      </c>
      <c r="AF322">
        <v>9</v>
      </c>
      <c r="AG322">
        <v>0</v>
      </c>
      <c r="AH322">
        <v>8</v>
      </c>
      <c r="AI322">
        <v>9</v>
      </c>
      <c r="AJ322">
        <v>-1</v>
      </c>
      <c r="AK322" t="s">
        <v>3088</v>
      </c>
      <c r="AL322" t="s">
        <v>3089</v>
      </c>
      <c r="AM322" t="s">
        <v>3090</v>
      </c>
      <c r="AN322" t="s">
        <v>3091</v>
      </c>
      <c r="AO322" t="s">
        <v>3092</v>
      </c>
      <c r="AP322" t="s">
        <v>3093</v>
      </c>
      <c r="AQ322" t="s">
        <v>3094</v>
      </c>
      <c r="AR322" t="s">
        <v>3095</v>
      </c>
      <c r="AS322" t="s">
        <v>3096</v>
      </c>
    </row>
    <row r="323" spans="1:45" x14ac:dyDescent="0.45">
      <c r="A323">
        <v>322</v>
      </c>
      <c r="B323">
        <v>2347</v>
      </c>
      <c r="C323" t="s">
        <v>78</v>
      </c>
      <c r="D323" t="s">
        <v>81</v>
      </c>
      <c r="E323" t="s">
        <v>74</v>
      </c>
      <c r="F323" t="s">
        <v>77</v>
      </c>
      <c r="G323" t="s">
        <v>76</v>
      </c>
      <c r="H323">
        <v>25.004337059616322</v>
      </c>
      <c r="I323">
        <v>0</v>
      </c>
      <c r="J323">
        <v>6</v>
      </c>
      <c r="K323">
        <v>5</v>
      </c>
      <c r="L323">
        <v>1</v>
      </c>
      <c r="M323">
        <v>7</v>
      </c>
      <c r="N323">
        <v>5</v>
      </c>
      <c r="O323">
        <v>2</v>
      </c>
      <c r="P323">
        <v>8</v>
      </c>
      <c r="Q323">
        <v>5</v>
      </c>
      <c r="R323">
        <v>3</v>
      </c>
      <c r="S323">
        <v>9</v>
      </c>
      <c r="T323">
        <v>7</v>
      </c>
      <c r="U323">
        <v>2</v>
      </c>
      <c r="V323">
        <v>8</v>
      </c>
      <c r="W323">
        <v>5</v>
      </c>
      <c r="X323">
        <v>3</v>
      </c>
      <c r="Y323">
        <v>9</v>
      </c>
      <c r="Z323">
        <v>7</v>
      </c>
      <c r="AA323">
        <v>2</v>
      </c>
      <c r="AB323">
        <v>8</v>
      </c>
      <c r="AC323">
        <v>5</v>
      </c>
      <c r="AD323">
        <v>3</v>
      </c>
      <c r="AE323">
        <v>7</v>
      </c>
      <c r="AF323">
        <v>5</v>
      </c>
      <c r="AG323">
        <v>2</v>
      </c>
      <c r="AH323">
        <v>9</v>
      </c>
      <c r="AI323">
        <v>7</v>
      </c>
      <c r="AJ323">
        <v>2</v>
      </c>
      <c r="AK323" t="s">
        <v>3097</v>
      </c>
      <c r="AL323" t="s">
        <v>3098</v>
      </c>
      <c r="AM323" t="s">
        <v>3099</v>
      </c>
      <c r="AN323" t="s">
        <v>3100</v>
      </c>
      <c r="AO323" t="s">
        <v>3101</v>
      </c>
      <c r="AP323" t="s">
        <v>3102</v>
      </c>
      <c r="AQ323" t="s">
        <v>3103</v>
      </c>
      <c r="AR323" t="s">
        <v>3104</v>
      </c>
      <c r="AS323" t="s">
        <v>3105</v>
      </c>
    </row>
    <row r="324" spans="1:45" x14ac:dyDescent="0.45">
      <c r="A324">
        <v>323</v>
      </c>
      <c r="B324">
        <v>2348</v>
      </c>
      <c r="C324" t="s">
        <v>78</v>
      </c>
      <c r="D324" t="s">
        <v>81</v>
      </c>
      <c r="E324" t="s">
        <v>74</v>
      </c>
      <c r="F324" t="s">
        <v>75</v>
      </c>
      <c r="G324" t="s">
        <v>76</v>
      </c>
      <c r="H324">
        <v>25.150180413929945</v>
      </c>
      <c r="I324">
        <v>0</v>
      </c>
      <c r="J324">
        <v>6</v>
      </c>
      <c r="K324">
        <v>7</v>
      </c>
      <c r="L324">
        <v>-1</v>
      </c>
      <c r="M324">
        <v>7</v>
      </c>
      <c r="N324">
        <v>7</v>
      </c>
      <c r="O324">
        <v>0</v>
      </c>
      <c r="P324">
        <v>9</v>
      </c>
      <c r="Q324">
        <v>8</v>
      </c>
      <c r="R324">
        <v>1</v>
      </c>
      <c r="S324">
        <v>9</v>
      </c>
      <c r="T324">
        <v>8</v>
      </c>
      <c r="U324">
        <v>1</v>
      </c>
      <c r="V324">
        <v>8</v>
      </c>
      <c r="W324">
        <v>6</v>
      </c>
      <c r="X324">
        <v>2</v>
      </c>
      <c r="Y324">
        <v>9</v>
      </c>
      <c r="Z324">
        <v>7</v>
      </c>
      <c r="AA324">
        <v>2</v>
      </c>
      <c r="AB324">
        <v>8</v>
      </c>
      <c r="AC324">
        <v>6</v>
      </c>
      <c r="AD324">
        <v>2</v>
      </c>
      <c r="AE324">
        <v>7</v>
      </c>
      <c r="AF324">
        <v>7</v>
      </c>
      <c r="AG324">
        <v>0</v>
      </c>
      <c r="AH324">
        <v>9</v>
      </c>
      <c r="AI324">
        <v>7</v>
      </c>
      <c r="AJ324">
        <v>2</v>
      </c>
      <c r="AK324" t="s">
        <v>3106</v>
      </c>
      <c r="AL324" t="s">
        <v>3107</v>
      </c>
      <c r="AM324" t="s">
        <v>3108</v>
      </c>
      <c r="AN324" t="s">
        <v>3109</v>
      </c>
      <c r="AO324" t="s">
        <v>3110</v>
      </c>
      <c r="AP324" t="s">
        <v>3111</v>
      </c>
      <c r="AQ324" t="s">
        <v>3112</v>
      </c>
      <c r="AR324" t="s">
        <v>3113</v>
      </c>
      <c r="AS324" t="s">
        <v>3114</v>
      </c>
    </row>
    <row r="325" spans="1:45" x14ac:dyDescent="0.45">
      <c r="A325">
        <v>324</v>
      </c>
      <c r="B325">
        <v>2349</v>
      </c>
      <c r="C325" t="s">
        <v>72</v>
      </c>
      <c r="D325" t="s">
        <v>189</v>
      </c>
      <c r="E325" t="s">
        <v>74</v>
      </c>
      <c r="F325" t="s">
        <v>77</v>
      </c>
      <c r="G325" t="s">
        <v>76</v>
      </c>
      <c r="H325">
        <v>12</v>
      </c>
      <c r="I325">
        <v>0</v>
      </c>
      <c r="J325">
        <v>6</v>
      </c>
      <c r="K325">
        <v>7</v>
      </c>
      <c r="L325">
        <v>-1</v>
      </c>
      <c r="M325">
        <v>7</v>
      </c>
      <c r="N325">
        <v>7</v>
      </c>
      <c r="O325">
        <v>0</v>
      </c>
      <c r="P325">
        <v>8</v>
      </c>
      <c r="Q325">
        <v>5</v>
      </c>
      <c r="R325">
        <v>3</v>
      </c>
      <c r="S325">
        <v>9</v>
      </c>
      <c r="T325">
        <v>7</v>
      </c>
      <c r="U325">
        <v>2</v>
      </c>
      <c r="V325">
        <v>8</v>
      </c>
      <c r="W325">
        <v>7</v>
      </c>
      <c r="X325">
        <v>1</v>
      </c>
      <c r="Y325">
        <v>9</v>
      </c>
      <c r="Z325">
        <v>7</v>
      </c>
      <c r="AA325">
        <v>2</v>
      </c>
      <c r="AB325">
        <v>8</v>
      </c>
      <c r="AC325">
        <v>5</v>
      </c>
      <c r="AD325">
        <v>3</v>
      </c>
      <c r="AE325">
        <v>9</v>
      </c>
      <c r="AF325">
        <v>5</v>
      </c>
      <c r="AG325">
        <v>4</v>
      </c>
      <c r="AH325">
        <v>8</v>
      </c>
      <c r="AI325">
        <v>8</v>
      </c>
      <c r="AJ325">
        <v>0</v>
      </c>
      <c r="AK325" t="s">
        <v>3115</v>
      </c>
      <c r="AL325" t="s">
        <v>3116</v>
      </c>
      <c r="AM325" t="s">
        <v>3117</v>
      </c>
      <c r="AN325" t="s">
        <v>3118</v>
      </c>
      <c r="AO325" t="s">
        <v>3119</v>
      </c>
      <c r="AP325" t="s">
        <v>3120</v>
      </c>
      <c r="AQ325" t="s">
        <v>3121</v>
      </c>
      <c r="AR325" t="s">
        <v>3122</v>
      </c>
      <c r="AS325" t="s">
        <v>3123</v>
      </c>
    </row>
    <row r="326" spans="1:45" x14ac:dyDescent="0.45">
      <c r="A326">
        <v>325</v>
      </c>
      <c r="B326">
        <v>2350</v>
      </c>
      <c r="C326" t="s">
        <v>78</v>
      </c>
      <c r="D326" t="s">
        <v>73</v>
      </c>
      <c r="E326" t="s">
        <v>74</v>
      </c>
      <c r="F326" t="s">
        <v>77</v>
      </c>
      <c r="G326" t="s">
        <v>76</v>
      </c>
      <c r="H326">
        <v>44.843044961302333</v>
      </c>
      <c r="I326">
        <v>1</v>
      </c>
      <c r="J326">
        <v>7</v>
      </c>
      <c r="K326">
        <v>2</v>
      </c>
      <c r="L326">
        <v>5</v>
      </c>
      <c r="M326">
        <v>8</v>
      </c>
      <c r="N326">
        <v>2</v>
      </c>
      <c r="O326">
        <v>6</v>
      </c>
      <c r="P326">
        <v>9</v>
      </c>
      <c r="Q326">
        <v>6</v>
      </c>
      <c r="R326">
        <v>3</v>
      </c>
      <c r="S326">
        <v>8</v>
      </c>
      <c r="T326">
        <v>7</v>
      </c>
      <c r="U326">
        <v>1</v>
      </c>
      <c r="V326">
        <v>7</v>
      </c>
      <c r="W326">
        <v>2</v>
      </c>
      <c r="X326">
        <v>5</v>
      </c>
      <c r="Y326">
        <v>8</v>
      </c>
      <c r="Z326">
        <v>5</v>
      </c>
      <c r="AA326">
        <v>3</v>
      </c>
      <c r="AB326">
        <v>7</v>
      </c>
      <c r="AC326">
        <v>5</v>
      </c>
      <c r="AD326">
        <v>2</v>
      </c>
      <c r="AE326">
        <v>6</v>
      </c>
      <c r="AF326">
        <v>6</v>
      </c>
      <c r="AG326">
        <v>0</v>
      </c>
      <c r="AH326">
        <v>9</v>
      </c>
      <c r="AI326">
        <v>5</v>
      </c>
      <c r="AJ326">
        <v>4</v>
      </c>
      <c r="AK326" t="s">
        <v>3124</v>
      </c>
      <c r="AL326" t="s">
        <v>3125</v>
      </c>
      <c r="AM326" t="s">
        <v>3126</v>
      </c>
      <c r="AN326" t="s">
        <v>3127</v>
      </c>
      <c r="AO326" t="s">
        <v>3128</v>
      </c>
      <c r="AP326" t="s">
        <v>3129</v>
      </c>
      <c r="AQ326" t="s">
        <v>3130</v>
      </c>
      <c r="AR326" t="s">
        <v>3131</v>
      </c>
      <c r="AS326" t="s">
        <v>3132</v>
      </c>
    </row>
    <row r="327" spans="1:45" x14ac:dyDescent="0.45">
      <c r="A327">
        <v>326</v>
      </c>
      <c r="B327">
        <v>2351</v>
      </c>
      <c r="C327" t="s">
        <v>72</v>
      </c>
      <c r="D327" t="s">
        <v>79</v>
      </c>
      <c r="E327" t="s">
        <v>74</v>
      </c>
      <c r="F327" t="s">
        <v>77</v>
      </c>
      <c r="G327" t="s">
        <v>76</v>
      </c>
      <c r="H327">
        <v>57.24898604320979</v>
      </c>
      <c r="I327">
        <v>2</v>
      </c>
      <c r="J327">
        <v>8</v>
      </c>
      <c r="K327">
        <v>8</v>
      </c>
      <c r="L327">
        <v>0</v>
      </c>
      <c r="M327">
        <v>7</v>
      </c>
      <c r="N327">
        <v>9</v>
      </c>
      <c r="O327">
        <v>-2</v>
      </c>
      <c r="P327">
        <v>6</v>
      </c>
      <c r="Q327">
        <v>9</v>
      </c>
      <c r="R327">
        <v>-3</v>
      </c>
      <c r="S327">
        <v>9</v>
      </c>
      <c r="T327">
        <v>10</v>
      </c>
      <c r="U327">
        <v>-1</v>
      </c>
      <c r="V327">
        <v>7</v>
      </c>
      <c r="W327">
        <v>8</v>
      </c>
      <c r="X327">
        <v>-1</v>
      </c>
      <c r="Y327">
        <v>8</v>
      </c>
      <c r="Z327">
        <v>10</v>
      </c>
      <c r="AA327">
        <v>-2</v>
      </c>
      <c r="AB327">
        <v>7</v>
      </c>
      <c r="AC327">
        <v>9</v>
      </c>
      <c r="AD327">
        <v>-2</v>
      </c>
      <c r="AE327">
        <v>6</v>
      </c>
      <c r="AF327">
        <v>9</v>
      </c>
      <c r="AG327">
        <v>-3</v>
      </c>
      <c r="AH327">
        <v>9</v>
      </c>
      <c r="AI327">
        <v>10</v>
      </c>
      <c r="AJ327">
        <v>-1</v>
      </c>
      <c r="AK327" t="s">
        <v>3133</v>
      </c>
      <c r="AL327" t="s">
        <v>3134</v>
      </c>
      <c r="AM327" t="s">
        <v>3135</v>
      </c>
      <c r="AN327" t="s">
        <v>3136</v>
      </c>
      <c r="AO327" t="s">
        <v>3137</v>
      </c>
      <c r="AP327" t="s">
        <v>3138</v>
      </c>
      <c r="AQ327" t="s">
        <v>3139</v>
      </c>
      <c r="AR327" t="s">
        <v>3140</v>
      </c>
      <c r="AS327" t="s">
        <v>3141</v>
      </c>
    </row>
    <row r="328" spans="1:45" x14ac:dyDescent="0.45">
      <c r="A328">
        <v>327</v>
      </c>
      <c r="B328">
        <v>2352</v>
      </c>
      <c r="C328" t="s">
        <v>72</v>
      </c>
      <c r="D328" t="s">
        <v>81</v>
      </c>
      <c r="E328" t="s">
        <v>74</v>
      </c>
      <c r="F328" t="s">
        <v>77</v>
      </c>
      <c r="G328" t="s">
        <v>76</v>
      </c>
      <c r="H328">
        <v>20.600351889527197</v>
      </c>
      <c r="I328">
        <v>0</v>
      </c>
      <c r="J328">
        <v>6</v>
      </c>
      <c r="K328">
        <v>7</v>
      </c>
      <c r="L328">
        <v>-1</v>
      </c>
      <c r="M328">
        <v>7</v>
      </c>
      <c r="N328">
        <v>7</v>
      </c>
      <c r="O328">
        <v>0</v>
      </c>
      <c r="P328">
        <v>9</v>
      </c>
      <c r="Q328">
        <v>7</v>
      </c>
      <c r="R328">
        <v>2</v>
      </c>
      <c r="S328">
        <v>10</v>
      </c>
      <c r="T328">
        <v>9</v>
      </c>
      <c r="U328">
        <v>1</v>
      </c>
      <c r="V328">
        <v>7</v>
      </c>
      <c r="W328">
        <v>7</v>
      </c>
      <c r="X328">
        <v>0</v>
      </c>
      <c r="Y328">
        <v>8</v>
      </c>
      <c r="Z328">
        <v>8</v>
      </c>
      <c r="AA328">
        <v>0</v>
      </c>
      <c r="AB328">
        <v>6</v>
      </c>
      <c r="AC328">
        <v>5</v>
      </c>
      <c r="AD328">
        <v>1</v>
      </c>
      <c r="AE328">
        <v>7</v>
      </c>
      <c r="AF328">
        <v>7</v>
      </c>
      <c r="AG328">
        <v>0</v>
      </c>
      <c r="AH328">
        <v>8</v>
      </c>
      <c r="AI328">
        <v>8</v>
      </c>
      <c r="AJ328">
        <v>0</v>
      </c>
      <c r="AK328" t="s">
        <v>3142</v>
      </c>
      <c r="AL328" t="s">
        <v>3143</v>
      </c>
      <c r="AM328" t="s">
        <v>3144</v>
      </c>
      <c r="AN328" t="s">
        <v>3145</v>
      </c>
      <c r="AO328" t="s">
        <v>3146</v>
      </c>
      <c r="AP328" t="s">
        <v>3147</v>
      </c>
      <c r="AQ328" t="s">
        <v>3148</v>
      </c>
      <c r="AR328" t="s">
        <v>3149</v>
      </c>
      <c r="AS328" t="s">
        <v>3150</v>
      </c>
    </row>
    <row r="329" spans="1:45" x14ac:dyDescent="0.45">
      <c r="A329">
        <v>328</v>
      </c>
      <c r="B329">
        <v>2353</v>
      </c>
      <c r="C329" t="s">
        <v>78</v>
      </c>
      <c r="D329" t="s">
        <v>79</v>
      </c>
      <c r="E329" t="s">
        <v>74</v>
      </c>
      <c r="F329" t="s">
        <v>75</v>
      </c>
      <c r="G329" t="s">
        <v>76</v>
      </c>
      <c r="H329">
        <v>94.658327303822261</v>
      </c>
      <c r="I329">
        <v>3</v>
      </c>
      <c r="J329">
        <v>8</v>
      </c>
      <c r="K329">
        <v>7</v>
      </c>
      <c r="L329">
        <v>1</v>
      </c>
      <c r="M329">
        <v>7</v>
      </c>
      <c r="N329">
        <v>8</v>
      </c>
      <c r="O329">
        <v>-1</v>
      </c>
      <c r="P329">
        <v>9</v>
      </c>
      <c r="Q329">
        <v>9</v>
      </c>
      <c r="R329">
        <v>0</v>
      </c>
      <c r="S329">
        <v>8</v>
      </c>
      <c r="T329">
        <v>9</v>
      </c>
      <c r="U329">
        <v>-1</v>
      </c>
      <c r="V329">
        <v>9</v>
      </c>
      <c r="W329">
        <v>9</v>
      </c>
      <c r="X329">
        <v>0</v>
      </c>
      <c r="Y329">
        <v>8</v>
      </c>
      <c r="Z329">
        <v>8</v>
      </c>
      <c r="AA329">
        <v>0</v>
      </c>
      <c r="AB329">
        <v>9</v>
      </c>
      <c r="AC329">
        <v>7</v>
      </c>
      <c r="AD329">
        <v>2</v>
      </c>
      <c r="AE329">
        <v>8</v>
      </c>
      <c r="AF329">
        <v>7</v>
      </c>
      <c r="AG329">
        <v>1</v>
      </c>
      <c r="AH329">
        <v>9</v>
      </c>
      <c r="AI329">
        <v>9</v>
      </c>
      <c r="AJ329">
        <v>0</v>
      </c>
      <c r="AK329" t="s">
        <v>3151</v>
      </c>
      <c r="AL329" t="s">
        <v>3152</v>
      </c>
      <c r="AM329" t="s">
        <v>3153</v>
      </c>
      <c r="AN329" t="s">
        <v>1931</v>
      </c>
      <c r="AO329" t="s">
        <v>3154</v>
      </c>
      <c r="AP329" t="s">
        <v>3155</v>
      </c>
      <c r="AQ329" t="s">
        <v>3156</v>
      </c>
      <c r="AR329" t="s">
        <v>265</v>
      </c>
      <c r="AS329" t="s">
        <v>3157</v>
      </c>
    </row>
    <row r="330" spans="1:45" x14ac:dyDescent="0.45">
      <c r="A330">
        <v>329</v>
      </c>
      <c r="B330">
        <v>2354</v>
      </c>
      <c r="C330" t="s">
        <v>72</v>
      </c>
      <c r="D330" t="s">
        <v>81</v>
      </c>
      <c r="E330" t="s">
        <v>74</v>
      </c>
      <c r="F330" t="s">
        <v>77</v>
      </c>
      <c r="G330" t="s">
        <v>76</v>
      </c>
      <c r="H330">
        <v>12.906355014656938</v>
      </c>
      <c r="I330">
        <v>0</v>
      </c>
      <c r="J330">
        <v>7</v>
      </c>
      <c r="K330">
        <v>7</v>
      </c>
      <c r="L330">
        <v>0</v>
      </c>
      <c r="M330">
        <v>7</v>
      </c>
      <c r="N330">
        <v>7</v>
      </c>
      <c r="O330">
        <v>0</v>
      </c>
      <c r="P330">
        <v>9</v>
      </c>
      <c r="Q330">
        <v>9</v>
      </c>
      <c r="R330">
        <v>0</v>
      </c>
      <c r="S330">
        <v>9</v>
      </c>
      <c r="T330">
        <v>9</v>
      </c>
      <c r="U330">
        <v>0</v>
      </c>
      <c r="V330">
        <v>8</v>
      </c>
      <c r="W330">
        <v>9</v>
      </c>
      <c r="X330">
        <v>-1</v>
      </c>
      <c r="Y330">
        <v>8</v>
      </c>
      <c r="Z330">
        <v>9</v>
      </c>
      <c r="AA330">
        <v>-1</v>
      </c>
      <c r="AB330">
        <v>9</v>
      </c>
      <c r="AC330">
        <v>5</v>
      </c>
      <c r="AD330">
        <v>4</v>
      </c>
      <c r="AE330">
        <v>7</v>
      </c>
      <c r="AF330">
        <v>6</v>
      </c>
      <c r="AG330">
        <v>1</v>
      </c>
      <c r="AH330">
        <v>9</v>
      </c>
      <c r="AI330">
        <v>9</v>
      </c>
      <c r="AJ330">
        <v>0</v>
      </c>
      <c r="AK330" t="s">
        <v>3158</v>
      </c>
      <c r="AL330" t="s">
        <v>3159</v>
      </c>
      <c r="AM330" t="s">
        <v>3160</v>
      </c>
      <c r="AN330" t="s">
        <v>3161</v>
      </c>
      <c r="AO330" t="s">
        <v>3162</v>
      </c>
      <c r="AP330" t="s">
        <v>3163</v>
      </c>
      <c r="AQ330" t="s">
        <v>3164</v>
      </c>
      <c r="AR330" t="s">
        <v>3165</v>
      </c>
      <c r="AS330" t="s">
        <v>3166</v>
      </c>
    </row>
    <row r="331" spans="1:45" x14ac:dyDescent="0.45">
      <c r="A331">
        <v>330</v>
      </c>
      <c r="B331">
        <v>2355</v>
      </c>
      <c r="C331" t="s">
        <v>78</v>
      </c>
      <c r="D331" t="s">
        <v>189</v>
      </c>
      <c r="E331" t="s">
        <v>74</v>
      </c>
      <c r="F331" t="s">
        <v>77</v>
      </c>
      <c r="G331" t="s">
        <v>76</v>
      </c>
      <c r="H331">
        <v>14.610230031752785</v>
      </c>
      <c r="I331">
        <v>0</v>
      </c>
      <c r="J331">
        <v>7</v>
      </c>
      <c r="K331">
        <v>3</v>
      </c>
      <c r="L331">
        <v>4</v>
      </c>
      <c r="M331">
        <v>7</v>
      </c>
      <c r="N331">
        <v>3</v>
      </c>
      <c r="O331">
        <v>4</v>
      </c>
      <c r="P331">
        <v>8</v>
      </c>
      <c r="Q331">
        <v>5</v>
      </c>
      <c r="R331">
        <v>3</v>
      </c>
      <c r="S331">
        <v>9</v>
      </c>
      <c r="T331">
        <v>6</v>
      </c>
      <c r="U331">
        <v>3</v>
      </c>
      <c r="V331">
        <v>8</v>
      </c>
      <c r="W331">
        <v>4</v>
      </c>
      <c r="X331">
        <v>4</v>
      </c>
      <c r="Y331">
        <v>9</v>
      </c>
      <c r="Z331">
        <v>5</v>
      </c>
      <c r="AA331">
        <v>4</v>
      </c>
      <c r="AB331">
        <v>8</v>
      </c>
      <c r="AC331">
        <v>5</v>
      </c>
      <c r="AD331">
        <v>3</v>
      </c>
      <c r="AE331">
        <v>9</v>
      </c>
      <c r="AF331">
        <v>5</v>
      </c>
      <c r="AG331">
        <v>4</v>
      </c>
      <c r="AH331">
        <v>8</v>
      </c>
      <c r="AI331">
        <v>5</v>
      </c>
      <c r="AJ331">
        <v>3</v>
      </c>
      <c r="AK331" t="s">
        <v>3167</v>
      </c>
      <c r="AL331" t="s">
        <v>3168</v>
      </c>
      <c r="AM331" t="s">
        <v>3169</v>
      </c>
      <c r="AN331" t="s">
        <v>3170</v>
      </c>
      <c r="AO331" t="s">
        <v>3171</v>
      </c>
      <c r="AP331" t="s">
        <v>3172</v>
      </c>
      <c r="AQ331" t="s">
        <v>3173</v>
      </c>
      <c r="AR331" t="s">
        <v>3174</v>
      </c>
      <c r="AS331" t="s">
        <v>3175</v>
      </c>
    </row>
    <row r="332" spans="1:45" x14ac:dyDescent="0.45">
      <c r="A332">
        <v>331</v>
      </c>
      <c r="B332">
        <v>2356</v>
      </c>
      <c r="C332" t="s">
        <v>78</v>
      </c>
      <c r="D332" t="s">
        <v>73</v>
      </c>
      <c r="E332" t="s">
        <v>74</v>
      </c>
      <c r="F332" t="s">
        <v>77</v>
      </c>
      <c r="G332" t="s">
        <v>76</v>
      </c>
      <c r="H332">
        <v>24.317590012924995</v>
      </c>
      <c r="I332">
        <v>1</v>
      </c>
      <c r="J332">
        <v>6</v>
      </c>
      <c r="K332">
        <v>4</v>
      </c>
      <c r="L332">
        <v>2</v>
      </c>
      <c r="M332">
        <v>6</v>
      </c>
      <c r="N332">
        <v>4</v>
      </c>
      <c r="O332">
        <v>2</v>
      </c>
      <c r="P332">
        <v>9</v>
      </c>
      <c r="Q332">
        <v>5</v>
      </c>
      <c r="R332">
        <v>4</v>
      </c>
      <c r="S332">
        <v>8</v>
      </c>
      <c r="T332">
        <v>6</v>
      </c>
      <c r="U332">
        <v>2</v>
      </c>
      <c r="V332">
        <v>6</v>
      </c>
      <c r="W332">
        <v>4</v>
      </c>
      <c r="X332">
        <v>2</v>
      </c>
      <c r="Y332">
        <v>8</v>
      </c>
      <c r="Z332">
        <v>5</v>
      </c>
      <c r="AA332">
        <v>3</v>
      </c>
      <c r="AB332">
        <v>6</v>
      </c>
      <c r="AC332">
        <v>3</v>
      </c>
      <c r="AD332">
        <v>3</v>
      </c>
      <c r="AE332">
        <v>7</v>
      </c>
      <c r="AF332">
        <v>4</v>
      </c>
      <c r="AG332">
        <v>3</v>
      </c>
      <c r="AH332">
        <v>6</v>
      </c>
      <c r="AI332">
        <v>5</v>
      </c>
      <c r="AJ332">
        <v>1</v>
      </c>
      <c r="AK332" t="s">
        <v>3176</v>
      </c>
      <c r="AL332" t="s">
        <v>3177</v>
      </c>
      <c r="AM332" t="s">
        <v>3178</v>
      </c>
      <c r="AN332" t="s">
        <v>3179</v>
      </c>
      <c r="AO332" t="s">
        <v>3180</v>
      </c>
      <c r="AP332" t="s">
        <v>3181</v>
      </c>
      <c r="AQ332" t="s">
        <v>3182</v>
      </c>
      <c r="AR332" t="s">
        <v>3183</v>
      </c>
      <c r="AS332" t="s">
        <v>3184</v>
      </c>
    </row>
    <row r="333" spans="1:45" x14ac:dyDescent="0.45">
      <c r="A333">
        <v>332</v>
      </c>
      <c r="B333">
        <v>2357</v>
      </c>
      <c r="C333" t="s">
        <v>72</v>
      </c>
      <c r="D333" t="s">
        <v>189</v>
      </c>
      <c r="E333" t="s">
        <v>74</v>
      </c>
      <c r="F333" t="s">
        <v>77</v>
      </c>
      <c r="G333" t="s">
        <v>76</v>
      </c>
      <c r="H333">
        <v>18.770659043386182</v>
      </c>
      <c r="I333">
        <v>0</v>
      </c>
      <c r="J333">
        <v>7</v>
      </c>
      <c r="K333">
        <v>7</v>
      </c>
      <c r="L333">
        <v>0</v>
      </c>
      <c r="M333">
        <v>8</v>
      </c>
      <c r="N333">
        <v>7</v>
      </c>
      <c r="O333">
        <v>1</v>
      </c>
      <c r="P333">
        <v>7</v>
      </c>
      <c r="Q333">
        <v>9</v>
      </c>
      <c r="R333">
        <v>-2</v>
      </c>
      <c r="S333">
        <v>9</v>
      </c>
      <c r="T333">
        <v>9</v>
      </c>
      <c r="U333">
        <v>0</v>
      </c>
      <c r="W333">
        <v>8</v>
      </c>
      <c r="Z333">
        <v>9</v>
      </c>
      <c r="AC333">
        <v>7</v>
      </c>
      <c r="AF333">
        <v>9</v>
      </c>
      <c r="AI333">
        <v>9</v>
      </c>
      <c r="AK333" t="s">
        <v>202</v>
      </c>
      <c r="AL333" t="s">
        <v>202</v>
      </c>
      <c r="AM333" t="s">
        <v>202</v>
      </c>
      <c r="AN333" t="s">
        <v>202</v>
      </c>
      <c r="AO333" t="s">
        <v>202</v>
      </c>
      <c r="AP333" t="s">
        <v>202</v>
      </c>
      <c r="AQ333" t="s">
        <v>202</v>
      </c>
      <c r="AR333" t="s">
        <v>202</v>
      </c>
      <c r="AS333" t="s">
        <v>202</v>
      </c>
    </row>
    <row r="334" spans="1:45" x14ac:dyDescent="0.45">
      <c r="A334">
        <v>333</v>
      </c>
      <c r="B334">
        <v>2358</v>
      </c>
      <c r="C334" t="s">
        <v>78</v>
      </c>
      <c r="D334" t="s">
        <v>79</v>
      </c>
      <c r="E334" t="s">
        <v>74</v>
      </c>
      <c r="F334" t="s">
        <v>75</v>
      </c>
      <c r="G334" t="s">
        <v>76</v>
      </c>
      <c r="H334">
        <v>97.101931650904092</v>
      </c>
      <c r="I334">
        <v>1</v>
      </c>
      <c r="J334">
        <v>6</v>
      </c>
      <c r="K334">
        <v>6</v>
      </c>
      <c r="L334">
        <v>0</v>
      </c>
      <c r="M334">
        <v>6</v>
      </c>
      <c r="N334">
        <v>6</v>
      </c>
      <c r="O334">
        <v>0</v>
      </c>
      <c r="P334">
        <v>8</v>
      </c>
      <c r="Q334">
        <v>8</v>
      </c>
      <c r="R334">
        <v>0</v>
      </c>
      <c r="S334">
        <v>9</v>
      </c>
      <c r="T334">
        <v>8</v>
      </c>
      <c r="U334">
        <v>1</v>
      </c>
      <c r="V334">
        <v>7</v>
      </c>
      <c r="W334">
        <v>6</v>
      </c>
      <c r="X334">
        <v>1</v>
      </c>
      <c r="Y334">
        <v>8</v>
      </c>
      <c r="Z334">
        <v>7</v>
      </c>
      <c r="AA334">
        <v>1</v>
      </c>
      <c r="AB334">
        <v>7</v>
      </c>
      <c r="AC334">
        <v>6</v>
      </c>
      <c r="AD334">
        <v>1</v>
      </c>
      <c r="AE334">
        <v>7</v>
      </c>
      <c r="AF334">
        <v>7</v>
      </c>
      <c r="AG334">
        <v>0</v>
      </c>
      <c r="AH334">
        <v>8</v>
      </c>
      <c r="AI334">
        <v>7</v>
      </c>
      <c r="AJ334">
        <v>1</v>
      </c>
      <c r="AK334" t="s">
        <v>3185</v>
      </c>
      <c r="AL334" t="s">
        <v>3186</v>
      </c>
      <c r="AM334" t="s">
        <v>3187</v>
      </c>
      <c r="AN334" t="s">
        <v>3188</v>
      </c>
      <c r="AO334" t="s">
        <v>3189</v>
      </c>
      <c r="AP334" t="s">
        <v>3190</v>
      </c>
      <c r="AQ334" t="s">
        <v>3191</v>
      </c>
      <c r="AR334" t="s">
        <v>3192</v>
      </c>
      <c r="AS334" t="s">
        <v>3193</v>
      </c>
    </row>
    <row r="335" spans="1:45" x14ac:dyDescent="0.45">
      <c r="A335">
        <v>334</v>
      </c>
      <c r="B335">
        <v>2359</v>
      </c>
      <c r="C335" t="s">
        <v>72</v>
      </c>
      <c r="D335" t="s">
        <v>192</v>
      </c>
      <c r="E335" t="s">
        <v>74</v>
      </c>
      <c r="F335" t="s">
        <v>75</v>
      </c>
      <c r="G335" t="s">
        <v>162</v>
      </c>
      <c r="H335">
        <v>106.03814168985089</v>
      </c>
      <c r="I335">
        <v>3</v>
      </c>
      <c r="J335">
        <v>8</v>
      </c>
      <c r="K335">
        <v>2</v>
      </c>
      <c r="L335">
        <v>6</v>
      </c>
      <c r="M335">
        <v>9</v>
      </c>
      <c r="N335">
        <v>2</v>
      </c>
      <c r="O335">
        <v>7</v>
      </c>
      <c r="P335">
        <v>7</v>
      </c>
      <c r="Q335">
        <v>3</v>
      </c>
      <c r="R335">
        <v>4</v>
      </c>
      <c r="S335">
        <v>8</v>
      </c>
      <c r="T335">
        <v>5</v>
      </c>
      <c r="U335">
        <v>3</v>
      </c>
      <c r="V335">
        <v>9</v>
      </c>
      <c r="W335">
        <v>1</v>
      </c>
      <c r="X335">
        <v>8</v>
      </c>
      <c r="Y335">
        <v>8</v>
      </c>
      <c r="Z335">
        <v>1</v>
      </c>
      <c r="AA335">
        <v>7</v>
      </c>
      <c r="AB335">
        <v>9</v>
      </c>
      <c r="AC335">
        <v>1</v>
      </c>
      <c r="AD335">
        <v>8</v>
      </c>
      <c r="AE335">
        <v>7</v>
      </c>
      <c r="AF335">
        <v>3</v>
      </c>
      <c r="AG335">
        <v>4</v>
      </c>
      <c r="AH335">
        <v>9</v>
      </c>
      <c r="AI335">
        <v>1</v>
      </c>
      <c r="AJ335">
        <v>8</v>
      </c>
      <c r="AK335" t="s">
        <v>3194</v>
      </c>
      <c r="AL335" t="s">
        <v>3195</v>
      </c>
      <c r="AM335" t="s">
        <v>3196</v>
      </c>
      <c r="AN335" t="s">
        <v>3197</v>
      </c>
      <c r="AO335" t="s">
        <v>3198</v>
      </c>
      <c r="AP335" t="s">
        <v>3199</v>
      </c>
      <c r="AQ335" t="s">
        <v>258</v>
      </c>
      <c r="AR335" t="s">
        <v>3200</v>
      </c>
      <c r="AS335" t="s">
        <v>3201</v>
      </c>
    </row>
    <row r="336" spans="1:45" x14ac:dyDescent="0.45">
      <c r="A336">
        <v>335</v>
      </c>
      <c r="B336">
        <v>2360</v>
      </c>
      <c r="C336" t="s">
        <v>78</v>
      </c>
      <c r="D336" t="s">
        <v>189</v>
      </c>
      <c r="E336" t="s">
        <v>74</v>
      </c>
      <c r="F336" t="s">
        <v>77</v>
      </c>
      <c r="G336" t="s">
        <v>76</v>
      </c>
      <c r="H336">
        <v>15.490245400546351</v>
      </c>
      <c r="I336">
        <v>0</v>
      </c>
      <c r="J336">
        <v>7</v>
      </c>
      <c r="K336">
        <v>7</v>
      </c>
      <c r="L336">
        <v>0</v>
      </c>
      <c r="M336">
        <v>8</v>
      </c>
      <c r="N336">
        <v>7</v>
      </c>
      <c r="O336">
        <v>1</v>
      </c>
      <c r="P336">
        <v>9</v>
      </c>
      <c r="Q336">
        <v>8</v>
      </c>
      <c r="R336">
        <v>1</v>
      </c>
      <c r="S336">
        <v>9</v>
      </c>
      <c r="T336">
        <v>10</v>
      </c>
      <c r="U336">
        <v>-1</v>
      </c>
      <c r="V336">
        <v>8</v>
      </c>
      <c r="W336">
        <v>9</v>
      </c>
      <c r="X336">
        <v>-1</v>
      </c>
      <c r="Y336">
        <v>8</v>
      </c>
      <c r="Z336">
        <v>10</v>
      </c>
      <c r="AA336">
        <v>-2</v>
      </c>
      <c r="AB336">
        <v>7</v>
      </c>
      <c r="AC336">
        <v>8</v>
      </c>
      <c r="AD336">
        <v>-1</v>
      </c>
      <c r="AE336">
        <v>8</v>
      </c>
      <c r="AF336">
        <v>8</v>
      </c>
      <c r="AG336">
        <v>0</v>
      </c>
      <c r="AH336">
        <v>9</v>
      </c>
      <c r="AI336">
        <v>10</v>
      </c>
      <c r="AJ336">
        <v>-1</v>
      </c>
      <c r="AK336" t="s">
        <v>3202</v>
      </c>
      <c r="AL336" t="s">
        <v>3203</v>
      </c>
      <c r="AM336" t="s">
        <v>3204</v>
      </c>
      <c r="AN336" t="s">
        <v>3205</v>
      </c>
      <c r="AO336" t="s">
        <v>3206</v>
      </c>
      <c r="AP336" t="s">
        <v>3207</v>
      </c>
      <c r="AQ336" t="s">
        <v>3208</v>
      </c>
      <c r="AR336" t="s">
        <v>3209</v>
      </c>
      <c r="AS336" t="s">
        <v>3210</v>
      </c>
    </row>
    <row r="337" spans="1:45" x14ac:dyDescent="0.45">
      <c r="A337">
        <v>336</v>
      </c>
      <c r="B337">
        <v>2361</v>
      </c>
      <c r="C337" t="s">
        <v>72</v>
      </c>
      <c r="D337" t="s">
        <v>81</v>
      </c>
      <c r="E337" t="s">
        <v>74</v>
      </c>
      <c r="F337" t="s">
        <v>77</v>
      </c>
      <c r="G337" t="s">
        <v>76</v>
      </c>
      <c r="H337">
        <v>21.173110024966263</v>
      </c>
      <c r="I337">
        <v>0</v>
      </c>
      <c r="J337">
        <v>7</v>
      </c>
      <c r="K337">
        <v>4</v>
      </c>
      <c r="L337">
        <v>3</v>
      </c>
      <c r="M337">
        <v>8</v>
      </c>
      <c r="N337">
        <v>5</v>
      </c>
      <c r="O337">
        <v>3</v>
      </c>
      <c r="P337">
        <v>9</v>
      </c>
      <c r="Q337">
        <v>5</v>
      </c>
      <c r="R337">
        <v>4</v>
      </c>
      <c r="S337">
        <v>10</v>
      </c>
      <c r="T337">
        <v>6</v>
      </c>
      <c r="U337">
        <v>4</v>
      </c>
      <c r="V337">
        <v>6</v>
      </c>
      <c r="W337">
        <v>5</v>
      </c>
      <c r="X337">
        <v>1</v>
      </c>
      <c r="Y337">
        <v>9</v>
      </c>
      <c r="Z337">
        <v>6</v>
      </c>
      <c r="AA337">
        <v>3</v>
      </c>
      <c r="AB337">
        <v>7</v>
      </c>
      <c r="AC337">
        <v>5</v>
      </c>
      <c r="AD337">
        <v>2</v>
      </c>
      <c r="AE337">
        <v>8</v>
      </c>
      <c r="AF337">
        <v>5</v>
      </c>
      <c r="AG337">
        <v>3</v>
      </c>
      <c r="AH337">
        <v>9</v>
      </c>
      <c r="AI337">
        <v>6</v>
      </c>
      <c r="AJ337">
        <v>3</v>
      </c>
      <c r="AK337" t="s">
        <v>3211</v>
      </c>
      <c r="AL337" t="s">
        <v>3212</v>
      </c>
      <c r="AM337" t="s">
        <v>3213</v>
      </c>
      <c r="AN337" t="s">
        <v>3214</v>
      </c>
      <c r="AO337" t="s">
        <v>3215</v>
      </c>
      <c r="AP337" t="s">
        <v>3216</v>
      </c>
      <c r="AQ337" t="s">
        <v>3217</v>
      </c>
      <c r="AR337" t="s">
        <v>3218</v>
      </c>
      <c r="AS337" t="s">
        <v>3219</v>
      </c>
    </row>
    <row r="338" spans="1:45" x14ac:dyDescent="0.45">
      <c r="A338">
        <v>337</v>
      </c>
      <c r="B338">
        <v>2362</v>
      </c>
      <c r="C338" t="s">
        <v>78</v>
      </c>
      <c r="D338" t="s">
        <v>73</v>
      </c>
      <c r="E338" t="s">
        <v>74</v>
      </c>
      <c r="F338" t="s">
        <v>77</v>
      </c>
      <c r="G338" t="s">
        <v>76</v>
      </c>
      <c r="H338">
        <v>26.362871390405505</v>
      </c>
      <c r="I338">
        <v>0</v>
      </c>
      <c r="J338">
        <v>6</v>
      </c>
      <c r="K338">
        <v>7</v>
      </c>
      <c r="L338">
        <v>-1</v>
      </c>
      <c r="M338">
        <v>7</v>
      </c>
      <c r="N338">
        <v>8</v>
      </c>
      <c r="O338">
        <v>-1</v>
      </c>
      <c r="P338">
        <v>9</v>
      </c>
      <c r="Q338">
        <v>7</v>
      </c>
      <c r="R338">
        <v>2</v>
      </c>
      <c r="S338">
        <v>8</v>
      </c>
      <c r="T338">
        <v>7</v>
      </c>
      <c r="U338">
        <v>1</v>
      </c>
      <c r="V338">
        <v>9</v>
      </c>
      <c r="W338">
        <v>6</v>
      </c>
      <c r="X338">
        <v>3</v>
      </c>
      <c r="Y338">
        <v>8</v>
      </c>
      <c r="Z338">
        <v>8</v>
      </c>
      <c r="AA338">
        <v>0</v>
      </c>
      <c r="AB338">
        <v>9</v>
      </c>
      <c r="AC338">
        <v>6</v>
      </c>
      <c r="AD338">
        <v>3</v>
      </c>
      <c r="AE338">
        <v>8</v>
      </c>
      <c r="AF338">
        <v>8</v>
      </c>
      <c r="AG338">
        <v>0</v>
      </c>
      <c r="AH338">
        <v>9</v>
      </c>
      <c r="AI338">
        <v>8</v>
      </c>
      <c r="AJ338">
        <v>1</v>
      </c>
      <c r="AK338" t="s">
        <v>3220</v>
      </c>
      <c r="AL338" t="s">
        <v>3221</v>
      </c>
      <c r="AM338" t="s">
        <v>254</v>
      </c>
      <c r="AN338" t="s">
        <v>3222</v>
      </c>
      <c r="AO338" t="s">
        <v>3223</v>
      </c>
      <c r="AP338" t="s">
        <v>3224</v>
      </c>
      <c r="AQ338" t="s">
        <v>3225</v>
      </c>
      <c r="AR338" t="s">
        <v>3226</v>
      </c>
      <c r="AS338" t="s">
        <v>3227</v>
      </c>
    </row>
    <row r="339" spans="1:45" x14ac:dyDescent="0.45">
      <c r="A339">
        <v>338</v>
      </c>
      <c r="B339">
        <v>2363</v>
      </c>
      <c r="C339" t="s">
        <v>78</v>
      </c>
      <c r="D339" t="s">
        <v>189</v>
      </c>
      <c r="E339" t="s">
        <v>74</v>
      </c>
      <c r="F339" t="s">
        <v>77</v>
      </c>
      <c r="G339" t="s">
        <v>76</v>
      </c>
      <c r="H339">
        <v>12.921975914739679</v>
      </c>
      <c r="I339">
        <v>0</v>
      </c>
      <c r="J339">
        <v>7</v>
      </c>
      <c r="K339">
        <v>8</v>
      </c>
      <c r="L339">
        <v>-1</v>
      </c>
      <c r="M339">
        <v>6</v>
      </c>
      <c r="N339">
        <v>8</v>
      </c>
      <c r="O339">
        <v>-2</v>
      </c>
      <c r="P339">
        <v>8</v>
      </c>
      <c r="Q339">
        <v>9</v>
      </c>
      <c r="R339">
        <v>-1</v>
      </c>
      <c r="S339">
        <v>9</v>
      </c>
      <c r="T339">
        <v>9</v>
      </c>
      <c r="U339">
        <v>0</v>
      </c>
      <c r="V339">
        <v>8</v>
      </c>
      <c r="W339">
        <v>8</v>
      </c>
      <c r="X339">
        <v>0</v>
      </c>
      <c r="Y339">
        <v>9</v>
      </c>
      <c r="Z339">
        <v>9</v>
      </c>
      <c r="AA339">
        <v>0</v>
      </c>
      <c r="AB339">
        <v>8</v>
      </c>
      <c r="AC339">
        <v>10</v>
      </c>
      <c r="AD339">
        <v>-2</v>
      </c>
      <c r="AE339">
        <v>7</v>
      </c>
      <c r="AF339">
        <v>9</v>
      </c>
      <c r="AG339">
        <v>-2</v>
      </c>
      <c r="AH339">
        <v>9</v>
      </c>
      <c r="AI339">
        <v>10</v>
      </c>
      <c r="AJ339">
        <v>-1</v>
      </c>
      <c r="AK339" t="s">
        <v>3228</v>
      </c>
      <c r="AL339" t="s">
        <v>3229</v>
      </c>
      <c r="AM339" t="s">
        <v>3230</v>
      </c>
      <c r="AN339" t="s">
        <v>3231</v>
      </c>
      <c r="AO339" t="s">
        <v>3232</v>
      </c>
      <c r="AP339" t="s">
        <v>3233</v>
      </c>
      <c r="AQ339" t="s">
        <v>3234</v>
      </c>
      <c r="AR339" t="s">
        <v>3235</v>
      </c>
      <c r="AS339" t="s">
        <v>3236</v>
      </c>
    </row>
    <row r="340" spans="1:45" x14ac:dyDescent="0.45">
      <c r="A340">
        <v>339</v>
      </c>
      <c r="B340">
        <v>2364</v>
      </c>
      <c r="C340" t="s">
        <v>72</v>
      </c>
      <c r="D340" t="s">
        <v>189</v>
      </c>
      <c r="E340" t="s">
        <v>74</v>
      </c>
      <c r="F340" t="s">
        <v>77</v>
      </c>
      <c r="G340" t="s">
        <v>76</v>
      </c>
      <c r="H340">
        <v>16.762164260845104</v>
      </c>
      <c r="I340">
        <v>0</v>
      </c>
      <c r="J340">
        <v>8</v>
      </c>
      <c r="K340">
        <v>7</v>
      </c>
      <c r="L340">
        <v>1</v>
      </c>
      <c r="M340">
        <v>9</v>
      </c>
      <c r="N340">
        <v>7</v>
      </c>
      <c r="O340">
        <v>2</v>
      </c>
      <c r="P340">
        <v>8</v>
      </c>
      <c r="Q340">
        <v>8</v>
      </c>
      <c r="R340">
        <v>0</v>
      </c>
      <c r="S340">
        <v>9</v>
      </c>
      <c r="T340">
        <v>8</v>
      </c>
      <c r="U340">
        <v>1</v>
      </c>
      <c r="V340">
        <v>8</v>
      </c>
      <c r="W340">
        <v>6</v>
      </c>
      <c r="X340">
        <v>2</v>
      </c>
      <c r="Y340">
        <v>9</v>
      </c>
      <c r="Z340">
        <v>7</v>
      </c>
      <c r="AA340">
        <v>2</v>
      </c>
      <c r="AB340">
        <v>8</v>
      </c>
      <c r="AC340">
        <v>6</v>
      </c>
      <c r="AD340">
        <v>2</v>
      </c>
      <c r="AE340">
        <v>9</v>
      </c>
      <c r="AF340">
        <v>6</v>
      </c>
      <c r="AG340">
        <v>3</v>
      </c>
      <c r="AH340">
        <v>9</v>
      </c>
      <c r="AI340">
        <v>7</v>
      </c>
      <c r="AJ340">
        <v>2</v>
      </c>
      <c r="AK340" t="s">
        <v>3237</v>
      </c>
      <c r="AL340" t="s">
        <v>3238</v>
      </c>
      <c r="AM340" t="s">
        <v>3239</v>
      </c>
      <c r="AN340" t="s">
        <v>3240</v>
      </c>
      <c r="AO340" t="s">
        <v>3241</v>
      </c>
      <c r="AP340" t="s">
        <v>3242</v>
      </c>
      <c r="AQ340" t="s">
        <v>3243</v>
      </c>
      <c r="AR340" t="s">
        <v>3244</v>
      </c>
      <c r="AS340" t="s">
        <v>3245</v>
      </c>
    </row>
    <row r="341" spans="1:45" x14ac:dyDescent="0.45">
      <c r="A341">
        <v>340</v>
      </c>
      <c r="B341">
        <v>2365</v>
      </c>
      <c r="C341" t="s">
        <v>78</v>
      </c>
      <c r="D341" t="s">
        <v>81</v>
      </c>
      <c r="E341" t="s">
        <v>74</v>
      </c>
      <c r="F341" t="s">
        <v>77</v>
      </c>
      <c r="G341" t="s">
        <v>76</v>
      </c>
      <c r="H341">
        <v>15.310713846595883</v>
      </c>
      <c r="I341">
        <v>0</v>
      </c>
      <c r="J341">
        <v>7</v>
      </c>
      <c r="K341">
        <v>7</v>
      </c>
      <c r="L341">
        <v>0</v>
      </c>
      <c r="M341">
        <v>6</v>
      </c>
      <c r="N341">
        <v>8</v>
      </c>
      <c r="O341">
        <v>-2</v>
      </c>
      <c r="P341">
        <v>9</v>
      </c>
      <c r="Q341">
        <v>8</v>
      </c>
      <c r="R341">
        <v>1</v>
      </c>
      <c r="S341">
        <v>8</v>
      </c>
      <c r="T341">
        <v>8</v>
      </c>
      <c r="U341">
        <v>0</v>
      </c>
      <c r="V341">
        <v>9</v>
      </c>
      <c r="W341">
        <v>5</v>
      </c>
      <c r="X341">
        <v>4</v>
      </c>
      <c r="Y341">
        <v>9</v>
      </c>
      <c r="Z341">
        <v>8</v>
      </c>
      <c r="AA341">
        <v>1</v>
      </c>
      <c r="AB341">
        <v>8</v>
      </c>
      <c r="AC341">
        <v>5</v>
      </c>
      <c r="AD341">
        <v>3</v>
      </c>
      <c r="AE341">
        <v>9</v>
      </c>
      <c r="AF341">
        <v>8</v>
      </c>
      <c r="AG341">
        <v>1</v>
      </c>
      <c r="AH341">
        <v>8</v>
      </c>
      <c r="AI341">
        <v>8</v>
      </c>
      <c r="AJ341">
        <v>0</v>
      </c>
      <c r="AK341" t="s">
        <v>3246</v>
      </c>
      <c r="AL341" t="s">
        <v>3247</v>
      </c>
      <c r="AM341" t="s">
        <v>3248</v>
      </c>
      <c r="AN341" t="s">
        <v>3249</v>
      </c>
      <c r="AO341" t="s">
        <v>3250</v>
      </c>
      <c r="AP341" t="s">
        <v>3251</v>
      </c>
      <c r="AQ341" t="s">
        <v>3252</v>
      </c>
      <c r="AR341" t="s">
        <v>3253</v>
      </c>
      <c r="AS341" t="s">
        <v>3254</v>
      </c>
    </row>
    <row r="342" spans="1:45" x14ac:dyDescent="0.45">
      <c r="A342">
        <v>341</v>
      </c>
      <c r="B342">
        <v>2366</v>
      </c>
      <c r="C342" t="s">
        <v>72</v>
      </c>
      <c r="D342" t="s">
        <v>189</v>
      </c>
      <c r="E342" t="s">
        <v>74</v>
      </c>
      <c r="F342" t="s">
        <v>77</v>
      </c>
      <c r="G342" t="s">
        <v>76</v>
      </c>
      <c r="H342">
        <v>12</v>
      </c>
      <c r="I342">
        <v>0</v>
      </c>
      <c r="J342">
        <v>8</v>
      </c>
      <c r="K342">
        <v>8</v>
      </c>
      <c r="L342">
        <v>0</v>
      </c>
      <c r="M342">
        <v>7</v>
      </c>
      <c r="N342">
        <v>8</v>
      </c>
      <c r="O342">
        <v>-1</v>
      </c>
      <c r="P342">
        <v>9</v>
      </c>
      <c r="Q342">
        <v>8</v>
      </c>
      <c r="R342">
        <v>1</v>
      </c>
      <c r="S342">
        <v>9</v>
      </c>
      <c r="T342">
        <v>9</v>
      </c>
      <c r="U342">
        <v>0</v>
      </c>
      <c r="V342">
        <v>8</v>
      </c>
      <c r="W342">
        <v>8</v>
      </c>
      <c r="X342">
        <v>0</v>
      </c>
      <c r="Y342">
        <v>9</v>
      </c>
      <c r="Z342">
        <v>8</v>
      </c>
      <c r="AA342">
        <v>1</v>
      </c>
      <c r="AB342">
        <v>8</v>
      </c>
      <c r="AC342">
        <v>7</v>
      </c>
      <c r="AD342">
        <v>1</v>
      </c>
      <c r="AE342">
        <v>7</v>
      </c>
      <c r="AF342">
        <v>7</v>
      </c>
      <c r="AG342">
        <v>0</v>
      </c>
      <c r="AH342">
        <v>9</v>
      </c>
      <c r="AI342">
        <v>8</v>
      </c>
      <c r="AJ342">
        <v>1</v>
      </c>
      <c r="AK342" t="s">
        <v>3255</v>
      </c>
      <c r="AL342" t="s">
        <v>3256</v>
      </c>
      <c r="AM342" t="s">
        <v>3257</v>
      </c>
      <c r="AN342" t="s">
        <v>3258</v>
      </c>
      <c r="AO342" t="s">
        <v>3259</v>
      </c>
      <c r="AP342" t="s">
        <v>3260</v>
      </c>
      <c r="AQ342" t="s">
        <v>3261</v>
      </c>
      <c r="AR342" t="s">
        <v>3262</v>
      </c>
      <c r="AS342" t="s">
        <v>3263</v>
      </c>
    </row>
    <row r="343" spans="1:45" x14ac:dyDescent="0.45">
      <c r="A343">
        <v>342</v>
      </c>
      <c r="B343">
        <v>2367</v>
      </c>
      <c r="C343" t="s">
        <v>78</v>
      </c>
      <c r="D343" t="s">
        <v>189</v>
      </c>
      <c r="E343" t="s">
        <v>74</v>
      </c>
      <c r="F343" t="s">
        <v>77</v>
      </c>
      <c r="G343" t="s">
        <v>76</v>
      </c>
      <c r="H343">
        <v>12</v>
      </c>
      <c r="I343">
        <v>0</v>
      </c>
      <c r="J343">
        <v>7</v>
      </c>
      <c r="K343">
        <v>5</v>
      </c>
      <c r="L343">
        <v>2</v>
      </c>
      <c r="M343">
        <v>6</v>
      </c>
      <c r="N343">
        <v>5</v>
      </c>
      <c r="O343">
        <v>1</v>
      </c>
      <c r="P343">
        <v>8</v>
      </c>
      <c r="Q343">
        <v>6</v>
      </c>
      <c r="R343">
        <v>2</v>
      </c>
      <c r="S343">
        <v>9</v>
      </c>
      <c r="T343">
        <v>7</v>
      </c>
      <c r="U343">
        <v>2</v>
      </c>
      <c r="V343">
        <v>7</v>
      </c>
      <c r="W343">
        <v>5</v>
      </c>
      <c r="X343">
        <v>2</v>
      </c>
      <c r="Y343">
        <v>8</v>
      </c>
      <c r="Z343">
        <v>8</v>
      </c>
      <c r="AA343">
        <v>0</v>
      </c>
      <c r="AB343">
        <v>7</v>
      </c>
      <c r="AC343">
        <v>6</v>
      </c>
      <c r="AD343">
        <v>1</v>
      </c>
      <c r="AE343">
        <v>6</v>
      </c>
      <c r="AF343">
        <v>6</v>
      </c>
      <c r="AG343">
        <v>0</v>
      </c>
      <c r="AH343">
        <v>8</v>
      </c>
      <c r="AI343">
        <v>7</v>
      </c>
      <c r="AJ343">
        <v>1</v>
      </c>
      <c r="AK343" t="s">
        <v>3264</v>
      </c>
      <c r="AL343" t="s">
        <v>3265</v>
      </c>
      <c r="AM343" t="s">
        <v>3266</v>
      </c>
      <c r="AN343" t="s">
        <v>3267</v>
      </c>
      <c r="AO343" t="s">
        <v>3268</v>
      </c>
      <c r="AP343" t="s">
        <v>3269</v>
      </c>
      <c r="AQ343" t="s">
        <v>3270</v>
      </c>
      <c r="AR343" t="s">
        <v>3271</v>
      </c>
      <c r="AS343" t="s">
        <v>3272</v>
      </c>
    </row>
    <row r="344" spans="1:45" x14ac:dyDescent="0.45">
      <c r="A344">
        <v>343</v>
      </c>
      <c r="B344">
        <v>2368</v>
      </c>
      <c r="C344" t="s">
        <v>78</v>
      </c>
      <c r="D344" t="s">
        <v>81</v>
      </c>
      <c r="E344" t="s">
        <v>74</v>
      </c>
      <c r="F344" t="s">
        <v>77</v>
      </c>
      <c r="G344" t="s">
        <v>76</v>
      </c>
      <c r="H344">
        <v>16.182461051297128</v>
      </c>
      <c r="I344">
        <v>0</v>
      </c>
      <c r="J344">
        <v>7</v>
      </c>
      <c r="K344">
        <v>7</v>
      </c>
      <c r="L344">
        <v>0</v>
      </c>
      <c r="M344">
        <v>6</v>
      </c>
      <c r="N344">
        <v>7</v>
      </c>
      <c r="O344">
        <v>-1</v>
      </c>
      <c r="P344">
        <v>8</v>
      </c>
      <c r="Q344">
        <v>8</v>
      </c>
      <c r="R344">
        <v>0</v>
      </c>
      <c r="S344">
        <v>9</v>
      </c>
      <c r="T344">
        <v>7</v>
      </c>
      <c r="U344">
        <v>2</v>
      </c>
      <c r="V344">
        <v>7</v>
      </c>
      <c r="W344">
        <v>8</v>
      </c>
      <c r="X344">
        <v>-1</v>
      </c>
      <c r="Y344">
        <v>8</v>
      </c>
      <c r="Z344">
        <v>8</v>
      </c>
      <c r="AA344">
        <v>0</v>
      </c>
      <c r="AB344">
        <v>7</v>
      </c>
      <c r="AC344">
        <v>8</v>
      </c>
      <c r="AD344">
        <v>-1</v>
      </c>
      <c r="AE344">
        <v>8</v>
      </c>
      <c r="AF344">
        <v>7</v>
      </c>
      <c r="AG344">
        <v>1</v>
      </c>
      <c r="AH344">
        <v>9</v>
      </c>
      <c r="AI344">
        <v>8</v>
      </c>
      <c r="AJ344">
        <v>1</v>
      </c>
      <c r="AK344" t="s">
        <v>3273</v>
      </c>
      <c r="AL344" t="s">
        <v>3274</v>
      </c>
      <c r="AM344" t="s">
        <v>3275</v>
      </c>
      <c r="AN344" t="s">
        <v>3276</v>
      </c>
      <c r="AO344" t="s">
        <v>3277</v>
      </c>
      <c r="AP344" t="s">
        <v>3278</v>
      </c>
      <c r="AQ344" t="s">
        <v>3279</v>
      </c>
      <c r="AR344" t="s">
        <v>3280</v>
      </c>
      <c r="AS344" t="s">
        <v>3281</v>
      </c>
    </row>
    <row r="345" spans="1:45" x14ac:dyDescent="0.45">
      <c r="A345">
        <v>344</v>
      </c>
      <c r="B345">
        <v>2369</v>
      </c>
      <c r="C345" t="s">
        <v>78</v>
      </c>
      <c r="D345" t="s">
        <v>73</v>
      </c>
      <c r="E345" t="s">
        <v>74</v>
      </c>
      <c r="F345" t="s">
        <v>75</v>
      </c>
      <c r="G345" t="s">
        <v>76</v>
      </c>
      <c r="H345">
        <v>52.561832352581355</v>
      </c>
      <c r="I345">
        <v>2</v>
      </c>
      <c r="J345">
        <v>9</v>
      </c>
      <c r="K345">
        <v>7</v>
      </c>
      <c r="L345">
        <v>2</v>
      </c>
      <c r="M345">
        <v>8</v>
      </c>
      <c r="N345">
        <v>7</v>
      </c>
      <c r="O345">
        <v>1</v>
      </c>
      <c r="P345">
        <v>9</v>
      </c>
      <c r="Q345">
        <v>5</v>
      </c>
      <c r="R345">
        <v>4</v>
      </c>
      <c r="S345">
        <v>8</v>
      </c>
      <c r="T345">
        <v>8</v>
      </c>
      <c r="U345">
        <v>0</v>
      </c>
      <c r="V345">
        <v>9</v>
      </c>
      <c r="W345">
        <v>6</v>
      </c>
      <c r="X345">
        <v>3</v>
      </c>
      <c r="Y345">
        <v>8</v>
      </c>
      <c r="Z345">
        <v>5</v>
      </c>
      <c r="AA345">
        <v>3</v>
      </c>
      <c r="AB345">
        <v>9</v>
      </c>
      <c r="AC345">
        <v>5</v>
      </c>
      <c r="AD345">
        <v>4</v>
      </c>
      <c r="AE345">
        <v>8</v>
      </c>
      <c r="AF345">
        <v>6</v>
      </c>
      <c r="AG345">
        <v>2</v>
      </c>
      <c r="AH345">
        <v>9</v>
      </c>
      <c r="AI345">
        <v>5</v>
      </c>
      <c r="AJ345">
        <v>4</v>
      </c>
      <c r="AK345" t="s">
        <v>3282</v>
      </c>
      <c r="AL345" t="s">
        <v>3283</v>
      </c>
      <c r="AM345" t="s">
        <v>3284</v>
      </c>
      <c r="AN345" t="s">
        <v>3285</v>
      </c>
      <c r="AO345" t="s">
        <v>3286</v>
      </c>
      <c r="AP345" t="s">
        <v>3287</v>
      </c>
      <c r="AQ345" t="s">
        <v>3288</v>
      </c>
      <c r="AR345" t="s">
        <v>3289</v>
      </c>
      <c r="AS345" t="s">
        <v>3290</v>
      </c>
    </row>
    <row r="346" spans="1:45" x14ac:dyDescent="0.45">
      <c r="A346">
        <v>345</v>
      </c>
      <c r="B346">
        <v>2370</v>
      </c>
      <c r="C346" t="s">
        <v>72</v>
      </c>
      <c r="D346" t="s">
        <v>81</v>
      </c>
      <c r="E346" t="s">
        <v>74</v>
      </c>
      <c r="F346" t="s">
        <v>77</v>
      </c>
      <c r="G346" t="s">
        <v>76</v>
      </c>
      <c r="H346">
        <v>14.364728465204141</v>
      </c>
      <c r="I346">
        <v>0</v>
      </c>
      <c r="J346">
        <v>6</v>
      </c>
      <c r="K346">
        <v>7</v>
      </c>
      <c r="L346">
        <v>-1</v>
      </c>
      <c r="M346">
        <v>7</v>
      </c>
      <c r="N346">
        <v>7</v>
      </c>
      <c r="O346">
        <v>0</v>
      </c>
      <c r="P346">
        <v>9</v>
      </c>
      <c r="Q346">
        <v>5</v>
      </c>
      <c r="R346">
        <v>4</v>
      </c>
      <c r="S346">
        <v>10</v>
      </c>
      <c r="T346">
        <v>8</v>
      </c>
      <c r="U346">
        <v>2</v>
      </c>
      <c r="V346">
        <v>8</v>
      </c>
      <c r="W346">
        <v>7</v>
      </c>
      <c r="X346">
        <v>1</v>
      </c>
      <c r="Y346">
        <v>9</v>
      </c>
      <c r="Z346">
        <v>7</v>
      </c>
      <c r="AA346">
        <v>2</v>
      </c>
      <c r="AB346">
        <v>7</v>
      </c>
      <c r="AC346">
        <v>6</v>
      </c>
      <c r="AD346">
        <v>1</v>
      </c>
      <c r="AE346">
        <v>9</v>
      </c>
      <c r="AF346">
        <v>7</v>
      </c>
      <c r="AG346">
        <v>2</v>
      </c>
      <c r="AH346">
        <v>9</v>
      </c>
      <c r="AI346">
        <v>7</v>
      </c>
      <c r="AJ346">
        <v>2</v>
      </c>
      <c r="AK346" t="s">
        <v>3291</v>
      </c>
      <c r="AL346" t="s">
        <v>3292</v>
      </c>
      <c r="AM346" t="s">
        <v>3293</v>
      </c>
      <c r="AN346" t="s">
        <v>3294</v>
      </c>
      <c r="AO346" t="s">
        <v>3295</v>
      </c>
      <c r="AP346" t="s">
        <v>3296</v>
      </c>
      <c r="AQ346" t="s">
        <v>3297</v>
      </c>
      <c r="AR346" t="s">
        <v>3298</v>
      </c>
      <c r="AS346" t="s">
        <v>3299</v>
      </c>
    </row>
    <row r="347" spans="1:45" x14ac:dyDescent="0.45">
      <c r="A347">
        <v>346</v>
      </c>
      <c r="B347">
        <v>2371</v>
      </c>
      <c r="C347" t="s">
        <v>72</v>
      </c>
      <c r="D347" t="s">
        <v>73</v>
      </c>
      <c r="E347" t="s">
        <v>74</v>
      </c>
      <c r="F347" t="s">
        <v>77</v>
      </c>
      <c r="G347" t="s">
        <v>76</v>
      </c>
      <c r="H347">
        <v>26.261207915766324</v>
      </c>
      <c r="I347">
        <v>1</v>
      </c>
      <c r="J347">
        <v>9</v>
      </c>
      <c r="K347">
        <v>9</v>
      </c>
      <c r="L347">
        <v>0</v>
      </c>
      <c r="M347">
        <v>9</v>
      </c>
      <c r="N347">
        <v>8</v>
      </c>
      <c r="O347">
        <v>1</v>
      </c>
      <c r="P347">
        <v>8</v>
      </c>
      <c r="Q347">
        <v>8</v>
      </c>
      <c r="R347">
        <v>0</v>
      </c>
      <c r="S347">
        <v>8</v>
      </c>
      <c r="T347">
        <v>9</v>
      </c>
      <c r="U347">
        <v>-1</v>
      </c>
      <c r="V347">
        <v>9</v>
      </c>
      <c r="W347">
        <v>7</v>
      </c>
      <c r="X347">
        <v>2</v>
      </c>
      <c r="Y347">
        <v>9</v>
      </c>
      <c r="Z347">
        <v>8</v>
      </c>
      <c r="AA347">
        <v>1</v>
      </c>
      <c r="AB347">
        <v>8</v>
      </c>
      <c r="AC347">
        <v>7</v>
      </c>
      <c r="AD347">
        <v>1</v>
      </c>
      <c r="AE347">
        <v>9</v>
      </c>
      <c r="AF347">
        <v>7</v>
      </c>
      <c r="AG347">
        <v>2</v>
      </c>
      <c r="AH347">
        <v>9</v>
      </c>
      <c r="AI347">
        <v>8</v>
      </c>
      <c r="AJ347">
        <v>1</v>
      </c>
      <c r="AK347" t="s">
        <v>3300</v>
      </c>
      <c r="AL347" t="s">
        <v>3301</v>
      </c>
      <c r="AM347" t="s">
        <v>3302</v>
      </c>
      <c r="AN347" t="s">
        <v>3303</v>
      </c>
      <c r="AO347" t="s">
        <v>3304</v>
      </c>
      <c r="AP347" t="s">
        <v>3305</v>
      </c>
      <c r="AQ347" t="s">
        <v>3306</v>
      </c>
      <c r="AR347" t="s">
        <v>3307</v>
      </c>
      <c r="AS347" t="s">
        <v>3308</v>
      </c>
    </row>
    <row r="348" spans="1:45" x14ac:dyDescent="0.45">
      <c r="A348">
        <v>347</v>
      </c>
      <c r="B348">
        <v>2372</v>
      </c>
      <c r="C348" t="s">
        <v>72</v>
      </c>
      <c r="D348" t="s">
        <v>81</v>
      </c>
      <c r="E348" t="s">
        <v>74</v>
      </c>
      <c r="F348" t="s">
        <v>77</v>
      </c>
      <c r="G348" t="s">
        <v>76</v>
      </c>
      <c r="H348">
        <v>21.567787991110219</v>
      </c>
      <c r="I348">
        <v>0</v>
      </c>
      <c r="J348">
        <v>6</v>
      </c>
      <c r="K348">
        <v>8</v>
      </c>
      <c r="L348">
        <v>-2</v>
      </c>
      <c r="M348">
        <v>7</v>
      </c>
      <c r="N348">
        <v>8</v>
      </c>
      <c r="O348">
        <v>-1</v>
      </c>
      <c r="P348">
        <v>8</v>
      </c>
      <c r="Q348">
        <v>7</v>
      </c>
      <c r="R348">
        <v>1</v>
      </c>
      <c r="S348">
        <v>9</v>
      </c>
      <c r="T348">
        <v>8</v>
      </c>
      <c r="U348">
        <v>1</v>
      </c>
      <c r="V348">
        <v>8</v>
      </c>
      <c r="W348">
        <v>6</v>
      </c>
      <c r="X348">
        <v>2</v>
      </c>
      <c r="Y348">
        <v>7</v>
      </c>
      <c r="Z348">
        <v>8</v>
      </c>
      <c r="AA348">
        <v>-1</v>
      </c>
      <c r="AB348">
        <v>8</v>
      </c>
      <c r="AC348">
        <v>6</v>
      </c>
      <c r="AD348">
        <v>2</v>
      </c>
      <c r="AE348">
        <v>7</v>
      </c>
      <c r="AF348">
        <v>6</v>
      </c>
      <c r="AG348">
        <v>1</v>
      </c>
      <c r="AH348">
        <v>9</v>
      </c>
      <c r="AI348">
        <v>8</v>
      </c>
      <c r="AJ348">
        <v>1</v>
      </c>
      <c r="AK348" t="s">
        <v>3309</v>
      </c>
      <c r="AL348" t="s">
        <v>3310</v>
      </c>
      <c r="AM348" t="s">
        <v>3311</v>
      </c>
      <c r="AN348" t="s">
        <v>3312</v>
      </c>
      <c r="AO348" t="s">
        <v>3313</v>
      </c>
      <c r="AP348" t="s">
        <v>3314</v>
      </c>
      <c r="AQ348" t="s">
        <v>3315</v>
      </c>
      <c r="AR348" t="s">
        <v>3316</v>
      </c>
      <c r="AS348" t="s">
        <v>3317</v>
      </c>
    </row>
    <row r="349" spans="1:45" x14ac:dyDescent="0.45">
      <c r="A349">
        <v>348</v>
      </c>
      <c r="B349">
        <v>2373</v>
      </c>
      <c r="C349" t="s">
        <v>72</v>
      </c>
      <c r="D349" t="s">
        <v>81</v>
      </c>
      <c r="E349" t="s">
        <v>74</v>
      </c>
      <c r="F349" t="s">
        <v>77</v>
      </c>
      <c r="G349" t="s">
        <v>76</v>
      </c>
      <c r="H349">
        <v>20.139827435595141</v>
      </c>
      <c r="I349">
        <v>0</v>
      </c>
      <c r="J349">
        <v>6</v>
      </c>
      <c r="K349">
        <v>8</v>
      </c>
      <c r="L349">
        <v>-2</v>
      </c>
      <c r="M349">
        <v>7</v>
      </c>
      <c r="N349">
        <v>8</v>
      </c>
      <c r="O349">
        <v>-1</v>
      </c>
      <c r="P349">
        <v>9</v>
      </c>
      <c r="Q349">
        <v>7</v>
      </c>
      <c r="R349">
        <v>2</v>
      </c>
      <c r="S349">
        <v>8</v>
      </c>
      <c r="T349">
        <v>7</v>
      </c>
      <c r="U349">
        <v>1</v>
      </c>
      <c r="V349">
        <v>7</v>
      </c>
      <c r="W349">
        <v>6</v>
      </c>
      <c r="X349">
        <v>1</v>
      </c>
      <c r="Y349">
        <v>9</v>
      </c>
      <c r="Z349">
        <v>7</v>
      </c>
      <c r="AA349">
        <v>2</v>
      </c>
      <c r="AB349">
        <v>8</v>
      </c>
      <c r="AC349">
        <v>6</v>
      </c>
      <c r="AD349">
        <v>2</v>
      </c>
      <c r="AE349">
        <v>7</v>
      </c>
      <c r="AF349">
        <v>6</v>
      </c>
      <c r="AG349">
        <v>1</v>
      </c>
      <c r="AH349">
        <v>9</v>
      </c>
      <c r="AI349">
        <v>7</v>
      </c>
      <c r="AJ349">
        <v>2</v>
      </c>
      <c r="AK349" t="s">
        <v>3318</v>
      </c>
      <c r="AL349" t="s">
        <v>3319</v>
      </c>
      <c r="AM349" t="s">
        <v>3320</v>
      </c>
      <c r="AN349" t="s">
        <v>3321</v>
      </c>
      <c r="AO349" t="s">
        <v>3322</v>
      </c>
      <c r="AP349" t="s">
        <v>3323</v>
      </c>
      <c r="AQ349" t="s">
        <v>3324</v>
      </c>
      <c r="AR349" t="s">
        <v>3325</v>
      </c>
      <c r="AS349" t="s">
        <v>252</v>
      </c>
    </row>
    <row r="350" spans="1:45" x14ac:dyDescent="0.45">
      <c r="A350">
        <v>349</v>
      </c>
      <c r="B350">
        <v>2374</v>
      </c>
      <c r="C350" t="s">
        <v>72</v>
      </c>
      <c r="D350" t="s">
        <v>81</v>
      </c>
      <c r="E350" t="s">
        <v>74</v>
      </c>
      <c r="F350" t="s">
        <v>77</v>
      </c>
      <c r="G350" t="s">
        <v>76</v>
      </c>
      <c r="H350">
        <v>19.29241039779194</v>
      </c>
      <c r="I350">
        <v>0</v>
      </c>
      <c r="J350">
        <v>7</v>
      </c>
      <c r="K350">
        <v>4</v>
      </c>
      <c r="L350">
        <v>3</v>
      </c>
      <c r="M350">
        <v>6</v>
      </c>
      <c r="N350">
        <v>4</v>
      </c>
      <c r="O350">
        <v>2</v>
      </c>
      <c r="P350">
        <v>9</v>
      </c>
      <c r="Q350">
        <v>5</v>
      </c>
      <c r="R350">
        <v>4</v>
      </c>
      <c r="S350">
        <v>8</v>
      </c>
      <c r="T350">
        <v>7</v>
      </c>
      <c r="U350">
        <v>1</v>
      </c>
      <c r="V350">
        <v>9</v>
      </c>
      <c r="W350">
        <v>5</v>
      </c>
      <c r="X350">
        <v>4</v>
      </c>
      <c r="Y350">
        <v>9</v>
      </c>
      <c r="Z350">
        <v>6</v>
      </c>
      <c r="AA350">
        <v>3</v>
      </c>
      <c r="AB350">
        <v>9</v>
      </c>
      <c r="AC350">
        <v>6</v>
      </c>
      <c r="AD350">
        <v>3</v>
      </c>
      <c r="AE350">
        <v>8</v>
      </c>
      <c r="AF350">
        <v>6</v>
      </c>
      <c r="AG350">
        <v>2</v>
      </c>
      <c r="AH350">
        <v>9</v>
      </c>
      <c r="AI350">
        <v>6</v>
      </c>
      <c r="AJ350">
        <v>3</v>
      </c>
      <c r="AK350" t="s">
        <v>3326</v>
      </c>
      <c r="AL350" t="s">
        <v>3327</v>
      </c>
      <c r="AM350" t="s">
        <v>3328</v>
      </c>
      <c r="AN350" t="s">
        <v>3329</v>
      </c>
      <c r="AO350" t="s">
        <v>3330</v>
      </c>
      <c r="AP350" t="s">
        <v>3331</v>
      </c>
      <c r="AQ350" t="s">
        <v>3332</v>
      </c>
      <c r="AR350" t="s">
        <v>3333</v>
      </c>
      <c r="AS350" t="s">
        <v>3334</v>
      </c>
    </row>
    <row r="351" spans="1:45" x14ac:dyDescent="0.45">
      <c r="A351">
        <v>350</v>
      </c>
      <c r="B351">
        <v>2375</v>
      </c>
      <c r="C351" t="s">
        <v>72</v>
      </c>
      <c r="D351" t="s">
        <v>81</v>
      </c>
      <c r="E351" t="s">
        <v>74</v>
      </c>
      <c r="F351" t="s">
        <v>77</v>
      </c>
      <c r="G351" t="s">
        <v>76</v>
      </c>
      <c r="H351">
        <v>24.666298038630494</v>
      </c>
      <c r="I351">
        <v>0</v>
      </c>
      <c r="J351">
        <v>6</v>
      </c>
      <c r="K351">
        <v>7</v>
      </c>
      <c r="L351">
        <v>-1</v>
      </c>
      <c r="M351">
        <v>7</v>
      </c>
      <c r="N351">
        <v>7</v>
      </c>
      <c r="O351">
        <v>0</v>
      </c>
      <c r="P351">
        <v>9</v>
      </c>
      <c r="Q351">
        <v>8</v>
      </c>
      <c r="R351">
        <v>1</v>
      </c>
      <c r="S351">
        <v>8</v>
      </c>
      <c r="T351">
        <v>8</v>
      </c>
      <c r="U351">
        <v>0</v>
      </c>
      <c r="V351">
        <v>7</v>
      </c>
      <c r="W351">
        <v>7</v>
      </c>
      <c r="X351">
        <v>0</v>
      </c>
      <c r="Y351">
        <v>9</v>
      </c>
      <c r="Z351">
        <v>7</v>
      </c>
      <c r="AA351">
        <v>2</v>
      </c>
      <c r="AB351">
        <v>7</v>
      </c>
      <c r="AC351">
        <v>8</v>
      </c>
      <c r="AD351">
        <v>-1</v>
      </c>
      <c r="AE351">
        <v>8</v>
      </c>
      <c r="AF351">
        <v>7</v>
      </c>
      <c r="AG351">
        <v>1</v>
      </c>
      <c r="AH351">
        <v>9</v>
      </c>
      <c r="AI351">
        <v>8</v>
      </c>
      <c r="AJ351">
        <v>1</v>
      </c>
      <c r="AK351" t="s">
        <v>3335</v>
      </c>
      <c r="AL351" t="s">
        <v>3336</v>
      </c>
      <c r="AM351" t="s">
        <v>3337</v>
      </c>
      <c r="AN351" t="s">
        <v>3338</v>
      </c>
      <c r="AO351" t="s">
        <v>3339</v>
      </c>
      <c r="AP351" t="s">
        <v>3340</v>
      </c>
      <c r="AQ351" t="s">
        <v>3341</v>
      </c>
      <c r="AR351" t="s">
        <v>3342</v>
      </c>
      <c r="AS351" t="s">
        <v>3343</v>
      </c>
    </row>
    <row r="352" spans="1:45" x14ac:dyDescent="0.45">
      <c r="A352">
        <v>351</v>
      </c>
      <c r="B352">
        <v>2376</v>
      </c>
      <c r="C352" t="s">
        <v>72</v>
      </c>
      <c r="D352" t="s">
        <v>73</v>
      </c>
      <c r="E352" t="s">
        <v>74</v>
      </c>
      <c r="F352" t="s">
        <v>77</v>
      </c>
      <c r="G352" t="s">
        <v>76</v>
      </c>
      <c r="H352">
        <v>43.703455100039299</v>
      </c>
      <c r="I352">
        <v>2</v>
      </c>
      <c r="J352">
        <v>7</v>
      </c>
      <c r="K352">
        <v>8</v>
      </c>
      <c r="L352">
        <v>-1</v>
      </c>
      <c r="M352">
        <v>8</v>
      </c>
      <c r="N352">
        <v>8</v>
      </c>
      <c r="O352">
        <v>0</v>
      </c>
      <c r="P352">
        <v>7</v>
      </c>
      <c r="Q352">
        <v>6</v>
      </c>
      <c r="R352">
        <v>1</v>
      </c>
      <c r="S352">
        <v>9</v>
      </c>
      <c r="T352">
        <v>7</v>
      </c>
      <c r="U352">
        <v>2</v>
      </c>
      <c r="V352">
        <v>8</v>
      </c>
      <c r="W352">
        <v>6</v>
      </c>
      <c r="X352">
        <v>2</v>
      </c>
      <c r="Y352">
        <v>9</v>
      </c>
      <c r="Z352">
        <v>7</v>
      </c>
      <c r="AA352">
        <v>2</v>
      </c>
      <c r="AB352">
        <v>8</v>
      </c>
      <c r="AC352">
        <v>5</v>
      </c>
      <c r="AD352">
        <v>3</v>
      </c>
      <c r="AE352">
        <v>9</v>
      </c>
      <c r="AF352">
        <v>7</v>
      </c>
      <c r="AG352">
        <v>2</v>
      </c>
      <c r="AH352">
        <v>10</v>
      </c>
      <c r="AI352">
        <v>7</v>
      </c>
      <c r="AJ352">
        <v>3</v>
      </c>
      <c r="AK352" t="s">
        <v>3344</v>
      </c>
      <c r="AL352" t="s">
        <v>3345</v>
      </c>
      <c r="AM352" t="s">
        <v>3346</v>
      </c>
      <c r="AN352" t="s">
        <v>3347</v>
      </c>
      <c r="AO352" t="s">
        <v>3348</v>
      </c>
      <c r="AP352" t="s">
        <v>3349</v>
      </c>
      <c r="AQ352" t="s">
        <v>3350</v>
      </c>
      <c r="AR352" t="s">
        <v>3351</v>
      </c>
      <c r="AS352" t="s">
        <v>3352</v>
      </c>
    </row>
    <row r="353" spans="1:45" x14ac:dyDescent="0.45">
      <c r="A353">
        <v>352</v>
      </c>
      <c r="B353">
        <v>2377</v>
      </c>
      <c r="C353" t="s">
        <v>72</v>
      </c>
      <c r="D353" t="s">
        <v>73</v>
      </c>
      <c r="E353" t="s">
        <v>74</v>
      </c>
      <c r="F353" t="s">
        <v>77</v>
      </c>
      <c r="G353" t="s">
        <v>76</v>
      </c>
      <c r="H353">
        <v>24.846831349678602</v>
      </c>
      <c r="I353">
        <v>1</v>
      </c>
      <c r="J353">
        <v>8</v>
      </c>
      <c r="K353">
        <v>6</v>
      </c>
      <c r="L353">
        <v>2</v>
      </c>
      <c r="M353">
        <v>9</v>
      </c>
      <c r="N353">
        <v>6</v>
      </c>
      <c r="O353">
        <v>3</v>
      </c>
      <c r="P353">
        <v>8</v>
      </c>
      <c r="Q353">
        <v>8</v>
      </c>
      <c r="R353">
        <v>0</v>
      </c>
      <c r="S353">
        <v>9</v>
      </c>
      <c r="T353">
        <v>7</v>
      </c>
      <c r="U353">
        <v>2</v>
      </c>
      <c r="V353">
        <v>8</v>
      </c>
      <c r="W353">
        <v>7</v>
      </c>
      <c r="X353">
        <v>1</v>
      </c>
      <c r="Y353">
        <v>9</v>
      </c>
      <c r="Z353">
        <v>7</v>
      </c>
      <c r="AA353">
        <v>2</v>
      </c>
      <c r="AB353">
        <v>8</v>
      </c>
      <c r="AC353">
        <v>5</v>
      </c>
      <c r="AD353">
        <v>3</v>
      </c>
      <c r="AE353">
        <v>9</v>
      </c>
      <c r="AF353">
        <v>6</v>
      </c>
      <c r="AG353">
        <v>3</v>
      </c>
      <c r="AH353">
        <v>9</v>
      </c>
      <c r="AI353">
        <v>7</v>
      </c>
      <c r="AJ353">
        <v>2</v>
      </c>
      <c r="AK353" t="s">
        <v>3353</v>
      </c>
      <c r="AL353" t="s">
        <v>3354</v>
      </c>
      <c r="AM353" t="s">
        <v>3355</v>
      </c>
      <c r="AN353" t="s">
        <v>3356</v>
      </c>
      <c r="AO353" t="s">
        <v>3357</v>
      </c>
      <c r="AP353" t="s">
        <v>3358</v>
      </c>
      <c r="AQ353" t="s">
        <v>3359</v>
      </c>
      <c r="AR353" t="s">
        <v>3360</v>
      </c>
      <c r="AS353" t="s">
        <v>3361</v>
      </c>
    </row>
    <row r="354" spans="1:45" x14ac:dyDescent="0.45">
      <c r="A354">
        <v>353</v>
      </c>
      <c r="B354">
        <v>2378</v>
      </c>
      <c r="C354" t="s">
        <v>78</v>
      </c>
      <c r="D354" t="s">
        <v>79</v>
      </c>
      <c r="E354" t="s">
        <v>74</v>
      </c>
      <c r="F354" t="s">
        <v>77</v>
      </c>
      <c r="G354" t="s">
        <v>76</v>
      </c>
      <c r="H354">
        <v>74.192576661986166</v>
      </c>
      <c r="I354">
        <v>4</v>
      </c>
      <c r="J354">
        <v>7</v>
      </c>
      <c r="K354">
        <v>7</v>
      </c>
      <c r="L354">
        <v>0</v>
      </c>
      <c r="M354">
        <v>7</v>
      </c>
      <c r="N354">
        <v>7</v>
      </c>
      <c r="O354">
        <v>0</v>
      </c>
      <c r="P354">
        <v>9</v>
      </c>
      <c r="Q354">
        <v>8</v>
      </c>
      <c r="R354">
        <v>1</v>
      </c>
      <c r="S354">
        <v>8</v>
      </c>
      <c r="T354">
        <v>8</v>
      </c>
      <c r="U354">
        <v>0</v>
      </c>
      <c r="V354">
        <v>9</v>
      </c>
      <c r="W354">
        <v>6</v>
      </c>
      <c r="X354">
        <v>3</v>
      </c>
      <c r="Y354">
        <v>8</v>
      </c>
      <c r="Z354">
        <v>7</v>
      </c>
      <c r="AA354">
        <v>1</v>
      </c>
      <c r="AB354">
        <v>9</v>
      </c>
      <c r="AC354">
        <v>5</v>
      </c>
      <c r="AD354">
        <v>4</v>
      </c>
      <c r="AE354">
        <v>8</v>
      </c>
      <c r="AF354">
        <v>7</v>
      </c>
      <c r="AG354">
        <v>1</v>
      </c>
      <c r="AH354">
        <v>9</v>
      </c>
      <c r="AI354">
        <v>7</v>
      </c>
      <c r="AJ354">
        <v>2</v>
      </c>
      <c r="AK354" t="s">
        <v>3362</v>
      </c>
      <c r="AL354" t="s">
        <v>3363</v>
      </c>
      <c r="AM354" t="s">
        <v>3364</v>
      </c>
      <c r="AN354" t="s">
        <v>3365</v>
      </c>
      <c r="AO354" t="s">
        <v>3366</v>
      </c>
      <c r="AP354" t="s">
        <v>3367</v>
      </c>
      <c r="AQ354" t="s">
        <v>3368</v>
      </c>
      <c r="AR354" t="s">
        <v>3369</v>
      </c>
      <c r="AS354" t="s">
        <v>3370</v>
      </c>
    </row>
    <row r="355" spans="1:45" x14ac:dyDescent="0.45">
      <c r="A355">
        <v>354</v>
      </c>
      <c r="B355">
        <v>2379</v>
      </c>
      <c r="C355" t="s">
        <v>72</v>
      </c>
      <c r="D355" t="s">
        <v>189</v>
      </c>
      <c r="E355" t="s">
        <v>74</v>
      </c>
      <c r="F355" t="s">
        <v>77</v>
      </c>
      <c r="G355" t="s">
        <v>76</v>
      </c>
      <c r="H355">
        <v>14.670256699648776</v>
      </c>
      <c r="I355">
        <v>0</v>
      </c>
      <c r="J355">
        <v>3</v>
      </c>
      <c r="K355">
        <v>9</v>
      </c>
      <c r="L355">
        <v>-6</v>
      </c>
      <c r="M355">
        <v>4</v>
      </c>
      <c r="N355">
        <v>9</v>
      </c>
      <c r="O355">
        <v>-5</v>
      </c>
      <c r="P355">
        <v>6</v>
      </c>
      <c r="Q355">
        <v>10</v>
      </c>
      <c r="R355">
        <v>-4</v>
      </c>
      <c r="S355">
        <v>7</v>
      </c>
      <c r="T355">
        <v>10</v>
      </c>
      <c r="U355">
        <v>-3</v>
      </c>
      <c r="V355">
        <v>6</v>
      </c>
      <c r="W355">
        <v>9</v>
      </c>
      <c r="X355">
        <v>-3</v>
      </c>
      <c r="Y355">
        <v>6</v>
      </c>
      <c r="Z355">
        <v>10</v>
      </c>
      <c r="AA355">
        <v>-4</v>
      </c>
      <c r="AB355">
        <v>5</v>
      </c>
      <c r="AC355">
        <v>8</v>
      </c>
      <c r="AD355">
        <v>-3</v>
      </c>
      <c r="AE355">
        <v>6</v>
      </c>
      <c r="AF355">
        <v>8</v>
      </c>
      <c r="AG355">
        <v>-2</v>
      </c>
      <c r="AH355">
        <v>8</v>
      </c>
      <c r="AI355">
        <v>9</v>
      </c>
      <c r="AJ355">
        <v>-1</v>
      </c>
      <c r="AK355" t="s">
        <v>3371</v>
      </c>
      <c r="AL355" t="s">
        <v>3372</v>
      </c>
      <c r="AM355" t="s">
        <v>3373</v>
      </c>
      <c r="AN355" t="s">
        <v>3374</v>
      </c>
      <c r="AO355" t="s">
        <v>3375</v>
      </c>
      <c r="AP355" t="s">
        <v>3376</v>
      </c>
      <c r="AQ355" t="s">
        <v>3377</v>
      </c>
      <c r="AR355" t="s">
        <v>3378</v>
      </c>
      <c r="AS355" t="s">
        <v>3379</v>
      </c>
    </row>
    <row r="356" spans="1:45" x14ac:dyDescent="0.45">
      <c r="A356">
        <v>355</v>
      </c>
      <c r="B356">
        <v>2380</v>
      </c>
      <c r="C356" t="s">
        <v>78</v>
      </c>
      <c r="D356" t="s">
        <v>189</v>
      </c>
      <c r="E356" t="s">
        <v>74</v>
      </c>
      <c r="F356" t="s">
        <v>77</v>
      </c>
      <c r="G356" t="s">
        <v>76</v>
      </c>
      <c r="H356">
        <v>12.819759928225976</v>
      </c>
      <c r="I356">
        <v>0</v>
      </c>
      <c r="J356">
        <v>7</v>
      </c>
      <c r="K356">
        <v>7</v>
      </c>
      <c r="L356">
        <v>0</v>
      </c>
      <c r="M356">
        <v>8</v>
      </c>
      <c r="N356">
        <v>8</v>
      </c>
      <c r="O356">
        <v>0</v>
      </c>
      <c r="P356">
        <v>9</v>
      </c>
      <c r="Q356">
        <v>8</v>
      </c>
      <c r="R356">
        <v>1</v>
      </c>
      <c r="S356">
        <v>9</v>
      </c>
      <c r="T356">
        <v>9</v>
      </c>
      <c r="U356">
        <v>0</v>
      </c>
      <c r="V356">
        <v>8</v>
      </c>
      <c r="W356">
        <v>8</v>
      </c>
      <c r="X356">
        <v>0</v>
      </c>
      <c r="Y356">
        <v>7</v>
      </c>
      <c r="Z356">
        <v>10</v>
      </c>
      <c r="AA356">
        <v>-3</v>
      </c>
      <c r="AB356">
        <v>8</v>
      </c>
      <c r="AC356">
        <v>8</v>
      </c>
      <c r="AD356">
        <v>0</v>
      </c>
      <c r="AE356">
        <v>7</v>
      </c>
      <c r="AF356">
        <v>8</v>
      </c>
      <c r="AG356">
        <v>-1</v>
      </c>
      <c r="AH356">
        <v>9</v>
      </c>
      <c r="AI356">
        <v>9</v>
      </c>
      <c r="AJ356">
        <v>0</v>
      </c>
      <c r="AK356" t="s">
        <v>3380</v>
      </c>
      <c r="AL356" t="s">
        <v>3381</v>
      </c>
      <c r="AM356" t="s">
        <v>3382</v>
      </c>
      <c r="AN356" t="s">
        <v>3383</v>
      </c>
      <c r="AO356" t="s">
        <v>3384</v>
      </c>
      <c r="AP356" t="s">
        <v>3385</v>
      </c>
      <c r="AQ356" t="s">
        <v>3386</v>
      </c>
      <c r="AR356" t="s">
        <v>2255</v>
      </c>
      <c r="AS356" t="s">
        <v>3387</v>
      </c>
    </row>
    <row r="357" spans="1:45" x14ac:dyDescent="0.45">
      <c r="A357">
        <v>356</v>
      </c>
      <c r="B357">
        <v>2381</v>
      </c>
      <c r="C357" t="s">
        <v>78</v>
      </c>
      <c r="D357" t="s">
        <v>189</v>
      </c>
      <c r="E357" t="s">
        <v>74</v>
      </c>
      <c r="F357" t="s">
        <v>77</v>
      </c>
      <c r="G357" t="s">
        <v>76</v>
      </c>
      <c r="H357">
        <v>15.101688341676548</v>
      </c>
      <c r="I357">
        <v>0</v>
      </c>
      <c r="J357">
        <v>7</v>
      </c>
      <c r="K357">
        <v>7</v>
      </c>
      <c r="L357">
        <v>0</v>
      </c>
      <c r="M357">
        <v>7</v>
      </c>
      <c r="N357">
        <v>7</v>
      </c>
      <c r="O357">
        <v>0</v>
      </c>
      <c r="P357">
        <v>9</v>
      </c>
      <c r="Q357">
        <v>8</v>
      </c>
      <c r="R357">
        <v>1</v>
      </c>
      <c r="S357">
        <v>9</v>
      </c>
      <c r="T357">
        <v>10</v>
      </c>
      <c r="U357">
        <v>-1</v>
      </c>
      <c r="V357">
        <v>7</v>
      </c>
      <c r="W357">
        <v>9</v>
      </c>
      <c r="X357">
        <v>-2</v>
      </c>
      <c r="Y357">
        <v>9</v>
      </c>
      <c r="Z357">
        <v>10</v>
      </c>
      <c r="AA357">
        <v>-1</v>
      </c>
      <c r="AB357">
        <v>8</v>
      </c>
      <c r="AC357">
        <v>8</v>
      </c>
      <c r="AD357">
        <v>0</v>
      </c>
      <c r="AE357">
        <v>7</v>
      </c>
      <c r="AF357">
        <v>8</v>
      </c>
      <c r="AG357">
        <v>-1</v>
      </c>
      <c r="AH357">
        <v>9</v>
      </c>
      <c r="AI357">
        <v>10</v>
      </c>
      <c r="AJ357">
        <v>-1</v>
      </c>
      <c r="AK357" t="s">
        <v>3388</v>
      </c>
      <c r="AL357" t="s">
        <v>3389</v>
      </c>
      <c r="AM357" t="s">
        <v>3390</v>
      </c>
      <c r="AN357" t="s">
        <v>3391</v>
      </c>
      <c r="AO357" t="s">
        <v>3392</v>
      </c>
      <c r="AP357" t="s">
        <v>3393</v>
      </c>
      <c r="AQ357" t="s">
        <v>3394</v>
      </c>
      <c r="AR357" t="s">
        <v>3395</v>
      </c>
      <c r="AS357" t="s">
        <v>3396</v>
      </c>
    </row>
    <row r="358" spans="1:45" x14ac:dyDescent="0.45">
      <c r="A358">
        <v>357</v>
      </c>
      <c r="B358">
        <v>2382</v>
      </c>
      <c r="C358" t="s">
        <v>78</v>
      </c>
      <c r="D358" t="s">
        <v>81</v>
      </c>
      <c r="E358" t="s">
        <v>74</v>
      </c>
      <c r="F358" t="s">
        <v>77</v>
      </c>
      <c r="G358" t="s">
        <v>76</v>
      </c>
      <c r="H358">
        <v>25.791080832098498</v>
      </c>
      <c r="I358">
        <v>0</v>
      </c>
      <c r="J358">
        <v>7</v>
      </c>
      <c r="K358">
        <v>9</v>
      </c>
      <c r="L358">
        <v>-2</v>
      </c>
      <c r="M358">
        <v>8</v>
      </c>
      <c r="N358">
        <v>9</v>
      </c>
      <c r="O358">
        <v>-1</v>
      </c>
      <c r="P358">
        <v>9</v>
      </c>
      <c r="Q358">
        <v>8</v>
      </c>
      <c r="R358">
        <v>1</v>
      </c>
      <c r="S358">
        <v>10</v>
      </c>
      <c r="T358">
        <v>9</v>
      </c>
      <c r="U358">
        <v>1</v>
      </c>
      <c r="V358">
        <v>9</v>
      </c>
      <c r="W358">
        <v>8</v>
      </c>
      <c r="X358">
        <v>1</v>
      </c>
      <c r="Y358">
        <v>9</v>
      </c>
      <c r="Z358">
        <v>8</v>
      </c>
      <c r="AA358">
        <v>1</v>
      </c>
      <c r="AB358">
        <v>8</v>
      </c>
      <c r="AC358">
        <v>7</v>
      </c>
      <c r="AD358">
        <v>1</v>
      </c>
      <c r="AE358">
        <v>7</v>
      </c>
      <c r="AF358">
        <v>7</v>
      </c>
      <c r="AG358">
        <v>0</v>
      </c>
      <c r="AH358">
        <v>9</v>
      </c>
      <c r="AI358">
        <v>8</v>
      </c>
      <c r="AJ358">
        <v>1</v>
      </c>
      <c r="AK358" t="s">
        <v>3397</v>
      </c>
      <c r="AL358" t="s">
        <v>3398</v>
      </c>
      <c r="AM358" t="s">
        <v>3399</v>
      </c>
      <c r="AN358" t="s">
        <v>3400</v>
      </c>
      <c r="AO358" t="s">
        <v>3401</v>
      </c>
      <c r="AP358" t="s">
        <v>3402</v>
      </c>
      <c r="AQ358" t="s">
        <v>3403</v>
      </c>
      <c r="AR358" t="s">
        <v>3404</v>
      </c>
      <c r="AS358" t="s">
        <v>3405</v>
      </c>
    </row>
    <row r="359" spans="1:45" x14ac:dyDescent="0.45">
      <c r="A359">
        <v>358</v>
      </c>
      <c r="B359">
        <v>2383</v>
      </c>
      <c r="C359" t="s">
        <v>72</v>
      </c>
      <c r="D359" t="s">
        <v>189</v>
      </c>
      <c r="E359" t="s">
        <v>74</v>
      </c>
      <c r="F359" t="s">
        <v>77</v>
      </c>
      <c r="G359" t="s">
        <v>76</v>
      </c>
      <c r="H359">
        <v>14.103980233284</v>
      </c>
      <c r="I359">
        <v>0</v>
      </c>
      <c r="J359">
        <v>6</v>
      </c>
      <c r="K359">
        <v>7</v>
      </c>
      <c r="L359">
        <v>-1</v>
      </c>
      <c r="M359">
        <v>6</v>
      </c>
      <c r="N359">
        <v>7</v>
      </c>
      <c r="O359">
        <v>-1</v>
      </c>
      <c r="P359">
        <v>8</v>
      </c>
      <c r="Q359">
        <v>7</v>
      </c>
      <c r="R359">
        <v>1</v>
      </c>
      <c r="S359">
        <v>9</v>
      </c>
      <c r="T359">
        <v>8</v>
      </c>
      <c r="U359">
        <v>1</v>
      </c>
      <c r="V359">
        <v>7</v>
      </c>
      <c r="W359">
        <v>7</v>
      </c>
      <c r="X359">
        <v>0</v>
      </c>
      <c r="Y359">
        <v>8</v>
      </c>
      <c r="Z359">
        <v>9</v>
      </c>
      <c r="AA359">
        <v>-1</v>
      </c>
      <c r="AB359">
        <v>6</v>
      </c>
      <c r="AC359">
        <v>8</v>
      </c>
      <c r="AD359">
        <v>-2</v>
      </c>
      <c r="AE359">
        <v>8</v>
      </c>
      <c r="AF359">
        <v>8</v>
      </c>
      <c r="AG359">
        <v>0</v>
      </c>
      <c r="AH359">
        <v>9</v>
      </c>
      <c r="AI359">
        <v>8</v>
      </c>
      <c r="AJ359">
        <v>1</v>
      </c>
      <c r="AK359" t="s">
        <v>3406</v>
      </c>
      <c r="AL359" t="s">
        <v>3407</v>
      </c>
      <c r="AM359" t="s">
        <v>3408</v>
      </c>
      <c r="AN359" t="s">
        <v>3409</v>
      </c>
      <c r="AO359" t="s">
        <v>3410</v>
      </c>
      <c r="AP359" t="s">
        <v>3411</v>
      </c>
      <c r="AQ359" t="s">
        <v>3412</v>
      </c>
      <c r="AR359" t="s">
        <v>3413</v>
      </c>
      <c r="AS359" t="s">
        <v>3414</v>
      </c>
    </row>
    <row r="360" spans="1:45" x14ac:dyDescent="0.45">
      <c r="A360">
        <v>359</v>
      </c>
      <c r="B360">
        <v>2384</v>
      </c>
      <c r="C360" t="s">
        <v>72</v>
      </c>
      <c r="D360" t="s">
        <v>81</v>
      </c>
      <c r="E360" t="s">
        <v>74</v>
      </c>
      <c r="F360" t="s">
        <v>77</v>
      </c>
      <c r="G360" t="s">
        <v>76</v>
      </c>
      <c r="H360">
        <v>21.382339391772106</v>
      </c>
      <c r="I360">
        <v>1</v>
      </c>
      <c r="J360">
        <v>7</v>
      </c>
      <c r="K360">
        <v>4</v>
      </c>
      <c r="L360">
        <v>3</v>
      </c>
      <c r="M360">
        <v>8</v>
      </c>
      <c r="N360">
        <v>5</v>
      </c>
      <c r="O360">
        <v>3</v>
      </c>
      <c r="P360">
        <v>9</v>
      </c>
      <c r="Q360">
        <v>6</v>
      </c>
      <c r="R360">
        <v>3</v>
      </c>
      <c r="S360">
        <v>9</v>
      </c>
      <c r="T360">
        <v>7</v>
      </c>
      <c r="U360">
        <v>2</v>
      </c>
      <c r="V360">
        <v>6</v>
      </c>
      <c r="W360">
        <v>7</v>
      </c>
      <c r="X360">
        <v>-1</v>
      </c>
      <c r="Y360">
        <v>8</v>
      </c>
      <c r="Z360">
        <v>6</v>
      </c>
      <c r="AA360">
        <v>2</v>
      </c>
      <c r="AB360">
        <v>7</v>
      </c>
      <c r="AC360">
        <v>4</v>
      </c>
      <c r="AD360">
        <v>3</v>
      </c>
      <c r="AE360">
        <v>6</v>
      </c>
      <c r="AF360">
        <v>6</v>
      </c>
      <c r="AG360">
        <v>0</v>
      </c>
      <c r="AH360">
        <v>9</v>
      </c>
      <c r="AI360">
        <v>7</v>
      </c>
      <c r="AJ360">
        <v>2</v>
      </c>
      <c r="AK360" t="s">
        <v>3415</v>
      </c>
      <c r="AL360" t="s">
        <v>3416</v>
      </c>
      <c r="AM360" t="s">
        <v>3417</v>
      </c>
      <c r="AN360" t="s">
        <v>3418</v>
      </c>
      <c r="AO360" t="s">
        <v>3419</v>
      </c>
      <c r="AP360" t="s">
        <v>3420</v>
      </c>
      <c r="AQ360" t="s">
        <v>3421</v>
      </c>
      <c r="AR360" t="s">
        <v>3422</v>
      </c>
      <c r="AS360" t="s">
        <v>3423</v>
      </c>
    </row>
    <row r="361" spans="1:45" x14ac:dyDescent="0.45">
      <c r="A361">
        <v>360</v>
      </c>
      <c r="B361">
        <v>2385</v>
      </c>
      <c r="C361" t="s">
        <v>78</v>
      </c>
      <c r="D361" t="s">
        <v>81</v>
      </c>
      <c r="E361" t="s">
        <v>74</v>
      </c>
      <c r="F361" t="s">
        <v>77</v>
      </c>
      <c r="G361" t="s">
        <v>76</v>
      </c>
      <c r="H361">
        <v>19.383792059341289</v>
      </c>
      <c r="I361">
        <v>0</v>
      </c>
      <c r="J361">
        <v>6</v>
      </c>
      <c r="K361">
        <v>9</v>
      </c>
      <c r="L361">
        <v>-3</v>
      </c>
      <c r="M361">
        <v>7</v>
      </c>
      <c r="N361">
        <v>8</v>
      </c>
      <c r="O361">
        <v>-1</v>
      </c>
      <c r="P361">
        <v>9</v>
      </c>
      <c r="Q361">
        <v>8</v>
      </c>
      <c r="R361">
        <v>1</v>
      </c>
      <c r="S361">
        <v>8</v>
      </c>
      <c r="T361">
        <v>8</v>
      </c>
      <c r="U361">
        <v>0</v>
      </c>
      <c r="V361">
        <v>7</v>
      </c>
      <c r="W361">
        <v>7</v>
      </c>
      <c r="X361">
        <v>0</v>
      </c>
      <c r="Y361">
        <v>8</v>
      </c>
      <c r="Z361">
        <v>7</v>
      </c>
      <c r="AA361">
        <v>1</v>
      </c>
      <c r="AB361">
        <v>6</v>
      </c>
      <c r="AC361">
        <v>6</v>
      </c>
      <c r="AD361">
        <v>0</v>
      </c>
      <c r="AE361">
        <v>7</v>
      </c>
      <c r="AF361">
        <v>7</v>
      </c>
      <c r="AG361">
        <v>0</v>
      </c>
      <c r="AH361">
        <v>9</v>
      </c>
      <c r="AI361">
        <v>8</v>
      </c>
      <c r="AJ361">
        <v>1</v>
      </c>
      <c r="AK361" t="s">
        <v>3424</v>
      </c>
      <c r="AL361" t="s">
        <v>3425</v>
      </c>
      <c r="AM361" t="s">
        <v>3426</v>
      </c>
      <c r="AN361" t="s">
        <v>3427</v>
      </c>
      <c r="AO361" t="s">
        <v>3428</v>
      </c>
      <c r="AP361" t="s">
        <v>3429</v>
      </c>
      <c r="AQ361" t="s">
        <v>3430</v>
      </c>
      <c r="AR361" t="s">
        <v>3431</v>
      </c>
      <c r="AS361" t="s">
        <v>3432</v>
      </c>
    </row>
    <row r="362" spans="1:45" x14ac:dyDescent="0.45">
      <c r="A362">
        <v>361</v>
      </c>
      <c r="B362">
        <v>2386</v>
      </c>
      <c r="C362" t="s">
        <v>72</v>
      </c>
      <c r="D362" t="s">
        <v>189</v>
      </c>
      <c r="E362" t="s">
        <v>74</v>
      </c>
      <c r="F362" t="s">
        <v>77</v>
      </c>
      <c r="G362" t="s">
        <v>76</v>
      </c>
      <c r="H362">
        <v>12</v>
      </c>
      <c r="I362">
        <v>0</v>
      </c>
      <c r="J362">
        <v>8</v>
      </c>
      <c r="K362">
        <v>7</v>
      </c>
      <c r="L362">
        <v>1</v>
      </c>
      <c r="M362">
        <v>9</v>
      </c>
      <c r="N362">
        <v>7</v>
      </c>
      <c r="O362">
        <v>2</v>
      </c>
      <c r="P362">
        <v>8</v>
      </c>
      <c r="Q362">
        <v>8</v>
      </c>
      <c r="R362">
        <v>0</v>
      </c>
      <c r="S362">
        <v>9</v>
      </c>
      <c r="T362">
        <v>9</v>
      </c>
      <c r="U362">
        <v>0</v>
      </c>
      <c r="V362">
        <v>8</v>
      </c>
      <c r="W362">
        <v>7</v>
      </c>
      <c r="X362">
        <v>1</v>
      </c>
      <c r="Y362">
        <v>9</v>
      </c>
      <c r="Z362">
        <v>10</v>
      </c>
      <c r="AA362">
        <v>-1</v>
      </c>
      <c r="AB362">
        <v>8</v>
      </c>
      <c r="AC362">
        <v>8</v>
      </c>
      <c r="AD362">
        <v>0</v>
      </c>
      <c r="AE362">
        <v>9</v>
      </c>
      <c r="AF362">
        <v>8</v>
      </c>
      <c r="AG362">
        <v>1</v>
      </c>
      <c r="AH362">
        <v>9</v>
      </c>
      <c r="AI362">
        <v>10</v>
      </c>
      <c r="AJ362">
        <v>-1</v>
      </c>
      <c r="AK362" t="s">
        <v>3433</v>
      </c>
      <c r="AL362" t="s">
        <v>3434</v>
      </c>
      <c r="AM362" t="s">
        <v>3435</v>
      </c>
      <c r="AN362" t="s">
        <v>3436</v>
      </c>
      <c r="AO362" t="s">
        <v>3437</v>
      </c>
      <c r="AP362" t="s">
        <v>3438</v>
      </c>
      <c r="AQ362" t="s">
        <v>3439</v>
      </c>
      <c r="AR362" t="s">
        <v>3440</v>
      </c>
      <c r="AS362" t="s">
        <v>3441</v>
      </c>
    </row>
    <row r="363" spans="1:45" x14ac:dyDescent="0.45">
      <c r="A363">
        <v>362</v>
      </c>
      <c r="B363">
        <v>2387</v>
      </c>
      <c r="C363" t="s">
        <v>72</v>
      </c>
      <c r="D363" t="s">
        <v>189</v>
      </c>
      <c r="E363" t="s">
        <v>74</v>
      </c>
      <c r="F363" t="s">
        <v>77</v>
      </c>
      <c r="G363" t="s">
        <v>76</v>
      </c>
      <c r="H363">
        <v>14.668958082490249</v>
      </c>
      <c r="I363">
        <v>0</v>
      </c>
      <c r="J363">
        <v>6</v>
      </c>
      <c r="K363">
        <v>3</v>
      </c>
      <c r="L363">
        <v>3</v>
      </c>
      <c r="M363">
        <v>5</v>
      </c>
      <c r="N363">
        <v>3</v>
      </c>
      <c r="O363">
        <v>2</v>
      </c>
      <c r="P363">
        <v>8</v>
      </c>
      <c r="Q363">
        <v>5</v>
      </c>
      <c r="R363">
        <v>3</v>
      </c>
      <c r="S363">
        <v>9</v>
      </c>
      <c r="T363">
        <v>6</v>
      </c>
      <c r="U363">
        <v>3</v>
      </c>
      <c r="V363">
        <v>8</v>
      </c>
      <c r="W363">
        <v>5</v>
      </c>
      <c r="X363">
        <v>3</v>
      </c>
      <c r="Y363">
        <v>9</v>
      </c>
      <c r="Z363">
        <v>6</v>
      </c>
      <c r="AA363">
        <v>3</v>
      </c>
      <c r="AB363">
        <v>8</v>
      </c>
      <c r="AC363">
        <v>4</v>
      </c>
      <c r="AD363">
        <v>4</v>
      </c>
      <c r="AE363">
        <v>7</v>
      </c>
      <c r="AF363">
        <v>6</v>
      </c>
      <c r="AG363">
        <v>1</v>
      </c>
      <c r="AH363">
        <v>9</v>
      </c>
      <c r="AI363">
        <v>6</v>
      </c>
      <c r="AJ363">
        <v>3</v>
      </c>
      <c r="AK363" t="s">
        <v>3442</v>
      </c>
      <c r="AL363" t="s">
        <v>3443</v>
      </c>
      <c r="AM363" t="s">
        <v>3444</v>
      </c>
      <c r="AN363" t="s">
        <v>3445</v>
      </c>
      <c r="AO363" t="s">
        <v>3446</v>
      </c>
      <c r="AP363" t="s">
        <v>3447</v>
      </c>
      <c r="AQ363" t="s">
        <v>3448</v>
      </c>
      <c r="AR363" t="s">
        <v>3449</v>
      </c>
      <c r="AS363" t="s">
        <v>3450</v>
      </c>
    </row>
    <row r="364" spans="1:45" x14ac:dyDescent="0.45">
      <c r="A364">
        <v>363</v>
      </c>
      <c r="B364">
        <v>2388</v>
      </c>
      <c r="C364" t="s">
        <v>78</v>
      </c>
      <c r="D364" t="s">
        <v>81</v>
      </c>
      <c r="E364" t="s">
        <v>74</v>
      </c>
      <c r="F364" t="s">
        <v>77</v>
      </c>
      <c r="G364" t="s">
        <v>76</v>
      </c>
      <c r="H364">
        <v>28.41884086070387</v>
      </c>
      <c r="I364">
        <v>1</v>
      </c>
      <c r="J364">
        <v>9</v>
      </c>
      <c r="K364">
        <v>8</v>
      </c>
      <c r="L364">
        <v>1</v>
      </c>
      <c r="M364">
        <v>8</v>
      </c>
      <c r="N364">
        <v>8</v>
      </c>
      <c r="O364">
        <v>0</v>
      </c>
      <c r="P364">
        <v>9</v>
      </c>
      <c r="Q364">
        <v>5</v>
      </c>
      <c r="R364">
        <v>4</v>
      </c>
      <c r="S364">
        <v>10</v>
      </c>
      <c r="T364">
        <v>7</v>
      </c>
      <c r="U364">
        <v>3</v>
      </c>
      <c r="V364">
        <v>9</v>
      </c>
      <c r="W364">
        <v>5</v>
      </c>
      <c r="X364">
        <v>4</v>
      </c>
      <c r="Y364">
        <v>8</v>
      </c>
      <c r="Z364">
        <v>8</v>
      </c>
      <c r="AA364">
        <v>0</v>
      </c>
      <c r="AB364">
        <v>9</v>
      </c>
      <c r="AC364">
        <v>5</v>
      </c>
      <c r="AD364">
        <v>4</v>
      </c>
      <c r="AE364">
        <v>8</v>
      </c>
      <c r="AF364">
        <v>7</v>
      </c>
      <c r="AG364">
        <v>1</v>
      </c>
      <c r="AH364">
        <v>9</v>
      </c>
      <c r="AI364">
        <v>8</v>
      </c>
      <c r="AJ364">
        <v>1</v>
      </c>
      <c r="AK364" t="s">
        <v>3451</v>
      </c>
      <c r="AL364" t="s">
        <v>3452</v>
      </c>
      <c r="AM364" t="s">
        <v>3453</v>
      </c>
      <c r="AN364" t="s">
        <v>3454</v>
      </c>
      <c r="AO364" t="s">
        <v>3455</v>
      </c>
      <c r="AP364" t="s">
        <v>3456</v>
      </c>
      <c r="AQ364" t="s">
        <v>3457</v>
      </c>
      <c r="AR364" t="s">
        <v>3458</v>
      </c>
      <c r="AS364" t="s">
        <v>3459</v>
      </c>
    </row>
    <row r="365" spans="1:45" x14ac:dyDescent="0.45">
      <c r="A365">
        <v>364</v>
      </c>
      <c r="B365">
        <v>2389</v>
      </c>
      <c r="C365" t="s">
        <v>78</v>
      </c>
      <c r="D365" t="s">
        <v>73</v>
      </c>
      <c r="E365" t="s">
        <v>74</v>
      </c>
      <c r="F365" t="s">
        <v>77</v>
      </c>
      <c r="G365" t="s">
        <v>76</v>
      </c>
      <c r="H365">
        <v>20.371936796111957</v>
      </c>
      <c r="I365">
        <v>1</v>
      </c>
      <c r="J365">
        <v>6</v>
      </c>
      <c r="K365">
        <v>4</v>
      </c>
      <c r="L365">
        <v>2</v>
      </c>
      <c r="M365">
        <v>7</v>
      </c>
      <c r="N365">
        <v>5</v>
      </c>
      <c r="O365">
        <v>2</v>
      </c>
      <c r="P365">
        <v>9</v>
      </c>
      <c r="Q365">
        <v>5</v>
      </c>
      <c r="R365">
        <v>4</v>
      </c>
      <c r="S365">
        <v>8</v>
      </c>
      <c r="T365">
        <v>7</v>
      </c>
      <c r="U365">
        <v>1</v>
      </c>
      <c r="V365">
        <v>6</v>
      </c>
      <c r="W365">
        <v>5</v>
      </c>
      <c r="X365">
        <v>1</v>
      </c>
      <c r="Y365">
        <v>8</v>
      </c>
      <c r="Z365">
        <v>7</v>
      </c>
      <c r="AA365">
        <v>1</v>
      </c>
      <c r="AB365">
        <v>7</v>
      </c>
      <c r="AC365">
        <v>5</v>
      </c>
      <c r="AD365">
        <v>2</v>
      </c>
      <c r="AE365">
        <v>8</v>
      </c>
      <c r="AF365">
        <v>6</v>
      </c>
      <c r="AG365">
        <v>2</v>
      </c>
      <c r="AH365">
        <v>9</v>
      </c>
      <c r="AI365">
        <v>7</v>
      </c>
      <c r="AJ365">
        <v>2</v>
      </c>
      <c r="AK365" t="s">
        <v>3460</v>
      </c>
      <c r="AL365" t="s">
        <v>3461</v>
      </c>
      <c r="AM365" t="s">
        <v>3462</v>
      </c>
      <c r="AN365" t="s">
        <v>3463</v>
      </c>
      <c r="AO365" t="s">
        <v>3464</v>
      </c>
      <c r="AP365" t="s">
        <v>3465</v>
      </c>
      <c r="AQ365" t="s">
        <v>3466</v>
      </c>
      <c r="AR365" t="s">
        <v>3467</v>
      </c>
      <c r="AS365" t="s">
        <v>3468</v>
      </c>
    </row>
    <row r="366" spans="1:45" x14ac:dyDescent="0.45">
      <c r="A366">
        <v>365</v>
      </c>
      <c r="B366">
        <v>2390</v>
      </c>
      <c r="C366" t="s">
        <v>72</v>
      </c>
      <c r="D366" t="s">
        <v>81</v>
      </c>
      <c r="E366" t="s">
        <v>74</v>
      </c>
      <c r="F366" t="s">
        <v>77</v>
      </c>
      <c r="G366" t="s">
        <v>76</v>
      </c>
      <c r="H366">
        <v>38.514138274483862</v>
      </c>
      <c r="I366">
        <v>0</v>
      </c>
      <c r="J366">
        <v>7</v>
      </c>
      <c r="K366">
        <v>9</v>
      </c>
      <c r="L366">
        <v>-2</v>
      </c>
      <c r="M366">
        <v>6</v>
      </c>
      <c r="N366">
        <v>9</v>
      </c>
      <c r="O366">
        <v>-3</v>
      </c>
      <c r="P366">
        <v>8</v>
      </c>
      <c r="Q366">
        <v>8</v>
      </c>
      <c r="R366">
        <v>0</v>
      </c>
      <c r="S366">
        <v>9</v>
      </c>
      <c r="T366">
        <v>9</v>
      </c>
      <c r="U366">
        <v>0</v>
      </c>
      <c r="V366">
        <v>7</v>
      </c>
      <c r="W366">
        <v>9</v>
      </c>
      <c r="X366">
        <v>-2</v>
      </c>
      <c r="Y366">
        <v>9</v>
      </c>
      <c r="Z366">
        <v>7</v>
      </c>
      <c r="AA366">
        <v>2</v>
      </c>
      <c r="AB366">
        <v>7</v>
      </c>
      <c r="AC366">
        <v>7</v>
      </c>
      <c r="AD366">
        <v>0</v>
      </c>
      <c r="AE366">
        <v>8</v>
      </c>
      <c r="AF366">
        <v>7</v>
      </c>
      <c r="AG366">
        <v>1</v>
      </c>
      <c r="AH366">
        <v>9</v>
      </c>
      <c r="AI366">
        <v>7</v>
      </c>
      <c r="AJ366">
        <v>2</v>
      </c>
      <c r="AK366" t="s">
        <v>3469</v>
      </c>
      <c r="AL366" t="s">
        <v>3470</v>
      </c>
      <c r="AM366" t="s">
        <v>3471</v>
      </c>
      <c r="AN366" t="s">
        <v>3472</v>
      </c>
      <c r="AO366" t="s">
        <v>3473</v>
      </c>
      <c r="AP366" t="s">
        <v>3474</v>
      </c>
      <c r="AQ366" t="s">
        <v>3475</v>
      </c>
      <c r="AR366" t="s">
        <v>3476</v>
      </c>
      <c r="AS366" t="s">
        <v>3477</v>
      </c>
    </row>
    <row r="367" spans="1:45" x14ac:dyDescent="0.45">
      <c r="A367">
        <v>366</v>
      </c>
      <c r="B367">
        <v>2391</v>
      </c>
      <c r="C367" t="s">
        <v>78</v>
      </c>
      <c r="D367" t="s">
        <v>73</v>
      </c>
      <c r="E367" t="s">
        <v>74</v>
      </c>
      <c r="F367" t="s">
        <v>75</v>
      </c>
      <c r="G367" t="s">
        <v>76</v>
      </c>
      <c r="H367">
        <v>65.135412103010992</v>
      </c>
      <c r="I367">
        <v>1</v>
      </c>
      <c r="J367">
        <v>7</v>
      </c>
      <c r="K367">
        <v>7</v>
      </c>
      <c r="L367">
        <v>0</v>
      </c>
      <c r="M367">
        <v>8</v>
      </c>
      <c r="N367">
        <v>8</v>
      </c>
      <c r="O367">
        <v>0</v>
      </c>
      <c r="P367">
        <v>6</v>
      </c>
      <c r="Q367">
        <v>8</v>
      </c>
      <c r="R367">
        <v>-2</v>
      </c>
      <c r="S367">
        <v>9</v>
      </c>
      <c r="T367">
        <v>8</v>
      </c>
      <c r="U367">
        <v>1</v>
      </c>
      <c r="V367">
        <v>7</v>
      </c>
      <c r="W367">
        <v>5</v>
      </c>
      <c r="X367">
        <v>2</v>
      </c>
      <c r="Y367">
        <v>7</v>
      </c>
      <c r="Z367">
        <v>6</v>
      </c>
      <c r="AA367">
        <v>1</v>
      </c>
      <c r="AB367">
        <v>6</v>
      </c>
      <c r="AC367">
        <v>5</v>
      </c>
      <c r="AD367">
        <v>1</v>
      </c>
      <c r="AE367">
        <v>8</v>
      </c>
      <c r="AF367">
        <v>6</v>
      </c>
      <c r="AG367">
        <v>2</v>
      </c>
      <c r="AH367">
        <v>7</v>
      </c>
      <c r="AI367">
        <v>6</v>
      </c>
      <c r="AJ367">
        <v>1</v>
      </c>
      <c r="AK367" t="s">
        <v>3478</v>
      </c>
      <c r="AL367" t="s">
        <v>3479</v>
      </c>
      <c r="AM367" t="s">
        <v>3480</v>
      </c>
      <c r="AN367" t="s">
        <v>3481</v>
      </c>
      <c r="AO367" t="s">
        <v>3482</v>
      </c>
      <c r="AP367" t="s">
        <v>3483</v>
      </c>
      <c r="AQ367" t="s">
        <v>3484</v>
      </c>
      <c r="AR367" t="s">
        <v>3485</v>
      </c>
      <c r="AS367" t="s">
        <v>3486</v>
      </c>
    </row>
    <row r="368" spans="1:45" x14ac:dyDescent="0.45">
      <c r="A368">
        <v>367</v>
      </c>
      <c r="B368">
        <v>2392</v>
      </c>
      <c r="C368" t="s">
        <v>72</v>
      </c>
      <c r="D368" t="s">
        <v>189</v>
      </c>
      <c r="E368" t="s">
        <v>74</v>
      </c>
      <c r="F368" t="s">
        <v>77</v>
      </c>
      <c r="G368" t="s">
        <v>76</v>
      </c>
      <c r="H368">
        <v>16.892988370761596</v>
      </c>
      <c r="I368">
        <v>0</v>
      </c>
      <c r="J368">
        <v>5</v>
      </c>
      <c r="K368">
        <v>8</v>
      </c>
      <c r="L368">
        <v>-3</v>
      </c>
      <c r="M368">
        <v>7</v>
      </c>
      <c r="N368">
        <v>9</v>
      </c>
      <c r="O368">
        <v>-2</v>
      </c>
      <c r="P368">
        <v>8</v>
      </c>
      <c r="Q368">
        <v>8</v>
      </c>
      <c r="R368">
        <v>0</v>
      </c>
      <c r="S368">
        <v>9</v>
      </c>
      <c r="T368">
        <v>8</v>
      </c>
      <c r="U368">
        <v>1</v>
      </c>
      <c r="V368">
        <v>6</v>
      </c>
      <c r="W368">
        <v>9</v>
      </c>
      <c r="X368">
        <v>-3</v>
      </c>
      <c r="Y368">
        <v>8</v>
      </c>
      <c r="Z368">
        <v>10</v>
      </c>
      <c r="AA368">
        <v>-2</v>
      </c>
      <c r="AB368">
        <v>7</v>
      </c>
      <c r="AC368">
        <v>10</v>
      </c>
      <c r="AD368">
        <v>-3</v>
      </c>
      <c r="AE368">
        <v>8</v>
      </c>
      <c r="AF368">
        <v>9</v>
      </c>
      <c r="AG368">
        <v>-1</v>
      </c>
      <c r="AH368">
        <v>9</v>
      </c>
      <c r="AI368">
        <v>10</v>
      </c>
      <c r="AJ368">
        <v>-1</v>
      </c>
      <c r="AK368" t="s">
        <v>3487</v>
      </c>
      <c r="AL368" t="s">
        <v>3488</v>
      </c>
      <c r="AM368" t="s">
        <v>3489</v>
      </c>
      <c r="AN368" t="s">
        <v>3490</v>
      </c>
      <c r="AO368" t="s">
        <v>3491</v>
      </c>
      <c r="AP368" t="s">
        <v>3492</v>
      </c>
      <c r="AQ368" t="s">
        <v>3493</v>
      </c>
      <c r="AR368" t="s">
        <v>3494</v>
      </c>
      <c r="AS368" t="s">
        <v>3495</v>
      </c>
    </row>
    <row r="369" spans="1:45" x14ac:dyDescent="0.45">
      <c r="A369">
        <v>368</v>
      </c>
      <c r="B369">
        <v>2393</v>
      </c>
      <c r="C369" t="s">
        <v>72</v>
      </c>
      <c r="D369" t="s">
        <v>81</v>
      </c>
      <c r="E369" t="s">
        <v>74</v>
      </c>
      <c r="F369" t="s">
        <v>75</v>
      </c>
      <c r="G369" t="s">
        <v>76</v>
      </c>
      <c r="H369">
        <v>23.605855353203044</v>
      </c>
      <c r="I369">
        <v>2</v>
      </c>
      <c r="J369">
        <v>6</v>
      </c>
      <c r="K369">
        <v>7</v>
      </c>
      <c r="L369">
        <v>-1</v>
      </c>
      <c r="M369">
        <v>8</v>
      </c>
      <c r="N369">
        <v>7</v>
      </c>
      <c r="O369">
        <v>1</v>
      </c>
      <c r="P369">
        <v>9</v>
      </c>
      <c r="Q369">
        <v>8</v>
      </c>
      <c r="R369">
        <v>1</v>
      </c>
      <c r="S369">
        <v>9</v>
      </c>
      <c r="T369">
        <v>8</v>
      </c>
      <c r="U369">
        <v>1</v>
      </c>
      <c r="V369">
        <v>8</v>
      </c>
      <c r="W369">
        <v>6</v>
      </c>
      <c r="X369">
        <v>2</v>
      </c>
      <c r="Y369">
        <v>9</v>
      </c>
      <c r="Z369">
        <v>8</v>
      </c>
      <c r="AA369">
        <v>1</v>
      </c>
      <c r="AB369">
        <v>8</v>
      </c>
      <c r="AC369">
        <v>6</v>
      </c>
      <c r="AD369">
        <v>2</v>
      </c>
      <c r="AE369">
        <v>9</v>
      </c>
      <c r="AF369">
        <v>7</v>
      </c>
      <c r="AG369">
        <v>2</v>
      </c>
      <c r="AH369">
        <v>8</v>
      </c>
      <c r="AI369">
        <v>8</v>
      </c>
      <c r="AJ369">
        <v>0</v>
      </c>
      <c r="AK369" t="s">
        <v>3496</v>
      </c>
      <c r="AL369" t="s">
        <v>3497</v>
      </c>
      <c r="AM369" t="s">
        <v>3498</v>
      </c>
      <c r="AN369" t="s">
        <v>3499</v>
      </c>
      <c r="AO369" t="s">
        <v>3500</v>
      </c>
      <c r="AP369" t="s">
        <v>3501</v>
      </c>
      <c r="AQ369" t="s">
        <v>3502</v>
      </c>
      <c r="AR369" t="s">
        <v>3503</v>
      </c>
      <c r="AS369" t="s">
        <v>3504</v>
      </c>
    </row>
    <row r="370" spans="1:45" x14ac:dyDescent="0.45">
      <c r="A370">
        <v>369</v>
      </c>
      <c r="B370">
        <v>2394</v>
      </c>
      <c r="C370" t="s">
        <v>78</v>
      </c>
      <c r="D370" t="s">
        <v>81</v>
      </c>
      <c r="E370" t="s">
        <v>74</v>
      </c>
      <c r="F370" t="s">
        <v>77</v>
      </c>
      <c r="G370" t="s">
        <v>76</v>
      </c>
      <c r="H370">
        <v>14.720926236722081</v>
      </c>
      <c r="I370">
        <v>0</v>
      </c>
      <c r="J370">
        <v>6</v>
      </c>
      <c r="K370">
        <v>6</v>
      </c>
      <c r="L370">
        <v>0</v>
      </c>
      <c r="M370">
        <v>7</v>
      </c>
      <c r="N370">
        <v>6</v>
      </c>
      <c r="O370">
        <v>1</v>
      </c>
      <c r="P370">
        <v>9</v>
      </c>
      <c r="Q370">
        <v>8</v>
      </c>
      <c r="R370">
        <v>1</v>
      </c>
      <c r="S370">
        <v>8</v>
      </c>
      <c r="T370">
        <v>9</v>
      </c>
      <c r="U370">
        <v>-1</v>
      </c>
      <c r="V370">
        <v>7</v>
      </c>
      <c r="W370">
        <v>8</v>
      </c>
      <c r="X370">
        <v>-1</v>
      </c>
      <c r="Y370">
        <v>8</v>
      </c>
      <c r="Z370">
        <v>8</v>
      </c>
      <c r="AA370">
        <v>0</v>
      </c>
      <c r="AB370">
        <v>7</v>
      </c>
      <c r="AC370">
        <v>5</v>
      </c>
      <c r="AD370">
        <v>2</v>
      </c>
      <c r="AE370">
        <v>8</v>
      </c>
      <c r="AF370">
        <v>7</v>
      </c>
      <c r="AG370">
        <v>1</v>
      </c>
      <c r="AH370">
        <v>9</v>
      </c>
      <c r="AI370">
        <v>8</v>
      </c>
      <c r="AJ370">
        <v>1</v>
      </c>
      <c r="AK370" t="s">
        <v>3505</v>
      </c>
      <c r="AL370" t="s">
        <v>3506</v>
      </c>
      <c r="AM370" t="s">
        <v>3507</v>
      </c>
      <c r="AN370" t="s">
        <v>3508</v>
      </c>
      <c r="AO370" t="s">
        <v>3509</v>
      </c>
      <c r="AP370" t="s">
        <v>3510</v>
      </c>
      <c r="AQ370" t="s">
        <v>3511</v>
      </c>
      <c r="AR370" t="s">
        <v>3512</v>
      </c>
      <c r="AS370" t="s">
        <v>3513</v>
      </c>
    </row>
    <row r="371" spans="1:45" x14ac:dyDescent="0.45">
      <c r="A371">
        <v>370</v>
      </c>
      <c r="B371">
        <v>2395</v>
      </c>
      <c r="C371" t="s">
        <v>78</v>
      </c>
      <c r="D371" t="s">
        <v>189</v>
      </c>
      <c r="E371" t="s">
        <v>74</v>
      </c>
      <c r="F371" t="s">
        <v>77</v>
      </c>
      <c r="G371" t="s">
        <v>76</v>
      </c>
      <c r="H371">
        <v>19.607543896702424</v>
      </c>
      <c r="I371">
        <v>0</v>
      </c>
      <c r="J371">
        <v>7</v>
      </c>
      <c r="K371">
        <v>6</v>
      </c>
      <c r="L371">
        <v>1</v>
      </c>
      <c r="M371">
        <v>8</v>
      </c>
      <c r="N371">
        <v>7</v>
      </c>
      <c r="O371">
        <v>1</v>
      </c>
      <c r="P371">
        <v>6</v>
      </c>
      <c r="Q371">
        <v>7</v>
      </c>
      <c r="R371">
        <v>-1</v>
      </c>
      <c r="S371">
        <v>9</v>
      </c>
      <c r="T371">
        <v>9</v>
      </c>
      <c r="U371">
        <v>0</v>
      </c>
      <c r="V371">
        <v>8</v>
      </c>
      <c r="W371">
        <v>7</v>
      </c>
      <c r="X371">
        <v>1</v>
      </c>
      <c r="Y371">
        <v>9</v>
      </c>
      <c r="Z371">
        <v>9</v>
      </c>
      <c r="AA371">
        <v>0</v>
      </c>
      <c r="AB371">
        <v>8</v>
      </c>
      <c r="AC371">
        <v>9</v>
      </c>
      <c r="AD371">
        <v>-1</v>
      </c>
      <c r="AE371">
        <v>7</v>
      </c>
      <c r="AF371">
        <v>9</v>
      </c>
      <c r="AG371">
        <v>-2</v>
      </c>
      <c r="AH371">
        <v>9</v>
      </c>
      <c r="AI371">
        <v>9</v>
      </c>
      <c r="AJ371">
        <v>0</v>
      </c>
      <c r="AK371" t="s">
        <v>3514</v>
      </c>
      <c r="AL371" t="s">
        <v>3515</v>
      </c>
      <c r="AM371" t="s">
        <v>3516</v>
      </c>
      <c r="AN371" t="s">
        <v>3517</v>
      </c>
      <c r="AO371" t="s">
        <v>3518</v>
      </c>
      <c r="AP371" t="s">
        <v>3519</v>
      </c>
      <c r="AQ371" t="s">
        <v>255</v>
      </c>
      <c r="AR371" t="s">
        <v>3520</v>
      </c>
      <c r="AS371" t="s">
        <v>3521</v>
      </c>
    </row>
    <row r="372" spans="1:45" x14ac:dyDescent="0.45">
      <c r="A372">
        <v>371</v>
      </c>
      <c r="B372">
        <v>2396</v>
      </c>
      <c r="C372" t="s">
        <v>78</v>
      </c>
      <c r="D372" t="s">
        <v>79</v>
      </c>
      <c r="E372" t="s">
        <v>74</v>
      </c>
      <c r="F372" t="s">
        <v>75</v>
      </c>
      <c r="G372" t="s">
        <v>76</v>
      </c>
      <c r="H372">
        <v>62.611071015687976</v>
      </c>
      <c r="I372">
        <v>3</v>
      </c>
      <c r="J372">
        <v>8</v>
      </c>
      <c r="K372">
        <v>4</v>
      </c>
      <c r="L372">
        <v>4</v>
      </c>
      <c r="M372">
        <v>8</v>
      </c>
      <c r="N372">
        <v>4</v>
      </c>
      <c r="O372">
        <v>4</v>
      </c>
      <c r="P372">
        <v>7</v>
      </c>
      <c r="Q372">
        <v>5</v>
      </c>
      <c r="R372">
        <v>2</v>
      </c>
      <c r="S372">
        <v>9</v>
      </c>
      <c r="T372">
        <v>5</v>
      </c>
      <c r="U372">
        <v>4</v>
      </c>
      <c r="V372">
        <v>8</v>
      </c>
      <c r="W372">
        <v>5</v>
      </c>
      <c r="X372">
        <v>3</v>
      </c>
      <c r="Y372">
        <v>9</v>
      </c>
      <c r="Z372">
        <v>4</v>
      </c>
      <c r="AA372">
        <v>5</v>
      </c>
      <c r="AB372">
        <v>8</v>
      </c>
      <c r="AC372">
        <v>5</v>
      </c>
      <c r="AD372">
        <v>3</v>
      </c>
      <c r="AE372">
        <v>7</v>
      </c>
      <c r="AF372">
        <v>6</v>
      </c>
      <c r="AG372">
        <v>1</v>
      </c>
      <c r="AH372">
        <v>8</v>
      </c>
      <c r="AI372">
        <v>5</v>
      </c>
      <c r="AJ372">
        <v>3</v>
      </c>
      <c r="AK372" t="s">
        <v>3522</v>
      </c>
      <c r="AL372" t="s">
        <v>3523</v>
      </c>
      <c r="AM372" t="s">
        <v>3524</v>
      </c>
      <c r="AN372" t="s">
        <v>3525</v>
      </c>
      <c r="AO372" t="s">
        <v>3526</v>
      </c>
      <c r="AP372" t="s">
        <v>3527</v>
      </c>
      <c r="AQ372" t="s">
        <v>3528</v>
      </c>
      <c r="AR372" t="s">
        <v>3529</v>
      </c>
      <c r="AS372" t="s">
        <v>3530</v>
      </c>
    </row>
    <row r="373" spans="1:45" x14ac:dyDescent="0.45">
      <c r="A373">
        <v>372</v>
      </c>
      <c r="B373">
        <v>2397</v>
      </c>
      <c r="C373" t="s">
        <v>72</v>
      </c>
      <c r="D373" t="s">
        <v>73</v>
      </c>
      <c r="E373" t="s">
        <v>74</v>
      </c>
      <c r="F373" t="s">
        <v>77</v>
      </c>
      <c r="G373" t="s">
        <v>76</v>
      </c>
      <c r="H373">
        <v>37.671974355279495</v>
      </c>
      <c r="I373">
        <v>2</v>
      </c>
      <c r="J373">
        <v>6</v>
      </c>
      <c r="K373">
        <v>6</v>
      </c>
      <c r="L373">
        <v>0</v>
      </c>
      <c r="M373">
        <v>7</v>
      </c>
      <c r="N373">
        <v>6</v>
      </c>
      <c r="O373">
        <v>1</v>
      </c>
      <c r="P373">
        <v>8</v>
      </c>
      <c r="Q373">
        <v>8</v>
      </c>
      <c r="R373">
        <v>0</v>
      </c>
      <c r="S373">
        <v>9</v>
      </c>
      <c r="T373">
        <v>8</v>
      </c>
      <c r="U373">
        <v>1</v>
      </c>
      <c r="V373">
        <v>7</v>
      </c>
      <c r="W373">
        <v>6</v>
      </c>
      <c r="X373">
        <v>1</v>
      </c>
      <c r="Y373">
        <v>9</v>
      </c>
      <c r="Z373">
        <v>7</v>
      </c>
      <c r="AA373">
        <v>2</v>
      </c>
      <c r="AB373">
        <v>6</v>
      </c>
      <c r="AC373">
        <v>5</v>
      </c>
      <c r="AD373">
        <v>1</v>
      </c>
      <c r="AE373">
        <v>8</v>
      </c>
      <c r="AF373">
        <v>6</v>
      </c>
      <c r="AG373">
        <v>2</v>
      </c>
      <c r="AH373">
        <v>9</v>
      </c>
      <c r="AI373">
        <v>6</v>
      </c>
      <c r="AJ373">
        <v>3</v>
      </c>
      <c r="AK373" t="s">
        <v>3531</v>
      </c>
      <c r="AL373" t="s">
        <v>3532</v>
      </c>
      <c r="AM373" t="s">
        <v>3533</v>
      </c>
      <c r="AN373" t="s">
        <v>3534</v>
      </c>
      <c r="AO373" t="s">
        <v>3535</v>
      </c>
      <c r="AP373" t="s">
        <v>3536</v>
      </c>
      <c r="AQ373" t="s">
        <v>3537</v>
      </c>
      <c r="AR373" t="s">
        <v>3538</v>
      </c>
      <c r="AS373" t="s">
        <v>3539</v>
      </c>
    </row>
    <row r="374" spans="1:45" x14ac:dyDescent="0.45">
      <c r="A374">
        <v>373</v>
      </c>
      <c r="B374">
        <v>2398</v>
      </c>
      <c r="C374" t="s">
        <v>72</v>
      </c>
      <c r="D374" t="s">
        <v>73</v>
      </c>
      <c r="E374" t="s">
        <v>74</v>
      </c>
      <c r="F374" t="s">
        <v>77</v>
      </c>
      <c r="G374" t="s">
        <v>76</v>
      </c>
      <c r="H374">
        <v>91.149672375335228</v>
      </c>
      <c r="I374">
        <v>2</v>
      </c>
      <c r="J374">
        <v>8</v>
      </c>
      <c r="K374">
        <v>8</v>
      </c>
      <c r="L374">
        <v>0</v>
      </c>
      <c r="M374">
        <v>7</v>
      </c>
      <c r="N374">
        <v>8</v>
      </c>
      <c r="O374">
        <v>-1</v>
      </c>
      <c r="P374">
        <v>9</v>
      </c>
      <c r="Q374">
        <v>9</v>
      </c>
      <c r="R374">
        <v>0</v>
      </c>
      <c r="S374">
        <v>8</v>
      </c>
      <c r="T374">
        <v>9</v>
      </c>
      <c r="U374">
        <v>-1</v>
      </c>
      <c r="V374">
        <v>7</v>
      </c>
      <c r="W374">
        <v>5</v>
      </c>
      <c r="X374">
        <v>2</v>
      </c>
      <c r="Y374">
        <v>9</v>
      </c>
      <c r="Z374">
        <v>5</v>
      </c>
      <c r="AA374">
        <v>4</v>
      </c>
      <c r="AB374">
        <v>8</v>
      </c>
      <c r="AC374">
        <v>5</v>
      </c>
      <c r="AD374">
        <v>3</v>
      </c>
      <c r="AE374">
        <v>7</v>
      </c>
      <c r="AF374">
        <v>6</v>
      </c>
      <c r="AG374">
        <v>1</v>
      </c>
      <c r="AH374">
        <v>9</v>
      </c>
      <c r="AI374">
        <v>5</v>
      </c>
      <c r="AJ374">
        <v>4</v>
      </c>
      <c r="AK374" t="s">
        <v>3540</v>
      </c>
      <c r="AL374" t="s">
        <v>3541</v>
      </c>
      <c r="AM374" t="s">
        <v>3542</v>
      </c>
      <c r="AN374" t="s">
        <v>3543</v>
      </c>
      <c r="AO374" t="s">
        <v>3544</v>
      </c>
      <c r="AP374" t="s">
        <v>3545</v>
      </c>
      <c r="AQ374" t="s">
        <v>3546</v>
      </c>
      <c r="AR374" t="s">
        <v>3547</v>
      </c>
      <c r="AS374" t="s">
        <v>3548</v>
      </c>
    </row>
    <row r="375" spans="1:45" x14ac:dyDescent="0.45">
      <c r="A375">
        <v>374</v>
      </c>
      <c r="B375">
        <v>2399</v>
      </c>
      <c r="C375" t="s">
        <v>72</v>
      </c>
      <c r="D375" t="s">
        <v>73</v>
      </c>
      <c r="E375" t="s">
        <v>74</v>
      </c>
      <c r="F375" t="s">
        <v>77</v>
      </c>
      <c r="G375" t="s">
        <v>76</v>
      </c>
      <c r="H375">
        <v>45.005889833381801</v>
      </c>
      <c r="I375">
        <v>1</v>
      </c>
      <c r="J375">
        <v>6</v>
      </c>
      <c r="K375">
        <v>6</v>
      </c>
      <c r="L375">
        <v>0</v>
      </c>
      <c r="M375">
        <v>5</v>
      </c>
      <c r="N375">
        <v>6</v>
      </c>
      <c r="O375">
        <v>-1</v>
      </c>
      <c r="P375">
        <v>7</v>
      </c>
      <c r="Q375">
        <v>7</v>
      </c>
      <c r="R375">
        <v>0</v>
      </c>
      <c r="S375">
        <v>9</v>
      </c>
      <c r="T375">
        <v>7</v>
      </c>
      <c r="U375">
        <v>2</v>
      </c>
      <c r="V375">
        <v>7</v>
      </c>
      <c r="W375">
        <v>6</v>
      </c>
      <c r="X375">
        <v>1</v>
      </c>
      <c r="Y375">
        <v>8</v>
      </c>
      <c r="Z375">
        <v>6</v>
      </c>
      <c r="AA375">
        <v>2</v>
      </c>
      <c r="AB375">
        <v>8</v>
      </c>
      <c r="AC375">
        <v>6</v>
      </c>
      <c r="AD375">
        <v>2</v>
      </c>
      <c r="AE375">
        <v>6</v>
      </c>
      <c r="AF375">
        <v>6</v>
      </c>
      <c r="AG375">
        <v>0</v>
      </c>
      <c r="AH375">
        <v>8</v>
      </c>
      <c r="AI375">
        <v>6</v>
      </c>
      <c r="AJ375">
        <v>2</v>
      </c>
      <c r="AK375" t="s">
        <v>3549</v>
      </c>
      <c r="AL375" t="s">
        <v>3550</v>
      </c>
      <c r="AM375" t="s">
        <v>3551</v>
      </c>
      <c r="AN375" t="s">
        <v>3552</v>
      </c>
      <c r="AO375" t="s">
        <v>3553</v>
      </c>
      <c r="AP375" t="s">
        <v>3554</v>
      </c>
      <c r="AQ375" t="s">
        <v>3555</v>
      </c>
      <c r="AR375" t="s">
        <v>3556</v>
      </c>
      <c r="AS375" t="s">
        <v>3557</v>
      </c>
    </row>
    <row r="376" spans="1:45" x14ac:dyDescent="0.45">
      <c r="A376">
        <v>375</v>
      </c>
      <c r="B376">
        <v>2400</v>
      </c>
      <c r="C376" t="s">
        <v>72</v>
      </c>
      <c r="D376" t="s">
        <v>73</v>
      </c>
      <c r="E376" t="s">
        <v>74</v>
      </c>
      <c r="F376" t="s">
        <v>77</v>
      </c>
      <c r="G376" t="s">
        <v>76</v>
      </c>
      <c r="H376">
        <v>65.092784629886594</v>
      </c>
      <c r="I376">
        <v>1</v>
      </c>
      <c r="J376">
        <v>8</v>
      </c>
      <c r="K376">
        <v>8</v>
      </c>
      <c r="L376">
        <v>0</v>
      </c>
      <c r="M376">
        <v>7</v>
      </c>
      <c r="N376">
        <v>8</v>
      </c>
      <c r="O376">
        <v>-1</v>
      </c>
      <c r="P376">
        <v>9</v>
      </c>
      <c r="Q376">
        <v>8</v>
      </c>
      <c r="R376">
        <v>1</v>
      </c>
      <c r="S376">
        <v>8</v>
      </c>
      <c r="T376">
        <v>8</v>
      </c>
      <c r="U376">
        <v>0</v>
      </c>
      <c r="V376">
        <v>9</v>
      </c>
      <c r="W376">
        <v>7</v>
      </c>
      <c r="X376">
        <v>2</v>
      </c>
      <c r="Y376">
        <v>8</v>
      </c>
      <c r="Z376">
        <v>6</v>
      </c>
      <c r="AA376">
        <v>2</v>
      </c>
      <c r="AB376">
        <v>9</v>
      </c>
      <c r="AC376">
        <v>6</v>
      </c>
      <c r="AD376">
        <v>3</v>
      </c>
      <c r="AE376">
        <v>8</v>
      </c>
      <c r="AF376">
        <v>5</v>
      </c>
      <c r="AG376">
        <v>3</v>
      </c>
      <c r="AH376">
        <v>9</v>
      </c>
      <c r="AI376">
        <v>7</v>
      </c>
      <c r="AJ376">
        <v>2</v>
      </c>
      <c r="AK376" t="s">
        <v>3558</v>
      </c>
      <c r="AL376" t="s">
        <v>3559</v>
      </c>
      <c r="AM376" t="s">
        <v>3560</v>
      </c>
      <c r="AN376" t="s">
        <v>3561</v>
      </c>
      <c r="AO376" t="s">
        <v>3562</v>
      </c>
      <c r="AP376" t="s">
        <v>3563</v>
      </c>
      <c r="AQ376" t="s">
        <v>3564</v>
      </c>
      <c r="AR376" t="s">
        <v>3565</v>
      </c>
      <c r="AS376" t="s">
        <v>3566</v>
      </c>
    </row>
    <row r="377" spans="1:45" x14ac:dyDescent="0.45">
      <c r="A377">
        <v>376</v>
      </c>
      <c r="B377">
        <v>2401</v>
      </c>
      <c r="C377" t="s">
        <v>72</v>
      </c>
      <c r="D377" t="s">
        <v>81</v>
      </c>
      <c r="E377" t="s">
        <v>74</v>
      </c>
      <c r="F377" t="s">
        <v>77</v>
      </c>
      <c r="G377" t="s">
        <v>76</v>
      </c>
      <c r="H377">
        <v>20.45492231162148</v>
      </c>
      <c r="I377">
        <v>0</v>
      </c>
      <c r="J377">
        <v>7</v>
      </c>
      <c r="K377">
        <v>6</v>
      </c>
      <c r="L377">
        <v>1</v>
      </c>
      <c r="M377">
        <v>8</v>
      </c>
      <c r="N377">
        <v>6</v>
      </c>
      <c r="O377">
        <v>2</v>
      </c>
      <c r="P377">
        <v>6</v>
      </c>
      <c r="Q377">
        <v>5</v>
      </c>
      <c r="R377">
        <v>1</v>
      </c>
      <c r="S377">
        <v>9</v>
      </c>
      <c r="T377">
        <v>7</v>
      </c>
      <c r="U377">
        <v>2</v>
      </c>
      <c r="V377">
        <v>7</v>
      </c>
      <c r="W377">
        <v>6</v>
      </c>
      <c r="X377">
        <v>1</v>
      </c>
      <c r="Y377">
        <v>8</v>
      </c>
      <c r="Z377">
        <v>7</v>
      </c>
      <c r="AA377">
        <v>1</v>
      </c>
      <c r="AB377">
        <v>7</v>
      </c>
      <c r="AC377">
        <v>5</v>
      </c>
      <c r="AD377">
        <v>2</v>
      </c>
      <c r="AE377">
        <v>6</v>
      </c>
      <c r="AF377">
        <v>6</v>
      </c>
      <c r="AG377">
        <v>0</v>
      </c>
      <c r="AH377">
        <v>8</v>
      </c>
      <c r="AI377">
        <v>7</v>
      </c>
      <c r="AJ377">
        <v>1</v>
      </c>
      <c r="AK377" t="s">
        <v>3567</v>
      </c>
      <c r="AL377" t="s">
        <v>3568</v>
      </c>
      <c r="AM377" t="s">
        <v>3569</v>
      </c>
      <c r="AN377" t="s">
        <v>3570</v>
      </c>
      <c r="AO377" t="s">
        <v>3571</v>
      </c>
      <c r="AP377" t="s">
        <v>3572</v>
      </c>
      <c r="AQ377" t="s">
        <v>3573</v>
      </c>
      <c r="AR377" t="s">
        <v>3574</v>
      </c>
      <c r="AS377" t="s">
        <v>3575</v>
      </c>
    </row>
    <row r="378" spans="1:45" x14ac:dyDescent="0.45">
      <c r="A378">
        <v>377</v>
      </c>
      <c r="B378">
        <v>2402</v>
      </c>
      <c r="C378" t="s">
        <v>78</v>
      </c>
      <c r="D378" t="s">
        <v>81</v>
      </c>
      <c r="E378" t="s">
        <v>74</v>
      </c>
      <c r="F378" t="s">
        <v>77</v>
      </c>
      <c r="G378" t="s">
        <v>76</v>
      </c>
      <c r="H378">
        <v>14.61537675247185</v>
      </c>
      <c r="I378">
        <v>0</v>
      </c>
      <c r="J378">
        <v>7</v>
      </c>
      <c r="K378">
        <v>7</v>
      </c>
      <c r="L378">
        <v>0</v>
      </c>
      <c r="M378">
        <v>6</v>
      </c>
      <c r="N378">
        <v>8</v>
      </c>
      <c r="O378">
        <v>-2</v>
      </c>
      <c r="P378">
        <v>9</v>
      </c>
      <c r="Q378">
        <v>7</v>
      </c>
      <c r="R378">
        <v>2</v>
      </c>
      <c r="S378">
        <v>8</v>
      </c>
      <c r="T378">
        <v>7</v>
      </c>
      <c r="U378">
        <v>1</v>
      </c>
      <c r="V378">
        <v>7</v>
      </c>
      <c r="W378">
        <v>8</v>
      </c>
      <c r="X378">
        <v>-1</v>
      </c>
      <c r="Y378">
        <v>9</v>
      </c>
      <c r="Z378">
        <v>9</v>
      </c>
      <c r="AA378">
        <v>0</v>
      </c>
      <c r="AB378">
        <v>8</v>
      </c>
      <c r="AC378">
        <v>7</v>
      </c>
      <c r="AD378">
        <v>1</v>
      </c>
      <c r="AE378">
        <v>7</v>
      </c>
      <c r="AF378">
        <v>7</v>
      </c>
      <c r="AG378">
        <v>0</v>
      </c>
      <c r="AH378">
        <v>9</v>
      </c>
      <c r="AI378">
        <v>8</v>
      </c>
      <c r="AJ378">
        <v>1</v>
      </c>
      <c r="AK378" t="s">
        <v>3576</v>
      </c>
      <c r="AL378" t="s">
        <v>3577</v>
      </c>
      <c r="AM378" t="s">
        <v>3578</v>
      </c>
      <c r="AN378" t="s">
        <v>3579</v>
      </c>
      <c r="AO378" t="s">
        <v>3580</v>
      </c>
      <c r="AP378" t="s">
        <v>3581</v>
      </c>
      <c r="AQ378" t="s">
        <v>3582</v>
      </c>
      <c r="AR378" t="s">
        <v>3583</v>
      </c>
      <c r="AS378" t="s">
        <v>3584</v>
      </c>
    </row>
    <row r="379" spans="1:45" x14ac:dyDescent="0.45">
      <c r="A379">
        <v>378</v>
      </c>
      <c r="B379">
        <v>2403</v>
      </c>
      <c r="C379" t="s">
        <v>72</v>
      </c>
      <c r="D379" t="s">
        <v>189</v>
      </c>
      <c r="E379" t="s">
        <v>74</v>
      </c>
      <c r="F379" t="s">
        <v>77</v>
      </c>
      <c r="G379" t="s">
        <v>76</v>
      </c>
      <c r="H379">
        <v>19.663740781343243</v>
      </c>
      <c r="I379">
        <v>0</v>
      </c>
      <c r="J379">
        <v>6</v>
      </c>
      <c r="K379">
        <v>6</v>
      </c>
      <c r="L379">
        <v>0</v>
      </c>
      <c r="M379">
        <v>7</v>
      </c>
      <c r="N379">
        <v>7</v>
      </c>
      <c r="O379">
        <v>0</v>
      </c>
      <c r="P379">
        <v>9</v>
      </c>
      <c r="Q379">
        <v>5</v>
      </c>
      <c r="R379">
        <v>4</v>
      </c>
      <c r="S379">
        <v>9</v>
      </c>
      <c r="T379">
        <v>8</v>
      </c>
      <c r="U379">
        <v>1</v>
      </c>
      <c r="V379">
        <v>8</v>
      </c>
      <c r="W379">
        <v>7</v>
      </c>
      <c r="X379">
        <v>1</v>
      </c>
      <c r="Y379">
        <v>9</v>
      </c>
      <c r="Z379">
        <v>7</v>
      </c>
      <c r="AA379">
        <v>2</v>
      </c>
      <c r="AB379">
        <v>8</v>
      </c>
      <c r="AC379">
        <v>7</v>
      </c>
      <c r="AD379">
        <v>1</v>
      </c>
      <c r="AE379">
        <v>9</v>
      </c>
      <c r="AF379">
        <v>7</v>
      </c>
      <c r="AG379">
        <v>2</v>
      </c>
      <c r="AH379">
        <v>8</v>
      </c>
      <c r="AI379">
        <v>8</v>
      </c>
      <c r="AJ379">
        <v>0</v>
      </c>
      <c r="AK379" t="s">
        <v>3585</v>
      </c>
      <c r="AL379" t="s">
        <v>3586</v>
      </c>
      <c r="AM379" t="s">
        <v>3587</v>
      </c>
      <c r="AN379" t="s">
        <v>3588</v>
      </c>
      <c r="AO379" t="s">
        <v>3589</v>
      </c>
      <c r="AP379" t="s">
        <v>3590</v>
      </c>
      <c r="AQ379" t="s">
        <v>3591</v>
      </c>
      <c r="AR379" t="s">
        <v>3592</v>
      </c>
      <c r="AS379" t="s">
        <v>3593</v>
      </c>
    </row>
    <row r="380" spans="1:45" x14ac:dyDescent="0.45">
      <c r="A380">
        <v>379</v>
      </c>
      <c r="B380">
        <v>2404</v>
      </c>
      <c r="C380" t="s">
        <v>72</v>
      </c>
      <c r="D380" t="s">
        <v>189</v>
      </c>
      <c r="E380" t="s">
        <v>74</v>
      </c>
      <c r="F380" t="s">
        <v>77</v>
      </c>
      <c r="G380" t="s">
        <v>76</v>
      </c>
      <c r="H380">
        <v>15.231577486275919</v>
      </c>
      <c r="I380">
        <v>0</v>
      </c>
      <c r="J380">
        <v>6</v>
      </c>
      <c r="K380">
        <v>8</v>
      </c>
      <c r="L380">
        <v>-2</v>
      </c>
      <c r="M380">
        <v>7</v>
      </c>
      <c r="N380">
        <v>8</v>
      </c>
      <c r="O380">
        <v>-1</v>
      </c>
      <c r="P380">
        <v>9</v>
      </c>
      <c r="Q380">
        <v>9</v>
      </c>
      <c r="R380">
        <v>0</v>
      </c>
      <c r="S380">
        <v>9</v>
      </c>
      <c r="T380">
        <v>9</v>
      </c>
      <c r="U380">
        <v>0</v>
      </c>
      <c r="V380">
        <v>8</v>
      </c>
      <c r="W380">
        <v>7</v>
      </c>
      <c r="X380">
        <v>1</v>
      </c>
      <c r="Y380">
        <v>9</v>
      </c>
      <c r="Z380">
        <v>9</v>
      </c>
      <c r="AA380">
        <v>0</v>
      </c>
      <c r="AB380">
        <v>8</v>
      </c>
      <c r="AC380">
        <v>7</v>
      </c>
      <c r="AD380">
        <v>1</v>
      </c>
      <c r="AE380">
        <v>7</v>
      </c>
      <c r="AF380">
        <v>7</v>
      </c>
      <c r="AG380">
        <v>0</v>
      </c>
      <c r="AH380">
        <v>9</v>
      </c>
      <c r="AI380">
        <v>9</v>
      </c>
      <c r="AJ380">
        <v>0</v>
      </c>
      <c r="AK380" t="s">
        <v>3594</v>
      </c>
      <c r="AL380" t="s">
        <v>3595</v>
      </c>
      <c r="AM380" t="s">
        <v>3596</v>
      </c>
      <c r="AN380" t="s">
        <v>3597</v>
      </c>
      <c r="AO380" t="s">
        <v>3598</v>
      </c>
      <c r="AP380" t="s">
        <v>3599</v>
      </c>
      <c r="AQ380" t="s">
        <v>3600</v>
      </c>
      <c r="AR380" t="s">
        <v>3601</v>
      </c>
      <c r="AS380" t="s">
        <v>3602</v>
      </c>
    </row>
    <row r="381" spans="1:45" x14ac:dyDescent="0.45">
      <c r="A381">
        <v>380</v>
      </c>
      <c r="B381">
        <v>2405</v>
      </c>
      <c r="C381" t="s">
        <v>78</v>
      </c>
      <c r="D381" t="s">
        <v>189</v>
      </c>
      <c r="E381" t="s">
        <v>74</v>
      </c>
      <c r="F381" t="s">
        <v>77</v>
      </c>
      <c r="G381" t="s">
        <v>76</v>
      </c>
      <c r="H381">
        <v>18.842273526529457</v>
      </c>
      <c r="I381">
        <v>0</v>
      </c>
      <c r="J381">
        <v>7</v>
      </c>
      <c r="K381">
        <v>8</v>
      </c>
      <c r="L381">
        <v>-1</v>
      </c>
      <c r="M381">
        <v>8</v>
      </c>
      <c r="N381">
        <v>8</v>
      </c>
      <c r="O381">
        <v>0</v>
      </c>
      <c r="P381">
        <v>6</v>
      </c>
      <c r="Q381">
        <v>5</v>
      </c>
      <c r="R381">
        <v>1</v>
      </c>
      <c r="S381">
        <v>9</v>
      </c>
      <c r="T381">
        <v>8</v>
      </c>
      <c r="U381">
        <v>1</v>
      </c>
      <c r="V381">
        <v>7</v>
      </c>
      <c r="W381">
        <v>6</v>
      </c>
      <c r="X381">
        <v>1</v>
      </c>
      <c r="Y381">
        <v>9</v>
      </c>
      <c r="Z381">
        <v>9</v>
      </c>
      <c r="AA381">
        <v>0</v>
      </c>
      <c r="AB381">
        <v>8</v>
      </c>
      <c r="AC381">
        <v>5</v>
      </c>
      <c r="AD381">
        <v>3</v>
      </c>
      <c r="AE381">
        <v>7</v>
      </c>
      <c r="AF381">
        <v>7</v>
      </c>
      <c r="AG381">
        <v>0</v>
      </c>
      <c r="AH381">
        <v>8</v>
      </c>
      <c r="AI381">
        <v>8</v>
      </c>
      <c r="AJ381">
        <v>0</v>
      </c>
      <c r="AK381" t="s">
        <v>3603</v>
      </c>
      <c r="AL381" t="s">
        <v>3604</v>
      </c>
      <c r="AM381" t="s">
        <v>3605</v>
      </c>
      <c r="AN381" t="s">
        <v>3606</v>
      </c>
      <c r="AO381" t="s">
        <v>3607</v>
      </c>
      <c r="AP381" t="s">
        <v>3608</v>
      </c>
      <c r="AQ381" t="s">
        <v>3609</v>
      </c>
      <c r="AR381" t="s">
        <v>3610</v>
      </c>
      <c r="AS381" t="s">
        <v>3611</v>
      </c>
    </row>
    <row r="382" spans="1:45" x14ac:dyDescent="0.45">
      <c r="A382">
        <v>381</v>
      </c>
      <c r="B382">
        <v>2406</v>
      </c>
      <c r="C382" t="s">
        <v>78</v>
      </c>
      <c r="D382" t="s">
        <v>189</v>
      </c>
      <c r="E382" t="s">
        <v>74</v>
      </c>
      <c r="F382" t="s">
        <v>191</v>
      </c>
      <c r="G382" t="s">
        <v>76</v>
      </c>
      <c r="H382">
        <v>14.982028923382137</v>
      </c>
      <c r="I382">
        <v>0</v>
      </c>
      <c r="J382">
        <v>8</v>
      </c>
      <c r="K382">
        <v>9</v>
      </c>
      <c r="L382">
        <v>-1</v>
      </c>
      <c r="M382">
        <v>7</v>
      </c>
      <c r="N382">
        <v>9</v>
      </c>
      <c r="O382">
        <v>-2</v>
      </c>
      <c r="P382">
        <v>9</v>
      </c>
      <c r="Q382">
        <v>8</v>
      </c>
      <c r="R382">
        <v>1</v>
      </c>
      <c r="S382">
        <v>8</v>
      </c>
      <c r="T382">
        <v>9</v>
      </c>
      <c r="U382">
        <v>-1</v>
      </c>
      <c r="V382">
        <v>9</v>
      </c>
      <c r="W382">
        <v>8</v>
      </c>
      <c r="X382">
        <v>1</v>
      </c>
      <c r="Y382">
        <v>9</v>
      </c>
      <c r="Z382">
        <v>10</v>
      </c>
      <c r="AA382">
        <v>-1</v>
      </c>
      <c r="AB382">
        <v>8</v>
      </c>
      <c r="AC382">
        <v>8</v>
      </c>
      <c r="AD382">
        <v>0</v>
      </c>
      <c r="AE382">
        <v>9</v>
      </c>
      <c r="AF382">
        <v>8</v>
      </c>
      <c r="AG382">
        <v>1</v>
      </c>
      <c r="AH382">
        <v>9</v>
      </c>
      <c r="AI382">
        <v>10</v>
      </c>
      <c r="AJ382">
        <v>-1</v>
      </c>
      <c r="AK382" t="s">
        <v>3612</v>
      </c>
      <c r="AL382" t="s">
        <v>3613</v>
      </c>
      <c r="AM382" t="s">
        <v>3614</v>
      </c>
      <c r="AN382" t="s">
        <v>3615</v>
      </c>
      <c r="AO382" t="s">
        <v>3616</v>
      </c>
      <c r="AP382" t="s">
        <v>3617</v>
      </c>
      <c r="AQ382" t="s">
        <v>3618</v>
      </c>
      <c r="AR382" t="s">
        <v>3619</v>
      </c>
      <c r="AS382" t="s">
        <v>3620</v>
      </c>
    </row>
    <row r="383" spans="1:45" x14ac:dyDescent="0.45">
      <c r="A383">
        <v>382</v>
      </c>
      <c r="B383">
        <v>2407</v>
      </c>
      <c r="C383" t="s">
        <v>72</v>
      </c>
      <c r="D383" t="s">
        <v>189</v>
      </c>
      <c r="E383" t="s">
        <v>74</v>
      </c>
      <c r="F383" t="s">
        <v>77</v>
      </c>
      <c r="G383" t="s">
        <v>76</v>
      </c>
      <c r="H383">
        <v>21.251208618702442</v>
      </c>
      <c r="I383">
        <v>1</v>
      </c>
      <c r="J383">
        <v>5</v>
      </c>
      <c r="K383">
        <v>5</v>
      </c>
      <c r="L383">
        <v>0</v>
      </c>
      <c r="M383">
        <v>6</v>
      </c>
      <c r="N383">
        <v>5</v>
      </c>
      <c r="O383">
        <v>1</v>
      </c>
      <c r="P383">
        <v>8</v>
      </c>
      <c r="Q383">
        <v>4</v>
      </c>
      <c r="R383">
        <v>4</v>
      </c>
      <c r="S383">
        <v>9</v>
      </c>
      <c r="T383">
        <v>8</v>
      </c>
      <c r="U383">
        <v>1</v>
      </c>
      <c r="V383">
        <v>7</v>
      </c>
      <c r="W383">
        <v>4</v>
      </c>
      <c r="X383">
        <v>3</v>
      </c>
      <c r="Y383">
        <v>8</v>
      </c>
      <c r="Z383">
        <v>8</v>
      </c>
      <c r="AA383">
        <v>0</v>
      </c>
      <c r="AB383">
        <v>7</v>
      </c>
      <c r="AC383">
        <v>4</v>
      </c>
      <c r="AD383">
        <v>3</v>
      </c>
      <c r="AE383">
        <v>6</v>
      </c>
      <c r="AF383">
        <v>5</v>
      </c>
      <c r="AG383">
        <v>1</v>
      </c>
      <c r="AH383">
        <v>9</v>
      </c>
      <c r="AI383">
        <v>7</v>
      </c>
      <c r="AJ383">
        <v>2</v>
      </c>
      <c r="AK383" t="s">
        <v>3621</v>
      </c>
      <c r="AL383" t="s">
        <v>3622</v>
      </c>
      <c r="AM383" t="s">
        <v>3623</v>
      </c>
      <c r="AN383" t="s">
        <v>3624</v>
      </c>
      <c r="AO383" t="s">
        <v>3625</v>
      </c>
      <c r="AP383" t="s">
        <v>3626</v>
      </c>
      <c r="AQ383" t="s">
        <v>3627</v>
      </c>
      <c r="AR383" t="s">
        <v>3628</v>
      </c>
      <c r="AS383" t="s">
        <v>3629</v>
      </c>
    </row>
    <row r="384" spans="1:45" x14ac:dyDescent="0.45">
      <c r="A384">
        <v>383</v>
      </c>
      <c r="B384">
        <v>2408</v>
      </c>
      <c r="C384" t="s">
        <v>78</v>
      </c>
      <c r="D384" t="s">
        <v>192</v>
      </c>
      <c r="E384" t="s">
        <v>74</v>
      </c>
      <c r="F384" t="s">
        <v>75</v>
      </c>
      <c r="G384" t="s">
        <v>76</v>
      </c>
      <c r="H384">
        <v>78.875972823497776</v>
      </c>
      <c r="I384">
        <v>2</v>
      </c>
      <c r="J384">
        <v>8</v>
      </c>
      <c r="K384">
        <v>1</v>
      </c>
      <c r="L384">
        <v>7</v>
      </c>
      <c r="M384">
        <v>9</v>
      </c>
      <c r="N384">
        <v>1</v>
      </c>
      <c r="O384">
        <v>8</v>
      </c>
      <c r="P384">
        <v>10</v>
      </c>
      <c r="Q384">
        <v>4</v>
      </c>
      <c r="R384">
        <v>6</v>
      </c>
      <c r="S384">
        <v>10</v>
      </c>
      <c r="T384">
        <v>5</v>
      </c>
      <c r="U384">
        <v>5</v>
      </c>
      <c r="V384">
        <v>9</v>
      </c>
      <c r="W384">
        <v>5</v>
      </c>
      <c r="X384">
        <v>4</v>
      </c>
      <c r="Y384">
        <v>9</v>
      </c>
      <c r="Z384">
        <v>4</v>
      </c>
      <c r="AA384">
        <v>5</v>
      </c>
      <c r="AB384">
        <v>8</v>
      </c>
      <c r="AC384">
        <v>4</v>
      </c>
      <c r="AD384">
        <v>4</v>
      </c>
      <c r="AE384">
        <v>9</v>
      </c>
      <c r="AF384">
        <v>5</v>
      </c>
      <c r="AG384">
        <v>4</v>
      </c>
      <c r="AH384">
        <v>10</v>
      </c>
      <c r="AI384">
        <v>3</v>
      </c>
      <c r="AJ384">
        <v>7</v>
      </c>
      <c r="AK384" t="s">
        <v>3630</v>
      </c>
      <c r="AL384" t="s">
        <v>3631</v>
      </c>
      <c r="AM384" t="s">
        <v>3632</v>
      </c>
      <c r="AN384" t="s">
        <v>3633</v>
      </c>
      <c r="AO384" t="s">
        <v>3634</v>
      </c>
      <c r="AP384" t="s">
        <v>3635</v>
      </c>
      <c r="AQ384" t="s">
        <v>3636</v>
      </c>
      <c r="AR384" t="s">
        <v>3637</v>
      </c>
      <c r="AS384" t="s">
        <v>3638</v>
      </c>
    </row>
    <row r="385" spans="1:45" x14ac:dyDescent="0.45">
      <c r="A385">
        <v>384</v>
      </c>
      <c r="B385">
        <v>2409</v>
      </c>
      <c r="C385" t="s">
        <v>78</v>
      </c>
      <c r="D385" t="s">
        <v>189</v>
      </c>
      <c r="E385" t="s">
        <v>74</v>
      </c>
      <c r="F385" t="s">
        <v>77</v>
      </c>
      <c r="G385" t="s">
        <v>76</v>
      </c>
      <c r="H385">
        <v>12</v>
      </c>
      <c r="I385">
        <v>0</v>
      </c>
      <c r="J385">
        <v>9</v>
      </c>
      <c r="K385">
        <v>7</v>
      </c>
      <c r="L385">
        <v>2</v>
      </c>
      <c r="M385">
        <v>8</v>
      </c>
      <c r="N385">
        <v>7</v>
      </c>
      <c r="O385">
        <v>1</v>
      </c>
      <c r="P385">
        <v>9</v>
      </c>
      <c r="Q385">
        <v>7</v>
      </c>
      <c r="R385">
        <v>2</v>
      </c>
      <c r="S385">
        <v>8</v>
      </c>
      <c r="T385">
        <v>9</v>
      </c>
      <c r="U385">
        <v>-1</v>
      </c>
      <c r="V385">
        <v>7</v>
      </c>
      <c r="W385">
        <v>8</v>
      </c>
      <c r="X385">
        <v>-1</v>
      </c>
      <c r="Y385">
        <v>8</v>
      </c>
      <c r="Z385">
        <v>10</v>
      </c>
      <c r="AA385">
        <v>-2</v>
      </c>
      <c r="AB385">
        <v>7</v>
      </c>
      <c r="AC385">
        <v>8</v>
      </c>
      <c r="AD385">
        <v>-1</v>
      </c>
      <c r="AE385">
        <v>8</v>
      </c>
      <c r="AF385">
        <v>7</v>
      </c>
      <c r="AG385">
        <v>1</v>
      </c>
      <c r="AH385">
        <v>9</v>
      </c>
      <c r="AI385">
        <v>10</v>
      </c>
      <c r="AJ385">
        <v>-1</v>
      </c>
      <c r="AK385" t="s">
        <v>3639</v>
      </c>
      <c r="AL385" t="s">
        <v>3640</v>
      </c>
      <c r="AM385" t="s">
        <v>3641</v>
      </c>
      <c r="AN385" t="s">
        <v>221</v>
      </c>
      <c r="AO385" t="s">
        <v>225</v>
      </c>
      <c r="AP385" t="s">
        <v>3642</v>
      </c>
      <c r="AQ385" t="s">
        <v>3643</v>
      </c>
      <c r="AR385" t="s">
        <v>3644</v>
      </c>
      <c r="AS385" t="s">
        <v>3645</v>
      </c>
    </row>
    <row r="386" spans="1:45" x14ac:dyDescent="0.45">
      <c r="A386">
        <v>385</v>
      </c>
      <c r="B386">
        <v>2410</v>
      </c>
      <c r="C386" t="s">
        <v>78</v>
      </c>
      <c r="D386" t="s">
        <v>79</v>
      </c>
      <c r="E386" t="s">
        <v>74</v>
      </c>
      <c r="F386" t="s">
        <v>77</v>
      </c>
      <c r="G386" t="s">
        <v>76</v>
      </c>
      <c r="H386">
        <v>35.16649069803632</v>
      </c>
      <c r="I386">
        <v>2</v>
      </c>
      <c r="J386">
        <v>6</v>
      </c>
      <c r="K386">
        <v>3</v>
      </c>
      <c r="L386">
        <v>3</v>
      </c>
      <c r="M386">
        <v>7</v>
      </c>
      <c r="N386">
        <v>3</v>
      </c>
      <c r="O386">
        <v>4</v>
      </c>
      <c r="P386">
        <v>8</v>
      </c>
      <c r="Q386">
        <v>4</v>
      </c>
      <c r="R386">
        <v>4</v>
      </c>
      <c r="S386">
        <v>7</v>
      </c>
      <c r="T386">
        <v>6</v>
      </c>
      <c r="U386">
        <v>1</v>
      </c>
      <c r="V386">
        <v>6</v>
      </c>
      <c r="W386">
        <v>4</v>
      </c>
      <c r="X386">
        <v>2</v>
      </c>
      <c r="Y386">
        <v>9</v>
      </c>
      <c r="Z386">
        <v>5</v>
      </c>
      <c r="AA386">
        <v>4</v>
      </c>
      <c r="AB386">
        <v>5</v>
      </c>
      <c r="AC386">
        <v>4</v>
      </c>
      <c r="AD386">
        <v>1</v>
      </c>
      <c r="AE386">
        <v>7</v>
      </c>
      <c r="AF386">
        <v>5</v>
      </c>
      <c r="AG386">
        <v>2</v>
      </c>
      <c r="AH386">
        <v>9</v>
      </c>
      <c r="AI386">
        <v>5</v>
      </c>
      <c r="AJ386">
        <v>4</v>
      </c>
      <c r="AK386" t="s">
        <v>3646</v>
      </c>
      <c r="AL386" t="s">
        <v>3647</v>
      </c>
      <c r="AM386" t="s">
        <v>3648</v>
      </c>
      <c r="AN386" t="s">
        <v>3649</v>
      </c>
      <c r="AO386" t="s">
        <v>3650</v>
      </c>
      <c r="AP386" t="s">
        <v>3651</v>
      </c>
      <c r="AQ386" t="s">
        <v>3652</v>
      </c>
      <c r="AR386" t="s">
        <v>3653</v>
      </c>
      <c r="AS386" t="s">
        <v>3654</v>
      </c>
    </row>
    <row r="387" spans="1:45" x14ac:dyDescent="0.45">
      <c r="A387">
        <v>386</v>
      </c>
      <c r="B387">
        <v>2411</v>
      </c>
      <c r="C387" t="s">
        <v>72</v>
      </c>
      <c r="D387" t="s">
        <v>81</v>
      </c>
      <c r="E387" t="s">
        <v>74</v>
      </c>
      <c r="F387" t="s">
        <v>75</v>
      </c>
      <c r="G387" t="s">
        <v>76</v>
      </c>
      <c r="H387">
        <v>28.730058768376939</v>
      </c>
      <c r="I387">
        <v>0</v>
      </c>
      <c r="J387">
        <v>6</v>
      </c>
      <c r="K387">
        <v>8</v>
      </c>
      <c r="L387">
        <v>-2</v>
      </c>
      <c r="M387">
        <v>5</v>
      </c>
      <c r="N387">
        <v>8</v>
      </c>
      <c r="O387">
        <v>-3</v>
      </c>
      <c r="P387">
        <v>7</v>
      </c>
      <c r="Q387">
        <v>9</v>
      </c>
      <c r="R387">
        <v>-2</v>
      </c>
      <c r="S387">
        <v>9</v>
      </c>
      <c r="T387">
        <v>8</v>
      </c>
      <c r="U387">
        <v>1</v>
      </c>
      <c r="V387">
        <v>6</v>
      </c>
      <c r="W387">
        <v>7</v>
      </c>
      <c r="X387">
        <v>-1</v>
      </c>
      <c r="Y387">
        <v>9</v>
      </c>
      <c r="Z387">
        <v>8</v>
      </c>
      <c r="AA387">
        <v>1</v>
      </c>
      <c r="AB387">
        <v>7</v>
      </c>
      <c r="AC387">
        <v>7</v>
      </c>
      <c r="AD387">
        <v>0</v>
      </c>
      <c r="AE387">
        <v>6</v>
      </c>
      <c r="AF387">
        <v>7</v>
      </c>
      <c r="AG387">
        <v>-1</v>
      </c>
      <c r="AH387">
        <v>7</v>
      </c>
      <c r="AI387">
        <v>8</v>
      </c>
      <c r="AJ387">
        <v>-1</v>
      </c>
      <c r="AK387" t="s">
        <v>3655</v>
      </c>
      <c r="AL387" t="s">
        <v>3656</v>
      </c>
      <c r="AM387" t="s">
        <v>3657</v>
      </c>
      <c r="AN387" t="s">
        <v>3658</v>
      </c>
      <c r="AO387" t="s">
        <v>3659</v>
      </c>
      <c r="AP387" t="s">
        <v>3660</v>
      </c>
      <c r="AQ387" t="s">
        <v>3661</v>
      </c>
      <c r="AR387" t="s">
        <v>3662</v>
      </c>
      <c r="AS387" t="s">
        <v>3663</v>
      </c>
    </row>
    <row r="388" spans="1:45" x14ac:dyDescent="0.45">
      <c r="A388">
        <v>387</v>
      </c>
      <c r="B388">
        <v>2412</v>
      </c>
      <c r="C388" t="s">
        <v>78</v>
      </c>
      <c r="D388" t="s">
        <v>73</v>
      </c>
      <c r="E388" t="s">
        <v>74</v>
      </c>
      <c r="F388" t="s">
        <v>77</v>
      </c>
      <c r="G388" t="s">
        <v>76</v>
      </c>
      <c r="H388">
        <v>49.714636506077611</v>
      </c>
      <c r="I388">
        <v>2</v>
      </c>
      <c r="J388">
        <v>7</v>
      </c>
      <c r="K388">
        <v>5</v>
      </c>
      <c r="L388">
        <v>2</v>
      </c>
      <c r="M388">
        <v>8</v>
      </c>
      <c r="N388">
        <v>5</v>
      </c>
      <c r="O388">
        <v>3</v>
      </c>
      <c r="P388">
        <v>9</v>
      </c>
      <c r="Q388">
        <v>5</v>
      </c>
      <c r="R388">
        <v>4</v>
      </c>
      <c r="S388">
        <v>9</v>
      </c>
      <c r="T388">
        <v>5</v>
      </c>
      <c r="U388">
        <v>4</v>
      </c>
      <c r="V388">
        <v>6</v>
      </c>
      <c r="W388">
        <v>5</v>
      </c>
      <c r="X388">
        <v>1</v>
      </c>
      <c r="Y388">
        <v>8</v>
      </c>
      <c r="Z388">
        <v>5</v>
      </c>
      <c r="AA388">
        <v>3</v>
      </c>
      <c r="AB388">
        <v>7</v>
      </c>
      <c r="AC388">
        <v>5</v>
      </c>
      <c r="AD388">
        <v>2</v>
      </c>
      <c r="AE388">
        <v>6</v>
      </c>
      <c r="AF388">
        <v>5</v>
      </c>
      <c r="AG388">
        <v>1</v>
      </c>
      <c r="AH388">
        <v>8</v>
      </c>
      <c r="AI388">
        <v>5</v>
      </c>
      <c r="AJ388">
        <v>3</v>
      </c>
      <c r="AK388" t="s">
        <v>3664</v>
      </c>
      <c r="AL388" t="s">
        <v>3665</v>
      </c>
      <c r="AM388" t="s">
        <v>3666</v>
      </c>
      <c r="AN388" t="s">
        <v>3667</v>
      </c>
      <c r="AO388" t="s">
        <v>3668</v>
      </c>
      <c r="AP388" t="s">
        <v>3669</v>
      </c>
      <c r="AQ388" t="s">
        <v>3670</v>
      </c>
      <c r="AR388" t="s">
        <v>3671</v>
      </c>
      <c r="AS388" t="s">
        <v>3672</v>
      </c>
    </row>
    <row r="389" spans="1:45" x14ac:dyDescent="0.45">
      <c r="A389">
        <v>388</v>
      </c>
      <c r="B389">
        <v>2413</v>
      </c>
      <c r="C389" t="s">
        <v>78</v>
      </c>
      <c r="D389" t="s">
        <v>189</v>
      </c>
      <c r="E389" t="s">
        <v>74</v>
      </c>
      <c r="F389" t="s">
        <v>77</v>
      </c>
      <c r="G389" t="s">
        <v>76</v>
      </c>
      <c r="H389">
        <v>12.429781028732824</v>
      </c>
      <c r="I389">
        <v>0</v>
      </c>
      <c r="J389">
        <v>6</v>
      </c>
      <c r="K389">
        <v>7</v>
      </c>
      <c r="L389">
        <v>-1</v>
      </c>
      <c r="M389">
        <v>7</v>
      </c>
      <c r="N389">
        <v>7</v>
      </c>
      <c r="O389">
        <v>0</v>
      </c>
      <c r="P389">
        <v>9</v>
      </c>
      <c r="Q389">
        <v>5</v>
      </c>
      <c r="R389">
        <v>4</v>
      </c>
      <c r="S389">
        <v>8</v>
      </c>
      <c r="T389">
        <v>8</v>
      </c>
      <c r="U389">
        <v>0</v>
      </c>
      <c r="V389">
        <v>7</v>
      </c>
      <c r="W389">
        <v>6</v>
      </c>
      <c r="X389">
        <v>1</v>
      </c>
      <c r="Y389">
        <v>9</v>
      </c>
      <c r="Z389">
        <v>8</v>
      </c>
      <c r="AA389">
        <v>1</v>
      </c>
      <c r="AB389">
        <v>8</v>
      </c>
      <c r="AC389">
        <v>5</v>
      </c>
      <c r="AD389">
        <v>3</v>
      </c>
      <c r="AE389">
        <v>9</v>
      </c>
      <c r="AF389">
        <v>5</v>
      </c>
      <c r="AG389">
        <v>4</v>
      </c>
      <c r="AH389">
        <v>8</v>
      </c>
      <c r="AI389">
        <v>8</v>
      </c>
      <c r="AJ389">
        <v>0</v>
      </c>
      <c r="AK389" t="s">
        <v>3673</v>
      </c>
      <c r="AL389" t="s">
        <v>3674</v>
      </c>
      <c r="AM389" t="s">
        <v>3675</v>
      </c>
      <c r="AN389" t="s">
        <v>3676</v>
      </c>
      <c r="AO389" t="s">
        <v>3677</v>
      </c>
      <c r="AP389" t="s">
        <v>3678</v>
      </c>
      <c r="AQ389" t="s">
        <v>251</v>
      </c>
      <c r="AR389" t="s">
        <v>3679</v>
      </c>
      <c r="AS389" t="s">
        <v>3680</v>
      </c>
    </row>
    <row r="390" spans="1:45" x14ac:dyDescent="0.45">
      <c r="A390">
        <v>389</v>
      </c>
      <c r="B390">
        <v>2414</v>
      </c>
      <c r="C390" t="s">
        <v>78</v>
      </c>
      <c r="D390" t="s">
        <v>81</v>
      </c>
      <c r="E390" t="s">
        <v>74</v>
      </c>
      <c r="F390" t="s">
        <v>77</v>
      </c>
      <c r="G390" t="s">
        <v>76</v>
      </c>
      <c r="H390">
        <v>21.624083852578508</v>
      </c>
      <c r="I390">
        <v>0</v>
      </c>
      <c r="J390">
        <v>7</v>
      </c>
      <c r="K390">
        <v>6</v>
      </c>
      <c r="L390">
        <v>1</v>
      </c>
      <c r="M390">
        <v>8</v>
      </c>
      <c r="N390">
        <v>8</v>
      </c>
      <c r="O390">
        <v>0</v>
      </c>
      <c r="P390">
        <v>9</v>
      </c>
      <c r="Q390">
        <v>7</v>
      </c>
      <c r="R390">
        <v>2</v>
      </c>
      <c r="S390">
        <v>10</v>
      </c>
      <c r="T390">
        <v>8</v>
      </c>
      <c r="U390">
        <v>2</v>
      </c>
      <c r="V390">
        <v>6</v>
      </c>
      <c r="W390">
        <v>6</v>
      </c>
      <c r="X390">
        <v>0</v>
      </c>
      <c r="Y390">
        <v>7</v>
      </c>
      <c r="Z390">
        <v>8</v>
      </c>
      <c r="AA390">
        <v>-1</v>
      </c>
      <c r="AB390">
        <v>8</v>
      </c>
      <c r="AC390">
        <v>5</v>
      </c>
      <c r="AD390">
        <v>3</v>
      </c>
      <c r="AE390">
        <v>6</v>
      </c>
      <c r="AF390">
        <v>5</v>
      </c>
      <c r="AG390">
        <v>1</v>
      </c>
      <c r="AH390">
        <v>9</v>
      </c>
      <c r="AI390">
        <v>8</v>
      </c>
      <c r="AJ390">
        <v>1</v>
      </c>
      <c r="AK390" t="s">
        <v>3681</v>
      </c>
      <c r="AL390" t="s">
        <v>3682</v>
      </c>
      <c r="AM390" t="s">
        <v>3683</v>
      </c>
      <c r="AN390" t="s">
        <v>3684</v>
      </c>
      <c r="AO390" t="s">
        <v>3685</v>
      </c>
      <c r="AP390" t="s">
        <v>3686</v>
      </c>
      <c r="AQ390" t="s">
        <v>3687</v>
      </c>
      <c r="AR390" t="s">
        <v>3688</v>
      </c>
      <c r="AS390" t="s">
        <v>3689</v>
      </c>
    </row>
    <row r="391" spans="1:45" x14ac:dyDescent="0.45">
      <c r="A391">
        <v>390</v>
      </c>
      <c r="B391">
        <v>2415</v>
      </c>
      <c r="C391" t="s">
        <v>72</v>
      </c>
      <c r="D391" t="s">
        <v>79</v>
      </c>
      <c r="E391" t="s">
        <v>74</v>
      </c>
      <c r="F391" t="s">
        <v>75</v>
      </c>
      <c r="G391" t="s">
        <v>76</v>
      </c>
      <c r="H391">
        <v>36.651209464252382</v>
      </c>
      <c r="I391">
        <v>3</v>
      </c>
      <c r="J391">
        <v>9</v>
      </c>
      <c r="K391">
        <v>10</v>
      </c>
      <c r="L391">
        <v>-1</v>
      </c>
      <c r="M391">
        <v>8</v>
      </c>
      <c r="N391">
        <v>10</v>
      </c>
      <c r="O391">
        <v>-2</v>
      </c>
      <c r="P391">
        <v>7</v>
      </c>
      <c r="Q391">
        <v>5</v>
      </c>
      <c r="R391">
        <v>2</v>
      </c>
      <c r="S391">
        <v>8</v>
      </c>
      <c r="T391">
        <v>9</v>
      </c>
      <c r="U391">
        <v>-1</v>
      </c>
      <c r="V391">
        <v>9</v>
      </c>
      <c r="W391">
        <v>7</v>
      </c>
      <c r="X391">
        <v>2</v>
      </c>
      <c r="Y391">
        <v>8</v>
      </c>
      <c r="Z391">
        <v>8</v>
      </c>
      <c r="AA391">
        <v>0</v>
      </c>
      <c r="AB391">
        <v>9</v>
      </c>
      <c r="AC391">
        <v>5</v>
      </c>
      <c r="AD391">
        <v>4</v>
      </c>
      <c r="AE391">
        <v>8</v>
      </c>
      <c r="AF391">
        <v>5</v>
      </c>
      <c r="AG391">
        <v>3</v>
      </c>
      <c r="AH391">
        <v>9</v>
      </c>
      <c r="AI391">
        <v>8</v>
      </c>
      <c r="AJ391">
        <v>1</v>
      </c>
      <c r="AK391" t="s">
        <v>3690</v>
      </c>
      <c r="AL391" t="s">
        <v>3691</v>
      </c>
      <c r="AM391" t="s">
        <v>3692</v>
      </c>
      <c r="AN391" t="s">
        <v>3693</v>
      </c>
      <c r="AO391" t="s">
        <v>3694</v>
      </c>
      <c r="AP391" t="s">
        <v>3695</v>
      </c>
      <c r="AQ391" t="s">
        <v>3696</v>
      </c>
      <c r="AR391" t="s">
        <v>3697</v>
      </c>
      <c r="AS391" t="s">
        <v>3698</v>
      </c>
    </row>
    <row r="392" spans="1:45" x14ac:dyDescent="0.45">
      <c r="A392">
        <v>391</v>
      </c>
      <c r="B392">
        <v>2416</v>
      </c>
      <c r="C392" t="s">
        <v>78</v>
      </c>
      <c r="D392" t="s">
        <v>81</v>
      </c>
      <c r="E392" t="s">
        <v>74</v>
      </c>
      <c r="F392" t="s">
        <v>77</v>
      </c>
      <c r="G392" t="s">
        <v>76</v>
      </c>
      <c r="H392">
        <v>13.303098066304376</v>
      </c>
      <c r="I392">
        <v>0</v>
      </c>
      <c r="J392">
        <v>7</v>
      </c>
      <c r="K392">
        <v>4</v>
      </c>
      <c r="L392">
        <v>3</v>
      </c>
      <c r="M392">
        <v>8</v>
      </c>
      <c r="N392">
        <v>5</v>
      </c>
      <c r="O392">
        <v>3</v>
      </c>
      <c r="P392">
        <v>7</v>
      </c>
      <c r="Q392">
        <v>7</v>
      </c>
      <c r="R392">
        <v>0</v>
      </c>
      <c r="S392">
        <v>9</v>
      </c>
      <c r="T392">
        <v>7</v>
      </c>
      <c r="U392">
        <v>2</v>
      </c>
      <c r="V392">
        <v>6</v>
      </c>
      <c r="W392">
        <v>5</v>
      </c>
      <c r="X392">
        <v>1</v>
      </c>
      <c r="Y392">
        <v>8</v>
      </c>
      <c r="Z392">
        <v>7</v>
      </c>
      <c r="AA392">
        <v>1</v>
      </c>
      <c r="AB392">
        <v>7</v>
      </c>
      <c r="AC392">
        <v>5</v>
      </c>
      <c r="AD392">
        <v>2</v>
      </c>
      <c r="AE392">
        <v>8</v>
      </c>
      <c r="AF392">
        <v>5</v>
      </c>
      <c r="AG392">
        <v>3</v>
      </c>
      <c r="AH392">
        <v>9</v>
      </c>
      <c r="AI392">
        <v>7</v>
      </c>
      <c r="AJ392">
        <v>2</v>
      </c>
      <c r="AK392" t="s">
        <v>3699</v>
      </c>
      <c r="AL392" t="s">
        <v>3700</v>
      </c>
      <c r="AM392" t="s">
        <v>3701</v>
      </c>
      <c r="AN392" t="s">
        <v>3702</v>
      </c>
      <c r="AO392" t="s">
        <v>3703</v>
      </c>
      <c r="AP392" t="s">
        <v>3704</v>
      </c>
      <c r="AQ392" t="s">
        <v>3705</v>
      </c>
      <c r="AR392" t="s">
        <v>3706</v>
      </c>
      <c r="AS392" t="s">
        <v>3707</v>
      </c>
    </row>
    <row r="393" spans="1:45" x14ac:dyDescent="0.45">
      <c r="A393">
        <v>392</v>
      </c>
      <c r="B393">
        <v>2417</v>
      </c>
      <c r="C393" t="s">
        <v>72</v>
      </c>
      <c r="D393" t="s">
        <v>194</v>
      </c>
      <c r="E393" t="s">
        <v>74</v>
      </c>
      <c r="F393" t="s">
        <v>75</v>
      </c>
      <c r="G393" t="s">
        <v>76</v>
      </c>
      <c r="H393">
        <v>166.38799073238403</v>
      </c>
      <c r="I393">
        <v>4</v>
      </c>
      <c r="J393">
        <v>9</v>
      </c>
      <c r="K393">
        <v>2</v>
      </c>
      <c r="L393">
        <v>7</v>
      </c>
      <c r="M393">
        <v>8</v>
      </c>
      <c r="N393">
        <v>3</v>
      </c>
      <c r="O393">
        <v>5</v>
      </c>
      <c r="P393">
        <v>7</v>
      </c>
      <c r="Q393">
        <v>3</v>
      </c>
      <c r="R393">
        <v>4</v>
      </c>
      <c r="S393">
        <v>8</v>
      </c>
      <c r="T393">
        <v>6</v>
      </c>
      <c r="U393">
        <v>2</v>
      </c>
      <c r="V393">
        <v>9</v>
      </c>
      <c r="W393">
        <v>5</v>
      </c>
      <c r="X393">
        <v>4</v>
      </c>
      <c r="Y393">
        <v>8</v>
      </c>
      <c r="Z393">
        <v>5</v>
      </c>
      <c r="AA393">
        <v>3</v>
      </c>
      <c r="AB393">
        <v>9</v>
      </c>
      <c r="AC393">
        <v>5</v>
      </c>
      <c r="AD393">
        <v>4</v>
      </c>
      <c r="AE393">
        <v>7</v>
      </c>
      <c r="AF393">
        <v>5</v>
      </c>
      <c r="AG393">
        <v>2</v>
      </c>
      <c r="AH393">
        <v>9</v>
      </c>
      <c r="AI393">
        <v>5</v>
      </c>
      <c r="AJ393">
        <v>4</v>
      </c>
      <c r="AK393" t="s">
        <v>3708</v>
      </c>
      <c r="AL393" t="s">
        <v>3709</v>
      </c>
      <c r="AM393" t="s">
        <v>3710</v>
      </c>
      <c r="AN393" t="s">
        <v>3711</v>
      </c>
      <c r="AO393" t="s">
        <v>3712</v>
      </c>
      <c r="AP393" t="s">
        <v>3713</v>
      </c>
      <c r="AQ393" t="s">
        <v>3714</v>
      </c>
      <c r="AR393" t="s">
        <v>3715</v>
      </c>
      <c r="AS393" t="s">
        <v>3716</v>
      </c>
    </row>
    <row r="394" spans="1:45" x14ac:dyDescent="0.45">
      <c r="A394">
        <v>393</v>
      </c>
      <c r="B394">
        <v>2418</v>
      </c>
      <c r="C394" t="s">
        <v>72</v>
      </c>
      <c r="D394" t="s">
        <v>73</v>
      </c>
      <c r="E394" t="s">
        <v>74</v>
      </c>
      <c r="F394" t="s">
        <v>77</v>
      </c>
      <c r="G394" t="s">
        <v>76</v>
      </c>
      <c r="H394">
        <v>26.434396836954384</v>
      </c>
      <c r="I394">
        <v>2</v>
      </c>
      <c r="J394">
        <v>6</v>
      </c>
      <c r="K394">
        <v>7</v>
      </c>
      <c r="L394">
        <v>-1</v>
      </c>
      <c r="M394">
        <v>7</v>
      </c>
      <c r="N394">
        <v>7</v>
      </c>
      <c r="O394">
        <v>0</v>
      </c>
      <c r="P394">
        <v>9</v>
      </c>
      <c r="Q394">
        <v>5</v>
      </c>
      <c r="R394">
        <v>4</v>
      </c>
      <c r="S394">
        <v>8</v>
      </c>
      <c r="T394">
        <v>8</v>
      </c>
      <c r="U394">
        <v>0</v>
      </c>
      <c r="V394">
        <v>7</v>
      </c>
      <c r="W394">
        <v>7</v>
      </c>
      <c r="X394">
        <v>0</v>
      </c>
      <c r="Y394">
        <v>9</v>
      </c>
      <c r="Z394">
        <v>7</v>
      </c>
      <c r="AA394">
        <v>2</v>
      </c>
      <c r="AB394">
        <v>7</v>
      </c>
      <c r="AC394">
        <v>5</v>
      </c>
      <c r="AD394">
        <v>2</v>
      </c>
      <c r="AE394">
        <v>8</v>
      </c>
      <c r="AF394">
        <v>6</v>
      </c>
      <c r="AG394">
        <v>2</v>
      </c>
      <c r="AH394">
        <v>9</v>
      </c>
      <c r="AI394">
        <v>7</v>
      </c>
      <c r="AJ394">
        <v>2</v>
      </c>
      <c r="AK394" t="s">
        <v>3717</v>
      </c>
      <c r="AL394" t="s">
        <v>3718</v>
      </c>
      <c r="AM394" t="s">
        <v>3719</v>
      </c>
      <c r="AN394" t="s">
        <v>3720</v>
      </c>
      <c r="AO394" t="s">
        <v>3721</v>
      </c>
      <c r="AP394" t="s">
        <v>3722</v>
      </c>
      <c r="AQ394" t="s">
        <v>3723</v>
      </c>
      <c r="AR394" t="s">
        <v>3724</v>
      </c>
      <c r="AS394" t="s">
        <v>3725</v>
      </c>
    </row>
    <row r="395" spans="1:45" x14ac:dyDescent="0.45">
      <c r="A395">
        <v>394</v>
      </c>
      <c r="B395">
        <v>2419</v>
      </c>
      <c r="C395" t="s">
        <v>78</v>
      </c>
      <c r="D395" t="s">
        <v>81</v>
      </c>
      <c r="E395" t="s">
        <v>74</v>
      </c>
      <c r="F395" t="s">
        <v>77</v>
      </c>
      <c r="G395" t="s">
        <v>76</v>
      </c>
      <c r="H395">
        <v>12</v>
      </c>
      <c r="I395">
        <v>1</v>
      </c>
      <c r="J395">
        <v>7</v>
      </c>
      <c r="K395">
        <v>9</v>
      </c>
      <c r="L395">
        <v>-2</v>
      </c>
      <c r="M395">
        <v>6</v>
      </c>
      <c r="N395">
        <v>9</v>
      </c>
      <c r="O395">
        <v>-3</v>
      </c>
      <c r="P395">
        <v>8</v>
      </c>
      <c r="Q395">
        <v>9</v>
      </c>
      <c r="R395">
        <v>-1</v>
      </c>
      <c r="S395">
        <v>9</v>
      </c>
      <c r="T395">
        <v>7</v>
      </c>
      <c r="U395">
        <v>2</v>
      </c>
      <c r="V395">
        <v>8</v>
      </c>
      <c r="W395">
        <v>8</v>
      </c>
      <c r="X395">
        <v>0</v>
      </c>
      <c r="Y395">
        <v>9</v>
      </c>
      <c r="Z395">
        <v>6</v>
      </c>
      <c r="AA395">
        <v>3</v>
      </c>
      <c r="AB395">
        <v>8</v>
      </c>
      <c r="AC395">
        <v>8</v>
      </c>
      <c r="AD395">
        <v>0</v>
      </c>
      <c r="AE395">
        <v>7</v>
      </c>
      <c r="AF395">
        <v>10</v>
      </c>
      <c r="AG395">
        <v>-3</v>
      </c>
      <c r="AH395">
        <v>9</v>
      </c>
      <c r="AI395">
        <v>10</v>
      </c>
      <c r="AJ395">
        <v>-1</v>
      </c>
      <c r="AK395" t="s">
        <v>3726</v>
      </c>
      <c r="AL395" t="s">
        <v>3727</v>
      </c>
      <c r="AM395" t="s">
        <v>3728</v>
      </c>
      <c r="AN395" t="s">
        <v>3729</v>
      </c>
      <c r="AO395" t="s">
        <v>3730</v>
      </c>
      <c r="AP395" t="s">
        <v>3731</v>
      </c>
      <c r="AQ395" t="s">
        <v>3732</v>
      </c>
      <c r="AR395" t="s">
        <v>3733</v>
      </c>
      <c r="AS395" t="s">
        <v>3734</v>
      </c>
    </row>
    <row r="396" spans="1:45" x14ac:dyDescent="0.45">
      <c r="A396">
        <v>395</v>
      </c>
      <c r="B396">
        <v>2420</v>
      </c>
      <c r="C396" t="s">
        <v>78</v>
      </c>
      <c r="D396" t="s">
        <v>192</v>
      </c>
      <c r="E396" t="s">
        <v>74</v>
      </c>
      <c r="F396" t="s">
        <v>77</v>
      </c>
      <c r="G396" t="s">
        <v>76</v>
      </c>
      <c r="H396">
        <v>40.092622556986917</v>
      </c>
      <c r="I396">
        <v>1</v>
      </c>
      <c r="J396">
        <v>9</v>
      </c>
      <c r="K396">
        <v>7</v>
      </c>
      <c r="L396">
        <v>2</v>
      </c>
      <c r="M396">
        <v>8</v>
      </c>
      <c r="N396">
        <v>7</v>
      </c>
      <c r="O396">
        <v>1</v>
      </c>
      <c r="P396">
        <v>9</v>
      </c>
      <c r="Q396">
        <v>5</v>
      </c>
      <c r="R396">
        <v>4</v>
      </c>
      <c r="S396">
        <v>8</v>
      </c>
      <c r="T396">
        <v>7</v>
      </c>
      <c r="U396">
        <v>1</v>
      </c>
      <c r="V396">
        <v>9</v>
      </c>
      <c r="W396">
        <v>5</v>
      </c>
      <c r="X396">
        <v>4</v>
      </c>
      <c r="Y396">
        <v>8</v>
      </c>
      <c r="Z396">
        <v>6</v>
      </c>
      <c r="AA396">
        <v>2</v>
      </c>
      <c r="AB396">
        <v>9</v>
      </c>
      <c r="AC396">
        <v>5</v>
      </c>
      <c r="AD396">
        <v>4</v>
      </c>
      <c r="AE396">
        <v>8</v>
      </c>
      <c r="AF396">
        <v>6</v>
      </c>
      <c r="AG396">
        <v>2</v>
      </c>
      <c r="AH396">
        <v>9</v>
      </c>
      <c r="AI396">
        <v>6</v>
      </c>
      <c r="AJ396">
        <v>3</v>
      </c>
      <c r="AK396" t="s">
        <v>262</v>
      </c>
      <c r="AL396" t="s">
        <v>3735</v>
      </c>
      <c r="AM396" t="s">
        <v>3736</v>
      </c>
      <c r="AN396" t="s">
        <v>3737</v>
      </c>
      <c r="AO396" t="s">
        <v>3738</v>
      </c>
      <c r="AP396" t="s">
        <v>3739</v>
      </c>
      <c r="AQ396" t="s">
        <v>3740</v>
      </c>
      <c r="AR396" t="s">
        <v>3741</v>
      </c>
      <c r="AS396" t="s">
        <v>3742</v>
      </c>
    </row>
    <row r="397" spans="1:45" x14ac:dyDescent="0.45">
      <c r="A397">
        <v>396</v>
      </c>
      <c r="B397">
        <v>2421</v>
      </c>
      <c r="C397" t="s">
        <v>72</v>
      </c>
      <c r="D397" t="s">
        <v>73</v>
      </c>
      <c r="E397" t="s">
        <v>74</v>
      </c>
      <c r="F397" t="s">
        <v>191</v>
      </c>
      <c r="G397" t="s">
        <v>76</v>
      </c>
      <c r="H397">
        <v>23.090094564224707</v>
      </c>
      <c r="I397">
        <v>1</v>
      </c>
      <c r="J397">
        <v>6</v>
      </c>
      <c r="K397">
        <v>2</v>
      </c>
      <c r="L397">
        <v>4</v>
      </c>
      <c r="M397">
        <v>7</v>
      </c>
      <c r="N397">
        <v>2</v>
      </c>
      <c r="O397">
        <v>5</v>
      </c>
      <c r="P397">
        <v>9</v>
      </c>
      <c r="Q397">
        <v>4</v>
      </c>
      <c r="R397">
        <v>5</v>
      </c>
      <c r="S397">
        <v>8</v>
      </c>
      <c r="T397">
        <v>5</v>
      </c>
      <c r="U397">
        <v>3</v>
      </c>
      <c r="V397">
        <v>9</v>
      </c>
      <c r="W397">
        <v>5</v>
      </c>
      <c r="X397">
        <v>4</v>
      </c>
      <c r="Y397">
        <v>8</v>
      </c>
      <c r="Z397">
        <v>3</v>
      </c>
      <c r="AA397">
        <v>5</v>
      </c>
      <c r="AB397">
        <v>9</v>
      </c>
      <c r="AC397">
        <v>5</v>
      </c>
      <c r="AD397">
        <v>4</v>
      </c>
      <c r="AE397">
        <v>8</v>
      </c>
      <c r="AF397">
        <v>5</v>
      </c>
      <c r="AG397">
        <v>3</v>
      </c>
      <c r="AH397">
        <v>9</v>
      </c>
      <c r="AI397">
        <v>5</v>
      </c>
      <c r="AJ397">
        <v>4</v>
      </c>
      <c r="AK397" t="s">
        <v>3743</v>
      </c>
      <c r="AL397" t="s">
        <v>3744</v>
      </c>
      <c r="AM397" t="s">
        <v>3745</v>
      </c>
      <c r="AN397" t="s">
        <v>3746</v>
      </c>
      <c r="AO397" t="s">
        <v>3747</v>
      </c>
      <c r="AP397" t="s">
        <v>3748</v>
      </c>
      <c r="AQ397" t="s">
        <v>3749</v>
      </c>
      <c r="AR397" t="s">
        <v>3750</v>
      </c>
      <c r="AS397" t="s">
        <v>3751</v>
      </c>
    </row>
    <row r="398" spans="1:45" x14ac:dyDescent="0.45">
      <c r="A398">
        <v>397</v>
      </c>
      <c r="B398">
        <v>2422</v>
      </c>
      <c r="C398" t="s">
        <v>72</v>
      </c>
      <c r="D398" t="s">
        <v>81</v>
      </c>
      <c r="E398" t="s">
        <v>74</v>
      </c>
      <c r="F398" t="s">
        <v>77</v>
      </c>
      <c r="G398" t="s">
        <v>76</v>
      </c>
      <c r="H398">
        <v>23.568901920151529</v>
      </c>
      <c r="I398">
        <v>0</v>
      </c>
      <c r="J398">
        <v>7</v>
      </c>
      <c r="K398">
        <v>8</v>
      </c>
      <c r="L398">
        <v>-1</v>
      </c>
      <c r="M398">
        <v>6</v>
      </c>
      <c r="N398">
        <v>8</v>
      </c>
      <c r="O398">
        <v>-2</v>
      </c>
      <c r="P398">
        <v>7</v>
      </c>
      <c r="Q398">
        <v>7</v>
      </c>
      <c r="R398">
        <v>0</v>
      </c>
      <c r="S398">
        <v>8</v>
      </c>
      <c r="T398">
        <v>7</v>
      </c>
      <c r="U398">
        <v>1</v>
      </c>
      <c r="V398">
        <v>6</v>
      </c>
      <c r="W398">
        <v>7</v>
      </c>
      <c r="X398">
        <v>-1</v>
      </c>
      <c r="Y398">
        <v>9</v>
      </c>
      <c r="Z398">
        <v>8</v>
      </c>
      <c r="AA398">
        <v>1</v>
      </c>
      <c r="AB398">
        <v>7</v>
      </c>
      <c r="AC398">
        <v>7</v>
      </c>
      <c r="AD398">
        <v>0</v>
      </c>
      <c r="AE398">
        <v>8</v>
      </c>
      <c r="AF398">
        <v>8</v>
      </c>
      <c r="AG398">
        <v>0</v>
      </c>
      <c r="AH398">
        <v>9</v>
      </c>
      <c r="AI398">
        <v>8</v>
      </c>
      <c r="AJ398">
        <v>1</v>
      </c>
      <c r="AK398" t="s">
        <v>3752</v>
      </c>
      <c r="AL398" t="s">
        <v>3753</v>
      </c>
      <c r="AM398" t="s">
        <v>3754</v>
      </c>
      <c r="AN398" t="s">
        <v>3755</v>
      </c>
      <c r="AO398" t="s">
        <v>3756</v>
      </c>
      <c r="AP398" t="s">
        <v>3757</v>
      </c>
      <c r="AQ398" t="s">
        <v>3758</v>
      </c>
      <c r="AR398" t="s">
        <v>3759</v>
      </c>
      <c r="AS398" t="s">
        <v>3760</v>
      </c>
    </row>
    <row r="399" spans="1:45" x14ac:dyDescent="0.45">
      <c r="A399">
        <v>398</v>
      </c>
      <c r="B399">
        <v>2423</v>
      </c>
      <c r="C399" t="s">
        <v>72</v>
      </c>
      <c r="D399" t="s">
        <v>189</v>
      </c>
      <c r="E399" t="s">
        <v>74</v>
      </c>
      <c r="F399" t="s">
        <v>77</v>
      </c>
      <c r="G399" t="s">
        <v>76</v>
      </c>
      <c r="H399">
        <v>12</v>
      </c>
      <c r="I399">
        <v>0</v>
      </c>
      <c r="J399">
        <v>7</v>
      </c>
      <c r="K399">
        <v>9</v>
      </c>
      <c r="L399">
        <v>-2</v>
      </c>
      <c r="M399">
        <v>6</v>
      </c>
      <c r="N399">
        <v>9</v>
      </c>
      <c r="O399">
        <v>-3</v>
      </c>
      <c r="P399">
        <v>8</v>
      </c>
      <c r="Q399">
        <v>8</v>
      </c>
      <c r="R399">
        <v>0</v>
      </c>
      <c r="S399">
        <v>9</v>
      </c>
      <c r="T399">
        <v>9</v>
      </c>
      <c r="U399">
        <v>0</v>
      </c>
      <c r="V399">
        <v>7</v>
      </c>
      <c r="W399">
        <v>7</v>
      </c>
      <c r="X399">
        <v>0</v>
      </c>
      <c r="Y399">
        <v>9</v>
      </c>
      <c r="Z399">
        <v>9</v>
      </c>
      <c r="AA399">
        <v>0</v>
      </c>
      <c r="AB399">
        <v>7</v>
      </c>
      <c r="AC399">
        <v>8</v>
      </c>
      <c r="AD399">
        <v>-1</v>
      </c>
      <c r="AE399">
        <v>6</v>
      </c>
      <c r="AF399">
        <v>8</v>
      </c>
      <c r="AG399">
        <v>-2</v>
      </c>
      <c r="AH399">
        <v>9</v>
      </c>
      <c r="AI399">
        <v>8</v>
      </c>
      <c r="AJ399">
        <v>1</v>
      </c>
      <c r="AK399" t="s">
        <v>3761</v>
      </c>
      <c r="AL399" t="s">
        <v>3762</v>
      </c>
      <c r="AM399" t="s">
        <v>3763</v>
      </c>
      <c r="AN399" t="s">
        <v>3764</v>
      </c>
      <c r="AO399" t="s">
        <v>3765</v>
      </c>
      <c r="AP399" t="s">
        <v>3766</v>
      </c>
      <c r="AQ399" t="s">
        <v>3767</v>
      </c>
      <c r="AR399" t="s">
        <v>3768</v>
      </c>
      <c r="AS399" t="s">
        <v>3769</v>
      </c>
    </row>
    <row r="400" spans="1:45" x14ac:dyDescent="0.45">
      <c r="A400">
        <v>399</v>
      </c>
      <c r="B400">
        <v>2424</v>
      </c>
      <c r="C400" t="s">
        <v>72</v>
      </c>
      <c r="D400" t="s">
        <v>81</v>
      </c>
      <c r="E400" t="s">
        <v>74</v>
      </c>
      <c r="F400" t="s">
        <v>75</v>
      </c>
      <c r="G400" t="s">
        <v>76</v>
      </c>
      <c r="H400">
        <v>27.523611214524191</v>
      </c>
      <c r="I400">
        <v>0</v>
      </c>
      <c r="J400">
        <v>8</v>
      </c>
      <c r="K400">
        <v>7</v>
      </c>
      <c r="L400">
        <v>1</v>
      </c>
      <c r="M400">
        <v>9</v>
      </c>
      <c r="N400">
        <v>7</v>
      </c>
      <c r="O400">
        <v>2</v>
      </c>
      <c r="P400">
        <v>8</v>
      </c>
      <c r="Q400">
        <v>5</v>
      </c>
      <c r="R400">
        <v>3</v>
      </c>
      <c r="S400">
        <v>9</v>
      </c>
      <c r="T400">
        <v>8</v>
      </c>
      <c r="U400">
        <v>1</v>
      </c>
      <c r="V400">
        <v>8</v>
      </c>
      <c r="W400">
        <v>7</v>
      </c>
      <c r="X400">
        <v>1</v>
      </c>
      <c r="Y400">
        <v>9</v>
      </c>
      <c r="Z400">
        <v>8</v>
      </c>
      <c r="AA400">
        <v>1</v>
      </c>
      <c r="AB400">
        <v>8</v>
      </c>
      <c r="AC400">
        <v>6</v>
      </c>
      <c r="AD400">
        <v>2</v>
      </c>
      <c r="AE400">
        <v>9</v>
      </c>
      <c r="AF400">
        <v>6</v>
      </c>
      <c r="AG400">
        <v>3</v>
      </c>
      <c r="AH400">
        <v>8</v>
      </c>
      <c r="AI400">
        <v>8</v>
      </c>
      <c r="AJ400">
        <v>0</v>
      </c>
      <c r="AK400" t="s">
        <v>3770</v>
      </c>
      <c r="AL400" t="s">
        <v>3771</v>
      </c>
      <c r="AM400" t="s">
        <v>3772</v>
      </c>
      <c r="AN400" t="s">
        <v>3773</v>
      </c>
      <c r="AO400" t="s">
        <v>3774</v>
      </c>
      <c r="AP400" t="s">
        <v>3775</v>
      </c>
      <c r="AQ400" t="s">
        <v>3776</v>
      </c>
      <c r="AR400" t="s">
        <v>3777</v>
      </c>
      <c r="AS400" t="s">
        <v>3778</v>
      </c>
    </row>
    <row r="401" spans="1:45" x14ac:dyDescent="0.45">
      <c r="A401">
        <v>400</v>
      </c>
      <c r="B401">
        <v>2425</v>
      </c>
      <c r="C401" t="s">
        <v>72</v>
      </c>
      <c r="D401" t="s">
        <v>79</v>
      </c>
      <c r="E401" t="s">
        <v>74</v>
      </c>
      <c r="F401" t="s">
        <v>77</v>
      </c>
      <c r="G401" t="s">
        <v>76</v>
      </c>
      <c r="H401">
        <v>46.95840109279473</v>
      </c>
      <c r="I401">
        <v>3</v>
      </c>
      <c r="J401">
        <v>7</v>
      </c>
      <c r="K401">
        <v>8</v>
      </c>
      <c r="L401">
        <v>-1</v>
      </c>
      <c r="M401">
        <v>7</v>
      </c>
      <c r="N401">
        <v>9</v>
      </c>
      <c r="O401">
        <v>-2</v>
      </c>
      <c r="P401">
        <v>8</v>
      </c>
      <c r="Q401">
        <v>8</v>
      </c>
      <c r="R401">
        <v>0</v>
      </c>
      <c r="S401">
        <v>9</v>
      </c>
      <c r="T401">
        <v>8</v>
      </c>
      <c r="U401">
        <v>1</v>
      </c>
      <c r="V401">
        <v>8</v>
      </c>
      <c r="W401">
        <v>7</v>
      </c>
      <c r="X401">
        <v>1</v>
      </c>
      <c r="Y401">
        <v>9</v>
      </c>
      <c r="Z401">
        <v>7</v>
      </c>
      <c r="AA401">
        <v>2</v>
      </c>
      <c r="AB401">
        <v>8</v>
      </c>
      <c r="AC401">
        <v>7</v>
      </c>
      <c r="AD401">
        <v>1</v>
      </c>
      <c r="AE401">
        <v>7</v>
      </c>
      <c r="AF401">
        <v>7</v>
      </c>
      <c r="AG401">
        <v>0</v>
      </c>
      <c r="AH401">
        <v>9</v>
      </c>
      <c r="AI401">
        <v>8</v>
      </c>
      <c r="AJ401">
        <v>1</v>
      </c>
      <c r="AK401" t="s">
        <v>3779</v>
      </c>
      <c r="AL401" t="s">
        <v>3780</v>
      </c>
      <c r="AM401" t="s">
        <v>3781</v>
      </c>
      <c r="AN401" t="s">
        <v>3782</v>
      </c>
      <c r="AO401" t="s">
        <v>3783</v>
      </c>
      <c r="AP401" t="s">
        <v>3784</v>
      </c>
      <c r="AQ401" t="s">
        <v>3785</v>
      </c>
      <c r="AR401" t="s">
        <v>3786</v>
      </c>
      <c r="AS401" t="s">
        <v>3787</v>
      </c>
    </row>
    <row r="402" spans="1:45" x14ac:dyDescent="0.45">
      <c r="A402">
        <v>401</v>
      </c>
      <c r="B402">
        <v>2426</v>
      </c>
      <c r="C402" t="s">
        <v>72</v>
      </c>
      <c r="D402" t="s">
        <v>81</v>
      </c>
      <c r="E402" t="s">
        <v>80</v>
      </c>
      <c r="F402" t="s">
        <v>77</v>
      </c>
      <c r="G402" t="s">
        <v>76</v>
      </c>
      <c r="H402">
        <v>16.315664989626608</v>
      </c>
      <c r="I402">
        <v>0</v>
      </c>
      <c r="J402">
        <v>9</v>
      </c>
      <c r="K402">
        <v>4</v>
      </c>
      <c r="L402">
        <v>5</v>
      </c>
      <c r="M402">
        <v>8</v>
      </c>
      <c r="N402">
        <v>4</v>
      </c>
      <c r="O402">
        <v>4</v>
      </c>
      <c r="P402">
        <v>9</v>
      </c>
      <c r="Q402">
        <v>3</v>
      </c>
      <c r="R402">
        <v>6</v>
      </c>
      <c r="S402">
        <v>9</v>
      </c>
      <c r="T402">
        <v>5</v>
      </c>
      <c r="U402">
        <v>4</v>
      </c>
      <c r="V402">
        <v>8</v>
      </c>
      <c r="W402">
        <v>5</v>
      </c>
      <c r="X402">
        <v>3</v>
      </c>
      <c r="Y402">
        <v>9</v>
      </c>
      <c r="Z402">
        <v>2</v>
      </c>
      <c r="AA402">
        <v>7</v>
      </c>
      <c r="AB402">
        <v>8</v>
      </c>
      <c r="AC402">
        <v>2</v>
      </c>
      <c r="AD402">
        <v>6</v>
      </c>
      <c r="AE402">
        <v>9</v>
      </c>
      <c r="AF402">
        <v>5</v>
      </c>
      <c r="AG402">
        <v>4</v>
      </c>
      <c r="AH402">
        <v>10</v>
      </c>
      <c r="AI402">
        <v>2</v>
      </c>
      <c r="AJ402">
        <v>8</v>
      </c>
      <c r="AK402" t="s">
        <v>3788</v>
      </c>
      <c r="AL402" t="s">
        <v>3789</v>
      </c>
      <c r="AM402" t="s">
        <v>3790</v>
      </c>
      <c r="AN402" t="s">
        <v>3791</v>
      </c>
      <c r="AO402" t="s">
        <v>200</v>
      </c>
      <c r="AP402" t="s">
        <v>3792</v>
      </c>
      <c r="AQ402" t="s">
        <v>3793</v>
      </c>
      <c r="AR402" t="s">
        <v>3794</v>
      </c>
      <c r="AS402" t="s">
        <v>3795</v>
      </c>
    </row>
    <row r="403" spans="1:45" x14ac:dyDescent="0.45">
      <c r="A403">
        <v>402</v>
      </c>
      <c r="B403">
        <v>2427</v>
      </c>
      <c r="C403" t="s">
        <v>78</v>
      </c>
      <c r="D403" t="s">
        <v>194</v>
      </c>
      <c r="E403" t="s">
        <v>74</v>
      </c>
      <c r="F403" t="s">
        <v>75</v>
      </c>
      <c r="G403" t="s">
        <v>76</v>
      </c>
      <c r="H403">
        <v>132.78249495416784</v>
      </c>
      <c r="I403">
        <v>4</v>
      </c>
      <c r="J403">
        <v>7</v>
      </c>
      <c r="K403">
        <v>7</v>
      </c>
      <c r="L403">
        <v>0</v>
      </c>
      <c r="M403">
        <v>8</v>
      </c>
      <c r="N403">
        <v>7</v>
      </c>
      <c r="O403">
        <v>1</v>
      </c>
      <c r="P403">
        <v>9</v>
      </c>
      <c r="Q403">
        <v>4</v>
      </c>
      <c r="R403">
        <v>5</v>
      </c>
      <c r="S403">
        <v>8</v>
      </c>
      <c r="T403">
        <v>6</v>
      </c>
      <c r="U403">
        <v>2</v>
      </c>
      <c r="V403">
        <v>6</v>
      </c>
      <c r="W403">
        <v>5</v>
      </c>
      <c r="X403">
        <v>1</v>
      </c>
      <c r="Y403">
        <v>9</v>
      </c>
      <c r="Z403">
        <v>4</v>
      </c>
      <c r="AA403">
        <v>5</v>
      </c>
      <c r="AB403">
        <v>7</v>
      </c>
      <c r="AC403">
        <v>5</v>
      </c>
      <c r="AD403">
        <v>2</v>
      </c>
      <c r="AE403">
        <v>8</v>
      </c>
      <c r="AF403">
        <v>5</v>
      </c>
      <c r="AG403">
        <v>3</v>
      </c>
      <c r="AH403">
        <v>7</v>
      </c>
      <c r="AI403">
        <v>5</v>
      </c>
      <c r="AJ403">
        <v>2</v>
      </c>
      <c r="AK403" t="s">
        <v>3796</v>
      </c>
      <c r="AL403" t="s">
        <v>3797</v>
      </c>
      <c r="AM403" t="s">
        <v>3798</v>
      </c>
      <c r="AN403" t="s">
        <v>3799</v>
      </c>
      <c r="AO403" t="s">
        <v>3800</v>
      </c>
      <c r="AP403" t="s">
        <v>3801</v>
      </c>
      <c r="AQ403" t="s">
        <v>3802</v>
      </c>
      <c r="AR403" t="s">
        <v>3803</v>
      </c>
      <c r="AS403" t="s">
        <v>3804</v>
      </c>
    </row>
    <row r="404" spans="1:45" x14ac:dyDescent="0.45">
      <c r="A404">
        <v>403</v>
      </c>
      <c r="B404">
        <v>2428</v>
      </c>
      <c r="C404" t="s">
        <v>72</v>
      </c>
      <c r="D404" t="s">
        <v>81</v>
      </c>
      <c r="E404" t="s">
        <v>74</v>
      </c>
      <c r="F404" t="s">
        <v>77</v>
      </c>
      <c r="G404" t="s">
        <v>76</v>
      </c>
      <c r="H404">
        <v>30.55115045337438</v>
      </c>
      <c r="I404">
        <v>0</v>
      </c>
      <c r="J404">
        <v>6</v>
      </c>
      <c r="K404">
        <v>7</v>
      </c>
      <c r="L404">
        <v>-1</v>
      </c>
      <c r="M404">
        <v>8</v>
      </c>
      <c r="N404">
        <v>7</v>
      </c>
      <c r="O404">
        <v>1</v>
      </c>
      <c r="P404">
        <v>9</v>
      </c>
      <c r="Q404">
        <v>7</v>
      </c>
      <c r="R404">
        <v>2</v>
      </c>
      <c r="S404">
        <v>9</v>
      </c>
      <c r="T404">
        <v>7</v>
      </c>
      <c r="U404">
        <v>2</v>
      </c>
      <c r="V404">
        <v>8</v>
      </c>
      <c r="W404">
        <v>7</v>
      </c>
      <c r="X404">
        <v>1</v>
      </c>
      <c r="Y404">
        <v>9</v>
      </c>
      <c r="Z404">
        <v>7</v>
      </c>
      <c r="AA404">
        <v>2</v>
      </c>
      <c r="AB404">
        <v>7</v>
      </c>
      <c r="AC404">
        <v>7</v>
      </c>
      <c r="AD404">
        <v>0</v>
      </c>
      <c r="AE404">
        <v>6</v>
      </c>
      <c r="AF404">
        <v>7</v>
      </c>
      <c r="AG404">
        <v>-1</v>
      </c>
      <c r="AH404">
        <v>9</v>
      </c>
      <c r="AI404">
        <v>7</v>
      </c>
      <c r="AJ404">
        <v>2</v>
      </c>
      <c r="AK404" t="s">
        <v>3805</v>
      </c>
      <c r="AL404" t="s">
        <v>3806</v>
      </c>
      <c r="AM404" t="s">
        <v>3807</v>
      </c>
      <c r="AN404" t="s">
        <v>3808</v>
      </c>
      <c r="AO404" t="s">
        <v>3809</v>
      </c>
      <c r="AP404" t="s">
        <v>3810</v>
      </c>
      <c r="AQ404" t="s">
        <v>3811</v>
      </c>
      <c r="AR404" t="s">
        <v>3812</v>
      </c>
      <c r="AS404" t="s">
        <v>3813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0A1E5-5B85-4FCC-8D5E-A7011AE70633}">
  <dimension ref="A1:Q404"/>
  <sheetViews>
    <sheetView topLeftCell="N1" workbookViewId="0">
      <selection activeCell="O1" sqref="O1"/>
    </sheetView>
  </sheetViews>
  <sheetFormatPr defaultRowHeight="14.25" x14ac:dyDescent="0.45"/>
  <cols>
    <col min="1" max="1" width="15.265625" bestFit="1" customWidth="1"/>
    <col min="2" max="2" width="17.3984375" bestFit="1" customWidth="1"/>
    <col min="3" max="3" width="16.3984375" bestFit="1" customWidth="1"/>
    <col min="4" max="4" width="26.59765625" hidden="1" customWidth="1"/>
    <col min="5" max="5" width="24.796875" bestFit="1" customWidth="1"/>
    <col min="6" max="6" width="45.796875" bestFit="1" customWidth="1"/>
    <col min="7" max="7" width="80.53125" bestFit="1" customWidth="1"/>
    <col min="8" max="8" width="65.33203125" bestFit="1" customWidth="1"/>
    <col min="9" max="17" width="80.53125" bestFit="1" customWidth="1"/>
  </cols>
  <sheetData>
    <row r="1" spans="1:17" x14ac:dyDescent="0.45">
      <c r="A1" t="s">
        <v>83</v>
      </c>
      <c r="B1" t="s">
        <v>84</v>
      </c>
      <c r="C1" t="s">
        <v>85</v>
      </c>
      <c r="D1" t="s">
        <v>86</v>
      </c>
      <c r="E1" t="s">
        <v>87</v>
      </c>
      <c r="F1" t="s">
        <v>88</v>
      </c>
      <c r="G1" t="s">
        <v>89</v>
      </c>
      <c r="H1" t="s">
        <v>90</v>
      </c>
      <c r="I1" t="s">
        <v>91</v>
      </c>
      <c r="J1" t="s">
        <v>92</v>
      </c>
      <c r="K1" t="s">
        <v>93</v>
      </c>
      <c r="L1" t="s">
        <v>94</v>
      </c>
      <c r="M1" t="s">
        <v>95</v>
      </c>
      <c r="N1" t="s">
        <v>96</v>
      </c>
      <c r="O1" t="s">
        <v>97</v>
      </c>
      <c r="P1" t="s">
        <v>98</v>
      </c>
      <c r="Q1" t="s">
        <v>99</v>
      </c>
    </row>
    <row r="2" spans="1:17" x14ac:dyDescent="0.45">
      <c r="A2" s="19">
        <v>46016.586805555555</v>
      </c>
      <c r="B2" t="s">
        <v>72</v>
      </c>
      <c r="C2" t="s">
        <v>81</v>
      </c>
      <c r="D2" t="s">
        <v>74</v>
      </c>
      <c r="E2" t="s">
        <v>77</v>
      </c>
      <c r="F2" t="s">
        <v>100</v>
      </c>
      <c r="G2" t="s">
        <v>104</v>
      </c>
      <c r="H2" t="s">
        <v>102</v>
      </c>
      <c r="I2">
        <v>10</v>
      </c>
      <c r="J2">
        <v>8</v>
      </c>
      <c r="K2">
        <v>5</v>
      </c>
      <c r="L2">
        <v>5</v>
      </c>
      <c r="M2">
        <v>10</v>
      </c>
      <c r="N2">
        <v>10</v>
      </c>
      <c r="O2">
        <v>10</v>
      </c>
      <c r="P2">
        <v>10</v>
      </c>
      <c r="Q2">
        <v>10</v>
      </c>
    </row>
    <row r="3" spans="1:17" x14ac:dyDescent="0.45">
      <c r="A3" s="19">
        <v>46016.586805555555</v>
      </c>
      <c r="B3" t="s">
        <v>72</v>
      </c>
      <c r="C3" t="s">
        <v>81</v>
      </c>
      <c r="D3" t="s">
        <v>74</v>
      </c>
      <c r="E3" t="s">
        <v>77</v>
      </c>
      <c r="F3" t="s">
        <v>100</v>
      </c>
      <c r="G3" t="s">
        <v>104</v>
      </c>
      <c r="H3" t="s">
        <v>110</v>
      </c>
      <c r="I3">
        <v>8</v>
      </c>
      <c r="J3">
        <v>8</v>
      </c>
      <c r="K3">
        <v>6</v>
      </c>
      <c r="L3">
        <v>9</v>
      </c>
      <c r="M3">
        <v>10</v>
      </c>
      <c r="N3">
        <v>9</v>
      </c>
      <c r="O3">
        <v>8</v>
      </c>
      <c r="P3">
        <v>9</v>
      </c>
      <c r="Q3">
        <v>10</v>
      </c>
    </row>
    <row r="4" spans="1:17" x14ac:dyDescent="0.45">
      <c r="A4" s="19">
        <v>46016.588194444441</v>
      </c>
      <c r="B4" t="s">
        <v>78</v>
      </c>
      <c r="C4" t="s">
        <v>79</v>
      </c>
      <c r="D4" t="s">
        <v>74</v>
      </c>
      <c r="E4" t="s">
        <v>75</v>
      </c>
      <c r="F4" t="s">
        <v>100</v>
      </c>
      <c r="G4" t="s">
        <v>111</v>
      </c>
      <c r="H4" t="s">
        <v>106</v>
      </c>
      <c r="I4">
        <v>6</v>
      </c>
      <c r="J4">
        <v>5</v>
      </c>
      <c r="K4">
        <v>4</v>
      </c>
      <c r="L4">
        <v>5</v>
      </c>
      <c r="M4">
        <v>4</v>
      </c>
      <c r="N4">
        <v>4</v>
      </c>
      <c r="O4">
        <v>4</v>
      </c>
      <c r="P4">
        <v>10</v>
      </c>
      <c r="Q4">
        <v>4</v>
      </c>
    </row>
    <row r="5" spans="1:17" x14ac:dyDescent="0.45">
      <c r="A5" s="19">
        <v>46016.588194444441</v>
      </c>
      <c r="B5" t="s">
        <v>72</v>
      </c>
      <c r="C5" t="s">
        <v>189</v>
      </c>
      <c r="D5" t="s">
        <v>74</v>
      </c>
      <c r="E5" t="s">
        <v>77</v>
      </c>
      <c r="F5" t="s">
        <v>100</v>
      </c>
      <c r="G5" t="s">
        <v>195</v>
      </c>
      <c r="H5" t="s">
        <v>110</v>
      </c>
      <c r="I5">
        <v>10</v>
      </c>
      <c r="J5">
        <v>10</v>
      </c>
      <c r="K5">
        <v>8</v>
      </c>
      <c r="L5">
        <v>9</v>
      </c>
      <c r="M5">
        <v>9</v>
      </c>
      <c r="N5">
        <v>7</v>
      </c>
      <c r="O5">
        <v>10</v>
      </c>
      <c r="P5">
        <v>7</v>
      </c>
      <c r="Q5">
        <v>10</v>
      </c>
    </row>
    <row r="6" spans="1:17" x14ac:dyDescent="0.45">
      <c r="A6" s="19">
        <v>46016.588888888888</v>
      </c>
      <c r="B6" t="s">
        <v>72</v>
      </c>
      <c r="C6" t="s">
        <v>81</v>
      </c>
      <c r="D6" t="s">
        <v>74</v>
      </c>
      <c r="E6" t="s">
        <v>77</v>
      </c>
      <c r="F6" t="s">
        <v>100</v>
      </c>
      <c r="G6" t="s">
        <v>195</v>
      </c>
      <c r="H6" t="s">
        <v>110</v>
      </c>
      <c r="I6">
        <v>9</v>
      </c>
      <c r="J6">
        <v>9</v>
      </c>
      <c r="K6">
        <v>10</v>
      </c>
      <c r="L6">
        <v>9</v>
      </c>
      <c r="M6">
        <v>9</v>
      </c>
      <c r="N6">
        <v>9</v>
      </c>
      <c r="O6">
        <v>9</v>
      </c>
      <c r="P6">
        <v>9</v>
      </c>
      <c r="Q6">
        <v>9</v>
      </c>
    </row>
    <row r="7" spans="1:17" x14ac:dyDescent="0.45">
      <c r="A7" s="19">
        <v>46016.595138888886</v>
      </c>
      <c r="B7" t="s">
        <v>72</v>
      </c>
      <c r="C7" t="s">
        <v>73</v>
      </c>
      <c r="D7" t="s">
        <v>74</v>
      </c>
      <c r="E7" t="s">
        <v>75</v>
      </c>
      <c r="F7" t="s">
        <v>100</v>
      </c>
      <c r="G7" t="s">
        <v>107</v>
      </c>
      <c r="H7" t="s">
        <v>196</v>
      </c>
      <c r="I7">
        <v>8</v>
      </c>
      <c r="J7">
        <v>8</v>
      </c>
      <c r="K7">
        <v>5</v>
      </c>
      <c r="L7">
        <v>8</v>
      </c>
      <c r="M7">
        <v>6</v>
      </c>
      <c r="N7">
        <v>6</v>
      </c>
      <c r="O7">
        <v>4</v>
      </c>
      <c r="P7">
        <v>5</v>
      </c>
      <c r="Q7">
        <v>6</v>
      </c>
    </row>
    <row r="8" spans="1:17" x14ac:dyDescent="0.45">
      <c r="A8" s="19">
        <v>46016.59652777778</v>
      </c>
      <c r="B8" t="s">
        <v>72</v>
      </c>
      <c r="C8" t="s">
        <v>73</v>
      </c>
      <c r="D8" t="s">
        <v>74</v>
      </c>
      <c r="E8" t="s">
        <v>77</v>
      </c>
      <c r="F8" t="s">
        <v>100</v>
      </c>
      <c r="G8" t="s">
        <v>197</v>
      </c>
      <c r="H8" t="s">
        <v>105</v>
      </c>
      <c r="I8">
        <v>5</v>
      </c>
      <c r="J8">
        <v>4</v>
      </c>
      <c r="K8">
        <v>4</v>
      </c>
      <c r="L8">
        <v>6</v>
      </c>
      <c r="M8">
        <v>6</v>
      </c>
      <c r="N8">
        <v>7</v>
      </c>
      <c r="O8">
        <v>2</v>
      </c>
      <c r="P8">
        <v>4</v>
      </c>
      <c r="Q8">
        <v>4</v>
      </c>
    </row>
    <row r="9" spans="1:17" x14ac:dyDescent="0.45">
      <c r="A9" s="19">
        <v>46016.602777777778</v>
      </c>
      <c r="B9" t="s">
        <v>78</v>
      </c>
      <c r="C9" t="s">
        <v>79</v>
      </c>
      <c r="D9" t="s">
        <v>74</v>
      </c>
      <c r="E9" t="s">
        <v>75</v>
      </c>
      <c r="F9" t="s">
        <v>100</v>
      </c>
      <c r="G9" t="s">
        <v>195</v>
      </c>
      <c r="H9" t="s">
        <v>105</v>
      </c>
      <c r="I9">
        <v>1</v>
      </c>
      <c r="J9">
        <v>1</v>
      </c>
      <c r="K9">
        <v>2</v>
      </c>
      <c r="L9">
        <v>3</v>
      </c>
      <c r="M9">
        <v>6</v>
      </c>
      <c r="N9">
        <v>2</v>
      </c>
      <c r="O9">
        <v>7</v>
      </c>
      <c r="P9">
        <v>3</v>
      </c>
      <c r="Q9">
        <v>3</v>
      </c>
    </row>
    <row r="10" spans="1:17" x14ac:dyDescent="0.45">
      <c r="A10" s="19">
        <v>46016.649305555555</v>
      </c>
      <c r="B10" t="s">
        <v>72</v>
      </c>
      <c r="C10" t="s">
        <v>81</v>
      </c>
      <c r="D10" t="s">
        <v>80</v>
      </c>
      <c r="E10" t="s">
        <v>77</v>
      </c>
      <c r="F10" t="s">
        <v>103</v>
      </c>
      <c r="G10" t="s">
        <v>104</v>
      </c>
      <c r="H10" t="s">
        <v>102</v>
      </c>
      <c r="I10">
        <v>10</v>
      </c>
      <c r="J10">
        <v>10</v>
      </c>
      <c r="K10">
        <v>8</v>
      </c>
      <c r="L10">
        <v>7</v>
      </c>
      <c r="M10">
        <v>7</v>
      </c>
      <c r="N10">
        <v>5</v>
      </c>
      <c r="O10">
        <v>5</v>
      </c>
      <c r="P10">
        <v>9</v>
      </c>
      <c r="Q10">
        <v>8</v>
      </c>
    </row>
    <row r="11" spans="1:17" x14ac:dyDescent="0.45">
      <c r="A11" s="19">
        <v>46016.660416666666</v>
      </c>
      <c r="B11" t="s">
        <v>72</v>
      </c>
      <c r="C11" t="s">
        <v>81</v>
      </c>
      <c r="D11" t="s">
        <v>74</v>
      </c>
      <c r="E11" t="s">
        <v>77</v>
      </c>
      <c r="F11" t="s">
        <v>100</v>
      </c>
      <c r="G11" t="s">
        <v>197</v>
      </c>
      <c r="H11" t="s">
        <v>110</v>
      </c>
      <c r="I11">
        <v>7</v>
      </c>
      <c r="J11">
        <v>10</v>
      </c>
      <c r="K11">
        <v>1</v>
      </c>
      <c r="L11">
        <v>5</v>
      </c>
      <c r="M11">
        <v>8</v>
      </c>
      <c r="N11">
        <v>5</v>
      </c>
      <c r="O11">
        <v>5</v>
      </c>
      <c r="P11">
        <v>5</v>
      </c>
      <c r="Q11">
        <v>10</v>
      </c>
    </row>
    <row r="12" spans="1:17" x14ac:dyDescent="0.45">
      <c r="A12" s="19">
        <v>46016.661111111112</v>
      </c>
      <c r="B12" t="s">
        <v>78</v>
      </c>
      <c r="C12" t="s">
        <v>73</v>
      </c>
      <c r="D12" t="s">
        <v>74</v>
      </c>
      <c r="E12" t="s">
        <v>75</v>
      </c>
      <c r="F12" t="s">
        <v>103</v>
      </c>
      <c r="G12" t="s">
        <v>109</v>
      </c>
      <c r="H12" t="s">
        <v>196</v>
      </c>
      <c r="I12">
        <v>10</v>
      </c>
      <c r="J12">
        <v>3</v>
      </c>
      <c r="K12">
        <v>1</v>
      </c>
      <c r="L12">
        <v>7</v>
      </c>
      <c r="M12">
        <v>1</v>
      </c>
      <c r="N12">
        <v>5</v>
      </c>
      <c r="O12">
        <v>1</v>
      </c>
      <c r="P12">
        <v>8</v>
      </c>
      <c r="Q12">
        <v>6</v>
      </c>
    </row>
    <row r="13" spans="1:17" x14ac:dyDescent="0.45">
      <c r="A13" s="19">
        <v>46016.709027777775</v>
      </c>
      <c r="B13" t="s">
        <v>72</v>
      </c>
      <c r="C13" t="s">
        <v>189</v>
      </c>
      <c r="D13" t="s">
        <v>74</v>
      </c>
      <c r="E13" t="s">
        <v>77</v>
      </c>
      <c r="F13" t="s">
        <v>100</v>
      </c>
      <c r="G13" t="s">
        <v>195</v>
      </c>
      <c r="H13" t="s">
        <v>110</v>
      </c>
      <c r="I13">
        <v>5</v>
      </c>
      <c r="J13">
        <v>8</v>
      </c>
      <c r="K13">
        <v>5</v>
      </c>
      <c r="L13">
        <v>5</v>
      </c>
      <c r="M13">
        <v>6</v>
      </c>
      <c r="N13">
        <v>5</v>
      </c>
      <c r="O13">
        <v>5</v>
      </c>
      <c r="P13">
        <v>5</v>
      </c>
      <c r="Q13">
        <v>5</v>
      </c>
    </row>
    <row r="14" spans="1:17" x14ac:dyDescent="0.45">
      <c r="A14" s="19">
        <v>46016.745833333334</v>
      </c>
      <c r="B14" t="s">
        <v>72</v>
      </c>
      <c r="C14" t="s">
        <v>189</v>
      </c>
      <c r="D14" t="s">
        <v>74</v>
      </c>
      <c r="E14" t="s">
        <v>77</v>
      </c>
      <c r="F14" t="s">
        <v>100</v>
      </c>
      <c r="G14" t="s">
        <v>195</v>
      </c>
      <c r="H14" t="s">
        <v>110</v>
      </c>
      <c r="I14">
        <v>8</v>
      </c>
      <c r="J14">
        <v>7</v>
      </c>
      <c r="K14">
        <v>7</v>
      </c>
      <c r="L14">
        <v>7</v>
      </c>
      <c r="M14">
        <v>7</v>
      </c>
      <c r="N14">
        <v>8</v>
      </c>
      <c r="O14">
        <v>7</v>
      </c>
      <c r="P14">
        <v>7</v>
      </c>
      <c r="Q14">
        <v>7</v>
      </c>
    </row>
    <row r="15" spans="1:17" x14ac:dyDescent="0.45">
      <c r="A15" s="19">
        <v>46016.844444444447</v>
      </c>
      <c r="B15" t="s">
        <v>72</v>
      </c>
      <c r="C15" t="s">
        <v>73</v>
      </c>
      <c r="D15" t="s">
        <v>74</v>
      </c>
      <c r="E15" t="s">
        <v>75</v>
      </c>
      <c r="F15" t="s">
        <v>100</v>
      </c>
      <c r="G15" t="s">
        <v>197</v>
      </c>
      <c r="H15" t="s">
        <v>110</v>
      </c>
      <c r="I15">
        <v>10</v>
      </c>
      <c r="J15">
        <v>10</v>
      </c>
      <c r="K15">
        <v>8</v>
      </c>
      <c r="L15">
        <v>8</v>
      </c>
      <c r="M15">
        <v>8</v>
      </c>
      <c r="N15">
        <v>6</v>
      </c>
      <c r="O15">
        <v>6</v>
      </c>
      <c r="P15">
        <v>5</v>
      </c>
      <c r="Q15">
        <v>5</v>
      </c>
    </row>
    <row r="16" spans="1:17" x14ac:dyDescent="0.45">
      <c r="A16" s="19">
        <v>46016.84652777778</v>
      </c>
      <c r="B16" t="s">
        <v>78</v>
      </c>
      <c r="C16" t="s">
        <v>73</v>
      </c>
      <c r="D16" t="s">
        <v>74</v>
      </c>
      <c r="E16" t="s">
        <v>75</v>
      </c>
      <c r="F16" t="s">
        <v>100</v>
      </c>
      <c r="G16" t="s">
        <v>109</v>
      </c>
      <c r="H16" t="s">
        <v>105</v>
      </c>
      <c r="I16">
        <v>7</v>
      </c>
      <c r="J16">
        <v>9</v>
      </c>
      <c r="K16">
        <v>3</v>
      </c>
      <c r="L16">
        <v>6</v>
      </c>
      <c r="M16">
        <v>1</v>
      </c>
      <c r="N16">
        <v>1</v>
      </c>
      <c r="O16">
        <v>1</v>
      </c>
      <c r="P16">
        <v>1</v>
      </c>
      <c r="Q16">
        <v>1</v>
      </c>
    </row>
    <row r="17" spans="1:17" x14ac:dyDescent="0.45">
      <c r="A17" s="19">
        <v>46016.881249999999</v>
      </c>
      <c r="B17" t="s">
        <v>78</v>
      </c>
      <c r="C17" t="s">
        <v>79</v>
      </c>
      <c r="D17" t="s">
        <v>74</v>
      </c>
      <c r="E17" t="s">
        <v>75</v>
      </c>
      <c r="F17" t="s">
        <v>100</v>
      </c>
      <c r="G17" t="s">
        <v>107</v>
      </c>
      <c r="H17" t="s">
        <v>196</v>
      </c>
      <c r="I17">
        <v>8</v>
      </c>
      <c r="J17">
        <v>8</v>
      </c>
      <c r="K17">
        <v>8</v>
      </c>
      <c r="L17">
        <v>9</v>
      </c>
      <c r="M17">
        <v>7</v>
      </c>
      <c r="N17">
        <v>7</v>
      </c>
      <c r="O17">
        <v>9</v>
      </c>
      <c r="P17">
        <v>8</v>
      </c>
      <c r="Q17">
        <v>7</v>
      </c>
    </row>
    <row r="18" spans="1:17" x14ac:dyDescent="0.45">
      <c r="A18" s="19">
        <v>46016.885416666664</v>
      </c>
      <c r="B18" t="s">
        <v>72</v>
      </c>
      <c r="C18" t="s">
        <v>81</v>
      </c>
      <c r="D18" t="s">
        <v>74</v>
      </c>
      <c r="E18" t="s">
        <v>77</v>
      </c>
      <c r="F18" t="s">
        <v>100</v>
      </c>
      <c r="G18" t="s">
        <v>197</v>
      </c>
      <c r="H18" t="s">
        <v>105</v>
      </c>
      <c r="I18">
        <v>6</v>
      </c>
      <c r="J18">
        <v>7</v>
      </c>
      <c r="K18">
        <v>5</v>
      </c>
      <c r="L18">
        <v>5</v>
      </c>
      <c r="M18">
        <v>6</v>
      </c>
      <c r="N18">
        <v>7</v>
      </c>
      <c r="O18">
        <v>3</v>
      </c>
      <c r="P18">
        <v>4</v>
      </c>
      <c r="Q18">
        <v>5</v>
      </c>
    </row>
    <row r="19" spans="1:17" x14ac:dyDescent="0.45">
      <c r="A19" s="19">
        <v>46016.907638888886</v>
      </c>
      <c r="B19" t="s">
        <v>78</v>
      </c>
      <c r="C19" t="s">
        <v>79</v>
      </c>
      <c r="D19" t="s">
        <v>74</v>
      </c>
      <c r="E19" t="s">
        <v>77</v>
      </c>
      <c r="F19" t="s">
        <v>103</v>
      </c>
      <c r="G19" t="s">
        <v>104</v>
      </c>
      <c r="H19" t="s">
        <v>110</v>
      </c>
      <c r="I19">
        <v>6</v>
      </c>
      <c r="J19">
        <v>8</v>
      </c>
      <c r="K19">
        <v>7</v>
      </c>
      <c r="L19">
        <v>8</v>
      </c>
      <c r="M19">
        <v>8</v>
      </c>
      <c r="N19">
        <v>7</v>
      </c>
      <c r="O19">
        <v>7</v>
      </c>
      <c r="P19">
        <v>6</v>
      </c>
      <c r="Q19">
        <v>8</v>
      </c>
    </row>
    <row r="20" spans="1:17" x14ac:dyDescent="0.45">
      <c r="A20" s="19">
        <v>46016.910416666666</v>
      </c>
      <c r="B20" t="s">
        <v>78</v>
      </c>
      <c r="C20" t="s">
        <v>79</v>
      </c>
      <c r="D20" t="s">
        <v>74</v>
      </c>
      <c r="E20" t="s">
        <v>77</v>
      </c>
      <c r="F20" t="s">
        <v>100</v>
      </c>
      <c r="G20" t="s">
        <v>108</v>
      </c>
      <c r="H20" t="s">
        <v>196</v>
      </c>
      <c r="I20">
        <v>10</v>
      </c>
      <c r="J20">
        <v>10</v>
      </c>
      <c r="K20">
        <v>5</v>
      </c>
      <c r="L20">
        <v>5</v>
      </c>
      <c r="M20">
        <v>5</v>
      </c>
      <c r="N20">
        <v>3</v>
      </c>
      <c r="O20">
        <v>2</v>
      </c>
      <c r="P20">
        <v>5</v>
      </c>
      <c r="Q20">
        <v>8</v>
      </c>
    </row>
    <row r="21" spans="1:17" x14ac:dyDescent="0.45">
      <c r="A21" s="19">
        <v>46017.081250000003</v>
      </c>
      <c r="B21" t="s">
        <v>78</v>
      </c>
      <c r="C21" t="s">
        <v>73</v>
      </c>
      <c r="D21" t="s">
        <v>74</v>
      </c>
      <c r="E21" t="s">
        <v>75</v>
      </c>
      <c r="F21" t="s">
        <v>100</v>
      </c>
      <c r="G21" t="s">
        <v>111</v>
      </c>
      <c r="H21" t="s">
        <v>105</v>
      </c>
      <c r="I21">
        <v>9</v>
      </c>
      <c r="J21">
        <v>9</v>
      </c>
      <c r="K21">
        <v>7</v>
      </c>
      <c r="L21">
        <v>9</v>
      </c>
      <c r="M21">
        <v>7</v>
      </c>
      <c r="N21">
        <v>8</v>
      </c>
      <c r="O21">
        <v>5</v>
      </c>
      <c r="P21">
        <v>5</v>
      </c>
      <c r="Q21">
        <v>6</v>
      </c>
    </row>
    <row r="22" spans="1:17" x14ac:dyDescent="0.45">
      <c r="A22" s="19">
        <v>46017.3125</v>
      </c>
      <c r="B22" t="s">
        <v>72</v>
      </c>
      <c r="C22" t="s">
        <v>79</v>
      </c>
      <c r="D22" t="s">
        <v>74</v>
      </c>
      <c r="E22" t="s">
        <v>77</v>
      </c>
      <c r="F22" t="s">
        <v>100</v>
      </c>
      <c r="G22" t="s">
        <v>108</v>
      </c>
      <c r="H22" t="s">
        <v>106</v>
      </c>
      <c r="I22">
        <v>10</v>
      </c>
      <c r="J22">
        <v>10</v>
      </c>
      <c r="K22">
        <v>8</v>
      </c>
      <c r="L22">
        <v>7</v>
      </c>
      <c r="M22">
        <v>7</v>
      </c>
      <c r="N22">
        <v>7</v>
      </c>
      <c r="O22">
        <v>2</v>
      </c>
      <c r="P22">
        <v>3</v>
      </c>
      <c r="Q22">
        <v>3</v>
      </c>
    </row>
    <row r="23" spans="1:17" x14ac:dyDescent="0.45">
      <c r="A23" s="19">
        <v>46017.362500000003</v>
      </c>
      <c r="B23" t="s">
        <v>72</v>
      </c>
      <c r="C23" t="s">
        <v>189</v>
      </c>
      <c r="D23" t="s">
        <v>74</v>
      </c>
      <c r="E23" t="s">
        <v>77</v>
      </c>
      <c r="F23" t="s">
        <v>100</v>
      </c>
      <c r="G23" t="s">
        <v>104</v>
      </c>
      <c r="H23" t="s">
        <v>110</v>
      </c>
      <c r="I23">
        <v>8</v>
      </c>
      <c r="J23">
        <v>8</v>
      </c>
      <c r="K23">
        <v>5</v>
      </c>
      <c r="L23">
        <v>8</v>
      </c>
      <c r="M23">
        <v>8</v>
      </c>
      <c r="N23">
        <v>8</v>
      </c>
      <c r="O23">
        <v>8</v>
      </c>
      <c r="P23">
        <v>8</v>
      </c>
      <c r="Q23">
        <v>8</v>
      </c>
    </row>
    <row r="24" spans="1:17" x14ac:dyDescent="0.45">
      <c r="A24" s="19">
        <v>46017.4</v>
      </c>
      <c r="B24" t="s">
        <v>72</v>
      </c>
      <c r="C24" t="s">
        <v>79</v>
      </c>
      <c r="D24" t="s">
        <v>74</v>
      </c>
      <c r="E24" t="s">
        <v>75</v>
      </c>
      <c r="F24" t="s">
        <v>100</v>
      </c>
      <c r="G24" t="s">
        <v>107</v>
      </c>
      <c r="H24" t="s">
        <v>106</v>
      </c>
      <c r="I24">
        <v>5</v>
      </c>
      <c r="J24">
        <v>5</v>
      </c>
      <c r="K24">
        <v>5</v>
      </c>
      <c r="L24">
        <v>5</v>
      </c>
      <c r="M24">
        <v>5</v>
      </c>
      <c r="N24">
        <v>5</v>
      </c>
      <c r="O24">
        <v>5</v>
      </c>
      <c r="P24">
        <v>5</v>
      </c>
      <c r="Q24">
        <v>5</v>
      </c>
    </row>
    <row r="25" spans="1:17" x14ac:dyDescent="0.45">
      <c r="A25" s="19">
        <v>46017.484027777777</v>
      </c>
      <c r="B25" t="s">
        <v>72</v>
      </c>
      <c r="C25" t="s">
        <v>73</v>
      </c>
      <c r="D25" t="s">
        <v>80</v>
      </c>
      <c r="E25" t="s">
        <v>77</v>
      </c>
      <c r="F25" t="s">
        <v>100</v>
      </c>
      <c r="G25" t="s">
        <v>101</v>
      </c>
      <c r="H25" t="s">
        <v>105</v>
      </c>
      <c r="I25">
        <v>9</v>
      </c>
      <c r="J25">
        <v>8</v>
      </c>
      <c r="K25">
        <v>6</v>
      </c>
      <c r="L25">
        <v>9</v>
      </c>
      <c r="M25">
        <v>8</v>
      </c>
      <c r="N25">
        <v>10</v>
      </c>
      <c r="O25">
        <v>6</v>
      </c>
      <c r="P25">
        <v>6</v>
      </c>
      <c r="Q25">
        <v>8</v>
      </c>
    </row>
    <row r="26" spans="1:17" x14ac:dyDescent="0.45">
      <c r="A26" s="19">
        <v>46017.486111111109</v>
      </c>
      <c r="B26" t="s">
        <v>78</v>
      </c>
      <c r="C26" t="s">
        <v>73</v>
      </c>
      <c r="D26" t="s">
        <v>74</v>
      </c>
      <c r="E26" t="s">
        <v>75</v>
      </c>
      <c r="F26" t="s">
        <v>100</v>
      </c>
      <c r="G26" t="s">
        <v>109</v>
      </c>
      <c r="H26" t="s">
        <v>102</v>
      </c>
      <c r="I26">
        <v>6</v>
      </c>
      <c r="J26">
        <v>7</v>
      </c>
      <c r="K26">
        <v>5</v>
      </c>
      <c r="L26">
        <v>6</v>
      </c>
      <c r="M26">
        <v>7</v>
      </c>
      <c r="N26">
        <v>7</v>
      </c>
      <c r="O26">
        <v>3</v>
      </c>
      <c r="P26">
        <v>3</v>
      </c>
      <c r="Q26">
        <v>5</v>
      </c>
    </row>
    <row r="27" spans="1:17" x14ac:dyDescent="0.45">
      <c r="A27" s="19">
        <v>46017.489583333336</v>
      </c>
      <c r="B27" t="s">
        <v>78</v>
      </c>
      <c r="C27" t="s">
        <v>73</v>
      </c>
      <c r="D27" t="s">
        <v>74</v>
      </c>
      <c r="E27" t="s">
        <v>75</v>
      </c>
      <c r="F27" t="s">
        <v>100</v>
      </c>
      <c r="G27" t="s">
        <v>195</v>
      </c>
      <c r="H27" t="s">
        <v>196</v>
      </c>
      <c r="I27">
        <v>10</v>
      </c>
      <c r="J27">
        <v>10</v>
      </c>
      <c r="K27">
        <v>10</v>
      </c>
      <c r="L27">
        <v>6</v>
      </c>
      <c r="M27">
        <v>6</v>
      </c>
      <c r="N27">
        <v>10</v>
      </c>
      <c r="O27">
        <v>1</v>
      </c>
      <c r="P27">
        <v>4</v>
      </c>
      <c r="Q27">
        <v>10</v>
      </c>
    </row>
    <row r="28" spans="1:17" x14ac:dyDescent="0.45">
      <c r="A28" s="19">
        <v>46017.504166666666</v>
      </c>
      <c r="B28" t="s">
        <v>78</v>
      </c>
      <c r="C28" t="s">
        <v>189</v>
      </c>
      <c r="D28" t="s">
        <v>74</v>
      </c>
      <c r="E28" t="s">
        <v>77</v>
      </c>
      <c r="F28" t="s">
        <v>100</v>
      </c>
      <c r="G28" t="s">
        <v>195</v>
      </c>
      <c r="H28" t="s">
        <v>110</v>
      </c>
      <c r="I28">
        <v>1</v>
      </c>
      <c r="J28">
        <v>1</v>
      </c>
      <c r="K28">
        <v>1</v>
      </c>
      <c r="L28">
        <v>1</v>
      </c>
      <c r="M28">
        <v>1</v>
      </c>
      <c r="N28">
        <v>1</v>
      </c>
      <c r="O28">
        <v>1</v>
      </c>
      <c r="P28">
        <v>1</v>
      </c>
      <c r="Q28">
        <v>1</v>
      </c>
    </row>
    <row r="29" spans="1:17" x14ac:dyDescent="0.45">
      <c r="A29" s="19">
        <v>46017.504166666666</v>
      </c>
      <c r="B29" t="s">
        <v>78</v>
      </c>
      <c r="C29" t="s">
        <v>81</v>
      </c>
      <c r="D29" t="s">
        <v>74</v>
      </c>
      <c r="E29" t="s">
        <v>77</v>
      </c>
      <c r="F29" t="s">
        <v>100</v>
      </c>
      <c r="G29" t="s">
        <v>104</v>
      </c>
      <c r="H29" t="s">
        <v>110</v>
      </c>
      <c r="I29">
        <v>1</v>
      </c>
      <c r="J29">
        <v>1</v>
      </c>
      <c r="K29">
        <v>1</v>
      </c>
      <c r="L29">
        <v>1</v>
      </c>
      <c r="M29">
        <v>1</v>
      </c>
      <c r="N29">
        <v>1</v>
      </c>
      <c r="O29">
        <v>1</v>
      </c>
      <c r="P29">
        <v>1</v>
      </c>
      <c r="Q29">
        <v>1</v>
      </c>
    </row>
    <row r="30" spans="1:17" x14ac:dyDescent="0.45">
      <c r="A30" s="19">
        <v>46017.504861111112</v>
      </c>
      <c r="B30" t="s">
        <v>72</v>
      </c>
      <c r="C30" t="s">
        <v>189</v>
      </c>
      <c r="D30" t="s">
        <v>74</v>
      </c>
      <c r="E30" t="s">
        <v>77</v>
      </c>
      <c r="F30" t="s">
        <v>100</v>
      </c>
      <c r="G30" t="s">
        <v>104</v>
      </c>
      <c r="H30" t="s">
        <v>110</v>
      </c>
      <c r="I30">
        <v>10</v>
      </c>
      <c r="J30">
        <v>10</v>
      </c>
      <c r="K30">
        <v>9</v>
      </c>
      <c r="L30">
        <v>10</v>
      </c>
      <c r="M30">
        <v>10</v>
      </c>
      <c r="N30">
        <v>9</v>
      </c>
      <c r="O30">
        <v>10</v>
      </c>
      <c r="P30">
        <v>10</v>
      </c>
      <c r="Q30">
        <v>10</v>
      </c>
    </row>
    <row r="31" spans="1:17" x14ac:dyDescent="0.45">
      <c r="A31" s="19">
        <v>46017.504861111112</v>
      </c>
      <c r="B31" t="s">
        <v>72</v>
      </c>
      <c r="C31" t="s">
        <v>189</v>
      </c>
      <c r="D31" t="s">
        <v>74</v>
      </c>
      <c r="E31" t="s">
        <v>77</v>
      </c>
      <c r="F31" t="s">
        <v>100</v>
      </c>
      <c r="G31" t="s">
        <v>104</v>
      </c>
      <c r="H31" t="s">
        <v>110</v>
      </c>
      <c r="I31">
        <v>10</v>
      </c>
      <c r="J31">
        <v>10</v>
      </c>
      <c r="K31">
        <v>9</v>
      </c>
      <c r="L31">
        <v>10</v>
      </c>
      <c r="M31">
        <v>10</v>
      </c>
      <c r="N31">
        <v>10</v>
      </c>
      <c r="O31">
        <v>10</v>
      </c>
      <c r="P31">
        <v>10</v>
      </c>
      <c r="Q31">
        <v>10</v>
      </c>
    </row>
    <row r="32" spans="1:17" x14ac:dyDescent="0.45">
      <c r="A32" s="19">
        <v>46017.504861111112</v>
      </c>
      <c r="B32" t="s">
        <v>72</v>
      </c>
      <c r="C32" t="s">
        <v>81</v>
      </c>
      <c r="D32" t="s">
        <v>74</v>
      </c>
      <c r="E32" t="s">
        <v>77</v>
      </c>
      <c r="F32" t="s">
        <v>100</v>
      </c>
      <c r="G32" t="s">
        <v>101</v>
      </c>
      <c r="H32" t="s">
        <v>110</v>
      </c>
      <c r="I32">
        <v>10</v>
      </c>
      <c r="J32">
        <v>7</v>
      </c>
      <c r="K32">
        <v>10</v>
      </c>
      <c r="L32">
        <v>7</v>
      </c>
      <c r="M32">
        <v>10</v>
      </c>
      <c r="N32">
        <v>10</v>
      </c>
      <c r="O32">
        <v>3</v>
      </c>
      <c r="P32">
        <v>5</v>
      </c>
      <c r="Q32">
        <v>8</v>
      </c>
    </row>
    <row r="33" spans="1:17" x14ac:dyDescent="0.45">
      <c r="A33" s="19">
        <v>46017.505555555559</v>
      </c>
      <c r="B33" t="s">
        <v>72</v>
      </c>
      <c r="C33" t="s">
        <v>189</v>
      </c>
      <c r="D33" t="s">
        <v>74</v>
      </c>
      <c r="E33" t="s">
        <v>77</v>
      </c>
      <c r="F33" t="s">
        <v>100</v>
      </c>
      <c r="G33" t="s">
        <v>101</v>
      </c>
      <c r="H33" t="s">
        <v>110</v>
      </c>
      <c r="I33">
        <v>5</v>
      </c>
      <c r="J33">
        <v>5</v>
      </c>
      <c r="K33">
        <v>5</v>
      </c>
      <c r="L33">
        <v>5</v>
      </c>
      <c r="M33">
        <v>5</v>
      </c>
      <c r="N33">
        <v>5</v>
      </c>
      <c r="O33">
        <v>5</v>
      </c>
      <c r="P33">
        <v>5</v>
      </c>
      <c r="Q33">
        <v>5</v>
      </c>
    </row>
    <row r="34" spans="1:17" x14ac:dyDescent="0.45">
      <c r="A34" s="19">
        <v>46017.505555555559</v>
      </c>
      <c r="B34" t="s">
        <v>72</v>
      </c>
      <c r="C34" t="s">
        <v>81</v>
      </c>
      <c r="D34" t="s">
        <v>74</v>
      </c>
      <c r="E34" t="s">
        <v>77</v>
      </c>
      <c r="F34" t="s">
        <v>100</v>
      </c>
      <c r="G34" t="s">
        <v>101</v>
      </c>
      <c r="H34" t="s">
        <v>110</v>
      </c>
      <c r="I34">
        <v>8</v>
      </c>
      <c r="J34">
        <v>9</v>
      </c>
      <c r="K34">
        <v>7</v>
      </c>
      <c r="L34">
        <v>8</v>
      </c>
      <c r="M34">
        <v>8</v>
      </c>
      <c r="N34">
        <v>8</v>
      </c>
      <c r="O34">
        <v>3</v>
      </c>
      <c r="P34">
        <v>6</v>
      </c>
      <c r="Q34">
        <v>7</v>
      </c>
    </row>
    <row r="35" spans="1:17" x14ac:dyDescent="0.45">
      <c r="A35" s="19">
        <v>46017.505555555559</v>
      </c>
      <c r="B35" t="s">
        <v>78</v>
      </c>
      <c r="C35" t="s">
        <v>81</v>
      </c>
      <c r="D35" t="s">
        <v>74</v>
      </c>
      <c r="E35" t="s">
        <v>77</v>
      </c>
      <c r="F35" t="s">
        <v>100</v>
      </c>
      <c r="G35" t="s">
        <v>104</v>
      </c>
      <c r="H35" t="s">
        <v>102</v>
      </c>
      <c r="I35">
        <v>10</v>
      </c>
      <c r="J35">
        <v>10</v>
      </c>
      <c r="K35">
        <v>10</v>
      </c>
      <c r="L35">
        <v>10</v>
      </c>
      <c r="M35">
        <v>10</v>
      </c>
      <c r="N35">
        <v>10</v>
      </c>
      <c r="O35">
        <v>10</v>
      </c>
      <c r="P35">
        <v>10</v>
      </c>
      <c r="Q35">
        <v>10</v>
      </c>
    </row>
    <row r="36" spans="1:17" x14ac:dyDescent="0.45">
      <c r="A36" s="19">
        <v>46017.509722222225</v>
      </c>
      <c r="B36" t="s">
        <v>72</v>
      </c>
      <c r="C36" t="s">
        <v>73</v>
      </c>
      <c r="D36" t="s">
        <v>74</v>
      </c>
      <c r="E36" t="s">
        <v>191</v>
      </c>
      <c r="F36" t="s">
        <v>100</v>
      </c>
      <c r="G36" t="s">
        <v>104</v>
      </c>
      <c r="H36" t="s">
        <v>106</v>
      </c>
      <c r="I36">
        <v>10</v>
      </c>
      <c r="J36">
        <v>10</v>
      </c>
      <c r="K36">
        <v>10</v>
      </c>
      <c r="L36">
        <v>10</v>
      </c>
      <c r="M36">
        <v>10</v>
      </c>
      <c r="N36">
        <v>10</v>
      </c>
      <c r="O36">
        <v>10</v>
      </c>
      <c r="P36">
        <v>10</v>
      </c>
      <c r="Q36">
        <v>10</v>
      </c>
    </row>
    <row r="37" spans="1:17" x14ac:dyDescent="0.45">
      <c r="A37" s="19">
        <v>46017.510416666664</v>
      </c>
      <c r="B37" t="s">
        <v>72</v>
      </c>
      <c r="C37" t="s">
        <v>189</v>
      </c>
      <c r="D37" t="s">
        <v>74</v>
      </c>
      <c r="E37" t="s">
        <v>77</v>
      </c>
      <c r="F37" t="s">
        <v>100</v>
      </c>
      <c r="G37" t="s">
        <v>104</v>
      </c>
      <c r="H37" t="s">
        <v>110</v>
      </c>
      <c r="I37">
        <v>10</v>
      </c>
      <c r="J37">
        <v>9</v>
      </c>
      <c r="K37">
        <v>10</v>
      </c>
      <c r="L37">
        <v>8</v>
      </c>
      <c r="M37">
        <v>10</v>
      </c>
      <c r="N37">
        <v>9</v>
      </c>
      <c r="O37">
        <v>10</v>
      </c>
      <c r="P37">
        <v>10</v>
      </c>
      <c r="Q37">
        <v>10</v>
      </c>
    </row>
    <row r="38" spans="1:17" x14ac:dyDescent="0.45">
      <c r="A38" s="19">
        <v>46017.511111111111</v>
      </c>
      <c r="B38" t="s">
        <v>78</v>
      </c>
      <c r="C38" t="s">
        <v>189</v>
      </c>
      <c r="D38" t="s">
        <v>74</v>
      </c>
      <c r="E38" t="s">
        <v>77</v>
      </c>
      <c r="F38" t="s">
        <v>100</v>
      </c>
      <c r="G38" t="s">
        <v>104</v>
      </c>
      <c r="H38" t="s">
        <v>110</v>
      </c>
      <c r="I38">
        <v>10</v>
      </c>
      <c r="J38">
        <v>10</v>
      </c>
      <c r="K38">
        <v>10</v>
      </c>
      <c r="L38">
        <v>10</v>
      </c>
      <c r="M38">
        <v>9</v>
      </c>
      <c r="N38">
        <v>9</v>
      </c>
      <c r="O38">
        <v>9</v>
      </c>
      <c r="P38">
        <v>9</v>
      </c>
      <c r="Q38">
        <v>8</v>
      </c>
    </row>
    <row r="39" spans="1:17" x14ac:dyDescent="0.45">
      <c r="A39" s="19">
        <v>46017.511111111111</v>
      </c>
      <c r="B39" t="s">
        <v>72</v>
      </c>
      <c r="C39" t="s">
        <v>73</v>
      </c>
      <c r="D39" t="s">
        <v>74</v>
      </c>
      <c r="E39" t="s">
        <v>77</v>
      </c>
      <c r="F39" t="s">
        <v>100</v>
      </c>
      <c r="G39" t="s">
        <v>109</v>
      </c>
      <c r="H39" t="s">
        <v>102</v>
      </c>
      <c r="I39">
        <v>8</v>
      </c>
      <c r="J39">
        <v>8</v>
      </c>
      <c r="K39">
        <v>8</v>
      </c>
      <c r="L39">
        <v>8</v>
      </c>
      <c r="M39">
        <v>8</v>
      </c>
      <c r="N39">
        <v>8</v>
      </c>
      <c r="O39">
        <v>8</v>
      </c>
      <c r="P39">
        <v>8</v>
      </c>
      <c r="Q39">
        <v>8</v>
      </c>
    </row>
    <row r="40" spans="1:17" x14ac:dyDescent="0.45">
      <c r="A40" s="19">
        <v>46017.511111111111</v>
      </c>
      <c r="B40" t="s">
        <v>78</v>
      </c>
      <c r="C40" t="s">
        <v>81</v>
      </c>
      <c r="D40" t="s">
        <v>74</v>
      </c>
      <c r="E40" t="s">
        <v>77</v>
      </c>
      <c r="F40" t="s">
        <v>100</v>
      </c>
      <c r="G40" t="s">
        <v>104</v>
      </c>
      <c r="H40" t="s">
        <v>110</v>
      </c>
      <c r="I40">
        <v>10</v>
      </c>
      <c r="J40">
        <v>10</v>
      </c>
      <c r="K40">
        <v>10</v>
      </c>
      <c r="L40">
        <v>10</v>
      </c>
      <c r="M40">
        <v>10</v>
      </c>
      <c r="N40">
        <v>10</v>
      </c>
      <c r="O40">
        <v>10</v>
      </c>
      <c r="P40">
        <v>10</v>
      </c>
      <c r="Q40">
        <v>10</v>
      </c>
    </row>
    <row r="41" spans="1:17" x14ac:dyDescent="0.45">
      <c r="A41" s="19">
        <v>46017.511111111111</v>
      </c>
      <c r="B41" t="s">
        <v>78</v>
      </c>
      <c r="C41" t="s">
        <v>73</v>
      </c>
      <c r="D41" t="s">
        <v>74</v>
      </c>
      <c r="E41" t="s">
        <v>77</v>
      </c>
      <c r="F41" t="s">
        <v>100</v>
      </c>
      <c r="G41" t="s">
        <v>108</v>
      </c>
      <c r="H41" t="s">
        <v>102</v>
      </c>
      <c r="I41">
        <v>8</v>
      </c>
      <c r="J41">
        <v>8</v>
      </c>
      <c r="K41">
        <v>6</v>
      </c>
      <c r="L41">
        <v>8</v>
      </c>
      <c r="M41">
        <v>7</v>
      </c>
      <c r="N41">
        <v>8</v>
      </c>
      <c r="O41">
        <v>5</v>
      </c>
      <c r="P41">
        <v>6</v>
      </c>
      <c r="Q41">
        <v>7</v>
      </c>
    </row>
    <row r="42" spans="1:17" x14ac:dyDescent="0.45">
      <c r="A42" s="19">
        <v>46017.511805555558</v>
      </c>
      <c r="B42" t="s">
        <v>78</v>
      </c>
      <c r="C42" t="s">
        <v>73</v>
      </c>
      <c r="D42" t="s">
        <v>74</v>
      </c>
      <c r="E42" t="s">
        <v>77</v>
      </c>
      <c r="F42" t="s">
        <v>100</v>
      </c>
      <c r="G42" t="s">
        <v>107</v>
      </c>
      <c r="H42" t="s">
        <v>105</v>
      </c>
      <c r="I42">
        <v>9</v>
      </c>
      <c r="J42">
        <v>8</v>
      </c>
      <c r="K42">
        <v>7</v>
      </c>
      <c r="L42">
        <v>8</v>
      </c>
      <c r="M42">
        <v>7</v>
      </c>
      <c r="N42">
        <v>4</v>
      </c>
      <c r="O42">
        <v>2</v>
      </c>
      <c r="P42">
        <v>8</v>
      </c>
      <c r="Q42">
        <v>8</v>
      </c>
    </row>
    <row r="43" spans="1:17" x14ac:dyDescent="0.45">
      <c r="A43" s="19">
        <v>46017.513194444444</v>
      </c>
      <c r="B43" t="s">
        <v>72</v>
      </c>
      <c r="C43" t="s">
        <v>73</v>
      </c>
      <c r="D43" t="s">
        <v>74</v>
      </c>
      <c r="E43" t="s">
        <v>77</v>
      </c>
      <c r="F43" t="s">
        <v>100</v>
      </c>
      <c r="G43" t="s">
        <v>109</v>
      </c>
      <c r="H43" t="s">
        <v>106</v>
      </c>
      <c r="I43">
        <v>10</v>
      </c>
      <c r="J43">
        <v>10</v>
      </c>
      <c r="K43">
        <v>9</v>
      </c>
      <c r="L43">
        <v>8</v>
      </c>
      <c r="M43">
        <v>7</v>
      </c>
      <c r="N43">
        <v>9</v>
      </c>
      <c r="O43">
        <v>9</v>
      </c>
      <c r="P43">
        <v>8</v>
      </c>
      <c r="Q43">
        <v>8</v>
      </c>
    </row>
    <row r="44" spans="1:17" x14ac:dyDescent="0.45">
      <c r="A44" s="19">
        <v>46017.515277777777</v>
      </c>
      <c r="B44" t="s">
        <v>72</v>
      </c>
      <c r="C44" t="s">
        <v>73</v>
      </c>
      <c r="D44" t="s">
        <v>74</v>
      </c>
      <c r="E44" t="s">
        <v>77</v>
      </c>
      <c r="F44" t="s">
        <v>100</v>
      </c>
      <c r="G44" t="s">
        <v>108</v>
      </c>
      <c r="H44" t="s">
        <v>105</v>
      </c>
      <c r="I44">
        <v>6</v>
      </c>
      <c r="J44">
        <v>6</v>
      </c>
      <c r="K44">
        <v>8</v>
      </c>
      <c r="L44">
        <v>10</v>
      </c>
      <c r="M44">
        <v>9</v>
      </c>
      <c r="N44">
        <v>1</v>
      </c>
      <c r="O44">
        <v>7</v>
      </c>
      <c r="P44">
        <v>7</v>
      </c>
      <c r="Q44">
        <v>8</v>
      </c>
    </row>
    <row r="45" spans="1:17" x14ac:dyDescent="0.45">
      <c r="A45" s="19">
        <v>46017.515972222223</v>
      </c>
      <c r="B45" t="s">
        <v>78</v>
      </c>
      <c r="C45" t="s">
        <v>73</v>
      </c>
      <c r="D45" t="s">
        <v>74</v>
      </c>
      <c r="E45" t="s">
        <v>77</v>
      </c>
      <c r="F45" t="s">
        <v>100</v>
      </c>
      <c r="G45" t="s">
        <v>101</v>
      </c>
      <c r="H45" t="s">
        <v>102</v>
      </c>
      <c r="I45">
        <v>8</v>
      </c>
      <c r="J45">
        <v>8</v>
      </c>
      <c r="K45">
        <v>8</v>
      </c>
      <c r="L45">
        <v>8</v>
      </c>
      <c r="M45">
        <v>8</v>
      </c>
      <c r="N45">
        <v>8</v>
      </c>
      <c r="O45">
        <v>9</v>
      </c>
      <c r="P45">
        <v>5</v>
      </c>
      <c r="Q45">
        <v>9</v>
      </c>
    </row>
    <row r="46" spans="1:17" x14ac:dyDescent="0.45">
      <c r="A46" s="19">
        <v>46017.518750000003</v>
      </c>
      <c r="B46" t="s">
        <v>72</v>
      </c>
      <c r="C46" t="s">
        <v>79</v>
      </c>
      <c r="D46" t="s">
        <v>74</v>
      </c>
      <c r="E46" t="s">
        <v>77</v>
      </c>
      <c r="F46" t="s">
        <v>100</v>
      </c>
      <c r="G46" t="s">
        <v>101</v>
      </c>
      <c r="H46" t="s">
        <v>105</v>
      </c>
      <c r="I46">
        <v>10</v>
      </c>
      <c r="J46">
        <v>10</v>
      </c>
      <c r="K46">
        <v>10</v>
      </c>
      <c r="L46">
        <v>9</v>
      </c>
      <c r="M46">
        <v>10</v>
      </c>
      <c r="N46">
        <v>10</v>
      </c>
      <c r="O46">
        <v>10</v>
      </c>
      <c r="P46">
        <v>10</v>
      </c>
      <c r="Q46">
        <v>10</v>
      </c>
    </row>
    <row r="47" spans="1:17" x14ac:dyDescent="0.45">
      <c r="A47" s="19">
        <v>46017.519444444442</v>
      </c>
      <c r="B47" t="s">
        <v>72</v>
      </c>
      <c r="C47" t="s">
        <v>192</v>
      </c>
      <c r="D47" t="s">
        <v>80</v>
      </c>
      <c r="E47" t="s">
        <v>77</v>
      </c>
      <c r="F47" t="s">
        <v>100</v>
      </c>
      <c r="G47" t="s">
        <v>195</v>
      </c>
      <c r="H47" t="s">
        <v>105</v>
      </c>
      <c r="I47">
        <v>1</v>
      </c>
      <c r="J47">
        <v>1</v>
      </c>
      <c r="K47">
        <v>2</v>
      </c>
      <c r="L47">
        <v>1</v>
      </c>
      <c r="M47">
        <v>1</v>
      </c>
      <c r="N47">
        <v>1</v>
      </c>
      <c r="O47">
        <v>1</v>
      </c>
      <c r="P47">
        <v>1</v>
      </c>
      <c r="Q47">
        <v>1</v>
      </c>
    </row>
    <row r="48" spans="1:17" x14ac:dyDescent="0.45">
      <c r="A48" s="19">
        <v>46017.519444444442</v>
      </c>
      <c r="B48" t="s">
        <v>78</v>
      </c>
      <c r="C48" t="s">
        <v>73</v>
      </c>
      <c r="D48" t="s">
        <v>74</v>
      </c>
      <c r="E48" t="s">
        <v>77</v>
      </c>
      <c r="F48" t="s">
        <v>100</v>
      </c>
      <c r="G48" t="s">
        <v>195</v>
      </c>
      <c r="H48" t="s">
        <v>110</v>
      </c>
      <c r="I48">
        <v>8</v>
      </c>
      <c r="J48">
        <v>8</v>
      </c>
      <c r="K48">
        <v>8</v>
      </c>
      <c r="L48">
        <v>7</v>
      </c>
      <c r="M48">
        <v>6</v>
      </c>
      <c r="N48">
        <v>8</v>
      </c>
      <c r="O48">
        <v>8</v>
      </c>
      <c r="P48">
        <v>9</v>
      </c>
      <c r="Q48">
        <v>8</v>
      </c>
    </row>
    <row r="49" spans="1:17" x14ac:dyDescent="0.45">
      <c r="A49" s="19">
        <v>46017.520138888889</v>
      </c>
      <c r="B49" t="s">
        <v>72</v>
      </c>
      <c r="C49" t="s">
        <v>73</v>
      </c>
      <c r="D49" t="s">
        <v>74</v>
      </c>
      <c r="E49" t="s">
        <v>77</v>
      </c>
      <c r="F49" t="s">
        <v>100</v>
      </c>
      <c r="G49" t="s">
        <v>109</v>
      </c>
      <c r="H49" t="s">
        <v>106</v>
      </c>
      <c r="I49">
        <v>10</v>
      </c>
      <c r="J49">
        <v>10</v>
      </c>
      <c r="K49">
        <v>10</v>
      </c>
      <c r="L49">
        <v>10</v>
      </c>
      <c r="M49">
        <v>10</v>
      </c>
      <c r="N49">
        <v>10</v>
      </c>
      <c r="O49">
        <v>10</v>
      </c>
      <c r="P49">
        <v>10</v>
      </c>
      <c r="Q49">
        <v>10</v>
      </c>
    </row>
    <row r="50" spans="1:17" x14ac:dyDescent="0.45">
      <c r="A50" s="19">
        <v>46017.520138888889</v>
      </c>
      <c r="B50" t="s">
        <v>78</v>
      </c>
      <c r="C50" t="s">
        <v>73</v>
      </c>
      <c r="D50" t="s">
        <v>74</v>
      </c>
      <c r="E50" t="s">
        <v>77</v>
      </c>
      <c r="F50" t="s">
        <v>100</v>
      </c>
      <c r="G50" t="s">
        <v>108</v>
      </c>
      <c r="H50" t="s">
        <v>105</v>
      </c>
      <c r="I50">
        <v>8</v>
      </c>
      <c r="J50">
        <v>8</v>
      </c>
      <c r="K50">
        <v>7</v>
      </c>
      <c r="L50">
        <v>8</v>
      </c>
      <c r="M50">
        <v>6</v>
      </c>
      <c r="N50">
        <v>8</v>
      </c>
      <c r="O50">
        <v>6</v>
      </c>
      <c r="P50">
        <v>5</v>
      </c>
      <c r="Q50">
        <v>8</v>
      </c>
    </row>
    <row r="51" spans="1:17" x14ac:dyDescent="0.45">
      <c r="A51" s="19">
        <v>46017.521527777775</v>
      </c>
      <c r="B51" t="s">
        <v>72</v>
      </c>
      <c r="C51" t="s">
        <v>73</v>
      </c>
      <c r="D51" t="s">
        <v>74</v>
      </c>
      <c r="E51" t="s">
        <v>77</v>
      </c>
      <c r="F51" t="s">
        <v>100</v>
      </c>
      <c r="G51" t="s">
        <v>197</v>
      </c>
      <c r="H51" t="s">
        <v>106</v>
      </c>
      <c r="I51">
        <v>10</v>
      </c>
      <c r="J51">
        <v>10</v>
      </c>
      <c r="K51">
        <v>10</v>
      </c>
      <c r="L51">
        <v>8</v>
      </c>
      <c r="M51">
        <v>8</v>
      </c>
      <c r="N51">
        <v>8</v>
      </c>
      <c r="O51">
        <v>8</v>
      </c>
      <c r="P51">
        <v>8</v>
      </c>
      <c r="Q51">
        <v>8</v>
      </c>
    </row>
    <row r="52" spans="1:17" x14ac:dyDescent="0.45">
      <c r="A52" s="19">
        <v>46017.526388888888</v>
      </c>
      <c r="B52" t="s">
        <v>78</v>
      </c>
      <c r="C52" t="s">
        <v>81</v>
      </c>
      <c r="D52" t="s">
        <v>74</v>
      </c>
      <c r="E52" t="s">
        <v>77</v>
      </c>
      <c r="F52" t="s">
        <v>100</v>
      </c>
      <c r="G52" t="s">
        <v>104</v>
      </c>
      <c r="H52" t="s">
        <v>110</v>
      </c>
      <c r="I52">
        <v>10</v>
      </c>
      <c r="J52">
        <v>10</v>
      </c>
      <c r="K52">
        <v>10</v>
      </c>
      <c r="L52">
        <v>10</v>
      </c>
      <c r="M52">
        <v>10</v>
      </c>
      <c r="N52">
        <v>10</v>
      </c>
      <c r="O52">
        <v>10</v>
      </c>
      <c r="P52">
        <v>10</v>
      </c>
      <c r="Q52">
        <v>10</v>
      </c>
    </row>
    <row r="53" spans="1:17" x14ac:dyDescent="0.45">
      <c r="A53" s="19">
        <v>46017.52847222222</v>
      </c>
      <c r="B53" t="s">
        <v>72</v>
      </c>
      <c r="C53" t="s">
        <v>81</v>
      </c>
      <c r="D53" t="s">
        <v>74</v>
      </c>
      <c r="E53" t="s">
        <v>77</v>
      </c>
      <c r="F53" t="s">
        <v>100</v>
      </c>
      <c r="G53" t="s">
        <v>197</v>
      </c>
      <c r="H53" t="s">
        <v>102</v>
      </c>
      <c r="I53">
        <v>10</v>
      </c>
      <c r="J53">
        <v>10</v>
      </c>
      <c r="K53">
        <v>10</v>
      </c>
      <c r="L53">
        <v>10</v>
      </c>
      <c r="M53">
        <v>10</v>
      </c>
      <c r="N53">
        <v>10</v>
      </c>
      <c r="O53">
        <v>10</v>
      </c>
      <c r="P53">
        <v>10</v>
      </c>
      <c r="Q53">
        <v>8</v>
      </c>
    </row>
    <row r="54" spans="1:17" x14ac:dyDescent="0.45">
      <c r="A54" s="19">
        <v>46017.53125</v>
      </c>
      <c r="B54" t="s">
        <v>78</v>
      </c>
      <c r="C54" t="s">
        <v>81</v>
      </c>
      <c r="D54" t="s">
        <v>74</v>
      </c>
      <c r="E54" t="s">
        <v>75</v>
      </c>
      <c r="F54" t="s">
        <v>100</v>
      </c>
      <c r="G54" t="s">
        <v>104</v>
      </c>
      <c r="H54" t="s">
        <v>105</v>
      </c>
      <c r="I54">
        <v>10</v>
      </c>
      <c r="J54">
        <v>10</v>
      </c>
      <c r="K54">
        <v>10</v>
      </c>
      <c r="L54">
        <v>10</v>
      </c>
      <c r="M54">
        <v>10</v>
      </c>
      <c r="N54">
        <v>10</v>
      </c>
      <c r="O54">
        <v>10</v>
      </c>
      <c r="P54">
        <v>10</v>
      </c>
      <c r="Q54">
        <v>10</v>
      </c>
    </row>
    <row r="55" spans="1:17" x14ac:dyDescent="0.45">
      <c r="A55" s="19">
        <v>46017.53125</v>
      </c>
      <c r="B55" t="s">
        <v>72</v>
      </c>
      <c r="C55" t="s">
        <v>79</v>
      </c>
      <c r="D55" t="s">
        <v>74</v>
      </c>
      <c r="E55" t="s">
        <v>77</v>
      </c>
      <c r="F55" t="s">
        <v>100</v>
      </c>
      <c r="G55" t="s">
        <v>109</v>
      </c>
      <c r="H55" t="s">
        <v>105</v>
      </c>
      <c r="I55">
        <v>8</v>
      </c>
      <c r="J55">
        <v>7</v>
      </c>
      <c r="K55">
        <v>7</v>
      </c>
      <c r="L55">
        <v>8</v>
      </c>
      <c r="M55">
        <v>7</v>
      </c>
      <c r="N55">
        <v>8</v>
      </c>
      <c r="O55">
        <v>7</v>
      </c>
      <c r="P55">
        <v>7</v>
      </c>
      <c r="Q55">
        <v>8</v>
      </c>
    </row>
    <row r="56" spans="1:17" x14ac:dyDescent="0.45">
      <c r="A56" s="19">
        <v>46017.533333333333</v>
      </c>
      <c r="B56" t="s">
        <v>72</v>
      </c>
      <c r="C56" t="s">
        <v>73</v>
      </c>
      <c r="D56" t="s">
        <v>74</v>
      </c>
      <c r="E56" t="s">
        <v>77</v>
      </c>
      <c r="F56" t="s">
        <v>100</v>
      </c>
      <c r="G56" t="s">
        <v>109</v>
      </c>
      <c r="H56" t="s">
        <v>102</v>
      </c>
      <c r="I56">
        <v>10</v>
      </c>
      <c r="J56">
        <v>9</v>
      </c>
      <c r="K56">
        <v>3</v>
      </c>
      <c r="L56">
        <v>4</v>
      </c>
      <c r="M56">
        <v>3</v>
      </c>
      <c r="N56">
        <v>3</v>
      </c>
      <c r="O56">
        <v>1</v>
      </c>
      <c r="P56">
        <v>1</v>
      </c>
      <c r="Q56">
        <v>3</v>
      </c>
    </row>
    <row r="57" spans="1:17" x14ac:dyDescent="0.45">
      <c r="A57" s="19">
        <v>46017.537499999999</v>
      </c>
      <c r="B57" t="s">
        <v>78</v>
      </c>
      <c r="C57" t="s">
        <v>81</v>
      </c>
      <c r="D57" t="s">
        <v>74</v>
      </c>
      <c r="E57" t="s">
        <v>77</v>
      </c>
      <c r="F57" t="s">
        <v>100</v>
      </c>
      <c r="G57" t="s">
        <v>195</v>
      </c>
      <c r="H57" t="s">
        <v>110</v>
      </c>
      <c r="I57">
        <v>10</v>
      </c>
      <c r="J57">
        <v>10</v>
      </c>
      <c r="K57">
        <v>9</v>
      </c>
      <c r="L57">
        <v>10</v>
      </c>
      <c r="M57">
        <v>9</v>
      </c>
      <c r="N57">
        <v>10</v>
      </c>
      <c r="O57">
        <v>9</v>
      </c>
      <c r="P57">
        <v>10</v>
      </c>
      <c r="Q57">
        <v>9</v>
      </c>
    </row>
    <row r="58" spans="1:17" x14ac:dyDescent="0.45">
      <c r="A58" s="19">
        <v>46017.55972222222</v>
      </c>
      <c r="B58" t="s">
        <v>72</v>
      </c>
      <c r="C58" t="s">
        <v>73</v>
      </c>
      <c r="D58" t="s">
        <v>74</v>
      </c>
      <c r="E58" t="s">
        <v>77</v>
      </c>
      <c r="F58" t="s">
        <v>100</v>
      </c>
      <c r="G58" t="s">
        <v>104</v>
      </c>
      <c r="H58" t="s">
        <v>105</v>
      </c>
      <c r="I58">
        <v>10</v>
      </c>
      <c r="J58">
        <v>10</v>
      </c>
      <c r="K58">
        <v>1</v>
      </c>
      <c r="L58">
        <v>5</v>
      </c>
      <c r="M58">
        <v>7</v>
      </c>
      <c r="N58">
        <v>10</v>
      </c>
      <c r="O58">
        <v>9</v>
      </c>
      <c r="P58">
        <v>9</v>
      </c>
      <c r="Q58">
        <v>10</v>
      </c>
    </row>
    <row r="59" spans="1:17" x14ac:dyDescent="0.45">
      <c r="A59" s="19">
        <v>46017.580555555556</v>
      </c>
      <c r="B59" t="s">
        <v>72</v>
      </c>
      <c r="C59" t="s">
        <v>79</v>
      </c>
      <c r="D59" t="s">
        <v>74</v>
      </c>
      <c r="E59" t="s">
        <v>75</v>
      </c>
      <c r="F59" t="s">
        <v>100</v>
      </c>
      <c r="G59" t="s">
        <v>101</v>
      </c>
      <c r="H59" t="s">
        <v>102</v>
      </c>
      <c r="I59">
        <v>5</v>
      </c>
      <c r="J59">
        <v>5</v>
      </c>
      <c r="K59">
        <v>4</v>
      </c>
      <c r="L59">
        <v>8</v>
      </c>
      <c r="M59">
        <v>5</v>
      </c>
      <c r="N59">
        <v>7</v>
      </c>
      <c r="O59">
        <v>7</v>
      </c>
      <c r="P59">
        <v>7</v>
      </c>
      <c r="Q59">
        <v>7</v>
      </c>
    </row>
    <row r="60" spans="1:17" x14ac:dyDescent="0.45">
      <c r="A60" s="19">
        <v>46017.626388888886</v>
      </c>
      <c r="B60" t="s">
        <v>72</v>
      </c>
      <c r="C60" t="s">
        <v>189</v>
      </c>
      <c r="D60" t="s">
        <v>74</v>
      </c>
      <c r="E60" t="s">
        <v>77</v>
      </c>
      <c r="F60" t="s">
        <v>103</v>
      </c>
      <c r="G60" t="s">
        <v>195</v>
      </c>
      <c r="H60" t="s">
        <v>110</v>
      </c>
      <c r="I60">
        <v>9</v>
      </c>
      <c r="J60">
        <v>9</v>
      </c>
      <c r="K60">
        <v>9</v>
      </c>
      <c r="L60">
        <v>7</v>
      </c>
      <c r="M60">
        <v>7</v>
      </c>
      <c r="N60">
        <v>8</v>
      </c>
      <c r="O60">
        <v>8</v>
      </c>
      <c r="P60">
        <v>6</v>
      </c>
      <c r="Q60">
        <v>5</v>
      </c>
    </row>
    <row r="61" spans="1:17" x14ac:dyDescent="0.45">
      <c r="A61" s="19">
        <v>46017.688194444447</v>
      </c>
      <c r="B61" t="s">
        <v>78</v>
      </c>
      <c r="C61" t="s">
        <v>81</v>
      </c>
      <c r="D61" t="s">
        <v>74</v>
      </c>
      <c r="E61" t="s">
        <v>77</v>
      </c>
      <c r="F61" t="s">
        <v>100</v>
      </c>
      <c r="G61" t="s">
        <v>104</v>
      </c>
      <c r="H61" t="s">
        <v>110</v>
      </c>
      <c r="I61">
        <v>5</v>
      </c>
      <c r="J61">
        <v>5</v>
      </c>
      <c r="K61">
        <v>5</v>
      </c>
      <c r="L61">
        <v>5</v>
      </c>
      <c r="M61">
        <v>5</v>
      </c>
      <c r="N61">
        <v>8</v>
      </c>
      <c r="O61">
        <v>4</v>
      </c>
      <c r="P61">
        <v>5</v>
      </c>
      <c r="Q61">
        <v>5</v>
      </c>
    </row>
    <row r="62" spans="1:17" x14ac:dyDescent="0.45">
      <c r="A62" s="19">
        <v>46017.698611111111</v>
      </c>
      <c r="B62" t="s">
        <v>72</v>
      </c>
      <c r="C62" t="s">
        <v>73</v>
      </c>
      <c r="D62" t="s">
        <v>74</v>
      </c>
      <c r="E62" t="s">
        <v>75</v>
      </c>
      <c r="F62" t="s">
        <v>100</v>
      </c>
      <c r="G62" t="s">
        <v>197</v>
      </c>
      <c r="H62" t="s">
        <v>102</v>
      </c>
      <c r="I62">
        <v>8</v>
      </c>
      <c r="J62">
        <v>9</v>
      </c>
      <c r="K62">
        <v>9</v>
      </c>
      <c r="L62">
        <v>9</v>
      </c>
      <c r="M62">
        <v>9</v>
      </c>
      <c r="N62">
        <v>8</v>
      </c>
      <c r="O62">
        <v>8</v>
      </c>
      <c r="P62">
        <v>8</v>
      </c>
      <c r="Q62">
        <v>9</v>
      </c>
    </row>
    <row r="63" spans="1:17" x14ac:dyDescent="0.45">
      <c r="A63" s="19">
        <v>46017.711111111108</v>
      </c>
      <c r="B63" t="s">
        <v>72</v>
      </c>
      <c r="C63" t="s">
        <v>81</v>
      </c>
      <c r="D63" t="s">
        <v>74</v>
      </c>
      <c r="E63" t="s">
        <v>75</v>
      </c>
      <c r="F63" t="s">
        <v>100</v>
      </c>
      <c r="G63" t="s">
        <v>101</v>
      </c>
      <c r="H63" t="s">
        <v>110</v>
      </c>
      <c r="I63">
        <v>9</v>
      </c>
      <c r="J63">
        <v>9</v>
      </c>
      <c r="K63">
        <v>7</v>
      </c>
      <c r="L63">
        <v>6</v>
      </c>
      <c r="M63">
        <v>7</v>
      </c>
      <c r="N63">
        <v>5</v>
      </c>
      <c r="O63">
        <v>6</v>
      </c>
      <c r="P63">
        <v>8</v>
      </c>
      <c r="Q63">
        <v>5</v>
      </c>
    </row>
    <row r="64" spans="1:17" x14ac:dyDescent="0.45">
      <c r="A64" s="19">
        <v>46017.80972222222</v>
      </c>
      <c r="B64" t="s">
        <v>72</v>
      </c>
      <c r="C64" t="s">
        <v>192</v>
      </c>
      <c r="D64" t="s">
        <v>80</v>
      </c>
      <c r="E64" t="s">
        <v>77</v>
      </c>
      <c r="F64" t="s">
        <v>100</v>
      </c>
      <c r="G64" t="s">
        <v>197</v>
      </c>
      <c r="H64" t="s">
        <v>102</v>
      </c>
      <c r="I64">
        <v>9</v>
      </c>
      <c r="J64">
        <v>9</v>
      </c>
      <c r="K64">
        <v>9</v>
      </c>
      <c r="L64">
        <v>9</v>
      </c>
      <c r="M64">
        <v>8</v>
      </c>
      <c r="N64">
        <v>9</v>
      </c>
      <c r="O64">
        <v>9</v>
      </c>
      <c r="P64">
        <v>8</v>
      </c>
      <c r="Q64">
        <v>7</v>
      </c>
    </row>
    <row r="65" spans="1:17" x14ac:dyDescent="0.45">
      <c r="A65" s="19">
        <v>46018.36041666667</v>
      </c>
      <c r="B65" t="s">
        <v>72</v>
      </c>
      <c r="C65" t="s">
        <v>73</v>
      </c>
      <c r="D65" t="s">
        <v>74</v>
      </c>
      <c r="E65" t="s">
        <v>77</v>
      </c>
      <c r="F65" t="s">
        <v>103</v>
      </c>
      <c r="G65" t="s">
        <v>108</v>
      </c>
      <c r="H65" t="s">
        <v>105</v>
      </c>
      <c r="I65">
        <v>9</v>
      </c>
      <c r="J65">
        <v>10</v>
      </c>
      <c r="K65">
        <v>9</v>
      </c>
      <c r="L65">
        <v>10</v>
      </c>
      <c r="M65">
        <v>10</v>
      </c>
      <c r="N65">
        <v>5</v>
      </c>
      <c r="O65">
        <v>10</v>
      </c>
      <c r="P65">
        <v>7</v>
      </c>
      <c r="Q65">
        <v>9</v>
      </c>
    </row>
    <row r="66" spans="1:17" x14ac:dyDescent="0.45">
      <c r="A66" s="19">
        <v>46019.6</v>
      </c>
      <c r="B66" t="s">
        <v>72</v>
      </c>
      <c r="C66" t="s">
        <v>79</v>
      </c>
      <c r="D66" t="s">
        <v>80</v>
      </c>
      <c r="E66" t="s">
        <v>77</v>
      </c>
      <c r="F66" t="s">
        <v>100</v>
      </c>
      <c r="G66" t="s">
        <v>195</v>
      </c>
      <c r="H66" t="s">
        <v>105</v>
      </c>
      <c r="I66">
        <v>10</v>
      </c>
      <c r="J66">
        <v>10</v>
      </c>
      <c r="K66">
        <v>10</v>
      </c>
      <c r="L66">
        <v>10</v>
      </c>
      <c r="M66">
        <v>10</v>
      </c>
      <c r="N66">
        <v>10</v>
      </c>
      <c r="O66">
        <v>10</v>
      </c>
      <c r="P66">
        <v>10</v>
      </c>
      <c r="Q66">
        <v>10</v>
      </c>
    </row>
    <row r="67" spans="1:17" x14ac:dyDescent="0.45">
      <c r="A67" s="19">
        <v>46019.604166666664</v>
      </c>
      <c r="B67" t="s">
        <v>72</v>
      </c>
      <c r="C67" t="s">
        <v>81</v>
      </c>
      <c r="D67" t="s">
        <v>74</v>
      </c>
      <c r="E67" t="s">
        <v>191</v>
      </c>
      <c r="F67" t="s">
        <v>100</v>
      </c>
      <c r="G67" t="s">
        <v>104</v>
      </c>
      <c r="H67" t="s">
        <v>110</v>
      </c>
      <c r="I67">
        <v>7</v>
      </c>
      <c r="J67">
        <v>5</v>
      </c>
      <c r="K67">
        <v>3</v>
      </c>
      <c r="L67">
        <v>5</v>
      </c>
      <c r="M67">
        <v>4</v>
      </c>
      <c r="N67">
        <v>3</v>
      </c>
      <c r="O67">
        <v>5</v>
      </c>
      <c r="P67">
        <v>6</v>
      </c>
      <c r="Q67">
        <v>6</v>
      </c>
    </row>
    <row r="68" spans="1:17" x14ac:dyDescent="0.45">
      <c r="A68" s="19">
        <v>46019.626388888886</v>
      </c>
      <c r="B68" t="s">
        <v>78</v>
      </c>
      <c r="C68" t="s">
        <v>79</v>
      </c>
      <c r="D68" t="s">
        <v>74</v>
      </c>
      <c r="E68" t="s">
        <v>75</v>
      </c>
      <c r="F68" t="s">
        <v>100</v>
      </c>
      <c r="G68" t="s">
        <v>107</v>
      </c>
      <c r="H68" t="s">
        <v>105</v>
      </c>
      <c r="I68">
        <v>5</v>
      </c>
      <c r="J68">
        <v>5</v>
      </c>
      <c r="K68">
        <v>4</v>
      </c>
      <c r="L68">
        <v>4</v>
      </c>
      <c r="M68">
        <v>2</v>
      </c>
      <c r="N68">
        <v>3</v>
      </c>
      <c r="O68">
        <v>2</v>
      </c>
      <c r="P68">
        <v>3</v>
      </c>
      <c r="Q68">
        <v>3</v>
      </c>
    </row>
    <row r="69" spans="1:17" x14ac:dyDescent="0.45">
      <c r="A69" s="19">
        <v>46019.645833333336</v>
      </c>
      <c r="B69" t="s">
        <v>72</v>
      </c>
      <c r="C69" t="s">
        <v>79</v>
      </c>
      <c r="D69" t="s">
        <v>74</v>
      </c>
      <c r="E69" t="s">
        <v>77</v>
      </c>
      <c r="F69" t="s">
        <v>100</v>
      </c>
      <c r="G69" t="s">
        <v>111</v>
      </c>
      <c r="H69" t="s">
        <v>105</v>
      </c>
      <c r="I69">
        <v>4</v>
      </c>
      <c r="J69">
        <v>3</v>
      </c>
      <c r="K69">
        <v>1</v>
      </c>
      <c r="L69">
        <v>5</v>
      </c>
      <c r="M69">
        <v>4</v>
      </c>
      <c r="N69">
        <v>3</v>
      </c>
      <c r="O69">
        <v>1</v>
      </c>
      <c r="P69">
        <v>3</v>
      </c>
      <c r="Q69">
        <v>5</v>
      </c>
    </row>
    <row r="70" spans="1:17" x14ac:dyDescent="0.45">
      <c r="A70" s="19">
        <v>46019.647916666669</v>
      </c>
      <c r="B70" t="s">
        <v>78</v>
      </c>
      <c r="C70" t="s">
        <v>81</v>
      </c>
      <c r="D70" t="s">
        <v>74</v>
      </c>
      <c r="E70" t="s">
        <v>77</v>
      </c>
      <c r="F70" t="s">
        <v>100</v>
      </c>
      <c r="G70" t="s">
        <v>197</v>
      </c>
      <c r="H70" t="s">
        <v>110</v>
      </c>
      <c r="I70">
        <v>7</v>
      </c>
      <c r="J70">
        <v>7</v>
      </c>
      <c r="K70">
        <v>8</v>
      </c>
      <c r="L70">
        <v>9</v>
      </c>
      <c r="M70">
        <v>8</v>
      </c>
      <c r="N70">
        <v>10</v>
      </c>
      <c r="O70">
        <v>9</v>
      </c>
      <c r="P70">
        <v>9</v>
      </c>
      <c r="Q70">
        <v>9</v>
      </c>
    </row>
    <row r="71" spans="1:17" x14ac:dyDescent="0.45">
      <c r="A71" s="19">
        <v>46019.648611111108</v>
      </c>
      <c r="B71" t="s">
        <v>78</v>
      </c>
      <c r="C71" t="s">
        <v>79</v>
      </c>
      <c r="D71" t="s">
        <v>74</v>
      </c>
      <c r="E71" t="s">
        <v>75</v>
      </c>
      <c r="F71" t="s">
        <v>103</v>
      </c>
      <c r="G71" t="s">
        <v>108</v>
      </c>
      <c r="H71" t="s">
        <v>102</v>
      </c>
      <c r="I71">
        <v>6</v>
      </c>
      <c r="J71">
        <v>6</v>
      </c>
      <c r="K71">
        <v>5</v>
      </c>
      <c r="L71">
        <v>5</v>
      </c>
      <c r="M71">
        <v>5</v>
      </c>
      <c r="N71">
        <v>1</v>
      </c>
      <c r="O71">
        <v>5</v>
      </c>
      <c r="P71">
        <v>5</v>
      </c>
      <c r="Q71">
        <v>5</v>
      </c>
    </row>
    <row r="72" spans="1:17" x14ac:dyDescent="0.45">
      <c r="A72" s="19">
        <v>46019.650694444441</v>
      </c>
      <c r="B72" t="s">
        <v>72</v>
      </c>
      <c r="C72" t="s">
        <v>73</v>
      </c>
      <c r="D72" t="s">
        <v>74</v>
      </c>
      <c r="E72" t="s">
        <v>75</v>
      </c>
      <c r="F72" t="s">
        <v>100</v>
      </c>
      <c r="G72" t="s">
        <v>101</v>
      </c>
      <c r="H72" t="s">
        <v>105</v>
      </c>
      <c r="I72">
        <v>3</v>
      </c>
      <c r="J72">
        <v>3</v>
      </c>
      <c r="K72">
        <v>3</v>
      </c>
      <c r="L72">
        <v>5</v>
      </c>
      <c r="M72">
        <v>3</v>
      </c>
      <c r="N72">
        <v>3</v>
      </c>
      <c r="O72">
        <v>3</v>
      </c>
      <c r="P72">
        <v>3</v>
      </c>
      <c r="Q72">
        <v>4</v>
      </c>
    </row>
    <row r="73" spans="1:17" x14ac:dyDescent="0.45">
      <c r="A73" s="19">
        <v>46019.652083333334</v>
      </c>
      <c r="B73" t="s">
        <v>78</v>
      </c>
      <c r="C73" t="s">
        <v>73</v>
      </c>
      <c r="D73" t="s">
        <v>74</v>
      </c>
      <c r="E73" t="s">
        <v>77</v>
      </c>
      <c r="F73" t="s">
        <v>103</v>
      </c>
      <c r="G73" t="s">
        <v>197</v>
      </c>
      <c r="H73" t="s">
        <v>106</v>
      </c>
      <c r="I73">
        <v>8</v>
      </c>
      <c r="J73">
        <v>8</v>
      </c>
      <c r="K73">
        <v>4</v>
      </c>
      <c r="L73">
        <v>2</v>
      </c>
      <c r="M73">
        <v>6</v>
      </c>
      <c r="N73">
        <v>3</v>
      </c>
      <c r="O73">
        <v>8</v>
      </c>
      <c r="P73">
        <v>4</v>
      </c>
      <c r="Q73">
        <v>8</v>
      </c>
    </row>
    <row r="74" spans="1:17" x14ac:dyDescent="0.45">
      <c r="A74" s="19">
        <v>46019.658333333333</v>
      </c>
      <c r="B74" t="s">
        <v>78</v>
      </c>
      <c r="C74" t="s">
        <v>189</v>
      </c>
      <c r="D74" t="s">
        <v>74</v>
      </c>
      <c r="E74" t="s">
        <v>193</v>
      </c>
      <c r="F74" t="s">
        <v>100</v>
      </c>
      <c r="G74" t="s">
        <v>104</v>
      </c>
      <c r="H74" t="s">
        <v>110</v>
      </c>
      <c r="I74">
        <v>5</v>
      </c>
      <c r="J74">
        <v>5</v>
      </c>
      <c r="K74">
        <v>5</v>
      </c>
      <c r="L74">
        <v>5</v>
      </c>
      <c r="M74">
        <v>5</v>
      </c>
      <c r="N74">
        <v>10</v>
      </c>
      <c r="O74">
        <v>5</v>
      </c>
      <c r="P74">
        <v>5</v>
      </c>
      <c r="Q74">
        <v>10</v>
      </c>
    </row>
    <row r="75" spans="1:17" x14ac:dyDescent="0.45">
      <c r="A75" s="19">
        <v>46019.685416666667</v>
      </c>
      <c r="B75" t="s">
        <v>72</v>
      </c>
      <c r="C75" t="s">
        <v>73</v>
      </c>
      <c r="D75" t="s">
        <v>74</v>
      </c>
      <c r="E75" t="s">
        <v>77</v>
      </c>
      <c r="F75" t="s">
        <v>103</v>
      </c>
      <c r="G75" t="s">
        <v>197</v>
      </c>
      <c r="H75" t="s">
        <v>102</v>
      </c>
      <c r="I75">
        <v>5</v>
      </c>
      <c r="J75">
        <v>10</v>
      </c>
      <c r="K75">
        <v>2</v>
      </c>
      <c r="L75">
        <v>8</v>
      </c>
      <c r="M75">
        <v>5</v>
      </c>
      <c r="N75">
        <v>5</v>
      </c>
      <c r="O75">
        <v>1</v>
      </c>
      <c r="P75">
        <v>4</v>
      </c>
      <c r="Q75">
        <v>5</v>
      </c>
    </row>
    <row r="76" spans="1:17" x14ac:dyDescent="0.45">
      <c r="A76" s="19">
        <v>46019.6875</v>
      </c>
      <c r="B76" t="s">
        <v>78</v>
      </c>
      <c r="C76" t="s">
        <v>79</v>
      </c>
      <c r="D76" t="s">
        <v>74</v>
      </c>
      <c r="E76" t="s">
        <v>75</v>
      </c>
      <c r="F76" t="s">
        <v>100</v>
      </c>
      <c r="G76" t="s">
        <v>111</v>
      </c>
      <c r="H76" t="s">
        <v>105</v>
      </c>
      <c r="I76">
        <v>8</v>
      </c>
      <c r="J76">
        <v>9</v>
      </c>
      <c r="K76">
        <v>9</v>
      </c>
      <c r="L76">
        <v>9</v>
      </c>
      <c r="M76">
        <v>3</v>
      </c>
      <c r="N76">
        <v>3</v>
      </c>
      <c r="O76">
        <v>2</v>
      </c>
      <c r="P76">
        <v>2</v>
      </c>
      <c r="Q76">
        <v>6</v>
      </c>
    </row>
    <row r="77" spans="1:17" x14ac:dyDescent="0.45">
      <c r="A77" s="19">
        <v>46019.693749999999</v>
      </c>
      <c r="B77" t="s">
        <v>78</v>
      </c>
      <c r="C77" t="s">
        <v>79</v>
      </c>
      <c r="D77" t="s">
        <v>80</v>
      </c>
      <c r="E77" t="s">
        <v>193</v>
      </c>
      <c r="F77" t="s">
        <v>103</v>
      </c>
      <c r="G77" t="s">
        <v>104</v>
      </c>
      <c r="H77" t="s">
        <v>106</v>
      </c>
      <c r="I77">
        <v>5</v>
      </c>
      <c r="J77">
        <v>5</v>
      </c>
      <c r="K77">
        <v>5</v>
      </c>
      <c r="L77">
        <v>5</v>
      </c>
      <c r="M77">
        <v>5</v>
      </c>
      <c r="N77">
        <v>5</v>
      </c>
      <c r="O77">
        <v>5</v>
      </c>
      <c r="P77">
        <v>5</v>
      </c>
      <c r="Q77">
        <v>5</v>
      </c>
    </row>
    <row r="78" spans="1:17" x14ac:dyDescent="0.45">
      <c r="A78" s="19">
        <v>46019.697222222225</v>
      </c>
      <c r="B78" t="s">
        <v>72</v>
      </c>
      <c r="C78" t="s">
        <v>192</v>
      </c>
      <c r="D78" t="s">
        <v>74</v>
      </c>
      <c r="E78" t="s">
        <v>77</v>
      </c>
      <c r="F78" t="s">
        <v>100</v>
      </c>
      <c r="G78" t="s">
        <v>104</v>
      </c>
      <c r="H78" t="s">
        <v>105</v>
      </c>
      <c r="I78">
        <v>8</v>
      </c>
      <c r="J78">
        <v>8</v>
      </c>
      <c r="K78">
        <v>8</v>
      </c>
      <c r="L78">
        <v>8</v>
      </c>
      <c r="M78">
        <v>9</v>
      </c>
      <c r="N78">
        <v>7</v>
      </c>
      <c r="O78">
        <v>9</v>
      </c>
      <c r="P78">
        <v>10</v>
      </c>
      <c r="Q78">
        <v>8</v>
      </c>
    </row>
    <row r="79" spans="1:17" x14ac:dyDescent="0.45">
      <c r="A79" s="19">
        <v>46019.699305555558</v>
      </c>
      <c r="B79" t="s">
        <v>72</v>
      </c>
      <c r="C79" t="s">
        <v>73</v>
      </c>
      <c r="D79" t="s">
        <v>74</v>
      </c>
      <c r="E79" t="s">
        <v>75</v>
      </c>
      <c r="F79" t="s">
        <v>100</v>
      </c>
      <c r="G79" t="s">
        <v>109</v>
      </c>
      <c r="H79" t="s">
        <v>105</v>
      </c>
      <c r="I79">
        <v>8</v>
      </c>
      <c r="J79">
        <v>7</v>
      </c>
      <c r="K79">
        <v>9</v>
      </c>
      <c r="L79">
        <v>8</v>
      </c>
      <c r="M79">
        <v>8</v>
      </c>
      <c r="N79">
        <v>8</v>
      </c>
      <c r="O79">
        <v>6</v>
      </c>
      <c r="P79">
        <v>6</v>
      </c>
      <c r="Q79">
        <v>7</v>
      </c>
    </row>
    <row r="80" spans="1:17" x14ac:dyDescent="0.45">
      <c r="A80" s="19">
        <v>46019.737500000003</v>
      </c>
      <c r="B80" t="s">
        <v>72</v>
      </c>
      <c r="C80" t="s">
        <v>194</v>
      </c>
      <c r="D80" t="s">
        <v>74</v>
      </c>
      <c r="E80" t="s">
        <v>193</v>
      </c>
      <c r="F80" t="s">
        <v>198</v>
      </c>
      <c r="G80" t="s">
        <v>104</v>
      </c>
      <c r="H80" t="s">
        <v>110</v>
      </c>
      <c r="I80">
        <v>6</v>
      </c>
      <c r="J80">
        <v>2</v>
      </c>
      <c r="K80">
        <v>3</v>
      </c>
      <c r="L80">
        <v>2</v>
      </c>
      <c r="M80">
        <v>3</v>
      </c>
      <c r="N80">
        <v>7</v>
      </c>
      <c r="O80">
        <v>5</v>
      </c>
      <c r="P80">
        <v>5</v>
      </c>
      <c r="Q80">
        <v>7</v>
      </c>
    </row>
    <row r="81" spans="1:17" x14ac:dyDescent="0.45">
      <c r="A81" s="19">
        <v>46019.746527777781</v>
      </c>
      <c r="B81" t="s">
        <v>78</v>
      </c>
      <c r="C81" t="s">
        <v>81</v>
      </c>
      <c r="D81" t="s">
        <v>74</v>
      </c>
      <c r="E81" t="s">
        <v>77</v>
      </c>
      <c r="F81" t="s">
        <v>100</v>
      </c>
      <c r="G81" t="s">
        <v>104</v>
      </c>
      <c r="H81" t="s">
        <v>110</v>
      </c>
      <c r="I81">
        <v>8</v>
      </c>
      <c r="J81">
        <v>8</v>
      </c>
      <c r="K81">
        <v>8</v>
      </c>
      <c r="L81">
        <v>8</v>
      </c>
      <c r="M81">
        <v>8</v>
      </c>
      <c r="N81">
        <v>8</v>
      </c>
      <c r="O81">
        <v>8</v>
      </c>
      <c r="P81">
        <v>8</v>
      </c>
      <c r="Q81">
        <v>8</v>
      </c>
    </row>
    <row r="82" spans="1:17" x14ac:dyDescent="0.45">
      <c r="A82" s="19">
        <v>46019.775694444441</v>
      </c>
      <c r="B82" t="s">
        <v>78</v>
      </c>
      <c r="C82" t="s">
        <v>194</v>
      </c>
      <c r="D82" t="s">
        <v>74</v>
      </c>
      <c r="E82" t="s">
        <v>75</v>
      </c>
      <c r="F82" t="s">
        <v>198</v>
      </c>
      <c r="G82" t="s">
        <v>195</v>
      </c>
      <c r="H82" t="s">
        <v>110</v>
      </c>
      <c r="I82">
        <v>7</v>
      </c>
      <c r="J82">
        <v>7</v>
      </c>
      <c r="K82">
        <v>5</v>
      </c>
      <c r="L82">
        <v>5</v>
      </c>
      <c r="M82">
        <v>6</v>
      </c>
      <c r="N82">
        <v>5</v>
      </c>
      <c r="O82">
        <v>8</v>
      </c>
      <c r="P82">
        <v>6</v>
      </c>
      <c r="Q82">
        <v>8</v>
      </c>
    </row>
    <row r="83" spans="1:17" x14ac:dyDescent="0.45">
      <c r="A83" s="19">
        <v>46019.807638888888</v>
      </c>
      <c r="B83" t="s">
        <v>72</v>
      </c>
      <c r="C83" t="s">
        <v>194</v>
      </c>
      <c r="D83" t="s">
        <v>74</v>
      </c>
      <c r="E83" t="s">
        <v>77</v>
      </c>
      <c r="F83" t="s">
        <v>198</v>
      </c>
      <c r="G83" t="s">
        <v>104</v>
      </c>
      <c r="H83" t="s">
        <v>102</v>
      </c>
      <c r="I83">
        <v>8</v>
      </c>
      <c r="J83">
        <v>9</v>
      </c>
      <c r="K83">
        <v>5</v>
      </c>
      <c r="L83">
        <v>5</v>
      </c>
      <c r="M83">
        <v>5</v>
      </c>
      <c r="N83">
        <v>5</v>
      </c>
      <c r="O83">
        <v>1</v>
      </c>
      <c r="P83">
        <v>5</v>
      </c>
      <c r="Q83">
        <v>5</v>
      </c>
    </row>
    <row r="84" spans="1:17" x14ac:dyDescent="0.45">
      <c r="A84" s="19">
        <v>46019.814583333333</v>
      </c>
      <c r="B84" t="s">
        <v>72</v>
      </c>
      <c r="C84" t="s">
        <v>79</v>
      </c>
      <c r="D84" t="s">
        <v>74</v>
      </c>
      <c r="E84" t="s">
        <v>75</v>
      </c>
      <c r="F84" t="s">
        <v>100</v>
      </c>
      <c r="G84" t="s">
        <v>104</v>
      </c>
      <c r="H84" t="s">
        <v>105</v>
      </c>
      <c r="I84">
        <v>10</v>
      </c>
      <c r="J84">
        <v>8</v>
      </c>
      <c r="K84">
        <v>8</v>
      </c>
      <c r="L84">
        <v>7</v>
      </c>
      <c r="M84">
        <v>7</v>
      </c>
      <c r="N84">
        <v>6</v>
      </c>
      <c r="O84">
        <v>7</v>
      </c>
      <c r="P84">
        <v>6</v>
      </c>
      <c r="Q84">
        <v>8</v>
      </c>
    </row>
    <row r="85" spans="1:17" x14ac:dyDescent="0.45">
      <c r="A85" s="19">
        <v>46019.818055555559</v>
      </c>
      <c r="B85" t="s">
        <v>72</v>
      </c>
      <c r="C85" t="s">
        <v>73</v>
      </c>
      <c r="D85" t="s">
        <v>74</v>
      </c>
      <c r="E85" t="s">
        <v>191</v>
      </c>
      <c r="F85" t="s">
        <v>100</v>
      </c>
      <c r="G85" t="s">
        <v>104</v>
      </c>
      <c r="H85" t="s">
        <v>102</v>
      </c>
      <c r="I85">
        <v>6</v>
      </c>
      <c r="J85">
        <v>7</v>
      </c>
      <c r="K85">
        <v>5</v>
      </c>
      <c r="L85">
        <v>5</v>
      </c>
      <c r="M85">
        <v>5</v>
      </c>
      <c r="N85">
        <v>5</v>
      </c>
      <c r="O85">
        <v>5</v>
      </c>
      <c r="P85">
        <v>5</v>
      </c>
      <c r="Q85">
        <v>5</v>
      </c>
    </row>
    <row r="86" spans="1:17" x14ac:dyDescent="0.45">
      <c r="A86" s="19">
        <v>46019.819444444445</v>
      </c>
      <c r="B86" t="s">
        <v>72</v>
      </c>
      <c r="C86" t="s">
        <v>79</v>
      </c>
      <c r="D86" t="s">
        <v>74</v>
      </c>
      <c r="E86" t="s">
        <v>77</v>
      </c>
      <c r="F86" t="s">
        <v>100</v>
      </c>
      <c r="G86" t="s">
        <v>104</v>
      </c>
      <c r="H86" t="s">
        <v>105</v>
      </c>
      <c r="I86">
        <v>9</v>
      </c>
      <c r="J86">
        <v>9</v>
      </c>
      <c r="K86">
        <v>8</v>
      </c>
      <c r="L86">
        <v>9</v>
      </c>
      <c r="M86">
        <v>9</v>
      </c>
      <c r="N86">
        <v>9</v>
      </c>
      <c r="O86">
        <v>7</v>
      </c>
      <c r="P86">
        <v>8</v>
      </c>
      <c r="Q86">
        <v>8</v>
      </c>
    </row>
    <row r="87" spans="1:17" x14ac:dyDescent="0.45">
      <c r="A87" s="19">
        <v>46019.820138888892</v>
      </c>
      <c r="B87" t="s">
        <v>78</v>
      </c>
      <c r="C87" t="s">
        <v>73</v>
      </c>
      <c r="D87" t="s">
        <v>80</v>
      </c>
      <c r="E87" t="s">
        <v>77</v>
      </c>
      <c r="F87" t="s">
        <v>100</v>
      </c>
      <c r="G87" t="s">
        <v>104</v>
      </c>
      <c r="H87" t="s">
        <v>110</v>
      </c>
      <c r="I87">
        <v>5</v>
      </c>
      <c r="J87">
        <v>5</v>
      </c>
      <c r="K87">
        <v>10</v>
      </c>
      <c r="L87">
        <v>4</v>
      </c>
      <c r="M87">
        <v>4</v>
      </c>
      <c r="N87">
        <v>5</v>
      </c>
      <c r="O87">
        <v>5</v>
      </c>
      <c r="P87">
        <v>8</v>
      </c>
      <c r="Q87">
        <v>8</v>
      </c>
    </row>
    <row r="88" spans="1:17" x14ac:dyDescent="0.45">
      <c r="A88" s="19">
        <v>46019.824999999997</v>
      </c>
      <c r="B88" t="s">
        <v>78</v>
      </c>
      <c r="C88" t="s">
        <v>79</v>
      </c>
      <c r="D88" t="s">
        <v>74</v>
      </c>
      <c r="E88" t="s">
        <v>77</v>
      </c>
      <c r="F88" t="s">
        <v>100</v>
      </c>
      <c r="G88" t="s">
        <v>104</v>
      </c>
      <c r="H88" t="s">
        <v>105</v>
      </c>
      <c r="I88">
        <v>10</v>
      </c>
      <c r="J88">
        <v>9</v>
      </c>
      <c r="K88">
        <v>9</v>
      </c>
      <c r="L88">
        <v>9</v>
      </c>
      <c r="M88">
        <v>9</v>
      </c>
      <c r="N88">
        <v>9</v>
      </c>
      <c r="O88">
        <v>10</v>
      </c>
      <c r="P88">
        <v>9</v>
      </c>
      <c r="Q88">
        <v>10</v>
      </c>
    </row>
    <row r="89" spans="1:17" x14ac:dyDescent="0.45">
      <c r="A89" s="19">
        <v>46019.836805555555</v>
      </c>
      <c r="B89" t="s">
        <v>72</v>
      </c>
      <c r="C89" t="s">
        <v>79</v>
      </c>
      <c r="D89" t="s">
        <v>74</v>
      </c>
      <c r="E89" t="s">
        <v>193</v>
      </c>
      <c r="F89" t="s">
        <v>100</v>
      </c>
      <c r="G89" t="s">
        <v>195</v>
      </c>
      <c r="H89" t="s">
        <v>105</v>
      </c>
      <c r="I89">
        <v>10</v>
      </c>
      <c r="J89">
        <v>10</v>
      </c>
      <c r="K89">
        <v>10</v>
      </c>
      <c r="L89">
        <v>10</v>
      </c>
      <c r="M89">
        <v>10</v>
      </c>
      <c r="N89">
        <v>10</v>
      </c>
      <c r="O89">
        <v>10</v>
      </c>
      <c r="P89">
        <v>10</v>
      </c>
      <c r="Q89">
        <v>10</v>
      </c>
    </row>
    <row r="90" spans="1:17" x14ac:dyDescent="0.45">
      <c r="A90" s="19">
        <v>46019.838888888888</v>
      </c>
      <c r="B90" t="s">
        <v>72</v>
      </c>
      <c r="C90" t="s">
        <v>73</v>
      </c>
      <c r="D90" t="s">
        <v>74</v>
      </c>
      <c r="E90" t="s">
        <v>191</v>
      </c>
      <c r="F90" t="s">
        <v>100</v>
      </c>
      <c r="G90" t="s">
        <v>195</v>
      </c>
      <c r="H90" t="s">
        <v>102</v>
      </c>
      <c r="I90">
        <v>10</v>
      </c>
      <c r="J90">
        <v>9</v>
      </c>
      <c r="K90">
        <v>9</v>
      </c>
      <c r="L90">
        <v>9</v>
      </c>
      <c r="M90">
        <v>10</v>
      </c>
      <c r="N90">
        <v>9</v>
      </c>
      <c r="O90">
        <v>9</v>
      </c>
      <c r="P90">
        <v>8</v>
      </c>
      <c r="Q90">
        <v>9</v>
      </c>
    </row>
    <row r="91" spans="1:17" x14ac:dyDescent="0.45">
      <c r="A91" s="19">
        <v>46019.84097222222</v>
      </c>
      <c r="B91" t="s">
        <v>72</v>
      </c>
      <c r="C91" t="s">
        <v>73</v>
      </c>
      <c r="D91" t="s">
        <v>80</v>
      </c>
      <c r="E91" t="s">
        <v>77</v>
      </c>
      <c r="F91" t="s">
        <v>100</v>
      </c>
      <c r="G91" t="s">
        <v>195</v>
      </c>
      <c r="H91" t="s">
        <v>196</v>
      </c>
      <c r="I91">
        <v>6</v>
      </c>
      <c r="J91">
        <v>10</v>
      </c>
      <c r="K91">
        <v>8</v>
      </c>
      <c r="L91">
        <v>9</v>
      </c>
      <c r="M91">
        <v>9</v>
      </c>
      <c r="N91">
        <v>9</v>
      </c>
      <c r="O91">
        <v>8</v>
      </c>
      <c r="P91">
        <v>8</v>
      </c>
      <c r="Q91">
        <v>9</v>
      </c>
    </row>
    <row r="92" spans="1:17" x14ac:dyDescent="0.45">
      <c r="A92" s="19">
        <v>46019.848611111112</v>
      </c>
      <c r="B92" t="s">
        <v>72</v>
      </c>
      <c r="C92" t="s">
        <v>73</v>
      </c>
      <c r="D92" t="s">
        <v>74</v>
      </c>
      <c r="E92" t="s">
        <v>77</v>
      </c>
      <c r="F92" t="s">
        <v>100</v>
      </c>
      <c r="G92" t="s">
        <v>195</v>
      </c>
      <c r="H92" t="s">
        <v>105</v>
      </c>
      <c r="I92">
        <v>10</v>
      </c>
      <c r="J92">
        <v>9</v>
      </c>
      <c r="K92">
        <v>9</v>
      </c>
      <c r="L92">
        <v>9</v>
      </c>
      <c r="M92">
        <v>10</v>
      </c>
      <c r="N92">
        <v>9</v>
      </c>
      <c r="O92">
        <v>8</v>
      </c>
      <c r="P92">
        <v>8</v>
      </c>
      <c r="Q92">
        <v>10</v>
      </c>
    </row>
    <row r="93" spans="1:17" x14ac:dyDescent="0.45">
      <c r="A93" s="19">
        <v>46019.859722222223</v>
      </c>
      <c r="B93" t="s">
        <v>78</v>
      </c>
      <c r="C93" t="s">
        <v>73</v>
      </c>
      <c r="D93" t="s">
        <v>74</v>
      </c>
      <c r="E93" t="s">
        <v>77</v>
      </c>
      <c r="F93" t="s">
        <v>100</v>
      </c>
      <c r="G93" t="s">
        <v>195</v>
      </c>
      <c r="H93" t="s">
        <v>105</v>
      </c>
      <c r="I93">
        <v>10</v>
      </c>
      <c r="J93">
        <v>10</v>
      </c>
      <c r="K93">
        <v>10</v>
      </c>
      <c r="L93">
        <v>10</v>
      </c>
      <c r="M93">
        <v>10</v>
      </c>
      <c r="N93">
        <v>1</v>
      </c>
      <c r="O93">
        <v>10</v>
      </c>
      <c r="P93">
        <v>10</v>
      </c>
      <c r="Q93">
        <v>10</v>
      </c>
    </row>
    <row r="94" spans="1:17" x14ac:dyDescent="0.45">
      <c r="A94" s="19">
        <v>46019.859722222223</v>
      </c>
      <c r="B94" t="s">
        <v>78</v>
      </c>
      <c r="C94" t="s">
        <v>73</v>
      </c>
      <c r="D94" t="s">
        <v>74</v>
      </c>
      <c r="E94" t="s">
        <v>77</v>
      </c>
      <c r="F94" t="s">
        <v>100</v>
      </c>
      <c r="G94" t="s">
        <v>109</v>
      </c>
      <c r="H94" t="s">
        <v>105</v>
      </c>
      <c r="I94">
        <v>5</v>
      </c>
      <c r="J94">
        <v>8</v>
      </c>
      <c r="K94">
        <v>4</v>
      </c>
      <c r="L94">
        <v>9</v>
      </c>
      <c r="M94">
        <v>7</v>
      </c>
      <c r="N94">
        <v>5</v>
      </c>
      <c r="O94">
        <v>7</v>
      </c>
      <c r="P94">
        <v>8</v>
      </c>
      <c r="Q94">
        <v>10</v>
      </c>
    </row>
    <row r="95" spans="1:17" x14ac:dyDescent="0.45">
      <c r="A95" s="19">
        <v>46019.88958333333</v>
      </c>
      <c r="B95" t="s">
        <v>72</v>
      </c>
      <c r="C95" t="s">
        <v>73</v>
      </c>
      <c r="D95" t="s">
        <v>74</v>
      </c>
      <c r="E95" t="s">
        <v>75</v>
      </c>
      <c r="F95" t="s">
        <v>100</v>
      </c>
      <c r="G95" t="s">
        <v>195</v>
      </c>
      <c r="H95" t="s">
        <v>110</v>
      </c>
      <c r="I95">
        <v>9</v>
      </c>
      <c r="J95">
        <v>7</v>
      </c>
      <c r="K95">
        <v>5</v>
      </c>
      <c r="L95">
        <v>7</v>
      </c>
      <c r="M95">
        <v>5</v>
      </c>
      <c r="N95">
        <v>8</v>
      </c>
      <c r="O95">
        <v>5</v>
      </c>
      <c r="P95">
        <v>5</v>
      </c>
      <c r="Q95">
        <v>7</v>
      </c>
    </row>
    <row r="96" spans="1:17" x14ac:dyDescent="0.45">
      <c r="A96" s="19">
        <v>46019.900694444441</v>
      </c>
      <c r="B96" t="s">
        <v>72</v>
      </c>
      <c r="C96" t="s">
        <v>79</v>
      </c>
      <c r="D96" t="s">
        <v>74</v>
      </c>
      <c r="E96" t="s">
        <v>77</v>
      </c>
      <c r="F96" t="s">
        <v>100</v>
      </c>
      <c r="G96" t="s">
        <v>109</v>
      </c>
      <c r="H96" t="s">
        <v>106</v>
      </c>
      <c r="I96">
        <v>4</v>
      </c>
      <c r="J96">
        <v>6</v>
      </c>
      <c r="K96">
        <v>5</v>
      </c>
      <c r="L96">
        <v>5</v>
      </c>
      <c r="M96">
        <v>4</v>
      </c>
      <c r="N96">
        <v>4</v>
      </c>
      <c r="O96">
        <v>3</v>
      </c>
      <c r="P96">
        <v>4</v>
      </c>
      <c r="Q96">
        <v>3</v>
      </c>
    </row>
    <row r="97" spans="1:17" x14ac:dyDescent="0.45">
      <c r="A97" s="19">
        <v>46019.902083333334</v>
      </c>
      <c r="B97" t="s">
        <v>78</v>
      </c>
      <c r="C97" t="s">
        <v>189</v>
      </c>
      <c r="D97" t="s">
        <v>74</v>
      </c>
      <c r="E97" t="s">
        <v>77</v>
      </c>
      <c r="F97" t="s">
        <v>100</v>
      </c>
      <c r="G97" t="s">
        <v>195</v>
      </c>
      <c r="H97" t="s">
        <v>110</v>
      </c>
      <c r="I97">
        <v>8</v>
      </c>
      <c r="J97">
        <v>7</v>
      </c>
      <c r="K97">
        <v>5</v>
      </c>
      <c r="L97">
        <v>7</v>
      </c>
      <c r="M97">
        <v>7</v>
      </c>
      <c r="N97">
        <v>5</v>
      </c>
      <c r="O97">
        <v>5</v>
      </c>
      <c r="P97">
        <v>7</v>
      </c>
      <c r="Q97">
        <v>7</v>
      </c>
    </row>
    <row r="98" spans="1:17" x14ac:dyDescent="0.45">
      <c r="A98" s="19">
        <v>46019.902777777781</v>
      </c>
      <c r="B98" t="s">
        <v>72</v>
      </c>
      <c r="C98" t="s">
        <v>194</v>
      </c>
      <c r="D98" t="s">
        <v>74</v>
      </c>
      <c r="E98" t="s">
        <v>77</v>
      </c>
      <c r="F98" t="s">
        <v>103</v>
      </c>
      <c r="G98" t="s">
        <v>108</v>
      </c>
      <c r="H98" t="s">
        <v>196</v>
      </c>
      <c r="I98">
        <v>6</v>
      </c>
      <c r="J98">
        <v>6</v>
      </c>
      <c r="K98">
        <v>5</v>
      </c>
      <c r="L98">
        <v>5</v>
      </c>
      <c r="M98">
        <v>5</v>
      </c>
      <c r="N98">
        <v>5</v>
      </c>
      <c r="O98">
        <v>5</v>
      </c>
      <c r="P98">
        <v>5</v>
      </c>
      <c r="Q98">
        <v>5</v>
      </c>
    </row>
    <row r="99" spans="1:17" x14ac:dyDescent="0.45">
      <c r="A99" s="19">
        <v>46019.90347222222</v>
      </c>
      <c r="B99" t="s">
        <v>72</v>
      </c>
      <c r="C99" t="s">
        <v>73</v>
      </c>
      <c r="D99" t="s">
        <v>80</v>
      </c>
      <c r="E99" t="s">
        <v>77</v>
      </c>
      <c r="F99" t="s">
        <v>100</v>
      </c>
      <c r="G99" t="s">
        <v>197</v>
      </c>
      <c r="H99" t="s">
        <v>110</v>
      </c>
      <c r="I99">
        <v>8</v>
      </c>
      <c r="J99">
        <v>8</v>
      </c>
      <c r="K99">
        <v>5</v>
      </c>
      <c r="L99">
        <v>8</v>
      </c>
      <c r="M99">
        <v>6</v>
      </c>
      <c r="N99">
        <v>9</v>
      </c>
      <c r="O99">
        <v>5</v>
      </c>
      <c r="P99">
        <v>7</v>
      </c>
      <c r="Q99">
        <v>8</v>
      </c>
    </row>
    <row r="100" spans="1:17" x14ac:dyDescent="0.45">
      <c r="A100" s="19">
        <v>46019.904861111114</v>
      </c>
      <c r="B100" t="s">
        <v>78</v>
      </c>
      <c r="C100" t="s">
        <v>81</v>
      </c>
      <c r="D100" t="s">
        <v>74</v>
      </c>
      <c r="E100" t="s">
        <v>77</v>
      </c>
      <c r="F100" t="s">
        <v>100</v>
      </c>
      <c r="G100" t="s">
        <v>101</v>
      </c>
      <c r="H100" t="s">
        <v>102</v>
      </c>
      <c r="I100">
        <v>6</v>
      </c>
      <c r="J100">
        <v>6</v>
      </c>
      <c r="K100">
        <v>3</v>
      </c>
      <c r="L100">
        <v>6</v>
      </c>
      <c r="M100">
        <v>5</v>
      </c>
      <c r="N100">
        <v>6</v>
      </c>
      <c r="O100">
        <v>5</v>
      </c>
      <c r="P100">
        <v>6</v>
      </c>
      <c r="Q100">
        <v>6</v>
      </c>
    </row>
    <row r="101" spans="1:17" x14ac:dyDescent="0.45">
      <c r="A101" s="19">
        <v>46020.206944444442</v>
      </c>
      <c r="B101" t="s">
        <v>72</v>
      </c>
      <c r="C101" t="s">
        <v>194</v>
      </c>
      <c r="D101" t="s">
        <v>74</v>
      </c>
      <c r="E101" t="s">
        <v>77</v>
      </c>
      <c r="F101" t="s">
        <v>100</v>
      </c>
      <c r="G101" t="s">
        <v>104</v>
      </c>
      <c r="H101" t="s">
        <v>102</v>
      </c>
      <c r="I101">
        <v>8</v>
      </c>
      <c r="J101">
        <v>8</v>
      </c>
      <c r="K101">
        <v>8</v>
      </c>
      <c r="L101">
        <v>10</v>
      </c>
      <c r="M101">
        <v>10</v>
      </c>
      <c r="N101">
        <v>10</v>
      </c>
      <c r="O101">
        <v>10</v>
      </c>
      <c r="P101">
        <v>10</v>
      </c>
      <c r="Q101">
        <v>10</v>
      </c>
    </row>
    <row r="102" spans="1:17" x14ac:dyDescent="0.45">
      <c r="A102" s="19">
        <v>46020.280555555553</v>
      </c>
      <c r="B102" t="s">
        <v>72</v>
      </c>
      <c r="C102" t="s">
        <v>192</v>
      </c>
      <c r="D102" t="s">
        <v>74</v>
      </c>
      <c r="E102" t="s">
        <v>75</v>
      </c>
      <c r="F102" t="s">
        <v>100</v>
      </c>
      <c r="G102" t="s">
        <v>107</v>
      </c>
      <c r="H102" t="s">
        <v>196</v>
      </c>
      <c r="I102">
        <v>8</v>
      </c>
      <c r="J102">
        <v>8</v>
      </c>
      <c r="K102">
        <v>7</v>
      </c>
      <c r="L102">
        <v>8</v>
      </c>
      <c r="M102">
        <v>8</v>
      </c>
      <c r="N102">
        <v>7</v>
      </c>
      <c r="O102">
        <v>7</v>
      </c>
      <c r="P102">
        <v>7</v>
      </c>
      <c r="Q102">
        <v>8</v>
      </c>
    </row>
    <row r="103" spans="1:17" x14ac:dyDescent="0.45">
      <c r="A103" s="19">
        <v>46020.28125</v>
      </c>
      <c r="B103" t="s">
        <v>78</v>
      </c>
      <c r="C103" t="s">
        <v>189</v>
      </c>
      <c r="D103" t="s">
        <v>74</v>
      </c>
      <c r="E103" t="s">
        <v>77</v>
      </c>
      <c r="F103" t="s">
        <v>100</v>
      </c>
      <c r="G103" t="s">
        <v>104</v>
      </c>
      <c r="H103" t="s">
        <v>110</v>
      </c>
      <c r="I103">
        <v>5</v>
      </c>
      <c r="J103">
        <v>5</v>
      </c>
      <c r="K103">
        <v>5</v>
      </c>
      <c r="L103">
        <v>5</v>
      </c>
      <c r="M103">
        <v>5</v>
      </c>
      <c r="N103">
        <v>5</v>
      </c>
      <c r="O103">
        <v>5</v>
      </c>
      <c r="P103">
        <v>5</v>
      </c>
      <c r="Q103">
        <v>5</v>
      </c>
    </row>
    <row r="104" spans="1:17" x14ac:dyDescent="0.45">
      <c r="A104" s="19">
        <v>46020.282638888886</v>
      </c>
      <c r="B104" t="s">
        <v>72</v>
      </c>
      <c r="C104" t="s">
        <v>194</v>
      </c>
      <c r="D104" t="s">
        <v>74</v>
      </c>
      <c r="E104" t="s">
        <v>77</v>
      </c>
      <c r="F104" t="s">
        <v>100</v>
      </c>
      <c r="G104" t="s">
        <v>109</v>
      </c>
      <c r="H104" t="s">
        <v>105</v>
      </c>
      <c r="I104">
        <v>8</v>
      </c>
      <c r="J104">
        <v>8</v>
      </c>
      <c r="K104">
        <v>5</v>
      </c>
      <c r="L104">
        <v>8</v>
      </c>
      <c r="M104">
        <v>5</v>
      </c>
      <c r="N104">
        <v>5</v>
      </c>
      <c r="O104">
        <v>6</v>
      </c>
      <c r="P104">
        <v>6</v>
      </c>
      <c r="Q104">
        <v>5</v>
      </c>
    </row>
    <row r="105" spans="1:17" x14ac:dyDescent="0.45">
      <c r="A105" s="19">
        <v>46020.282638888886</v>
      </c>
      <c r="B105" t="s">
        <v>78</v>
      </c>
      <c r="C105" t="s">
        <v>73</v>
      </c>
      <c r="D105" t="s">
        <v>74</v>
      </c>
      <c r="E105" t="s">
        <v>77</v>
      </c>
      <c r="F105" t="s">
        <v>100</v>
      </c>
      <c r="G105" t="s">
        <v>197</v>
      </c>
      <c r="H105" t="s">
        <v>110</v>
      </c>
      <c r="I105">
        <v>6</v>
      </c>
      <c r="J105">
        <v>7</v>
      </c>
      <c r="K105">
        <v>6</v>
      </c>
      <c r="L105">
        <v>8</v>
      </c>
      <c r="M105">
        <v>6</v>
      </c>
      <c r="N105">
        <v>7</v>
      </c>
      <c r="O105">
        <v>6</v>
      </c>
      <c r="P105">
        <v>6</v>
      </c>
      <c r="Q105">
        <v>7</v>
      </c>
    </row>
    <row r="106" spans="1:17" x14ac:dyDescent="0.45">
      <c r="A106" s="19">
        <v>46020.347916666666</v>
      </c>
      <c r="B106" t="s">
        <v>78</v>
      </c>
      <c r="C106" t="s">
        <v>81</v>
      </c>
      <c r="D106" t="s">
        <v>74</v>
      </c>
      <c r="E106" t="s">
        <v>77</v>
      </c>
      <c r="F106" t="s">
        <v>100</v>
      </c>
      <c r="G106" t="s">
        <v>104</v>
      </c>
      <c r="H106" t="s">
        <v>102</v>
      </c>
      <c r="I106">
        <v>9</v>
      </c>
      <c r="J106">
        <v>10</v>
      </c>
      <c r="K106">
        <v>8</v>
      </c>
      <c r="L106">
        <v>8</v>
      </c>
      <c r="M106">
        <v>9</v>
      </c>
      <c r="N106">
        <v>9</v>
      </c>
      <c r="O106">
        <v>8</v>
      </c>
      <c r="P106">
        <v>6</v>
      </c>
      <c r="Q106">
        <v>9</v>
      </c>
    </row>
    <row r="107" spans="1:17" x14ac:dyDescent="0.45">
      <c r="A107" s="19">
        <v>46020.356249999997</v>
      </c>
      <c r="B107" t="s">
        <v>72</v>
      </c>
      <c r="C107" t="s">
        <v>81</v>
      </c>
      <c r="D107" t="s">
        <v>74</v>
      </c>
      <c r="E107" t="s">
        <v>77</v>
      </c>
      <c r="F107" t="s">
        <v>100</v>
      </c>
      <c r="G107" t="s">
        <v>195</v>
      </c>
      <c r="H107" t="s">
        <v>110</v>
      </c>
      <c r="I107">
        <v>10</v>
      </c>
      <c r="J107">
        <v>5</v>
      </c>
      <c r="K107">
        <v>8</v>
      </c>
      <c r="L107">
        <v>8</v>
      </c>
      <c r="M107">
        <v>10</v>
      </c>
      <c r="N107">
        <v>10</v>
      </c>
      <c r="O107">
        <v>10</v>
      </c>
      <c r="P107">
        <v>10</v>
      </c>
      <c r="Q107">
        <v>10</v>
      </c>
    </row>
    <row r="108" spans="1:17" x14ac:dyDescent="0.45">
      <c r="A108" s="19">
        <v>46020.36041666667</v>
      </c>
      <c r="B108" t="s">
        <v>72</v>
      </c>
      <c r="C108" t="s">
        <v>79</v>
      </c>
      <c r="D108" t="s">
        <v>74</v>
      </c>
      <c r="E108" t="s">
        <v>77</v>
      </c>
      <c r="F108" t="s">
        <v>100</v>
      </c>
      <c r="G108" t="s">
        <v>101</v>
      </c>
      <c r="H108" t="s">
        <v>102</v>
      </c>
      <c r="I108">
        <v>7</v>
      </c>
      <c r="J108">
        <v>7</v>
      </c>
      <c r="K108">
        <v>7</v>
      </c>
      <c r="L108">
        <v>7</v>
      </c>
      <c r="M108">
        <v>7</v>
      </c>
      <c r="N108">
        <v>7</v>
      </c>
      <c r="O108">
        <v>7</v>
      </c>
      <c r="P108">
        <v>7</v>
      </c>
      <c r="Q108">
        <v>8</v>
      </c>
    </row>
    <row r="109" spans="1:17" x14ac:dyDescent="0.45">
      <c r="A109" s="19">
        <v>46020.369444444441</v>
      </c>
      <c r="B109" t="s">
        <v>72</v>
      </c>
      <c r="C109" t="s">
        <v>79</v>
      </c>
      <c r="D109" t="s">
        <v>74</v>
      </c>
      <c r="E109" t="s">
        <v>77</v>
      </c>
      <c r="F109" t="s">
        <v>100</v>
      </c>
      <c r="G109" t="s">
        <v>104</v>
      </c>
      <c r="H109" t="s">
        <v>102</v>
      </c>
      <c r="I109">
        <v>5</v>
      </c>
      <c r="J109">
        <v>10</v>
      </c>
      <c r="K109">
        <v>5</v>
      </c>
      <c r="L109">
        <v>5</v>
      </c>
      <c r="M109">
        <v>5</v>
      </c>
      <c r="N109">
        <v>5</v>
      </c>
      <c r="O109">
        <v>8</v>
      </c>
      <c r="P109">
        <v>5</v>
      </c>
      <c r="Q109">
        <v>6</v>
      </c>
    </row>
    <row r="110" spans="1:17" x14ac:dyDescent="0.45">
      <c r="A110" s="19">
        <v>46020.377083333333</v>
      </c>
      <c r="B110" t="s">
        <v>72</v>
      </c>
      <c r="C110" t="s">
        <v>79</v>
      </c>
      <c r="D110" t="s">
        <v>74</v>
      </c>
      <c r="E110" t="s">
        <v>77</v>
      </c>
      <c r="F110" t="s">
        <v>100</v>
      </c>
      <c r="G110" t="s">
        <v>104</v>
      </c>
      <c r="H110" t="s">
        <v>102</v>
      </c>
      <c r="I110">
        <v>10</v>
      </c>
      <c r="J110">
        <v>10</v>
      </c>
      <c r="K110">
        <v>10</v>
      </c>
      <c r="L110">
        <v>10</v>
      </c>
      <c r="M110">
        <v>10</v>
      </c>
      <c r="N110">
        <v>10</v>
      </c>
      <c r="O110">
        <v>10</v>
      </c>
      <c r="P110">
        <v>10</v>
      </c>
      <c r="Q110">
        <v>10</v>
      </c>
    </row>
    <row r="111" spans="1:17" x14ac:dyDescent="0.45">
      <c r="A111" s="19">
        <v>46020.381944444445</v>
      </c>
      <c r="B111" t="s">
        <v>78</v>
      </c>
      <c r="C111" t="s">
        <v>73</v>
      </c>
      <c r="D111" t="s">
        <v>74</v>
      </c>
      <c r="E111" t="s">
        <v>77</v>
      </c>
      <c r="F111" t="s">
        <v>100</v>
      </c>
      <c r="G111" t="s">
        <v>111</v>
      </c>
      <c r="H111" t="s">
        <v>105</v>
      </c>
      <c r="I111">
        <v>7</v>
      </c>
      <c r="J111">
        <v>6</v>
      </c>
      <c r="K111">
        <v>8</v>
      </c>
      <c r="L111">
        <v>8</v>
      </c>
      <c r="M111">
        <v>7</v>
      </c>
      <c r="N111">
        <v>6</v>
      </c>
      <c r="O111">
        <v>5</v>
      </c>
      <c r="P111">
        <v>5</v>
      </c>
      <c r="Q111">
        <v>8</v>
      </c>
    </row>
    <row r="112" spans="1:17" x14ac:dyDescent="0.45">
      <c r="A112" s="19">
        <v>46020.398611111108</v>
      </c>
      <c r="B112" t="s">
        <v>78</v>
      </c>
      <c r="C112" t="s">
        <v>192</v>
      </c>
      <c r="D112" t="s">
        <v>74</v>
      </c>
      <c r="E112" t="s">
        <v>77</v>
      </c>
      <c r="F112" t="s">
        <v>100</v>
      </c>
      <c r="G112" t="s">
        <v>101</v>
      </c>
      <c r="H112" t="s">
        <v>102</v>
      </c>
      <c r="I112">
        <v>8</v>
      </c>
      <c r="J112">
        <v>8</v>
      </c>
      <c r="K112">
        <v>6</v>
      </c>
      <c r="L112">
        <v>7</v>
      </c>
      <c r="M112">
        <v>6</v>
      </c>
      <c r="N112">
        <v>7</v>
      </c>
      <c r="O112">
        <v>5</v>
      </c>
      <c r="P112">
        <v>5</v>
      </c>
      <c r="Q112">
        <v>5</v>
      </c>
    </row>
    <row r="113" spans="1:17" x14ac:dyDescent="0.45">
      <c r="A113" s="19">
        <v>46020.4</v>
      </c>
      <c r="B113" t="s">
        <v>72</v>
      </c>
      <c r="C113" t="s">
        <v>79</v>
      </c>
      <c r="D113" t="s">
        <v>74</v>
      </c>
      <c r="E113" t="s">
        <v>77</v>
      </c>
      <c r="F113" t="s">
        <v>100</v>
      </c>
      <c r="G113" t="s">
        <v>197</v>
      </c>
      <c r="H113" t="s">
        <v>105</v>
      </c>
      <c r="I113">
        <v>7</v>
      </c>
      <c r="J113">
        <v>8</v>
      </c>
      <c r="K113">
        <v>8</v>
      </c>
      <c r="L113">
        <v>8</v>
      </c>
      <c r="M113">
        <v>8</v>
      </c>
      <c r="N113">
        <v>8</v>
      </c>
      <c r="O113">
        <v>8</v>
      </c>
      <c r="P113">
        <v>8</v>
      </c>
      <c r="Q113">
        <v>8</v>
      </c>
    </row>
    <row r="114" spans="1:17" x14ac:dyDescent="0.45">
      <c r="A114" s="19">
        <v>46020.409722222219</v>
      </c>
      <c r="B114" t="s">
        <v>72</v>
      </c>
      <c r="C114" t="s">
        <v>73</v>
      </c>
      <c r="D114" t="s">
        <v>74</v>
      </c>
      <c r="E114" t="s">
        <v>77</v>
      </c>
      <c r="F114" t="s">
        <v>100</v>
      </c>
      <c r="G114" t="s">
        <v>195</v>
      </c>
      <c r="H114" t="s">
        <v>106</v>
      </c>
      <c r="I114">
        <v>1</v>
      </c>
      <c r="J114">
        <v>1</v>
      </c>
      <c r="K114">
        <v>1</v>
      </c>
      <c r="L114">
        <v>1</v>
      </c>
      <c r="M114">
        <v>1</v>
      </c>
      <c r="N114">
        <v>1</v>
      </c>
      <c r="O114">
        <v>1</v>
      </c>
      <c r="P114">
        <v>1</v>
      </c>
      <c r="Q114">
        <v>1</v>
      </c>
    </row>
    <row r="115" spans="1:17" x14ac:dyDescent="0.45">
      <c r="A115" s="19">
        <v>46020.418749999997</v>
      </c>
      <c r="B115" t="s">
        <v>72</v>
      </c>
      <c r="C115" t="s">
        <v>79</v>
      </c>
      <c r="D115" t="s">
        <v>74</v>
      </c>
      <c r="E115" t="s">
        <v>77</v>
      </c>
      <c r="F115" t="s">
        <v>100</v>
      </c>
      <c r="G115" t="s">
        <v>197</v>
      </c>
      <c r="H115" t="s">
        <v>196</v>
      </c>
      <c r="I115">
        <v>10</v>
      </c>
      <c r="J115">
        <v>10</v>
      </c>
      <c r="K115">
        <v>10</v>
      </c>
      <c r="L115">
        <v>10</v>
      </c>
      <c r="M115">
        <v>10</v>
      </c>
      <c r="N115">
        <v>10</v>
      </c>
      <c r="O115">
        <v>10</v>
      </c>
      <c r="P115">
        <v>10</v>
      </c>
      <c r="Q115">
        <v>10</v>
      </c>
    </row>
    <row r="116" spans="1:17" x14ac:dyDescent="0.45">
      <c r="A116" s="19">
        <v>46020.420138888891</v>
      </c>
      <c r="B116" t="s">
        <v>72</v>
      </c>
      <c r="C116" t="s">
        <v>79</v>
      </c>
      <c r="D116" t="s">
        <v>74</v>
      </c>
      <c r="E116" t="s">
        <v>75</v>
      </c>
      <c r="F116" t="s">
        <v>100</v>
      </c>
      <c r="G116" t="s">
        <v>104</v>
      </c>
      <c r="H116" t="s">
        <v>196</v>
      </c>
      <c r="I116">
        <v>1</v>
      </c>
      <c r="J116">
        <v>1</v>
      </c>
      <c r="K116">
        <v>1</v>
      </c>
      <c r="L116">
        <v>1</v>
      </c>
      <c r="M116">
        <v>1</v>
      </c>
      <c r="N116">
        <v>1</v>
      </c>
      <c r="O116">
        <v>1</v>
      </c>
      <c r="P116">
        <v>1</v>
      </c>
      <c r="Q116">
        <v>1</v>
      </c>
    </row>
    <row r="117" spans="1:17" x14ac:dyDescent="0.45">
      <c r="A117" s="19">
        <v>46020.493055555555</v>
      </c>
      <c r="B117" t="s">
        <v>72</v>
      </c>
      <c r="C117" t="s">
        <v>79</v>
      </c>
      <c r="D117" t="s">
        <v>74</v>
      </c>
      <c r="E117" t="s">
        <v>75</v>
      </c>
      <c r="F117" t="s">
        <v>100</v>
      </c>
      <c r="G117" t="s">
        <v>104</v>
      </c>
      <c r="H117" t="s">
        <v>110</v>
      </c>
      <c r="I117">
        <v>9</v>
      </c>
      <c r="J117">
        <v>9</v>
      </c>
      <c r="K117">
        <v>9</v>
      </c>
      <c r="L117">
        <v>9</v>
      </c>
      <c r="M117">
        <v>9</v>
      </c>
      <c r="N117">
        <v>9</v>
      </c>
      <c r="O117">
        <v>9</v>
      </c>
      <c r="P117">
        <v>8</v>
      </c>
      <c r="Q117">
        <v>9</v>
      </c>
    </row>
    <row r="118" spans="1:17" x14ac:dyDescent="0.45">
      <c r="A118" s="19">
        <v>46020.506944444445</v>
      </c>
      <c r="B118" t="s">
        <v>72</v>
      </c>
      <c r="C118" t="s">
        <v>79</v>
      </c>
      <c r="D118" t="s">
        <v>74</v>
      </c>
      <c r="E118" t="s">
        <v>77</v>
      </c>
      <c r="F118" t="s">
        <v>100</v>
      </c>
      <c r="G118" t="s">
        <v>111</v>
      </c>
      <c r="H118" t="s">
        <v>110</v>
      </c>
      <c r="I118">
        <v>8</v>
      </c>
      <c r="J118">
        <v>9</v>
      </c>
      <c r="K118">
        <v>8</v>
      </c>
      <c r="L118">
        <v>6</v>
      </c>
      <c r="M118">
        <v>8</v>
      </c>
      <c r="N118">
        <v>8</v>
      </c>
      <c r="O118">
        <v>8</v>
      </c>
      <c r="P118">
        <v>8</v>
      </c>
      <c r="Q118">
        <v>6</v>
      </c>
    </row>
    <row r="119" spans="1:17" x14ac:dyDescent="0.45">
      <c r="A119" s="19">
        <v>46020.542361111111</v>
      </c>
      <c r="B119" t="s">
        <v>78</v>
      </c>
      <c r="C119" t="s">
        <v>73</v>
      </c>
      <c r="D119" t="s">
        <v>74</v>
      </c>
      <c r="E119" t="s">
        <v>75</v>
      </c>
      <c r="F119" t="s">
        <v>100</v>
      </c>
      <c r="G119" t="s">
        <v>109</v>
      </c>
      <c r="H119" t="s">
        <v>102</v>
      </c>
      <c r="I119">
        <v>4</v>
      </c>
      <c r="J119">
        <v>1</v>
      </c>
      <c r="K119">
        <v>1</v>
      </c>
      <c r="L119">
        <v>5</v>
      </c>
      <c r="M119">
        <v>1</v>
      </c>
      <c r="N119">
        <v>3</v>
      </c>
      <c r="O119">
        <v>1</v>
      </c>
      <c r="P119">
        <v>1</v>
      </c>
      <c r="Q119">
        <v>5</v>
      </c>
    </row>
    <row r="120" spans="1:17" x14ac:dyDescent="0.45">
      <c r="A120" s="19">
        <v>46020.543055555558</v>
      </c>
      <c r="B120" t="s">
        <v>72</v>
      </c>
      <c r="C120" t="s">
        <v>194</v>
      </c>
      <c r="D120" t="s">
        <v>74</v>
      </c>
      <c r="E120" t="s">
        <v>77</v>
      </c>
      <c r="F120" t="s">
        <v>100</v>
      </c>
      <c r="G120" t="s">
        <v>111</v>
      </c>
      <c r="H120" t="s">
        <v>196</v>
      </c>
      <c r="I120">
        <v>8</v>
      </c>
      <c r="J120">
        <v>8</v>
      </c>
      <c r="K120">
        <v>6</v>
      </c>
      <c r="L120">
        <v>9</v>
      </c>
      <c r="M120">
        <v>8</v>
      </c>
      <c r="N120">
        <v>7</v>
      </c>
      <c r="O120">
        <v>7</v>
      </c>
      <c r="P120">
        <v>7</v>
      </c>
      <c r="Q120">
        <v>7</v>
      </c>
    </row>
    <row r="121" spans="1:17" x14ac:dyDescent="0.45">
      <c r="A121" s="19">
        <v>46020.543749999997</v>
      </c>
      <c r="B121" t="s">
        <v>72</v>
      </c>
      <c r="C121" t="s">
        <v>79</v>
      </c>
      <c r="D121" t="s">
        <v>80</v>
      </c>
      <c r="E121" t="s">
        <v>77</v>
      </c>
      <c r="F121" t="s">
        <v>100</v>
      </c>
      <c r="G121" t="s">
        <v>101</v>
      </c>
      <c r="H121" t="s">
        <v>106</v>
      </c>
      <c r="I121">
        <v>6</v>
      </c>
      <c r="J121">
        <v>6</v>
      </c>
      <c r="K121">
        <v>6</v>
      </c>
      <c r="L121">
        <v>6</v>
      </c>
      <c r="M121">
        <v>6</v>
      </c>
      <c r="N121">
        <v>6</v>
      </c>
      <c r="O121">
        <v>6</v>
      </c>
      <c r="P121">
        <v>6</v>
      </c>
      <c r="Q121">
        <v>6</v>
      </c>
    </row>
    <row r="122" spans="1:17" x14ac:dyDescent="0.45">
      <c r="A122" s="19">
        <v>46020.544444444444</v>
      </c>
      <c r="B122" t="s">
        <v>78</v>
      </c>
      <c r="C122" t="s">
        <v>192</v>
      </c>
      <c r="D122" t="s">
        <v>74</v>
      </c>
      <c r="E122" t="s">
        <v>75</v>
      </c>
      <c r="F122" t="s">
        <v>103</v>
      </c>
      <c r="G122" t="s">
        <v>108</v>
      </c>
      <c r="H122" t="s">
        <v>196</v>
      </c>
      <c r="I122">
        <v>1</v>
      </c>
      <c r="J122">
        <v>1</v>
      </c>
      <c r="K122">
        <v>1</v>
      </c>
      <c r="L122">
        <v>5</v>
      </c>
      <c r="M122">
        <v>1</v>
      </c>
      <c r="N122">
        <v>1</v>
      </c>
      <c r="O122">
        <v>1</v>
      </c>
      <c r="P122">
        <v>1</v>
      </c>
      <c r="Q122">
        <v>5</v>
      </c>
    </row>
    <row r="123" spans="1:17" x14ac:dyDescent="0.45">
      <c r="A123" s="19">
        <v>46020.545138888891</v>
      </c>
      <c r="B123" t="s">
        <v>78</v>
      </c>
      <c r="C123" t="s">
        <v>79</v>
      </c>
      <c r="D123" t="s">
        <v>74</v>
      </c>
      <c r="E123" t="s">
        <v>77</v>
      </c>
      <c r="F123" t="s">
        <v>100</v>
      </c>
      <c r="G123" t="s">
        <v>108</v>
      </c>
      <c r="H123" t="s">
        <v>110</v>
      </c>
      <c r="I123">
        <v>4</v>
      </c>
      <c r="J123">
        <v>4</v>
      </c>
      <c r="K123">
        <v>2</v>
      </c>
      <c r="L123">
        <v>5</v>
      </c>
      <c r="M123">
        <v>1</v>
      </c>
      <c r="N123">
        <v>1</v>
      </c>
      <c r="O123">
        <v>1</v>
      </c>
      <c r="P123">
        <v>4</v>
      </c>
      <c r="Q123">
        <v>4</v>
      </c>
    </row>
    <row r="124" spans="1:17" x14ac:dyDescent="0.45">
      <c r="A124" s="19">
        <v>46020.54583333333</v>
      </c>
      <c r="B124" t="s">
        <v>72</v>
      </c>
      <c r="C124" t="s">
        <v>189</v>
      </c>
      <c r="D124" t="s">
        <v>74</v>
      </c>
      <c r="E124" t="s">
        <v>77</v>
      </c>
      <c r="F124" t="s">
        <v>100</v>
      </c>
      <c r="G124" t="s">
        <v>195</v>
      </c>
      <c r="H124" t="s">
        <v>110</v>
      </c>
      <c r="I124">
        <v>7</v>
      </c>
      <c r="J124">
        <v>7</v>
      </c>
      <c r="K124">
        <v>7</v>
      </c>
      <c r="L124">
        <v>7</v>
      </c>
      <c r="M124">
        <v>7</v>
      </c>
      <c r="N124">
        <v>7</v>
      </c>
      <c r="O124">
        <v>7</v>
      </c>
      <c r="P124">
        <v>7</v>
      </c>
      <c r="Q124">
        <v>8</v>
      </c>
    </row>
    <row r="125" spans="1:17" x14ac:dyDescent="0.45">
      <c r="A125" s="19">
        <v>46020.589583333334</v>
      </c>
      <c r="B125" t="s">
        <v>72</v>
      </c>
      <c r="C125" t="s">
        <v>192</v>
      </c>
      <c r="D125" t="s">
        <v>74</v>
      </c>
      <c r="E125" t="s">
        <v>75</v>
      </c>
      <c r="F125" t="s">
        <v>100</v>
      </c>
      <c r="G125" t="s">
        <v>109</v>
      </c>
      <c r="H125" t="s">
        <v>102</v>
      </c>
      <c r="I125">
        <v>10</v>
      </c>
      <c r="J125">
        <v>9</v>
      </c>
      <c r="K125">
        <v>10</v>
      </c>
      <c r="L125">
        <v>10</v>
      </c>
      <c r="M125">
        <v>10</v>
      </c>
      <c r="N125">
        <v>8</v>
      </c>
      <c r="O125">
        <v>9</v>
      </c>
      <c r="P125">
        <v>9</v>
      </c>
      <c r="Q125">
        <v>9</v>
      </c>
    </row>
    <row r="126" spans="1:17" x14ac:dyDescent="0.45">
      <c r="A126" s="19">
        <v>46020.590277777781</v>
      </c>
      <c r="B126" t="s">
        <v>72</v>
      </c>
      <c r="C126" t="s">
        <v>189</v>
      </c>
      <c r="D126" t="s">
        <v>74</v>
      </c>
      <c r="E126" t="s">
        <v>77</v>
      </c>
      <c r="F126" t="s">
        <v>100</v>
      </c>
      <c r="G126" t="s">
        <v>104</v>
      </c>
      <c r="H126" t="s">
        <v>105</v>
      </c>
      <c r="I126">
        <v>10</v>
      </c>
      <c r="J126">
        <v>10</v>
      </c>
      <c r="K126">
        <v>10</v>
      </c>
      <c r="L126">
        <v>10</v>
      </c>
      <c r="M126">
        <v>10</v>
      </c>
      <c r="N126">
        <v>10</v>
      </c>
      <c r="O126">
        <v>10</v>
      </c>
      <c r="P126">
        <v>10</v>
      </c>
      <c r="Q126">
        <v>10</v>
      </c>
    </row>
    <row r="127" spans="1:17" x14ac:dyDescent="0.45">
      <c r="A127" s="19">
        <v>46020.601388888892</v>
      </c>
      <c r="B127" t="s">
        <v>78</v>
      </c>
      <c r="C127" t="s">
        <v>81</v>
      </c>
      <c r="D127" t="s">
        <v>74</v>
      </c>
      <c r="E127" t="s">
        <v>77</v>
      </c>
      <c r="F127" t="s">
        <v>100</v>
      </c>
      <c r="G127" t="s">
        <v>101</v>
      </c>
      <c r="H127" t="s">
        <v>110</v>
      </c>
      <c r="I127">
        <v>8</v>
      </c>
      <c r="J127">
        <v>8</v>
      </c>
      <c r="K127">
        <v>5</v>
      </c>
      <c r="L127">
        <v>8</v>
      </c>
      <c r="M127">
        <v>8</v>
      </c>
      <c r="N127">
        <v>8</v>
      </c>
      <c r="O127">
        <v>7</v>
      </c>
      <c r="P127">
        <v>7</v>
      </c>
      <c r="Q127">
        <v>8</v>
      </c>
    </row>
    <row r="128" spans="1:17" x14ac:dyDescent="0.45">
      <c r="A128" s="19">
        <v>46020.602083333331</v>
      </c>
      <c r="B128" t="s">
        <v>72</v>
      </c>
      <c r="C128" t="s">
        <v>79</v>
      </c>
      <c r="D128" t="s">
        <v>74</v>
      </c>
      <c r="E128" t="s">
        <v>77</v>
      </c>
      <c r="F128" t="s">
        <v>100</v>
      </c>
      <c r="G128" t="s">
        <v>108</v>
      </c>
      <c r="H128" t="s">
        <v>196</v>
      </c>
      <c r="I128">
        <v>1</v>
      </c>
      <c r="J128">
        <v>1</v>
      </c>
      <c r="K128">
        <v>1</v>
      </c>
      <c r="L128">
        <v>5</v>
      </c>
      <c r="M128">
        <v>1</v>
      </c>
      <c r="N128">
        <v>1</v>
      </c>
      <c r="O128">
        <v>1</v>
      </c>
      <c r="P128">
        <v>5</v>
      </c>
      <c r="Q128">
        <v>5</v>
      </c>
    </row>
    <row r="129" spans="1:17" x14ac:dyDescent="0.45">
      <c r="A129" s="19">
        <v>46020.602777777778</v>
      </c>
      <c r="B129" t="s">
        <v>78</v>
      </c>
      <c r="C129" t="s">
        <v>192</v>
      </c>
      <c r="D129" t="s">
        <v>74</v>
      </c>
      <c r="E129" t="s">
        <v>77</v>
      </c>
      <c r="F129" t="s">
        <v>100</v>
      </c>
      <c r="G129" t="s">
        <v>108</v>
      </c>
      <c r="H129" t="s">
        <v>196</v>
      </c>
      <c r="I129">
        <v>6</v>
      </c>
      <c r="J129">
        <v>6</v>
      </c>
      <c r="K129">
        <v>6</v>
      </c>
      <c r="L129">
        <v>8</v>
      </c>
      <c r="M129">
        <v>6</v>
      </c>
      <c r="N129">
        <v>3</v>
      </c>
      <c r="O129">
        <v>5</v>
      </c>
      <c r="P129">
        <v>5</v>
      </c>
      <c r="Q129">
        <v>4</v>
      </c>
    </row>
    <row r="130" spans="1:17" x14ac:dyDescent="0.45">
      <c r="A130" s="19">
        <v>46020.603472222225</v>
      </c>
      <c r="B130" t="s">
        <v>78</v>
      </c>
      <c r="C130" t="s">
        <v>192</v>
      </c>
      <c r="D130" t="s">
        <v>74</v>
      </c>
      <c r="E130" t="s">
        <v>75</v>
      </c>
      <c r="F130" t="s">
        <v>100</v>
      </c>
      <c r="G130" t="s">
        <v>108</v>
      </c>
      <c r="H130" t="s">
        <v>106</v>
      </c>
      <c r="I130">
        <v>6</v>
      </c>
      <c r="J130">
        <v>6</v>
      </c>
      <c r="K130">
        <v>4</v>
      </c>
      <c r="L130">
        <v>5</v>
      </c>
      <c r="M130">
        <v>5</v>
      </c>
      <c r="N130">
        <v>1</v>
      </c>
      <c r="O130">
        <v>5</v>
      </c>
      <c r="P130">
        <v>4</v>
      </c>
      <c r="Q130">
        <v>5</v>
      </c>
    </row>
    <row r="131" spans="1:17" x14ac:dyDescent="0.45">
      <c r="A131" s="19">
        <v>46020.603472222225</v>
      </c>
      <c r="B131" t="s">
        <v>72</v>
      </c>
      <c r="C131" t="s">
        <v>194</v>
      </c>
      <c r="D131" t="s">
        <v>74</v>
      </c>
      <c r="E131" t="s">
        <v>75</v>
      </c>
      <c r="F131" t="s">
        <v>100</v>
      </c>
      <c r="G131" t="s">
        <v>107</v>
      </c>
      <c r="H131" t="s">
        <v>105</v>
      </c>
      <c r="I131">
        <v>5</v>
      </c>
      <c r="J131">
        <v>5</v>
      </c>
      <c r="K131">
        <v>1</v>
      </c>
      <c r="L131">
        <v>4</v>
      </c>
      <c r="M131">
        <v>2</v>
      </c>
      <c r="N131">
        <v>1</v>
      </c>
      <c r="O131">
        <v>1</v>
      </c>
      <c r="P131">
        <v>1</v>
      </c>
      <c r="Q131">
        <v>5</v>
      </c>
    </row>
    <row r="132" spans="1:17" x14ac:dyDescent="0.45">
      <c r="A132" s="19">
        <v>46020.604861111111</v>
      </c>
      <c r="B132" t="s">
        <v>72</v>
      </c>
      <c r="C132" t="s">
        <v>73</v>
      </c>
      <c r="D132" t="s">
        <v>74</v>
      </c>
      <c r="E132" t="s">
        <v>75</v>
      </c>
      <c r="F132" t="s">
        <v>100</v>
      </c>
      <c r="G132" t="s">
        <v>107</v>
      </c>
      <c r="H132" t="s">
        <v>102</v>
      </c>
      <c r="I132">
        <v>8</v>
      </c>
      <c r="J132">
        <v>9</v>
      </c>
      <c r="K132">
        <v>5</v>
      </c>
      <c r="L132">
        <v>5</v>
      </c>
      <c r="M132">
        <v>5</v>
      </c>
      <c r="N132">
        <v>4</v>
      </c>
      <c r="O132">
        <v>5</v>
      </c>
      <c r="P132">
        <v>5</v>
      </c>
      <c r="Q132">
        <v>5</v>
      </c>
    </row>
    <row r="133" spans="1:17" x14ac:dyDescent="0.45">
      <c r="A133" s="19">
        <v>46020.604861111111</v>
      </c>
      <c r="B133" t="s">
        <v>78</v>
      </c>
      <c r="C133" t="s">
        <v>189</v>
      </c>
      <c r="D133" t="s">
        <v>74</v>
      </c>
      <c r="E133" t="s">
        <v>77</v>
      </c>
      <c r="F133" t="s">
        <v>100</v>
      </c>
      <c r="G133" t="s">
        <v>104</v>
      </c>
      <c r="H133" t="s">
        <v>110</v>
      </c>
      <c r="I133">
        <v>9</v>
      </c>
      <c r="J133">
        <v>9</v>
      </c>
      <c r="K133">
        <v>9</v>
      </c>
      <c r="L133">
        <v>9</v>
      </c>
      <c r="M133">
        <v>7</v>
      </c>
      <c r="N133">
        <v>10</v>
      </c>
      <c r="O133">
        <v>5</v>
      </c>
      <c r="P133">
        <v>5</v>
      </c>
      <c r="Q133">
        <v>9</v>
      </c>
    </row>
    <row r="134" spans="1:17" x14ac:dyDescent="0.45">
      <c r="A134" s="19">
        <v>46020.605555555558</v>
      </c>
      <c r="B134" t="s">
        <v>78</v>
      </c>
      <c r="C134" t="s">
        <v>81</v>
      </c>
      <c r="D134" t="s">
        <v>74</v>
      </c>
      <c r="E134" t="s">
        <v>191</v>
      </c>
      <c r="F134" t="s">
        <v>100</v>
      </c>
      <c r="G134" t="s">
        <v>109</v>
      </c>
      <c r="H134" t="s">
        <v>110</v>
      </c>
      <c r="I134">
        <v>5</v>
      </c>
      <c r="J134">
        <v>5</v>
      </c>
      <c r="K134">
        <v>5</v>
      </c>
      <c r="L134">
        <v>5</v>
      </c>
      <c r="M134">
        <v>5</v>
      </c>
      <c r="N134">
        <v>5</v>
      </c>
      <c r="O134">
        <v>5</v>
      </c>
      <c r="P134">
        <v>5</v>
      </c>
      <c r="Q134">
        <v>5</v>
      </c>
    </row>
    <row r="135" spans="1:17" x14ac:dyDescent="0.45">
      <c r="A135" s="19">
        <v>46020.606249999997</v>
      </c>
      <c r="B135" t="s">
        <v>72</v>
      </c>
      <c r="C135" t="s">
        <v>189</v>
      </c>
      <c r="D135" t="s">
        <v>74</v>
      </c>
      <c r="E135" t="s">
        <v>77</v>
      </c>
      <c r="F135" t="s">
        <v>100</v>
      </c>
      <c r="G135" t="s">
        <v>197</v>
      </c>
      <c r="H135" t="s">
        <v>110</v>
      </c>
      <c r="I135">
        <v>9</v>
      </c>
      <c r="J135">
        <v>9</v>
      </c>
      <c r="K135">
        <v>5</v>
      </c>
      <c r="L135">
        <v>9</v>
      </c>
      <c r="M135">
        <v>8</v>
      </c>
      <c r="N135">
        <v>10</v>
      </c>
      <c r="O135">
        <v>5</v>
      </c>
      <c r="P135">
        <v>5</v>
      </c>
      <c r="Q135">
        <v>7</v>
      </c>
    </row>
    <row r="136" spans="1:17" x14ac:dyDescent="0.45">
      <c r="A136" s="19">
        <v>46020.609027777777</v>
      </c>
      <c r="B136" t="s">
        <v>78</v>
      </c>
      <c r="C136" t="s">
        <v>189</v>
      </c>
      <c r="D136" t="s">
        <v>74</v>
      </c>
      <c r="E136" t="s">
        <v>77</v>
      </c>
      <c r="F136" t="s">
        <v>100</v>
      </c>
      <c r="G136" t="s">
        <v>104</v>
      </c>
      <c r="H136" t="s">
        <v>110</v>
      </c>
      <c r="I136">
        <v>5</v>
      </c>
      <c r="J136">
        <v>5</v>
      </c>
      <c r="K136">
        <v>5</v>
      </c>
      <c r="L136">
        <v>6</v>
      </c>
      <c r="M136">
        <v>6</v>
      </c>
      <c r="N136">
        <v>6</v>
      </c>
      <c r="O136">
        <v>6</v>
      </c>
      <c r="P136">
        <v>6</v>
      </c>
      <c r="Q136">
        <v>6</v>
      </c>
    </row>
    <row r="137" spans="1:17" x14ac:dyDescent="0.45">
      <c r="A137" s="19">
        <v>46020.613194444442</v>
      </c>
      <c r="B137" t="s">
        <v>72</v>
      </c>
      <c r="C137" t="s">
        <v>194</v>
      </c>
      <c r="D137" t="s">
        <v>74</v>
      </c>
      <c r="E137" t="s">
        <v>77</v>
      </c>
      <c r="F137" t="s">
        <v>198</v>
      </c>
      <c r="G137" t="s">
        <v>195</v>
      </c>
      <c r="H137" t="s">
        <v>110</v>
      </c>
      <c r="I137">
        <v>8</v>
      </c>
      <c r="J137">
        <v>8</v>
      </c>
      <c r="K137">
        <v>8</v>
      </c>
      <c r="L137">
        <v>8</v>
      </c>
      <c r="M137">
        <v>10</v>
      </c>
      <c r="N137">
        <v>10</v>
      </c>
      <c r="O137">
        <v>10</v>
      </c>
      <c r="P137">
        <v>10</v>
      </c>
      <c r="Q137">
        <v>10</v>
      </c>
    </row>
    <row r="138" spans="1:17" x14ac:dyDescent="0.45">
      <c r="A138" s="19">
        <v>46020.637499999997</v>
      </c>
      <c r="B138" t="s">
        <v>78</v>
      </c>
      <c r="C138" t="s">
        <v>192</v>
      </c>
      <c r="D138" t="s">
        <v>74</v>
      </c>
      <c r="E138" t="s">
        <v>77</v>
      </c>
      <c r="F138" t="s">
        <v>100</v>
      </c>
      <c r="G138" t="s">
        <v>108</v>
      </c>
      <c r="H138" t="s">
        <v>196</v>
      </c>
      <c r="I138">
        <v>8</v>
      </c>
      <c r="J138">
        <v>8</v>
      </c>
      <c r="K138">
        <v>8</v>
      </c>
      <c r="L138">
        <v>8</v>
      </c>
      <c r="M138">
        <v>8</v>
      </c>
      <c r="N138">
        <v>8</v>
      </c>
      <c r="O138">
        <v>5</v>
      </c>
      <c r="P138">
        <v>7</v>
      </c>
      <c r="Q138">
        <v>8</v>
      </c>
    </row>
    <row r="139" spans="1:17" x14ac:dyDescent="0.45">
      <c r="A139" s="19">
        <v>46020.640972222223</v>
      </c>
      <c r="B139" t="s">
        <v>72</v>
      </c>
      <c r="C139" t="s">
        <v>81</v>
      </c>
      <c r="D139" t="s">
        <v>74</v>
      </c>
      <c r="E139" t="s">
        <v>75</v>
      </c>
      <c r="F139" t="s">
        <v>100</v>
      </c>
      <c r="G139" t="s">
        <v>104</v>
      </c>
      <c r="H139" t="s">
        <v>110</v>
      </c>
      <c r="I139">
        <v>8</v>
      </c>
      <c r="J139">
        <v>9</v>
      </c>
      <c r="K139">
        <v>7</v>
      </c>
      <c r="L139">
        <v>7</v>
      </c>
      <c r="M139">
        <v>6</v>
      </c>
      <c r="N139">
        <v>6</v>
      </c>
      <c r="O139">
        <v>2</v>
      </c>
      <c r="P139">
        <v>5</v>
      </c>
      <c r="Q139">
        <v>6</v>
      </c>
    </row>
    <row r="140" spans="1:17" x14ac:dyDescent="0.45">
      <c r="A140" s="19">
        <v>46020.852083333331</v>
      </c>
      <c r="B140" t="s">
        <v>72</v>
      </c>
      <c r="C140" t="s">
        <v>79</v>
      </c>
      <c r="D140" t="s">
        <v>74</v>
      </c>
      <c r="E140" t="s">
        <v>75</v>
      </c>
      <c r="F140" t="s">
        <v>100</v>
      </c>
      <c r="G140" t="s">
        <v>108</v>
      </c>
      <c r="H140" t="s">
        <v>105</v>
      </c>
      <c r="I140">
        <v>5</v>
      </c>
      <c r="J140">
        <v>4</v>
      </c>
      <c r="K140">
        <v>7</v>
      </c>
      <c r="L140">
        <v>6</v>
      </c>
      <c r="M140">
        <v>3</v>
      </c>
      <c r="N140">
        <v>4</v>
      </c>
      <c r="O140">
        <v>4</v>
      </c>
      <c r="P140">
        <v>5</v>
      </c>
      <c r="Q140">
        <v>5</v>
      </c>
    </row>
    <row r="141" spans="1:17" x14ac:dyDescent="0.45">
      <c r="A141" s="19">
        <v>46020.888888888891</v>
      </c>
      <c r="B141" t="s">
        <v>72</v>
      </c>
      <c r="C141" t="s">
        <v>73</v>
      </c>
      <c r="D141" t="s">
        <v>74</v>
      </c>
      <c r="E141" t="s">
        <v>77</v>
      </c>
      <c r="F141" t="s">
        <v>100</v>
      </c>
      <c r="G141" t="s">
        <v>101</v>
      </c>
      <c r="H141" t="s">
        <v>102</v>
      </c>
      <c r="I141">
        <v>10</v>
      </c>
      <c r="J141">
        <v>9</v>
      </c>
      <c r="K141">
        <v>9</v>
      </c>
      <c r="L141">
        <v>9</v>
      </c>
      <c r="M141">
        <v>8</v>
      </c>
      <c r="N141">
        <v>8</v>
      </c>
      <c r="O141">
        <v>8</v>
      </c>
      <c r="P141">
        <v>8</v>
      </c>
      <c r="Q141">
        <v>10</v>
      </c>
    </row>
    <row r="142" spans="1:17" x14ac:dyDescent="0.45">
      <c r="A142" s="19">
        <v>46020.88958333333</v>
      </c>
      <c r="B142" t="s">
        <v>78</v>
      </c>
      <c r="C142" t="s">
        <v>73</v>
      </c>
      <c r="D142" t="s">
        <v>74</v>
      </c>
      <c r="E142" t="s">
        <v>77</v>
      </c>
      <c r="F142" t="s">
        <v>100</v>
      </c>
      <c r="G142" t="s">
        <v>101</v>
      </c>
      <c r="H142" t="s">
        <v>102</v>
      </c>
      <c r="I142">
        <v>8</v>
      </c>
      <c r="J142">
        <v>7</v>
      </c>
      <c r="K142">
        <v>6</v>
      </c>
      <c r="L142">
        <v>6</v>
      </c>
      <c r="M142">
        <v>5</v>
      </c>
      <c r="N142">
        <v>5</v>
      </c>
      <c r="O142">
        <v>3</v>
      </c>
      <c r="P142">
        <v>3</v>
      </c>
      <c r="Q142">
        <v>5</v>
      </c>
    </row>
    <row r="143" spans="1:17" x14ac:dyDescent="0.45">
      <c r="A143" s="19">
        <v>46021.341666666667</v>
      </c>
      <c r="B143" t="s">
        <v>78</v>
      </c>
      <c r="C143" t="s">
        <v>79</v>
      </c>
      <c r="D143" t="s">
        <v>74</v>
      </c>
      <c r="E143" t="s">
        <v>75</v>
      </c>
      <c r="F143" t="s">
        <v>100</v>
      </c>
      <c r="G143" t="s">
        <v>195</v>
      </c>
      <c r="H143" t="s">
        <v>102</v>
      </c>
      <c r="I143">
        <v>5</v>
      </c>
      <c r="J143">
        <v>6</v>
      </c>
      <c r="K143">
        <v>5</v>
      </c>
      <c r="L143">
        <v>7</v>
      </c>
      <c r="M143">
        <v>6</v>
      </c>
      <c r="N143">
        <v>6</v>
      </c>
      <c r="O143">
        <v>6</v>
      </c>
      <c r="P143">
        <v>7</v>
      </c>
      <c r="Q143">
        <v>7</v>
      </c>
    </row>
    <row r="144" spans="1:17" x14ac:dyDescent="0.45">
      <c r="A144" s="19">
        <v>46021.448611111111</v>
      </c>
      <c r="B144" t="s">
        <v>78</v>
      </c>
      <c r="C144" t="s">
        <v>73</v>
      </c>
      <c r="D144" t="s">
        <v>74</v>
      </c>
      <c r="E144" t="s">
        <v>75</v>
      </c>
      <c r="F144" t="s">
        <v>100</v>
      </c>
      <c r="G144" t="s">
        <v>108</v>
      </c>
      <c r="H144" t="s">
        <v>110</v>
      </c>
      <c r="I144">
        <v>1</v>
      </c>
      <c r="J144">
        <v>1</v>
      </c>
      <c r="K144">
        <v>8</v>
      </c>
      <c r="L144">
        <v>8</v>
      </c>
      <c r="M144">
        <v>8</v>
      </c>
      <c r="N144">
        <v>8</v>
      </c>
      <c r="O144">
        <v>8</v>
      </c>
      <c r="P144">
        <v>8</v>
      </c>
      <c r="Q144">
        <v>8</v>
      </c>
    </row>
    <row r="145" spans="1:17" x14ac:dyDescent="0.45">
      <c r="A145" s="19">
        <v>46021.449305555558</v>
      </c>
      <c r="B145" t="s">
        <v>72</v>
      </c>
      <c r="C145" t="s">
        <v>192</v>
      </c>
      <c r="D145" t="s">
        <v>74</v>
      </c>
      <c r="E145" t="s">
        <v>77</v>
      </c>
      <c r="F145" t="s">
        <v>100</v>
      </c>
      <c r="G145" t="s">
        <v>111</v>
      </c>
      <c r="H145" t="s">
        <v>105</v>
      </c>
      <c r="I145">
        <v>9</v>
      </c>
      <c r="J145">
        <v>9</v>
      </c>
      <c r="K145">
        <v>9</v>
      </c>
      <c r="L145">
        <v>9</v>
      </c>
      <c r="M145">
        <v>10</v>
      </c>
      <c r="N145">
        <v>5</v>
      </c>
      <c r="O145">
        <v>9</v>
      </c>
      <c r="P145">
        <v>9</v>
      </c>
      <c r="Q145">
        <v>10</v>
      </c>
    </row>
    <row r="146" spans="1:17" x14ac:dyDescent="0.45">
      <c r="A146" s="19">
        <v>46021.451388888891</v>
      </c>
      <c r="B146" t="s">
        <v>72</v>
      </c>
      <c r="C146" t="s">
        <v>79</v>
      </c>
      <c r="D146" t="s">
        <v>74</v>
      </c>
      <c r="E146" t="s">
        <v>77</v>
      </c>
      <c r="F146" t="s">
        <v>100</v>
      </c>
      <c r="G146" t="s">
        <v>111</v>
      </c>
      <c r="H146" t="s">
        <v>105</v>
      </c>
      <c r="I146">
        <v>10</v>
      </c>
      <c r="J146">
        <v>10</v>
      </c>
      <c r="K146">
        <v>9</v>
      </c>
      <c r="L146">
        <v>6</v>
      </c>
      <c r="M146">
        <v>6</v>
      </c>
      <c r="N146">
        <v>3</v>
      </c>
      <c r="O146">
        <v>5</v>
      </c>
      <c r="P146">
        <v>5</v>
      </c>
      <c r="Q146">
        <v>1</v>
      </c>
    </row>
    <row r="147" spans="1:17" x14ac:dyDescent="0.45">
      <c r="A147" s="19">
        <v>46021.45416666667</v>
      </c>
      <c r="B147" t="s">
        <v>72</v>
      </c>
      <c r="C147" t="s">
        <v>79</v>
      </c>
      <c r="D147" t="s">
        <v>74</v>
      </c>
      <c r="E147" t="s">
        <v>77</v>
      </c>
      <c r="F147" t="s">
        <v>100</v>
      </c>
      <c r="G147" t="s">
        <v>107</v>
      </c>
      <c r="H147" t="s">
        <v>106</v>
      </c>
      <c r="I147">
        <v>8</v>
      </c>
      <c r="J147">
        <v>8</v>
      </c>
      <c r="K147">
        <v>5</v>
      </c>
      <c r="L147">
        <v>5</v>
      </c>
      <c r="M147">
        <v>5</v>
      </c>
      <c r="N147">
        <v>3</v>
      </c>
      <c r="O147">
        <v>5</v>
      </c>
      <c r="P147">
        <v>5</v>
      </c>
      <c r="Q147">
        <v>5</v>
      </c>
    </row>
    <row r="148" spans="1:17" x14ac:dyDescent="0.45">
      <c r="A148" s="19">
        <v>46021.457638888889</v>
      </c>
      <c r="B148" t="s">
        <v>72</v>
      </c>
      <c r="C148" t="s">
        <v>194</v>
      </c>
      <c r="D148" t="s">
        <v>74</v>
      </c>
      <c r="E148" t="s">
        <v>75</v>
      </c>
      <c r="F148" t="s">
        <v>100</v>
      </c>
      <c r="G148" t="s">
        <v>108</v>
      </c>
      <c r="H148" t="s">
        <v>110</v>
      </c>
      <c r="I148">
        <v>7</v>
      </c>
      <c r="J148">
        <v>7</v>
      </c>
      <c r="K148">
        <v>1</v>
      </c>
      <c r="L148">
        <v>6</v>
      </c>
      <c r="M148">
        <v>3</v>
      </c>
      <c r="N148">
        <v>5</v>
      </c>
      <c r="O148">
        <v>1</v>
      </c>
      <c r="P148">
        <v>4</v>
      </c>
      <c r="Q148">
        <v>5</v>
      </c>
    </row>
    <row r="149" spans="1:17" x14ac:dyDescent="0.45">
      <c r="A149" s="19">
        <v>46021.461805555555</v>
      </c>
      <c r="B149" t="s">
        <v>78</v>
      </c>
      <c r="C149" t="s">
        <v>81</v>
      </c>
      <c r="D149" t="s">
        <v>74</v>
      </c>
      <c r="E149" t="s">
        <v>77</v>
      </c>
      <c r="F149" t="s">
        <v>100</v>
      </c>
      <c r="G149" t="s">
        <v>197</v>
      </c>
      <c r="H149" t="s">
        <v>110</v>
      </c>
      <c r="I149">
        <v>6</v>
      </c>
      <c r="J149">
        <v>6</v>
      </c>
      <c r="K149">
        <v>5</v>
      </c>
      <c r="L149">
        <v>7</v>
      </c>
      <c r="M149">
        <v>5</v>
      </c>
      <c r="N149">
        <v>7</v>
      </c>
      <c r="O149">
        <v>5</v>
      </c>
      <c r="P149">
        <v>6</v>
      </c>
      <c r="Q149">
        <v>7</v>
      </c>
    </row>
    <row r="150" spans="1:17" x14ac:dyDescent="0.45">
      <c r="A150" s="19">
        <v>46021.464583333334</v>
      </c>
      <c r="B150" t="s">
        <v>72</v>
      </c>
      <c r="C150" t="s">
        <v>79</v>
      </c>
      <c r="D150" t="s">
        <v>74</v>
      </c>
      <c r="E150" t="s">
        <v>77</v>
      </c>
      <c r="F150" t="s">
        <v>100</v>
      </c>
      <c r="G150" t="s">
        <v>108</v>
      </c>
      <c r="H150" t="s">
        <v>106</v>
      </c>
      <c r="I150">
        <v>10</v>
      </c>
      <c r="J150">
        <v>10</v>
      </c>
      <c r="K150">
        <v>7</v>
      </c>
      <c r="L150">
        <v>8</v>
      </c>
      <c r="M150">
        <v>8</v>
      </c>
      <c r="N150">
        <v>4</v>
      </c>
      <c r="O150">
        <v>1</v>
      </c>
      <c r="P150">
        <v>3</v>
      </c>
      <c r="Q150">
        <v>6</v>
      </c>
    </row>
    <row r="151" spans="1:17" x14ac:dyDescent="0.45">
      <c r="A151" s="19">
        <v>46021.474999999999</v>
      </c>
      <c r="B151" t="s">
        <v>72</v>
      </c>
      <c r="C151" t="s">
        <v>79</v>
      </c>
      <c r="D151" t="s">
        <v>74</v>
      </c>
      <c r="E151" t="s">
        <v>77</v>
      </c>
      <c r="F151" t="s">
        <v>100</v>
      </c>
      <c r="G151" t="s">
        <v>111</v>
      </c>
      <c r="H151" t="s">
        <v>105</v>
      </c>
      <c r="I151">
        <v>7</v>
      </c>
      <c r="J151">
        <v>10</v>
      </c>
      <c r="K151">
        <v>5</v>
      </c>
      <c r="L151">
        <v>7</v>
      </c>
      <c r="M151">
        <v>7</v>
      </c>
      <c r="N151">
        <v>7</v>
      </c>
      <c r="O151">
        <v>7</v>
      </c>
      <c r="P151">
        <v>7</v>
      </c>
      <c r="Q151">
        <v>10</v>
      </c>
    </row>
    <row r="152" spans="1:17" x14ac:dyDescent="0.45">
      <c r="A152" s="19">
        <v>46021.487500000003</v>
      </c>
      <c r="B152" t="s">
        <v>72</v>
      </c>
      <c r="C152" t="s">
        <v>73</v>
      </c>
      <c r="D152" t="s">
        <v>74</v>
      </c>
      <c r="E152" t="s">
        <v>77</v>
      </c>
      <c r="F152" t="s">
        <v>100</v>
      </c>
      <c r="G152" t="s">
        <v>107</v>
      </c>
      <c r="H152" t="s">
        <v>105</v>
      </c>
      <c r="I152">
        <v>8</v>
      </c>
      <c r="J152">
        <v>8</v>
      </c>
      <c r="K152">
        <v>8</v>
      </c>
      <c r="L152">
        <v>8</v>
      </c>
      <c r="M152">
        <v>8</v>
      </c>
      <c r="N152">
        <v>8</v>
      </c>
      <c r="O152">
        <v>8</v>
      </c>
      <c r="P152">
        <v>8</v>
      </c>
      <c r="Q152">
        <v>8</v>
      </c>
    </row>
    <row r="153" spans="1:17" x14ac:dyDescent="0.45">
      <c r="A153" s="19">
        <v>46021.506944444445</v>
      </c>
      <c r="B153" t="s">
        <v>72</v>
      </c>
      <c r="C153" t="s">
        <v>79</v>
      </c>
      <c r="D153" t="s">
        <v>74</v>
      </c>
      <c r="E153" t="s">
        <v>75</v>
      </c>
      <c r="F153" t="s">
        <v>100</v>
      </c>
      <c r="G153" t="s">
        <v>107</v>
      </c>
      <c r="H153" t="s">
        <v>105</v>
      </c>
      <c r="I153">
        <v>10</v>
      </c>
      <c r="J153">
        <v>10</v>
      </c>
      <c r="K153">
        <v>10</v>
      </c>
      <c r="L153">
        <v>10</v>
      </c>
      <c r="M153">
        <v>10</v>
      </c>
      <c r="N153">
        <v>10</v>
      </c>
      <c r="O153">
        <v>10</v>
      </c>
      <c r="P153">
        <v>10</v>
      </c>
      <c r="Q153">
        <v>10</v>
      </c>
    </row>
    <row r="154" spans="1:17" x14ac:dyDescent="0.45">
      <c r="A154" s="19">
        <v>46021.51458333333</v>
      </c>
      <c r="B154" t="s">
        <v>78</v>
      </c>
      <c r="C154" t="s">
        <v>73</v>
      </c>
      <c r="D154" t="s">
        <v>74</v>
      </c>
      <c r="E154" t="s">
        <v>77</v>
      </c>
      <c r="F154" t="s">
        <v>100</v>
      </c>
      <c r="G154" t="s">
        <v>195</v>
      </c>
      <c r="H154" t="s">
        <v>102</v>
      </c>
      <c r="I154">
        <v>7</v>
      </c>
      <c r="J154">
        <v>7</v>
      </c>
      <c r="K154">
        <v>5</v>
      </c>
      <c r="L154">
        <v>7</v>
      </c>
      <c r="M154">
        <v>7</v>
      </c>
      <c r="N154">
        <v>7</v>
      </c>
      <c r="O154">
        <v>7</v>
      </c>
      <c r="P154">
        <v>7</v>
      </c>
      <c r="Q154">
        <v>7</v>
      </c>
    </row>
    <row r="155" spans="1:17" x14ac:dyDescent="0.45">
      <c r="A155" s="19">
        <v>46021.613888888889</v>
      </c>
      <c r="B155" t="s">
        <v>72</v>
      </c>
      <c r="C155" t="s">
        <v>81</v>
      </c>
      <c r="D155" t="s">
        <v>74</v>
      </c>
      <c r="E155" t="s">
        <v>77</v>
      </c>
      <c r="F155" t="s">
        <v>100</v>
      </c>
      <c r="G155" t="s">
        <v>195</v>
      </c>
      <c r="H155" t="s">
        <v>105</v>
      </c>
      <c r="I155">
        <v>7</v>
      </c>
      <c r="J155">
        <v>8</v>
      </c>
      <c r="K155">
        <v>8</v>
      </c>
      <c r="L155">
        <v>8</v>
      </c>
      <c r="M155">
        <v>6</v>
      </c>
      <c r="N155">
        <v>8</v>
      </c>
      <c r="O155">
        <v>5</v>
      </c>
      <c r="P155">
        <v>8</v>
      </c>
      <c r="Q155">
        <v>8</v>
      </c>
    </row>
    <row r="156" spans="1:17" x14ac:dyDescent="0.45">
      <c r="A156" s="19">
        <v>46021.785416666666</v>
      </c>
      <c r="B156" t="s">
        <v>72</v>
      </c>
      <c r="C156" t="s">
        <v>73</v>
      </c>
      <c r="D156" t="s">
        <v>74</v>
      </c>
      <c r="E156" t="s">
        <v>75</v>
      </c>
      <c r="F156" t="s">
        <v>100</v>
      </c>
      <c r="G156" t="s">
        <v>111</v>
      </c>
      <c r="H156" t="s">
        <v>102</v>
      </c>
      <c r="I156">
        <v>10</v>
      </c>
      <c r="J156">
        <v>10</v>
      </c>
      <c r="K156">
        <v>10</v>
      </c>
      <c r="L156">
        <v>10</v>
      </c>
      <c r="M156">
        <v>10</v>
      </c>
      <c r="N156">
        <v>10</v>
      </c>
      <c r="O156">
        <v>10</v>
      </c>
      <c r="P156">
        <v>10</v>
      </c>
      <c r="Q156">
        <v>10</v>
      </c>
    </row>
    <row r="157" spans="1:17" x14ac:dyDescent="0.45">
      <c r="A157" s="19">
        <v>46021.790972222225</v>
      </c>
      <c r="B157" t="s">
        <v>72</v>
      </c>
      <c r="C157" t="s">
        <v>73</v>
      </c>
      <c r="D157" t="s">
        <v>74</v>
      </c>
      <c r="E157" t="s">
        <v>75</v>
      </c>
      <c r="F157" t="s">
        <v>100</v>
      </c>
      <c r="G157" t="s">
        <v>101</v>
      </c>
      <c r="H157" t="s">
        <v>102</v>
      </c>
      <c r="I157">
        <v>10</v>
      </c>
      <c r="J157">
        <v>10</v>
      </c>
      <c r="K157">
        <v>10</v>
      </c>
      <c r="L157">
        <v>10</v>
      </c>
      <c r="M157">
        <v>10</v>
      </c>
      <c r="N157">
        <v>10</v>
      </c>
      <c r="O157">
        <v>10</v>
      </c>
      <c r="P157">
        <v>10</v>
      </c>
      <c r="Q157">
        <v>10</v>
      </c>
    </row>
    <row r="158" spans="1:17" x14ac:dyDescent="0.45">
      <c r="A158" s="19">
        <v>46021.80972222222</v>
      </c>
      <c r="B158" t="s">
        <v>78</v>
      </c>
      <c r="C158" t="s">
        <v>73</v>
      </c>
      <c r="D158" t="s">
        <v>74</v>
      </c>
      <c r="E158" t="s">
        <v>77</v>
      </c>
      <c r="F158" t="s">
        <v>100</v>
      </c>
      <c r="G158" t="s">
        <v>107</v>
      </c>
      <c r="H158" t="s">
        <v>196</v>
      </c>
      <c r="I158">
        <v>10</v>
      </c>
      <c r="J158">
        <v>10</v>
      </c>
      <c r="K158">
        <v>1</v>
      </c>
      <c r="L158">
        <v>10</v>
      </c>
      <c r="M158">
        <v>1</v>
      </c>
      <c r="N158">
        <v>1</v>
      </c>
      <c r="O158">
        <v>1</v>
      </c>
      <c r="P158">
        <v>1</v>
      </c>
      <c r="Q158">
        <v>6</v>
      </c>
    </row>
    <row r="159" spans="1:17" x14ac:dyDescent="0.45">
      <c r="A159" s="19">
        <v>46021.82708333333</v>
      </c>
      <c r="B159" t="s">
        <v>72</v>
      </c>
      <c r="C159" t="s">
        <v>73</v>
      </c>
      <c r="D159" t="s">
        <v>74</v>
      </c>
      <c r="E159" t="s">
        <v>77</v>
      </c>
      <c r="F159" t="s">
        <v>100</v>
      </c>
      <c r="G159" t="s">
        <v>107</v>
      </c>
      <c r="H159" t="s">
        <v>105</v>
      </c>
      <c r="I159">
        <v>7</v>
      </c>
      <c r="J159">
        <v>8</v>
      </c>
      <c r="K159">
        <v>6</v>
      </c>
      <c r="L159">
        <v>6</v>
      </c>
      <c r="M159">
        <v>7</v>
      </c>
      <c r="N159">
        <v>5</v>
      </c>
      <c r="O159">
        <v>6</v>
      </c>
      <c r="P159">
        <v>7</v>
      </c>
      <c r="Q159">
        <v>7</v>
      </c>
    </row>
    <row r="160" spans="1:17" x14ac:dyDescent="0.45">
      <c r="A160" s="19">
        <v>46023.439583333333</v>
      </c>
      <c r="B160" t="s">
        <v>78</v>
      </c>
      <c r="C160" t="s">
        <v>79</v>
      </c>
      <c r="D160" t="s">
        <v>74</v>
      </c>
      <c r="E160" t="s">
        <v>77</v>
      </c>
      <c r="F160" t="s">
        <v>100</v>
      </c>
      <c r="G160" t="s">
        <v>109</v>
      </c>
      <c r="H160" t="s">
        <v>110</v>
      </c>
      <c r="I160">
        <v>2</v>
      </c>
      <c r="J160">
        <v>7</v>
      </c>
      <c r="K160">
        <v>10</v>
      </c>
      <c r="L160">
        <v>2</v>
      </c>
      <c r="M160">
        <v>10</v>
      </c>
      <c r="N160">
        <v>5</v>
      </c>
      <c r="O160">
        <v>10</v>
      </c>
      <c r="P160">
        <v>3</v>
      </c>
      <c r="Q160">
        <v>3</v>
      </c>
    </row>
    <row r="161" spans="1:17" x14ac:dyDescent="0.45">
      <c r="A161" s="19">
        <v>46023.634027777778</v>
      </c>
      <c r="B161" t="s">
        <v>72</v>
      </c>
      <c r="C161" t="s">
        <v>73</v>
      </c>
      <c r="D161" t="s">
        <v>74</v>
      </c>
      <c r="E161" t="s">
        <v>75</v>
      </c>
      <c r="F161" t="s">
        <v>100</v>
      </c>
      <c r="G161" t="s">
        <v>109</v>
      </c>
      <c r="H161" t="s">
        <v>110</v>
      </c>
      <c r="I161">
        <v>9</v>
      </c>
      <c r="J161">
        <v>9</v>
      </c>
      <c r="K161">
        <v>10</v>
      </c>
      <c r="L161">
        <v>2</v>
      </c>
      <c r="M161">
        <v>9</v>
      </c>
      <c r="N161">
        <v>9</v>
      </c>
      <c r="O161">
        <v>6</v>
      </c>
      <c r="P161">
        <v>8</v>
      </c>
      <c r="Q161">
        <v>10</v>
      </c>
    </row>
    <row r="162" spans="1:17" x14ac:dyDescent="0.45">
      <c r="A162" s="19">
        <v>46023.636805555558</v>
      </c>
      <c r="B162" t="s">
        <v>72</v>
      </c>
      <c r="C162" t="s">
        <v>73</v>
      </c>
      <c r="D162" t="s">
        <v>74</v>
      </c>
      <c r="E162" t="s">
        <v>77</v>
      </c>
      <c r="F162" t="s">
        <v>100</v>
      </c>
      <c r="G162" t="s">
        <v>104</v>
      </c>
      <c r="H162" t="s">
        <v>110</v>
      </c>
      <c r="I162">
        <v>7</v>
      </c>
      <c r="J162">
        <v>5</v>
      </c>
      <c r="K162">
        <v>7</v>
      </c>
      <c r="L162">
        <v>5</v>
      </c>
      <c r="M162">
        <v>3</v>
      </c>
      <c r="N162">
        <v>4</v>
      </c>
      <c r="O162">
        <v>1</v>
      </c>
      <c r="P162">
        <v>5</v>
      </c>
      <c r="Q162">
        <v>5</v>
      </c>
    </row>
    <row r="163" spans="1:17" x14ac:dyDescent="0.45">
      <c r="A163" s="19">
        <v>46023.646527777775</v>
      </c>
      <c r="B163" t="s">
        <v>72</v>
      </c>
      <c r="C163" t="s">
        <v>81</v>
      </c>
      <c r="D163" t="s">
        <v>74</v>
      </c>
      <c r="E163" t="s">
        <v>77</v>
      </c>
      <c r="F163" t="s">
        <v>100</v>
      </c>
      <c r="G163" t="s">
        <v>195</v>
      </c>
      <c r="H163" t="s">
        <v>110</v>
      </c>
      <c r="I163">
        <v>3</v>
      </c>
      <c r="J163">
        <v>8</v>
      </c>
      <c r="K163">
        <v>4</v>
      </c>
      <c r="L163">
        <v>5</v>
      </c>
      <c r="M163">
        <v>5</v>
      </c>
      <c r="N163">
        <v>5</v>
      </c>
      <c r="O163">
        <v>5</v>
      </c>
      <c r="P163">
        <v>5</v>
      </c>
      <c r="Q163">
        <v>5</v>
      </c>
    </row>
    <row r="164" spans="1:17" x14ac:dyDescent="0.45">
      <c r="A164" s="19">
        <v>46024.313194444447</v>
      </c>
      <c r="B164" t="s">
        <v>72</v>
      </c>
      <c r="C164" t="s">
        <v>81</v>
      </c>
      <c r="D164" t="s">
        <v>74</v>
      </c>
      <c r="E164" t="s">
        <v>77</v>
      </c>
      <c r="F164" t="s">
        <v>100</v>
      </c>
      <c r="G164" t="s">
        <v>104</v>
      </c>
      <c r="H164" t="s">
        <v>110</v>
      </c>
      <c r="I164">
        <v>10</v>
      </c>
      <c r="J164">
        <v>10</v>
      </c>
      <c r="K164">
        <v>10</v>
      </c>
      <c r="L164">
        <v>10</v>
      </c>
      <c r="M164">
        <v>10</v>
      </c>
      <c r="N164">
        <v>10</v>
      </c>
      <c r="O164">
        <v>10</v>
      </c>
      <c r="P164">
        <v>10</v>
      </c>
      <c r="Q164">
        <v>10</v>
      </c>
    </row>
    <row r="165" spans="1:17" x14ac:dyDescent="0.45">
      <c r="A165" s="19">
        <v>46024.386805555558</v>
      </c>
      <c r="B165" t="s">
        <v>72</v>
      </c>
      <c r="C165" t="s">
        <v>79</v>
      </c>
      <c r="D165" t="s">
        <v>74</v>
      </c>
      <c r="E165" t="s">
        <v>77</v>
      </c>
      <c r="F165" t="s">
        <v>100</v>
      </c>
      <c r="G165" t="s">
        <v>109</v>
      </c>
      <c r="H165" t="s">
        <v>105</v>
      </c>
      <c r="I165">
        <v>8</v>
      </c>
      <c r="J165">
        <v>9</v>
      </c>
      <c r="K165">
        <v>9</v>
      </c>
      <c r="L165">
        <v>9</v>
      </c>
      <c r="M165">
        <v>5</v>
      </c>
      <c r="N165">
        <v>7</v>
      </c>
      <c r="O165">
        <v>5</v>
      </c>
      <c r="P165">
        <v>7</v>
      </c>
      <c r="Q165">
        <v>7</v>
      </c>
    </row>
    <row r="166" spans="1:17" x14ac:dyDescent="0.45">
      <c r="A166" s="19">
        <v>46024.598611111112</v>
      </c>
      <c r="B166" t="s">
        <v>72</v>
      </c>
      <c r="C166" t="s">
        <v>73</v>
      </c>
      <c r="D166" t="s">
        <v>74</v>
      </c>
      <c r="E166" t="s">
        <v>75</v>
      </c>
      <c r="F166" t="s">
        <v>100</v>
      </c>
      <c r="G166" t="s">
        <v>109</v>
      </c>
      <c r="H166" t="s">
        <v>110</v>
      </c>
      <c r="I166">
        <v>5</v>
      </c>
      <c r="J166">
        <v>5</v>
      </c>
      <c r="K166">
        <v>6</v>
      </c>
      <c r="L166">
        <v>6</v>
      </c>
      <c r="M166">
        <v>6</v>
      </c>
      <c r="N166">
        <v>6</v>
      </c>
      <c r="O166">
        <v>5</v>
      </c>
      <c r="P166">
        <v>7</v>
      </c>
      <c r="Q166">
        <v>8</v>
      </c>
    </row>
    <row r="167" spans="1:17" x14ac:dyDescent="0.45">
      <c r="A167" s="19">
        <v>46024.702777777777</v>
      </c>
      <c r="B167" t="s">
        <v>72</v>
      </c>
      <c r="C167" t="s">
        <v>73</v>
      </c>
      <c r="D167" t="s">
        <v>74</v>
      </c>
      <c r="E167" t="s">
        <v>75</v>
      </c>
      <c r="F167" t="s">
        <v>100</v>
      </c>
      <c r="G167" t="s">
        <v>109</v>
      </c>
      <c r="H167" t="s">
        <v>102</v>
      </c>
      <c r="I167">
        <v>10</v>
      </c>
      <c r="J167">
        <v>8</v>
      </c>
      <c r="K167">
        <v>10</v>
      </c>
      <c r="L167">
        <v>10</v>
      </c>
      <c r="M167">
        <v>10</v>
      </c>
      <c r="N167">
        <v>10</v>
      </c>
      <c r="O167">
        <v>10</v>
      </c>
      <c r="P167">
        <v>10</v>
      </c>
      <c r="Q167">
        <v>8</v>
      </c>
    </row>
    <row r="168" spans="1:17" x14ac:dyDescent="0.45">
      <c r="A168" s="19">
        <v>46024.763888888891</v>
      </c>
      <c r="B168" t="s">
        <v>78</v>
      </c>
      <c r="C168" t="s">
        <v>73</v>
      </c>
      <c r="D168" t="s">
        <v>74</v>
      </c>
      <c r="E168" t="s">
        <v>75</v>
      </c>
      <c r="F168" t="s">
        <v>100</v>
      </c>
      <c r="G168" t="s">
        <v>107</v>
      </c>
      <c r="H168" t="s">
        <v>110</v>
      </c>
      <c r="I168">
        <v>5</v>
      </c>
      <c r="J168">
        <v>8</v>
      </c>
      <c r="K168">
        <v>5</v>
      </c>
      <c r="L168">
        <v>8</v>
      </c>
      <c r="M168">
        <v>4</v>
      </c>
      <c r="N168">
        <v>5</v>
      </c>
      <c r="O168">
        <v>1</v>
      </c>
      <c r="P168">
        <v>5</v>
      </c>
      <c r="Q168">
        <v>5</v>
      </c>
    </row>
    <row r="169" spans="1:17" x14ac:dyDescent="0.45">
      <c r="A169" s="19">
        <v>46025.34097222222</v>
      </c>
      <c r="B169" t="s">
        <v>72</v>
      </c>
      <c r="C169" t="s">
        <v>81</v>
      </c>
      <c r="D169" t="s">
        <v>74</v>
      </c>
      <c r="E169" t="s">
        <v>77</v>
      </c>
      <c r="F169" t="s">
        <v>100</v>
      </c>
      <c r="G169" t="s">
        <v>197</v>
      </c>
      <c r="H169" t="s">
        <v>110</v>
      </c>
      <c r="I169">
        <v>7</v>
      </c>
      <c r="J169">
        <v>7</v>
      </c>
      <c r="K169">
        <v>8</v>
      </c>
      <c r="L169">
        <v>8</v>
      </c>
      <c r="M169">
        <v>7</v>
      </c>
      <c r="N169">
        <v>8</v>
      </c>
      <c r="O169">
        <v>8</v>
      </c>
      <c r="P169">
        <v>8</v>
      </c>
      <c r="Q169">
        <v>9</v>
      </c>
    </row>
    <row r="170" spans="1:17" x14ac:dyDescent="0.45">
      <c r="A170" s="19">
        <v>46025.374305555553</v>
      </c>
      <c r="B170" t="s">
        <v>78</v>
      </c>
      <c r="C170" t="s">
        <v>79</v>
      </c>
      <c r="D170" t="s">
        <v>74</v>
      </c>
      <c r="E170" t="s">
        <v>77</v>
      </c>
      <c r="F170" t="s">
        <v>100</v>
      </c>
      <c r="G170" t="s">
        <v>109</v>
      </c>
      <c r="H170" t="s">
        <v>110</v>
      </c>
      <c r="I170">
        <v>8</v>
      </c>
      <c r="J170">
        <v>8</v>
      </c>
      <c r="K170">
        <v>7</v>
      </c>
      <c r="L170">
        <v>8</v>
      </c>
      <c r="M170">
        <v>7</v>
      </c>
      <c r="N170">
        <v>7</v>
      </c>
      <c r="O170">
        <v>7</v>
      </c>
      <c r="P170">
        <v>8</v>
      </c>
      <c r="Q170">
        <v>8</v>
      </c>
    </row>
    <row r="171" spans="1:17" x14ac:dyDescent="0.45">
      <c r="A171" s="19">
        <v>46026.574999999997</v>
      </c>
      <c r="B171" t="s">
        <v>78</v>
      </c>
      <c r="C171" t="s">
        <v>81</v>
      </c>
      <c r="D171" t="s">
        <v>74</v>
      </c>
      <c r="E171" t="s">
        <v>77</v>
      </c>
      <c r="F171" t="s">
        <v>103</v>
      </c>
      <c r="G171" t="s">
        <v>104</v>
      </c>
      <c r="H171" t="s">
        <v>110</v>
      </c>
      <c r="I171">
        <v>5</v>
      </c>
      <c r="J171">
        <v>8</v>
      </c>
      <c r="K171">
        <v>7</v>
      </c>
      <c r="L171">
        <v>8</v>
      </c>
      <c r="M171">
        <v>1</v>
      </c>
      <c r="N171">
        <v>2</v>
      </c>
      <c r="O171">
        <v>3</v>
      </c>
      <c r="P171">
        <v>3</v>
      </c>
      <c r="Q171">
        <v>7</v>
      </c>
    </row>
    <row r="172" spans="1:17" x14ac:dyDescent="0.45">
      <c r="A172" s="19">
        <v>46026.576388888891</v>
      </c>
      <c r="B172" t="s">
        <v>78</v>
      </c>
      <c r="C172" t="s">
        <v>189</v>
      </c>
      <c r="D172" t="s">
        <v>74</v>
      </c>
      <c r="E172" t="s">
        <v>77</v>
      </c>
      <c r="F172" t="s">
        <v>100</v>
      </c>
      <c r="G172" t="s">
        <v>195</v>
      </c>
      <c r="H172" t="s">
        <v>110</v>
      </c>
      <c r="I172">
        <v>6</v>
      </c>
      <c r="J172">
        <v>7</v>
      </c>
      <c r="K172">
        <v>5</v>
      </c>
      <c r="L172">
        <v>7</v>
      </c>
      <c r="M172">
        <v>7</v>
      </c>
      <c r="N172">
        <v>7</v>
      </c>
      <c r="O172">
        <v>5</v>
      </c>
      <c r="P172">
        <v>7</v>
      </c>
      <c r="Q172">
        <v>7</v>
      </c>
    </row>
    <row r="173" spans="1:17" x14ac:dyDescent="0.45">
      <c r="A173" s="19">
        <v>46026.57708333333</v>
      </c>
      <c r="B173" t="s">
        <v>78</v>
      </c>
      <c r="C173" t="s">
        <v>192</v>
      </c>
      <c r="D173" t="s">
        <v>74</v>
      </c>
      <c r="E173" t="s">
        <v>75</v>
      </c>
      <c r="F173" t="s">
        <v>100</v>
      </c>
      <c r="G173" t="s">
        <v>108</v>
      </c>
      <c r="H173" t="s">
        <v>196</v>
      </c>
      <c r="I173">
        <v>8</v>
      </c>
      <c r="J173">
        <v>8</v>
      </c>
      <c r="K173">
        <v>8</v>
      </c>
      <c r="L173">
        <v>9</v>
      </c>
      <c r="M173">
        <v>9</v>
      </c>
      <c r="N173">
        <v>5</v>
      </c>
      <c r="O173">
        <v>5</v>
      </c>
      <c r="P173">
        <v>8</v>
      </c>
      <c r="Q173">
        <v>6</v>
      </c>
    </row>
    <row r="174" spans="1:17" x14ac:dyDescent="0.45">
      <c r="A174" s="19">
        <v>46026.577777777777</v>
      </c>
      <c r="B174" t="s">
        <v>72</v>
      </c>
      <c r="C174" t="s">
        <v>79</v>
      </c>
      <c r="D174" t="s">
        <v>74</v>
      </c>
      <c r="E174" t="s">
        <v>77</v>
      </c>
      <c r="F174" t="s">
        <v>100</v>
      </c>
      <c r="G174" t="s">
        <v>107</v>
      </c>
      <c r="H174" t="s">
        <v>106</v>
      </c>
      <c r="I174">
        <v>5</v>
      </c>
      <c r="J174">
        <v>5</v>
      </c>
      <c r="K174">
        <v>4</v>
      </c>
      <c r="L174">
        <v>6</v>
      </c>
      <c r="M174">
        <v>5</v>
      </c>
      <c r="N174">
        <v>4</v>
      </c>
      <c r="O174">
        <v>4</v>
      </c>
      <c r="P174">
        <v>5</v>
      </c>
      <c r="Q174">
        <v>5</v>
      </c>
    </row>
    <row r="175" spans="1:17" x14ac:dyDescent="0.45">
      <c r="A175" s="19">
        <v>46026.578472222223</v>
      </c>
      <c r="B175" t="s">
        <v>72</v>
      </c>
      <c r="C175" t="s">
        <v>81</v>
      </c>
      <c r="D175" t="s">
        <v>74</v>
      </c>
      <c r="E175" t="s">
        <v>77</v>
      </c>
      <c r="F175" t="s">
        <v>100</v>
      </c>
      <c r="G175" t="s">
        <v>109</v>
      </c>
      <c r="H175" t="s">
        <v>102</v>
      </c>
      <c r="I175">
        <v>6</v>
      </c>
      <c r="J175">
        <v>6</v>
      </c>
      <c r="K175">
        <v>6</v>
      </c>
      <c r="L175">
        <v>6</v>
      </c>
      <c r="M175">
        <v>7</v>
      </c>
      <c r="N175">
        <v>7</v>
      </c>
      <c r="O175">
        <v>5</v>
      </c>
      <c r="P175">
        <v>7</v>
      </c>
      <c r="Q175">
        <v>6</v>
      </c>
    </row>
    <row r="176" spans="1:17" x14ac:dyDescent="0.45">
      <c r="A176" s="19">
        <v>46026.57916666667</v>
      </c>
      <c r="B176" t="s">
        <v>72</v>
      </c>
      <c r="C176" t="s">
        <v>192</v>
      </c>
      <c r="D176" t="s">
        <v>74</v>
      </c>
      <c r="E176" t="s">
        <v>75</v>
      </c>
      <c r="F176" t="s">
        <v>100</v>
      </c>
      <c r="G176" t="s">
        <v>108</v>
      </c>
      <c r="H176" t="s">
        <v>106</v>
      </c>
      <c r="I176">
        <v>4</v>
      </c>
      <c r="J176">
        <v>5</v>
      </c>
      <c r="K176">
        <v>4</v>
      </c>
      <c r="L176">
        <v>6</v>
      </c>
      <c r="M176">
        <v>4</v>
      </c>
      <c r="N176">
        <v>4</v>
      </c>
      <c r="O176">
        <v>4</v>
      </c>
      <c r="P176">
        <v>5</v>
      </c>
      <c r="Q176">
        <v>4</v>
      </c>
    </row>
    <row r="177" spans="1:17" x14ac:dyDescent="0.45">
      <c r="A177" s="19">
        <v>46026.57916666667</v>
      </c>
      <c r="B177" t="s">
        <v>72</v>
      </c>
      <c r="C177" t="s">
        <v>194</v>
      </c>
      <c r="D177" t="s">
        <v>80</v>
      </c>
      <c r="E177" t="s">
        <v>75</v>
      </c>
      <c r="F177" t="s">
        <v>100</v>
      </c>
      <c r="G177" t="s">
        <v>108</v>
      </c>
      <c r="H177" t="s">
        <v>110</v>
      </c>
      <c r="I177">
        <v>2</v>
      </c>
      <c r="J177">
        <v>4</v>
      </c>
      <c r="K177">
        <v>3</v>
      </c>
      <c r="L177">
        <v>5</v>
      </c>
      <c r="M177">
        <v>4</v>
      </c>
      <c r="N177">
        <v>1</v>
      </c>
      <c r="O177">
        <v>1</v>
      </c>
      <c r="P177">
        <v>4</v>
      </c>
      <c r="Q177">
        <v>4</v>
      </c>
    </row>
    <row r="178" spans="1:17" x14ac:dyDescent="0.45">
      <c r="A178" s="19">
        <v>46026.580555555556</v>
      </c>
      <c r="B178" t="s">
        <v>72</v>
      </c>
      <c r="C178" t="s">
        <v>192</v>
      </c>
      <c r="D178" t="s">
        <v>74</v>
      </c>
      <c r="E178" t="s">
        <v>75</v>
      </c>
      <c r="F178" t="s">
        <v>100</v>
      </c>
      <c r="G178" t="s">
        <v>107</v>
      </c>
      <c r="H178" t="s">
        <v>105</v>
      </c>
      <c r="I178">
        <v>4</v>
      </c>
      <c r="J178">
        <v>4</v>
      </c>
      <c r="K178">
        <v>3</v>
      </c>
      <c r="L178">
        <v>5</v>
      </c>
      <c r="M178">
        <v>3</v>
      </c>
      <c r="N178">
        <v>2</v>
      </c>
      <c r="O178">
        <v>1</v>
      </c>
      <c r="P178">
        <v>1</v>
      </c>
      <c r="Q178">
        <v>1</v>
      </c>
    </row>
    <row r="179" spans="1:17" x14ac:dyDescent="0.45">
      <c r="A179" s="19">
        <v>46026.580555555556</v>
      </c>
      <c r="B179" t="s">
        <v>72</v>
      </c>
      <c r="C179" t="s">
        <v>194</v>
      </c>
      <c r="D179" t="s">
        <v>74</v>
      </c>
      <c r="E179" t="s">
        <v>77</v>
      </c>
      <c r="F179" t="s">
        <v>100</v>
      </c>
      <c r="G179" t="s">
        <v>109</v>
      </c>
      <c r="H179" t="s">
        <v>196</v>
      </c>
      <c r="I179">
        <v>6</v>
      </c>
      <c r="J179">
        <v>7</v>
      </c>
      <c r="K179">
        <v>6</v>
      </c>
      <c r="L179">
        <v>6</v>
      </c>
      <c r="M179">
        <v>6</v>
      </c>
      <c r="N179">
        <v>7</v>
      </c>
      <c r="O179">
        <v>5</v>
      </c>
      <c r="P179">
        <v>6</v>
      </c>
      <c r="Q179">
        <v>7</v>
      </c>
    </row>
    <row r="180" spans="1:17" x14ac:dyDescent="0.45">
      <c r="A180" s="19">
        <v>46026.581944444442</v>
      </c>
      <c r="B180" t="s">
        <v>72</v>
      </c>
      <c r="C180" t="s">
        <v>73</v>
      </c>
      <c r="D180" t="s">
        <v>74</v>
      </c>
      <c r="E180" t="s">
        <v>75</v>
      </c>
      <c r="F180" t="s">
        <v>100</v>
      </c>
      <c r="G180" t="s">
        <v>101</v>
      </c>
      <c r="H180" t="s">
        <v>102</v>
      </c>
      <c r="I180">
        <v>7</v>
      </c>
      <c r="J180">
        <v>7</v>
      </c>
      <c r="K180">
        <v>7</v>
      </c>
      <c r="L180">
        <v>8</v>
      </c>
      <c r="M180">
        <v>7</v>
      </c>
      <c r="N180">
        <v>8</v>
      </c>
      <c r="O180">
        <v>7</v>
      </c>
      <c r="P180">
        <v>7</v>
      </c>
      <c r="Q180">
        <v>8</v>
      </c>
    </row>
    <row r="181" spans="1:17" x14ac:dyDescent="0.45">
      <c r="A181" s="19">
        <v>46026.582638888889</v>
      </c>
      <c r="B181" t="s">
        <v>72</v>
      </c>
      <c r="C181" t="s">
        <v>79</v>
      </c>
      <c r="D181" t="s">
        <v>74</v>
      </c>
      <c r="E181" t="s">
        <v>77</v>
      </c>
      <c r="F181" t="s">
        <v>100</v>
      </c>
      <c r="G181" t="s">
        <v>111</v>
      </c>
      <c r="H181" t="s">
        <v>102</v>
      </c>
      <c r="I181">
        <v>5</v>
      </c>
      <c r="J181">
        <v>5</v>
      </c>
      <c r="K181">
        <v>5</v>
      </c>
      <c r="L181">
        <v>7</v>
      </c>
      <c r="M181">
        <v>5</v>
      </c>
      <c r="N181">
        <v>6</v>
      </c>
      <c r="O181">
        <v>5</v>
      </c>
      <c r="P181">
        <v>7</v>
      </c>
      <c r="Q181">
        <v>7</v>
      </c>
    </row>
    <row r="182" spans="1:17" x14ac:dyDescent="0.45">
      <c r="A182" s="19">
        <v>46026.7</v>
      </c>
      <c r="B182" t="s">
        <v>72</v>
      </c>
      <c r="C182" t="s">
        <v>73</v>
      </c>
      <c r="D182" t="s">
        <v>74</v>
      </c>
      <c r="E182" t="s">
        <v>75</v>
      </c>
      <c r="F182" t="s">
        <v>100</v>
      </c>
      <c r="G182" t="s">
        <v>111</v>
      </c>
      <c r="H182" t="s">
        <v>105</v>
      </c>
      <c r="I182">
        <v>6</v>
      </c>
      <c r="J182">
        <v>7</v>
      </c>
      <c r="K182">
        <v>7</v>
      </c>
      <c r="L182">
        <v>8</v>
      </c>
      <c r="M182">
        <v>8</v>
      </c>
      <c r="N182">
        <v>7</v>
      </c>
      <c r="O182">
        <v>5</v>
      </c>
      <c r="P182">
        <v>7</v>
      </c>
      <c r="Q182">
        <v>7</v>
      </c>
    </row>
    <row r="183" spans="1:17" x14ac:dyDescent="0.45">
      <c r="A183" s="19">
        <v>46026.700694444444</v>
      </c>
      <c r="B183" t="s">
        <v>72</v>
      </c>
      <c r="C183" t="s">
        <v>81</v>
      </c>
      <c r="D183" t="s">
        <v>74</v>
      </c>
      <c r="E183" t="s">
        <v>77</v>
      </c>
      <c r="F183" t="s">
        <v>100</v>
      </c>
      <c r="G183" t="s">
        <v>101</v>
      </c>
      <c r="H183" t="s">
        <v>110</v>
      </c>
      <c r="I183">
        <v>8</v>
      </c>
      <c r="J183">
        <v>8</v>
      </c>
      <c r="K183">
        <v>5</v>
      </c>
      <c r="L183">
        <v>8</v>
      </c>
      <c r="M183">
        <v>6</v>
      </c>
      <c r="N183">
        <v>8</v>
      </c>
      <c r="O183">
        <v>6</v>
      </c>
      <c r="P183">
        <v>7</v>
      </c>
      <c r="Q183">
        <v>7</v>
      </c>
    </row>
    <row r="184" spans="1:17" x14ac:dyDescent="0.45">
      <c r="A184" s="19">
        <v>46026.701388888891</v>
      </c>
      <c r="B184" t="s">
        <v>78</v>
      </c>
      <c r="C184" t="s">
        <v>194</v>
      </c>
      <c r="D184" t="s">
        <v>74</v>
      </c>
      <c r="E184" t="s">
        <v>75</v>
      </c>
      <c r="F184" t="s">
        <v>100</v>
      </c>
      <c r="G184" t="s">
        <v>108</v>
      </c>
      <c r="H184" t="s">
        <v>106</v>
      </c>
      <c r="I184">
        <v>2</v>
      </c>
      <c r="J184">
        <v>5</v>
      </c>
      <c r="K184">
        <v>3</v>
      </c>
      <c r="L184">
        <v>5</v>
      </c>
      <c r="M184">
        <v>3</v>
      </c>
      <c r="N184">
        <v>2</v>
      </c>
      <c r="O184">
        <v>1</v>
      </c>
      <c r="P184">
        <v>5</v>
      </c>
      <c r="Q184">
        <v>5</v>
      </c>
    </row>
    <row r="185" spans="1:17" x14ac:dyDescent="0.45">
      <c r="A185" s="19">
        <v>46026.70208333333</v>
      </c>
      <c r="B185" t="s">
        <v>78</v>
      </c>
      <c r="C185" t="s">
        <v>189</v>
      </c>
      <c r="D185" t="s">
        <v>74</v>
      </c>
      <c r="E185" t="s">
        <v>77</v>
      </c>
      <c r="F185" t="s">
        <v>100</v>
      </c>
      <c r="G185" t="s">
        <v>104</v>
      </c>
      <c r="H185" t="s">
        <v>110</v>
      </c>
      <c r="I185">
        <v>6</v>
      </c>
      <c r="J185">
        <v>6</v>
      </c>
      <c r="K185">
        <v>5</v>
      </c>
      <c r="L185">
        <v>9</v>
      </c>
      <c r="M185">
        <v>7</v>
      </c>
      <c r="N185">
        <v>8</v>
      </c>
      <c r="O185">
        <v>5</v>
      </c>
      <c r="P185">
        <v>7</v>
      </c>
      <c r="Q185">
        <v>7</v>
      </c>
    </row>
    <row r="186" spans="1:17" x14ac:dyDescent="0.45">
      <c r="A186" s="19">
        <v>46026.702777777777</v>
      </c>
      <c r="B186" t="s">
        <v>72</v>
      </c>
      <c r="C186" t="s">
        <v>79</v>
      </c>
      <c r="D186" t="s">
        <v>80</v>
      </c>
      <c r="E186" t="s">
        <v>77</v>
      </c>
      <c r="F186" t="s">
        <v>103</v>
      </c>
      <c r="G186" t="s">
        <v>109</v>
      </c>
      <c r="H186" t="s">
        <v>106</v>
      </c>
      <c r="I186">
        <v>7</v>
      </c>
      <c r="J186">
        <v>7</v>
      </c>
      <c r="K186">
        <v>6</v>
      </c>
      <c r="L186">
        <v>8</v>
      </c>
      <c r="M186">
        <v>5</v>
      </c>
      <c r="N186">
        <v>5</v>
      </c>
      <c r="O186">
        <v>5</v>
      </c>
      <c r="P186">
        <v>6</v>
      </c>
      <c r="Q186">
        <v>5</v>
      </c>
    </row>
    <row r="187" spans="1:17" x14ac:dyDescent="0.45">
      <c r="A187" s="19">
        <v>46026.70416666667</v>
      </c>
      <c r="B187" t="s">
        <v>72</v>
      </c>
      <c r="C187" t="s">
        <v>194</v>
      </c>
      <c r="D187" t="s">
        <v>74</v>
      </c>
      <c r="E187" t="s">
        <v>77</v>
      </c>
      <c r="F187" t="s">
        <v>198</v>
      </c>
      <c r="G187" t="s">
        <v>104</v>
      </c>
      <c r="H187" t="s">
        <v>110</v>
      </c>
      <c r="I187">
        <v>7</v>
      </c>
      <c r="J187">
        <v>7</v>
      </c>
      <c r="K187">
        <v>5</v>
      </c>
      <c r="L187">
        <v>7</v>
      </c>
      <c r="M187">
        <v>5</v>
      </c>
      <c r="N187">
        <v>5</v>
      </c>
      <c r="O187">
        <v>5</v>
      </c>
      <c r="P187">
        <v>5</v>
      </c>
      <c r="Q187">
        <v>6</v>
      </c>
    </row>
    <row r="188" spans="1:17" x14ac:dyDescent="0.45">
      <c r="A188" s="19">
        <v>46026.709027777775</v>
      </c>
      <c r="B188" t="s">
        <v>78</v>
      </c>
      <c r="C188" t="s">
        <v>79</v>
      </c>
      <c r="D188" t="s">
        <v>74</v>
      </c>
      <c r="E188" t="s">
        <v>75</v>
      </c>
      <c r="F188" t="s">
        <v>100</v>
      </c>
      <c r="G188" t="s">
        <v>109</v>
      </c>
      <c r="H188" t="s">
        <v>105</v>
      </c>
      <c r="I188">
        <v>6</v>
      </c>
      <c r="J188">
        <v>7</v>
      </c>
      <c r="K188">
        <v>6</v>
      </c>
      <c r="L188">
        <v>7</v>
      </c>
      <c r="M188">
        <v>6</v>
      </c>
      <c r="N188">
        <v>6</v>
      </c>
      <c r="O188">
        <v>5</v>
      </c>
      <c r="P188">
        <v>5</v>
      </c>
      <c r="Q188">
        <v>6</v>
      </c>
    </row>
    <row r="189" spans="1:17" x14ac:dyDescent="0.45">
      <c r="A189" s="19">
        <v>46026.729861111111</v>
      </c>
      <c r="B189" t="s">
        <v>78</v>
      </c>
      <c r="C189" t="s">
        <v>81</v>
      </c>
      <c r="D189" t="s">
        <v>74</v>
      </c>
      <c r="E189" t="s">
        <v>77</v>
      </c>
      <c r="F189" t="s">
        <v>100</v>
      </c>
      <c r="G189" t="s">
        <v>101</v>
      </c>
      <c r="H189" t="s">
        <v>102</v>
      </c>
      <c r="I189">
        <v>5</v>
      </c>
      <c r="J189">
        <v>5</v>
      </c>
      <c r="K189">
        <v>4</v>
      </c>
      <c r="L189">
        <v>6</v>
      </c>
      <c r="M189">
        <v>5</v>
      </c>
      <c r="N189">
        <v>5</v>
      </c>
      <c r="O189">
        <v>5</v>
      </c>
      <c r="P189">
        <v>5</v>
      </c>
      <c r="Q189">
        <v>5</v>
      </c>
    </row>
    <row r="190" spans="1:17" x14ac:dyDescent="0.45">
      <c r="A190" s="19">
        <v>46026.955555555556</v>
      </c>
      <c r="B190" t="s">
        <v>78</v>
      </c>
      <c r="C190" t="s">
        <v>79</v>
      </c>
      <c r="D190" t="s">
        <v>74</v>
      </c>
      <c r="E190" t="s">
        <v>77</v>
      </c>
      <c r="F190" t="s">
        <v>100</v>
      </c>
      <c r="G190" t="s">
        <v>111</v>
      </c>
      <c r="H190" t="s">
        <v>105</v>
      </c>
      <c r="I190">
        <v>8</v>
      </c>
      <c r="J190">
        <v>8</v>
      </c>
      <c r="K190">
        <v>5</v>
      </c>
      <c r="L190">
        <v>7</v>
      </c>
      <c r="M190">
        <v>6</v>
      </c>
      <c r="N190">
        <v>8</v>
      </c>
      <c r="O190">
        <v>5</v>
      </c>
      <c r="P190">
        <v>7</v>
      </c>
      <c r="Q190">
        <v>8</v>
      </c>
    </row>
    <row r="191" spans="1:17" x14ac:dyDescent="0.45">
      <c r="A191" s="19">
        <v>46027.578472222223</v>
      </c>
      <c r="B191" t="s">
        <v>78</v>
      </c>
      <c r="C191" t="s">
        <v>81</v>
      </c>
      <c r="D191" t="s">
        <v>74</v>
      </c>
      <c r="E191" t="s">
        <v>75</v>
      </c>
      <c r="F191" t="s">
        <v>100</v>
      </c>
      <c r="G191" t="s">
        <v>101</v>
      </c>
      <c r="H191" t="s">
        <v>110</v>
      </c>
      <c r="I191">
        <v>7</v>
      </c>
      <c r="J191">
        <v>7</v>
      </c>
      <c r="K191">
        <v>7</v>
      </c>
      <c r="L191">
        <v>8</v>
      </c>
      <c r="M191">
        <v>3</v>
      </c>
      <c r="N191">
        <v>3</v>
      </c>
      <c r="O191">
        <v>2</v>
      </c>
      <c r="P191">
        <v>3</v>
      </c>
      <c r="Q191">
        <v>8</v>
      </c>
    </row>
    <row r="192" spans="1:17" x14ac:dyDescent="0.45">
      <c r="A192" s="19">
        <v>46029.68472222222</v>
      </c>
      <c r="B192" t="s">
        <v>78</v>
      </c>
      <c r="C192" t="s">
        <v>73</v>
      </c>
      <c r="D192" t="s">
        <v>74</v>
      </c>
      <c r="E192" t="s">
        <v>75</v>
      </c>
      <c r="F192" t="s">
        <v>100</v>
      </c>
      <c r="G192" t="s">
        <v>111</v>
      </c>
      <c r="H192" t="s">
        <v>106</v>
      </c>
      <c r="I192">
        <v>7</v>
      </c>
      <c r="J192">
        <v>7</v>
      </c>
      <c r="K192">
        <v>6</v>
      </c>
      <c r="L192">
        <v>8</v>
      </c>
      <c r="M192">
        <v>7</v>
      </c>
      <c r="N192">
        <v>8</v>
      </c>
      <c r="O192">
        <v>7</v>
      </c>
      <c r="P192">
        <v>7</v>
      </c>
      <c r="Q192">
        <v>7</v>
      </c>
    </row>
    <row r="193" spans="1:17" x14ac:dyDescent="0.45">
      <c r="A193" s="19">
        <v>46029.685416666667</v>
      </c>
      <c r="B193" t="s">
        <v>72</v>
      </c>
      <c r="C193" t="s">
        <v>189</v>
      </c>
      <c r="D193" t="s">
        <v>74</v>
      </c>
      <c r="E193" t="s">
        <v>77</v>
      </c>
      <c r="F193" t="s">
        <v>100</v>
      </c>
      <c r="G193" t="s">
        <v>197</v>
      </c>
      <c r="H193" t="s">
        <v>110</v>
      </c>
      <c r="I193">
        <v>8</v>
      </c>
      <c r="J193">
        <v>8</v>
      </c>
      <c r="K193">
        <v>9</v>
      </c>
      <c r="L193">
        <v>9</v>
      </c>
      <c r="M193">
        <v>9</v>
      </c>
      <c r="N193">
        <v>9</v>
      </c>
      <c r="O193">
        <v>8</v>
      </c>
      <c r="P193">
        <v>8</v>
      </c>
      <c r="Q193">
        <v>9</v>
      </c>
    </row>
    <row r="194" spans="1:17" x14ac:dyDescent="0.45">
      <c r="A194" s="19">
        <v>46030.411111111112</v>
      </c>
      <c r="B194" t="s">
        <v>72</v>
      </c>
      <c r="C194" t="s">
        <v>79</v>
      </c>
      <c r="D194" t="s">
        <v>74</v>
      </c>
      <c r="E194" t="s">
        <v>77</v>
      </c>
      <c r="F194" t="s">
        <v>100</v>
      </c>
      <c r="G194" t="s">
        <v>101</v>
      </c>
      <c r="H194" t="s">
        <v>105</v>
      </c>
      <c r="I194">
        <v>1</v>
      </c>
      <c r="J194">
        <v>1</v>
      </c>
      <c r="K194">
        <v>7</v>
      </c>
      <c r="L194">
        <v>5</v>
      </c>
      <c r="M194">
        <v>5</v>
      </c>
      <c r="N194">
        <v>7</v>
      </c>
      <c r="O194">
        <v>2</v>
      </c>
      <c r="P194">
        <v>5</v>
      </c>
      <c r="Q194">
        <v>5</v>
      </c>
    </row>
    <row r="195" spans="1:17" x14ac:dyDescent="0.45">
      <c r="A195" s="19">
        <v>46030.574305555558</v>
      </c>
      <c r="B195" t="s">
        <v>72</v>
      </c>
      <c r="C195" t="s">
        <v>73</v>
      </c>
      <c r="D195" t="s">
        <v>74</v>
      </c>
      <c r="E195" t="s">
        <v>77</v>
      </c>
      <c r="F195" t="s">
        <v>100</v>
      </c>
      <c r="G195" t="s">
        <v>197</v>
      </c>
      <c r="H195" t="s">
        <v>102</v>
      </c>
      <c r="I195">
        <v>10</v>
      </c>
      <c r="J195">
        <v>10</v>
      </c>
      <c r="K195">
        <v>6</v>
      </c>
      <c r="L195">
        <v>4</v>
      </c>
      <c r="M195">
        <v>8</v>
      </c>
      <c r="N195">
        <v>3</v>
      </c>
      <c r="O195">
        <v>10</v>
      </c>
      <c r="P195">
        <v>10</v>
      </c>
      <c r="Q195">
        <v>10</v>
      </c>
    </row>
    <row r="196" spans="1:17" x14ac:dyDescent="0.45">
      <c r="A196" s="19">
        <v>46030.636805555558</v>
      </c>
      <c r="B196" t="s">
        <v>72</v>
      </c>
      <c r="C196" t="s">
        <v>81</v>
      </c>
      <c r="D196" t="s">
        <v>74</v>
      </c>
      <c r="E196" t="s">
        <v>77</v>
      </c>
      <c r="F196" t="s">
        <v>100</v>
      </c>
      <c r="G196" t="s">
        <v>104</v>
      </c>
      <c r="H196" t="s">
        <v>102</v>
      </c>
      <c r="I196">
        <v>9</v>
      </c>
      <c r="J196">
        <v>9</v>
      </c>
      <c r="K196">
        <v>5</v>
      </c>
      <c r="L196">
        <v>5</v>
      </c>
      <c r="M196">
        <v>7</v>
      </c>
      <c r="N196">
        <v>7</v>
      </c>
      <c r="O196">
        <v>8</v>
      </c>
      <c r="P196">
        <v>8</v>
      </c>
      <c r="Q196">
        <v>8</v>
      </c>
    </row>
    <row r="197" spans="1:17" x14ac:dyDescent="0.45">
      <c r="A197" s="19">
        <v>46030.640277777777</v>
      </c>
      <c r="B197" t="s">
        <v>78</v>
      </c>
      <c r="C197" t="s">
        <v>79</v>
      </c>
      <c r="D197" t="s">
        <v>74</v>
      </c>
      <c r="E197" t="s">
        <v>77</v>
      </c>
      <c r="F197" t="s">
        <v>100</v>
      </c>
      <c r="G197" t="s">
        <v>104</v>
      </c>
      <c r="H197" t="s">
        <v>105</v>
      </c>
      <c r="I197">
        <v>9</v>
      </c>
      <c r="J197">
        <v>9</v>
      </c>
      <c r="K197">
        <v>9</v>
      </c>
      <c r="L197">
        <v>9</v>
      </c>
      <c r="M197">
        <v>9</v>
      </c>
      <c r="N197">
        <v>9</v>
      </c>
      <c r="O197">
        <v>9</v>
      </c>
      <c r="P197">
        <v>9</v>
      </c>
      <c r="Q197">
        <v>9</v>
      </c>
    </row>
    <row r="198" spans="1:17" x14ac:dyDescent="0.45">
      <c r="A198" s="19">
        <v>46030.640972222223</v>
      </c>
      <c r="B198" t="s">
        <v>72</v>
      </c>
      <c r="C198" t="s">
        <v>79</v>
      </c>
      <c r="D198" t="s">
        <v>74</v>
      </c>
      <c r="E198" t="s">
        <v>75</v>
      </c>
      <c r="F198" t="s">
        <v>100</v>
      </c>
      <c r="G198" t="s">
        <v>104</v>
      </c>
      <c r="H198" t="s">
        <v>106</v>
      </c>
      <c r="I198">
        <v>9</v>
      </c>
      <c r="J198">
        <v>10</v>
      </c>
      <c r="K198">
        <v>10</v>
      </c>
      <c r="L198">
        <v>9</v>
      </c>
      <c r="M198">
        <v>10</v>
      </c>
      <c r="N198">
        <v>10</v>
      </c>
      <c r="O198">
        <v>10</v>
      </c>
      <c r="P198">
        <v>9</v>
      </c>
      <c r="Q198">
        <v>10</v>
      </c>
    </row>
    <row r="199" spans="1:17" x14ac:dyDescent="0.45">
      <c r="A199" s="19">
        <v>46030.681250000001</v>
      </c>
      <c r="B199" t="s">
        <v>72</v>
      </c>
      <c r="C199" t="s">
        <v>79</v>
      </c>
      <c r="D199" t="s">
        <v>74</v>
      </c>
      <c r="E199" t="s">
        <v>75</v>
      </c>
      <c r="F199" t="s">
        <v>100</v>
      </c>
      <c r="G199" t="s">
        <v>104</v>
      </c>
      <c r="H199" t="s">
        <v>105</v>
      </c>
      <c r="I199">
        <v>5</v>
      </c>
      <c r="J199">
        <v>5</v>
      </c>
      <c r="K199">
        <v>5</v>
      </c>
      <c r="L199">
        <v>5</v>
      </c>
      <c r="M199">
        <v>5</v>
      </c>
      <c r="N199">
        <v>5</v>
      </c>
      <c r="O199">
        <v>5</v>
      </c>
      <c r="P199">
        <v>4</v>
      </c>
      <c r="Q199">
        <v>5</v>
      </c>
    </row>
    <row r="200" spans="1:17" x14ac:dyDescent="0.45">
      <c r="A200" s="19">
        <v>46031.374305555553</v>
      </c>
      <c r="B200" t="s">
        <v>72</v>
      </c>
      <c r="C200" t="s">
        <v>194</v>
      </c>
      <c r="D200" t="s">
        <v>74</v>
      </c>
      <c r="E200" t="s">
        <v>75</v>
      </c>
      <c r="F200" t="s">
        <v>198</v>
      </c>
      <c r="G200" t="s">
        <v>195</v>
      </c>
      <c r="H200" t="s">
        <v>102</v>
      </c>
      <c r="I200">
        <v>9</v>
      </c>
      <c r="J200">
        <v>8</v>
      </c>
      <c r="K200">
        <v>9</v>
      </c>
      <c r="L200">
        <v>9</v>
      </c>
      <c r="M200">
        <v>8</v>
      </c>
      <c r="N200">
        <v>9</v>
      </c>
      <c r="O200">
        <v>10</v>
      </c>
      <c r="P200">
        <v>9</v>
      </c>
      <c r="Q200">
        <v>10</v>
      </c>
    </row>
    <row r="201" spans="1:17" x14ac:dyDescent="0.45">
      <c r="A201" s="19">
        <v>46031.390277777777</v>
      </c>
      <c r="B201" t="s">
        <v>78</v>
      </c>
      <c r="C201" t="s">
        <v>192</v>
      </c>
      <c r="D201" t="s">
        <v>74</v>
      </c>
      <c r="E201" t="s">
        <v>77</v>
      </c>
      <c r="F201" t="s">
        <v>100</v>
      </c>
      <c r="G201" t="s">
        <v>107</v>
      </c>
      <c r="H201" t="s">
        <v>106</v>
      </c>
      <c r="I201">
        <v>4</v>
      </c>
      <c r="J201">
        <v>4</v>
      </c>
      <c r="K201">
        <v>3</v>
      </c>
      <c r="L201">
        <v>5</v>
      </c>
      <c r="M201">
        <v>4</v>
      </c>
      <c r="N201">
        <v>5</v>
      </c>
      <c r="O201">
        <v>1</v>
      </c>
      <c r="P201">
        <v>5</v>
      </c>
      <c r="Q201">
        <v>5</v>
      </c>
    </row>
    <row r="202" spans="1:17" x14ac:dyDescent="0.45">
      <c r="A202" s="19">
        <v>46031.390972222223</v>
      </c>
      <c r="B202" t="s">
        <v>72</v>
      </c>
      <c r="C202" t="s">
        <v>194</v>
      </c>
      <c r="D202" t="s">
        <v>74</v>
      </c>
      <c r="E202" t="s">
        <v>75</v>
      </c>
      <c r="F202" t="s">
        <v>100</v>
      </c>
      <c r="G202" t="s">
        <v>111</v>
      </c>
      <c r="H202" t="s">
        <v>102</v>
      </c>
      <c r="I202">
        <v>5</v>
      </c>
      <c r="J202">
        <v>5</v>
      </c>
      <c r="K202">
        <v>1</v>
      </c>
      <c r="L202">
        <v>5</v>
      </c>
      <c r="M202">
        <v>4</v>
      </c>
      <c r="N202">
        <v>2</v>
      </c>
      <c r="O202">
        <v>2</v>
      </c>
      <c r="P202">
        <v>5</v>
      </c>
      <c r="Q202">
        <v>4</v>
      </c>
    </row>
    <row r="203" spans="1:17" x14ac:dyDescent="0.45">
      <c r="A203" s="19">
        <v>46031.39166666667</v>
      </c>
      <c r="B203" t="s">
        <v>72</v>
      </c>
      <c r="C203" t="s">
        <v>79</v>
      </c>
      <c r="D203" t="s">
        <v>74</v>
      </c>
      <c r="E203" t="s">
        <v>77</v>
      </c>
      <c r="F203" t="s">
        <v>100</v>
      </c>
      <c r="G203" t="s">
        <v>107</v>
      </c>
      <c r="H203" t="s">
        <v>196</v>
      </c>
      <c r="I203">
        <v>6</v>
      </c>
      <c r="J203">
        <v>8</v>
      </c>
      <c r="K203">
        <v>8</v>
      </c>
      <c r="L203">
        <v>9</v>
      </c>
      <c r="M203">
        <v>7</v>
      </c>
      <c r="N203">
        <v>7</v>
      </c>
      <c r="O203">
        <v>7</v>
      </c>
      <c r="P203">
        <v>8</v>
      </c>
      <c r="Q203">
        <v>8</v>
      </c>
    </row>
    <row r="204" spans="1:17" x14ac:dyDescent="0.45">
      <c r="A204" s="19">
        <v>46031.39166666667</v>
      </c>
      <c r="B204" t="s">
        <v>72</v>
      </c>
      <c r="C204" t="s">
        <v>192</v>
      </c>
      <c r="D204" t="s">
        <v>74</v>
      </c>
      <c r="E204" t="s">
        <v>75</v>
      </c>
      <c r="F204" t="s">
        <v>100</v>
      </c>
      <c r="G204" t="s">
        <v>108</v>
      </c>
      <c r="H204" t="s">
        <v>106</v>
      </c>
      <c r="I204">
        <v>5</v>
      </c>
      <c r="J204">
        <v>5</v>
      </c>
      <c r="K204">
        <v>5</v>
      </c>
      <c r="L204">
        <v>5</v>
      </c>
      <c r="M204">
        <v>5</v>
      </c>
      <c r="N204">
        <v>5</v>
      </c>
      <c r="O204">
        <v>5</v>
      </c>
      <c r="P204">
        <v>5</v>
      </c>
      <c r="Q204">
        <v>5</v>
      </c>
    </row>
    <row r="205" spans="1:17" x14ac:dyDescent="0.45">
      <c r="A205" s="19">
        <v>46031.392361111109</v>
      </c>
      <c r="B205" t="s">
        <v>72</v>
      </c>
      <c r="C205" t="s">
        <v>73</v>
      </c>
      <c r="D205" t="s">
        <v>74</v>
      </c>
      <c r="E205" t="s">
        <v>77</v>
      </c>
      <c r="F205" t="s">
        <v>100</v>
      </c>
      <c r="G205" t="s">
        <v>109</v>
      </c>
      <c r="H205" t="s">
        <v>102</v>
      </c>
      <c r="I205">
        <v>7</v>
      </c>
      <c r="J205">
        <v>7</v>
      </c>
      <c r="K205">
        <v>7</v>
      </c>
      <c r="L205">
        <v>8</v>
      </c>
      <c r="M205">
        <v>7</v>
      </c>
      <c r="N205">
        <v>7</v>
      </c>
      <c r="O205">
        <v>7</v>
      </c>
      <c r="P205">
        <v>7</v>
      </c>
      <c r="Q205">
        <v>7</v>
      </c>
    </row>
    <row r="206" spans="1:17" x14ac:dyDescent="0.45">
      <c r="A206" s="19">
        <v>46031.393055555556</v>
      </c>
      <c r="B206" t="s">
        <v>72</v>
      </c>
      <c r="C206" t="s">
        <v>73</v>
      </c>
      <c r="D206" t="s">
        <v>74</v>
      </c>
      <c r="E206" t="s">
        <v>75</v>
      </c>
      <c r="F206" t="s">
        <v>100</v>
      </c>
      <c r="G206" t="s">
        <v>101</v>
      </c>
      <c r="H206" t="s">
        <v>110</v>
      </c>
      <c r="I206">
        <v>3</v>
      </c>
      <c r="J206">
        <v>1</v>
      </c>
      <c r="K206">
        <v>1</v>
      </c>
      <c r="L206">
        <v>5</v>
      </c>
      <c r="M206">
        <v>1</v>
      </c>
      <c r="N206">
        <v>1</v>
      </c>
      <c r="O206">
        <v>1</v>
      </c>
      <c r="P206">
        <v>4</v>
      </c>
      <c r="Q206">
        <v>5</v>
      </c>
    </row>
    <row r="207" spans="1:17" x14ac:dyDescent="0.45">
      <c r="A207" s="19">
        <v>46031.395833333336</v>
      </c>
      <c r="B207" t="s">
        <v>72</v>
      </c>
      <c r="C207" t="s">
        <v>79</v>
      </c>
      <c r="D207" t="s">
        <v>74</v>
      </c>
      <c r="E207" t="s">
        <v>77</v>
      </c>
      <c r="F207" t="s">
        <v>100</v>
      </c>
      <c r="G207" t="s">
        <v>111</v>
      </c>
      <c r="H207" t="s">
        <v>102</v>
      </c>
      <c r="I207">
        <v>8</v>
      </c>
      <c r="J207">
        <v>8</v>
      </c>
      <c r="K207">
        <v>5</v>
      </c>
      <c r="L207">
        <v>7</v>
      </c>
      <c r="M207">
        <v>7</v>
      </c>
      <c r="N207">
        <v>6</v>
      </c>
      <c r="O207">
        <v>6</v>
      </c>
      <c r="P207">
        <v>7</v>
      </c>
      <c r="Q207">
        <v>7</v>
      </c>
    </row>
    <row r="208" spans="1:17" x14ac:dyDescent="0.45">
      <c r="A208" s="19">
        <v>46031.397222222222</v>
      </c>
      <c r="B208" t="s">
        <v>78</v>
      </c>
      <c r="C208" t="s">
        <v>73</v>
      </c>
      <c r="D208" t="s">
        <v>74</v>
      </c>
      <c r="E208" t="s">
        <v>77</v>
      </c>
      <c r="F208" t="s">
        <v>100</v>
      </c>
      <c r="G208" t="s">
        <v>111</v>
      </c>
      <c r="H208" t="s">
        <v>105</v>
      </c>
      <c r="I208">
        <v>4</v>
      </c>
      <c r="J208">
        <v>3</v>
      </c>
      <c r="K208">
        <v>1</v>
      </c>
      <c r="L208">
        <v>2</v>
      </c>
      <c r="M208">
        <v>1</v>
      </c>
      <c r="N208">
        <v>1</v>
      </c>
      <c r="O208">
        <v>1</v>
      </c>
      <c r="P208">
        <v>4</v>
      </c>
      <c r="Q208">
        <v>2</v>
      </c>
    </row>
    <row r="209" spans="1:17" x14ac:dyDescent="0.45">
      <c r="A209" s="19">
        <v>46031.397222222222</v>
      </c>
      <c r="B209" t="s">
        <v>72</v>
      </c>
      <c r="C209" t="s">
        <v>73</v>
      </c>
      <c r="D209" t="s">
        <v>74</v>
      </c>
      <c r="E209" t="s">
        <v>75</v>
      </c>
      <c r="F209" t="s">
        <v>100</v>
      </c>
      <c r="G209" t="s">
        <v>109</v>
      </c>
      <c r="H209" t="s">
        <v>102</v>
      </c>
      <c r="I209">
        <v>7</v>
      </c>
      <c r="J209">
        <v>8</v>
      </c>
      <c r="K209">
        <v>6</v>
      </c>
      <c r="L209">
        <v>7</v>
      </c>
      <c r="M209">
        <v>6</v>
      </c>
      <c r="N209">
        <v>7</v>
      </c>
      <c r="O209">
        <v>6</v>
      </c>
      <c r="P209">
        <v>6</v>
      </c>
      <c r="Q209">
        <v>6</v>
      </c>
    </row>
    <row r="210" spans="1:17" x14ac:dyDescent="0.45">
      <c r="A210" s="19">
        <v>46031.397916666669</v>
      </c>
      <c r="B210" t="s">
        <v>72</v>
      </c>
      <c r="C210" t="s">
        <v>73</v>
      </c>
      <c r="D210" t="s">
        <v>74</v>
      </c>
      <c r="E210" t="s">
        <v>77</v>
      </c>
      <c r="F210" t="s">
        <v>100</v>
      </c>
      <c r="G210" t="s">
        <v>109</v>
      </c>
      <c r="H210" t="s">
        <v>110</v>
      </c>
      <c r="I210">
        <v>6</v>
      </c>
      <c r="J210">
        <v>6</v>
      </c>
      <c r="K210">
        <v>6</v>
      </c>
      <c r="L210">
        <v>6</v>
      </c>
      <c r="M210">
        <v>6</v>
      </c>
      <c r="N210">
        <v>5</v>
      </c>
      <c r="O210">
        <v>6</v>
      </c>
      <c r="P210">
        <v>6</v>
      </c>
      <c r="Q210">
        <v>6</v>
      </c>
    </row>
    <row r="211" spans="1:17" x14ac:dyDescent="0.45">
      <c r="A211" s="19">
        <v>46031.398611111108</v>
      </c>
      <c r="B211" t="s">
        <v>78</v>
      </c>
      <c r="C211" t="s">
        <v>73</v>
      </c>
      <c r="D211" t="s">
        <v>74</v>
      </c>
      <c r="E211" t="s">
        <v>77</v>
      </c>
      <c r="F211" t="s">
        <v>100</v>
      </c>
      <c r="G211" t="s">
        <v>101</v>
      </c>
      <c r="H211" t="s">
        <v>110</v>
      </c>
      <c r="I211">
        <v>7</v>
      </c>
      <c r="J211">
        <v>7</v>
      </c>
      <c r="K211">
        <v>8</v>
      </c>
      <c r="L211">
        <v>8</v>
      </c>
      <c r="M211">
        <v>8</v>
      </c>
      <c r="N211">
        <v>9</v>
      </c>
      <c r="O211">
        <v>8</v>
      </c>
      <c r="P211">
        <v>8</v>
      </c>
      <c r="Q211">
        <v>8</v>
      </c>
    </row>
    <row r="212" spans="1:17" x14ac:dyDescent="0.45">
      <c r="A212" s="19">
        <v>46031.399305555555</v>
      </c>
      <c r="B212" t="s">
        <v>72</v>
      </c>
      <c r="C212" t="s">
        <v>73</v>
      </c>
      <c r="D212" t="s">
        <v>74</v>
      </c>
      <c r="E212" t="s">
        <v>77</v>
      </c>
      <c r="F212" t="s">
        <v>100</v>
      </c>
      <c r="G212" t="s">
        <v>111</v>
      </c>
      <c r="H212" t="s">
        <v>102</v>
      </c>
      <c r="I212">
        <v>7</v>
      </c>
      <c r="J212">
        <v>7</v>
      </c>
      <c r="K212">
        <v>7</v>
      </c>
      <c r="L212">
        <v>7</v>
      </c>
      <c r="M212">
        <v>7</v>
      </c>
      <c r="N212">
        <v>7</v>
      </c>
      <c r="O212">
        <v>7</v>
      </c>
      <c r="P212">
        <v>7</v>
      </c>
      <c r="Q212">
        <v>7</v>
      </c>
    </row>
    <row r="213" spans="1:17" x14ac:dyDescent="0.45">
      <c r="A213" s="19">
        <v>46031.399305555555</v>
      </c>
      <c r="B213" t="s">
        <v>72</v>
      </c>
      <c r="C213" t="s">
        <v>73</v>
      </c>
      <c r="D213" t="s">
        <v>74</v>
      </c>
      <c r="E213" t="s">
        <v>77</v>
      </c>
      <c r="F213" t="s">
        <v>100</v>
      </c>
      <c r="G213" t="s">
        <v>111</v>
      </c>
      <c r="H213" t="s">
        <v>110</v>
      </c>
      <c r="I213">
        <v>5</v>
      </c>
      <c r="J213">
        <v>5</v>
      </c>
      <c r="K213">
        <v>1</v>
      </c>
      <c r="L213">
        <v>5</v>
      </c>
      <c r="M213">
        <v>5</v>
      </c>
      <c r="N213">
        <v>5</v>
      </c>
      <c r="O213">
        <v>4</v>
      </c>
      <c r="P213">
        <v>5</v>
      </c>
      <c r="Q213">
        <v>5</v>
      </c>
    </row>
    <row r="214" spans="1:17" x14ac:dyDescent="0.45">
      <c r="A214" s="19">
        <v>46031.4</v>
      </c>
      <c r="B214" t="s">
        <v>72</v>
      </c>
      <c r="C214" t="s">
        <v>73</v>
      </c>
      <c r="D214" t="s">
        <v>74</v>
      </c>
      <c r="E214" t="s">
        <v>77</v>
      </c>
      <c r="F214" t="s">
        <v>100</v>
      </c>
      <c r="G214" t="s">
        <v>111</v>
      </c>
      <c r="H214" t="s">
        <v>196</v>
      </c>
      <c r="I214">
        <v>7</v>
      </c>
      <c r="J214">
        <v>8</v>
      </c>
      <c r="K214">
        <v>8</v>
      </c>
      <c r="L214">
        <v>8</v>
      </c>
      <c r="M214">
        <v>8</v>
      </c>
      <c r="N214">
        <v>8</v>
      </c>
      <c r="O214">
        <v>8</v>
      </c>
      <c r="P214">
        <v>8</v>
      </c>
      <c r="Q214">
        <v>8</v>
      </c>
    </row>
    <row r="215" spans="1:17" x14ac:dyDescent="0.45">
      <c r="A215" s="19">
        <v>46031.400694444441</v>
      </c>
      <c r="B215" t="s">
        <v>72</v>
      </c>
      <c r="C215" t="s">
        <v>73</v>
      </c>
      <c r="D215" t="s">
        <v>74</v>
      </c>
      <c r="E215" t="s">
        <v>75</v>
      </c>
      <c r="F215" t="s">
        <v>100</v>
      </c>
      <c r="G215" t="s">
        <v>111</v>
      </c>
      <c r="H215" t="s">
        <v>196</v>
      </c>
      <c r="I215">
        <v>9</v>
      </c>
      <c r="J215">
        <v>9</v>
      </c>
      <c r="K215">
        <v>9</v>
      </c>
      <c r="L215">
        <v>9</v>
      </c>
      <c r="M215">
        <v>9</v>
      </c>
      <c r="N215">
        <v>9</v>
      </c>
      <c r="O215">
        <v>9</v>
      </c>
      <c r="P215">
        <v>9</v>
      </c>
      <c r="Q215">
        <v>9</v>
      </c>
    </row>
    <row r="216" spans="1:17" x14ac:dyDescent="0.45">
      <c r="A216" s="19">
        <v>46031.400694444441</v>
      </c>
      <c r="B216" t="s">
        <v>72</v>
      </c>
      <c r="C216" t="s">
        <v>73</v>
      </c>
      <c r="D216" t="s">
        <v>74</v>
      </c>
      <c r="E216" t="s">
        <v>75</v>
      </c>
      <c r="F216" t="s">
        <v>100</v>
      </c>
      <c r="G216" t="s">
        <v>197</v>
      </c>
      <c r="H216" t="s">
        <v>105</v>
      </c>
      <c r="I216">
        <v>5</v>
      </c>
      <c r="J216">
        <v>5</v>
      </c>
      <c r="K216">
        <v>5</v>
      </c>
      <c r="L216">
        <v>5</v>
      </c>
      <c r="M216">
        <v>5</v>
      </c>
      <c r="N216">
        <v>5</v>
      </c>
      <c r="O216">
        <v>5</v>
      </c>
      <c r="P216">
        <v>5</v>
      </c>
      <c r="Q216">
        <v>5</v>
      </c>
    </row>
    <row r="217" spans="1:17" x14ac:dyDescent="0.45">
      <c r="A217" s="19">
        <v>46031.400694444441</v>
      </c>
      <c r="B217" t="s">
        <v>72</v>
      </c>
      <c r="C217" t="s">
        <v>73</v>
      </c>
      <c r="D217" t="s">
        <v>74</v>
      </c>
      <c r="E217" t="s">
        <v>75</v>
      </c>
      <c r="F217" t="s">
        <v>100</v>
      </c>
      <c r="G217" t="s">
        <v>109</v>
      </c>
      <c r="H217" t="s">
        <v>102</v>
      </c>
      <c r="I217">
        <v>6</v>
      </c>
      <c r="J217">
        <v>7</v>
      </c>
      <c r="K217">
        <v>7</v>
      </c>
      <c r="L217">
        <v>7</v>
      </c>
      <c r="M217">
        <v>6</v>
      </c>
      <c r="N217">
        <v>7</v>
      </c>
      <c r="O217">
        <v>7</v>
      </c>
      <c r="P217">
        <v>7</v>
      </c>
      <c r="Q217">
        <v>7</v>
      </c>
    </row>
    <row r="218" spans="1:17" x14ac:dyDescent="0.45">
      <c r="A218" s="19">
        <v>46031.401388888888</v>
      </c>
      <c r="B218" t="s">
        <v>78</v>
      </c>
      <c r="C218" t="s">
        <v>73</v>
      </c>
      <c r="D218" t="s">
        <v>74</v>
      </c>
      <c r="E218" t="s">
        <v>77</v>
      </c>
      <c r="F218" t="s">
        <v>100</v>
      </c>
      <c r="G218" t="s">
        <v>109</v>
      </c>
      <c r="H218" t="s">
        <v>110</v>
      </c>
      <c r="I218">
        <v>5</v>
      </c>
      <c r="J218">
        <v>5</v>
      </c>
      <c r="K218">
        <v>5</v>
      </c>
      <c r="L218">
        <v>6</v>
      </c>
      <c r="M218">
        <v>5</v>
      </c>
      <c r="N218">
        <v>5</v>
      </c>
      <c r="O218">
        <v>5</v>
      </c>
      <c r="P218">
        <v>5</v>
      </c>
      <c r="Q218">
        <v>5</v>
      </c>
    </row>
    <row r="219" spans="1:17" x14ac:dyDescent="0.45">
      <c r="A219" s="19">
        <v>46031.402083333334</v>
      </c>
      <c r="B219" t="s">
        <v>72</v>
      </c>
      <c r="C219" t="s">
        <v>73</v>
      </c>
      <c r="D219" t="s">
        <v>74</v>
      </c>
      <c r="E219" t="s">
        <v>77</v>
      </c>
      <c r="F219" t="s">
        <v>100</v>
      </c>
      <c r="G219" t="s">
        <v>111</v>
      </c>
      <c r="H219" t="s">
        <v>106</v>
      </c>
      <c r="I219">
        <v>6</v>
      </c>
      <c r="J219">
        <v>7</v>
      </c>
      <c r="K219">
        <v>7</v>
      </c>
      <c r="L219">
        <v>7</v>
      </c>
      <c r="M219">
        <v>7</v>
      </c>
      <c r="N219">
        <v>7</v>
      </c>
      <c r="O219">
        <v>7</v>
      </c>
      <c r="P219">
        <v>7</v>
      </c>
      <c r="Q219">
        <v>7</v>
      </c>
    </row>
    <row r="220" spans="1:17" x14ac:dyDescent="0.45">
      <c r="A220" s="19">
        <v>46031.402777777781</v>
      </c>
      <c r="B220" t="s">
        <v>78</v>
      </c>
      <c r="C220" t="s">
        <v>194</v>
      </c>
      <c r="D220" t="s">
        <v>74</v>
      </c>
      <c r="E220" t="s">
        <v>75</v>
      </c>
      <c r="F220" t="s">
        <v>100</v>
      </c>
      <c r="G220" t="s">
        <v>108</v>
      </c>
      <c r="H220" t="s">
        <v>105</v>
      </c>
      <c r="I220">
        <v>7</v>
      </c>
      <c r="J220">
        <v>8</v>
      </c>
      <c r="K220">
        <v>8</v>
      </c>
      <c r="L220">
        <v>8</v>
      </c>
      <c r="M220">
        <v>8</v>
      </c>
      <c r="N220">
        <v>5</v>
      </c>
      <c r="O220">
        <v>5</v>
      </c>
      <c r="P220">
        <v>7</v>
      </c>
      <c r="Q220">
        <v>6</v>
      </c>
    </row>
    <row r="221" spans="1:17" x14ac:dyDescent="0.45">
      <c r="A221" s="19">
        <v>46031.402777777781</v>
      </c>
      <c r="B221" t="s">
        <v>72</v>
      </c>
      <c r="C221" t="s">
        <v>192</v>
      </c>
      <c r="D221" t="s">
        <v>74</v>
      </c>
      <c r="E221" t="s">
        <v>75</v>
      </c>
      <c r="F221" t="s">
        <v>100</v>
      </c>
      <c r="G221" t="s">
        <v>108</v>
      </c>
      <c r="H221" t="s">
        <v>102</v>
      </c>
      <c r="I221">
        <v>10</v>
      </c>
      <c r="J221">
        <v>10</v>
      </c>
      <c r="K221">
        <v>6</v>
      </c>
      <c r="L221">
        <v>9</v>
      </c>
      <c r="M221">
        <v>9</v>
      </c>
      <c r="N221">
        <v>9</v>
      </c>
      <c r="O221">
        <v>9</v>
      </c>
      <c r="P221">
        <v>8</v>
      </c>
      <c r="Q221">
        <v>8</v>
      </c>
    </row>
    <row r="222" spans="1:17" x14ac:dyDescent="0.45">
      <c r="A222" s="19">
        <v>46031.40347222222</v>
      </c>
      <c r="B222" t="s">
        <v>72</v>
      </c>
      <c r="C222" t="s">
        <v>79</v>
      </c>
      <c r="D222" t="s">
        <v>74</v>
      </c>
      <c r="E222" t="s">
        <v>77</v>
      </c>
      <c r="F222" t="s">
        <v>100</v>
      </c>
      <c r="G222" t="s">
        <v>111</v>
      </c>
      <c r="H222" t="s">
        <v>102</v>
      </c>
      <c r="I222">
        <v>4</v>
      </c>
      <c r="J222">
        <v>4</v>
      </c>
      <c r="K222">
        <v>4</v>
      </c>
      <c r="L222">
        <v>6</v>
      </c>
      <c r="M222">
        <v>5</v>
      </c>
      <c r="N222">
        <v>6</v>
      </c>
      <c r="O222">
        <v>5</v>
      </c>
      <c r="P222">
        <v>6</v>
      </c>
      <c r="Q222">
        <v>5</v>
      </c>
    </row>
    <row r="223" spans="1:17" x14ac:dyDescent="0.45">
      <c r="A223" s="19">
        <v>46031.404861111114</v>
      </c>
      <c r="B223" t="s">
        <v>72</v>
      </c>
      <c r="C223" t="s">
        <v>192</v>
      </c>
      <c r="D223" t="s">
        <v>74</v>
      </c>
      <c r="E223" t="s">
        <v>77</v>
      </c>
      <c r="F223" t="s">
        <v>100</v>
      </c>
      <c r="G223" t="s">
        <v>111</v>
      </c>
      <c r="H223" t="s">
        <v>105</v>
      </c>
      <c r="I223">
        <v>4</v>
      </c>
      <c r="J223">
        <v>5</v>
      </c>
      <c r="K223">
        <v>4</v>
      </c>
      <c r="L223">
        <v>5</v>
      </c>
      <c r="M223">
        <v>5</v>
      </c>
      <c r="N223">
        <v>5</v>
      </c>
      <c r="O223">
        <v>5</v>
      </c>
      <c r="P223">
        <v>5</v>
      </c>
      <c r="Q223">
        <v>5</v>
      </c>
    </row>
    <row r="224" spans="1:17" x14ac:dyDescent="0.45">
      <c r="A224" s="19">
        <v>46031.405555555553</v>
      </c>
      <c r="B224" t="s">
        <v>78</v>
      </c>
      <c r="C224" t="s">
        <v>73</v>
      </c>
      <c r="D224" t="s">
        <v>74</v>
      </c>
      <c r="E224" t="s">
        <v>77</v>
      </c>
      <c r="F224" t="s">
        <v>100</v>
      </c>
      <c r="G224" t="s">
        <v>111</v>
      </c>
      <c r="H224" t="s">
        <v>105</v>
      </c>
      <c r="I224">
        <v>6</v>
      </c>
      <c r="J224">
        <v>6</v>
      </c>
      <c r="K224">
        <v>7</v>
      </c>
      <c r="L224">
        <v>7</v>
      </c>
      <c r="M224">
        <v>6</v>
      </c>
      <c r="N224">
        <v>6</v>
      </c>
      <c r="O224">
        <v>8</v>
      </c>
      <c r="P224">
        <v>8</v>
      </c>
      <c r="Q224">
        <v>7</v>
      </c>
    </row>
    <row r="225" spans="1:17" x14ac:dyDescent="0.45">
      <c r="A225" s="19">
        <v>46031.405555555553</v>
      </c>
      <c r="B225" t="s">
        <v>72</v>
      </c>
      <c r="C225" t="s">
        <v>73</v>
      </c>
      <c r="D225" t="s">
        <v>74</v>
      </c>
      <c r="E225" t="s">
        <v>75</v>
      </c>
      <c r="F225" t="s">
        <v>100</v>
      </c>
      <c r="G225" t="s">
        <v>111</v>
      </c>
      <c r="H225" t="s">
        <v>110</v>
      </c>
      <c r="I225">
        <v>7</v>
      </c>
      <c r="J225">
        <v>7</v>
      </c>
      <c r="K225">
        <v>7</v>
      </c>
      <c r="L225">
        <v>7</v>
      </c>
      <c r="M225">
        <v>7</v>
      </c>
      <c r="N225">
        <v>7</v>
      </c>
      <c r="O225">
        <v>7</v>
      </c>
      <c r="P225">
        <v>7</v>
      </c>
      <c r="Q225">
        <v>7</v>
      </c>
    </row>
    <row r="226" spans="1:17" x14ac:dyDescent="0.45">
      <c r="A226" s="19">
        <v>46031.40625</v>
      </c>
      <c r="B226" t="s">
        <v>72</v>
      </c>
      <c r="C226" t="s">
        <v>73</v>
      </c>
      <c r="D226" t="s">
        <v>74</v>
      </c>
      <c r="E226" t="s">
        <v>77</v>
      </c>
      <c r="F226" t="s">
        <v>100</v>
      </c>
      <c r="G226" t="s">
        <v>109</v>
      </c>
      <c r="H226" t="s">
        <v>102</v>
      </c>
      <c r="I226">
        <v>6</v>
      </c>
      <c r="J226">
        <v>6</v>
      </c>
      <c r="K226">
        <v>7</v>
      </c>
      <c r="L226">
        <v>7</v>
      </c>
      <c r="M226">
        <v>5</v>
      </c>
      <c r="N226">
        <v>6</v>
      </c>
      <c r="O226">
        <v>6</v>
      </c>
      <c r="P226">
        <v>6</v>
      </c>
      <c r="Q226">
        <v>7</v>
      </c>
    </row>
    <row r="227" spans="1:17" x14ac:dyDescent="0.45">
      <c r="A227" s="19">
        <v>46031.406944444447</v>
      </c>
      <c r="B227" t="s">
        <v>72</v>
      </c>
      <c r="C227" t="s">
        <v>194</v>
      </c>
      <c r="D227" t="s">
        <v>74</v>
      </c>
      <c r="E227" t="s">
        <v>75</v>
      </c>
      <c r="F227" t="s">
        <v>100</v>
      </c>
      <c r="G227" t="s">
        <v>107</v>
      </c>
      <c r="H227" t="s">
        <v>105</v>
      </c>
      <c r="I227">
        <v>7</v>
      </c>
      <c r="J227">
        <v>7</v>
      </c>
      <c r="K227">
        <v>6</v>
      </c>
      <c r="L227">
        <v>7</v>
      </c>
      <c r="M227">
        <v>7</v>
      </c>
      <c r="N227">
        <v>7</v>
      </c>
      <c r="O227">
        <v>7</v>
      </c>
      <c r="P227">
        <v>7</v>
      </c>
      <c r="Q227">
        <v>7</v>
      </c>
    </row>
    <row r="228" spans="1:17" x14ac:dyDescent="0.45">
      <c r="A228" s="19">
        <v>46031.407638888886</v>
      </c>
      <c r="B228" t="s">
        <v>72</v>
      </c>
      <c r="C228" t="s">
        <v>81</v>
      </c>
      <c r="D228" t="s">
        <v>74</v>
      </c>
      <c r="E228" t="s">
        <v>77</v>
      </c>
      <c r="F228" t="s">
        <v>100</v>
      </c>
      <c r="G228" t="s">
        <v>101</v>
      </c>
      <c r="H228" t="s">
        <v>110</v>
      </c>
      <c r="I228">
        <v>6</v>
      </c>
      <c r="J228">
        <v>6</v>
      </c>
      <c r="K228">
        <v>6</v>
      </c>
      <c r="L228">
        <v>6</v>
      </c>
      <c r="M228">
        <v>6</v>
      </c>
      <c r="N228">
        <v>6</v>
      </c>
      <c r="O228">
        <v>6</v>
      </c>
      <c r="P228">
        <v>6</v>
      </c>
      <c r="Q228">
        <v>6</v>
      </c>
    </row>
    <row r="229" spans="1:17" x14ac:dyDescent="0.45">
      <c r="A229" s="19">
        <v>46031.407638888886</v>
      </c>
      <c r="B229" t="s">
        <v>72</v>
      </c>
      <c r="C229" t="s">
        <v>81</v>
      </c>
      <c r="D229" t="s">
        <v>74</v>
      </c>
      <c r="E229" t="s">
        <v>77</v>
      </c>
      <c r="F229" t="s">
        <v>100</v>
      </c>
      <c r="G229" t="s">
        <v>197</v>
      </c>
      <c r="H229" t="s">
        <v>105</v>
      </c>
      <c r="I229">
        <v>8</v>
      </c>
      <c r="J229">
        <v>9</v>
      </c>
      <c r="K229">
        <v>7</v>
      </c>
      <c r="L229">
        <v>8</v>
      </c>
      <c r="M229">
        <v>9</v>
      </c>
      <c r="N229">
        <v>8</v>
      </c>
      <c r="O229">
        <v>8</v>
      </c>
      <c r="P229">
        <v>8</v>
      </c>
      <c r="Q229">
        <v>8</v>
      </c>
    </row>
    <row r="230" spans="1:17" x14ac:dyDescent="0.45">
      <c r="A230" s="19">
        <v>46031.408333333333</v>
      </c>
      <c r="B230" t="s">
        <v>72</v>
      </c>
      <c r="C230" t="s">
        <v>73</v>
      </c>
      <c r="D230" t="s">
        <v>74</v>
      </c>
      <c r="E230" t="s">
        <v>77</v>
      </c>
      <c r="F230" t="s">
        <v>100</v>
      </c>
      <c r="G230" t="s">
        <v>111</v>
      </c>
      <c r="H230" t="s">
        <v>105</v>
      </c>
      <c r="I230">
        <v>6</v>
      </c>
      <c r="J230">
        <v>6</v>
      </c>
      <c r="K230">
        <v>6</v>
      </c>
      <c r="L230">
        <v>6</v>
      </c>
      <c r="M230">
        <v>6</v>
      </c>
      <c r="N230">
        <v>7</v>
      </c>
      <c r="O230">
        <v>6</v>
      </c>
      <c r="P230">
        <v>6</v>
      </c>
      <c r="Q230">
        <v>7</v>
      </c>
    </row>
    <row r="231" spans="1:17" x14ac:dyDescent="0.45">
      <c r="A231" s="19">
        <v>46031.40902777778</v>
      </c>
      <c r="B231" t="s">
        <v>72</v>
      </c>
      <c r="C231" t="s">
        <v>79</v>
      </c>
      <c r="D231" t="s">
        <v>74</v>
      </c>
      <c r="E231" t="s">
        <v>75</v>
      </c>
      <c r="F231" t="s">
        <v>100</v>
      </c>
      <c r="G231" t="s">
        <v>107</v>
      </c>
      <c r="H231" t="s">
        <v>196</v>
      </c>
      <c r="I231">
        <v>4</v>
      </c>
      <c r="J231">
        <v>5</v>
      </c>
      <c r="K231">
        <v>1</v>
      </c>
      <c r="L231">
        <v>6</v>
      </c>
      <c r="M231">
        <v>4</v>
      </c>
      <c r="N231">
        <v>4</v>
      </c>
      <c r="O231">
        <v>5</v>
      </c>
      <c r="P231">
        <v>5</v>
      </c>
      <c r="Q231">
        <v>5</v>
      </c>
    </row>
    <row r="232" spans="1:17" x14ac:dyDescent="0.45">
      <c r="A232" s="19">
        <v>46031.40902777778</v>
      </c>
      <c r="B232" t="s">
        <v>78</v>
      </c>
      <c r="C232" t="s">
        <v>194</v>
      </c>
      <c r="D232" t="s">
        <v>74</v>
      </c>
      <c r="E232" t="s">
        <v>75</v>
      </c>
      <c r="F232" t="s">
        <v>100</v>
      </c>
      <c r="G232" t="s">
        <v>108</v>
      </c>
      <c r="H232" t="s">
        <v>196</v>
      </c>
      <c r="I232">
        <v>8</v>
      </c>
      <c r="J232">
        <v>8</v>
      </c>
      <c r="K232">
        <v>8</v>
      </c>
      <c r="L232">
        <v>8</v>
      </c>
      <c r="M232">
        <v>7</v>
      </c>
      <c r="N232">
        <v>7</v>
      </c>
      <c r="O232">
        <v>8</v>
      </c>
      <c r="P232">
        <v>7</v>
      </c>
      <c r="Q232">
        <v>8</v>
      </c>
    </row>
    <row r="233" spans="1:17" x14ac:dyDescent="0.45">
      <c r="A233" s="19">
        <v>46031.409722222219</v>
      </c>
      <c r="B233" t="s">
        <v>78</v>
      </c>
      <c r="C233" t="s">
        <v>73</v>
      </c>
      <c r="D233" t="s">
        <v>74</v>
      </c>
      <c r="E233" t="s">
        <v>77</v>
      </c>
      <c r="F233" t="s">
        <v>100</v>
      </c>
      <c r="G233" t="s">
        <v>111</v>
      </c>
      <c r="H233" t="s">
        <v>105</v>
      </c>
      <c r="I233">
        <v>6</v>
      </c>
      <c r="J233">
        <v>6</v>
      </c>
      <c r="K233">
        <v>6</v>
      </c>
      <c r="L233">
        <v>6</v>
      </c>
      <c r="M233">
        <v>6</v>
      </c>
      <c r="N233">
        <v>6</v>
      </c>
      <c r="O233">
        <v>6</v>
      </c>
      <c r="P233">
        <v>6</v>
      </c>
      <c r="Q233">
        <v>6</v>
      </c>
    </row>
    <row r="234" spans="1:17" x14ac:dyDescent="0.45">
      <c r="A234" s="19">
        <v>46031.409722222219</v>
      </c>
      <c r="B234" t="s">
        <v>72</v>
      </c>
      <c r="C234" t="s">
        <v>79</v>
      </c>
      <c r="D234" t="s">
        <v>74</v>
      </c>
      <c r="E234" t="s">
        <v>77</v>
      </c>
      <c r="F234" t="s">
        <v>100</v>
      </c>
      <c r="G234" t="s">
        <v>104</v>
      </c>
      <c r="H234" t="s">
        <v>102</v>
      </c>
      <c r="I234">
        <v>8</v>
      </c>
      <c r="J234">
        <v>8</v>
      </c>
      <c r="K234">
        <v>8</v>
      </c>
      <c r="L234">
        <v>8</v>
      </c>
      <c r="M234">
        <v>9</v>
      </c>
      <c r="N234">
        <v>8</v>
      </c>
      <c r="O234">
        <v>8</v>
      </c>
      <c r="P234">
        <v>8</v>
      </c>
      <c r="Q234">
        <v>10</v>
      </c>
    </row>
    <row r="235" spans="1:17" x14ac:dyDescent="0.45">
      <c r="A235" s="19">
        <v>46031.409722222219</v>
      </c>
      <c r="B235" t="s">
        <v>72</v>
      </c>
      <c r="C235" t="s">
        <v>192</v>
      </c>
      <c r="D235" t="s">
        <v>74</v>
      </c>
      <c r="E235" t="s">
        <v>75</v>
      </c>
      <c r="F235" t="s">
        <v>100</v>
      </c>
      <c r="G235" t="s">
        <v>107</v>
      </c>
      <c r="H235" t="s">
        <v>106</v>
      </c>
      <c r="I235">
        <v>4</v>
      </c>
      <c r="J235">
        <v>4</v>
      </c>
      <c r="K235">
        <v>4</v>
      </c>
      <c r="L235">
        <v>4</v>
      </c>
      <c r="M235">
        <v>1</v>
      </c>
      <c r="N235">
        <v>3</v>
      </c>
      <c r="O235">
        <v>1</v>
      </c>
      <c r="P235">
        <v>1</v>
      </c>
      <c r="Q235">
        <v>1</v>
      </c>
    </row>
    <row r="236" spans="1:17" x14ac:dyDescent="0.45">
      <c r="A236" s="19">
        <v>46031.410416666666</v>
      </c>
      <c r="B236" t="s">
        <v>72</v>
      </c>
      <c r="C236" t="s">
        <v>73</v>
      </c>
      <c r="D236" t="s">
        <v>74</v>
      </c>
      <c r="E236" t="s">
        <v>77</v>
      </c>
      <c r="F236" t="s">
        <v>100</v>
      </c>
      <c r="G236" t="s">
        <v>109</v>
      </c>
      <c r="H236" t="s">
        <v>110</v>
      </c>
      <c r="I236">
        <v>6</v>
      </c>
      <c r="J236">
        <v>6</v>
      </c>
      <c r="K236">
        <v>1</v>
      </c>
      <c r="L236">
        <v>6</v>
      </c>
      <c r="M236">
        <v>5</v>
      </c>
      <c r="N236">
        <v>6</v>
      </c>
      <c r="O236">
        <v>5</v>
      </c>
      <c r="P236">
        <v>6</v>
      </c>
      <c r="Q236">
        <v>6</v>
      </c>
    </row>
    <row r="237" spans="1:17" x14ac:dyDescent="0.45">
      <c r="A237" s="19">
        <v>46031.411111111112</v>
      </c>
      <c r="B237" t="s">
        <v>72</v>
      </c>
      <c r="C237" t="s">
        <v>73</v>
      </c>
      <c r="D237" t="s">
        <v>74</v>
      </c>
      <c r="E237" t="s">
        <v>75</v>
      </c>
      <c r="F237" t="s">
        <v>100</v>
      </c>
      <c r="G237" t="s">
        <v>111</v>
      </c>
      <c r="H237" t="s">
        <v>106</v>
      </c>
      <c r="I237">
        <v>7</v>
      </c>
      <c r="J237">
        <v>7</v>
      </c>
      <c r="K237">
        <v>7</v>
      </c>
      <c r="L237">
        <v>7</v>
      </c>
      <c r="M237">
        <v>7</v>
      </c>
      <c r="N237">
        <v>7</v>
      </c>
      <c r="O237">
        <v>7</v>
      </c>
      <c r="P237">
        <v>7</v>
      </c>
      <c r="Q237">
        <v>7</v>
      </c>
    </row>
    <row r="238" spans="1:17" x14ac:dyDescent="0.45">
      <c r="A238" s="19">
        <v>46031.418749999997</v>
      </c>
      <c r="B238" t="s">
        <v>78</v>
      </c>
      <c r="C238" t="s">
        <v>73</v>
      </c>
      <c r="D238" t="s">
        <v>74</v>
      </c>
      <c r="E238" t="s">
        <v>75</v>
      </c>
      <c r="F238" t="s">
        <v>103</v>
      </c>
      <c r="G238" t="s">
        <v>104</v>
      </c>
      <c r="H238" t="s">
        <v>106</v>
      </c>
      <c r="I238">
        <v>10</v>
      </c>
      <c r="J238">
        <v>10</v>
      </c>
      <c r="K238">
        <v>4</v>
      </c>
      <c r="L238">
        <v>6</v>
      </c>
      <c r="M238">
        <v>3</v>
      </c>
      <c r="N238">
        <v>1</v>
      </c>
      <c r="O238">
        <v>1</v>
      </c>
      <c r="P238">
        <v>3</v>
      </c>
      <c r="Q238">
        <v>1</v>
      </c>
    </row>
    <row r="239" spans="1:17" x14ac:dyDescent="0.45">
      <c r="A239" s="19">
        <v>46031.427083333336</v>
      </c>
      <c r="B239" t="s">
        <v>72</v>
      </c>
      <c r="C239" t="s">
        <v>73</v>
      </c>
      <c r="D239" t="s">
        <v>74</v>
      </c>
      <c r="E239" t="s">
        <v>75</v>
      </c>
      <c r="F239" t="s">
        <v>100</v>
      </c>
      <c r="G239" t="s">
        <v>101</v>
      </c>
      <c r="H239" t="s">
        <v>102</v>
      </c>
      <c r="I239">
        <v>8</v>
      </c>
      <c r="J239">
        <v>10</v>
      </c>
      <c r="K239">
        <v>8</v>
      </c>
      <c r="L239">
        <v>10</v>
      </c>
      <c r="M239">
        <v>9</v>
      </c>
      <c r="N239">
        <v>8</v>
      </c>
      <c r="O239">
        <v>7</v>
      </c>
      <c r="P239">
        <v>9</v>
      </c>
      <c r="Q239">
        <v>9</v>
      </c>
    </row>
    <row r="240" spans="1:17" x14ac:dyDescent="0.45">
      <c r="A240" s="19">
        <v>46031.440972222219</v>
      </c>
      <c r="B240" t="s">
        <v>78</v>
      </c>
      <c r="C240" t="s">
        <v>194</v>
      </c>
      <c r="D240" t="s">
        <v>74</v>
      </c>
      <c r="E240" t="s">
        <v>75</v>
      </c>
      <c r="F240" t="s">
        <v>100</v>
      </c>
      <c r="G240" t="s">
        <v>107</v>
      </c>
      <c r="H240" t="s">
        <v>196</v>
      </c>
      <c r="I240">
        <v>6</v>
      </c>
      <c r="J240">
        <v>6</v>
      </c>
      <c r="K240">
        <v>6</v>
      </c>
      <c r="L240">
        <v>6</v>
      </c>
      <c r="M240">
        <v>6</v>
      </c>
      <c r="N240">
        <v>6</v>
      </c>
      <c r="O240">
        <v>6</v>
      </c>
      <c r="P240">
        <v>7</v>
      </c>
      <c r="Q240">
        <v>6</v>
      </c>
    </row>
    <row r="241" spans="1:17" x14ac:dyDescent="0.45">
      <c r="A241" s="19">
        <v>46031.441666666666</v>
      </c>
      <c r="B241" t="s">
        <v>72</v>
      </c>
      <c r="C241" t="s">
        <v>73</v>
      </c>
      <c r="D241" t="s">
        <v>74</v>
      </c>
      <c r="E241" t="s">
        <v>77</v>
      </c>
      <c r="F241" t="s">
        <v>100</v>
      </c>
      <c r="G241" t="s">
        <v>111</v>
      </c>
      <c r="H241" t="s">
        <v>106</v>
      </c>
      <c r="I241">
        <v>8</v>
      </c>
      <c r="J241">
        <v>8</v>
      </c>
      <c r="K241">
        <v>8</v>
      </c>
      <c r="L241">
        <v>8</v>
      </c>
      <c r="M241">
        <v>8</v>
      </c>
      <c r="N241">
        <v>8</v>
      </c>
      <c r="O241">
        <v>8</v>
      </c>
      <c r="P241">
        <v>8</v>
      </c>
      <c r="Q241">
        <v>8</v>
      </c>
    </row>
    <row r="242" spans="1:17" x14ac:dyDescent="0.45">
      <c r="A242" s="19">
        <v>46031.441666666666</v>
      </c>
      <c r="B242" t="s">
        <v>72</v>
      </c>
      <c r="C242" t="s">
        <v>73</v>
      </c>
      <c r="D242" t="s">
        <v>74</v>
      </c>
      <c r="E242" t="s">
        <v>75</v>
      </c>
      <c r="F242" t="s">
        <v>100</v>
      </c>
      <c r="G242" t="s">
        <v>111</v>
      </c>
      <c r="H242" t="s">
        <v>102</v>
      </c>
      <c r="I242">
        <v>7</v>
      </c>
      <c r="J242">
        <v>6</v>
      </c>
      <c r="K242">
        <v>7</v>
      </c>
      <c r="L242">
        <v>7</v>
      </c>
      <c r="M242">
        <v>8</v>
      </c>
      <c r="N242">
        <v>8</v>
      </c>
      <c r="O242">
        <v>8</v>
      </c>
      <c r="P242">
        <v>8</v>
      </c>
      <c r="Q242">
        <v>8</v>
      </c>
    </row>
    <row r="243" spans="1:17" x14ac:dyDescent="0.45">
      <c r="A243" s="19">
        <v>46031.441666666666</v>
      </c>
      <c r="B243" t="s">
        <v>78</v>
      </c>
      <c r="C243" t="s">
        <v>73</v>
      </c>
      <c r="D243" t="s">
        <v>74</v>
      </c>
      <c r="E243" t="s">
        <v>77</v>
      </c>
      <c r="F243" t="s">
        <v>100</v>
      </c>
      <c r="G243" t="s">
        <v>111</v>
      </c>
      <c r="H243" t="s">
        <v>105</v>
      </c>
      <c r="I243">
        <v>6</v>
      </c>
      <c r="J243">
        <v>5</v>
      </c>
      <c r="K243">
        <v>5</v>
      </c>
      <c r="L243">
        <v>7</v>
      </c>
      <c r="M243">
        <v>7</v>
      </c>
      <c r="N243">
        <v>7</v>
      </c>
      <c r="O243">
        <v>7</v>
      </c>
      <c r="P243">
        <v>8</v>
      </c>
      <c r="Q243">
        <v>8</v>
      </c>
    </row>
    <row r="244" spans="1:17" x14ac:dyDescent="0.45">
      <c r="A244" s="19">
        <v>46031.442361111112</v>
      </c>
      <c r="B244" t="s">
        <v>78</v>
      </c>
      <c r="C244" t="s">
        <v>192</v>
      </c>
      <c r="D244" t="s">
        <v>74</v>
      </c>
      <c r="E244" t="s">
        <v>77</v>
      </c>
      <c r="F244" t="s">
        <v>100</v>
      </c>
      <c r="G244" t="s">
        <v>107</v>
      </c>
      <c r="H244" t="s">
        <v>105</v>
      </c>
      <c r="I244">
        <v>6</v>
      </c>
      <c r="J244">
        <v>6</v>
      </c>
      <c r="K244">
        <v>6</v>
      </c>
      <c r="L244">
        <v>6</v>
      </c>
      <c r="M244">
        <v>6</v>
      </c>
      <c r="N244">
        <v>6</v>
      </c>
      <c r="O244">
        <v>6</v>
      </c>
      <c r="P244">
        <v>6</v>
      </c>
      <c r="Q244">
        <v>6</v>
      </c>
    </row>
    <row r="245" spans="1:17" x14ac:dyDescent="0.45">
      <c r="A245" s="19">
        <v>46031.442361111112</v>
      </c>
      <c r="B245" t="s">
        <v>72</v>
      </c>
      <c r="C245" t="s">
        <v>79</v>
      </c>
      <c r="D245" t="s">
        <v>74</v>
      </c>
      <c r="E245" t="s">
        <v>75</v>
      </c>
      <c r="F245" t="s">
        <v>100</v>
      </c>
      <c r="G245" t="s">
        <v>111</v>
      </c>
      <c r="H245" t="s">
        <v>106</v>
      </c>
      <c r="I245">
        <v>7</v>
      </c>
      <c r="J245">
        <v>6</v>
      </c>
      <c r="K245">
        <v>6</v>
      </c>
      <c r="L245">
        <v>8</v>
      </c>
      <c r="M245">
        <v>6</v>
      </c>
      <c r="N245">
        <v>6</v>
      </c>
      <c r="O245">
        <v>6</v>
      </c>
      <c r="P245">
        <v>6</v>
      </c>
      <c r="Q245">
        <v>6</v>
      </c>
    </row>
    <row r="246" spans="1:17" x14ac:dyDescent="0.45">
      <c r="A246" s="19">
        <v>46031.443055555559</v>
      </c>
      <c r="B246" t="s">
        <v>78</v>
      </c>
      <c r="C246" t="s">
        <v>79</v>
      </c>
      <c r="D246" t="s">
        <v>74</v>
      </c>
      <c r="E246" t="s">
        <v>75</v>
      </c>
      <c r="F246" t="s">
        <v>100</v>
      </c>
      <c r="G246" t="s">
        <v>108</v>
      </c>
      <c r="H246" t="s">
        <v>110</v>
      </c>
      <c r="I246">
        <v>4</v>
      </c>
      <c r="J246">
        <v>4</v>
      </c>
      <c r="K246">
        <v>1</v>
      </c>
      <c r="L246">
        <v>4</v>
      </c>
      <c r="M246">
        <v>4</v>
      </c>
      <c r="N246">
        <v>4</v>
      </c>
      <c r="O246">
        <v>5</v>
      </c>
      <c r="P246">
        <v>5</v>
      </c>
      <c r="Q246">
        <v>5</v>
      </c>
    </row>
    <row r="247" spans="1:17" x14ac:dyDescent="0.45">
      <c r="A247" s="19">
        <v>46031.443749999999</v>
      </c>
      <c r="B247" t="s">
        <v>78</v>
      </c>
      <c r="C247" t="s">
        <v>73</v>
      </c>
      <c r="D247" t="s">
        <v>74</v>
      </c>
      <c r="E247" t="s">
        <v>77</v>
      </c>
      <c r="F247" t="s">
        <v>100</v>
      </c>
      <c r="G247" t="s">
        <v>101</v>
      </c>
      <c r="H247" t="s">
        <v>110</v>
      </c>
      <c r="I247">
        <v>6</v>
      </c>
      <c r="J247">
        <v>7</v>
      </c>
      <c r="K247">
        <v>7</v>
      </c>
      <c r="L247">
        <v>7</v>
      </c>
      <c r="M247">
        <v>7</v>
      </c>
      <c r="N247">
        <v>7</v>
      </c>
      <c r="O247">
        <v>7</v>
      </c>
      <c r="P247">
        <v>7</v>
      </c>
      <c r="Q247">
        <v>7</v>
      </c>
    </row>
    <row r="248" spans="1:17" x14ac:dyDescent="0.45">
      <c r="A248" s="19">
        <v>46031.444444444445</v>
      </c>
      <c r="B248" t="s">
        <v>72</v>
      </c>
      <c r="C248" t="s">
        <v>192</v>
      </c>
      <c r="D248" t="s">
        <v>74</v>
      </c>
      <c r="E248" t="s">
        <v>75</v>
      </c>
      <c r="F248" t="s">
        <v>100</v>
      </c>
      <c r="G248" t="s">
        <v>111</v>
      </c>
      <c r="H248" t="s">
        <v>196</v>
      </c>
      <c r="I248">
        <v>8</v>
      </c>
      <c r="J248">
        <v>8</v>
      </c>
      <c r="K248">
        <v>8</v>
      </c>
      <c r="L248">
        <v>8</v>
      </c>
      <c r="M248">
        <v>8</v>
      </c>
      <c r="N248">
        <v>8</v>
      </c>
      <c r="O248">
        <v>8</v>
      </c>
      <c r="P248">
        <v>8</v>
      </c>
      <c r="Q248">
        <v>8</v>
      </c>
    </row>
    <row r="249" spans="1:17" x14ac:dyDescent="0.45">
      <c r="A249" s="19">
        <v>46031.464583333334</v>
      </c>
      <c r="B249" t="s">
        <v>72</v>
      </c>
      <c r="C249" t="s">
        <v>79</v>
      </c>
      <c r="D249" t="s">
        <v>74</v>
      </c>
      <c r="E249" t="s">
        <v>77</v>
      </c>
      <c r="F249" t="s">
        <v>100</v>
      </c>
      <c r="G249" t="s">
        <v>109</v>
      </c>
      <c r="H249" t="s">
        <v>102</v>
      </c>
      <c r="I249">
        <v>7</v>
      </c>
      <c r="J249">
        <v>7</v>
      </c>
      <c r="K249">
        <v>7</v>
      </c>
      <c r="L249">
        <v>7</v>
      </c>
      <c r="M249">
        <v>7</v>
      </c>
      <c r="N249">
        <v>7</v>
      </c>
      <c r="O249">
        <v>7</v>
      </c>
      <c r="P249">
        <v>7</v>
      </c>
      <c r="Q249">
        <v>7</v>
      </c>
    </row>
    <row r="250" spans="1:17" x14ac:dyDescent="0.45">
      <c r="A250" s="19">
        <v>46031.464583333334</v>
      </c>
      <c r="B250" t="s">
        <v>78</v>
      </c>
      <c r="C250" t="s">
        <v>194</v>
      </c>
      <c r="D250" t="s">
        <v>74</v>
      </c>
      <c r="E250" t="s">
        <v>75</v>
      </c>
      <c r="F250" t="s">
        <v>100</v>
      </c>
      <c r="G250" t="s">
        <v>107</v>
      </c>
      <c r="H250" t="s">
        <v>106</v>
      </c>
      <c r="I250">
        <v>9</v>
      </c>
      <c r="J250">
        <v>9</v>
      </c>
      <c r="K250">
        <v>9</v>
      </c>
      <c r="L250">
        <v>9</v>
      </c>
      <c r="M250">
        <v>9</v>
      </c>
      <c r="N250">
        <v>9</v>
      </c>
      <c r="O250">
        <v>9</v>
      </c>
      <c r="P250">
        <v>9</v>
      </c>
      <c r="Q250">
        <v>9</v>
      </c>
    </row>
    <row r="251" spans="1:17" x14ac:dyDescent="0.45">
      <c r="A251" s="19">
        <v>46031.465277777781</v>
      </c>
      <c r="B251" t="s">
        <v>72</v>
      </c>
      <c r="C251" t="s">
        <v>73</v>
      </c>
      <c r="D251" t="s">
        <v>74</v>
      </c>
      <c r="E251" t="s">
        <v>77</v>
      </c>
      <c r="F251" t="s">
        <v>100</v>
      </c>
      <c r="G251" t="s">
        <v>111</v>
      </c>
      <c r="H251" t="s">
        <v>106</v>
      </c>
      <c r="I251">
        <v>7</v>
      </c>
      <c r="J251">
        <v>6</v>
      </c>
      <c r="K251">
        <v>5</v>
      </c>
      <c r="L251">
        <v>6</v>
      </c>
      <c r="M251">
        <v>6</v>
      </c>
      <c r="N251">
        <v>6</v>
      </c>
      <c r="O251">
        <v>6</v>
      </c>
      <c r="P251">
        <v>6</v>
      </c>
      <c r="Q251">
        <v>7</v>
      </c>
    </row>
    <row r="252" spans="1:17" x14ac:dyDescent="0.45">
      <c r="A252" s="19">
        <v>46031.465277777781</v>
      </c>
      <c r="B252" t="s">
        <v>72</v>
      </c>
      <c r="C252" t="s">
        <v>73</v>
      </c>
      <c r="D252" t="s">
        <v>74</v>
      </c>
      <c r="E252" t="s">
        <v>77</v>
      </c>
      <c r="F252" t="s">
        <v>100</v>
      </c>
      <c r="G252" t="s">
        <v>109</v>
      </c>
      <c r="H252" t="s">
        <v>196</v>
      </c>
      <c r="I252">
        <v>8</v>
      </c>
      <c r="J252">
        <v>8</v>
      </c>
      <c r="K252">
        <v>8</v>
      </c>
      <c r="L252">
        <v>9</v>
      </c>
      <c r="M252">
        <v>8</v>
      </c>
      <c r="N252">
        <v>10</v>
      </c>
      <c r="O252">
        <v>7</v>
      </c>
      <c r="P252">
        <v>7</v>
      </c>
      <c r="Q252">
        <v>10</v>
      </c>
    </row>
    <row r="253" spans="1:17" x14ac:dyDescent="0.45">
      <c r="A253" s="19">
        <v>46031.46597222222</v>
      </c>
      <c r="B253" t="s">
        <v>72</v>
      </c>
      <c r="C253" t="s">
        <v>192</v>
      </c>
      <c r="D253" t="s">
        <v>74</v>
      </c>
      <c r="E253" t="s">
        <v>77</v>
      </c>
      <c r="F253" t="s">
        <v>100</v>
      </c>
      <c r="G253" t="s">
        <v>111</v>
      </c>
      <c r="H253" t="s">
        <v>106</v>
      </c>
      <c r="I253">
        <v>6</v>
      </c>
      <c r="J253">
        <v>6</v>
      </c>
      <c r="K253">
        <v>1</v>
      </c>
      <c r="L253">
        <v>6</v>
      </c>
      <c r="M253">
        <v>5</v>
      </c>
      <c r="N253">
        <v>6</v>
      </c>
      <c r="O253">
        <v>6</v>
      </c>
      <c r="P253">
        <v>6</v>
      </c>
      <c r="Q253">
        <v>6</v>
      </c>
    </row>
    <row r="254" spans="1:17" x14ac:dyDescent="0.45">
      <c r="A254" s="19">
        <v>46031.466666666667</v>
      </c>
      <c r="B254" t="s">
        <v>78</v>
      </c>
      <c r="C254" t="s">
        <v>79</v>
      </c>
      <c r="D254" t="s">
        <v>74</v>
      </c>
      <c r="E254" t="s">
        <v>75</v>
      </c>
      <c r="F254" t="s">
        <v>100</v>
      </c>
      <c r="G254" t="s">
        <v>107</v>
      </c>
      <c r="H254" t="s">
        <v>196</v>
      </c>
      <c r="I254">
        <v>8</v>
      </c>
      <c r="J254">
        <v>8</v>
      </c>
      <c r="K254">
        <v>3</v>
      </c>
      <c r="L254">
        <v>9</v>
      </c>
      <c r="M254">
        <v>8</v>
      </c>
      <c r="N254">
        <v>8</v>
      </c>
      <c r="O254">
        <v>8</v>
      </c>
      <c r="P254">
        <v>8</v>
      </c>
      <c r="Q254">
        <v>8</v>
      </c>
    </row>
    <row r="255" spans="1:17" x14ac:dyDescent="0.45">
      <c r="A255" s="19">
        <v>46031.466666666667</v>
      </c>
      <c r="B255" t="s">
        <v>78</v>
      </c>
      <c r="C255" t="s">
        <v>79</v>
      </c>
      <c r="D255" t="s">
        <v>74</v>
      </c>
      <c r="E255" t="s">
        <v>75</v>
      </c>
      <c r="F255" t="s">
        <v>100</v>
      </c>
      <c r="G255" t="s">
        <v>107</v>
      </c>
      <c r="H255" t="s">
        <v>102</v>
      </c>
      <c r="I255">
        <v>4</v>
      </c>
      <c r="J255">
        <v>3</v>
      </c>
      <c r="K255">
        <v>1</v>
      </c>
      <c r="L255">
        <v>7</v>
      </c>
      <c r="M255">
        <v>3</v>
      </c>
      <c r="N255">
        <v>6</v>
      </c>
      <c r="O255">
        <v>5</v>
      </c>
      <c r="P255">
        <v>6</v>
      </c>
      <c r="Q255">
        <v>6</v>
      </c>
    </row>
    <row r="256" spans="1:17" x14ac:dyDescent="0.45">
      <c r="A256" s="19">
        <v>46031.467361111114</v>
      </c>
      <c r="B256" t="s">
        <v>72</v>
      </c>
      <c r="C256" t="s">
        <v>73</v>
      </c>
      <c r="D256" t="s">
        <v>74</v>
      </c>
      <c r="E256" t="s">
        <v>75</v>
      </c>
      <c r="F256" t="s">
        <v>100</v>
      </c>
      <c r="G256" t="s">
        <v>111</v>
      </c>
      <c r="H256" t="s">
        <v>102</v>
      </c>
      <c r="I256">
        <v>6</v>
      </c>
      <c r="J256">
        <v>6</v>
      </c>
      <c r="K256">
        <v>1</v>
      </c>
      <c r="L256">
        <v>7</v>
      </c>
      <c r="M256">
        <v>5</v>
      </c>
      <c r="N256">
        <v>6</v>
      </c>
      <c r="O256">
        <v>6</v>
      </c>
      <c r="P256">
        <v>6</v>
      </c>
      <c r="Q256">
        <v>6</v>
      </c>
    </row>
    <row r="257" spans="1:17" x14ac:dyDescent="0.45">
      <c r="A257" s="19">
        <v>46031.468055555553</v>
      </c>
      <c r="B257" t="s">
        <v>72</v>
      </c>
      <c r="C257" t="s">
        <v>192</v>
      </c>
      <c r="D257" t="s">
        <v>74</v>
      </c>
      <c r="E257" t="s">
        <v>77</v>
      </c>
      <c r="F257" t="s">
        <v>100</v>
      </c>
      <c r="G257" t="s">
        <v>108</v>
      </c>
      <c r="H257" t="s">
        <v>196</v>
      </c>
      <c r="I257">
        <v>8</v>
      </c>
      <c r="J257">
        <v>8</v>
      </c>
      <c r="K257">
        <v>5</v>
      </c>
      <c r="L257">
        <v>8</v>
      </c>
      <c r="M257">
        <v>8</v>
      </c>
      <c r="N257">
        <v>7</v>
      </c>
      <c r="O257">
        <v>7</v>
      </c>
      <c r="P257">
        <v>7</v>
      </c>
      <c r="Q257">
        <v>7</v>
      </c>
    </row>
    <row r="258" spans="1:17" x14ac:dyDescent="0.45">
      <c r="A258" s="19">
        <v>46031.46875</v>
      </c>
      <c r="B258" t="s">
        <v>72</v>
      </c>
      <c r="C258" t="s">
        <v>81</v>
      </c>
      <c r="D258" t="s">
        <v>74</v>
      </c>
      <c r="E258" t="s">
        <v>77</v>
      </c>
      <c r="F258" t="s">
        <v>100</v>
      </c>
      <c r="G258" t="s">
        <v>109</v>
      </c>
      <c r="H258" t="s">
        <v>102</v>
      </c>
      <c r="I258">
        <v>7</v>
      </c>
      <c r="J258">
        <v>8</v>
      </c>
      <c r="K258">
        <v>4</v>
      </c>
      <c r="L258">
        <v>8</v>
      </c>
      <c r="M258">
        <v>5</v>
      </c>
      <c r="N258">
        <v>7</v>
      </c>
      <c r="O258">
        <v>5</v>
      </c>
      <c r="P258">
        <v>6</v>
      </c>
      <c r="Q258">
        <v>6</v>
      </c>
    </row>
    <row r="259" spans="1:17" x14ac:dyDescent="0.45">
      <c r="A259" s="19">
        <v>46031.46875</v>
      </c>
      <c r="B259" t="s">
        <v>78</v>
      </c>
      <c r="C259" t="s">
        <v>79</v>
      </c>
      <c r="D259" t="s">
        <v>74</v>
      </c>
      <c r="E259" t="s">
        <v>77</v>
      </c>
      <c r="F259" t="s">
        <v>100</v>
      </c>
      <c r="G259" t="s">
        <v>111</v>
      </c>
      <c r="H259" t="s">
        <v>105</v>
      </c>
      <c r="I259">
        <v>6</v>
      </c>
      <c r="J259">
        <v>7</v>
      </c>
      <c r="K259">
        <v>2</v>
      </c>
      <c r="L259">
        <v>7</v>
      </c>
      <c r="M259">
        <v>5</v>
      </c>
      <c r="N259">
        <v>5</v>
      </c>
      <c r="O259">
        <v>5</v>
      </c>
      <c r="P259">
        <v>6</v>
      </c>
      <c r="Q259">
        <v>5</v>
      </c>
    </row>
    <row r="260" spans="1:17" x14ac:dyDescent="0.45">
      <c r="A260" s="19">
        <v>46031.469444444447</v>
      </c>
      <c r="B260" t="s">
        <v>78</v>
      </c>
      <c r="C260" t="s">
        <v>192</v>
      </c>
      <c r="D260" t="s">
        <v>74</v>
      </c>
      <c r="E260" t="s">
        <v>75</v>
      </c>
      <c r="F260" t="s">
        <v>100</v>
      </c>
      <c r="G260" t="s">
        <v>108</v>
      </c>
      <c r="H260" t="s">
        <v>196</v>
      </c>
      <c r="I260">
        <v>2</v>
      </c>
      <c r="J260">
        <v>1</v>
      </c>
      <c r="K260">
        <v>1</v>
      </c>
      <c r="L260">
        <v>6</v>
      </c>
      <c r="M260">
        <v>2</v>
      </c>
      <c r="N260">
        <v>3</v>
      </c>
      <c r="O260">
        <v>1</v>
      </c>
      <c r="P260">
        <v>5</v>
      </c>
      <c r="Q260">
        <v>4</v>
      </c>
    </row>
    <row r="261" spans="1:17" x14ac:dyDescent="0.45">
      <c r="A261" s="19">
        <v>46031.470138888886</v>
      </c>
      <c r="B261" t="s">
        <v>72</v>
      </c>
      <c r="C261" t="s">
        <v>73</v>
      </c>
      <c r="D261" t="s">
        <v>80</v>
      </c>
      <c r="E261" t="s">
        <v>77</v>
      </c>
      <c r="F261" t="s">
        <v>100</v>
      </c>
      <c r="G261" t="s">
        <v>109</v>
      </c>
      <c r="H261" t="s">
        <v>105</v>
      </c>
      <c r="I261">
        <v>6</v>
      </c>
      <c r="J261">
        <v>6</v>
      </c>
      <c r="K261">
        <v>7</v>
      </c>
      <c r="L261">
        <v>6</v>
      </c>
      <c r="M261">
        <v>5</v>
      </c>
      <c r="N261">
        <v>6</v>
      </c>
      <c r="O261">
        <v>5</v>
      </c>
      <c r="P261">
        <v>6</v>
      </c>
      <c r="Q261">
        <v>6</v>
      </c>
    </row>
    <row r="262" spans="1:17" x14ac:dyDescent="0.45">
      <c r="A262" s="19">
        <v>46031.470833333333</v>
      </c>
      <c r="B262" t="s">
        <v>78</v>
      </c>
      <c r="C262" t="s">
        <v>73</v>
      </c>
      <c r="D262" t="s">
        <v>74</v>
      </c>
      <c r="E262" t="s">
        <v>77</v>
      </c>
      <c r="F262" t="s">
        <v>100</v>
      </c>
      <c r="G262" t="s">
        <v>109</v>
      </c>
      <c r="H262" t="s">
        <v>102</v>
      </c>
      <c r="I262">
        <v>6</v>
      </c>
      <c r="J262">
        <v>7</v>
      </c>
      <c r="K262">
        <v>1</v>
      </c>
      <c r="L262">
        <v>9</v>
      </c>
      <c r="M262">
        <v>5</v>
      </c>
      <c r="N262">
        <v>4</v>
      </c>
      <c r="O262">
        <v>4</v>
      </c>
      <c r="P262">
        <v>5</v>
      </c>
      <c r="Q262">
        <v>5</v>
      </c>
    </row>
    <row r="263" spans="1:17" x14ac:dyDescent="0.45">
      <c r="A263" s="19">
        <v>46031.47152777778</v>
      </c>
      <c r="B263" t="s">
        <v>78</v>
      </c>
      <c r="C263" t="s">
        <v>73</v>
      </c>
      <c r="D263" t="s">
        <v>74</v>
      </c>
      <c r="E263" t="s">
        <v>77</v>
      </c>
      <c r="F263" t="s">
        <v>100</v>
      </c>
      <c r="G263" t="s">
        <v>111</v>
      </c>
      <c r="H263" t="s">
        <v>196</v>
      </c>
      <c r="I263">
        <v>9</v>
      </c>
      <c r="J263">
        <v>9</v>
      </c>
      <c r="K263">
        <v>8</v>
      </c>
      <c r="L263">
        <v>9</v>
      </c>
      <c r="M263">
        <v>8</v>
      </c>
      <c r="N263">
        <v>9</v>
      </c>
      <c r="O263">
        <v>9</v>
      </c>
      <c r="P263">
        <v>8</v>
      </c>
      <c r="Q263">
        <v>8</v>
      </c>
    </row>
    <row r="264" spans="1:17" x14ac:dyDescent="0.45">
      <c r="A264" s="19">
        <v>46031.472222222219</v>
      </c>
      <c r="B264" t="s">
        <v>78</v>
      </c>
      <c r="C264" t="s">
        <v>73</v>
      </c>
      <c r="D264" t="s">
        <v>74</v>
      </c>
      <c r="E264" t="s">
        <v>75</v>
      </c>
      <c r="F264" t="s">
        <v>100</v>
      </c>
      <c r="G264" t="s">
        <v>107</v>
      </c>
      <c r="H264" t="s">
        <v>106</v>
      </c>
      <c r="I264">
        <v>8</v>
      </c>
      <c r="J264">
        <v>8</v>
      </c>
      <c r="K264">
        <v>5</v>
      </c>
      <c r="L264">
        <v>7</v>
      </c>
      <c r="M264">
        <v>7</v>
      </c>
      <c r="N264">
        <v>5</v>
      </c>
      <c r="O264">
        <v>5</v>
      </c>
      <c r="P264">
        <v>6</v>
      </c>
      <c r="Q264">
        <v>6</v>
      </c>
    </row>
    <row r="265" spans="1:17" x14ac:dyDescent="0.45">
      <c r="A265" s="19">
        <v>46031.472222222219</v>
      </c>
      <c r="B265" t="s">
        <v>78</v>
      </c>
      <c r="C265" t="s">
        <v>79</v>
      </c>
      <c r="D265" t="s">
        <v>74</v>
      </c>
      <c r="E265" t="s">
        <v>75</v>
      </c>
      <c r="F265" t="s">
        <v>100</v>
      </c>
      <c r="G265" t="s">
        <v>108</v>
      </c>
      <c r="H265" t="s">
        <v>106</v>
      </c>
      <c r="I265">
        <v>7</v>
      </c>
      <c r="J265">
        <v>7</v>
      </c>
      <c r="K265">
        <v>7</v>
      </c>
      <c r="L265">
        <v>8</v>
      </c>
      <c r="M265">
        <v>7</v>
      </c>
      <c r="N265">
        <v>7</v>
      </c>
      <c r="O265">
        <v>7</v>
      </c>
      <c r="P265">
        <v>7</v>
      </c>
      <c r="Q265">
        <v>7</v>
      </c>
    </row>
    <row r="266" spans="1:17" x14ac:dyDescent="0.45">
      <c r="A266" s="19">
        <v>46031.472916666666</v>
      </c>
      <c r="B266" t="s">
        <v>72</v>
      </c>
      <c r="C266" t="s">
        <v>73</v>
      </c>
      <c r="D266" t="s">
        <v>74</v>
      </c>
      <c r="E266" t="s">
        <v>77</v>
      </c>
      <c r="F266" t="s">
        <v>100</v>
      </c>
      <c r="G266" t="s">
        <v>101</v>
      </c>
      <c r="H266" t="s">
        <v>110</v>
      </c>
      <c r="I266">
        <v>6</v>
      </c>
      <c r="J266">
        <v>5</v>
      </c>
      <c r="K266">
        <v>5</v>
      </c>
      <c r="L266">
        <v>7</v>
      </c>
      <c r="M266">
        <v>6</v>
      </c>
      <c r="N266">
        <v>7</v>
      </c>
      <c r="O266">
        <v>5</v>
      </c>
      <c r="P266">
        <v>6</v>
      </c>
      <c r="Q266">
        <v>6</v>
      </c>
    </row>
    <row r="267" spans="1:17" x14ac:dyDescent="0.45">
      <c r="A267" s="19">
        <v>46031.473611111112</v>
      </c>
      <c r="B267" t="s">
        <v>72</v>
      </c>
      <c r="C267" t="s">
        <v>192</v>
      </c>
      <c r="D267" t="s">
        <v>74</v>
      </c>
      <c r="E267" t="s">
        <v>77</v>
      </c>
      <c r="F267" t="s">
        <v>100</v>
      </c>
      <c r="G267" t="s">
        <v>111</v>
      </c>
      <c r="H267" t="s">
        <v>106</v>
      </c>
      <c r="I267">
        <v>7</v>
      </c>
      <c r="J267">
        <v>6</v>
      </c>
      <c r="K267">
        <v>6</v>
      </c>
      <c r="L267">
        <v>6</v>
      </c>
      <c r="M267">
        <v>7</v>
      </c>
      <c r="N267">
        <v>7</v>
      </c>
      <c r="O267">
        <v>7</v>
      </c>
      <c r="P267">
        <v>7</v>
      </c>
      <c r="Q267">
        <v>7</v>
      </c>
    </row>
    <row r="268" spans="1:17" x14ac:dyDescent="0.45">
      <c r="A268" s="19">
        <v>46031.473611111112</v>
      </c>
      <c r="B268" t="s">
        <v>78</v>
      </c>
      <c r="C268" t="s">
        <v>79</v>
      </c>
      <c r="D268" t="s">
        <v>74</v>
      </c>
      <c r="E268" t="s">
        <v>75</v>
      </c>
      <c r="F268" t="s">
        <v>100</v>
      </c>
      <c r="G268" t="s">
        <v>111</v>
      </c>
      <c r="H268" t="s">
        <v>105</v>
      </c>
      <c r="I268">
        <v>6</v>
      </c>
      <c r="J268">
        <v>7</v>
      </c>
      <c r="K268">
        <v>7</v>
      </c>
      <c r="L268">
        <v>6</v>
      </c>
      <c r="M268">
        <v>6</v>
      </c>
      <c r="N268">
        <v>6</v>
      </c>
      <c r="O268">
        <v>6</v>
      </c>
      <c r="P268">
        <v>7</v>
      </c>
      <c r="Q268">
        <v>7</v>
      </c>
    </row>
    <row r="269" spans="1:17" x14ac:dyDescent="0.45">
      <c r="A269" s="19">
        <v>46031.474305555559</v>
      </c>
      <c r="B269" t="s">
        <v>72</v>
      </c>
      <c r="C269" t="s">
        <v>81</v>
      </c>
      <c r="D269" t="s">
        <v>74</v>
      </c>
      <c r="E269" t="s">
        <v>77</v>
      </c>
      <c r="F269" t="s">
        <v>100</v>
      </c>
      <c r="G269" t="s">
        <v>101</v>
      </c>
      <c r="H269" t="s">
        <v>105</v>
      </c>
      <c r="I269">
        <v>7</v>
      </c>
      <c r="J269">
        <v>7</v>
      </c>
      <c r="K269">
        <v>2</v>
      </c>
      <c r="L269">
        <v>7</v>
      </c>
      <c r="M269">
        <v>7</v>
      </c>
      <c r="N269">
        <v>7</v>
      </c>
      <c r="O269">
        <v>7</v>
      </c>
      <c r="P269">
        <v>7</v>
      </c>
      <c r="Q269">
        <v>7</v>
      </c>
    </row>
    <row r="270" spans="1:17" x14ac:dyDescent="0.45">
      <c r="A270" s="19">
        <v>46031.474999999999</v>
      </c>
      <c r="B270" t="s">
        <v>78</v>
      </c>
      <c r="C270" t="s">
        <v>79</v>
      </c>
      <c r="D270" t="s">
        <v>74</v>
      </c>
      <c r="E270" t="s">
        <v>75</v>
      </c>
      <c r="F270" t="s">
        <v>100</v>
      </c>
      <c r="G270" t="s">
        <v>107</v>
      </c>
      <c r="H270" t="s">
        <v>196</v>
      </c>
      <c r="I270">
        <v>4</v>
      </c>
      <c r="J270">
        <v>5</v>
      </c>
      <c r="K270">
        <v>2</v>
      </c>
      <c r="L270">
        <v>6</v>
      </c>
      <c r="M270">
        <v>3</v>
      </c>
      <c r="N270">
        <v>3</v>
      </c>
      <c r="O270">
        <v>1</v>
      </c>
      <c r="P270">
        <v>3</v>
      </c>
      <c r="Q270">
        <v>1</v>
      </c>
    </row>
    <row r="271" spans="1:17" x14ac:dyDescent="0.45">
      <c r="A271" s="19">
        <v>46031.525000000001</v>
      </c>
      <c r="B271" t="s">
        <v>72</v>
      </c>
      <c r="C271" t="s">
        <v>73</v>
      </c>
      <c r="D271" t="s">
        <v>74</v>
      </c>
      <c r="E271" t="s">
        <v>75</v>
      </c>
      <c r="F271" t="s">
        <v>103</v>
      </c>
      <c r="G271" t="s">
        <v>111</v>
      </c>
      <c r="H271" t="s">
        <v>110</v>
      </c>
      <c r="I271">
        <v>8</v>
      </c>
      <c r="J271">
        <v>8</v>
      </c>
      <c r="K271">
        <v>3</v>
      </c>
      <c r="L271">
        <v>8</v>
      </c>
      <c r="M271">
        <v>3</v>
      </c>
      <c r="N271">
        <v>1</v>
      </c>
      <c r="O271">
        <v>8</v>
      </c>
      <c r="P271">
        <v>6</v>
      </c>
      <c r="Q271">
        <v>7</v>
      </c>
    </row>
    <row r="272" spans="1:17" x14ac:dyDescent="0.45">
      <c r="A272" s="19">
        <v>46031.607638888891</v>
      </c>
      <c r="B272" t="s">
        <v>72</v>
      </c>
      <c r="C272" t="s">
        <v>73</v>
      </c>
      <c r="D272" t="s">
        <v>74</v>
      </c>
      <c r="E272" t="s">
        <v>75</v>
      </c>
      <c r="F272" t="s">
        <v>100</v>
      </c>
      <c r="G272" t="s">
        <v>111</v>
      </c>
      <c r="H272" t="s">
        <v>105</v>
      </c>
      <c r="I272">
        <v>7</v>
      </c>
      <c r="J272">
        <v>7</v>
      </c>
      <c r="K272">
        <v>4</v>
      </c>
      <c r="L272">
        <v>7</v>
      </c>
      <c r="M272">
        <v>7</v>
      </c>
      <c r="N272">
        <v>6</v>
      </c>
      <c r="O272">
        <v>5</v>
      </c>
      <c r="P272">
        <v>7</v>
      </c>
      <c r="Q272">
        <v>6</v>
      </c>
    </row>
    <row r="273" spans="1:17" x14ac:dyDescent="0.45">
      <c r="A273" s="19">
        <v>46031.607638888891</v>
      </c>
      <c r="B273" t="s">
        <v>78</v>
      </c>
      <c r="C273" t="s">
        <v>73</v>
      </c>
      <c r="D273" t="s">
        <v>74</v>
      </c>
      <c r="E273" t="s">
        <v>77</v>
      </c>
      <c r="F273" t="s">
        <v>100</v>
      </c>
      <c r="G273" t="s">
        <v>109</v>
      </c>
      <c r="H273" t="s">
        <v>102</v>
      </c>
      <c r="I273">
        <v>7</v>
      </c>
      <c r="J273">
        <v>8</v>
      </c>
      <c r="K273">
        <v>2</v>
      </c>
      <c r="L273">
        <v>6</v>
      </c>
      <c r="M273">
        <v>6</v>
      </c>
      <c r="N273">
        <v>6</v>
      </c>
      <c r="O273">
        <v>5</v>
      </c>
      <c r="P273">
        <v>5</v>
      </c>
      <c r="Q273">
        <v>6</v>
      </c>
    </row>
    <row r="274" spans="1:17" x14ac:dyDescent="0.45">
      <c r="A274" s="19">
        <v>46031.60833333333</v>
      </c>
      <c r="B274" t="s">
        <v>72</v>
      </c>
      <c r="C274" t="s">
        <v>192</v>
      </c>
      <c r="D274" t="s">
        <v>74</v>
      </c>
      <c r="E274" t="s">
        <v>75</v>
      </c>
      <c r="F274" t="s">
        <v>100</v>
      </c>
      <c r="G274" t="s">
        <v>107</v>
      </c>
      <c r="H274" t="s">
        <v>196</v>
      </c>
      <c r="I274">
        <v>3</v>
      </c>
      <c r="J274">
        <v>3</v>
      </c>
      <c r="K274">
        <v>1</v>
      </c>
      <c r="L274">
        <v>6</v>
      </c>
      <c r="M274">
        <v>1</v>
      </c>
      <c r="N274">
        <v>1</v>
      </c>
      <c r="O274">
        <v>1</v>
      </c>
      <c r="P274">
        <v>1</v>
      </c>
      <c r="Q274">
        <v>1</v>
      </c>
    </row>
    <row r="275" spans="1:17" x14ac:dyDescent="0.45">
      <c r="A275" s="19">
        <v>46031.609027777777</v>
      </c>
      <c r="B275" t="s">
        <v>72</v>
      </c>
      <c r="C275" t="s">
        <v>73</v>
      </c>
      <c r="D275" t="s">
        <v>74</v>
      </c>
      <c r="E275" t="s">
        <v>77</v>
      </c>
      <c r="F275" t="s">
        <v>100</v>
      </c>
      <c r="G275" t="s">
        <v>111</v>
      </c>
      <c r="H275" t="s">
        <v>105</v>
      </c>
      <c r="I275">
        <v>6</v>
      </c>
      <c r="J275">
        <v>6</v>
      </c>
      <c r="K275">
        <v>5</v>
      </c>
      <c r="L275">
        <v>6</v>
      </c>
      <c r="M275">
        <v>6</v>
      </c>
      <c r="N275">
        <v>6</v>
      </c>
      <c r="O275">
        <v>6</v>
      </c>
      <c r="P275">
        <v>6</v>
      </c>
      <c r="Q275">
        <v>6</v>
      </c>
    </row>
    <row r="276" spans="1:17" x14ac:dyDescent="0.45">
      <c r="A276" s="19">
        <v>46031.609027777777</v>
      </c>
      <c r="B276" t="s">
        <v>72</v>
      </c>
      <c r="C276" t="s">
        <v>79</v>
      </c>
      <c r="D276" t="s">
        <v>74</v>
      </c>
      <c r="E276" t="s">
        <v>75</v>
      </c>
      <c r="F276" t="s">
        <v>100</v>
      </c>
      <c r="G276" t="s">
        <v>111</v>
      </c>
      <c r="H276" t="s">
        <v>105</v>
      </c>
      <c r="I276">
        <v>8</v>
      </c>
      <c r="J276">
        <v>9</v>
      </c>
      <c r="K276">
        <v>5</v>
      </c>
      <c r="L276">
        <v>7</v>
      </c>
      <c r="M276">
        <v>6</v>
      </c>
      <c r="N276">
        <v>7</v>
      </c>
      <c r="O276">
        <v>7</v>
      </c>
      <c r="P276">
        <v>7</v>
      </c>
      <c r="Q276">
        <v>7</v>
      </c>
    </row>
    <row r="277" spans="1:17" x14ac:dyDescent="0.45">
      <c r="A277" s="19">
        <v>46031.609722222223</v>
      </c>
      <c r="B277" t="s">
        <v>78</v>
      </c>
      <c r="C277" t="s">
        <v>73</v>
      </c>
      <c r="D277" t="s">
        <v>74</v>
      </c>
      <c r="E277" t="s">
        <v>77</v>
      </c>
      <c r="F277" t="s">
        <v>100</v>
      </c>
      <c r="G277" t="s">
        <v>109</v>
      </c>
      <c r="H277" t="s">
        <v>102</v>
      </c>
      <c r="I277">
        <v>6</v>
      </c>
      <c r="J277">
        <v>6</v>
      </c>
      <c r="K277">
        <v>3</v>
      </c>
      <c r="L277">
        <v>7</v>
      </c>
      <c r="M277">
        <v>7</v>
      </c>
      <c r="N277">
        <v>7</v>
      </c>
      <c r="O277">
        <v>5</v>
      </c>
      <c r="P277">
        <v>7</v>
      </c>
      <c r="Q277">
        <v>7</v>
      </c>
    </row>
    <row r="278" spans="1:17" x14ac:dyDescent="0.45">
      <c r="A278" s="19">
        <v>46031.61041666667</v>
      </c>
      <c r="B278" t="s">
        <v>72</v>
      </c>
      <c r="C278" t="s">
        <v>79</v>
      </c>
      <c r="D278" t="s">
        <v>74</v>
      </c>
      <c r="E278" t="s">
        <v>77</v>
      </c>
      <c r="F278" t="s">
        <v>100</v>
      </c>
      <c r="G278" t="s">
        <v>107</v>
      </c>
      <c r="H278" t="s">
        <v>196</v>
      </c>
      <c r="I278">
        <v>8</v>
      </c>
      <c r="J278">
        <v>8</v>
      </c>
      <c r="K278">
        <v>6</v>
      </c>
      <c r="L278">
        <v>7</v>
      </c>
      <c r="M278">
        <v>7</v>
      </c>
      <c r="N278">
        <v>4</v>
      </c>
      <c r="O278">
        <v>5</v>
      </c>
      <c r="P278">
        <v>5</v>
      </c>
      <c r="Q278">
        <v>5</v>
      </c>
    </row>
    <row r="279" spans="1:17" x14ac:dyDescent="0.45">
      <c r="A279" s="19">
        <v>46031.61041666667</v>
      </c>
      <c r="B279" t="s">
        <v>72</v>
      </c>
      <c r="C279" t="s">
        <v>73</v>
      </c>
      <c r="D279" t="s">
        <v>74</v>
      </c>
      <c r="E279" t="s">
        <v>77</v>
      </c>
      <c r="F279" t="s">
        <v>100</v>
      </c>
      <c r="G279" t="s">
        <v>111</v>
      </c>
      <c r="H279" t="s">
        <v>106</v>
      </c>
      <c r="I279">
        <v>6</v>
      </c>
      <c r="J279">
        <v>7</v>
      </c>
      <c r="K279">
        <v>5</v>
      </c>
      <c r="L279">
        <v>7</v>
      </c>
      <c r="M279">
        <v>6</v>
      </c>
      <c r="N279">
        <v>6</v>
      </c>
      <c r="O279">
        <v>6</v>
      </c>
      <c r="P279">
        <v>6</v>
      </c>
      <c r="Q279">
        <v>6</v>
      </c>
    </row>
    <row r="280" spans="1:17" x14ac:dyDescent="0.45">
      <c r="A280" s="19">
        <v>46031.618750000001</v>
      </c>
      <c r="B280" t="s">
        <v>78</v>
      </c>
      <c r="C280" t="s">
        <v>73</v>
      </c>
      <c r="D280" t="s">
        <v>74</v>
      </c>
      <c r="E280" t="s">
        <v>75</v>
      </c>
      <c r="F280" t="s">
        <v>103</v>
      </c>
      <c r="G280" t="s">
        <v>107</v>
      </c>
      <c r="H280" t="s">
        <v>110</v>
      </c>
      <c r="I280">
        <v>6</v>
      </c>
      <c r="J280">
        <v>7</v>
      </c>
      <c r="K280">
        <v>5</v>
      </c>
      <c r="L280">
        <v>8</v>
      </c>
      <c r="M280">
        <v>6</v>
      </c>
      <c r="N280">
        <v>3</v>
      </c>
      <c r="O280">
        <v>6</v>
      </c>
      <c r="P280">
        <v>8</v>
      </c>
      <c r="Q280">
        <v>6</v>
      </c>
    </row>
    <row r="281" spans="1:17" x14ac:dyDescent="0.45">
      <c r="A281" s="19">
        <v>46031.635416666664</v>
      </c>
      <c r="B281" t="s">
        <v>72</v>
      </c>
      <c r="C281" t="s">
        <v>73</v>
      </c>
      <c r="D281" t="s">
        <v>74</v>
      </c>
      <c r="E281" t="s">
        <v>75</v>
      </c>
      <c r="F281" t="s">
        <v>100</v>
      </c>
      <c r="G281" t="s">
        <v>107</v>
      </c>
      <c r="H281" t="s">
        <v>105</v>
      </c>
      <c r="I281">
        <v>4</v>
      </c>
      <c r="J281">
        <v>4</v>
      </c>
      <c r="K281">
        <v>1</v>
      </c>
      <c r="L281">
        <v>6</v>
      </c>
      <c r="M281">
        <v>3</v>
      </c>
      <c r="N281">
        <v>2</v>
      </c>
      <c r="O281">
        <v>1</v>
      </c>
      <c r="P281">
        <v>5</v>
      </c>
      <c r="Q281">
        <v>4</v>
      </c>
    </row>
    <row r="282" spans="1:17" x14ac:dyDescent="0.45">
      <c r="A282" s="19">
        <v>46031.636111111111</v>
      </c>
      <c r="B282" t="s">
        <v>72</v>
      </c>
      <c r="C282" t="s">
        <v>79</v>
      </c>
      <c r="D282" t="s">
        <v>74</v>
      </c>
      <c r="E282" t="s">
        <v>75</v>
      </c>
      <c r="F282" t="s">
        <v>100</v>
      </c>
      <c r="G282" t="s">
        <v>107</v>
      </c>
      <c r="H282" t="s">
        <v>106</v>
      </c>
      <c r="I282">
        <v>6</v>
      </c>
      <c r="J282">
        <v>7</v>
      </c>
      <c r="K282">
        <v>4</v>
      </c>
      <c r="L282">
        <v>8</v>
      </c>
      <c r="M282">
        <v>6</v>
      </c>
      <c r="N282">
        <v>6</v>
      </c>
      <c r="O282">
        <v>5</v>
      </c>
      <c r="P282">
        <v>7</v>
      </c>
      <c r="Q282">
        <v>6</v>
      </c>
    </row>
    <row r="283" spans="1:17" x14ac:dyDescent="0.45">
      <c r="A283" s="19">
        <v>46031.636111111111</v>
      </c>
      <c r="B283" t="s">
        <v>72</v>
      </c>
      <c r="C283" t="s">
        <v>194</v>
      </c>
      <c r="D283" t="s">
        <v>74</v>
      </c>
      <c r="E283" t="s">
        <v>75</v>
      </c>
      <c r="F283" t="s">
        <v>100</v>
      </c>
      <c r="G283" t="s">
        <v>108</v>
      </c>
      <c r="H283" t="s">
        <v>196</v>
      </c>
      <c r="I283">
        <v>8</v>
      </c>
      <c r="J283">
        <v>8</v>
      </c>
      <c r="K283">
        <v>9</v>
      </c>
      <c r="L283">
        <v>9</v>
      </c>
      <c r="M283">
        <v>7</v>
      </c>
      <c r="N283">
        <v>8</v>
      </c>
      <c r="O283">
        <v>8</v>
      </c>
      <c r="P283">
        <v>8</v>
      </c>
      <c r="Q283">
        <v>7</v>
      </c>
    </row>
    <row r="284" spans="1:17" x14ac:dyDescent="0.45">
      <c r="A284" s="19">
        <v>46031.636805555558</v>
      </c>
      <c r="B284" t="s">
        <v>72</v>
      </c>
      <c r="C284" t="s">
        <v>79</v>
      </c>
      <c r="D284" t="s">
        <v>74</v>
      </c>
      <c r="E284" t="s">
        <v>77</v>
      </c>
      <c r="F284" t="s">
        <v>100</v>
      </c>
      <c r="G284" t="s">
        <v>111</v>
      </c>
      <c r="H284" t="s">
        <v>105</v>
      </c>
      <c r="I284">
        <v>5</v>
      </c>
      <c r="J284">
        <v>5</v>
      </c>
      <c r="K284">
        <v>2</v>
      </c>
      <c r="L284">
        <v>6</v>
      </c>
      <c r="M284">
        <v>5</v>
      </c>
      <c r="N284">
        <v>4</v>
      </c>
      <c r="O284">
        <v>5</v>
      </c>
      <c r="P284">
        <v>5</v>
      </c>
      <c r="Q284">
        <v>4</v>
      </c>
    </row>
    <row r="285" spans="1:17" x14ac:dyDescent="0.45">
      <c r="A285" s="19">
        <v>46031.637499999997</v>
      </c>
      <c r="B285" t="s">
        <v>78</v>
      </c>
      <c r="C285" t="s">
        <v>73</v>
      </c>
      <c r="D285" t="s">
        <v>74</v>
      </c>
      <c r="E285" t="s">
        <v>77</v>
      </c>
      <c r="F285" t="s">
        <v>100</v>
      </c>
      <c r="G285" t="s">
        <v>111</v>
      </c>
      <c r="H285" t="s">
        <v>105</v>
      </c>
      <c r="I285">
        <v>7</v>
      </c>
      <c r="J285">
        <v>7</v>
      </c>
      <c r="K285">
        <v>5</v>
      </c>
      <c r="L285">
        <v>7</v>
      </c>
      <c r="M285">
        <v>5</v>
      </c>
      <c r="N285">
        <v>6</v>
      </c>
      <c r="O285">
        <v>5</v>
      </c>
      <c r="P285">
        <v>7</v>
      </c>
      <c r="Q285">
        <v>6</v>
      </c>
    </row>
    <row r="286" spans="1:17" x14ac:dyDescent="0.45">
      <c r="A286" s="19">
        <v>46031.640277777777</v>
      </c>
      <c r="B286" t="s">
        <v>78</v>
      </c>
      <c r="C286" t="s">
        <v>192</v>
      </c>
      <c r="D286" t="s">
        <v>74</v>
      </c>
      <c r="E286" t="s">
        <v>77</v>
      </c>
      <c r="F286" t="s">
        <v>100</v>
      </c>
      <c r="G286" t="s">
        <v>107</v>
      </c>
      <c r="H286" t="s">
        <v>106</v>
      </c>
      <c r="I286">
        <v>7</v>
      </c>
      <c r="J286">
        <v>7</v>
      </c>
      <c r="K286">
        <v>5</v>
      </c>
      <c r="L286">
        <v>8</v>
      </c>
      <c r="M286">
        <v>6</v>
      </c>
      <c r="N286">
        <v>6</v>
      </c>
      <c r="O286">
        <v>6</v>
      </c>
      <c r="P286">
        <v>7</v>
      </c>
      <c r="Q286">
        <v>7</v>
      </c>
    </row>
    <row r="287" spans="1:17" x14ac:dyDescent="0.45">
      <c r="A287" s="19">
        <v>46031.640972222223</v>
      </c>
      <c r="B287" t="s">
        <v>72</v>
      </c>
      <c r="C287" t="s">
        <v>73</v>
      </c>
      <c r="D287" t="s">
        <v>74</v>
      </c>
      <c r="E287" t="s">
        <v>77</v>
      </c>
      <c r="F287" t="s">
        <v>100</v>
      </c>
      <c r="G287" t="s">
        <v>109</v>
      </c>
      <c r="H287" t="s">
        <v>110</v>
      </c>
      <c r="I287">
        <v>4</v>
      </c>
      <c r="J287">
        <v>4</v>
      </c>
      <c r="K287">
        <v>2</v>
      </c>
      <c r="L287">
        <v>8</v>
      </c>
      <c r="M287">
        <v>5</v>
      </c>
      <c r="N287">
        <v>5</v>
      </c>
      <c r="O287">
        <v>4</v>
      </c>
      <c r="P287">
        <v>6</v>
      </c>
      <c r="Q287">
        <v>5</v>
      </c>
    </row>
    <row r="288" spans="1:17" x14ac:dyDescent="0.45">
      <c r="A288" s="19">
        <v>46031.64166666667</v>
      </c>
      <c r="B288" t="s">
        <v>72</v>
      </c>
      <c r="C288" t="s">
        <v>192</v>
      </c>
      <c r="D288" t="s">
        <v>74</v>
      </c>
      <c r="E288" t="s">
        <v>77</v>
      </c>
      <c r="F288" t="s">
        <v>100</v>
      </c>
      <c r="G288" t="s">
        <v>111</v>
      </c>
      <c r="H288" t="s">
        <v>196</v>
      </c>
      <c r="I288">
        <v>10</v>
      </c>
      <c r="J288">
        <v>10</v>
      </c>
      <c r="K288">
        <v>7</v>
      </c>
      <c r="L288">
        <v>7</v>
      </c>
      <c r="M288">
        <v>8</v>
      </c>
      <c r="N288">
        <v>7</v>
      </c>
      <c r="O288">
        <v>8</v>
      </c>
      <c r="P288">
        <v>8</v>
      </c>
      <c r="Q288">
        <v>8</v>
      </c>
    </row>
    <row r="289" spans="1:17" x14ac:dyDescent="0.45">
      <c r="A289" s="19">
        <v>46031.642361111109</v>
      </c>
      <c r="B289" t="s">
        <v>78</v>
      </c>
      <c r="C289" t="s">
        <v>81</v>
      </c>
      <c r="D289" t="s">
        <v>74</v>
      </c>
      <c r="E289" t="s">
        <v>77</v>
      </c>
      <c r="F289" t="s">
        <v>100</v>
      </c>
      <c r="G289" t="s">
        <v>101</v>
      </c>
      <c r="H289" t="s">
        <v>110</v>
      </c>
      <c r="I289">
        <v>8</v>
      </c>
      <c r="J289">
        <v>8</v>
      </c>
      <c r="K289">
        <v>5</v>
      </c>
      <c r="L289">
        <v>9</v>
      </c>
      <c r="M289">
        <v>10</v>
      </c>
      <c r="N289">
        <v>10</v>
      </c>
      <c r="O289">
        <v>9</v>
      </c>
      <c r="P289">
        <v>9</v>
      </c>
      <c r="Q289">
        <v>10</v>
      </c>
    </row>
    <row r="290" spans="1:17" x14ac:dyDescent="0.45">
      <c r="A290" s="19">
        <v>46031.642361111109</v>
      </c>
      <c r="B290" t="s">
        <v>72</v>
      </c>
      <c r="C290" t="s">
        <v>73</v>
      </c>
      <c r="D290" t="s">
        <v>74</v>
      </c>
      <c r="E290" t="s">
        <v>191</v>
      </c>
      <c r="F290" t="s">
        <v>100</v>
      </c>
      <c r="G290" t="s">
        <v>101</v>
      </c>
      <c r="H290" t="s">
        <v>102</v>
      </c>
      <c r="I290">
        <v>7</v>
      </c>
      <c r="J290">
        <v>7</v>
      </c>
      <c r="K290">
        <v>5</v>
      </c>
      <c r="L290">
        <v>6</v>
      </c>
      <c r="M290">
        <v>5</v>
      </c>
      <c r="N290">
        <v>5</v>
      </c>
      <c r="O290">
        <v>5</v>
      </c>
      <c r="P290">
        <v>5</v>
      </c>
      <c r="Q290">
        <v>6</v>
      </c>
    </row>
    <row r="291" spans="1:17" x14ac:dyDescent="0.45">
      <c r="A291" s="19">
        <v>46031.643055555556</v>
      </c>
      <c r="B291" t="s">
        <v>78</v>
      </c>
      <c r="C291" t="s">
        <v>73</v>
      </c>
      <c r="D291" t="s">
        <v>74</v>
      </c>
      <c r="E291" t="s">
        <v>77</v>
      </c>
      <c r="F291" t="s">
        <v>100</v>
      </c>
      <c r="G291" t="s">
        <v>109</v>
      </c>
      <c r="H291" t="s">
        <v>105</v>
      </c>
      <c r="I291">
        <v>8</v>
      </c>
      <c r="J291">
        <v>8</v>
      </c>
      <c r="K291">
        <v>8</v>
      </c>
      <c r="L291">
        <v>8</v>
      </c>
      <c r="M291">
        <v>8</v>
      </c>
      <c r="N291">
        <v>8</v>
      </c>
      <c r="O291">
        <v>8</v>
      </c>
      <c r="P291">
        <v>8</v>
      </c>
      <c r="Q291">
        <v>8</v>
      </c>
    </row>
    <row r="292" spans="1:17" x14ac:dyDescent="0.45">
      <c r="A292" s="19">
        <v>46031.643055555556</v>
      </c>
      <c r="B292" t="s">
        <v>78</v>
      </c>
      <c r="C292" t="s">
        <v>81</v>
      </c>
      <c r="D292" t="s">
        <v>74</v>
      </c>
      <c r="E292" t="s">
        <v>77</v>
      </c>
      <c r="F292" t="s">
        <v>100</v>
      </c>
      <c r="G292" t="s">
        <v>111</v>
      </c>
      <c r="H292" t="s">
        <v>105</v>
      </c>
      <c r="I292">
        <v>9</v>
      </c>
      <c r="J292">
        <v>9</v>
      </c>
      <c r="K292">
        <v>3</v>
      </c>
      <c r="L292">
        <v>10</v>
      </c>
      <c r="M292">
        <v>8</v>
      </c>
      <c r="N292">
        <v>8</v>
      </c>
      <c r="O292">
        <v>6</v>
      </c>
      <c r="P292">
        <v>8</v>
      </c>
      <c r="Q292">
        <v>8</v>
      </c>
    </row>
    <row r="293" spans="1:17" x14ac:dyDescent="0.45">
      <c r="A293" s="19">
        <v>46031.643750000003</v>
      </c>
      <c r="B293" t="s">
        <v>72</v>
      </c>
      <c r="C293" t="s">
        <v>194</v>
      </c>
      <c r="D293" t="s">
        <v>74</v>
      </c>
      <c r="E293" t="s">
        <v>75</v>
      </c>
      <c r="F293" t="s">
        <v>198</v>
      </c>
      <c r="G293" t="s">
        <v>111</v>
      </c>
      <c r="H293" t="s">
        <v>105</v>
      </c>
      <c r="I293">
        <v>6</v>
      </c>
      <c r="J293">
        <v>6</v>
      </c>
      <c r="K293">
        <v>1</v>
      </c>
      <c r="L293">
        <v>6</v>
      </c>
      <c r="M293">
        <v>5</v>
      </c>
      <c r="N293">
        <v>6</v>
      </c>
      <c r="O293">
        <v>5</v>
      </c>
      <c r="P293">
        <v>6</v>
      </c>
      <c r="Q293">
        <v>6</v>
      </c>
    </row>
    <row r="294" spans="1:17" x14ac:dyDescent="0.45">
      <c r="A294" s="19">
        <v>46031.645833333336</v>
      </c>
      <c r="B294" t="s">
        <v>72</v>
      </c>
      <c r="C294" t="s">
        <v>81</v>
      </c>
      <c r="D294" t="s">
        <v>74</v>
      </c>
      <c r="E294" t="s">
        <v>77</v>
      </c>
      <c r="F294" t="s">
        <v>100</v>
      </c>
      <c r="G294" t="s">
        <v>109</v>
      </c>
      <c r="H294" t="s">
        <v>102</v>
      </c>
      <c r="I294">
        <v>8</v>
      </c>
      <c r="J294">
        <v>8</v>
      </c>
      <c r="K294">
        <v>5</v>
      </c>
      <c r="L294">
        <v>8</v>
      </c>
      <c r="M294">
        <v>5</v>
      </c>
      <c r="N294">
        <v>6</v>
      </c>
      <c r="O294">
        <v>5</v>
      </c>
      <c r="P294">
        <v>6</v>
      </c>
      <c r="Q294">
        <v>6</v>
      </c>
    </row>
    <row r="295" spans="1:17" x14ac:dyDescent="0.45">
      <c r="A295" s="19">
        <v>46031.646527777775</v>
      </c>
      <c r="B295" t="s">
        <v>72</v>
      </c>
      <c r="C295" t="s">
        <v>81</v>
      </c>
      <c r="D295" t="s">
        <v>74</v>
      </c>
      <c r="E295" t="s">
        <v>77</v>
      </c>
      <c r="F295" t="s">
        <v>100</v>
      </c>
      <c r="G295" t="s">
        <v>111</v>
      </c>
      <c r="H295" t="s">
        <v>106</v>
      </c>
      <c r="I295">
        <v>6</v>
      </c>
      <c r="J295">
        <v>6</v>
      </c>
      <c r="K295">
        <v>3</v>
      </c>
      <c r="L295">
        <v>7</v>
      </c>
      <c r="M295">
        <v>5</v>
      </c>
      <c r="N295">
        <v>6</v>
      </c>
      <c r="O295">
        <v>5</v>
      </c>
      <c r="P295">
        <v>5</v>
      </c>
      <c r="Q295">
        <v>6</v>
      </c>
    </row>
    <row r="296" spans="1:17" x14ac:dyDescent="0.45">
      <c r="A296" s="19">
        <v>46031.647222222222</v>
      </c>
      <c r="B296" t="s">
        <v>78</v>
      </c>
      <c r="C296" t="s">
        <v>189</v>
      </c>
      <c r="D296" t="s">
        <v>74</v>
      </c>
      <c r="E296" t="s">
        <v>77</v>
      </c>
      <c r="F296" t="s">
        <v>100</v>
      </c>
      <c r="G296" t="s">
        <v>101</v>
      </c>
      <c r="H296" t="s">
        <v>110</v>
      </c>
      <c r="I296">
        <v>8</v>
      </c>
      <c r="J296">
        <v>9</v>
      </c>
      <c r="K296">
        <v>9</v>
      </c>
      <c r="L296">
        <v>10</v>
      </c>
      <c r="M296">
        <v>8</v>
      </c>
      <c r="N296">
        <v>8</v>
      </c>
      <c r="O296">
        <v>9</v>
      </c>
      <c r="P296">
        <v>10</v>
      </c>
      <c r="Q296">
        <v>10</v>
      </c>
    </row>
    <row r="297" spans="1:17" x14ac:dyDescent="0.45">
      <c r="A297" s="19">
        <v>46031.684027777781</v>
      </c>
      <c r="B297" t="s">
        <v>78</v>
      </c>
      <c r="C297" t="s">
        <v>194</v>
      </c>
      <c r="D297" t="s">
        <v>74</v>
      </c>
      <c r="E297" t="s">
        <v>77</v>
      </c>
      <c r="F297" t="s">
        <v>100</v>
      </c>
      <c r="G297" t="s">
        <v>195</v>
      </c>
      <c r="H297" t="s">
        <v>110</v>
      </c>
      <c r="I297">
        <v>7</v>
      </c>
      <c r="J297">
        <v>7</v>
      </c>
      <c r="K297">
        <v>6</v>
      </c>
      <c r="L297">
        <v>7</v>
      </c>
      <c r="M297">
        <v>7</v>
      </c>
      <c r="N297">
        <v>1</v>
      </c>
      <c r="O297">
        <v>5</v>
      </c>
      <c r="P297">
        <v>7</v>
      </c>
      <c r="Q297">
        <v>7</v>
      </c>
    </row>
    <row r="298" spans="1:17" x14ac:dyDescent="0.45">
      <c r="A298" s="19">
        <v>46031.701388888891</v>
      </c>
      <c r="B298" t="s">
        <v>72</v>
      </c>
      <c r="C298" t="s">
        <v>73</v>
      </c>
      <c r="D298" t="s">
        <v>74</v>
      </c>
      <c r="E298" t="s">
        <v>77</v>
      </c>
      <c r="F298" t="s">
        <v>100</v>
      </c>
      <c r="G298" t="s">
        <v>111</v>
      </c>
      <c r="H298" t="s">
        <v>105</v>
      </c>
      <c r="I298">
        <v>5</v>
      </c>
      <c r="J298">
        <v>10</v>
      </c>
      <c r="K298">
        <v>5</v>
      </c>
      <c r="L298">
        <v>5</v>
      </c>
      <c r="M298">
        <v>2</v>
      </c>
      <c r="N298">
        <v>3</v>
      </c>
      <c r="O298">
        <v>2</v>
      </c>
      <c r="P298">
        <v>5</v>
      </c>
      <c r="Q298">
        <v>5</v>
      </c>
    </row>
    <row r="299" spans="1:17" x14ac:dyDescent="0.45">
      <c r="A299" s="19">
        <v>46031.705555555556</v>
      </c>
      <c r="B299" t="s">
        <v>78</v>
      </c>
      <c r="C299" t="s">
        <v>73</v>
      </c>
      <c r="D299" t="s">
        <v>74</v>
      </c>
      <c r="E299" t="s">
        <v>77</v>
      </c>
      <c r="F299" t="s">
        <v>198</v>
      </c>
      <c r="G299" t="s">
        <v>195</v>
      </c>
      <c r="H299" t="s">
        <v>110</v>
      </c>
      <c r="I299">
        <v>5</v>
      </c>
      <c r="J299">
        <v>5</v>
      </c>
      <c r="K299">
        <v>5</v>
      </c>
      <c r="L299">
        <v>10</v>
      </c>
      <c r="M299">
        <v>10</v>
      </c>
      <c r="N299">
        <v>5</v>
      </c>
      <c r="O299">
        <v>5</v>
      </c>
      <c r="P299">
        <v>5</v>
      </c>
      <c r="Q299">
        <v>5</v>
      </c>
    </row>
    <row r="300" spans="1:17" x14ac:dyDescent="0.45">
      <c r="A300" s="19">
        <v>46031.716666666667</v>
      </c>
      <c r="B300" t="s">
        <v>78</v>
      </c>
      <c r="C300" t="s">
        <v>73</v>
      </c>
      <c r="D300" t="s">
        <v>74</v>
      </c>
      <c r="E300" t="s">
        <v>75</v>
      </c>
      <c r="F300" t="s">
        <v>100</v>
      </c>
      <c r="G300" t="s">
        <v>109</v>
      </c>
      <c r="H300" t="s">
        <v>110</v>
      </c>
      <c r="I300">
        <v>10</v>
      </c>
      <c r="J300">
        <v>10</v>
      </c>
      <c r="K300">
        <v>10</v>
      </c>
      <c r="L300">
        <v>10</v>
      </c>
      <c r="M300">
        <v>10</v>
      </c>
      <c r="N300">
        <v>10</v>
      </c>
      <c r="O300">
        <v>10</v>
      </c>
      <c r="P300">
        <v>10</v>
      </c>
      <c r="Q300">
        <v>10</v>
      </c>
    </row>
    <row r="301" spans="1:17" x14ac:dyDescent="0.45">
      <c r="A301" s="19">
        <v>46031.716666666667</v>
      </c>
      <c r="B301" t="s">
        <v>78</v>
      </c>
      <c r="C301" t="s">
        <v>73</v>
      </c>
      <c r="D301" t="s">
        <v>74</v>
      </c>
      <c r="E301" t="s">
        <v>77</v>
      </c>
      <c r="F301" t="s">
        <v>100</v>
      </c>
      <c r="G301" t="s">
        <v>101</v>
      </c>
      <c r="H301" t="s">
        <v>102</v>
      </c>
      <c r="I301">
        <v>9</v>
      </c>
      <c r="J301">
        <v>9</v>
      </c>
      <c r="K301">
        <v>8</v>
      </c>
      <c r="L301">
        <v>10</v>
      </c>
      <c r="M301">
        <v>8</v>
      </c>
      <c r="N301">
        <v>8</v>
      </c>
      <c r="O301">
        <v>10</v>
      </c>
      <c r="P301">
        <v>9</v>
      </c>
      <c r="Q301">
        <v>9</v>
      </c>
    </row>
    <row r="302" spans="1:17" x14ac:dyDescent="0.45">
      <c r="A302" s="19">
        <v>46031.774305555555</v>
      </c>
      <c r="B302" t="s">
        <v>78</v>
      </c>
      <c r="C302" t="s">
        <v>81</v>
      </c>
      <c r="D302" t="s">
        <v>74</v>
      </c>
      <c r="E302" t="s">
        <v>77</v>
      </c>
      <c r="F302" t="s">
        <v>100</v>
      </c>
      <c r="G302" t="s">
        <v>195</v>
      </c>
      <c r="H302" t="s">
        <v>110</v>
      </c>
      <c r="I302">
        <v>8</v>
      </c>
      <c r="J302">
        <v>7</v>
      </c>
      <c r="K302">
        <v>9</v>
      </c>
      <c r="L302">
        <v>5</v>
      </c>
      <c r="M302">
        <v>7</v>
      </c>
      <c r="N302">
        <v>7</v>
      </c>
      <c r="O302">
        <v>7</v>
      </c>
      <c r="P302">
        <v>6</v>
      </c>
      <c r="Q302">
        <v>7</v>
      </c>
    </row>
    <row r="303" spans="1:17" x14ac:dyDescent="0.45">
      <c r="A303" s="19">
        <v>46031.786111111112</v>
      </c>
      <c r="B303" t="s">
        <v>72</v>
      </c>
      <c r="C303" t="s">
        <v>73</v>
      </c>
      <c r="D303" t="s">
        <v>74</v>
      </c>
      <c r="E303" t="s">
        <v>77</v>
      </c>
      <c r="F303" t="s">
        <v>100</v>
      </c>
      <c r="G303" t="s">
        <v>101</v>
      </c>
      <c r="H303" t="s">
        <v>110</v>
      </c>
      <c r="I303">
        <v>7</v>
      </c>
      <c r="J303">
        <v>7</v>
      </c>
      <c r="K303">
        <v>4</v>
      </c>
      <c r="L303">
        <v>8</v>
      </c>
      <c r="M303">
        <v>7</v>
      </c>
      <c r="N303">
        <v>7</v>
      </c>
      <c r="O303">
        <v>5</v>
      </c>
      <c r="P303">
        <v>5</v>
      </c>
      <c r="Q303">
        <v>7</v>
      </c>
    </row>
    <row r="304" spans="1:17" x14ac:dyDescent="0.45">
      <c r="A304" s="19">
        <v>46031.789583333331</v>
      </c>
      <c r="B304" t="s">
        <v>78</v>
      </c>
      <c r="C304" t="s">
        <v>73</v>
      </c>
      <c r="D304" t="s">
        <v>74</v>
      </c>
      <c r="E304" t="s">
        <v>77</v>
      </c>
      <c r="F304" t="s">
        <v>100</v>
      </c>
      <c r="G304" t="s">
        <v>101</v>
      </c>
      <c r="H304" t="s">
        <v>105</v>
      </c>
      <c r="I304">
        <v>6</v>
      </c>
      <c r="J304">
        <v>10</v>
      </c>
      <c r="K304">
        <v>5</v>
      </c>
      <c r="L304">
        <v>4</v>
      </c>
      <c r="M304">
        <v>3</v>
      </c>
      <c r="N304">
        <v>7</v>
      </c>
      <c r="O304">
        <v>4</v>
      </c>
      <c r="P304">
        <v>4</v>
      </c>
      <c r="Q304">
        <v>5</v>
      </c>
    </row>
    <row r="305" spans="1:17" x14ac:dyDescent="0.45">
      <c r="A305" s="19">
        <v>46031.790277777778</v>
      </c>
      <c r="B305" t="s">
        <v>78</v>
      </c>
      <c r="C305" t="s">
        <v>81</v>
      </c>
      <c r="D305" t="s">
        <v>74</v>
      </c>
      <c r="E305" t="s">
        <v>75</v>
      </c>
      <c r="F305" t="s">
        <v>100</v>
      </c>
      <c r="G305" t="s">
        <v>195</v>
      </c>
      <c r="H305" t="s">
        <v>110</v>
      </c>
      <c r="I305">
        <v>10</v>
      </c>
      <c r="J305">
        <v>10</v>
      </c>
      <c r="K305">
        <v>10</v>
      </c>
      <c r="L305">
        <v>10</v>
      </c>
      <c r="M305">
        <v>10</v>
      </c>
      <c r="N305">
        <v>10</v>
      </c>
      <c r="O305">
        <v>10</v>
      </c>
      <c r="P305">
        <v>10</v>
      </c>
      <c r="Q305">
        <v>10</v>
      </c>
    </row>
    <row r="306" spans="1:17" x14ac:dyDescent="0.45">
      <c r="A306" s="19">
        <v>46031.79791666667</v>
      </c>
      <c r="B306" t="s">
        <v>78</v>
      </c>
      <c r="C306" t="s">
        <v>73</v>
      </c>
      <c r="D306" t="s">
        <v>74</v>
      </c>
      <c r="E306" t="s">
        <v>77</v>
      </c>
      <c r="F306" t="s">
        <v>100</v>
      </c>
      <c r="G306" t="s">
        <v>109</v>
      </c>
      <c r="H306" t="s">
        <v>110</v>
      </c>
      <c r="I306">
        <v>7</v>
      </c>
      <c r="J306">
        <v>9</v>
      </c>
      <c r="K306">
        <v>8</v>
      </c>
      <c r="L306">
        <v>6</v>
      </c>
      <c r="M306">
        <v>5</v>
      </c>
      <c r="N306">
        <v>3</v>
      </c>
      <c r="O306">
        <v>9</v>
      </c>
      <c r="P306">
        <v>3</v>
      </c>
      <c r="Q306">
        <v>4</v>
      </c>
    </row>
    <row r="307" spans="1:17" x14ac:dyDescent="0.45">
      <c r="A307" s="19">
        <v>46031.8</v>
      </c>
      <c r="B307" t="s">
        <v>72</v>
      </c>
      <c r="C307" t="s">
        <v>79</v>
      </c>
      <c r="D307" t="s">
        <v>74</v>
      </c>
      <c r="E307" t="s">
        <v>77</v>
      </c>
      <c r="F307" t="s">
        <v>100</v>
      </c>
      <c r="G307" t="s">
        <v>111</v>
      </c>
      <c r="H307" t="s">
        <v>106</v>
      </c>
      <c r="I307">
        <v>3</v>
      </c>
      <c r="J307">
        <v>8</v>
      </c>
      <c r="K307">
        <v>8</v>
      </c>
      <c r="L307">
        <v>4</v>
      </c>
      <c r="M307">
        <v>4</v>
      </c>
      <c r="N307">
        <v>3</v>
      </c>
      <c r="O307">
        <v>7</v>
      </c>
      <c r="P307">
        <v>5</v>
      </c>
      <c r="Q307">
        <v>5</v>
      </c>
    </row>
    <row r="308" spans="1:17" x14ac:dyDescent="0.45">
      <c r="A308" s="19">
        <v>46031.804861111108</v>
      </c>
      <c r="B308" t="s">
        <v>72</v>
      </c>
      <c r="C308" t="s">
        <v>194</v>
      </c>
      <c r="D308" t="s">
        <v>74</v>
      </c>
      <c r="E308" t="s">
        <v>75</v>
      </c>
      <c r="F308" t="s">
        <v>198</v>
      </c>
      <c r="G308" t="s">
        <v>104</v>
      </c>
      <c r="H308" t="s">
        <v>105</v>
      </c>
      <c r="I308">
        <v>2</v>
      </c>
      <c r="J308">
        <v>2</v>
      </c>
      <c r="K308">
        <v>2</v>
      </c>
      <c r="L308">
        <v>1</v>
      </c>
      <c r="M308">
        <v>2</v>
      </c>
      <c r="N308">
        <v>2</v>
      </c>
      <c r="O308">
        <v>2</v>
      </c>
      <c r="P308">
        <v>2</v>
      </c>
      <c r="Q308">
        <v>2</v>
      </c>
    </row>
    <row r="309" spans="1:17" x14ac:dyDescent="0.45">
      <c r="A309" s="19">
        <v>46032.306944444441</v>
      </c>
      <c r="B309" t="s">
        <v>72</v>
      </c>
      <c r="C309" t="s">
        <v>79</v>
      </c>
      <c r="D309" t="s">
        <v>74</v>
      </c>
      <c r="E309" t="s">
        <v>75</v>
      </c>
      <c r="F309" t="s">
        <v>100</v>
      </c>
      <c r="G309" t="s">
        <v>108</v>
      </c>
      <c r="H309" t="s">
        <v>105</v>
      </c>
      <c r="I309">
        <v>10</v>
      </c>
      <c r="J309">
        <v>8</v>
      </c>
      <c r="K309">
        <v>8</v>
      </c>
      <c r="L309">
        <v>8</v>
      </c>
      <c r="M309">
        <v>10</v>
      </c>
      <c r="N309">
        <v>10</v>
      </c>
      <c r="O309">
        <v>6</v>
      </c>
      <c r="P309">
        <v>8</v>
      </c>
      <c r="Q309">
        <v>8</v>
      </c>
    </row>
    <row r="310" spans="1:17" x14ac:dyDescent="0.45">
      <c r="A310" s="19">
        <v>46032.379166666666</v>
      </c>
      <c r="B310" t="s">
        <v>78</v>
      </c>
      <c r="C310" t="s">
        <v>73</v>
      </c>
      <c r="D310" t="s">
        <v>74</v>
      </c>
      <c r="E310" t="s">
        <v>77</v>
      </c>
      <c r="F310" t="s">
        <v>100</v>
      </c>
      <c r="G310" t="s">
        <v>111</v>
      </c>
      <c r="H310" t="s">
        <v>102</v>
      </c>
      <c r="I310">
        <v>10</v>
      </c>
      <c r="J310">
        <v>10</v>
      </c>
      <c r="K310">
        <v>10</v>
      </c>
      <c r="L310">
        <v>10</v>
      </c>
      <c r="M310">
        <v>10</v>
      </c>
      <c r="N310">
        <v>9</v>
      </c>
      <c r="O310">
        <v>9</v>
      </c>
      <c r="P310">
        <v>10</v>
      </c>
      <c r="Q310">
        <v>10</v>
      </c>
    </row>
    <row r="311" spans="1:17" x14ac:dyDescent="0.45">
      <c r="A311" s="19">
        <v>46032.577777777777</v>
      </c>
      <c r="B311" t="s">
        <v>72</v>
      </c>
      <c r="C311" t="s">
        <v>189</v>
      </c>
      <c r="D311" t="s">
        <v>74</v>
      </c>
      <c r="E311" t="s">
        <v>77</v>
      </c>
      <c r="F311" t="s">
        <v>100</v>
      </c>
      <c r="G311" t="s">
        <v>197</v>
      </c>
      <c r="H311" t="s">
        <v>110</v>
      </c>
      <c r="I311">
        <v>7</v>
      </c>
      <c r="J311">
        <v>7</v>
      </c>
      <c r="K311">
        <v>5</v>
      </c>
      <c r="L311">
        <v>8</v>
      </c>
      <c r="M311">
        <v>8</v>
      </c>
      <c r="N311">
        <v>9</v>
      </c>
      <c r="O311">
        <v>9</v>
      </c>
      <c r="P311">
        <v>9</v>
      </c>
      <c r="Q311">
        <v>10</v>
      </c>
    </row>
    <row r="312" spans="1:17" x14ac:dyDescent="0.45">
      <c r="A312" s="19">
        <v>46032.577777777777</v>
      </c>
      <c r="B312" t="s">
        <v>72</v>
      </c>
      <c r="C312" t="s">
        <v>189</v>
      </c>
      <c r="D312" t="s">
        <v>74</v>
      </c>
      <c r="E312" t="s">
        <v>77</v>
      </c>
      <c r="F312" t="s">
        <v>100</v>
      </c>
      <c r="G312" t="s">
        <v>104</v>
      </c>
      <c r="H312" t="s">
        <v>110</v>
      </c>
      <c r="I312">
        <v>6</v>
      </c>
      <c r="J312">
        <v>5</v>
      </c>
      <c r="K312">
        <v>4</v>
      </c>
      <c r="L312">
        <v>7</v>
      </c>
      <c r="M312">
        <v>5</v>
      </c>
      <c r="N312">
        <v>6</v>
      </c>
      <c r="O312">
        <v>6</v>
      </c>
      <c r="P312">
        <v>7</v>
      </c>
      <c r="Q312">
        <v>7</v>
      </c>
    </row>
    <row r="313" spans="1:17" x14ac:dyDescent="0.45">
      <c r="A313" s="19">
        <v>46032.581250000003</v>
      </c>
      <c r="B313" t="s">
        <v>78</v>
      </c>
      <c r="C313" t="s">
        <v>81</v>
      </c>
      <c r="D313" t="s">
        <v>74</v>
      </c>
      <c r="E313" t="s">
        <v>77</v>
      </c>
      <c r="F313" t="s">
        <v>100</v>
      </c>
      <c r="G313" t="s">
        <v>197</v>
      </c>
      <c r="H313" t="s">
        <v>110</v>
      </c>
      <c r="I313">
        <v>8</v>
      </c>
      <c r="J313">
        <v>9</v>
      </c>
      <c r="K313">
        <v>10</v>
      </c>
      <c r="L313">
        <v>10</v>
      </c>
      <c r="M313">
        <v>8</v>
      </c>
      <c r="N313">
        <v>9</v>
      </c>
      <c r="O313">
        <v>8</v>
      </c>
      <c r="P313">
        <v>8</v>
      </c>
      <c r="Q313">
        <v>10</v>
      </c>
    </row>
    <row r="314" spans="1:17" x14ac:dyDescent="0.45">
      <c r="A314" s="19">
        <v>46033.399305555555</v>
      </c>
      <c r="B314" t="s">
        <v>78</v>
      </c>
      <c r="C314" t="s">
        <v>189</v>
      </c>
      <c r="D314" t="s">
        <v>74</v>
      </c>
      <c r="E314" t="s">
        <v>77</v>
      </c>
      <c r="F314" t="s">
        <v>100</v>
      </c>
      <c r="G314" t="s">
        <v>104</v>
      </c>
      <c r="H314" t="s">
        <v>110</v>
      </c>
      <c r="I314">
        <v>6</v>
      </c>
      <c r="J314">
        <v>6</v>
      </c>
      <c r="K314">
        <v>7</v>
      </c>
      <c r="L314">
        <v>7</v>
      </c>
      <c r="M314">
        <v>7</v>
      </c>
      <c r="N314">
        <v>8</v>
      </c>
      <c r="O314">
        <v>5</v>
      </c>
      <c r="P314">
        <v>5</v>
      </c>
      <c r="Q314">
        <v>8</v>
      </c>
    </row>
    <row r="315" spans="1:17" x14ac:dyDescent="0.45">
      <c r="A315" s="19">
        <v>46033.431250000001</v>
      </c>
      <c r="B315" t="s">
        <v>72</v>
      </c>
      <c r="C315" t="s">
        <v>189</v>
      </c>
      <c r="D315" t="s">
        <v>74</v>
      </c>
      <c r="E315" t="s">
        <v>77</v>
      </c>
      <c r="F315" t="s">
        <v>100</v>
      </c>
      <c r="G315" t="s">
        <v>104</v>
      </c>
      <c r="H315" t="s">
        <v>110</v>
      </c>
      <c r="I315">
        <v>7</v>
      </c>
      <c r="J315">
        <v>8</v>
      </c>
      <c r="K315">
        <v>8</v>
      </c>
      <c r="L315">
        <v>8</v>
      </c>
      <c r="M315">
        <v>5</v>
      </c>
      <c r="N315">
        <v>8</v>
      </c>
      <c r="O315">
        <v>6</v>
      </c>
      <c r="P315">
        <v>6</v>
      </c>
      <c r="Q315">
        <v>8</v>
      </c>
    </row>
    <row r="316" spans="1:17" x14ac:dyDescent="0.45">
      <c r="A316" s="19">
        <v>46033.888194444444</v>
      </c>
      <c r="B316" t="s">
        <v>78</v>
      </c>
      <c r="C316" t="s">
        <v>189</v>
      </c>
      <c r="D316" t="s">
        <v>74</v>
      </c>
      <c r="E316" t="s">
        <v>77</v>
      </c>
      <c r="F316" t="s">
        <v>100</v>
      </c>
      <c r="G316" t="s">
        <v>197</v>
      </c>
      <c r="H316" t="s">
        <v>110</v>
      </c>
      <c r="I316">
        <v>4</v>
      </c>
      <c r="J316">
        <v>5</v>
      </c>
      <c r="K316">
        <v>5</v>
      </c>
      <c r="L316">
        <v>7</v>
      </c>
      <c r="M316">
        <v>5</v>
      </c>
      <c r="N316">
        <v>8</v>
      </c>
      <c r="O316">
        <v>5</v>
      </c>
      <c r="P316">
        <v>6</v>
      </c>
      <c r="Q316">
        <v>8</v>
      </c>
    </row>
    <row r="317" spans="1:17" x14ac:dyDescent="0.45">
      <c r="A317" s="19">
        <v>46033.888888888891</v>
      </c>
      <c r="B317" t="s">
        <v>72</v>
      </c>
      <c r="C317" t="s">
        <v>81</v>
      </c>
      <c r="D317" t="s">
        <v>74</v>
      </c>
      <c r="E317" t="s">
        <v>77</v>
      </c>
      <c r="F317" t="s">
        <v>100</v>
      </c>
      <c r="G317" t="s">
        <v>101</v>
      </c>
      <c r="H317" t="s">
        <v>110</v>
      </c>
      <c r="I317">
        <v>6</v>
      </c>
      <c r="J317">
        <v>8</v>
      </c>
      <c r="K317">
        <v>5</v>
      </c>
      <c r="L317">
        <v>6</v>
      </c>
      <c r="M317">
        <v>6</v>
      </c>
      <c r="N317">
        <v>7</v>
      </c>
      <c r="O317">
        <v>6</v>
      </c>
      <c r="P317">
        <v>7</v>
      </c>
      <c r="Q317">
        <v>7</v>
      </c>
    </row>
    <row r="318" spans="1:17" x14ac:dyDescent="0.45">
      <c r="A318" s="19">
        <v>46034.478472222225</v>
      </c>
      <c r="B318" t="s">
        <v>72</v>
      </c>
      <c r="C318" t="s">
        <v>189</v>
      </c>
      <c r="D318" t="s">
        <v>74</v>
      </c>
      <c r="E318" t="s">
        <v>77</v>
      </c>
      <c r="F318" t="s">
        <v>100</v>
      </c>
      <c r="G318" t="s">
        <v>104</v>
      </c>
      <c r="H318" t="s">
        <v>110</v>
      </c>
      <c r="I318">
        <v>7</v>
      </c>
      <c r="J318">
        <v>7</v>
      </c>
      <c r="K318">
        <v>5</v>
      </c>
      <c r="L318">
        <v>8</v>
      </c>
      <c r="M318">
        <v>5</v>
      </c>
      <c r="N318">
        <v>8</v>
      </c>
      <c r="O318">
        <v>5</v>
      </c>
      <c r="P318">
        <v>7</v>
      </c>
      <c r="Q318">
        <v>8</v>
      </c>
    </row>
    <row r="319" spans="1:17" x14ac:dyDescent="0.45">
      <c r="A319" s="19">
        <v>46034.479166666664</v>
      </c>
      <c r="B319" t="s">
        <v>72</v>
      </c>
      <c r="C319" t="s">
        <v>81</v>
      </c>
      <c r="D319" t="s">
        <v>74</v>
      </c>
      <c r="E319" t="s">
        <v>75</v>
      </c>
      <c r="F319" t="s">
        <v>100</v>
      </c>
      <c r="G319" t="s">
        <v>197</v>
      </c>
      <c r="H319" t="s">
        <v>110</v>
      </c>
      <c r="I319">
        <v>4</v>
      </c>
      <c r="J319">
        <v>4</v>
      </c>
      <c r="K319">
        <v>6</v>
      </c>
      <c r="L319">
        <v>7</v>
      </c>
      <c r="M319">
        <v>5</v>
      </c>
      <c r="N319">
        <v>8</v>
      </c>
      <c r="O319">
        <v>5</v>
      </c>
      <c r="P319">
        <v>5</v>
      </c>
      <c r="Q319">
        <v>8</v>
      </c>
    </row>
    <row r="320" spans="1:17" x14ac:dyDescent="0.45">
      <c r="A320" s="19">
        <v>46034.479861111111</v>
      </c>
      <c r="B320" t="s">
        <v>72</v>
      </c>
      <c r="C320" t="s">
        <v>189</v>
      </c>
      <c r="D320" t="s">
        <v>74</v>
      </c>
      <c r="E320" t="s">
        <v>77</v>
      </c>
      <c r="F320" t="s">
        <v>100</v>
      </c>
      <c r="G320" t="s">
        <v>104</v>
      </c>
      <c r="H320" t="s">
        <v>110</v>
      </c>
      <c r="I320">
        <v>8</v>
      </c>
      <c r="J320">
        <v>8</v>
      </c>
      <c r="K320">
        <v>10</v>
      </c>
      <c r="L320">
        <v>10</v>
      </c>
      <c r="M320">
        <v>9</v>
      </c>
      <c r="N320">
        <v>10</v>
      </c>
      <c r="O320">
        <v>8</v>
      </c>
      <c r="P320">
        <v>8</v>
      </c>
      <c r="Q320">
        <v>10</v>
      </c>
    </row>
    <row r="321" spans="1:17" x14ac:dyDescent="0.45">
      <c r="A321" s="19">
        <v>46034.480555555558</v>
      </c>
      <c r="B321" t="s">
        <v>78</v>
      </c>
      <c r="C321" t="s">
        <v>73</v>
      </c>
      <c r="D321" t="s">
        <v>74</v>
      </c>
      <c r="E321" t="s">
        <v>75</v>
      </c>
      <c r="F321" t="s">
        <v>100</v>
      </c>
      <c r="G321" t="s">
        <v>101</v>
      </c>
      <c r="H321" t="s">
        <v>110</v>
      </c>
      <c r="I321">
        <v>5</v>
      </c>
      <c r="J321">
        <v>7</v>
      </c>
      <c r="K321">
        <v>7</v>
      </c>
      <c r="L321">
        <v>9</v>
      </c>
      <c r="M321">
        <v>5</v>
      </c>
      <c r="N321">
        <v>6</v>
      </c>
      <c r="O321">
        <v>5</v>
      </c>
      <c r="P321">
        <v>7</v>
      </c>
      <c r="Q321">
        <v>7</v>
      </c>
    </row>
    <row r="322" spans="1:17" x14ac:dyDescent="0.45">
      <c r="A322" s="19">
        <v>46034.481249999997</v>
      </c>
      <c r="B322" t="s">
        <v>72</v>
      </c>
      <c r="C322" t="s">
        <v>189</v>
      </c>
      <c r="D322" t="s">
        <v>74</v>
      </c>
      <c r="E322" t="s">
        <v>77</v>
      </c>
      <c r="F322" t="s">
        <v>100</v>
      </c>
      <c r="G322" t="s">
        <v>104</v>
      </c>
      <c r="H322" t="s">
        <v>110</v>
      </c>
      <c r="I322">
        <v>8</v>
      </c>
      <c r="J322">
        <v>8</v>
      </c>
      <c r="K322">
        <v>7</v>
      </c>
      <c r="L322">
        <v>9</v>
      </c>
      <c r="M322">
        <v>9</v>
      </c>
      <c r="N322">
        <v>9</v>
      </c>
      <c r="O322">
        <v>7</v>
      </c>
      <c r="P322">
        <v>9</v>
      </c>
      <c r="Q322">
        <v>9</v>
      </c>
    </row>
    <row r="323" spans="1:17" x14ac:dyDescent="0.45">
      <c r="A323" s="19">
        <v>46034.481944444444</v>
      </c>
      <c r="B323" t="s">
        <v>78</v>
      </c>
      <c r="C323" t="s">
        <v>81</v>
      </c>
      <c r="D323" t="s">
        <v>74</v>
      </c>
      <c r="E323" t="s">
        <v>77</v>
      </c>
      <c r="F323" t="s">
        <v>100</v>
      </c>
      <c r="G323" t="s">
        <v>101</v>
      </c>
      <c r="H323" t="s">
        <v>110</v>
      </c>
      <c r="I323">
        <v>5</v>
      </c>
      <c r="J323">
        <v>5</v>
      </c>
      <c r="K323">
        <v>5</v>
      </c>
      <c r="L323">
        <v>7</v>
      </c>
      <c r="M323">
        <v>5</v>
      </c>
      <c r="N323">
        <v>7</v>
      </c>
      <c r="O323">
        <v>5</v>
      </c>
      <c r="P323">
        <v>5</v>
      </c>
      <c r="Q323">
        <v>7</v>
      </c>
    </row>
    <row r="324" spans="1:17" x14ac:dyDescent="0.45">
      <c r="A324" s="19">
        <v>46034.484027777777</v>
      </c>
      <c r="B324" t="s">
        <v>78</v>
      </c>
      <c r="C324" t="s">
        <v>81</v>
      </c>
      <c r="D324" t="s">
        <v>74</v>
      </c>
      <c r="E324" t="s">
        <v>75</v>
      </c>
      <c r="F324" t="s">
        <v>100</v>
      </c>
      <c r="G324" t="s">
        <v>101</v>
      </c>
      <c r="H324" t="s">
        <v>110</v>
      </c>
      <c r="I324">
        <v>7</v>
      </c>
      <c r="J324">
        <v>7</v>
      </c>
      <c r="K324">
        <v>8</v>
      </c>
      <c r="L324">
        <v>8</v>
      </c>
      <c r="M324">
        <v>6</v>
      </c>
      <c r="N324">
        <v>7</v>
      </c>
      <c r="O324">
        <v>6</v>
      </c>
      <c r="P324">
        <v>7</v>
      </c>
      <c r="Q324">
        <v>7</v>
      </c>
    </row>
    <row r="325" spans="1:17" x14ac:dyDescent="0.45">
      <c r="A325" s="19">
        <v>46034.484722222223</v>
      </c>
      <c r="B325" t="s">
        <v>72</v>
      </c>
      <c r="C325" t="s">
        <v>189</v>
      </c>
      <c r="D325" t="s">
        <v>74</v>
      </c>
      <c r="E325" t="s">
        <v>77</v>
      </c>
      <c r="F325" t="s">
        <v>100</v>
      </c>
      <c r="G325" t="s">
        <v>195</v>
      </c>
      <c r="H325" t="s">
        <v>110</v>
      </c>
      <c r="I325">
        <v>7</v>
      </c>
      <c r="J325">
        <v>7</v>
      </c>
      <c r="K325">
        <v>5</v>
      </c>
      <c r="L325">
        <v>7</v>
      </c>
      <c r="M325">
        <v>7</v>
      </c>
      <c r="N325">
        <v>7</v>
      </c>
      <c r="O325">
        <v>5</v>
      </c>
      <c r="P325">
        <v>5</v>
      </c>
      <c r="Q325">
        <v>8</v>
      </c>
    </row>
    <row r="326" spans="1:17" x14ac:dyDescent="0.45">
      <c r="A326" s="19">
        <v>46034.48541666667</v>
      </c>
      <c r="B326" t="s">
        <v>78</v>
      </c>
      <c r="C326" t="s">
        <v>73</v>
      </c>
      <c r="D326" t="s">
        <v>74</v>
      </c>
      <c r="E326" t="s">
        <v>77</v>
      </c>
      <c r="F326" t="s">
        <v>100</v>
      </c>
      <c r="G326" t="s">
        <v>109</v>
      </c>
      <c r="H326" t="s">
        <v>102</v>
      </c>
      <c r="I326">
        <v>2</v>
      </c>
      <c r="J326">
        <v>2</v>
      </c>
      <c r="K326">
        <v>6</v>
      </c>
      <c r="L326">
        <v>7</v>
      </c>
      <c r="M326">
        <v>2</v>
      </c>
      <c r="N326">
        <v>5</v>
      </c>
      <c r="O326">
        <v>5</v>
      </c>
      <c r="P326">
        <v>6</v>
      </c>
      <c r="Q326">
        <v>5</v>
      </c>
    </row>
    <row r="327" spans="1:17" x14ac:dyDescent="0.45">
      <c r="A327" s="19">
        <v>46034.486111111109</v>
      </c>
      <c r="B327" t="s">
        <v>72</v>
      </c>
      <c r="C327" t="s">
        <v>79</v>
      </c>
      <c r="D327" t="s">
        <v>74</v>
      </c>
      <c r="E327" t="s">
        <v>77</v>
      </c>
      <c r="F327" t="s">
        <v>100</v>
      </c>
      <c r="G327" t="s">
        <v>111</v>
      </c>
      <c r="H327" t="s">
        <v>105</v>
      </c>
      <c r="I327">
        <v>8</v>
      </c>
      <c r="J327">
        <v>9</v>
      </c>
      <c r="K327">
        <v>9</v>
      </c>
      <c r="L327">
        <v>10</v>
      </c>
      <c r="M327">
        <v>8</v>
      </c>
      <c r="N327">
        <v>10</v>
      </c>
      <c r="O327">
        <v>9</v>
      </c>
      <c r="P327">
        <v>9</v>
      </c>
      <c r="Q327">
        <v>10</v>
      </c>
    </row>
    <row r="328" spans="1:17" x14ac:dyDescent="0.45">
      <c r="A328" s="19">
        <v>46034.486805555556</v>
      </c>
      <c r="B328" t="s">
        <v>72</v>
      </c>
      <c r="C328" t="s">
        <v>81</v>
      </c>
      <c r="D328" t="s">
        <v>74</v>
      </c>
      <c r="E328" t="s">
        <v>77</v>
      </c>
      <c r="F328" t="s">
        <v>100</v>
      </c>
      <c r="G328" t="s">
        <v>197</v>
      </c>
      <c r="H328" t="s">
        <v>110</v>
      </c>
      <c r="I328">
        <v>7</v>
      </c>
      <c r="J328">
        <v>7</v>
      </c>
      <c r="K328">
        <v>7</v>
      </c>
      <c r="L328">
        <v>9</v>
      </c>
      <c r="M328">
        <v>7</v>
      </c>
      <c r="N328">
        <v>8</v>
      </c>
      <c r="O328">
        <v>5</v>
      </c>
      <c r="P328">
        <v>7</v>
      </c>
      <c r="Q328">
        <v>8</v>
      </c>
    </row>
    <row r="329" spans="1:17" x14ac:dyDescent="0.45">
      <c r="A329" s="19">
        <v>46034.488888888889</v>
      </c>
      <c r="B329" t="s">
        <v>78</v>
      </c>
      <c r="C329" t="s">
        <v>79</v>
      </c>
      <c r="D329" t="s">
        <v>74</v>
      </c>
      <c r="E329" t="s">
        <v>75</v>
      </c>
      <c r="F329" t="s">
        <v>100</v>
      </c>
      <c r="G329" t="s">
        <v>107</v>
      </c>
      <c r="H329" t="s">
        <v>106</v>
      </c>
      <c r="I329">
        <v>7</v>
      </c>
      <c r="J329">
        <v>8</v>
      </c>
      <c r="K329">
        <v>9</v>
      </c>
      <c r="L329">
        <v>9</v>
      </c>
      <c r="M329">
        <v>9</v>
      </c>
      <c r="N329">
        <v>8</v>
      </c>
      <c r="O329">
        <v>7</v>
      </c>
      <c r="P329">
        <v>7</v>
      </c>
      <c r="Q329">
        <v>9</v>
      </c>
    </row>
    <row r="330" spans="1:17" x14ac:dyDescent="0.45">
      <c r="A330" s="19">
        <v>46034.490972222222</v>
      </c>
      <c r="B330" t="s">
        <v>72</v>
      </c>
      <c r="C330" t="s">
        <v>81</v>
      </c>
      <c r="D330" t="s">
        <v>74</v>
      </c>
      <c r="E330" t="s">
        <v>77</v>
      </c>
      <c r="F330" t="s">
        <v>100</v>
      </c>
      <c r="G330" t="s">
        <v>104</v>
      </c>
      <c r="H330" t="s">
        <v>110</v>
      </c>
      <c r="I330">
        <v>7</v>
      </c>
      <c r="J330">
        <v>7</v>
      </c>
      <c r="K330">
        <v>9</v>
      </c>
      <c r="L330">
        <v>9</v>
      </c>
      <c r="M330">
        <v>9</v>
      </c>
      <c r="N330">
        <v>9</v>
      </c>
      <c r="O330">
        <v>5</v>
      </c>
      <c r="P330">
        <v>6</v>
      </c>
      <c r="Q330">
        <v>9</v>
      </c>
    </row>
    <row r="331" spans="1:17" x14ac:dyDescent="0.45">
      <c r="A331" s="19">
        <v>46034.490972222222</v>
      </c>
      <c r="B331" t="s">
        <v>78</v>
      </c>
      <c r="C331" t="s">
        <v>189</v>
      </c>
      <c r="D331" t="s">
        <v>74</v>
      </c>
      <c r="E331" t="s">
        <v>77</v>
      </c>
      <c r="F331" t="s">
        <v>100</v>
      </c>
      <c r="G331" t="s">
        <v>104</v>
      </c>
      <c r="H331" t="s">
        <v>110</v>
      </c>
      <c r="I331">
        <v>3</v>
      </c>
      <c r="J331">
        <v>3</v>
      </c>
      <c r="K331">
        <v>5</v>
      </c>
      <c r="L331">
        <v>6</v>
      </c>
      <c r="M331">
        <v>4</v>
      </c>
      <c r="N331">
        <v>5</v>
      </c>
      <c r="O331">
        <v>5</v>
      </c>
      <c r="P331">
        <v>5</v>
      </c>
      <c r="Q331">
        <v>5</v>
      </c>
    </row>
    <row r="332" spans="1:17" x14ac:dyDescent="0.45">
      <c r="A332" s="19">
        <v>46034.507638888892</v>
      </c>
      <c r="B332" t="s">
        <v>78</v>
      </c>
      <c r="C332" t="s">
        <v>73</v>
      </c>
      <c r="D332" t="s">
        <v>74</v>
      </c>
      <c r="E332" t="s">
        <v>77</v>
      </c>
      <c r="F332" t="s">
        <v>100</v>
      </c>
      <c r="G332" t="s">
        <v>101</v>
      </c>
      <c r="H332" t="s">
        <v>102</v>
      </c>
      <c r="I332">
        <v>4</v>
      </c>
      <c r="J332">
        <v>4</v>
      </c>
      <c r="K332">
        <v>5</v>
      </c>
      <c r="L332">
        <v>6</v>
      </c>
      <c r="M332">
        <v>4</v>
      </c>
      <c r="N332">
        <v>5</v>
      </c>
      <c r="O332">
        <v>3</v>
      </c>
      <c r="P332">
        <v>4</v>
      </c>
      <c r="Q332">
        <v>5</v>
      </c>
    </row>
    <row r="333" spans="1:17" x14ac:dyDescent="0.45">
      <c r="A333" s="19">
        <v>46034.508333333331</v>
      </c>
      <c r="B333" t="s">
        <v>72</v>
      </c>
      <c r="C333" t="s">
        <v>189</v>
      </c>
      <c r="D333" t="s">
        <v>74</v>
      </c>
      <c r="E333" t="s">
        <v>77</v>
      </c>
      <c r="F333" t="s">
        <v>100</v>
      </c>
      <c r="G333" t="s">
        <v>197</v>
      </c>
      <c r="H333" t="s">
        <v>110</v>
      </c>
      <c r="I333">
        <v>7</v>
      </c>
      <c r="J333">
        <v>7</v>
      </c>
      <c r="K333">
        <v>9</v>
      </c>
      <c r="L333">
        <v>9</v>
      </c>
      <c r="M333">
        <v>8</v>
      </c>
      <c r="N333">
        <v>9</v>
      </c>
      <c r="O333">
        <v>7</v>
      </c>
      <c r="P333">
        <v>9</v>
      </c>
      <c r="Q333">
        <v>9</v>
      </c>
    </row>
    <row r="334" spans="1:17" x14ac:dyDescent="0.45">
      <c r="A334" s="19">
        <v>46034.509027777778</v>
      </c>
      <c r="B334" t="s">
        <v>78</v>
      </c>
      <c r="C334" t="s">
        <v>79</v>
      </c>
      <c r="D334" t="s">
        <v>74</v>
      </c>
      <c r="E334" t="s">
        <v>75</v>
      </c>
      <c r="F334" t="s">
        <v>100</v>
      </c>
      <c r="G334" t="s">
        <v>107</v>
      </c>
      <c r="H334" t="s">
        <v>102</v>
      </c>
      <c r="I334">
        <v>6</v>
      </c>
      <c r="J334">
        <v>6</v>
      </c>
      <c r="K334">
        <v>8</v>
      </c>
      <c r="L334">
        <v>8</v>
      </c>
      <c r="M334">
        <v>6</v>
      </c>
      <c r="N334">
        <v>7</v>
      </c>
      <c r="O334">
        <v>6</v>
      </c>
      <c r="P334">
        <v>7</v>
      </c>
      <c r="Q334">
        <v>7</v>
      </c>
    </row>
    <row r="335" spans="1:17" x14ac:dyDescent="0.45">
      <c r="A335" s="19">
        <v>46034.509722222225</v>
      </c>
      <c r="B335" t="s">
        <v>72</v>
      </c>
      <c r="C335" t="s">
        <v>192</v>
      </c>
      <c r="D335" t="s">
        <v>74</v>
      </c>
      <c r="E335" t="s">
        <v>75</v>
      </c>
      <c r="F335" t="s">
        <v>103</v>
      </c>
      <c r="G335" t="s">
        <v>108</v>
      </c>
      <c r="H335" t="s">
        <v>106</v>
      </c>
      <c r="I335">
        <v>2</v>
      </c>
      <c r="J335">
        <v>2</v>
      </c>
      <c r="K335">
        <v>3</v>
      </c>
      <c r="L335">
        <v>5</v>
      </c>
      <c r="M335">
        <v>1</v>
      </c>
      <c r="N335">
        <v>1</v>
      </c>
      <c r="O335">
        <v>1</v>
      </c>
      <c r="P335">
        <v>3</v>
      </c>
      <c r="Q335">
        <v>1</v>
      </c>
    </row>
    <row r="336" spans="1:17" x14ac:dyDescent="0.45">
      <c r="A336" s="19">
        <v>46034.513888888891</v>
      </c>
      <c r="B336" t="s">
        <v>78</v>
      </c>
      <c r="C336" t="s">
        <v>189</v>
      </c>
      <c r="D336" t="s">
        <v>74</v>
      </c>
      <c r="E336" t="s">
        <v>77</v>
      </c>
      <c r="F336" t="s">
        <v>100</v>
      </c>
      <c r="G336" t="s">
        <v>104</v>
      </c>
      <c r="H336" t="s">
        <v>110</v>
      </c>
      <c r="I336">
        <v>7</v>
      </c>
      <c r="J336">
        <v>7</v>
      </c>
      <c r="K336">
        <v>8</v>
      </c>
      <c r="L336">
        <v>10</v>
      </c>
      <c r="M336">
        <v>9</v>
      </c>
      <c r="N336">
        <v>10</v>
      </c>
      <c r="O336">
        <v>8</v>
      </c>
      <c r="P336">
        <v>8</v>
      </c>
      <c r="Q336">
        <v>10</v>
      </c>
    </row>
    <row r="337" spans="1:17" x14ac:dyDescent="0.45">
      <c r="A337" s="19">
        <v>46034.51458333333</v>
      </c>
      <c r="B337" t="s">
        <v>72</v>
      </c>
      <c r="C337" t="s">
        <v>81</v>
      </c>
      <c r="D337" t="s">
        <v>74</v>
      </c>
      <c r="E337" t="s">
        <v>77</v>
      </c>
      <c r="F337" t="s">
        <v>100</v>
      </c>
      <c r="G337" t="s">
        <v>197</v>
      </c>
      <c r="H337" t="s">
        <v>110</v>
      </c>
      <c r="I337">
        <v>4</v>
      </c>
      <c r="J337">
        <v>5</v>
      </c>
      <c r="K337">
        <v>5</v>
      </c>
      <c r="L337">
        <v>6</v>
      </c>
      <c r="M337">
        <v>5</v>
      </c>
      <c r="N337">
        <v>6</v>
      </c>
      <c r="O337">
        <v>5</v>
      </c>
      <c r="P337">
        <v>5</v>
      </c>
      <c r="Q337">
        <v>6</v>
      </c>
    </row>
    <row r="338" spans="1:17" x14ac:dyDescent="0.45">
      <c r="A338" s="19">
        <v>46034.515277777777</v>
      </c>
      <c r="B338" t="s">
        <v>78</v>
      </c>
      <c r="C338" t="s">
        <v>73</v>
      </c>
      <c r="D338" t="s">
        <v>74</v>
      </c>
      <c r="E338" t="s">
        <v>77</v>
      </c>
      <c r="F338" t="s">
        <v>100</v>
      </c>
      <c r="G338" t="s">
        <v>101</v>
      </c>
      <c r="H338" t="s">
        <v>110</v>
      </c>
      <c r="I338">
        <v>7</v>
      </c>
      <c r="J338">
        <v>8</v>
      </c>
      <c r="K338">
        <v>7</v>
      </c>
      <c r="L338">
        <v>7</v>
      </c>
      <c r="M338">
        <v>6</v>
      </c>
      <c r="N338">
        <v>8</v>
      </c>
      <c r="O338">
        <v>6</v>
      </c>
      <c r="P338">
        <v>8</v>
      </c>
      <c r="Q338">
        <v>8</v>
      </c>
    </row>
    <row r="339" spans="1:17" x14ac:dyDescent="0.45">
      <c r="A339" s="19">
        <v>46034.515972222223</v>
      </c>
      <c r="B339" t="s">
        <v>78</v>
      </c>
      <c r="C339" t="s">
        <v>189</v>
      </c>
      <c r="D339" t="s">
        <v>74</v>
      </c>
      <c r="E339" t="s">
        <v>77</v>
      </c>
      <c r="F339" t="s">
        <v>100</v>
      </c>
      <c r="G339" t="s">
        <v>104</v>
      </c>
      <c r="H339" t="s">
        <v>110</v>
      </c>
      <c r="I339">
        <v>8</v>
      </c>
      <c r="J339">
        <v>8</v>
      </c>
      <c r="K339">
        <v>9</v>
      </c>
      <c r="L339">
        <v>9</v>
      </c>
      <c r="M339">
        <v>8</v>
      </c>
      <c r="N339">
        <v>9</v>
      </c>
      <c r="O339">
        <v>10</v>
      </c>
      <c r="P339">
        <v>9</v>
      </c>
      <c r="Q339">
        <v>10</v>
      </c>
    </row>
    <row r="340" spans="1:17" x14ac:dyDescent="0.45">
      <c r="A340" s="19">
        <v>46034.515972222223</v>
      </c>
      <c r="B340" t="s">
        <v>72</v>
      </c>
      <c r="C340" t="s">
        <v>189</v>
      </c>
      <c r="D340" t="s">
        <v>74</v>
      </c>
      <c r="E340" t="s">
        <v>77</v>
      </c>
      <c r="F340" t="s">
        <v>100</v>
      </c>
      <c r="G340" t="s">
        <v>104</v>
      </c>
      <c r="H340" t="s">
        <v>110</v>
      </c>
      <c r="I340">
        <v>7</v>
      </c>
      <c r="J340">
        <v>7</v>
      </c>
      <c r="K340">
        <v>8</v>
      </c>
      <c r="L340">
        <v>8</v>
      </c>
      <c r="M340">
        <v>6</v>
      </c>
      <c r="N340">
        <v>7</v>
      </c>
      <c r="O340">
        <v>6</v>
      </c>
      <c r="P340">
        <v>6</v>
      </c>
      <c r="Q340">
        <v>7</v>
      </c>
    </row>
    <row r="341" spans="1:17" x14ac:dyDescent="0.45">
      <c r="A341" s="19">
        <v>46034.591666666667</v>
      </c>
      <c r="B341" t="s">
        <v>78</v>
      </c>
      <c r="C341" t="s">
        <v>81</v>
      </c>
      <c r="D341" t="s">
        <v>74</v>
      </c>
      <c r="E341" t="s">
        <v>77</v>
      </c>
      <c r="F341" t="s">
        <v>100</v>
      </c>
      <c r="G341" t="s">
        <v>104</v>
      </c>
      <c r="H341" t="s">
        <v>110</v>
      </c>
      <c r="I341">
        <v>7</v>
      </c>
      <c r="J341">
        <v>8</v>
      </c>
      <c r="K341">
        <v>8</v>
      </c>
      <c r="L341">
        <v>8</v>
      </c>
      <c r="M341">
        <v>5</v>
      </c>
      <c r="N341">
        <v>8</v>
      </c>
      <c r="O341">
        <v>5</v>
      </c>
      <c r="P341">
        <v>8</v>
      </c>
      <c r="Q341">
        <v>8</v>
      </c>
    </row>
    <row r="342" spans="1:17" x14ac:dyDescent="0.45">
      <c r="A342" s="19">
        <v>46034.592361111114</v>
      </c>
      <c r="B342" t="s">
        <v>72</v>
      </c>
      <c r="C342" t="s">
        <v>189</v>
      </c>
      <c r="D342" t="s">
        <v>74</v>
      </c>
      <c r="E342" t="s">
        <v>77</v>
      </c>
      <c r="F342" t="s">
        <v>100</v>
      </c>
      <c r="G342" t="s">
        <v>195</v>
      </c>
      <c r="H342" t="s">
        <v>110</v>
      </c>
      <c r="I342">
        <v>8</v>
      </c>
      <c r="J342">
        <v>8</v>
      </c>
      <c r="K342">
        <v>8</v>
      </c>
      <c r="L342">
        <v>9</v>
      </c>
      <c r="M342">
        <v>8</v>
      </c>
      <c r="N342">
        <v>8</v>
      </c>
      <c r="O342">
        <v>7</v>
      </c>
      <c r="P342">
        <v>7</v>
      </c>
      <c r="Q342">
        <v>8</v>
      </c>
    </row>
    <row r="343" spans="1:17" x14ac:dyDescent="0.45">
      <c r="A343" s="19">
        <v>46034.593055555553</v>
      </c>
      <c r="B343" t="s">
        <v>78</v>
      </c>
      <c r="C343" t="s">
        <v>189</v>
      </c>
      <c r="D343" t="s">
        <v>74</v>
      </c>
      <c r="E343" t="s">
        <v>77</v>
      </c>
      <c r="F343" t="s">
        <v>100</v>
      </c>
      <c r="G343" t="s">
        <v>195</v>
      </c>
      <c r="H343" t="s">
        <v>110</v>
      </c>
      <c r="I343">
        <v>5</v>
      </c>
      <c r="J343">
        <v>5</v>
      </c>
      <c r="K343">
        <v>6</v>
      </c>
      <c r="L343">
        <v>7</v>
      </c>
      <c r="M343">
        <v>5</v>
      </c>
      <c r="N343">
        <v>8</v>
      </c>
      <c r="O343">
        <v>6</v>
      </c>
      <c r="P343">
        <v>6</v>
      </c>
      <c r="Q343">
        <v>7</v>
      </c>
    </row>
    <row r="344" spans="1:17" x14ac:dyDescent="0.45">
      <c r="A344" s="19">
        <v>46034.59375</v>
      </c>
      <c r="B344" t="s">
        <v>78</v>
      </c>
      <c r="C344" t="s">
        <v>81</v>
      </c>
      <c r="D344" t="s">
        <v>74</v>
      </c>
      <c r="E344" t="s">
        <v>77</v>
      </c>
      <c r="F344" t="s">
        <v>100</v>
      </c>
      <c r="G344" t="s">
        <v>104</v>
      </c>
      <c r="H344" t="s">
        <v>110</v>
      </c>
      <c r="I344">
        <v>7</v>
      </c>
      <c r="J344">
        <v>7</v>
      </c>
      <c r="K344">
        <v>8</v>
      </c>
      <c r="L344">
        <v>7</v>
      </c>
      <c r="M344">
        <v>8</v>
      </c>
      <c r="N344">
        <v>8</v>
      </c>
      <c r="O344">
        <v>8</v>
      </c>
      <c r="P344">
        <v>7</v>
      </c>
      <c r="Q344">
        <v>8</v>
      </c>
    </row>
    <row r="345" spans="1:17" x14ac:dyDescent="0.45">
      <c r="A345" s="19">
        <v>46034.594444444447</v>
      </c>
      <c r="B345" t="s">
        <v>78</v>
      </c>
      <c r="C345" t="s">
        <v>73</v>
      </c>
      <c r="D345" t="s">
        <v>74</v>
      </c>
      <c r="E345" t="s">
        <v>75</v>
      </c>
      <c r="F345" t="s">
        <v>100</v>
      </c>
      <c r="G345" t="s">
        <v>111</v>
      </c>
      <c r="H345" t="s">
        <v>105</v>
      </c>
      <c r="I345">
        <v>7</v>
      </c>
      <c r="J345">
        <v>7</v>
      </c>
      <c r="K345">
        <v>5</v>
      </c>
      <c r="L345">
        <v>8</v>
      </c>
      <c r="M345">
        <v>6</v>
      </c>
      <c r="N345">
        <v>5</v>
      </c>
      <c r="O345">
        <v>5</v>
      </c>
      <c r="P345">
        <v>6</v>
      </c>
      <c r="Q345">
        <v>5</v>
      </c>
    </row>
    <row r="346" spans="1:17" x14ac:dyDescent="0.45">
      <c r="A346" s="19">
        <v>46034.602777777778</v>
      </c>
      <c r="B346" t="s">
        <v>72</v>
      </c>
      <c r="C346" t="s">
        <v>81</v>
      </c>
      <c r="D346" t="s">
        <v>74</v>
      </c>
      <c r="E346" t="s">
        <v>77</v>
      </c>
      <c r="F346" t="s">
        <v>100</v>
      </c>
      <c r="G346" t="s">
        <v>104</v>
      </c>
      <c r="H346" t="s">
        <v>110</v>
      </c>
      <c r="I346">
        <v>7</v>
      </c>
      <c r="J346">
        <v>7</v>
      </c>
      <c r="K346">
        <v>5</v>
      </c>
      <c r="L346">
        <v>8</v>
      </c>
      <c r="M346">
        <v>7</v>
      </c>
      <c r="N346">
        <v>7</v>
      </c>
      <c r="O346">
        <v>6</v>
      </c>
      <c r="P346">
        <v>7</v>
      </c>
      <c r="Q346">
        <v>7</v>
      </c>
    </row>
    <row r="347" spans="1:17" x14ac:dyDescent="0.45">
      <c r="A347" s="19">
        <v>46034.603472222225</v>
      </c>
      <c r="B347" t="s">
        <v>72</v>
      </c>
      <c r="C347" t="s">
        <v>73</v>
      </c>
      <c r="D347" t="s">
        <v>74</v>
      </c>
      <c r="E347" t="s">
        <v>77</v>
      </c>
      <c r="F347" t="s">
        <v>100</v>
      </c>
      <c r="G347" t="s">
        <v>101</v>
      </c>
      <c r="H347" t="s">
        <v>102</v>
      </c>
      <c r="I347">
        <v>9</v>
      </c>
      <c r="J347">
        <v>8</v>
      </c>
      <c r="K347">
        <v>8</v>
      </c>
      <c r="L347">
        <v>9</v>
      </c>
      <c r="M347">
        <v>7</v>
      </c>
      <c r="N347">
        <v>8</v>
      </c>
      <c r="O347">
        <v>7</v>
      </c>
      <c r="P347">
        <v>7</v>
      </c>
      <c r="Q347">
        <v>8</v>
      </c>
    </row>
    <row r="348" spans="1:17" x14ac:dyDescent="0.45">
      <c r="A348" s="19">
        <v>46034.606249999997</v>
      </c>
      <c r="B348" t="s">
        <v>72</v>
      </c>
      <c r="C348" t="s">
        <v>81</v>
      </c>
      <c r="D348" t="s">
        <v>74</v>
      </c>
      <c r="E348" t="s">
        <v>77</v>
      </c>
      <c r="F348" t="s">
        <v>100</v>
      </c>
      <c r="G348" t="s">
        <v>197</v>
      </c>
      <c r="H348" t="s">
        <v>110</v>
      </c>
      <c r="I348">
        <v>8</v>
      </c>
      <c r="J348">
        <v>8</v>
      </c>
      <c r="K348">
        <v>7</v>
      </c>
      <c r="L348">
        <v>8</v>
      </c>
      <c r="M348">
        <v>6</v>
      </c>
      <c r="N348">
        <v>8</v>
      </c>
      <c r="O348">
        <v>6</v>
      </c>
      <c r="P348">
        <v>6</v>
      </c>
      <c r="Q348">
        <v>8</v>
      </c>
    </row>
    <row r="349" spans="1:17" x14ac:dyDescent="0.45">
      <c r="A349" s="19">
        <v>46034.652083333334</v>
      </c>
      <c r="B349" t="s">
        <v>72</v>
      </c>
      <c r="C349" t="s">
        <v>81</v>
      </c>
      <c r="D349" t="s">
        <v>74</v>
      </c>
      <c r="E349" t="s">
        <v>77</v>
      </c>
      <c r="F349" t="s">
        <v>100</v>
      </c>
      <c r="G349" t="s">
        <v>197</v>
      </c>
      <c r="H349" t="s">
        <v>110</v>
      </c>
      <c r="I349">
        <v>8</v>
      </c>
      <c r="J349">
        <v>8</v>
      </c>
      <c r="K349">
        <v>7</v>
      </c>
      <c r="L349">
        <v>7</v>
      </c>
      <c r="M349">
        <v>6</v>
      </c>
      <c r="N349">
        <v>7</v>
      </c>
      <c r="O349">
        <v>6</v>
      </c>
      <c r="P349">
        <v>6</v>
      </c>
      <c r="Q349">
        <v>7</v>
      </c>
    </row>
    <row r="350" spans="1:17" x14ac:dyDescent="0.45">
      <c r="A350" s="19">
        <v>46034.654166666667</v>
      </c>
      <c r="B350" t="s">
        <v>72</v>
      </c>
      <c r="C350" t="s">
        <v>81</v>
      </c>
      <c r="D350" t="s">
        <v>74</v>
      </c>
      <c r="E350" t="s">
        <v>77</v>
      </c>
      <c r="F350" t="s">
        <v>100</v>
      </c>
      <c r="G350" t="s">
        <v>197</v>
      </c>
      <c r="H350" t="s">
        <v>110</v>
      </c>
      <c r="I350">
        <v>4</v>
      </c>
      <c r="J350">
        <v>4</v>
      </c>
      <c r="K350">
        <v>5</v>
      </c>
      <c r="L350">
        <v>7</v>
      </c>
      <c r="M350">
        <v>5</v>
      </c>
      <c r="N350">
        <v>6</v>
      </c>
      <c r="O350">
        <v>6</v>
      </c>
      <c r="P350">
        <v>6</v>
      </c>
      <c r="Q350">
        <v>6</v>
      </c>
    </row>
    <row r="351" spans="1:17" x14ac:dyDescent="0.45">
      <c r="A351" s="19">
        <v>46034.654166666667</v>
      </c>
      <c r="B351" t="s">
        <v>72</v>
      </c>
      <c r="C351" t="s">
        <v>81</v>
      </c>
      <c r="D351" t="s">
        <v>74</v>
      </c>
      <c r="E351" t="s">
        <v>77</v>
      </c>
      <c r="F351" t="s">
        <v>100</v>
      </c>
      <c r="G351" t="s">
        <v>101</v>
      </c>
      <c r="H351" t="s">
        <v>110</v>
      </c>
      <c r="I351">
        <v>7</v>
      </c>
      <c r="J351">
        <v>7</v>
      </c>
      <c r="K351">
        <v>8</v>
      </c>
      <c r="L351">
        <v>8</v>
      </c>
      <c r="M351">
        <v>7</v>
      </c>
      <c r="N351">
        <v>7</v>
      </c>
      <c r="O351">
        <v>8</v>
      </c>
      <c r="P351">
        <v>7</v>
      </c>
      <c r="Q351">
        <v>8</v>
      </c>
    </row>
    <row r="352" spans="1:17" x14ac:dyDescent="0.45">
      <c r="A352" s="19">
        <v>46034.654861111114</v>
      </c>
      <c r="B352" t="s">
        <v>72</v>
      </c>
      <c r="C352" t="s">
        <v>73</v>
      </c>
      <c r="D352" t="s">
        <v>74</v>
      </c>
      <c r="E352" t="s">
        <v>77</v>
      </c>
      <c r="F352" t="s">
        <v>100</v>
      </c>
      <c r="G352" t="s">
        <v>109</v>
      </c>
      <c r="H352" t="s">
        <v>105</v>
      </c>
      <c r="I352">
        <v>8</v>
      </c>
      <c r="J352">
        <v>8</v>
      </c>
      <c r="K352">
        <v>6</v>
      </c>
      <c r="L352">
        <v>7</v>
      </c>
      <c r="M352">
        <v>6</v>
      </c>
      <c r="N352">
        <v>7</v>
      </c>
      <c r="O352">
        <v>5</v>
      </c>
      <c r="P352">
        <v>7</v>
      </c>
      <c r="Q352">
        <v>7</v>
      </c>
    </row>
    <row r="353" spans="1:17" x14ac:dyDescent="0.45">
      <c r="A353" s="19">
        <v>46034.7</v>
      </c>
      <c r="B353" t="s">
        <v>72</v>
      </c>
      <c r="C353" t="s">
        <v>73</v>
      </c>
      <c r="D353" t="s">
        <v>74</v>
      </c>
      <c r="E353" t="s">
        <v>77</v>
      </c>
      <c r="F353" t="s">
        <v>100</v>
      </c>
      <c r="G353" t="s">
        <v>101</v>
      </c>
      <c r="H353" t="s">
        <v>102</v>
      </c>
      <c r="I353">
        <v>6</v>
      </c>
      <c r="J353">
        <v>6</v>
      </c>
      <c r="K353">
        <v>8</v>
      </c>
      <c r="L353">
        <v>7</v>
      </c>
      <c r="M353">
        <v>7</v>
      </c>
      <c r="N353">
        <v>7</v>
      </c>
      <c r="O353">
        <v>5</v>
      </c>
      <c r="P353">
        <v>6</v>
      </c>
      <c r="Q353">
        <v>7</v>
      </c>
    </row>
    <row r="354" spans="1:17" x14ac:dyDescent="0.45">
      <c r="A354" s="19">
        <v>46034.700694444444</v>
      </c>
      <c r="B354" t="s">
        <v>78</v>
      </c>
      <c r="C354" t="s">
        <v>79</v>
      </c>
      <c r="D354" t="s">
        <v>74</v>
      </c>
      <c r="E354" t="s">
        <v>77</v>
      </c>
      <c r="F354" t="s">
        <v>100</v>
      </c>
      <c r="G354" t="s">
        <v>107</v>
      </c>
      <c r="H354" t="s">
        <v>196</v>
      </c>
      <c r="I354">
        <v>7</v>
      </c>
      <c r="J354">
        <v>7</v>
      </c>
      <c r="K354">
        <v>8</v>
      </c>
      <c r="L354">
        <v>8</v>
      </c>
      <c r="M354">
        <v>6</v>
      </c>
      <c r="N354">
        <v>7</v>
      </c>
      <c r="O354">
        <v>5</v>
      </c>
      <c r="P354">
        <v>7</v>
      </c>
      <c r="Q354">
        <v>7</v>
      </c>
    </row>
    <row r="355" spans="1:17" x14ac:dyDescent="0.45">
      <c r="A355" s="19">
        <v>46034.701388888891</v>
      </c>
      <c r="B355" t="s">
        <v>72</v>
      </c>
      <c r="C355" t="s">
        <v>189</v>
      </c>
      <c r="D355" t="s">
        <v>74</v>
      </c>
      <c r="E355" t="s">
        <v>77</v>
      </c>
      <c r="F355" t="s">
        <v>100</v>
      </c>
      <c r="G355" t="s">
        <v>104</v>
      </c>
      <c r="H355" t="s">
        <v>110</v>
      </c>
      <c r="I355">
        <v>9</v>
      </c>
      <c r="J355">
        <v>9</v>
      </c>
      <c r="K355">
        <v>10</v>
      </c>
      <c r="L355">
        <v>10</v>
      </c>
      <c r="M355">
        <v>9</v>
      </c>
      <c r="N355">
        <v>10</v>
      </c>
      <c r="O355">
        <v>8</v>
      </c>
      <c r="P355">
        <v>8</v>
      </c>
      <c r="Q355">
        <v>9</v>
      </c>
    </row>
    <row r="356" spans="1:17" x14ac:dyDescent="0.45">
      <c r="A356" s="19">
        <v>46034.720138888886</v>
      </c>
      <c r="B356" t="s">
        <v>78</v>
      </c>
      <c r="C356" t="s">
        <v>189</v>
      </c>
      <c r="D356" t="s">
        <v>74</v>
      </c>
      <c r="E356" t="s">
        <v>77</v>
      </c>
      <c r="F356" t="s">
        <v>100</v>
      </c>
      <c r="G356" t="s">
        <v>104</v>
      </c>
      <c r="H356" t="s">
        <v>110</v>
      </c>
      <c r="I356">
        <v>7</v>
      </c>
      <c r="J356">
        <v>8</v>
      </c>
      <c r="K356">
        <v>8</v>
      </c>
      <c r="L356">
        <v>9</v>
      </c>
      <c r="M356">
        <v>8</v>
      </c>
      <c r="N356">
        <v>10</v>
      </c>
      <c r="O356">
        <v>8</v>
      </c>
      <c r="P356">
        <v>8</v>
      </c>
      <c r="Q356">
        <v>9</v>
      </c>
    </row>
    <row r="357" spans="1:17" x14ac:dyDescent="0.45">
      <c r="A357" s="19">
        <v>46034.753472222219</v>
      </c>
      <c r="B357" t="s">
        <v>78</v>
      </c>
      <c r="C357" t="s">
        <v>189</v>
      </c>
      <c r="D357" t="s">
        <v>74</v>
      </c>
      <c r="E357" t="s">
        <v>77</v>
      </c>
      <c r="F357" t="s">
        <v>100</v>
      </c>
      <c r="G357" t="s">
        <v>104</v>
      </c>
      <c r="H357" t="s">
        <v>110</v>
      </c>
      <c r="I357">
        <v>7</v>
      </c>
      <c r="J357">
        <v>7</v>
      </c>
      <c r="K357">
        <v>8</v>
      </c>
      <c r="L357">
        <v>10</v>
      </c>
      <c r="M357">
        <v>9</v>
      </c>
      <c r="N357">
        <v>10</v>
      </c>
      <c r="O357">
        <v>8</v>
      </c>
      <c r="P357">
        <v>8</v>
      </c>
      <c r="Q357">
        <v>10</v>
      </c>
    </row>
    <row r="358" spans="1:17" x14ac:dyDescent="0.45">
      <c r="A358" s="19">
        <v>46034.769444444442</v>
      </c>
      <c r="B358" t="s">
        <v>78</v>
      </c>
      <c r="C358" t="s">
        <v>81</v>
      </c>
      <c r="D358" t="s">
        <v>74</v>
      </c>
      <c r="E358" t="s">
        <v>77</v>
      </c>
      <c r="F358" t="s">
        <v>100</v>
      </c>
      <c r="G358" t="s">
        <v>101</v>
      </c>
      <c r="H358" t="s">
        <v>110</v>
      </c>
      <c r="I358">
        <v>9</v>
      </c>
      <c r="J358">
        <v>9</v>
      </c>
      <c r="K358">
        <v>8</v>
      </c>
      <c r="L358">
        <v>9</v>
      </c>
      <c r="M358">
        <v>8</v>
      </c>
      <c r="N358">
        <v>8</v>
      </c>
      <c r="O358">
        <v>7</v>
      </c>
      <c r="P358">
        <v>7</v>
      </c>
      <c r="Q358">
        <v>8</v>
      </c>
    </row>
    <row r="359" spans="1:17" x14ac:dyDescent="0.45">
      <c r="A359" s="19">
        <v>46034.770138888889</v>
      </c>
      <c r="B359" t="s">
        <v>72</v>
      </c>
      <c r="C359" t="s">
        <v>189</v>
      </c>
      <c r="D359" t="s">
        <v>74</v>
      </c>
      <c r="E359" t="s">
        <v>77</v>
      </c>
      <c r="F359" t="s">
        <v>100</v>
      </c>
      <c r="G359" t="s">
        <v>104</v>
      </c>
      <c r="H359" t="s">
        <v>110</v>
      </c>
      <c r="I359">
        <v>7</v>
      </c>
      <c r="J359">
        <v>7</v>
      </c>
      <c r="K359">
        <v>7</v>
      </c>
      <c r="L359">
        <v>8</v>
      </c>
      <c r="M359">
        <v>7</v>
      </c>
      <c r="N359">
        <v>9</v>
      </c>
      <c r="O359">
        <v>8</v>
      </c>
      <c r="P359">
        <v>8</v>
      </c>
      <c r="Q359">
        <v>8</v>
      </c>
    </row>
    <row r="360" spans="1:17" x14ac:dyDescent="0.45">
      <c r="A360" s="19">
        <v>46034.770833333336</v>
      </c>
      <c r="B360" t="s">
        <v>72</v>
      </c>
      <c r="C360" t="s">
        <v>81</v>
      </c>
      <c r="D360" t="s">
        <v>74</v>
      </c>
      <c r="E360" t="s">
        <v>77</v>
      </c>
      <c r="F360" t="s">
        <v>100</v>
      </c>
      <c r="G360" t="s">
        <v>197</v>
      </c>
      <c r="H360" t="s">
        <v>102</v>
      </c>
      <c r="I360">
        <v>4</v>
      </c>
      <c r="J360">
        <v>5</v>
      </c>
      <c r="K360">
        <v>6</v>
      </c>
      <c r="L360">
        <v>7</v>
      </c>
      <c r="M360">
        <v>7</v>
      </c>
      <c r="N360">
        <v>6</v>
      </c>
      <c r="O360">
        <v>4</v>
      </c>
      <c r="P360">
        <v>6</v>
      </c>
      <c r="Q360">
        <v>7</v>
      </c>
    </row>
    <row r="361" spans="1:17" x14ac:dyDescent="0.45">
      <c r="A361" s="19">
        <v>46034.893750000003</v>
      </c>
      <c r="B361" t="s">
        <v>78</v>
      </c>
      <c r="C361" t="s">
        <v>81</v>
      </c>
      <c r="D361" t="s">
        <v>74</v>
      </c>
      <c r="E361" t="s">
        <v>77</v>
      </c>
      <c r="F361" t="s">
        <v>100</v>
      </c>
      <c r="G361" t="s">
        <v>197</v>
      </c>
      <c r="H361" t="s">
        <v>110</v>
      </c>
      <c r="I361">
        <v>9</v>
      </c>
      <c r="J361">
        <v>8</v>
      </c>
      <c r="K361">
        <v>8</v>
      </c>
      <c r="L361">
        <v>8</v>
      </c>
      <c r="M361">
        <v>7</v>
      </c>
      <c r="N361">
        <v>7</v>
      </c>
      <c r="O361">
        <v>6</v>
      </c>
      <c r="P361">
        <v>7</v>
      </c>
      <c r="Q361">
        <v>8</v>
      </c>
    </row>
    <row r="362" spans="1:17" x14ac:dyDescent="0.45">
      <c r="A362" s="19">
        <v>46034.894444444442</v>
      </c>
      <c r="B362" t="s">
        <v>72</v>
      </c>
      <c r="C362" t="s">
        <v>189</v>
      </c>
      <c r="D362" t="s">
        <v>74</v>
      </c>
      <c r="E362" t="s">
        <v>77</v>
      </c>
      <c r="F362" t="s">
        <v>100</v>
      </c>
      <c r="G362" t="s">
        <v>195</v>
      </c>
      <c r="H362" t="s">
        <v>110</v>
      </c>
      <c r="I362">
        <v>7</v>
      </c>
      <c r="J362">
        <v>7</v>
      </c>
      <c r="K362">
        <v>8</v>
      </c>
      <c r="L362">
        <v>9</v>
      </c>
      <c r="M362">
        <v>7</v>
      </c>
      <c r="N362">
        <v>10</v>
      </c>
      <c r="O362">
        <v>8</v>
      </c>
      <c r="P362">
        <v>8</v>
      </c>
      <c r="Q362">
        <v>10</v>
      </c>
    </row>
    <row r="363" spans="1:17" x14ac:dyDescent="0.45">
      <c r="A363" s="19">
        <v>46034.895138888889</v>
      </c>
      <c r="B363" t="s">
        <v>72</v>
      </c>
      <c r="C363" t="s">
        <v>189</v>
      </c>
      <c r="D363" t="s">
        <v>74</v>
      </c>
      <c r="E363" t="s">
        <v>77</v>
      </c>
      <c r="F363" t="s">
        <v>100</v>
      </c>
      <c r="G363" t="s">
        <v>104</v>
      </c>
      <c r="H363" t="s">
        <v>110</v>
      </c>
      <c r="I363">
        <v>3</v>
      </c>
      <c r="J363">
        <v>3</v>
      </c>
      <c r="K363">
        <v>5</v>
      </c>
      <c r="L363">
        <v>6</v>
      </c>
      <c r="M363">
        <v>5</v>
      </c>
      <c r="N363">
        <v>6</v>
      </c>
      <c r="O363">
        <v>4</v>
      </c>
      <c r="P363">
        <v>6</v>
      </c>
      <c r="Q363">
        <v>6</v>
      </c>
    </row>
    <row r="364" spans="1:17" x14ac:dyDescent="0.45">
      <c r="A364" s="19">
        <v>46034.9</v>
      </c>
      <c r="B364" t="s">
        <v>78</v>
      </c>
      <c r="C364" t="s">
        <v>81</v>
      </c>
      <c r="D364" t="s">
        <v>74</v>
      </c>
      <c r="E364" t="s">
        <v>77</v>
      </c>
      <c r="F364" t="s">
        <v>100</v>
      </c>
      <c r="G364" t="s">
        <v>101</v>
      </c>
      <c r="H364" t="s">
        <v>102</v>
      </c>
      <c r="I364">
        <v>8</v>
      </c>
      <c r="J364">
        <v>8</v>
      </c>
      <c r="K364">
        <v>5</v>
      </c>
      <c r="L364">
        <v>7</v>
      </c>
      <c r="M364">
        <v>5</v>
      </c>
      <c r="N364">
        <v>8</v>
      </c>
      <c r="O364">
        <v>5</v>
      </c>
      <c r="P364">
        <v>7</v>
      </c>
      <c r="Q364">
        <v>8</v>
      </c>
    </row>
    <row r="365" spans="1:17" x14ac:dyDescent="0.45">
      <c r="A365" s="19">
        <v>46034.900694444441</v>
      </c>
      <c r="B365" t="s">
        <v>78</v>
      </c>
      <c r="C365" t="s">
        <v>73</v>
      </c>
      <c r="D365" t="s">
        <v>74</v>
      </c>
      <c r="E365" t="s">
        <v>77</v>
      </c>
      <c r="F365" t="s">
        <v>100</v>
      </c>
      <c r="G365" t="s">
        <v>197</v>
      </c>
      <c r="H365" t="s">
        <v>102</v>
      </c>
      <c r="I365">
        <v>4</v>
      </c>
      <c r="J365">
        <v>5</v>
      </c>
      <c r="K365">
        <v>5</v>
      </c>
      <c r="L365">
        <v>7</v>
      </c>
      <c r="M365">
        <v>5</v>
      </c>
      <c r="N365">
        <v>7</v>
      </c>
      <c r="O365">
        <v>5</v>
      </c>
      <c r="P365">
        <v>6</v>
      </c>
      <c r="Q365">
        <v>7</v>
      </c>
    </row>
    <row r="366" spans="1:17" x14ac:dyDescent="0.45">
      <c r="A366" s="19">
        <v>46034.901388888888</v>
      </c>
      <c r="B366" t="s">
        <v>72</v>
      </c>
      <c r="C366" t="s">
        <v>81</v>
      </c>
      <c r="D366" t="s">
        <v>74</v>
      </c>
      <c r="E366" t="s">
        <v>77</v>
      </c>
      <c r="F366" t="s">
        <v>100</v>
      </c>
      <c r="G366" t="s">
        <v>109</v>
      </c>
      <c r="H366" t="s">
        <v>110</v>
      </c>
      <c r="I366">
        <v>9</v>
      </c>
      <c r="J366">
        <v>9</v>
      </c>
      <c r="K366">
        <v>8</v>
      </c>
      <c r="L366">
        <v>9</v>
      </c>
      <c r="M366">
        <v>9</v>
      </c>
      <c r="N366">
        <v>7</v>
      </c>
      <c r="O366">
        <v>7</v>
      </c>
      <c r="P366">
        <v>7</v>
      </c>
      <c r="Q366">
        <v>7</v>
      </c>
    </row>
    <row r="367" spans="1:17" x14ac:dyDescent="0.45">
      <c r="A367" s="19">
        <v>46034.90347222222</v>
      </c>
      <c r="B367" t="s">
        <v>78</v>
      </c>
      <c r="C367" t="s">
        <v>73</v>
      </c>
      <c r="D367" t="s">
        <v>74</v>
      </c>
      <c r="E367" t="s">
        <v>75</v>
      </c>
      <c r="F367" t="s">
        <v>100</v>
      </c>
      <c r="G367" t="s">
        <v>111</v>
      </c>
      <c r="H367" t="s">
        <v>102</v>
      </c>
      <c r="I367">
        <v>7</v>
      </c>
      <c r="J367">
        <v>8</v>
      </c>
      <c r="K367">
        <v>8</v>
      </c>
      <c r="L367">
        <v>8</v>
      </c>
      <c r="M367">
        <v>5</v>
      </c>
      <c r="N367">
        <v>6</v>
      </c>
      <c r="O367">
        <v>5</v>
      </c>
      <c r="P367">
        <v>6</v>
      </c>
      <c r="Q367">
        <v>6</v>
      </c>
    </row>
    <row r="368" spans="1:17" x14ac:dyDescent="0.45">
      <c r="A368" s="19">
        <v>46034.904861111114</v>
      </c>
      <c r="B368" t="s">
        <v>72</v>
      </c>
      <c r="C368" t="s">
        <v>189</v>
      </c>
      <c r="D368" t="s">
        <v>74</v>
      </c>
      <c r="E368" t="s">
        <v>77</v>
      </c>
      <c r="F368" t="s">
        <v>100</v>
      </c>
      <c r="G368" t="s">
        <v>104</v>
      </c>
      <c r="H368" t="s">
        <v>110</v>
      </c>
      <c r="I368">
        <v>8</v>
      </c>
      <c r="J368">
        <v>9</v>
      </c>
      <c r="K368">
        <v>8</v>
      </c>
      <c r="L368">
        <v>8</v>
      </c>
      <c r="M368">
        <v>9</v>
      </c>
      <c r="N368">
        <v>10</v>
      </c>
      <c r="O368">
        <v>10</v>
      </c>
      <c r="P368">
        <v>9</v>
      </c>
      <c r="Q368">
        <v>10</v>
      </c>
    </row>
    <row r="369" spans="1:17" x14ac:dyDescent="0.45">
      <c r="A369" s="19">
        <v>46034.904861111114</v>
      </c>
      <c r="B369" t="s">
        <v>72</v>
      </c>
      <c r="C369" t="s">
        <v>81</v>
      </c>
      <c r="D369" t="s">
        <v>74</v>
      </c>
      <c r="E369" t="s">
        <v>75</v>
      </c>
      <c r="F369" t="s">
        <v>100</v>
      </c>
      <c r="G369" t="s">
        <v>101</v>
      </c>
      <c r="H369" t="s">
        <v>105</v>
      </c>
      <c r="I369">
        <v>7</v>
      </c>
      <c r="J369">
        <v>7</v>
      </c>
      <c r="K369">
        <v>8</v>
      </c>
      <c r="L369">
        <v>8</v>
      </c>
      <c r="M369">
        <v>6</v>
      </c>
      <c r="N369">
        <v>8</v>
      </c>
      <c r="O369">
        <v>6</v>
      </c>
      <c r="P369">
        <v>7</v>
      </c>
      <c r="Q369">
        <v>8</v>
      </c>
    </row>
    <row r="370" spans="1:17" x14ac:dyDescent="0.45">
      <c r="A370" s="19">
        <v>46034.907638888886</v>
      </c>
      <c r="B370" t="s">
        <v>78</v>
      </c>
      <c r="C370" t="s">
        <v>81</v>
      </c>
      <c r="D370" t="s">
        <v>74</v>
      </c>
      <c r="E370" t="s">
        <v>77</v>
      </c>
      <c r="F370" t="s">
        <v>100</v>
      </c>
      <c r="G370" t="s">
        <v>104</v>
      </c>
      <c r="H370" t="s">
        <v>110</v>
      </c>
      <c r="I370">
        <v>6</v>
      </c>
      <c r="J370">
        <v>6</v>
      </c>
      <c r="K370">
        <v>8</v>
      </c>
      <c r="L370">
        <v>9</v>
      </c>
      <c r="M370">
        <v>8</v>
      </c>
      <c r="N370">
        <v>8</v>
      </c>
      <c r="O370">
        <v>5</v>
      </c>
      <c r="P370">
        <v>7</v>
      </c>
      <c r="Q370">
        <v>8</v>
      </c>
    </row>
    <row r="371" spans="1:17" x14ac:dyDescent="0.45">
      <c r="A371" s="19">
        <v>46034.908333333333</v>
      </c>
      <c r="B371" t="s">
        <v>78</v>
      </c>
      <c r="C371" t="s">
        <v>189</v>
      </c>
      <c r="D371" t="s">
        <v>74</v>
      </c>
      <c r="E371" t="s">
        <v>77</v>
      </c>
      <c r="F371" t="s">
        <v>100</v>
      </c>
      <c r="G371" t="s">
        <v>197</v>
      </c>
      <c r="H371" t="s">
        <v>110</v>
      </c>
      <c r="I371">
        <v>6</v>
      </c>
      <c r="J371">
        <v>7</v>
      </c>
      <c r="K371">
        <v>7</v>
      </c>
      <c r="L371">
        <v>9</v>
      </c>
      <c r="M371">
        <v>7</v>
      </c>
      <c r="N371">
        <v>9</v>
      </c>
      <c r="O371">
        <v>9</v>
      </c>
      <c r="P371">
        <v>9</v>
      </c>
      <c r="Q371">
        <v>9</v>
      </c>
    </row>
    <row r="372" spans="1:17" x14ac:dyDescent="0.45">
      <c r="A372" s="19">
        <v>46034.90902777778</v>
      </c>
      <c r="B372" t="s">
        <v>78</v>
      </c>
      <c r="C372" t="s">
        <v>79</v>
      </c>
      <c r="D372" t="s">
        <v>74</v>
      </c>
      <c r="E372" t="s">
        <v>75</v>
      </c>
      <c r="F372" t="s">
        <v>100</v>
      </c>
      <c r="G372" t="s">
        <v>111</v>
      </c>
      <c r="H372" t="s">
        <v>106</v>
      </c>
      <c r="I372">
        <v>4</v>
      </c>
      <c r="J372">
        <v>4</v>
      </c>
      <c r="K372">
        <v>5</v>
      </c>
      <c r="L372">
        <v>5</v>
      </c>
      <c r="M372">
        <v>5</v>
      </c>
      <c r="N372">
        <v>4</v>
      </c>
      <c r="O372">
        <v>5</v>
      </c>
      <c r="P372">
        <v>6</v>
      </c>
      <c r="Q372">
        <v>5</v>
      </c>
    </row>
    <row r="373" spans="1:17" x14ac:dyDescent="0.45">
      <c r="A373" s="19">
        <v>46034.909722222219</v>
      </c>
      <c r="B373" t="s">
        <v>72</v>
      </c>
      <c r="C373" t="s">
        <v>73</v>
      </c>
      <c r="D373" t="s">
        <v>74</v>
      </c>
      <c r="E373" t="s">
        <v>77</v>
      </c>
      <c r="F373" t="s">
        <v>100</v>
      </c>
      <c r="G373" t="s">
        <v>109</v>
      </c>
      <c r="H373" t="s">
        <v>105</v>
      </c>
      <c r="I373">
        <v>6</v>
      </c>
      <c r="J373">
        <v>6</v>
      </c>
      <c r="K373">
        <v>8</v>
      </c>
      <c r="L373">
        <v>8</v>
      </c>
      <c r="M373">
        <v>6</v>
      </c>
      <c r="N373">
        <v>7</v>
      </c>
      <c r="O373">
        <v>5</v>
      </c>
      <c r="P373">
        <v>6</v>
      </c>
      <c r="Q373">
        <v>6</v>
      </c>
    </row>
    <row r="374" spans="1:17" x14ac:dyDescent="0.45">
      <c r="A374" s="19">
        <v>46034.910416666666</v>
      </c>
      <c r="B374" t="s">
        <v>72</v>
      </c>
      <c r="C374" t="s">
        <v>73</v>
      </c>
      <c r="D374" t="s">
        <v>74</v>
      </c>
      <c r="E374" t="s">
        <v>77</v>
      </c>
      <c r="F374" t="s">
        <v>100</v>
      </c>
      <c r="G374" t="s">
        <v>107</v>
      </c>
      <c r="H374" t="s">
        <v>105</v>
      </c>
      <c r="I374">
        <v>8</v>
      </c>
      <c r="J374">
        <v>8</v>
      </c>
      <c r="K374">
        <v>9</v>
      </c>
      <c r="L374">
        <v>9</v>
      </c>
      <c r="M374">
        <v>5</v>
      </c>
      <c r="N374">
        <v>5</v>
      </c>
      <c r="O374">
        <v>5</v>
      </c>
      <c r="P374">
        <v>6</v>
      </c>
      <c r="Q374">
        <v>5</v>
      </c>
    </row>
    <row r="375" spans="1:17" x14ac:dyDescent="0.45">
      <c r="A375" s="19">
        <v>46034.940972222219</v>
      </c>
      <c r="B375" t="s">
        <v>72</v>
      </c>
      <c r="C375" t="s">
        <v>73</v>
      </c>
      <c r="D375" t="s">
        <v>74</v>
      </c>
      <c r="E375" t="s">
        <v>77</v>
      </c>
      <c r="F375" t="s">
        <v>100</v>
      </c>
      <c r="G375" t="s">
        <v>109</v>
      </c>
      <c r="H375" t="s">
        <v>102</v>
      </c>
      <c r="I375">
        <v>6</v>
      </c>
      <c r="J375">
        <v>6</v>
      </c>
      <c r="K375">
        <v>7</v>
      </c>
      <c r="L375">
        <v>7</v>
      </c>
      <c r="M375">
        <v>6</v>
      </c>
      <c r="N375">
        <v>6</v>
      </c>
      <c r="O375">
        <v>6</v>
      </c>
      <c r="P375">
        <v>6</v>
      </c>
      <c r="Q375">
        <v>6</v>
      </c>
    </row>
    <row r="376" spans="1:17" x14ac:dyDescent="0.45">
      <c r="A376" s="19">
        <v>46034.96875</v>
      </c>
      <c r="B376" t="s">
        <v>72</v>
      </c>
      <c r="C376" t="s">
        <v>73</v>
      </c>
      <c r="D376" t="s">
        <v>74</v>
      </c>
      <c r="E376" t="s">
        <v>77</v>
      </c>
      <c r="F376" t="s">
        <v>100</v>
      </c>
      <c r="G376" t="s">
        <v>111</v>
      </c>
      <c r="H376" t="s">
        <v>102</v>
      </c>
      <c r="I376">
        <v>8</v>
      </c>
      <c r="J376">
        <v>8</v>
      </c>
      <c r="K376">
        <v>8</v>
      </c>
      <c r="L376">
        <v>8</v>
      </c>
      <c r="M376">
        <v>7</v>
      </c>
      <c r="N376">
        <v>6</v>
      </c>
      <c r="O376">
        <v>6</v>
      </c>
      <c r="P376">
        <v>5</v>
      </c>
      <c r="Q376">
        <v>7</v>
      </c>
    </row>
    <row r="377" spans="1:17" x14ac:dyDescent="0.45">
      <c r="A377" s="19">
        <v>46035.28125</v>
      </c>
      <c r="B377" t="s">
        <v>72</v>
      </c>
      <c r="C377" t="s">
        <v>81</v>
      </c>
      <c r="D377" t="s">
        <v>74</v>
      </c>
      <c r="E377" t="s">
        <v>77</v>
      </c>
      <c r="F377" t="s">
        <v>100</v>
      </c>
      <c r="G377" t="s">
        <v>197</v>
      </c>
      <c r="H377" t="s">
        <v>110</v>
      </c>
      <c r="I377">
        <v>6</v>
      </c>
      <c r="J377">
        <v>6</v>
      </c>
      <c r="K377">
        <v>5</v>
      </c>
      <c r="L377">
        <v>7</v>
      </c>
      <c r="M377">
        <v>6</v>
      </c>
      <c r="N377">
        <v>7</v>
      </c>
      <c r="O377">
        <v>5</v>
      </c>
      <c r="P377">
        <v>6</v>
      </c>
      <c r="Q377">
        <v>7</v>
      </c>
    </row>
    <row r="378" spans="1:17" x14ac:dyDescent="0.45">
      <c r="A378" s="19">
        <v>46035.343055555553</v>
      </c>
      <c r="B378" t="s">
        <v>78</v>
      </c>
      <c r="C378" t="s">
        <v>81</v>
      </c>
      <c r="D378" t="s">
        <v>74</v>
      </c>
      <c r="E378" t="s">
        <v>77</v>
      </c>
      <c r="F378" t="s">
        <v>100</v>
      </c>
      <c r="G378" t="s">
        <v>104</v>
      </c>
      <c r="H378" t="s">
        <v>110</v>
      </c>
      <c r="I378">
        <v>7</v>
      </c>
      <c r="J378">
        <v>8</v>
      </c>
      <c r="K378">
        <v>7</v>
      </c>
      <c r="L378">
        <v>7</v>
      </c>
      <c r="M378">
        <v>8</v>
      </c>
      <c r="N378">
        <v>9</v>
      </c>
      <c r="O378">
        <v>7</v>
      </c>
      <c r="P378">
        <v>7</v>
      </c>
      <c r="Q378">
        <v>8</v>
      </c>
    </row>
    <row r="379" spans="1:17" x14ac:dyDescent="0.45">
      <c r="A379" s="19">
        <v>46035.34375</v>
      </c>
      <c r="B379" t="s">
        <v>72</v>
      </c>
      <c r="C379" t="s">
        <v>189</v>
      </c>
      <c r="D379" t="s">
        <v>74</v>
      </c>
      <c r="E379" t="s">
        <v>77</v>
      </c>
      <c r="F379" t="s">
        <v>100</v>
      </c>
      <c r="G379" t="s">
        <v>197</v>
      </c>
      <c r="H379" t="s">
        <v>110</v>
      </c>
      <c r="I379">
        <v>6</v>
      </c>
      <c r="J379">
        <v>7</v>
      </c>
      <c r="K379">
        <v>5</v>
      </c>
      <c r="L379">
        <v>8</v>
      </c>
      <c r="M379">
        <v>7</v>
      </c>
      <c r="N379">
        <v>7</v>
      </c>
      <c r="O379">
        <v>7</v>
      </c>
      <c r="P379">
        <v>7</v>
      </c>
      <c r="Q379">
        <v>8</v>
      </c>
    </row>
    <row r="380" spans="1:17" x14ac:dyDescent="0.45">
      <c r="A380" s="19">
        <v>46035.345138888886</v>
      </c>
      <c r="B380" t="s">
        <v>72</v>
      </c>
      <c r="C380" t="s">
        <v>189</v>
      </c>
      <c r="D380" t="s">
        <v>74</v>
      </c>
      <c r="E380" t="s">
        <v>77</v>
      </c>
      <c r="F380" t="s">
        <v>100</v>
      </c>
      <c r="G380" t="s">
        <v>104</v>
      </c>
      <c r="H380" t="s">
        <v>110</v>
      </c>
      <c r="I380">
        <v>8</v>
      </c>
      <c r="J380">
        <v>8</v>
      </c>
      <c r="K380">
        <v>9</v>
      </c>
      <c r="L380">
        <v>9</v>
      </c>
      <c r="M380">
        <v>7</v>
      </c>
      <c r="N380">
        <v>9</v>
      </c>
      <c r="O380">
        <v>7</v>
      </c>
      <c r="P380">
        <v>7</v>
      </c>
      <c r="Q380">
        <v>9</v>
      </c>
    </row>
    <row r="381" spans="1:17" x14ac:dyDescent="0.45">
      <c r="A381" s="19">
        <v>46035.354861111111</v>
      </c>
      <c r="B381" t="s">
        <v>78</v>
      </c>
      <c r="C381" t="s">
        <v>189</v>
      </c>
      <c r="D381" t="s">
        <v>74</v>
      </c>
      <c r="E381" t="s">
        <v>77</v>
      </c>
      <c r="F381" t="s">
        <v>100</v>
      </c>
      <c r="G381" t="s">
        <v>197</v>
      </c>
      <c r="H381" t="s">
        <v>110</v>
      </c>
      <c r="I381">
        <v>8</v>
      </c>
      <c r="J381">
        <v>8</v>
      </c>
      <c r="K381">
        <v>5</v>
      </c>
      <c r="L381">
        <v>8</v>
      </c>
      <c r="M381">
        <v>6</v>
      </c>
      <c r="N381">
        <v>9</v>
      </c>
      <c r="O381">
        <v>5</v>
      </c>
      <c r="P381">
        <v>7</v>
      </c>
      <c r="Q381">
        <v>8</v>
      </c>
    </row>
    <row r="382" spans="1:17" x14ac:dyDescent="0.45">
      <c r="A382" s="19">
        <v>46035.370138888888</v>
      </c>
      <c r="B382" t="s">
        <v>78</v>
      </c>
      <c r="C382" t="s">
        <v>189</v>
      </c>
      <c r="D382" t="s">
        <v>74</v>
      </c>
      <c r="E382" t="s">
        <v>191</v>
      </c>
      <c r="F382" t="s">
        <v>100</v>
      </c>
      <c r="G382" t="s">
        <v>104</v>
      </c>
      <c r="H382" t="s">
        <v>110</v>
      </c>
      <c r="I382">
        <v>9</v>
      </c>
      <c r="J382">
        <v>9</v>
      </c>
      <c r="K382">
        <v>8</v>
      </c>
      <c r="L382">
        <v>9</v>
      </c>
      <c r="M382">
        <v>8</v>
      </c>
      <c r="N382">
        <v>10</v>
      </c>
      <c r="O382">
        <v>8</v>
      </c>
      <c r="P382">
        <v>8</v>
      </c>
      <c r="Q382">
        <v>10</v>
      </c>
    </row>
    <row r="383" spans="1:17" x14ac:dyDescent="0.45">
      <c r="A383" s="19">
        <v>46035.370833333334</v>
      </c>
      <c r="B383" t="s">
        <v>72</v>
      </c>
      <c r="C383" t="s">
        <v>189</v>
      </c>
      <c r="D383" t="s">
        <v>74</v>
      </c>
      <c r="E383" t="s">
        <v>77</v>
      </c>
      <c r="F383" t="s">
        <v>100</v>
      </c>
      <c r="G383" t="s">
        <v>197</v>
      </c>
      <c r="H383" t="s">
        <v>102</v>
      </c>
      <c r="I383">
        <v>5</v>
      </c>
      <c r="J383">
        <v>5</v>
      </c>
      <c r="K383">
        <v>4</v>
      </c>
      <c r="L383">
        <v>8</v>
      </c>
      <c r="M383">
        <v>4</v>
      </c>
      <c r="N383">
        <v>8</v>
      </c>
      <c r="O383">
        <v>4</v>
      </c>
      <c r="P383">
        <v>5</v>
      </c>
      <c r="Q383">
        <v>7</v>
      </c>
    </row>
    <row r="384" spans="1:17" x14ac:dyDescent="0.45">
      <c r="A384" s="19">
        <v>46035.371527777781</v>
      </c>
      <c r="B384" t="s">
        <v>78</v>
      </c>
      <c r="C384" t="s">
        <v>192</v>
      </c>
      <c r="D384" t="s">
        <v>74</v>
      </c>
      <c r="E384" t="s">
        <v>75</v>
      </c>
      <c r="F384" t="s">
        <v>100</v>
      </c>
      <c r="G384" t="s">
        <v>107</v>
      </c>
      <c r="H384" t="s">
        <v>105</v>
      </c>
      <c r="I384">
        <v>1</v>
      </c>
      <c r="J384">
        <v>1</v>
      </c>
      <c r="K384">
        <v>4</v>
      </c>
      <c r="L384">
        <v>5</v>
      </c>
      <c r="M384">
        <v>5</v>
      </c>
      <c r="N384">
        <v>4</v>
      </c>
      <c r="O384">
        <v>4</v>
      </c>
      <c r="P384">
        <v>5</v>
      </c>
      <c r="Q384">
        <v>3</v>
      </c>
    </row>
    <row r="385" spans="1:17" x14ac:dyDescent="0.45">
      <c r="A385" s="19">
        <v>46035.388888888891</v>
      </c>
      <c r="B385" t="s">
        <v>78</v>
      </c>
      <c r="C385" t="s">
        <v>189</v>
      </c>
      <c r="D385" t="s">
        <v>74</v>
      </c>
      <c r="E385" t="s">
        <v>77</v>
      </c>
      <c r="F385" t="s">
        <v>100</v>
      </c>
      <c r="G385" t="s">
        <v>195</v>
      </c>
      <c r="H385" t="s">
        <v>110</v>
      </c>
      <c r="I385">
        <v>7</v>
      </c>
      <c r="J385">
        <v>7</v>
      </c>
      <c r="K385">
        <v>7</v>
      </c>
      <c r="L385">
        <v>9</v>
      </c>
      <c r="M385">
        <v>8</v>
      </c>
      <c r="N385">
        <v>10</v>
      </c>
      <c r="O385">
        <v>8</v>
      </c>
      <c r="P385">
        <v>7</v>
      </c>
      <c r="Q385">
        <v>10</v>
      </c>
    </row>
    <row r="386" spans="1:17" x14ac:dyDescent="0.45">
      <c r="A386" s="19">
        <v>46035.40625</v>
      </c>
      <c r="B386" t="s">
        <v>78</v>
      </c>
      <c r="C386" t="s">
        <v>79</v>
      </c>
      <c r="D386" t="s">
        <v>74</v>
      </c>
      <c r="E386" t="s">
        <v>77</v>
      </c>
      <c r="F386" t="s">
        <v>100</v>
      </c>
      <c r="G386" t="s">
        <v>109</v>
      </c>
      <c r="H386" t="s">
        <v>105</v>
      </c>
      <c r="I386">
        <v>3</v>
      </c>
      <c r="J386">
        <v>3</v>
      </c>
      <c r="K386">
        <v>4</v>
      </c>
      <c r="L386">
        <v>6</v>
      </c>
      <c r="M386">
        <v>4</v>
      </c>
      <c r="N386">
        <v>5</v>
      </c>
      <c r="O386">
        <v>4</v>
      </c>
      <c r="P386">
        <v>5</v>
      </c>
      <c r="Q386">
        <v>5</v>
      </c>
    </row>
    <row r="387" spans="1:17" x14ac:dyDescent="0.45">
      <c r="A387" s="19">
        <v>46035.406944444447</v>
      </c>
      <c r="B387" t="s">
        <v>72</v>
      </c>
      <c r="C387" t="s">
        <v>81</v>
      </c>
      <c r="D387" t="s">
        <v>74</v>
      </c>
      <c r="E387" t="s">
        <v>75</v>
      </c>
      <c r="F387" t="s">
        <v>100</v>
      </c>
      <c r="G387" t="s">
        <v>101</v>
      </c>
      <c r="H387" t="s">
        <v>110</v>
      </c>
      <c r="I387">
        <v>8</v>
      </c>
      <c r="J387">
        <v>8</v>
      </c>
      <c r="K387">
        <v>9</v>
      </c>
      <c r="L387">
        <v>8</v>
      </c>
      <c r="M387">
        <v>7</v>
      </c>
      <c r="N387">
        <v>8</v>
      </c>
      <c r="O387">
        <v>7</v>
      </c>
      <c r="P387">
        <v>7</v>
      </c>
      <c r="Q387">
        <v>8</v>
      </c>
    </row>
    <row r="388" spans="1:17" x14ac:dyDescent="0.45">
      <c r="A388" s="19">
        <v>46035.431250000001</v>
      </c>
      <c r="B388" t="s">
        <v>78</v>
      </c>
      <c r="C388" t="s">
        <v>73</v>
      </c>
      <c r="D388" t="s">
        <v>74</v>
      </c>
      <c r="E388" t="s">
        <v>77</v>
      </c>
      <c r="F388" t="s">
        <v>100</v>
      </c>
      <c r="G388" t="s">
        <v>111</v>
      </c>
      <c r="H388" t="s">
        <v>105</v>
      </c>
      <c r="I388">
        <v>5</v>
      </c>
      <c r="J388">
        <v>5</v>
      </c>
      <c r="K388">
        <v>5</v>
      </c>
      <c r="L388">
        <v>5</v>
      </c>
      <c r="M388">
        <v>5</v>
      </c>
      <c r="N388">
        <v>5</v>
      </c>
      <c r="O388">
        <v>5</v>
      </c>
      <c r="P388">
        <v>5</v>
      </c>
      <c r="Q388">
        <v>5</v>
      </c>
    </row>
    <row r="389" spans="1:17" x14ac:dyDescent="0.45">
      <c r="A389" s="19">
        <v>46035.459722222222</v>
      </c>
      <c r="B389" t="s">
        <v>78</v>
      </c>
      <c r="C389" t="s">
        <v>189</v>
      </c>
      <c r="D389" t="s">
        <v>74</v>
      </c>
      <c r="E389" t="s">
        <v>77</v>
      </c>
      <c r="F389" t="s">
        <v>100</v>
      </c>
      <c r="G389" t="s">
        <v>104</v>
      </c>
      <c r="H389" t="s">
        <v>110</v>
      </c>
      <c r="I389">
        <v>7</v>
      </c>
      <c r="J389">
        <v>7</v>
      </c>
      <c r="K389">
        <v>5</v>
      </c>
      <c r="L389">
        <v>8</v>
      </c>
      <c r="M389">
        <v>6</v>
      </c>
      <c r="N389">
        <v>8</v>
      </c>
      <c r="O389">
        <v>5</v>
      </c>
      <c r="P389">
        <v>5</v>
      </c>
      <c r="Q389">
        <v>8</v>
      </c>
    </row>
    <row r="390" spans="1:17" x14ac:dyDescent="0.45">
      <c r="A390" s="19">
        <v>46035.465277777781</v>
      </c>
      <c r="B390" t="s">
        <v>78</v>
      </c>
      <c r="C390" t="s">
        <v>81</v>
      </c>
      <c r="D390" t="s">
        <v>74</v>
      </c>
      <c r="E390" t="s">
        <v>77</v>
      </c>
      <c r="F390" t="s">
        <v>100</v>
      </c>
      <c r="G390" t="s">
        <v>197</v>
      </c>
      <c r="H390" t="s">
        <v>110</v>
      </c>
      <c r="I390">
        <v>6</v>
      </c>
      <c r="J390">
        <v>8</v>
      </c>
      <c r="K390">
        <v>7</v>
      </c>
      <c r="L390">
        <v>8</v>
      </c>
      <c r="M390">
        <v>6</v>
      </c>
      <c r="N390">
        <v>8</v>
      </c>
      <c r="O390">
        <v>5</v>
      </c>
      <c r="P390">
        <v>5</v>
      </c>
      <c r="Q390">
        <v>8</v>
      </c>
    </row>
    <row r="391" spans="1:17" x14ac:dyDescent="0.45">
      <c r="A391" s="19">
        <v>46035.46597222222</v>
      </c>
      <c r="B391" t="s">
        <v>72</v>
      </c>
      <c r="C391" t="s">
        <v>79</v>
      </c>
      <c r="D391" t="s">
        <v>74</v>
      </c>
      <c r="E391" t="s">
        <v>75</v>
      </c>
      <c r="F391" t="s">
        <v>100</v>
      </c>
      <c r="G391" t="s">
        <v>109</v>
      </c>
      <c r="H391" t="s">
        <v>106</v>
      </c>
      <c r="I391">
        <v>10</v>
      </c>
      <c r="J391">
        <v>10</v>
      </c>
      <c r="K391">
        <v>5</v>
      </c>
      <c r="L391">
        <v>9</v>
      </c>
      <c r="M391">
        <v>7</v>
      </c>
      <c r="N391">
        <v>8</v>
      </c>
      <c r="O391">
        <v>5</v>
      </c>
      <c r="P391">
        <v>5</v>
      </c>
      <c r="Q391">
        <v>8</v>
      </c>
    </row>
    <row r="392" spans="1:17" x14ac:dyDescent="0.45">
      <c r="A392" s="19">
        <v>46035.466666666667</v>
      </c>
      <c r="B392" t="s">
        <v>78</v>
      </c>
      <c r="C392" t="s">
        <v>81</v>
      </c>
      <c r="D392" t="s">
        <v>74</v>
      </c>
      <c r="E392" t="s">
        <v>77</v>
      </c>
      <c r="F392" t="s">
        <v>100</v>
      </c>
      <c r="G392" t="s">
        <v>104</v>
      </c>
      <c r="H392" t="s">
        <v>110</v>
      </c>
      <c r="I392">
        <v>4</v>
      </c>
      <c r="J392">
        <v>5</v>
      </c>
      <c r="K392">
        <v>7</v>
      </c>
      <c r="L392">
        <v>7</v>
      </c>
      <c r="M392">
        <v>5</v>
      </c>
      <c r="N392">
        <v>7</v>
      </c>
      <c r="O392">
        <v>5</v>
      </c>
      <c r="P392">
        <v>5</v>
      </c>
      <c r="Q392">
        <v>7</v>
      </c>
    </row>
    <row r="393" spans="1:17" x14ac:dyDescent="0.45">
      <c r="A393" s="19">
        <v>46035.467361111114</v>
      </c>
      <c r="B393" t="s">
        <v>72</v>
      </c>
      <c r="C393" t="s">
        <v>194</v>
      </c>
      <c r="D393" t="s">
        <v>74</v>
      </c>
      <c r="E393" t="s">
        <v>75</v>
      </c>
      <c r="F393" t="s">
        <v>100</v>
      </c>
      <c r="G393" t="s">
        <v>108</v>
      </c>
      <c r="H393" t="s">
        <v>196</v>
      </c>
      <c r="I393">
        <v>2</v>
      </c>
      <c r="J393">
        <v>3</v>
      </c>
      <c r="K393">
        <v>3</v>
      </c>
      <c r="L393">
        <v>6</v>
      </c>
      <c r="M393">
        <v>5</v>
      </c>
      <c r="N393">
        <v>5</v>
      </c>
      <c r="O393">
        <v>5</v>
      </c>
      <c r="P393">
        <v>5</v>
      </c>
      <c r="Q393">
        <v>5</v>
      </c>
    </row>
    <row r="394" spans="1:17" x14ac:dyDescent="0.45">
      <c r="A394" s="19">
        <v>46035.468055555553</v>
      </c>
      <c r="B394" t="s">
        <v>72</v>
      </c>
      <c r="C394" t="s">
        <v>73</v>
      </c>
      <c r="D394" t="s">
        <v>74</v>
      </c>
      <c r="E394" t="s">
        <v>77</v>
      </c>
      <c r="F394" t="s">
        <v>100</v>
      </c>
      <c r="G394" t="s">
        <v>101</v>
      </c>
      <c r="H394" t="s">
        <v>105</v>
      </c>
      <c r="I394">
        <v>7</v>
      </c>
      <c r="J394">
        <v>7</v>
      </c>
      <c r="K394">
        <v>5</v>
      </c>
      <c r="L394">
        <v>8</v>
      </c>
      <c r="M394">
        <v>7</v>
      </c>
      <c r="N394">
        <v>7</v>
      </c>
      <c r="O394">
        <v>5</v>
      </c>
      <c r="P394">
        <v>6</v>
      </c>
      <c r="Q394">
        <v>7</v>
      </c>
    </row>
    <row r="395" spans="1:17" x14ac:dyDescent="0.45">
      <c r="A395" s="19">
        <v>46035.476388888892</v>
      </c>
      <c r="B395" t="s">
        <v>78</v>
      </c>
      <c r="C395" t="s">
        <v>81</v>
      </c>
      <c r="D395" t="s">
        <v>74</v>
      </c>
      <c r="E395" t="s">
        <v>77</v>
      </c>
      <c r="F395" t="s">
        <v>100</v>
      </c>
      <c r="G395" t="s">
        <v>195</v>
      </c>
      <c r="H395" t="s">
        <v>102</v>
      </c>
      <c r="I395">
        <v>9</v>
      </c>
      <c r="J395">
        <v>9</v>
      </c>
      <c r="K395">
        <v>9</v>
      </c>
      <c r="L395">
        <v>7</v>
      </c>
      <c r="M395">
        <v>8</v>
      </c>
      <c r="N395">
        <v>6</v>
      </c>
      <c r="O395">
        <v>8</v>
      </c>
      <c r="P395">
        <v>10</v>
      </c>
      <c r="Q395">
        <v>10</v>
      </c>
    </row>
    <row r="396" spans="1:17" x14ac:dyDescent="0.45">
      <c r="A396" s="19">
        <v>46035.526388888888</v>
      </c>
      <c r="B396" t="s">
        <v>78</v>
      </c>
      <c r="C396" t="s">
        <v>192</v>
      </c>
      <c r="D396" t="s">
        <v>74</v>
      </c>
      <c r="E396" t="s">
        <v>77</v>
      </c>
      <c r="F396" t="s">
        <v>100</v>
      </c>
      <c r="G396" t="s">
        <v>109</v>
      </c>
      <c r="H396" t="s">
        <v>102</v>
      </c>
      <c r="I396">
        <v>7</v>
      </c>
      <c r="J396">
        <v>7</v>
      </c>
      <c r="K396">
        <v>5</v>
      </c>
      <c r="L396">
        <v>7</v>
      </c>
      <c r="M396">
        <v>5</v>
      </c>
      <c r="N396">
        <v>6</v>
      </c>
      <c r="O396">
        <v>5</v>
      </c>
      <c r="P396">
        <v>6</v>
      </c>
      <c r="Q396">
        <v>6</v>
      </c>
    </row>
    <row r="397" spans="1:17" x14ac:dyDescent="0.45">
      <c r="A397" s="19">
        <v>46035.527083333334</v>
      </c>
      <c r="B397" t="s">
        <v>72</v>
      </c>
      <c r="C397" t="s">
        <v>73</v>
      </c>
      <c r="D397" t="s">
        <v>74</v>
      </c>
      <c r="E397" t="s">
        <v>191</v>
      </c>
      <c r="F397" t="s">
        <v>100</v>
      </c>
      <c r="G397" t="s">
        <v>101</v>
      </c>
      <c r="H397" t="s">
        <v>102</v>
      </c>
      <c r="I397">
        <v>2</v>
      </c>
      <c r="J397">
        <v>2</v>
      </c>
      <c r="K397">
        <v>4</v>
      </c>
      <c r="L397">
        <v>5</v>
      </c>
      <c r="M397">
        <v>5</v>
      </c>
      <c r="N397">
        <v>3</v>
      </c>
      <c r="O397">
        <v>5</v>
      </c>
      <c r="P397">
        <v>5</v>
      </c>
      <c r="Q397">
        <v>5</v>
      </c>
    </row>
    <row r="398" spans="1:17" x14ac:dyDescent="0.45">
      <c r="A398" s="19">
        <v>46035.527777777781</v>
      </c>
      <c r="B398" t="s">
        <v>72</v>
      </c>
      <c r="C398" t="s">
        <v>81</v>
      </c>
      <c r="D398" t="s">
        <v>74</v>
      </c>
      <c r="E398" t="s">
        <v>77</v>
      </c>
      <c r="F398" t="s">
        <v>100</v>
      </c>
      <c r="G398" t="s">
        <v>101</v>
      </c>
      <c r="H398" t="s">
        <v>110</v>
      </c>
      <c r="I398">
        <v>8</v>
      </c>
      <c r="J398">
        <v>8</v>
      </c>
      <c r="K398">
        <v>7</v>
      </c>
      <c r="L398">
        <v>7</v>
      </c>
      <c r="M398">
        <v>7</v>
      </c>
      <c r="N398">
        <v>8</v>
      </c>
      <c r="O398">
        <v>7</v>
      </c>
      <c r="P398">
        <v>8</v>
      </c>
      <c r="Q398">
        <v>8</v>
      </c>
    </row>
    <row r="399" spans="1:17" x14ac:dyDescent="0.45">
      <c r="A399" s="19">
        <v>46035.527777777781</v>
      </c>
      <c r="B399" t="s">
        <v>72</v>
      </c>
      <c r="C399" t="s">
        <v>189</v>
      </c>
      <c r="D399" t="s">
        <v>74</v>
      </c>
      <c r="E399" t="s">
        <v>77</v>
      </c>
      <c r="F399" t="s">
        <v>100</v>
      </c>
      <c r="G399" t="s">
        <v>195</v>
      </c>
      <c r="H399" t="s">
        <v>110</v>
      </c>
      <c r="I399">
        <v>9</v>
      </c>
      <c r="J399">
        <v>9</v>
      </c>
      <c r="K399">
        <v>8</v>
      </c>
      <c r="L399">
        <v>9</v>
      </c>
      <c r="M399">
        <v>7</v>
      </c>
      <c r="N399">
        <v>9</v>
      </c>
      <c r="O399">
        <v>8</v>
      </c>
      <c r="P399">
        <v>8</v>
      </c>
      <c r="Q399">
        <v>8</v>
      </c>
    </row>
    <row r="400" spans="1:17" x14ac:dyDescent="0.45">
      <c r="A400" s="19">
        <v>46035.52847222222</v>
      </c>
      <c r="B400" t="s">
        <v>72</v>
      </c>
      <c r="C400" t="s">
        <v>81</v>
      </c>
      <c r="D400" t="s">
        <v>74</v>
      </c>
      <c r="E400" t="s">
        <v>75</v>
      </c>
      <c r="F400" t="s">
        <v>100</v>
      </c>
      <c r="G400" t="s">
        <v>101</v>
      </c>
      <c r="H400" t="s">
        <v>110</v>
      </c>
      <c r="I400">
        <v>7</v>
      </c>
      <c r="J400">
        <v>7</v>
      </c>
      <c r="K400">
        <v>5</v>
      </c>
      <c r="L400">
        <v>8</v>
      </c>
      <c r="M400">
        <v>7</v>
      </c>
      <c r="N400">
        <v>8</v>
      </c>
      <c r="O400">
        <v>6</v>
      </c>
      <c r="P400">
        <v>6</v>
      </c>
      <c r="Q400">
        <v>8</v>
      </c>
    </row>
    <row r="401" spans="1:17" x14ac:dyDescent="0.45">
      <c r="A401" s="19">
        <v>46035.529166666667</v>
      </c>
      <c r="B401" t="s">
        <v>72</v>
      </c>
      <c r="C401" t="s">
        <v>79</v>
      </c>
      <c r="D401" t="s">
        <v>74</v>
      </c>
      <c r="E401" t="s">
        <v>77</v>
      </c>
      <c r="F401" t="s">
        <v>100</v>
      </c>
      <c r="G401" t="s">
        <v>109</v>
      </c>
      <c r="H401" t="s">
        <v>106</v>
      </c>
      <c r="I401">
        <v>8</v>
      </c>
      <c r="J401">
        <v>9</v>
      </c>
      <c r="K401">
        <v>8</v>
      </c>
      <c r="L401">
        <v>8</v>
      </c>
      <c r="M401">
        <v>7</v>
      </c>
      <c r="N401">
        <v>7</v>
      </c>
      <c r="O401">
        <v>7</v>
      </c>
      <c r="P401">
        <v>7</v>
      </c>
      <c r="Q401">
        <v>8</v>
      </c>
    </row>
    <row r="402" spans="1:17" x14ac:dyDescent="0.45">
      <c r="A402" s="19">
        <v>46035.529166666667</v>
      </c>
      <c r="B402" t="s">
        <v>72</v>
      </c>
      <c r="C402" t="s">
        <v>81</v>
      </c>
      <c r="D402" t="s">
        <v>80</v>
      </c>
      <c r="E402" t="s">
        <v>77</v>
      </c>
      <c r="F402" t="s">
        <v>100</v>
      </c>
      <c r="G402" t="s">
        <v>104</v>
      </c>
      <c r="H402" t="s">
        <v>110</v>
      </c>
      <c r="I402">
        <v>4</v>
      </c>
      <c r="J402">
        <v>4</v>
      </c>
      <c r="K402">
        <v>3</v>
      </c>
      <c r="L402">
        <v>5</v>
      </c>
      <c r="M402">
        <v>5</v>
      </c>
      <c r="N402">
        <v>2</v>
      </c>
      <c r="O402">
        <v>2</v>
      </c>
      <c r="P402">
        <v>5</v>
      </c>
      <c r="Q402">
        <v>2</v>
      </c>
    </row>
    <row r="403" spans="1:17" x14ac:dyDescent="0.45">
      <c r="A403" s="19">
        <v>46035.532638888886</v>
      </c>
      <c r="B403" t="s">
        <v>78</v>
      </c>
      <c r="C403" t="s">
        <v>194</v>
      </c>
      <c r="D403" t="s">
        <v>74</v>
      </c>
      <c r="E403" t="s">
        <v>75</v>
      </c>
      <c r="F403" t="s">
        <v>100</v>
      </c>
      <c r="G403" t="s">
        <v>108</v>
      </c>
      <c r="H403" t="s">
        <v>196</v>
      </c>
      <c r="I403">
        <v>7</v>
      </c>
      <c r="J403">
        <v>7</v>
      </c>
      <c r="K403">
        <v>4</v>
      </c>
      <c r="L403">
        <v>6</v>
      </c>
      <c r="M403">
        <v>5</v>
      </c>
      <c r="N403">
        <v>4</v>
      </c>
      <c r="O403">
        <v>5</v>
      </c>
      <c r="P403">
        <v>5</v>
      </c>
      <c r="Q403">
        <v>5</v>
      </c>
    </row>
    <row r="404" spans="1:17" x14ac:dyDescent="0.45">
      <c r="A404" s="19">
        <v>46035.53402777778</v>
      </c>
      <c r="B404" t="s">
        <v>72</v>
      </c>
      <c r="C404" t="s">
        <v>81</v>
      </c>
      <c r="D404" t="s">
        <v>74</v>
      </c>
      <c r="E404" t="s">
        <v>77</v>
      </c>
      <c r="F404" t="s">
        <v>100</v>
      </c>
      <c r="G404" t="s">
        <v>101</v>
      </c>
      <c r="H404" t="s">
        <v>110</v>
      </c>
      <c r="I404">
        <v>7</v>
      </c>
      <c r="J404">
        <v>7</v>
      </c>
      <c r="K404">
        <v>7</v>
      </c>
      <c r="L404">
        <v>7</v>
      </c>
      <c r="M404">
        <v>7</v>
      </c>
      <c r="N404">
        <v>7</v>
      </c>
      <c r="O404">
        <v>7</v>
      </c>
      <c r="P404">
        <v>7</v>
      </c>
      <c r="Q404">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10F7-2B84-40C6-9388-EA08AD4F398E}">
  <dimension ref="A1:BI409"/>
  <sheetViews>
    <sheetView topLeftCell="L1" workbookViewId="0">
      <selection activeCell="BE2" sqref="BE2:BE404"/>
    </sheetView>
  </sheetViews>
  <sheetFormatPr defaultRowHeight="14.25" x14ac:dyDescent="0.45"/>
  <cols>
    <col min="7" max="8" width="0" hidden="1" customWidth="1"/>
  </cols>
  <sheetData>
    <row r="1" spans="1:61" s="23" customFormat="1" x14ac:dyDescent="0.45">
      <c r="A1" s="17" t="s">
        <v>37</v>
      </c>
      <c r="B1" s="18" t="s">
        <v>199</v>
      </c>
      <c r="C1" s="18" t="s">
        <v>112</v>
      </c>
      <c r="D1" s="18" t="s">
        <v>113</v>
      </c>
      <c r="E1" s="18" t="s">
        <v>114</v>
      </c>
      <c r="F1" s="18" t="s">
        <v>115</v>
      </c>
      <c r="G1" s="18" t="s">
        <v>116</v>
      </c>
      <c r="H1" s="18" t="s">
        <v>117</v>
      </c>
      <c r="I1" s="18" t="s">
        <v>118</v>
      </c>
      <c r="J1" s="18" t="s">
        <v>119</v>
      </c>
      <c r="K1" s="18" t="s">
        <v>120</v>
      </c>
      <c r="L1" s="18" t="s">
        <v>121</v>
      </c>
      <c r="M1" s="18" t="s">
        <v>122</v>
      </c>
      <c r="N1" s="18" t="s">
        <v>123</v>
      </c>
      <c r="O1" s="18" t="s">
        <v>124</v>
      </c>
      <c r="P1" s="18" t="s">
        <v>125</v>
      </c>
      <c r="Q1" s="21" t="s">
        <v>45</v>
      </c>
      <c r="R1" s="21" t="s">
        <v>127</v>
      </c>
      <c r="S1" s="21" t="s">
        <v>126</v>
      </c>
      <c r="T1" s="21" t="s">
        <v>128</v>
      </c>
      <c r="U1" s="18" t="s">
        <v>129</v>
      </c>
      <c r="V1" s="22" t="s">
        <v>48</v>
      </c>
      <c r="W1" s="22" t="s">
        <v>130</v>
      </c>
      <c r="X1" s="22" t="s">
        <v>131</v>
      </c>
      <c r="Y1" s="22" t="s">
        <v>132</v>
      </c>
      <c r="Z1" s="20" t="s">
        <v>133</v>
      </c>
      <c r="AA1" s="21" t="s">
        <v>51</v>
      </c>
      <c r="AB1" s="21" t="s">
        <v>134</v>
      </c>
      <c r="AC1" s="21" t="s">
        <v>135</v>
      </c>
      <c r="AD1" s="21" t="s">
        <v>136</v>
      </c>
      <c r="AE1" s="18" t="s">
        <v>137</v>
      </c>
      <c r="AF1" s="22" t="s">
        <v>54</v>
      </c>
      <c r="AG1" s="22" t="s">
        <v>138</v>
      </c>
      <c r="AH1" s="22" t="s">
        <v>139</v>
      </c>
      <c r="AI1" s="22" t="s">
        <v>140</v>
      </c>
      <c r="AJ1" s="22" t="s">
        <v>141</v>
      </c>
      <c r="AK1" s="21" t="s">
        <v>57</v>
      </c>
      <c r="AL1" s="21" t="s">
        <v>142</v>
      </c>
      <c r="AM1" s="21" t="s">
        <v>143</v>
      </c>
      <c r="AN1" s="21" t="s">
        <v>144</v>
      </c>
      <c r="AO1" s="21" t="s">
        <v>145</v>
      </c>
      <c r="AP1" s="22" t="s">
        <v>60</v>
      </c>
      <c r="AQ1" s="22" t="s">
        <v>146</v>
      </c>
      <c r="AR1" s="22" t="s">
        <v>147</v>
      </c>
      <c r="AS1" s="22" t="s">
        <v>148</v>
      </c>
      <c r="AT1" s="22" t="s">
        <v>149</v>
      </c>
      <c r="AU1" s="21" t="s">
        <v>63</v>
      </c>
      <c r="AV1" s="21" t="s">
        <v>150</v>
      </c>
      <c r="AW1" s="21" t="s">
        <v>151</v>
      </c>
      <c r="AX1" s="21" t="s">
        <v>152</v>
      </c>
      <c r="AY1" s="21" t="s">
        <v>153</v>
      </c>
      <c r="AZ1" s="22" t="s">
        <v>66</v>
      </c>
      <c r="BA1" s="22" t="s">
        <v>154</v>
      </c>
      <c r="BB1" s="22" t="s">
        <v>155</v>
      </c>
      <c r="BC1" s="22" t="s">
        <v>156</v>
      </c>
      <c r="BD1" s="22" t="s">
        <v>157</v>
      </c>
      <c r="BE1" s="21" t="s">
        <v>69</v>
      </c>
      <c r="BF1" s="21" t="s">
        <v>158</v>
      </c>
      <c r="BG1" s="21" t="s">
        <v>159</v>
      </c>
      <c r="BH1" s="21" t="s">
        <v>160</v>
      </c>
      <c r="BI1" s="21" t="s">
        <v>161</v>
      </c>
    </row>
    <row r="2" spans="1:61" x14ac:dyDescent="0.45">
      <c r="A2" s="30">
        <f>step3_validation[[#This Row],[Persona_ID]]</f>
        <v>1</v>
      </c>
      <c r="B2" s="31">
        <f>step3_validation[[#This Row],[Used_Seed]]</f>
        <v>2026</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12.894674068377181</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6</v>
      </c>
      <c r="R2" t="str">
        <f>IF(AND(Q2&gt;=1,Q2&lt;5),"Oppose",IF(AND(Q2&gt;=5,Q2&lt;8),"Neutral",IF(AND(Q2&gt;=8,Q2&lt;=10),"Support","")))</f>
        <v>Neutral</v>
      </c>
      <c r="S2">
        <f>survey_responses[[#This Row],[Tôi tin rằng với các quy định quản lý thuế hiện nay, hành vi gian lận hoặc trốn thuế sẽ dễ dàng bị phát hiện và xử lý nghiêm. - HUMAN-ENF1]]</f>
        <v>10</v>
      </c>
      <c r="T2" t="str">
        <f>IF(AND(S2&gt;=1,S2&lt;5),"Oppose",IF(AND(S2&gt;=5,S2&lt;8),"Neutral",IF(AND(S2&gt;=8,S2&lt;=10),"Support","")))</f>
        <v>Support</v>
      </c>
      <c r="U2" s="32">
        <f>ABS(S2-Q2)</f>
        <v>4</v>
      </c>
      <c r="V2">
        <f>step3_validation[[#This Row],[AI_ENF2]]</f>
        <v>8</v>
      </c>
      <c r="W2" t="str">
        <f>IF(AND(V2&gt;=1,V2&lt;5),"Oppose",IF(AND(V2&gt;=5,V2&lt;8),"Neutral",IF(AND(V2&gt;=8,V2&lt;=10),"Support","")))</f>
        <v>Support</v>
      </c>
      <c r="X2">
        <f>survey_responses[[#This Row],[Tôi tin rằng Nhà nước, cơ quan thuế có đủ khả năng và công nghệ để phát hiện, xử lý nghiêm các hành vi trốn thuế. - HUMAN-ENF2]]</f>
        <v>8</v>
      </c>
      <c r="Y2" t="str">
        <f>IF(AND(X2&gt;=1,X2&lt;5),"Oppose",IF(AND(X2&gt;=5,X2&lt;8),"Neutral",IF(AND(X2&gt;=8,X2&lt;=10),"Support","")))</f>
        <v>Support</v>
      </c>
      <c r="Z2" s="32">
        <f>ABS(X2-V2)</f>
        <v>0</v>
      </c>
      <c r="AA2">
        <f>step3_validation[[#This Row],[AI_FAC1]]</f>
        <v>7</v>
      </c>
      <c r="AB2" t="str">
        <f>IF(AND(AA2&gt;=1,AA2&lt;5),"Oppose",IF(AND(AA2&gt;=5,AA2&lt;8),"Neutral",IF(AND(AA2&gt;=8,AA2&lt;=10),"Support","")))</f>
        <v>Neutral</v>
      </c>
      <c r="AC2">
        <f>survey_responses[[#This Row],[Các thủ tục khai báo thuế VÀ/HOẶC quy trình làm việc với cơ quan thuế đơn giản, tiện lợi, nhanh chóng hơn so với trước đây. - HUMAN-FAC1]]</f>
        <v>5</v>
      </c>
      <c r="AD2" t="str">
        <f>IF(AND(AC2&gt;=1,AC2&lt;5),"Oppose",IF(AND(AC2&gt;=5,AC2&lt;8),"Neutral",IF(AND(AC2&gt;=8,AC2&lt;=10),"Support","")))</f>
        <v>Neutral</v>
      </c>
      <c r="AE2" s="32">
        <f>ABS(AC2-AA2)</f>
        <v>2</v>
      </c>
      <c r="AF2">
        <f>step3_validation[[#This Row],[AI_FAC2]]</f>
        <v>9</v>
      </c>
      <c r="AG2" t="str">
        <f>IF(AND(AF2&gt;=1,AF2&lt;5),"Oppose",IF(AND(AF2&gt;=5,AF2&lt;8),"Neutral",IF(AND(AF2&gt;=8,AF2&lt;=10),"Support","")))</f>
        <v>Support</v>
      </c>
      <c r="AH2">
        <f>survey_responses[[#This Row],[So với trước đây, tôi thấy cách tính thuế và các bậc thuế trong phương án mới đơn giản, dễ hiểu và dễ thực hiện hơn. - HUMAN-FAC2]]</f>
        <v>5</v>
      </c>
      <c r="AI2" t="str">
        <f>IF(AND(AH2&gt;=1,AH2&lt;5),"Oppose",IF(AND(AH2&gt;=5,AH2&lt;8),"Neutral",IF(AND(AH2&gt;=8,AH2&lt;=10),"Support","")))</f>
        <v>Neutral</v>
      </c>
      <c r="AJ2" s="32">
        <f>ABS(AH2-AF2)</f>
        <v>4</v>
      </c>
      <c r="AK2">
        <f>step3_validation[[#This Row],[AI_TRU1]]</f>
        <v>5</v>
      </c>
      <c r="AL2" t="str">
        <f>IF(AND(AK2&gt;=1,AK2&lt;5),"Oppose",IF(AND(AK2&gt;=5,AK2&lt;8),"Neutral",IF(AND(AK2&gt;=8,AK2&lt;=10),"Support","")))</f>
        <v>Neutral</v>
      </c>
      <c r="AM2">
        <f>survey_responses[[#This Row],[Tôi tin rằng Nhà nước, cơ quan thuế sẽ thực thi chính sách mới một cách khách quan, công tâm và đối xử bình đẳng với mọi người nộp thuế.  - HUMAN-TRU1]]</f>
        <v>10</v>
      </c>
      <c r="AN2" t="str">
        <f>IF(AND(AM2&gt;=1,AM2&lt;5),"Oppose",IF(AND(AM2&gt;=5,AM2&lt;8),"Neutral",IF(AND(AM2&gt;=8,AM2&lt;=10),"Support","")))</f>
        <v>Support</v>
      </c>
      <c r="AO2" s="32">
        <f>ABS(AM2-AK2)</f>
        <v>5</v>
      </c>
      <c r="AP2">
        <f>step3_validation[[#This Row],[AI_TRU2]]</f>
        <v>8</v>
      </c>
      <c r="AQ2" t="str">
        <f>IF(AND(AP2&gt;=1,AP2&lt;5),"Oppose",IF(AND(AP2&gt;=5,AP2&lt;8),"Neutral",IF(AND(AP2&gt;=8,AP2&lt;=10),"Support","")))</f>
        <v>Support</v>
      </c>
      <c r="AR2">
        <f>survey_responses[[#This Row],[Tôi thấy mức thuế tôi phải đóng theo phương án mới là công bằng (người thu nhập như tôi đóng mức này là hợp lý). - HUMAN-TRU2]]</f>
        <v>10</v>
      </c>
      <c r="AS2" t="str">
        <f>IF(AND(AR2&gt;=1,AR2&lt;5),"Oppose",IF(AND(AR2&gt;=5,AR2&lt;8),"Neutral",IF(AND(AR2&gt;=8,AR2&lt;=10),"Support","")))</f>
        <v>Support</v>
      </c>
      <c r="AT2" s="32">
        <f>ABS(AR2-AP2)</f>
        <v>2</v>
      </c>
      <c r="AU2">
        <f>step3_validation[[#This Row],[AI_TRU3]]</f>
        <v>7</v>
      </c>
      <c r="AV2" t="str">
        <f>IF(AND(AU2&gt;=1,AU2&lt;5),"Oppose",IF(AND(AU2&gt;=5,AU2&lt;8),"Neutral",IF(AND(AU2&gt;=8,AU2&lt;=10),"Support","")))</f>
        <v>Neutral</v>
      </c>
      <c r="AW2">
        <f>survey_responses[[#This Row],[Tôi tin tưởng số tiền thuế tôi đóng sẽ được Nhà nước sử dụng hiệu quả để cải thiện dịch vụ công (y tế, đường xá...). - HUMAN-TRU3]]</f>
        <v>10</v>
      </c>
      <c r="AX2" t="str">
        <f>IF(AND(AW2&gt;=1,AW2&lt;5),"Oppose",IF(AND(AW2&gt;=5,AW2&lt;8),"Neutral",IF(AND(AW2&gt;=8,AW2&lt;=10),"Support","")))</f>
        <v>Support</v>
      </c>
      <c r="AY2" s="32">
        <f>ABS(AW2-AU2)</f>
        <v>3</v>
      </c>
      <c r="AZ2">
        <f>step3_validation[[#This Row],[AI_TRU4]]</f>
        <v>6</v>
      </c>
      <c r="BA2" t="str">
        <f>IF(AND(AZ2&gt;=1,AZ2&lt;5),"Oppose",IF(AND(AZ2&gt;=5,AZ2&lt;8),"Neutral",IF(AND(AZ2&gt;=8,AZ2&lt;=10),"Support","")))</f>
        <v>Neutral</v>
      </c>
      <c r="BB2">
        <f>survey_responses[[#This Row],[Tôi thấy Nhà nước đã giải thích rõ ràng, minh bạch về lý do và mục tiêu của việc sửa đổi thuế lần này. - HUMAN-TRU4]]</f>
        <v>10</v>
      </c>
      <c r="BC2" t="str">
        <f>IF(AND(BB2&gt;=1,BB2&lt;5),"Oppose",IF(AND(BB2&gt;=5,BB2&lt;8),"Neutral",IF(AND(BB2&gt;=8,BB2&lt;=10),"Support","")))</f>
        <v>Support</v>
      </c>
      <c r="BD2" s="32">
        <f>ABS(BB2-AZ2)</f>
        <v>4</v>
      </c>
      <c r="BE2">
        <f>step3_validation[[#This Row],[AI_OUT1]]</f>
        <v>8</v>
      </c>
      <c r="BF2" t="str">
        <f>IF(AND(BE2&gt;=1,BE2&lt;5),"Oppose",IF(AND(BE2&gt;=5,BE2&lt;8),"Neutral",IF(AND(BE2&gt;=8,BE2&lt;=10),"Support","")))</f>
        <v>Support</v>
      </c>
      <c r="BG2">
        <f>survey_responses[[#This Row],[Sau khi xem xét các quyền lợi và nghĩa vụ, bạn có ủng hộ và tuân thủ chính sách mới hiện nay? - HUMAN-OUT1]]</f>
        <v>10</v>
      </c>
      <c r="BH2" t="str">
        <f>IF(AND(BG2&gt;=1,BG2&lt;5),"Oppose",IF(AND(BG2&gt;=5,BG2&lt;8),"Neutral",IF(AND(BG2&gt;=8,BG2&lt;=10),"Support","")))</f>
        <v>Support</v>
      </c>
      <c r="BI2" s="32">
        <f>ABS(BG2-BE2)</f>
        <v>2</v>
      </c>
    </row>
    <row r="3" spans="1:61" x14ac:dyDescent="0.45">
      <c r="A3" s="30">
        <f>step3_validation[[#This Row],[Persona_ID]]</f>
        <v>2</v>
      </c>
      <c r="B3" s="31">
        <f>step3_validation[[#This Row],[Used_Seed]]</f>
        <v>2027</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12.040027302028836</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7</v>
      </c>
      <c r="R3" t="str">
        <f t="shared" ref="R3:R66" si="0">IF(AND(Q3&gt;=1,Q3&lt;5),"Oppose",IF(AND(Q3&gt;=5,Q3&lt;8),"Neutral",IF(AND(Q3&gt;=8,Q3&lt;=10),"Support","")))</f>
        <v>Neutral</v>
      </c>
      <c r="S3">
        <f>survey_responses[[#This Row],[Tôi tin rằng với các quy định quản lý thuế hiện nay, hành vi gian lận hoặc trốn thuế sẽ dễ dàng bị phát hiện và xử lý nghiêm. - HUMAN-ENF1]]</f>
        <v>8</v>
      </c>
      <c r="T3" t="str">
        <f t="shared" ref="T3:T66" si="1">IF(AND(S3&gt;=1,S3&lt;5),"Oppose",IF(AND(S3&gt;=5,S3&lt;8),"Neutral",IF(AND(S3&gt;=8,S3&lt;=10),"Support","")))</f>
        <v>Support</v>
      </c>
      <c r="U3" s="32">
        <f t="shared" ref="U3:U66" si="2">ABS(S3-Q3)</f>
        <v>1</v>
      </c>
      <c r="V3">
        <f>step3_validation[[#This Row],[AI_ENF2]]</f>
        <v>8</v>
      </c>
      <c r="W3" t="str">
        <f t="shared" ref="W3:W66" si="3">IF(AND(V3&gt;=1,V3&lt;5),"Oppose",IF(AND(V3&gt;=5,V3&lt;8),"Neutral",IF(AND(V3&gt;=8,V3&lt;=10),"Support","")))</f>
        <v>Support</v>
      </c>
      <c r="X3">
        <f>survey_responses[[#This Row],[Tôi tin rằng Nhà nước, cơ quan thuế có đủ khả năng và công nghệ để phát hiện, xử lý nghiêm các hành vi trốn thuế. - HUMAN-ENF2]]</f>
        <v>8</v>
      </c>
      <c r="Y3" t="str">
        <f t="shared" ref="Y3:Y66" si="4">IF(AND(X3&gt;=1,X3&lt;5),"Oppose",IF(AND(X3&gt;=5,X3&lt;8),"Neutral",IF(AND(X3&gt;=8,X3&lt;=10),"Support","")))</f>
        <v>Support</v>
      </c>
      <c r="Z3" s="32">
        <f t="shared" ref="Z3:Z66" si="5">ABS(X3-V3)</f>
        <v>0</v>
      </c>
      <c r="AA3">
        <f>step3_validation[[#This Row],[AI_FAC1]]</f>
        <v>9</v>
      </c>
      <c r="AB3" t="str">
        <f t="shared" ref="AB3:AB66" si="6">IF(AND(AA3&gt;=1,AA3&lt;5),"Oppose",IF(AND(AA3&gt;=5,AA3&lt;8),"Neutral",IF(AND(AA3&gt;=8,AA3&lt;=10),"Support","")))</f>
        <v>Support</v>
      </c>
      <c r="AC3">
        <f>survey_responses[[#This Row],[Các thủ tục khai báo thuế VÀ/HOẶC quy trình làm việc với cơ quan thuế đơn giản, tiện lợi, nhanh chóng hơn so với trước đây. - HUMAN-FAC1]]</f>
        <v>6</v>
      </c>
      <c r="AD3" t="str">
        <f t="shared" ref="AD3:AD66" si="7">IF(AND(AC3&gt;=1,AC3&lt;5),"Oppose",IF(AND(AC3&gt;=5,AC3&lt;8),"Neutral",IF(AND(AC3&gt;=8,AC3&lt;=10),"Support","")))</f>
        <v>Neutral</v>
      </c>
      <c r="AE3" s="32">
        <f t="shared" ref="AE3:AE66" si="8">ABS(AC3-AA3)</f>
        <v>3</v>
      </c>
      <c r="AF3">
        <f>step3_validation[[#This Row],[AI_FAC2]]</f>
        <v>8</v>
      </c>
      <c r="AG3" t="str">
        <f t="shared" ref="AG3:AG66" si="9">IF(AND(AF3&gt;=1,AF3&lt;5),"Oppose",IF(AND(AF3&gt;=5,AF3&lt;8),"Neutral",IF(AND(AF3&gt;=8,AF3&lt;=10),"Support","")))</f>
        <v>Support</v>
      </c>
      <c r="AH3">
        <f>survey_responses[[#This Row],[So với trước đây, tôi thấy cách tính thuế và các bậc thuế trong phương án mới đơn giản, dễ hiểu và dễ thực hiện hơn. - HUMAN-FAC2]]</f>
        <v>9</v>
      </c>
      <c r="AI3" t="str">
        <f t="shared" ref="AI3:AI66" si="10">IF(AND(AH3&gt;=1,AH3&lt;5),"Oppose",IF(AND(AH3&gt;=5,AH3&lt;8),"Neutral",IF(AND(AH3&gt;=8,AH3&lt;=10),"Support","")))</f>
        <v>Support</v>
      </c>
      <c r="AJ3" s="32">
        <f t="shared" ref="AJ3:AJ66" si="11">ABS(AH3-AF3)</f>
        <v>1</v>
      </c>
      <c r="AK3">
        <f>step3_validation[[#This Row],[AI_TRU1]]</f>
        <v>7</v>
      </c>
      <c r="AL3" t="str">
        <f t="shared" ref="AL3:AL66" si="12">IF(AND(AK3&gt;=1,AK3&lt;5),"Oppose",IF(AND(AK3&gt;=5,AK3&lt;8),"Neutral",IF(AND(AK3&gt;=8,AK3&lt;=10),"Support","")))</f>
        <v>Neutral</v>
      </c>
      <c r="AM3">
        <f>survey_responses[[#This Row],[Tôi tin rằng Nhà nước, cơ quan thuế sẽ thực thi chính sách mới một cách khách quan, công tâm và đối xử bình đẳng với mọi người nộp thuế.  - HUMAN-TRU1]]</f>
        <v>10</v>
      </c>
      <c r="AN3" t="str">
        <f t="shared" ref="AN3:AN66" si="13">IF(AND(AM3&gt;=1,AM3&lt;5),"Oppose",IF(AND(AM3&gt;=5,AM3&lt;8),"Neutral",IF(AND(AM3&gt;=8,AM3&lt;=10),"Support","")))</f>
        <v>Support</v>
      </c>
      <c r="AO3" s="32">
        <f t="shared" ref="AO3:AO66" si="14">ABS(AM3-AK3)</f>
        <v>3</v>
      </c>
      <c r="AP3">
        <f>step3_validation[[#This Row],[AI_TRU2]]</f>
        <v>8</v>
      </c>
      <c r="AQ3" t="str">
        <f t="shared" ref="AQ3:AQ66" si="15">IF(AND(AP3&gt;=1,AP3&lt;5),"Oppose",IF(AND(AP3&gt;=5,AP3&lt;8),"Neutral",IF(AND(AP3&gt;=8,AP3&lt;=10),"Support","")))</f>
        <v>Support</v>
      </c>
      <c r="AR3">
        <f>survey_responses[[#This Row],[Tôi thấy mức thuế tôi phải đóng theo phương án mới là công bằng (người thu nhập như tôi đóng mức này là hợp lý). - HUMAN-TRU2]]</f>
        <v>9</v>
      </c>
      <c r="AS3" t="str">
        <f t="shared" ref="AS3:AS66" si="16">IF(AND(AR3&gt;=1,AR3&lt;5),"Oppose",IF(AND(AR3&gt;=5,AR3&lt;8),"Neutral",IF(AND(AR3&gt;=8,AR3&lt;=10),"Support","")))</f>
        <v>Support</v>
      </c>
      <c r="AT3" s="32">
        <f t="shared" ref="AT3:AT66" si="17">ABS(AR3-AP3)</f>
        <v>1</v>
      </c>
      <c r="AU3">
        <f>step3_validation[[#This Row],[AI_TRU3]]</f>
        <v>7</v>
      </c>
      <c r="AV3" t="str">
        <f t="shared" ref="AV3:AV66" si="18">IF(AND(AU3&gt;=1,AU3&lt;5),"Oppose",IF(AND(AU3&gt;=5,AU3&lt;8),"Neutral",IF(AND(AU3&gt;=8,AU3&lt;=10),"Support","")))</f>
        <v>Neutral</v>
      </c>
      <c r="AW3">
        <f>survey_responses[[#This Row],[Tôi tin tưởng số tiền thuế tôi đóng sẽ được Nhà nước sử dụng hiệu quả để cải thiện dịch vụ công (y tế, đường xá...). - HUMAN-TRU3]]</f>
        <v>8</v>
      </c>
      <c r="AX3" t="str">
        <f t="shared" ref="AX3:AX66" si="19">IF(AND(AW3&gt;=1,AW3&lt;5),"Oppose",IF(AND(AW3&gt;=5,AW3&lt;8),"Neutral",IF(AND(AW3&gt;=8,AW3&lt;=10),"Support","")))</f>
        <v>Support</v>
      </c>
      <c r="AY3" s="32">
        <f t="shared" ref="AY3:AY66" si="20">ABS(AW3-AU3)</f>
        <v>1</v>
      </c>
      <c r="AZ3">
        <f>step3_validation[[#This Row],[AI_TRU4]]</f>
        <v>8</v>
      </c>
      <c r="BA3" t="str">
        <f t="shared" ref="BA3:BA66" si="21">IF(AND(AZ3&gt;=1,AZ3&lt;5),"Oppose",IF(AND(AZ3&gt;=5,AZ3&lt;8),"Neutral",IF(AND(AZ3&gt;=8,AZ3&lt;=10),"Support","")))</f>
        <v>Support</v>
      </c>
      <c r="BB3">
        <f>survey_responses[[#This Row],[Tôi thấy Nhà nước đã giải thích rõ ràng, minh bạch về lý do và mục tiêu của việc sửa đổi thuế lần này. - HUMAN-TRU4]]</f>
        <v>9</v>
      </c>
      <c r="BC3" t="str">
        <f t="shared" ref="BC3:BC66" si="22">IF(AND(BB3&gt;=1,BB3&lt;5),"Oppose",IF(AND(BB3&gt;=5,BB3&lt;8),"Neutral",IF(AND(BB3&gt;=8,BB3&lt;=10),"Support","")))</f>
        <v>Support</v>
      </c>
      <c r="BD3" s="32">
        <f t="shared" ref="BD3:BD66" si="23">ABS(BB3-AZ3)</f>
        <v>1</v>
      </c>
      <c r="BE3">
        <f>step3_validation[[#This Row],[AI_OUT1]]</f>
        <v>9</v>
      </c>
      <c r="BF3" t="str">
        <f t="shared" ref="BF3:BF66" si="24">IF(AND(BE3&gt;=1,BE3&lt;5),"Oppose",IF(AND(BE3&gt;=5,BE3&lt;8),"Neutral",IF(AND(BE3&gt;=8,BE3&lt;=10),"Support","")))</f>
        <v>Support</v>
      </c>
      <c r="BG3">
        <f>survey_responses[[#This Row],[Sau khi xem xét các quyền lợi và nghĩa vụ, bạn có ủng hộ và tuân thủ chính sách mới hiện nay? - HUMAN-OUT1]]</f>
        <v>10</v>
      </c>
      <c r="BH3" t="str">
        <f t="shared" ref="BH3:BH66" si="25">IF(AND(BG3&gt;=1,BG3&lt;5),"Oppose",IF(AND(BG3&gt;=5,BG3&lt;8),"Neutral",IF(AND(BG3&gt;=8,BG3&lt;=10),"Support","")))</f>
        <v>Support</v>
      </c>
      <c r="BI3" s="32">
        <f t="shared" ref="BI3:BI66" si="26">ABS(BG3-BE3)</f>
        <v>1</v>
      </c>
    </row>
    <row r="4" spans="1:61" x14ac:dyDescent="0.45">
      <c r="A4" s="30">
        <f>step3_validation[[#This Row],[Persona_ID]]</f>
        <v>3</v>
      </c>
      <c r="B4" s="31">
        <f>step3_validation[[#This Row],[Used_Seed]]</f>
        <v>2028</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56.121798619831388</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7</v>
      </c>
      <c r="R4" t="str">
        <f t="shared" si="0"/>
        <v>Neutral</v>
      </c>
      <c r="S4">
        <f>survey_responses[[#This Row],[Tôi tin rằng với các quy định quản lý thuế hiện nay, hành vi gian lận hoặc trốn thuế sẽ dễ dàng bị phát hiện và xử lý nghiêm. - HUMAN-ENF1]]</f>
        <v>6</v>
      </c>
      <c r="T4" t="str">
        <f t="shared" si="1"/>
        <v>Neutral</v>
      </c>
      <c r="U4" s="32">
        <f t="shared" si="2"/>
        <v>1</v>
      </c>
      <c r="V4">
        <f>step3_validation[[#This Row],[AI_ENF2]]</f>
        <v>6</v>
      </c>
      <c r="W4" t="str">
        <f t="shared" si="3"/>
        <v>Neutral</v>
      </c>
      <c r="X4">
        <f>survey_responses[[#This Row],[Tôi tin rằng Nhà nước, cơ quan thuế có đủ khả năng và công nghệ để phát hiện, xử lý nghiêm các hành vi trốn thuế. - HUMAN-ENF2]]</f>
        <v>5</v>
      </c>
      <c r="Y4" t="str">
        <f t="shared" si="4"/>
        <v>Neutral</v>
      </c>
      <c r="Z4" s="32">
        <f t="shared" si="5"/>
        <v>1</v>
      </c>
      <c r="AA4">
        <f>step3_validation[[#This Row],[AI_FAC1]]</f>
        <v>7</v>
      </c>
      <c r="AB4" t="str">
        <f t="shared" si="6"/>
        <v>Neutral</v>
      </c>
      <c r="AC4">
        <f>survey_responses[[#This Row],[Các thủ tục khai báo thuế VÀ/HOẶC quy trình làm việc với cơ quan thuế đơn giản, tiện lợi, nhanh chóng hơn so với trước đây. - HUMAN-FAC1]]</f>
        <v>4</v>
      </c>
      <c r="AD4" t="str">
        <f t="shared" si="7"/>
        <v>Oppose</v>
      </c>
      <c r="AE4" s="32">
        <f t="shared" si="8"/>
        <v>3</v>
      </c>
      <c r="AF4">
        <f>step3_validation[[#This Row],[AI_FAC2]]</f>
        <v>8</v>
      </c>
      <c r="AG4" t="str">
        <f t="shared" si="9"/>
        <v>Support</v>
      </c>
      <c r="AH4">
        <f>survey_responses[[#This Row],[So với trước đây, tôi thấy cách tính thuế và các bậc thuế trong phương án mới đơn giản, dễ hiểu và dễ thực hiện hơn. - HUMAN-FAC2]]</f>
        <v>5</v>
      </c>
      <c r="AI4" t="str">
        <f t="shared" si="10"/>
        <v>Neutral</v>
      </c>
      <c r="AJ4" s="32">
        <f t="shared" si="11"/>
        <v>3</v>
      </c>
      <c r="AK4">
        <f>step3_validation[[#This Row],[AI_TRU1]]</f>
        <v>6</v>
      </c>
      <c r="AL4" t="str">
        <f t="shared" si="12"/>
        <v>Neutral</v>
      </c>
      <c r="AM4">
        <f>survey_responses[[#This Row],[Tôi tin rằng Nhà nước, cơ quan thuế sẽ thực thi chính sách mới một cách khách quan, công tâm và đối xử bình đẳng với mọi người nộp thuế.  - HUMAN-TRU1]]</f>
        <v>4</v>
      </c>
      <c r="AN4" t="str">
        <f t="shared" si="13"/>
        <v>Oppose</v>
      </c>
      <c r="AO4" s="32">
        <f t="shared" si="14"/>
        <v>2</v>
      </c>
      <c r="AP4">
        <f>step3_validation[[#This Row],[AI_TRU2]]</f>
        <v>9</v>
      </c>
      <c r="AQ4" t="str">
        <f t="shared" si="15"/>
        <v>Support</v>
      </c>
      <c r="AR4">
        <f>survey_responses[[#This Row],[Tôi thấy mức thuế tôi phải đóng theo phương án mới là công bằng (người thu nhập như tôi đóng mức này là hợp lý). - HUMAN-TRU2]]</f>
        <v>4</v>
      </c>
      <c r="AS4" t="str">
        <f t="shared" si="16"/>
        <v>Oppose</v>
      </c>
      <c r="AT4" s="32">
        <f t="shared" si="17"/>
        <v>5</v>
      </c>
      <c r="AU4">
        <f>step3_validation[[#This Row],[AI_TRU3]]</f>
        <v>7</v>
      </c>
      <c r="AV4" t="str">
        <f t="shared" si="18"/>
        <v>Neutral</v>
      </c>
      <c r="AW4">
        <f>survey_responses[[#This Row],[Tôi tin tưởng số tiền thuế tôi đóng sẽ được Nhà nước sử dụng hiệu quả để cải thiện dịch vụ công (y tế, đường xá...). - HUMAN-TRU3]]</f>
        <v>4</v>
      </c>
      <c r="AX4" t="str">
        <f t="shared" si="19"/>
        <v>Oppose</v>
      </c>
      <c r="AY4" s="32">
        <f t="shared" si="20"/>
        <v>3</v>
      </c>
      <c r="AZ4">
        <f>step3_validation[[#This Row],[AI_TRU4]]</f>
        <v>8</v>
      </c>
      <c r="BA4" t="str">
        <f t="shared" si="21"/>
        <v>Support</v>
      </c>
      <c r="BB4">
        <f>survey_responses[[#This Row],[Tôi thấy Nhà nước đã giải thích rõ ràng, minh bạch về lý do và mục tiêu của việc sửa đổi thuế lần này. - HUMAN-TRU4]]</f>
        <v>10</v>
      </c>
      <c r="BC4" t="str">
        <f t="shared" si="22"/>
        <v>Support</v>
      </c>
      <c r="BD4" s="32">
        <f t="shared" si="23"/>
        <v>2</v>
      </c>
      <c r="BE4">
        <f>step3_validation[[#This Row],[AI_OUT1]]</f>
        <v>9</v>
      </c>
      <c r="BF4" t="str">
        <f t="shared" si="24"/>
        <v>Support</v>
      </c>
      <c r="BG4">
        <f>survey_responses[[#This Row],[Sau khi xem xét các quyền lợi và nghĩa vụ, bạn có ủng hộ và tuân thủ chính sách mới hiện nay? - HUMAN-OUT1]]</f>
        <v>4</v>
      </c>
      <c r="BH4" t="str">
        <f t="shared" si="25"/>
        <v>Oppose</v>
      </c>
      <c r="BI4" s="32">
        <f t="shared" si="26"/>
        <v>5</v>
      </c>
    </row>
    <row r="5" spans="1:61" x14ac:dyDescent="0.45">
      <c r="A5" s="30">
        <f>step3_validation[[#This Row],[Persona_ID]]</f>
        <v>4</v>
      </c>
      <c r="B5" s="31">
        <f>step3_validation[[#This Row],[Used_Seed]]</f>
        <v>2029</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7</v>
      </c>
      <c r="R5" t="str">
        <f t="shared" si="0"/>
        <v>Neutral</v>
      </c>
      <c r="S5">
        <f>survey_responses[[#This Row],[Tôi tin rằng với các quy định quản lý thuế hiện nay, hành vi gian lận hoặc trốn thuế sẽ dễ dàng bị phát hiện và xử lý nghiêm. - HUMAN-ENF1]]</f>
        <v>10</v>
      </c>
      <c r="T5" t="str">
        <f t="shared" si="1"/>
        <v>Support</v>
      </c>
      <c r="U5" s="32">
        <f t="shared" si="2"/>
        <v>3</v>
      </c>
      <c r="V5">
        <f>step3_validation[[#This Row],[AI_ENF2]]</f>
        <v>6</v>
      </c>
      <c r="W5" t="str">
        <f t="shared" si="3"/>
        <v>Neutral</v>
      </c>
      <c r="X5">
        <f>survey_responses[[#This Row],[Tôi tin rằng Nhà nước, cơ quan thuế có đủ khả năng và công nghệ để phát hiện, xử lý nghiêm các hành vi trốn thuế. - HUMAN-ENF2]]</f>
        <v>10</v>
      </c>
      <c r="Y5" t="str">
        <f t="shared" si="4"/>
        <v>Support</v>
      </c>
      <c r="Z5" s="32">
        <f t="shared" si="5"/>
        <v>4</v>
      </c>
      <c r="AA5">
        <f>step3_validation[[#This Row],[AI_FAC1]]</f>
        <v>8</v>
      </c>
      <c r="AB5" t="str">
        <f t="shared" si="6"/>
        <v>Support</v>
      </c>
      <c r="AC5">
        <f>survey_responses[[#This Row],[Các thủ tục khai báo thuế VÀ/HOẶC quy trình làm việc với cơ quan thuế đơn giản, tiện lợi, nhanh chóng hơn so với trước đây. - HUMAN-FAC1]]</f>
        <v>8</v>
      </c>
      <c r="AD5" t="str">
        <f t="shared" si="7"/>
        <v>Support</v>
      </c>
      <c r="AE5" s="32">
        <f t="shared" si="8"/>
        <v>0</v>
      </c>
      <c r="AF5">
        <f>step3_validation[[#This Row],[AI_FAC2]]</f>
        <v>9</v>
      </c>
      <c r="AG5" t="str">
        <f t="shared" si="9"/>
        <v>Support</v>
      </c>
      <c r="AH5">
        <f>survey_responses[[#This Row],[So với trước đây, tôi thấy cách tính thuế và các bậc thuế trong phương án mới đơn giản, dễ hiểu và dễ thực hiện hơn. - HUMAN-FAC2]]</f>
        <v>9</v>
      </c>
      <c r="AI5" t="str">
        <f t="shared" si="10"/>
        <v>Support</v>
      </c>
      <c r="AJ5" s="32">
        <f t="shared" si="11"/>
        <v>0</v>
      </c>
      <c r="AK5">
        <f>step3_validation[[#This Row],[AI_TRU1]]</f>
        <v>8</v>
      </c>
      <c r="AL5" t="str">
        <f t="shared" si="12"/>
        <v>Support</v>
      </c>
      <c r="AM5">
        <f>survey_responses[[#This Row],[Tôi tin rằng Nhà nước, cơ quan thuế sẽ thực thi chính sách mới một cách khách quan, công tâm và đối xử bình đẳng với mọi người nộp thuế.  - HUMAN-TRU1]]</f>
        <v>9</v>
      </c>
      <c r="AN5" t="str">
        <f t="shared" si="13"/>
        <v>Support</v>
      </c>
      <c r="AO5" s="32">
        <f t="shared" si="14"/>
        <v>1</v>
      </c>
      <c r="AP5">
        <f>step3_validation[[#This Row],[AI_TRU2]]</f>
        <v>9</v>
      </c>
      <c r="AQ5" t="str">
        <f t="shared" si="15"/>
        <v>Support</v>
      </c>
      <c r="AR5">
        <f>survey_responses[[#This Row],[Tôi thấy mức thuế tôi phải đóng theo phương án mới là công bằng (người thu nhập như tôi đóng mức này là hợp lý). - HUMAN-TRU2]]</f>
        <v>7</v>
      </c>
      <c r="AS5" t="str">
        <f t="shared" si="16"/>
        <v>Neutral</v>
      </c>
      <c r="AT5" s="32">
        <f t="shared" si="17"/>
        <v>2</v>
      </c>
      <c r="AU5">
        <f>step3_validation[[#This Row],[AI_TRU3]]</f>
        <v>8</v>
      </c>
      <c r="AV5" t="str">
        <f t="shared" si="18"/>
        <v>Support</v>
      </c>
      <c r="AW5">
        <f>survey_responses[[#This Row],[Tôi tin tưởng số tiền thuế tôi đóng sẽ được Nhà nước sử dụng hiệu quả để cải thiện dịch vụ công (y tế, đường xá...). - HUMAN-TRU3]]</f>
        <v>10</v>
      </c>
      <c r="AX5" t="str">
        <f t="shared" si="19"/>
        <v>Support</v>
      </c>
      <c r="AY5" s="32">
        <f t="shared" si="20"/>
        <v>2</v>
      </c>
      <c r="AZ5">
        <f>step3_validation[[#This Row],[AI_TRU4]]</f>
        <v>9</v>
      </c>
      <c r="BA5" t="str">
        <f t="shared" si="21"/>
        <v>Support</v>
      </c>
      <c r="BB5">
        <f>survey_responses[[#This Row],[Tôi thấy Nhà nước đã giải thích rõ ràng, minh bạch về lý do và mục tiêu của việc sửa đổi thuế lần này. - HUMAN-TRU4]]</f>
        <v>7</v>
      </c>
      <c r="BC5" t="str">
        <f t="shared" si="22"/>
        <v>Neutral</v>
      </c>
      <c r="BD5" s="32">
        <f t="shared" si="23"/>
        <v>2</v>
      </c>
      <c r="BE5">
        <f>step3_validation[[#This Row],[AI_OUT1]]</f>
        <v>10</v>
      </c>
      <c r="BF5" t="str">
        <f t="shared" si="24"/>
        <v>Support</v>
      </c>
      <c r="BG5">
        <f>survey_responses[[#This Row],[Sau khi xem xét các quyền lợi và nghĩa vụ, bạn có ủng hộ và tuân thủ chính sách mới hiện nay? - HUMAN-OUT1]]</f>
        <v>10</v>
      </c>
      <c r="BH5" t="str">
        <f t="shared" si="25"/>
        <v>Support</v>
      </c>
      <c r="BI5" s="32">
        <f t="shared" si="26"/>
        <v>0</v>
      </c>
    </row>
    <row r="6" spans="1:61" x14ac:dyDescent="0.45">
      <c r="A6" s="30">
        <f>step3_validation[[#This Row],[Persona_ID]]</f>
        <v>5</v>
      </c>
      <c r="B6" s="31">
        <f>step3_validation[[#This Row],[Used_Seed]]</f>
        <v>2030</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7</v>
      </c>
      <c r="R6" t="str">
        <f t="shared" si="0"/>
        <v>Neutral</v>
      </c>
      <c r="S6">
        <f>survey_responses[[#This Row],[Tôi tin rằng với các quy định quản lý thuế hiện nay, hành vi gian lận hoặc trốn thuế sẽ dễ dàng bị phát hiện và xử lý nghiêm. - HUMAN-ENF1]]</f>
        <v>9</v>
      </c>
      <c r="T6" t="str">
        <f t="shared" si="1"/>
        <v>Support</v>
      </c>
      <c r="U6" s="32">
        <f t="shared" si="2"/>
        <v>2</v>
      </c>
      <c r="V6">
        <f>step3_validation[[#This Row],[AI_ENF2]]</f>
        <v>8</v>
      </c>
      <c r="W6" t="str">
        <f t="shared" si="3"/>
        <v>Support</v>
      </c>
      <c r="X6">
        <f>survey_responses[[#This Row],[Tôi tin rằng Nhà nước, cơ quan thuế có đủ khả năng và công nghệ để phát hiện, xử lý nghiêm các hành vi trốn thuế. - HUMAN-ENF2]]</f>
        <v>9</v>
      </c>
      <c r="Y6" t="str">
        <f t="shared" si="4"/>
        <v>Support</v>
      </c>
      <c r="Z6" s="32">
        <f t="shared" si="5"/>
        <v>1</v>
      </c>
      <c r="AA6">
        <f>step3_validation[[#This Row],[AI_FAC1]]</f>
        <v>6</v>
      </c>
      <c r="AB6" t="str">
        <f t="shared" si="6"/>
        <v>Neutral</v>
      </c>
      <c r="AC6">
        <f>survey_responses[[#This Row],[Các thủ tục khai báo thuế VÀ/HOẶC quy trình làm việc với cơ quan thuế đơn giản, tiện lợi, nhanh chóng hơn so với trước đây. - HUMAN-FAC1]]</f>
        <v>10</v>
      </c>
      <c r="AD6" t="str">
        <f t="shared" si="7"/>
        <v>Support</v>
      </c>
      <c r="AE6" s="32">
        <f t="shared" si="8"/>
        <v>4</v>
      </c>
      <c r="AF6">
        <f>step3_validation[[#This Row],[AI_FAC2]]</f>
        <v>9</v>
      </c>
      <c r="AG6" t="str">
        <f t="shared" si="9"/>
        <v>Support</v>
      </c>
      <c r="AH6">
        <f>survey_responses[[#This Row],[So với trước đây, tôi thấy cách tính thuế và các bậc thuế trong phương án mới đơn giản, dễ hiểu và dễ thực hiện hơn. - HUMAN-FAC2]]</f>
        <v>9</v>
      </c>
      <c r="AI6" t="str">
        <f t="shared" si="10"/>
        <v>Support</v>
      </c>
      <c r="AJ6" s="32">
        <f t="shared" si="11"/>
        <v>0</v>
      </c>
      <c r="AK6">
        <f>step3_validation[[#This Row],[AI_TRU1]]</f>
        <v>8</v>
      </c>
      <c r="AL6" t="str">
        <f t="shared" si="12"/>
        <v>Support</v>
      </c>
      <c r="AM6">
        <f>survey_responses[[#This Row],[Tôi tin rằng Nhà nước, cơ quan thuế sẽ thực thi chính sách mới một cách khách quan, công tâm và đối xử bình đẳng với mọi người nộp thuế.  - HUMAN-TRU1]]</f>
        <v>9</v>
      </c>
      <c r="AN6" t="str">
        <f t="shared" si="13"/>
        <v>Support</v>
      </c>
      <c r="AO6" s="32">
        <f t="shared" si="14"/>
        <v>1</v>
      </c>
      <c r="AP6">
        <f>step3_validation[[#This Row],[AI_TRU2]]</f>
        <v>9</v>
      </c>
      <c r="AQ6" t="str">
        <f t="shared" si="15"/>
        <v>Support</v>
      </c>
      <c r="AR6">
        <f>survey_responses[[#This Row],[Tôi thấy mức thuế tôi phải đóng theo phương án mới là công bằng (người thu nhập như tôi đóng mức này là hợp lý). - HUMAN-TRU2]]</f>
        <v>9</v>
      </c>
      <c r="AS6" t="str">
        <f t="shared" si="16"/>
        <v>Support</v>
      </c>
      <c r="AT6" s="32">
        <f t="shared" si="17"/>
        <v>0</v>
      </c>
      <c r="AU6">
        <f>step3_validation[[#This Row],[AI_TRU3]]</f>
        <v>8</v>
      </c>
      <c r="AV6" t="str">
        <f t="shared" si="18"/>
        <v>Support</v>
      </c>
      <c r="AW6">
        <f>survey_responses[[#This Row],[Tôi tin tưởng số tiền thuế tôi đóng sẽ được Nhà nước sử dụng hiệu quả để cải thiện dịch vụ công (y tế, đường xá...). - HUMAN-TRU3]]</f>
        <v>9</v>
      </c>
      <c r="AX6" t="str">
        <f t="shared" si="19"/>
        <v>Support</v>
      </c>
      <c r="AY6" s="32">
        <f t="shared" si="20"/>
        <v>1</v>
      </c>
      <c r="AZ6">
        <f>step3_validation[[#This Row],[AI_TRU4]]</f>
        <v>7</v>
      </c>
      <c r="BA6" t="str">
        <f t="shared" si="21"/>
        <v>Neutral</v>
      </c>
      <c r="BB6">
        <f>survey_responses[[#This Row],[Tôi thấy Nhà nước đã giải thích rõ ràng, minh bạch về lý do và mục tiêu của việc sửa đổi thuế lần này. - HUMAN-TRU4]]</f>
        <v>9</v>
      </c>
      <c r="BC6" t="str">
        <f t="shared" si="22"/>
        <v>Support</v>
      </c>
      <c r="BD6" s="32">
        <f t="shared" si="23"/>
        <v>2</v>
      </c>
      <c r="BE6">
        <f>step3_validation[[#This Row],[AI_OUT1]]</f>
        <v>9</v>
      </c>
      <c r="BF6" t="str">
        <f t="shared" si="24"/>
        <v>Support</v>
      </c>
      <c r="BG6">
        <f>survey_responses[[#This Row],[Sau khi xem xét các quyền lợi và nghĩa vụ, bạn có ủng hộ và tuân thủ chính sách mới hiện nay? - HUMAN-OUT1]]</f>
        <v>9</v>
      </c>
      <c r="BH6" t="str">
        <f t="shared" si="25"/>
        <v>Support</v>
      </c>
      <c r="BI6" s="32">
        <f t="shared" si="26"/>
        <v>0</v>
      </c>
    </row>
    <row r="7" spans="1:61" x14ac:dyDescent="0.45">
      <c r="A7" s="30">
        <f>step3_validation[[#This Row],[Persona_ID]]</f>
        <v>6</v>
      </c>
      <c r="B7" s="31">
        <f>step3_validation[[#This Row],[Used_Seed]]</f>
        <v>2031</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81.953873229830037</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7</v>
      </c>
      <c r="R7" t="str">
        <f t="shared" si="0"/>
        <v>Neutral</v>
      </c>
      <c r="S7">
        <f>survey_responses[[#This Row],[Tôi tin rằng với các quy định quản lý thuế hiện nay, hành vi gian lận hoặc trốn thuế sẽ dễ dàng bị phát hiện và xử lý nghiêm. - HUMAN-ENF1]]</f>
        <v>8</v>
      </c>
      <c r="T7" t="str">
        <f t="shared" si="1"/>
        <v>Support</v>
      </c>
      <c r="U7" s="32">
        <f t="shared" si="2"/>
        <v>1</v>
      </c>
      <c r="V7">
        <f>step3_validation[[#This Row],[AI_ENF2]]</f>
        <v>7</v>
      </c>
      <c r="W7" t="str">
        <f t="shared" si="3"/>
        <v>Neutral</v>
      </c>
      <c r="X7">
        <f>survey_responses[[#This Row],[Tôi tin rằng Nhà nước, cơ quan thuế có đủ khả năng và công nghệ để phát hiện, xử lý nghiêm các hành vi trốn thuế. - HUMAN-ENF2]]</f>
        <v>8</v>
      </c>
      <c r="Y7" t="str">
        <f t="shared" si="4"/>
        <v>Support</v>
      </c>
      <c r="Z7" s="32">
        <f t="shared" si="5"/>
        <v>1</v>
      </c>
      <c r="AA7">
        <f>step3_validation[[#This Row],[AI_FAC1]]</f>
        <v>9</v>
      </c>
      <c r="AB7" t="str">
        <f t="shared" si="6"/>
        <v>Support</v>
      </c>
      <c r="AC7">
        <f>survey_responses[[#This Row],[Các thủ tục khai báo thuế VÀ/HOẶC quy trình làm việc với cơ quan thuế đơn giản, tiện lợi, nhanh chóng hơn so với trước đây. - HUMAN-FAC1]]</f>
        <v>5</v>
      </c>
      <c r="AD7" t="str">
        <f t="shared" si="7"/>
        <v>Neutral</v>
      </c>
      <c r="AE7" s="32">
        <f t="shared" si="8"/>
        <v>4</v>
      </c>
      <c r="AF7">
        <f>step3_validation[[#This Row],[AI_FAC2]]</f>
        <v>9</v>
      </c>
      <c r="AG7" t="str">
        <f t="shared" si="9"/>
        <v>Support</v>
      </c>
      <c r="AH7">
        <f>survey_responses[[#This Row],[So với trước đây, tôi thấy cách tính thuế và các bậc thuế trong phương án mới đơn giản, dễ hiểu và dễ thực hiện hơn. - HUMAN-FAC2]]</f>
        <v>8</v>
      </c>
      <c r="AI7" t="str">
        <f t="shared" si="10"/>
        <v>Support</v>
      </c>
      <c r="AJ7" s="32">
        <f t="shared" si="11"/>
        <v>1</v>
      </c>
      <c r="AK7">
        <f>step3_validation[[#This Row],[AI_TRU1]]</f>
        <v>6</v>
      </c>
      <c r="AL7" t="str">
        <f t="shared" si="12"/>
        <v>Neutral</v>
      </c>
      <c r="AM7">
        <f>survey_responses[[#This Row],[Tôi tin rằng Nhà nước, cơ quan thuế sẽ thực thi chính sách mới một cách khách quan, công tâm và đối xử bình đẳng với mọi người nộp thuế.  - HUMAN-TRU1]]</f>
        <v>6</v>
      </c>
      <c r="AN7" t="str">
        <f t="shared" si="13"/>
        <v>Neutral</v>
      </c>
      <c r="AO7" s="32">
        <f t="shared" si="14"/>
        <v>0</v>
      </c>
      <c r="AP7">
        <f>step3_validation[[#This Row],[AI_TRU2]]</f>
        <v>7</v>
      </c>
      <c r="AQ7" t="str">
        <f t="shared" si="15"/>
        <v>Neutral</v>
      </c>
      <c r="AR7">
        <f>survey_responses[[#This Row],[Tôi thấy mức thuế tôi phải đóng theo phương án mới là công bằng (người thu nhập như tôi đóng mức này là hợp lý). - HUMAN-TRU2]]</f>
        <v>6</v>
      </c>
      <c r="AS7" t="str">
        <f t="shared" si="16"/>
        <v>Neutral</v>
      </c>
      <c r="AT7" s="32">
        <f t="shared" si="17"/>
        <v>1</v>
      </c>
      <c r="AU7">
        <f>step3_validation[[#This Row],[AI_TRU3]]</f>
        <v>6</v>
      </c>
      <c r="AV7" t="str">
        <f t="shared" si="18"/>
        <v>Neutral</v>
      </c>
      <c r="AW7">
        <f>survey_responses[[#This Row],[Tôi tin tưởng số tiền thuế tôi đóng sẽ được Nhà nước sử dụng hiệu quả để cải thiện dịch vụ công (y tế, đường xá...). - HUMAN-TRU3]]</f>
        <v>4</v>
      </c>
      <c r="AX7" t="str">
        <f t="shared" si="19"/>
        <v>Oppose</v>
      </c>
      <c r="AY7" s="32">
        <f t="shared" si="20"/>
        <v>2</v>
      </c>
      <c r="AZ7">
        <f>step3_validation[[#This Row],[AI_TRU4]]</f>
        <v>7</v>
      </c>
      <c r="BA7" t="str">
        <f t="shared" si="21"/>
        <v>Neutral</v>
      </c>
      <c r="BB7">
        <f>survey_responses[[#This Row],[Tôi thấy Nhà nước đã giải thích rõ ràng, minh bạch về lý do và mục tiêu của việc sửa đổi thuế lần này. - HUMAN-TRU4]]</f>
        <v>5</v>
      </c>
      <c r="BC7" t="str">
        <f t="shared" si="22"/>
        <v>Neutral</v>
      </c>
      <c r="BD7" s="32">
        <f t="shared" si="23"/>
        <v>2</v>
      </c>
      <c r="BE7">
        <f>step3_validation[[#This Row],[AI_OUT1]]</f>
        <v>9</v>
      </c>
      <c r="BF7" t="str">
        <f t="shared" si="24"/>
        <v>Support</v>
      </c>
      <c r="BG7">
        <f>survey_responses[[#This Row],[Sau khi xem xét các quyền lợi và nghĩa vụ, bạn có ủng hộ và tuân thủ chính sách mới hiện nay? - HUMAN-OUT1]]</f>
        <v>6</v>
      </c>
      <c r="BH7" t="str">
        <f t="shared" si="25"/>
        <v>Neutral</v>
      </c>
      <c r="BI7" s="32">
        <f t="shared" si="26"/>
        <v>3</v>
      </c>
    </row>
    <row r="8" spans="1:61" x14ac:dyDescent="0.45">
      <c r="A8" s="30">
        <f>step3_validation[[#This Row],[Persona_ID]]</f>
        <v>7</v>
      </c>
      <c r="B8" s="31">
        <f>step3_validation[[#This Row],[Used_Seed]]</f>
        <v>2032</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20.066939675603614</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7</v>
      </c>
      <c r="R8" t="str">
        <f t="shared" si="0"/>
        <v>Neutral</v>
      </c>
      <c r="S8">
        <f>survey_responses[[#This Row],[Tôi tin rằng với các quy định quản lý thuế hiện nay, hành vi gian lận hoặc trốn thuế sẽ dễ dàng bị phát hiện và xử lý nghiêm. - HUMAN-ENF1]]</f>
        <v>5</v>
      </c>
      <c r="T8" t="str">
        <f t="shared" si="1"/>
        <v>Neutral</v>
      </c>
      <c r="U8" s="32">
        <f t="shared" si="2"/>
        <v>2</v>
      </c>
      <c r="V8">
        <f>step3_validation[[#This Row],[AI_ENF2]]</f>
        <v>6</v>
      </c>
      <c r="W8" t="str">
        <f t="shared" si="3"/>
        <v>Neutral</v>
      </c>
      <c r="X8">
        <f>survey_responses[[#This Row],[Tôi tin rằng Nhà nước, cơ quan thuế có đủ khả năng và công nghệ để phát hiện, xử lý nghiêm các hành vi trốn thuế. - HUMAN-ENF2]]</f>
        <v>4</v>
      </c>
      <c r="Y8" t="str">
        <f t="shared" si="4"/>
        <v>Oppose</v>
      </c>
      <c r="Z8" s="32">
        <f t="shared" si="5"/>
        <v>2</v>
      </c>
      <c r="AA8">
        <f>step3_validation[[#This Row],[AI_FAC1]]</f>
        <v>9</v>
      </c>
      <c r="AB8" t="str">
        <f t="shared" si="6"/>
        <v>Support</v>
      </c>
      <c r="AC8">
        <f>survey_responses[[#This Row],[Các thủ tục khai báo thuế VÀ/HOẶC quy trình làm việc với cơ quan thuế đơn giản, tiện lợi, nhanh chóng hơn so với trước đây. - HUMAN-FAC1]]</f>
        <v>4</v>
      </c>
      <c r="AD8" t="str">
        <f t="shared" si="7"/>
        <v>Oppose</v>
      </c>
      <c r="AE8" s="32">
        <f t="shared" si="8"/>
        <v>5</v>
      </c>
      <c r="AF8">
        <f>step3_validation[[#This Row],[AI_FAC2]]</f>
        <v>8</v>
      </c>
      <c r="AG8" t="str">
        <f t="shared" si="9"/>
        <v>Support</v>
      </c>
      <c r="AH8">
        <f>survey_responses[[#This Row],[So với trước đây, tôi thấy cách tính thuế và các bậc thuế trong phương án mới đơn giản, dễ hiểu và dễ thực hiện hơn. - HUMAN-FAC2]]</f>
        <v>6</v>
      </c>
      <c r="AI8" t="str">
        <f t="shared" si="10"/>
        <v>Neutral</v>
      </c>
      <c r="AJ8" s="32">
        <f t="shared" si="11"/>
        <v>2</v>
      </c>
      <c r="AK8">
        <f>step3_validation[[#This Row],[AI_TRU1]]</f>
        <v>9</v>
      </c>
      <c r="AL8" t="str">
        <f t="shared" si="12"/>
        <v>Support</v>
      </c>
      <c r="AM8">
        <f>survey_responses[[#This Row],[Tôi tin rằng Nhà nước, cơ quan thuế sẽ thực thi chính sách mới một cách khách quan, công tâm và đối xử bình đẳng với mọi người nộp thuế.  - HUMAN-TRU1]]</f>
        <v>6</v>
      </c>
      <c r="AN8" t="str">
        <f t="shared" si="13"/>
        <v>Neutral</v>
      </c>
      <c r="AO8" s="32">
        <f t="shared" si="14"/>
        <v>3</v>
      </c>
      <c r="AP8">
        <f>step3_validation[[#This Row],[AI_TRU2]]</f>
        <v>8</v>
      </c>
      <c r="AQ8" t="str">
        <f t="shared" si="15"/>
        <v>Support</v>
      </c>
      <c r="AR8">
        <f>survey_responses[[#This Row],[Tôi thấy mức thuế tôi phải đóng theo phương án mới là công bằng (người thu nhập như tôi đóng mức này là hợp lý). - HUMAN-TRU2]]</f>
        <v>7</v>
      </c>
      <c r="AS8" t="str">
        <f t="shared" si="16"/>
        <v>Neutral</v>
      </c>
      <c r="AT8" s="32">
        <f t="shared" si="17"/>
        <v>1</v>
      </c>
      <c r="AU8">
        <f>step3_validation[[#This Row],[AI_TRU3]]</f>
        <v>9</v>
      </c>
      <c r="AV8" t="str">
        <f t="shared" si="18"/>
        <v>Support</v>
      </c>
      <c r="AW8">
        <f>survey_responses[[#This Row],[Tôi tin tưởng số tiền thuế tôi đóng sẽ được Nhà nước sử dụng hiệu quả để cải thiện dịch vụ công (y tế, đường xá...). - HUMAN-TRU3]]</f>
        <v>2</v>
      </c>
      <c r="AX8" t="str">
        <f t="shared" si="19"/>
        <v>Oppose</v>
      </c>
      <c r="AY8" s="32">
        <f t="shared" si="20"/>
        <v>7</v>
      </c>
      <c r="AZ8">
        <f>step3_validation[[#This Row],[AI_TRU4]]</f>
        <v>7</v>
      </c>
      <c r="BA8" t="str">
        <f t="shared" si="21"/>
        <v>Neutral</v>
      </c>
      <c r="BB8">
        <f>survey_responses[[#This Row],[Tôi thấy Nhà nước đã giải thích rõ ràng, minh bạch về lý do và mục tiêu của việc sửa đổi thuế lần này. - HUMAN-TRU4]]</f>
        <v>4</v>
      </c>
      <c r="BC8" t="str">
        <f t="shared" si="22"/>
        <v>Oppose</v>
      </c>
      <c r="BD8" s="32">
        <f t="shared" si="23"/>
        <v>3</v>
      </c>
      <c r="BE8">
        <f>step3_validation[[#This Row],[AI_OUT1]]</f>
        <v>9</v>
      </c>
      <c r="BF8" t="str">
        <f t="shared" si="24"/>
        <v>Support</v>
      </c>
      <c r="BG8">
        <f>survey_responses[[#This Row],[Sau khi xem xét các quyền lợi và nghĩa vụ, bạn có ủng hộ và tuân thủ chính sách mới hiện nay? - HUMAN-OUT1]]</f>
        <v>4</v>
      </c>
      <c r="BH8" t="str">
        <f t="shared" si="25"/>
        <v>Oppose</v>
      </c>
      <c r="BI8" s="32">
        <f t="shared" si="26"/>
        <v>5</v>
      </c>
    </row>
    <row r="9" spans="1:61" x14ac:dyDescent="0.45">
      <c r="A9" s="30">
        <f>step3_validation[[#This Row],[Persona_ID]]</f>
        <v>8</v>
      </c>
      <c r="B9" s="31">
        <f>step3_validation[[#This Row],[Used_Seed]]</f>
        <v>2033</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7</v>
      </c>
      <c r="R9" t="str">
        <f t="shared" si="0"/>
        <v>Neutral</v>
      </c>
      <c r="S9">
        <f>survey_responses[[#This Row],[Tôi tin rằng với các quy định quản lý thuế hiện nay, hành vi gian lận hoặc trốn thuế sẽ dễ dàng bị phát hiện và xử lý nghiêm. - HUMAN-ENF1]]</f>
        <v>1</v>
      </c>
      <c r="T9" t="str">
        <f t="shared" si="1"/>
        <v>Oppose</v>
      </c>
      <c r="U9" s="32">
        <f t="shared" si="2"/>
        <v>6</v>
      </c>
      <c r="V9">
        <f>step3_validation[[#This Row],[AI_ENF2]]</f>
        <v>8</v>
      </c>
      <c r="W9" t="str">
        <f t="shared" si="3"/>
        <v>Support</v>
      </c>
      <c r="X9">
        <f>survey_responses[[#This Row],[Tôi tin rằng Nhà nước, cơ quan thuế có đủ khả năng và công nghệ để phát hiện, xử lý nghiêm các hành vi trốn thuế. - HUMAN-ENF2]]</f>
        <v>1</v>
      </c>
      <c r="Y9" t="str">
        <f t="shared" si="4"/>
        <v>Oppose</v>
      </c>
      <c r="Z9" s="32">
        <f t="shared" si="5"/>
        <v>7</v>
      </c>
      <c r="AA9">
        <f>step3_validation[[#This Row],[AI_FAC1]]</f>
        <v>9</v>
      </c>
      <c r="AB9" t="str">
        <f t="shared" si="6"/>
        <v>Support</v>
      </c>
      <c r="AC9">
        <f>survey_responses[[#This Row],[Các thủ tục khai báo thuế VÀ/HOẶC quy trình làm việc với cơ quan thuế đơn giản, tiện lợi, nhanh chóng hơn so với trước đây. - HUMAN-FAC1]]</f>
        <v>2</v>
      </c>
      <c r="AD9" t="str">
        <f t="shared" si="7"/>
        <v>Oppose</v>
      </c>
      <c r="AE9" s="32">
        <f t="shared" si="8"/>
        <v>7</v>
      </c>
      <c r="AF9">
        <f>step3_validation[[#This Row],[AI_FAC2]]</f>
        <v>8</v>
      </c>
      <c r="AG9" t="str">
        <f t="shared" si="9"/>
        <v>Support</v>
      </c>
      <c r="AH9">
        <f>survey_responses[[#This Row],[So với trước đây, tôi thấy cách tính thuế và các bậc thuế trong phương án mới đơn giản, dễ hiểu và dễ thực hiện hơn. - HUMAN-FAC2]]</f>
        <v>3</v>
      </c>
      <c r="AI9" t="str">
        <f t="shared" si="10"/>
        <v>Oppose</v>
      </c>
      <c r="AJ9" s="32">
        <f t="shared" si="11"/>
        <v>5</v>
      </c>
      <c r="AK9">
        <f>step3_validation[[#This Row],[AI_TRU1]]</f>
        <v>9</v>
      </c>
      <c r="AL9" t="str">
        <f t="shared" si="12"/>
        <v>Support</v>
      </c>
      <c r="AM9">
        <f>survey_responses[[#This Row],[Tôi tin rằng Nhà nước, cơ quan thuế sẽ thực thi chính sách mới một cách khách quan, công tâm và đối xử bình đẳng với mọi người nộp thuế.  - HUMAN-TRU1]]</f>
        <v>6</v>
      </c>
      <c r="AN9" t="str">
        <f t="shared" si="13"/>
        <v>Neutral</v>
      </c>
      <c r="AO9" s="32">
        <f t="shared" si="14"/>
        <v>3</v>
      </c>
      <c r="AP9">
        <f>step3_validation[[#This Row],[AI_TRU2]]</f>
        <v>8</v>
      </c>
      <c r="AQ9" t="str">
        <f t="shared" si="15"/>
        <v>Support</v>
      </c>
      <c r="AR9">
        <f>survey_responses[[#This Row],[Tôi thấy mức thuế tôi phải đóng theo phương án mới là công bằng (người thu nhập như tôi đóng mức này là hợp lý). - HUMAN-TRU2]]</f>
        <v>2</v>
      </c>
      <c r="AS9" t="str">
        <f t="shared" si="16"/>
        <v>Oppose</v>
      </c>
      <c r="AT9" s="32">
        <f t="shared" si="17"/>
        <v>6</v>
      </c>
      <c r="AU9">
        <f>step3_validation[[#This Row],[AI_TRU3]]</f>
        <v>9</v>
      </c>
      <c r="AV9" t="str">
        <f t="shared" si="18"/>
        <v>Support</v>
      </c>
      <c r="AW9">
        <f>survey_responses[[#This Row],[Tôi tin tưởng số tiền thuế tôi đóng sẽ được Nhà nước sử dụng hiệu quả để cải thiện dịch vụ công (y tế, đường xá...). - HUMAN-TRU3]]</f>
        <v>7</v>
      </c>
      <c r="AX9" t="str">
        <f t="shared" si="19"/>
        <v>Neutral</v>
      </c>
      <c r="AY9" s="32">
        <f t="shared" si="20"/>
        <v>2</v>
      </c>
      <c r="AZ9">
        <f>step3_validation[[#This Row],[AI_TRU4]]</f>
        <v>8</v>
      </c>
      <c r="BA9" t="str">
        <f t="shared" si="21"/>
        <v>Support</v>
      </c>
      <c r="BB9">
        <f>survey_responses[[#This Row],[Tôi thấy Nhà nước đã giải thích rõ ràng, minh bạch về lý do và mục tiêu của việc sửa đổi thuế lần này. - HUMAN-TRU4]]</f>
        <v>3</v>
      </c>
      <c r="BC9" t="str">
        <f t="shared" si="22"/>
        <v>Oppose</v>
      </c>
      <c r="BD9" s="32">
        <f t="shared" si="23"/>
        <v>5</v>
      </c>
      <c r="BE9">
        <f>step3_validation[[#This Row],[AI_OUT1]]</f>
        <v>9</v>
      </c>
      <c r="BF9" t="str">
        <f t="shared" si="24"/>
        <v>Support</v>
      </c>
      <c r="BG9">
        <f>survey_responses[[#This Row],[Sau khi xem xét các quyền lợi và nghĩa vụ, bạn có ủng hộ và tuân thủ chính sách mới hiện nay? - HUMAN-OUT1]]</f>
        <v>3</v>
      </c>
      <c r="BH9" t="str">
        <f t="shared" si="25"/>
        <v>Oppose</v>
      </c>
      <c r="BI9" s="32">
        <f t="shared" si="26"/>
        <v>6</v>
      </c>
    </row>
    <row r="10" spans="1:61" x14ac:dyDescent="0.45">
      <c r="A10" s="30">
        <f>step3_validation[[#This Row],[Persona_ID]]</f>
        <v>9</v>
      </c>
      <c r="B10" s="31">
        <f>step3_validation[[#This Row],[Used_Seed]]</f>
        <v>2034</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12.269456437626699</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6</v>
      </c>
      <c r="R10" t="str">
        <f t="shared" si="0"/>
        <v>Neutral</v>
      </c>
      <c r="S10">
        <f>survey_responses[[#This Row],[Tôi tin rằng với các quy định quản lý thuế hiện nay, hành vi gian lận hoặc trốn thuế sẽ dễ dàng bị phát hiện và xử lý nghiêm. - HUMAN-ENF1]]</f>
        <v>10</v>
      </c>
      <c r="T10" t="str">
        <f t="shared" si="1"/>
        <v>Support</v>
      </c>
      <c r="U10" s="32">
        <f t="shared" si="2"/>
        <v>4</v>
      </c>
      <c r="V10">
        <f>step3_validation[[#This Row],[AI_ENF2]]</f>
        <v>7</v>
      </c>
      <c r="W10" t="str">
        <f t="shared" si="3"/>
        <v>Neutral</v>
      </c>
      <c r="X10">
        <f>survey_responses[[#This Row],[Tôi tin rằng Nhà nước, cơ quan thuế có đủ khả năng và công nghệ để phát hiện, xử lý nghiêm các hành vi trốn thuế. - HUMAN-ENF2]]</f>
        <v>10</v>
      </c>
      <c r="Y10" t="str">
        <f t="shared" si="4"/>
        <v>Support</v>
      </c>
      <c r="Z10" s="32">
        <f t="shared" si="5"/>
        <v>3</v>
      </c>
      <c r="AA10">
        <f>step3_validation[[#This Row],[AI_FAC1]]</f>
        <v>5</v>
      </c>
      <c r="AB10" t="str">
        <f t="shared" si="6"/>
        <v>Neutral</v>
      </c>
      <c r="AC10">
        <f>survey_responses[[#This Row],[Các thủ tục khai báo thuế VÀ/HOẶC quy trình làm việc với cơ quan thuế đơn giản, tiện lợi, nhanh chóng hơn so với trước đây. - HUMAN-FAC1]]</f>
        <v>8</v>
      </c>
      <c r="AD10" t="str">
        <f t="shared" si="7"/>
        <v>Support</v>
      </c>
      <c r="AE10" s="32">
        <f t="shared" si="8"/>
        <v>3</v>
      </c>
      <c r="AF10">
        <f>step3_validation[[#This Row],[AI_FAC2]]</f>
        <v>8</v>
      </c>
      <c r="AG10" t="str">
        <f t="shared" si="9"/>
        <v>Support</v>
      </c>
      <c r="AH10">
        <f>survey_responses[[#This Row],[So với trước đây, tôi thấy cách tính thuế và các bậc thuế trong phương án mới đơn giản, dễ hiểu và dễ thực hiện hơn. - HUMAN-FAC2]]</f>
        <v>7</v>
      </c>
      <c r="AI10" t="str">
        <f t="shared" si="10"/>
        <v>Neutral</v>
      </c>
      <c r="AJ10" s="32">
        <f t="shared" si="11"/>
        <v>1</v>
      </c>
      <c r="AK10">
        <f>step3_validation[[#This Row],[AI_TRU1]]</f>
        <v>7</v>
      </c>
      <c r="AL10" t="str">
        <f t="shared" si="12"/>
        <v>Neutral</v>
      </c>
      <c r="AM10">
        <f>survey_responses[[#This Row],[Tôi tin rằng Nhà nước, cơ quan thuế sẽ thực thi chính sách mới một cách khách quan, công tâm và đối xử bình đẳng với mọi người nộp thuế.  - HUMAN-TRU1]]</f>
        <v>7</v>
      </c>
      <c r="AN10" t="str">
        <f t="shared" si="13"/>
        <v>Neutral</v>
      </c>
      <c r="AO10" s="32">
        <f t="shared" si="14"/>
        <v>0</v>
      </c>
      <c r="AP10">
        <f>step3_validation[[#This Row],[AI_TRU2]]</f>
        <v>9</v>
      </c>
      <c r="AQ10" t="str">
        <f t="shared" si="15"/>
        <v>Support</v>
      </c>
      <c r="AR10">
        <f>survey_responses[[#This Row],[Tôi thấy mức thuế tôi phải đóng theo phương án mới là công bằng (người thu nhập như tôi đóng mức này là hợp lý). - HUMAN-TRU2]]</f>
        <v>5</v>
      </c>
      <c r="AS10" t="str">
        <f t="shared" si="16"/>
        <v>Neutral</v>
      </c>
      <c r="AT10" s="32">
        <f t="shared" si="17"/>
        <v>4</v>
      </c>
      <c r="AU10">
        <f>step3_validation[[#This Row],[AI_TRU3]]</f>
        <v>6</v>
      </c>
      <c r="AV10" t="str">
        <f t="shared" si="18"/>
        <v>Neutral</v>
      </c>
      <c r="AW10">
        <f>survey_responses[[#This Row],[Tôi tin tưởng số tiền thuế tôi đóng sẽ được Nhà nước sử dụng hiệu quả để cải thiện dịch vụ công (y tế, đường xá...). - HUMAN-TRU3]]</f>
        <v>5</v>
      </c>
      <c r="AX10" t="str">
        <f t="shared" si="19"/>
        <v>Neutral</v>
      </c>
      <c r="AY10" s="32">
        <f t="shared" si="20"/>
        <v>1</v>
      </c>
      <c r="AZ10">
        <f>step3_validation[[#This Row],[AI_TRU4]]</f>
        <v>7</v>
      </c>
      <c r="BA10" t="str">
        <f t="shared" si="21"/>
        <v>Neutral</v>
      </c>
      <c r="BB10">
        <f>survey_responses[[#This Row],[Tôi thấy Nhà nước đã giải thích rõ ràng, minh bạch về lý do và mục tiêu của việc sửa đổi thuế lần này. - HUMAN-TRU4]]</f>
        <v>9</v>
      </c>
      <c r="BC10" t="str">
        <f t="shared" si="22"/>
        <v>Support</v>
      </c>
      <c r="BD10" s="32">
        <f t="shared" si="23"/>
        <v>2</v>
      </c>
      <c r="BE10">
        <f>step3_validation[[#This Row],[AI_OUT1]]</f>
        <v>8</v>
      </c>
      <c r="BF10" t="str">
        <f t="shared" si="24"/>
        <v>Support</v>
      </c>
      <c r="BG10">
        <f>survey_responses[[#This Row],[Sau khi xem xét các quyền lợi và nghĩa vụ, bạn có ủng hộ và tuân thủ chính sách mới hiện nay? - HUMAN-OUT1]]</f>
        <v>8</v>
      </c>
      <c r="BH10" t="str">
        <f t="shared" si="25"/>
        <v>Support</v>
      </c>
      <c r="BI10" s="32">
        <f t="shared" si="26"/>
        <v>0</v>
      </c>
    </row>
    <row r="11" spans="1:61" x14ac:dyDescent="0.45">
      <c r="A11" s="30">
        <f>step3_validation[[#This Row],[Persona_ID]]</f>
        <v>10</v>
      </c>
      <c r="B11" s="31">
        <f>step3_validation[[#This Row],[Used_Seed]]</f>
        <v>2035</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18.680398603252097</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8</v>
      </c>
      <c r="R11" t="str">
        <f t="shared" si="0"/>
        <v>Support</v>
      </c>
      <c r="S11">
        <f>survey_responses[[#This Row],[Tôi tin rằng với các quy định quản lý thuế hiện nay, hành vi gian lận hoặc trốn thuế sẽ dễ dàng bị phát hiện và xử lý nghiêm. - HUMAN-ENF1]]</f>
        <v>7</v>
      </c>
      <c r="T11" t="str">
        <f t="shared" si="1"/>
        <v>Neutral</v>
      </c>
      <c r="U11" s="32">
        <f t="shared" si="2"/>
        <v>1</v>
      </c>
      <c r="V11">
        <f>step3_validation[[#This Row],[AI_ENF2]]</f>
        <v>9</v>
      </c>
      <c r="W11" t="str">
        <f t="shared" si="3"/>
        <v>Support</v>
      </c>
      <c r="X11">
        <f>survey_responses[[#This Row],[Tôi tin rằng Nhà nước, cơ quan thuế có đủ khả năng và công nghệ để phát hiện, xử lý nghiêm các hành vi trốn thuế. - HUMAN-ENF2]]</f>
        <v>10</v>
      </c>
      <c r="Y11" t="str">
        <f t="shared" si="4"/>
        <v>Support</v>
      </c>
      <c r="Z11" s="32">
        <f t="shared" si="5"/>
        <v>1</v>
      </c>
      <c r="AA11">
        <f>step3_validation[[#This Row],[AI_FAC1]]</f>
        <v>7</v>
      </c>
      <c r="AB11" t="str">
        <f t="shared" si="6"/>
        <v>Neutral</v>
      </c>
      <c r="AC11">
        <f>survey_responses[[#This Row],[Các thủ tục khai báo thuế VÀ/HOẶC quy trình làm việc với cơ quan thuế đơn giản, tiện lợi, nhanh chóng hơn so với trước đây. - HUMAN-FAC1]]</f>
        <v>1</v>
      </c>
      <c r="AD11" t="str">
        <f t="shared" si="7"/>
        <v>Oppose</v>
      </c>
      <c r="AE11" s="32">
        <f t="shared" si="8"/>
        <v>6</v>
      </c>
      <c r="AF11">
        <f>step3_validation[[#This Row],[AI_FAC2]]</f>
        <v>9</v>
      </c>
      <c r="AG11" t="str">
        <f t="shared" si="9"/>
        <v>Support</v>
      </c>
      <c r="AH11">
        <f>survey_responses[[#This Row],[So với trước đây, tôi thấy cách tính thuế và các bậc thuế trong phương án mới đơn giản, dễ hiểu và dễ thực hiện hơn. - HUMAN-FAC2]]</f>
        <v>5</v>
      </c>
      <c r="AI11" t="str">
        <f t="shared" si="10"/>
        <v>Neutral</v>
      </c>
      <c r="AJ11" s="32">
        <f t="shared" si="11"/>
        <v>4</v>
      </c>
      <c r="AK11">
        <f>step3_validation[[#This Row],[AI_TRU1]]</f>
        <v>7</v>
      </c>
      <c r="AL11" t="str">
        <f t="shared" si="12"/>
        <v>Neutral</v>
      </c>
      <c r="AM11">
        <f>survey_responses[[#This Row],[Tôi tin rằng Nhà nước, cơ quan thuế sẽ thực thi chính sách mới một cách khách quan, công tâm và đối xử bình đẳng với mọi người nộp thuế.  - HUMAN-TRU1]]</f>
        <v>8</v>
      </c>
      <c r="AN11" t="str">
        <f t="shared" si="13"/>
        <v>Support</v>
      </c>
      <c r="AO11" s="32">
        <f t="shared" si="14"/>
        <v>1</v>
      </c>
      <c r="AP11">
        <f>step3_validation[[#This Row],[AI_TRU2]]</f>
        <v>8</v>
      </c>
      <c r="AQ11" t="str">
        <f t="shared" si="15"/>
        <v>Support</v>
      </c>
      <c r="AR11">
        <f>survey_responses[[#This Row],[Tôi thấy mức thuế tôi phải đóng theo phương án mới là công bằng (người thu nhập như tôi đóng mức này là hợp lý). - HUMAN-TRU2]]</f>
        <v>5</v>
      </c>
      <c r="AS11" t="str">
        <f t="shared" si="16"/>
        <v>Neutral</v>
      </c>
      <c r="AT11" s="32">
        <f t="shared" si="17"/>
        <v>3</v>
      </c>
      <c r="AU11">
        <f>step3_validation[[#This Row],[AI_TRU3]]</f>
        <v>7</v>
      </c>
      <c r="AV11" t="str">
        <f t="shared" si="18"/>
        <v>Neutral</v>
      </c>
      <c r="AW11">
        <f>survey_responses[[#This Row],[Tôi tin tưởng số tiền thuế tôi đóng sẽ được Nhà nước sử dụng hiệu quả để cải thiện dịch vụ công (y tế, đường xá...). - HUMAN-TRU3]]</f>
        <v>5</v>
      </c>
      <c r="AX11" t="str">
        <f t="shared" si="19"/>
        <v>Neutral</v>
      </c>
      <c r="AY11" s="32">
        <f t="shared" si="20"/>
        <v>2</v>
      </c>
      <c r="AZ11">
        <f>step3_validation[[#This Row],[AI_TRU4]]</f>
        <v>8</v>
      </c>
      <c r="BA11" t="str">
        <f t="shared" si="21"/>
        <v>Support</v>
      </c>
      <c r="BB11">
        <f>survey_responses[[#This Row],[Tôi thấy Nhà nước đã giải thích rõ ràng, minh bạch về lý do và mục tiêu của việc sửa đổi thuế lần này. - HUMAN-TRU4]]</f>
        <v>5</v>
      </c>
      <c r="BC11" t="str">
        <f t="shared" si="22"/>
        <v>Neutral</v>
      </c>
      <c r="BD11" s="32">
        <f t="shared" si="23"/>
        <v>3</v>
      </c>
      <c r="BE11">
        <f>step3_validation[[#This Row],[AI_OUT1]]</f>
        <v>8</v>
      </c>
      <c r="BF11" t="str">
        <f t="shared" si="24"/>
        <v>Support</v>
      </c>
      <c r="BG11">
        <f>survey_responses[[#This Row],[Sau khi xem xét các quyền lợi và nghĩa vụ, bạn có ủng hộ và tuân thủ chính sách mới hiện nay? - HUMAN-OUT1]]</f>
        <v>10</v>
      </c>
      <c r="BH11" t="str">
        <f t="shared" si="25"/>
        <v>Support</v>
      </c>
      <c r="BI11" s="32">
        <f t="shared" si="26"/>
        <v>2</v>
      </c>
    </row>
    <row r="12" spans="1:61" x14ac:dyDescent="0.45">
      <c r="A12" s="30">
        <f>step3_validation[[#This Row],[Persona_ID]]</f>
        <v>11</v>
      </c>
      <c r="B12" s="31">
        <f>step3_validation[[#This Row],[Used_Seed]]</f>
        <v>2036</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46.600349502335838</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6</v>
      </c>
      <c r="R12" t="str">
        <f t="shared" si="0"/>
        <v>Neutral</v>
      </c>
      <c r="S12">
        <f>survey_responses[[#This Row],[Tôi tin rằng với các quy định quản lý thuế hiện nay, hành vi gian lận hoặc trốn thuế sẽ dễ dàng bị phát hiện và xử lý nghiêm. - HUMAN-ENF1]]</f>
        <v>10</v>
      </c>
      <c r="T12" t="str">
        <f t="shared" si="1"/>
        <v>Support</v>
      </c>
      <c r="U12" s="32">
        <f t="shared" si="2"/>
        <v>4</v>
      </c>
      <c r="V12">
        <f>step3_validation[[#This Row],[AI_ENF2]]</f>
        <v>5</v>
      </c>
      <c r="W12" t="str">
        <f t="shared" si="3"/>
        <v>Neutral</v>
      </c>
      <c r="X12">
        <f>survey_responses[[#This Row],[Tôi tin rằng Nhà nước, cơ quan thuế có đủ khả năng và công nghệ để phát hiện, xử lý nghiêm các hành vi trốn thuế. - HUMAN-ENF2]]</f>
        <v>3</v>
      </c>
      <c r="Y12" t="str">
        <f t="shared" si="4"/>
        <v>Oppose</v>
      </c>
      <c r="Z12" s="32">
        <f t="shared" si="5"/>
        <v>2</v>
      </c>
      <c r="AA12">
        <f>step3_validation[[#This Row],[AI_FAC1]]</f>
        <v>6</v>
      </c>
      <c r="AB12" t="str">
        <f t="shared" si="6"/>
        <v>Neutral</v>
      </c>
      <c r="AC12">
        <f>survey_responses[[#This Row],[Các thủ tục khai báo thuế VÀ/HOẶC quy trình làm việc với cơ quan thuế đơn giản, tiện lợi, nhanh chóng hơn so với trước đây. - HUMAN-FAC1]]</f>
        <v>1</v>
      </c>
      <c r="AD12" t="str">
        <f t="shared" si="7"/>
        <v>Oppose</v>
      </c>
      <c r="AE12" s="32">
        <f t="shared" si="8"/>
        <v>5</v>
      </c>
      <c r="AF12">
        <f>step3_validation[[#This Row],[AI_FAC2]]</f>
        <v>8</v>
      </c>
      <c r="AG12" t="str">
        <f t="shared" si="9"/>
        <v>Support</v>
      </c>
      <c r="AH12">
        <f>survey_responses[[#This Row],[So với trước đây, tôi thấy cách tính thuế và các bậc thuế trong phương án mới đơn giản, dễ hiểu và dễ thực hiện hơn. - HUMAN-FAC2]]</f>
        <v>7</v>
      </c>
      <c r="AI12" t="str">
        <f t="shared" si="10"/>
        <v>Neutral</v>
      </c>
      <c r="AJ12" s="32">
        <f t="shared" si="11"/>
        <v>1</v>
      </c>
      <c r="AK12">
        <f>step3_validation[[#This Row],[AI_TRU1]]</f>
        <v>7</v>
      </c>
      <c r="AL12" t="str">
        <f t="shared" si="12"/>
        <v>Neutral</v>
      </c>
      <c r="AM12">
        <f>survey_responses[[#This Row],[Tôi tin rằng Nhà nước, cơ quan thuế sẽ thực thi chính sách mới một cách khách quan, công tâm và đối xử bình đẳng với mọi người nộp thuế.  - HUMAN-TRU1]]</f>
        <v>1</v>
      </c>
      <c r="AN12" t="str">
        <f t="shared" si="13"/>
        <v>Oppose</v>
      </c>
      <c r="AO12" s="32">
        <f t="shared" si="14"/>
        <v>6</v>
      </c>
      <c r="AP12">
        <f>step3_validation[[#This Row],[AI_TRU2]]</f>
        <v>8</v>
      </c>
      <c r="AQ12" t="str">
        <f t="shared" si="15"/>
        <v>Support</v>
      </c>
      <c r="AR12">
        <f>survey_responses[[#This Row],[Tôi thấy mức thuế tôi phải đóng theo phương án mới là công bằng (người thu nhập như tôi đóng mức này là hợp lý). - HUMAN-TRU2]]</f>
        <v>5</v>
      </c>
      <c r="AS12" t="str">
        <f t="shared" si="16"/>
        <v>Neutral</v>
      </c>
      <c r="AT12" s="32">
        <f t="shared" si="17"/>
        <v>3</v>
      </c>
      <c r="AU12">
        <f>step3_validation[[#This Row],[AI_TRU3]]</f>
        <v>7</v>
      </c>
      <c r="AV12" t="str">
        <f t="shared" si="18"/>
        <v>Neutral</v>
      </c>
      <c r="AW12">
        <f>survey_responses[[#This Row],[Tôi tin tưởng số tiền thuế tôi đóng sẽ được Nhà nước sử dụng hiệu quả để cải thiện dịch vụ công (y tế, đường xá...). - HUMAN-TRU3]]</f>
        <v>1</v>
      </c>
      <c r="AX12" t="str">
        <f t="shared" si="19"/>
        <v>Oppose</v>
      </c>
      <c r="AY12" s="32">
        <f t="shared" si="20"/>
        <v>6</v>
      </c>
      <c r="AZ12">
        <f>step3_validation[[#This Row],[AI_TRU4]]</f>
        <v>6</v>
      </c>
      <c r="BA12" t="str">
        <f t="shared" si="21"/>
        <v>Neutral</v>
      </c>
      <c r="BB12">
        <f>survey_responses[[#This Row],[Tôi thấy Nhà nước đã giải thích rõ ràng, minh bạch về lý do và mục tiêu của việc sửa đổi thuế lần này. - HUMAN-TRU4]]</f>
        <v>8</v>
      </c>
      <c r="BC12" t="str">
        <f t="shared" si="22"/>
        <v>Support</v>
      </c>
      <c r="BD12" s="32">
        <f t="shared" si="23"/>
        <v>2</v>
      </c>
      <c r="BE12">
        <f>step3_validation[[#This Row],[AI_OUT1]]</f>
        <v>9</v>
      </c>
      <c r="BF12" t="str">
        <f t="shared" si="24"/>
        <v>Support</v>
      </c>
      <c r="BG12">
        <f>survey_responses[[#This Row],[Sau khi xem xét các quyền lợi và nghĩa vụ, bạn có ủng hộ và tuân thủ chính sách mới hiện nay? - HUMAN-OUT1]]</f>
        <v>6</v>
      </c>
      <c r="BH12" t="str">
        <f t="shared" si="25"/>
        <v>Neutral</v>
      </c>
      <c r="BI12" s="32">
        <f t="shared" si="26"/>
        <v>3</v>
      </c>
    </row>
    <row r="13" spans="1:61" x14ac:dyDescent="0.45">
      <c r="A13" s="30">
        <f>step3_validation[[#This Row],[Persona_ID]]</f>
        <v>12</v>
      </c>
      <c r="B13" s="31">
        <f>step3_validation[[#This Row],[Used_Seed]]</f>
        <v>2037</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9</v>
      </c>
      <c r="R13" t="str">
        <f t="shared" si="0"/>
        <v>Support</v>
      </c>
      <c r="S13">
        <f>survey_responses[[#This Row],[Tôi tin rằng với các quy định quản lý thuế hiện nay, hành vi gian lận hoặc trốn thuế sẽ dễ dàng bị phát hiện và xử lý nghiêm. - HUMAN-ENF1]]</f>
        <v>5</v>
      </c>
      <c r="T13" t="str">
        <f t="shared" si="1"/>
        <v>Neutral</v>
      </c>
      <c r="U13" s="32">
        <f t="shared" si="2"/>
        <v>4</v>
      </c>
      <c r="V13">
        <f>step3_validation[[#This Row],[AI_ENF2]]</f>
        <v>8</v>
      </c>
      <c r="W13" t="str">
        <f t="shared" si="3"/>
        <v>Support</v>
      </c>
      <c r="X13">
        <f>survey_responses[[#This Row],[Tôi tin rằng Nhà nước, cơ quan thuế có đủ khả năng và công nghệ để phát hiện, xử lý nghiêm các hành vi trốn thuế. - HUMAN-ENF2]]</f>
        <v>8</v>
      </c>
      <c r="Y13" t="str">
        <f t="shared" si="4"/>
        <v>Support</v>
      </c>
      <c r="Z13" s="32">
        <f t="shared" si="5"/>
        <v>0</v>
      </c>
      <c r="AA13">
        <f>step3_validation[[#This Row],[AI_FAC1]]</f>
        <v>9</v>
      </c>
      <c r="AB13" t="str">
        <f t="shared" si="6"/>
        <v>Support</v>
      </c>
      <c r="AC13">
        <f>survey_responses[[#This Row],[Các thủ tục khai báo thuế VÀ/HOẶC quy trình làm việc với cơ quan thuế đơn giản, tiện lợi, nhanh chóng hơn so với trước đây. - HUMAN-FAC1]]</f>
        <v>5</v>
      </c>
      <c r="AD13" t="str">
        <f t="shared" si="7"/>
        <v>Neutral</v>
      </c>
      <c r="AE13" s="32">
        <f t="shared" si="8"/>
        <v>4</v>
      </c>
      <c r="AF13">
        <f>step3_validation[[#This Row],[AI_FAC2]]</f>
        <v>8</v>
      </c>
      <c r="AG13" t="str">
        <f t="shared" si="9"/>
        <v>Support</v>
      </c>
      <c r="AH13">
        <f>survey_responses[[#This Row],[So với trước đây, tôi thấy cách tính thuế và các bậc thuế trong phương án mới đơn giản, dễ hiểu và dễ thực hiện hơn. - HUMAN-FAC2]]</f>
        <v>5</v>
      </c>
      <c r="AI13" t="str">
        <f t="shared" si="10"/>
        <v>Neutral</v>
      </c>
      <c r="AJ13" s="32">
        <f t="shared" si="11"/>
        <v>3</v>
      </c>
      <c r="AK13">
        <f>step3_validation[[#This Row],[AI_TRU1]]</f>
        <v>9</v>
      </c>
      <c r="AL13" t="str">
        <f t="shared" si="12"/>
        <v>Support</v>
      </c>
      <c r="AM13">
        <f>survey_responses[[#This Row],[Tôi tin rằng Nhà nước, cơ quan thuế sẽ thực thi chính sách mới một cách khách quan, công tâm và đối xử bình đẳng với mọi người nộp thuế.  - HUMAN-TRU1]]</f>
        <v>6</v>
      </c>
      <c r="AN13" t="str">
        <f t="shared" si="13"/>
        <v>Neutral</v>
      </c>
      <c r="AO13" s="32">
        <f t="shared" si="14"/>
        <v>3</v>
      </c>
      <c r="AP13">
        <f>step3_validation[[#This Row],[AI_TRU2]]</f>
        <v>8</v>
      </c>
      <c r="AQ13" t="str">
        <f t="shared" si="15"/>
        <v>Support</v>
      </c>
      <c r="AR13">
        <f>survey_responses[[#This Row],[Tôi thấy mức thuế tôi phải đóng theo phương án mới là công bằng (người thu nhập như tôi đóng mức này là hợp lý). - HUMAN-TRU2]]</f>
        <v>5</v>
      </c>
      <c r="AS13" t="str">
        <f t="shared" si="16"/>
        <v>Neutral</v>
      </c>
      <c r="AT13" s="32">
        <f t="shared" si="17"/>
        <v>3</v>
      </c>
      <c r="AU13">
        <f>step3_validation[[#This Row],[AI_TRU3]]</f>
        <v>9</v>
      </c>
      <c r="AV13" t="str">
        <f t="shared" si="18"/>
        <v>Support</v>
      </c>
      <c r="AW13">
        <f>survey_responses[[#This Row],[Tôi tin tưởng số tiền thuế tôi đóng sẽ được Nhà nước sử dụng hiệu quả để cải thiện dịch vụ công (y tế, đường xá...). - HUMAN-TRU3]]</f>
        <v>5</v>
      </c>
      <c r="AX13" t="str">
        <f t="shared" si="19"/>
        <v>Neutral</v>
      </c>
      <c r="AY13" s="32">
        <f t="shared" si="20"/>
        <v>4</v>
      </c>
      <c r="AZ13">
        <f>step3_validation[[#This Row],[AI_TRU4]]</f>
        <v>8</v>
      </c>
      <c r="BA13" t="str">
        <f t="shared" si="21"/>
        <v>Support</v>
      </c>
      <c r="BB13">
        <f>survey_responses[[#This Row],[Tôi thấy Nhà nước đã giải thích rõ ràng, minh bạch về lý do và mục tiêu của việc sửa đổi thuế lần này. - HUMAN-TRU4]]</f>
        <v>5</v>
      </c>
      <c r="BC13" t="str">
        <f t="shared" si="22"/>
        <v>Neutral</v>
      </c>
      <c r="BD13" s="32">
        <f t="shared" si="23"/>
        <v>3</v>
      </c>
      <c r="BE13">
        <f>step3_validation[[#This Row],[AI_OUT1]]</f>
        <v>9</v>
      </c>
      <c r="BF13" t="str">
        <f t="shared" si="24"/>
        <v>Support</v>
      </c>
      <c r="BG13">
        <f>survey_responses[[#This Row],[Sau khi xem xét các quyền lợi và nghĩa vụ, bạn có ủng hộ và tuân thủ chính sách mới hiện nay? - HUMAN-OUT1]]</f>
        <v>5</v>
      </c>
      <c r="BH13" t="str">
        <f t="shared" si="25"/>
        <v>Neutral</v>
      </c>
      <c r="BI13" s="32">
        <f t="shared" si="26"/>
        <v>4</v>
      </c>
    </row>
    <row r="14" spans="1:61" x14ac:dyDescent="0.45">
      <c r="A14" s="30">
        <f>step3_validation[[#This Row],[Persona_ID]]</f>
        <v>13</v>
      </c>
      <c r="B14" s="31">
        <f>step3_validation[[#This Row],[Used_Seed]]</f>
        <v>2038</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7</v>
      </c>
      <c r="R14" t="str">
        <f t="shared" si="0"/>
        <v>Neutral</v>
      </c>
      <c r="S14">
        <f>survey_responses[[#This Row],[Tôi tin rằng với các quy định quản lý thuế hiện nay, hành vi gian lận hoặc trốn thuế sẽ dễ dàng bị phát hiện và xử lý nghiêm. - HUMAN-ENF1]]</f>
        <v>8</v>
      </c>
      <c r="T14" t="str">
        <f t="shared" si="1"/>
        <v>Support</v>
      </c>
      <c r="U14" s="32">
        <f t="shared" si="2"/>
        <v>1</v>
      </c>
      <c r="V14">
        <f>step3_validation[[#This Row],[AI_ENF2]]</f>
        <v>8</v>
      </c>
      <c r="W14" t="str">
        <f t="shared" si="3"/>
        <v>Support</v>
      </c>
      <c r="X14">
        <f>survey_responses[[#This Row],[Tôi tin rằng Nhà nước, cơ quan thuế có đủ khả năng và công nghệ để phát hiện, xử lý nghiêm các hành vi trốn thuế. - HUMAN-ENF2]]</f>
        <v>7</v>
      </c>
      <c r="Y14" t="str">
        <f t="shared" si="4"/>
        <v>Neutral</v>
      </c>
      <c r="Z14" s="32">
        <f t="shared" si="5"/>
        <v>1</v>
      </c>
      <c r="AA14">
        <f>step3_validation[[#This Row],[AI_FAC1]]</f>
        <v>9</v>
      </c>
      <c r="AB14" t="str">
        <f t="shared" si="6"/>
        <v>Support</v>
      </c>
      <c r="AC14">
        <f>survey_responses[[#This Row],[Các thủ tục khai báo thuế VÀ/HOẶC quy trình làm việc với cơ quan thuế đơn giản, tiện lợi, nhanh chóng hơn so với trước đây. - HUMAN-FAC1]]</f>
        <v>7</v>
      </c>
      <c r="AD14" t="str">
        <f t="shared" si="7"/>
        <v>Neutral</v>
      </c>
      <c r="AE14" s="32">
        <f t="shared" si="8"/>
        <v>2</v>
      </c>
      <c r="AF14">
        <f>step3_validation[[#This Row],[AI_FAC2]]</f>
        <v>10</v>
      </c>
      <c r="AG14" t="str">
        <f t="shared" si="9"/>
        <v>Support</v>
      </c>
      <c r="AH14">
        <f>survey_responses[[#This Row],[So với trước đây, tôi thấy cách tính thuế và các bậc thuế trong phương án mới đơn giản, dễ hiểu và dễ thực hiện hơn. - HUMAN-FAC2]]</f>
        <v>7</v>
      </c>
      <c r="AI14" t="str">
        <f t="shared" si="10"/>
        <v>Neutral</v>
      </c>
      <c r="AJ14" s="32">
        <f t="shared" si="11"/>
        <v>3</v>
      </c>
      <c r="AK14">
        <f>step3_validation[[#This Row],[AI_TRU1]]</f>
        <v>9</v>
      </c>
      <c r="AL14" t="str">
        <f t="shared" si="12"/>
        <v>Support</v>
      </c>
      <c r="AM14">
        <f>survey_responses[[#This Row],[Tôi tin rằng Nhà nước, cơ quan thuế sẽ thực thi chính sách mới một cách khách quan, công tâm và đối xử bình đẳng với mọi người nộp thuế.  - HUMAN-TRU1]]</f>
        <v>7</v>
      </c>
      <c r="AN14" t="str">
        <f t="shared" si="13"/>
        <v>Neutral</v>
      </c>
      <c r="AO14" s="32">
        <f t="shared" si="14"/>
        <v>2</v>
      </c>
      <c r="AP14">
        <f>step3_validation[[#This Row],[AI_TRU2]]</f>
        <v>8</v>
      </c>
      <c r="AQ14" t="str">
        <f t="shared" si="15"/>
        <v>Support</v>
      </c>
      <c r="AR14">
        <f>survey_responses[[#This Row],[Tôi thấy mức thuế tôi phải đóng theo phương án mới là công bằng (người thu nhập như tôi đóng mức này là hợp lý). - HUMAN-TRU2]]</f>
        <v>8</v>
      </c>
      <c r="AS14" t="str">
        <f t="shared" si="16"/>
        <v>Support</v>
      </c>
      <c r="AT14" s="32">
        <f t="shared" si="17"/>
        <v>0</v>
      </c>
      <c r="AU14">
        <f>step3_validation[[#This Row],[AI_TRU3]]</f>
        <v>7</v>
      </c>
      <c r="AV14" t="str">
        <f t="shared" si="18"/>
        <v>Neutral</v>
      </c>
      <c r="AW14">
        <f>survey_responses[[#This Row],[Tôi tin tưởng số tiền thuế tôi đóng sẽ được Nhà nước sử dụng hiệu quả để cải thiện dịch vụ công (y tế, đường xá...). - HUMAN-TRU3]]</f>
        <v>7</v>
      </c>
      <c r="AX14" t="str">
        <f t="shared" si="19"/>
        <v>Neutral</v>
      </c>
      <c r="AY14" s="32">
        <f t="shared" si="20"/>
        <v>0</v>
      </c>
      <c r="AZ14">
        <f>step3_validation[[#This Row],[AI_TRU4]]</f>
        <v>6</v>
      </c>
      <c r="BA14" t="str">
        <f t="shared" si="21"/>
        <v>Neutral</v>
      </c>
      <c r="BB14">
        <f>survey_responses[[#This Row],[Tôi thấy Nhà nước đã giải thích rõ ràng, minh bạch về lý do và mục tiêu của việc sửa đổi thuế lần này. - HUMAN-TRU4]]</f>
        <v>7</v>
      </c>
      <c r="BC14" t="str">
        <f t="shared" si="22"/>
        <v>Neutral</v>
      </c>
      <c r="BD14" s="32">
        <f t="shared" si="23"/>
        <v>1</v>
      </c>
      <c r="BE14">
        <f>step3_validation[[#This Row],[AI_OUT1]]</f>
        <v>9</v>
      </c>
      <c r="BF14" t="str">
        <f t="shared" si="24"/>
        <v>Support</v>
      </c>
      <c r="BG14">
        <f>survey_responses[[#This Row],[Sau khi xem xét các quyền lợi và nghĩa vụ, bạn có ủng hộ và tuân thủ chính sách mới hiện nay? - HUMAN-OUT1]]</f>
        <v>7</v>
      </c>
      <c r="BH14" t="str">
        <f t="shared" si="25"/>
        <v>Neutral</v>
      </c>
      <c r="BI14" s="32">
        <f t="shared" si="26"/>
        <v>2</v>
      </c>
    </row>
    <row r="15" spans="1:61" x14ac:dyDescent="0.45">
      <c r="A15" s="30">
        <f>step3_validation[[#This Row],[Persona_ID]]</f>
        <v>14</v>
      </c>
      <c r="B15" s="31">
        <f>step3_validation[[#This Row],[Used_Seed]]</f>
        <v>2039</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20.472077092976154</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7</v>
      </c>
      <c r="R15" t="str">
        <f t="shared" si="0"/>
        <v>Neutral</v>
      </c>
      <c r="S15">
        <f>survey_responses[[#This Row],[Tôi tin rằng với các quy định quản lý thuế hiện nay, hành vi gian lận hoặc trốn thuế sẽ dễ dàng bị phát hiện và xử lý nghiêm. - HUMAN-ENF1]]</f>
        <v>10</v>
      </c>
      <c r="T15" t="str">
        <f t="shared" si="1"/>
        <v>Support</v>
      </c>
      <c r="U15" s="32">
        <f t="shared" si="2"/>
        <v>3</v>
      </c>
      <c r="V15">
        <f>step3_validation[[#This Row],[AI_ENF2]]</f>
        <v>8</v>
      </c>
      <c r="W15" t="str">
        <f t="shared" si="3"/>
        <v>Support</v>
      </c>
      <c r="X15">
        <f>survey_responses[[#This Row],[Tôi tin rằng Nhà nước, cơ quan thuế có đủ khả năng và công nghệ để phát hiện, xử lý nghiêm các hành vi trốn thuế. - HUMAN-ENF2]]</f>
        <v>10</v>
      </c>
      <c r="Y15" t="str">
        <f t="shared" si="4"/>
        <v>Support</v>
      </c>
      <c r="Z15" s="32">
        <f t="shared" si="5"/>
        <v>2</v>
      </c>
      <c r="AA15">
        <f>step3_validation[[#This Row],[AI_FAC1]]</f>
        <v>9</v>
      </c>
      <c r="AB15" t="str">
        <f t="shared" si="6"/>
        <v>Support</v>
      </c>
      <c r="AC15">
        <f>survey_responses[[#This Row],[Các thủ tục khai báo thuế VÀ/HOẶC quy trình làm việc với cơ quan thuế đơn giản, tiện lợi, nhanh chóng hơn so với trước đây. - HUMAN-FAC1]]</f>
        <v>8</v>
      </c>
      <c r="AD15" t="str">
        <f t="shared" si="7"/>
        <v>Support</v>
      </c>
      <c r="AE15" s="32">
        <f t="shared" si="8"/>
        <v>1</v>
      </c>
      <c r="AF15">
        <f>step3_validation[[#This Row],[AI_FAC2]]</f>
        <v>8</v>
      </c>
      <c r="AG15" t="str">
        <f t="shared" si="9"/>
        <v>Support</v>
      </c>
      <c r="AH15">
        <f>survey_responses[[#This Row],[So với trước đây, tôi thấy cách tính thuế và các bậc thuế trong phương án mới đơn giản, dễ hiểu và dễ thực hiện hơn. - HUMAN-FAC2]]</f>
        <v>8</v>
      </c>
      <c r="AI15" t="str">
        <f t="shared" si="10"/>
        <v>Support</v>
      </c>
      <c r="AJ15" s="32">
        <f t="shared" si="11"/>
        <v>0</v>
      </c>
      <c r="AK15">
        <f>step3_validation[[#This Row],[AI_TRU1]]</f>
        <v>7</v>
      </c>
      <c r="AL15" t="str">
        <f t="shared" si="12"/>
        <v>Neutral</v>
      </c>
      <c r="AM15">
        <f>survey_responses[[#This Row],[Tôi tin rằng Nhà nước, cơ quan thuế sẽ thực thi chính sách mới một cách khách quan, công tâm và đối xử bình đẳng với mọi người nộp thuế.  - HUMAN-TRU1]]</f>
        <v>8</v>
      </c>
      <c r="AN15" t="str">
        <f t="shared" si="13"/>
        <v>Support</v>
      </c>
      <c r="AO15" s="32">
        <f t="shared" si="14"/>
        <v>1</v>
      </c>
      <c r="AP15">
        <f>step3_validation[[#This Row],[AI_TRU2]]</f>
        <v>9</v>
      </c>
      <c r="AQ15" t="str">
        <f t="shared" si="15"/>
        <v>Support</v>
      </c>
      <c r="AR15">
        <f>survey_responses[[#This Row],[Tôi thấy mức thuế tôi phải đóng theo phương án mới là công bằng (người thu nhập như tôi đóng mức này là hợp lý). - HUMAN-TRU2]]</f>
        <v>6</v>
      </c>
      <c r="AS15" t="str">
        <f t="shared" si="16"/>
        <v>Neutral</v>
      </c>
      <c r="AT15" s="32">
        <f t="shared" si="17"/>
        <v>3</v>
      </c>
      <c r="AU15">
        <f>step3_validation[[#This Row],[AI_TRU3]]</f>
        <v>7</v>
      </c>
      <c r="AV15" t="str">
        <f t="shared" si="18"/>
        <v>Neutral</v>
      </c>
      <c r="AW15">
        <f>survey_responses[[#This Row],[Tôi tin tưởng số tiền thuế tôi đóng sẽ được Nhà nước sử dụng hiệu quả để cải thiện dịch vụ công (y tế, đường xá...). - HUMAN-TRU3]]</f>
        <v>6</v>
      </c>
      <c r="AX15" t="str">
        <f t="shared" si="19"/>
        <v>Neutral</v>
      </c>
      <c r="AY15" s="32">
        <f t="shared" si="20"/>
        <v>1</v>
      </c>
      <c r="AZ15">
        <f>step3_validation[[#This Row],[AI_TRU4]]</f>
        <v>9</v>
      </c>
      <c r="BA15" t="str">
        <f t="shared" si="21"/>
        <v>Support</v>
      </c>
      <c r="BB15">
        <f>survey_responses[[#This Row],[Tôi thấy Nhà nước đã giải thích rõ ràng, minh bạch về lý do và mục tiêu của việc sửa đổi thuế lần này. - HUMAN-TRU4]]</f>
        <v>5</v>
      </c>
      <c r="BC15" t="str">
        <f t="shared" si="22"/>
        <v>Neutral</v>
      </c>
      <c r="BD15" s="32">
        <f t="shared" si="23"/>
        <v>4</v>
      </c>
      <c r="BE15">
        <f>step3_validation[[#This Row],[AI_OUT1]]</f>
        <v>8</v>
      </c>
      <c r="BF15" t="str">
        <f t="shared" si="24"/>
        <v>Support</v>
      </c>
      <c r="BG15">
        <f>survey_responses[[#This Row],[Sau khi xem xét các quyền lợi và nghĩa vụ, bạn có ủng hộ và tuân thủ chính sách mới hiện nay? - HUMAN-OUT1]]</f>
        <v>5</v>
      </c>
      <c r="BH15" t="str">
        <f t="shared" si="25"/>
        <v>Neutral</v>
      </c>
      <c r="BI15" s="32">
        <f t="shared" si="26"/>
        <v>3</v>
      </c>
    </row>
    <row r="16" spans="1:61" x14ac:dyDescent="0.45">
      <c r="A16" s="30">
        <f>step3_validation[[#This Row],[Persona_ID]]</f>
        <v>15</v>
      </c>
      <c r="B16" s="31">
        <f>step3_validation[[#This Row],[Used_Seed]]</f>
        <v>2040</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42.31972795825854</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8</v>
      </c>
      <c r="R16" t="str">
        <f t="shared" si="0"/>
        <v>Support</v>
      </c>
      <c r="S16">
        <f>survey_responses[[#This Row],[Tôi tin rằng với các quy định quản lý thuế hiện nay, hành vi gian lận hoặc trốn thuế sẽ dễ dàng bị phát hiện và xử lý nghiêm. - HUMAN-ENF1]]</f>
        <v>7</v>
      </c>
      <c r="T16" t="str">
        <f t="shared" si="1"/>
        <v>Neutral</v>
      </c>
      <c r="U16" s="32">
        <f t="shared" si="2"/>
        <v>1</v>
      </c>
      <c r="V16">
        <f>step3_validation[[#This Row],[AI_ENF2]]</f>
        <v>6</v>
      </c>
      <c r="W16" t="str">
        <f t="shared" si="3"/>
        <v>Neutral</v>
      </c>
      <c r="X16">
        <f>survey_responses[[#This Row],[Tôi tin rằng Nhà nước, cơ quan thuế có đủ khả năng và công nghệ để phát hiện, xử lý nghiêm các hành vi trốn thuế. - HUMAN-ENF2]]</f>
        <v>9</v>
      </c>
      <c r="Y16" t="str">
        <f t="shared" si="4"/>
        <v>Support</v>
      </c>
      <c r="Z16" s="32">
        <f t="shared" si="5"/>
        <v>3</v>
      </c>
      <c r="AA16">
        <f>step3_validation[[#This Row],[AI_FAC1]]</f>
        <v>7</v>
      </c>
      <c r="AB16" t="str">
        <f t="shared" si="6"/>
        <v>Neutral</v>
      </c>
      <c r="AC16">
        <f>survey_responses[[#This Row],[Các thủ tục khai báo thuế VÀ/HOẶC quy trình làm việc với cơ quan thuế đơn giản, tiện lợi, nhanh chóng hơn so với trước đây. - HUMAN-FAC1]]</f>
        <v>3</v>
      </c>
      <c r="AD16" t="str">
        <f t="shared" si="7"/>
        <v>Oppose</v>
      </c>
      <c r="AE16" s="32">
        <f t="shared" si="8"/>
        <v>4</v>
      </c>
      <c r="AF16">
        <f>step3_validation[[#This Row],[AI_FAC2]]</f>
        <v>9</v>
      </c>
      <c r="AG16" t="str">
        <f t="shared" si="9"/>
        <v>Support</v>
      </c>
      <c r="AH16">
        <f>survey_responses[[#This Row],[So với trước đây, tôi thấy cách tính thuế và các bậc thuế trong phương án mới đơn giản, dễ hiểu và dễ thực hiện hơn. - HUMAN-FAC2]]</f>
        <v>6</v>
      </c>
      <c r="AI16" t="str">
        <f t="shared" si="10"/>
        <v>Neutral</v>
      </c>
      <c r="AJ16" s="32">
        <f t="shared" si="11"/>
        <v>3</v>
      </c>
      <c r="AK16">
        <f>step3_validation[[#This Row],[AI_TRU1]]</f>
        <v>8</v>
      </c>
      <c r="AL16" t="str">
        <f t="shared" si="12"/>
        <v>Support</v>
      </c>
      <c r="AM16">
        <f>survey_responses[[#This Row],[Tôi tin rằng Nhà nước, cơ quan thuế sẽ thực thi chính sách mới một cách khách quan, công tâm và đối xử bình đẳng với mọi người nộp thuế.  - HUMAN-TRU1]]</f>
        <v>1</v>
      </c>
      <c r="AN16" t="str">
        <f t="shared" si="13"/>
        <v>Oppose</v>
      </c>
      <c r="AO16" s="32">
        <f t="shared" si="14"/>
        <v>7</v>
      </c>
      <c r="AP16">
        <f>step3_validation[[#This Row],[AI_TRU2]]</f>
        <v>9</v>
      </c>
      <c r="AQ16" t="str">
        <f t="shared" si="15"/>
        <v>Support</v>
      </c>
      <c r="AR16">
        <f>survey_responses[[#This Row],[Tôi thấy mức thuế tôi phải đóng theo phương án mới là công bằng (người thu nhập như tôi đóng mức này là hợp lý). - HUMAN-TRU2]]</f>
        <v>1</v>
      </c>
      <c r="AS16" t="str">
        <f t="shared" si="16"/>
        <v>Oppose</v>
      </c>
      <c r="AT16" s="32">
        <f t="shared" si="17"/>
        <v>8</v>
      </c>
      <c r="AU16">
        <f>step3_validation[[#This Row],[AI_TRU3]]</f>
        <v>8</v>
      </c>
      <c r="AV16" t="str">
        <f t="shared" si="18"/>
        <v>Support</v>
      </c>
      <c r="AW16">
        <f>survey_responses[[#This Row],[Tôi tin tưởng số tiền thuế tôi đóng sẽ được Nhà nước sử dụng hiệu quả để cải thiện dịch vụ công (y tế, đường xá...). - HUMAN-TRU3]]</f>
        <v>1</v>
      </c>
      <c r="AX16" t="str">
        <f t="shared" si="19"/>
        <v>Oppose</v>
      </c>
      <c r="AY16" s="32">
        <f t="shared" si="20"/>
        <v>7</v>
      </c>
      <c r="AZ16">
        <f>step3_validation[[#This Row],[AI_TRU4]]</f>
        <v>9</v>
      </c>
      <c r="BA16" t="str">
        <f t="shared" si="21"/>
        <v>Support</v>
      </c>
      <c r="BB16">
        <f>survey_responses[[#This Row],[Tôi thấy Nhà nước đã giải thích rõ ràng, minh bạch về lý do và mục tiêu của việc sửa đổi thuế lần này. - HUMAN-TRU4]]</f>
        <v>1</v>
      </c>
      <c r="BC16" t="str">
        <f t="shared" si="22"/>
        <v>Oppose</v>
      </c>
      <c r="BD16" s="32">
        <f t="shared" si="23"/>
        <v>8</v>
      </c>
      <c r="BE16">
        <f>step3_validation[[#This Row],[AI_OUT1]]</f>
        <v>8</v>
      </c>
      <c r="BF16" t="str">
        <f t="shared" si="24"/>
        <v>Support</v>
      </c>
      <c r="BG16">
        <f>survey_responses[[#This Row],[Sau khi xem xét các quyền lợi và nghĩa vụ, bạn có ủng hộ và tuân thủ chính sách mới hiện nay? - HUMAN-OUT1]]</f>
        <v>1</v>
      </c>
      <c r="BH16" t="str">
        <f t="shared" si="25"/>
        <v>Oppose</v>
      </c>
      <c r="BI16" s="32">
        <f t="shared" si="26"/>
        <v>7</v>
      </c>
    </row>
    <row r="17" spans="1:61" x14ac:dyDescent="0.45">
      <c r="A17" s="30">
        <f>step3_validation[[#This Row],[Persona_ID]]</f>
        <v>16</v>
      </c>
      <c r="B17" s="31">
        <f>step3_validation[[#This Row],[Used_Seed]]</f>
        <v>2041</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87.979421474492696</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8</v>
      </c>
      <c r="R17" t="str">
        <f t="shared" si="0"/>
        <v>Support</v>
      </c>
      <c r="S17">
        <f>survey_responses[[#This Row],[Tôi tin rằng với các quy định quản lý thuế hiện nay, hành vi gian lận hoặc trốn thuế sẽ dễ dàng bị phát hiện và xử lý nghiêm. - HUMAN-ENF1]]</f>
        <v>8</v>
      </c>
      <c r="T17" t="str">
        <f t="shared" si="1"/>
        <v>Support</v>
      </c>
      <c r="U17" s="32">
        <f t="shared" si="2"/>
        <v>0</v>
      </c>
      <c r="V17">
        <f>step3_validation[[#This Row],[AI_ENF2]]</f>
        <v>9</v>
      </c>
      <c r="W17" t="str">
        <f t="shared" si="3"/>
        <v>Support</v>
      </c>
      <c r="X17">
        <f>survey_responses[[#This Row],[Tôi tin rằng Nhà nước, cơ quan thuế có đủ khả năng và công nghệ để phát hiện, xử lý nghiêm các hành vi trốn thuế. - HUMAN-ENF2]]</f>
        <v>8</v>
      </c>
      <c r="Y17" t="str">
        <f t="shared" si="4"/>
        <v>Support</v>
      </c>
      <c r="Z17" s="32">
        <f t="shared" si="5"/>
        <v>1</v>
      </c>
      <c r="AA17">
        <f>step3_validation[[#This Row],[AI_FAC1]]</f>
        <v>7</v>
      </c>
      <c r="AB17" t="str">
        <f t="shared" si="6"/>
        <v>Neutral</v>
      </c>
      <c r="AC17">
        <f>survey_responses[[#This Row],[Các thủ tục khai báo thuế VÀ/HOẶC quy trình làm việc với cơ quan thuế đơn giản, tiện lợi, nhanh chóng hơn so với trước đây. - HUMAN-FAC1]]</f>
        <v>8</v>
      </c>
      <c r="AD17" t="str">
        <f t="shared" si="7"/>
        <v>Support</v>
      </c>
      <c r="AE17" s="32">
        <f t="shared" si="8"/>
        <v>1</v>
      </c>
      <c r="AF17">
        <f>step3_validation[[#This Row],[AI_FAC2]]</f>
        <v>9</v>
      </c>
      <c r="AG17" t="str">
        <f t="shared" si="9"/>
        <v>Support</v>
      </c>
      <c r="AH17">
        <f>survey_responses[[#This Row],[So với trước đây, tôi thấy cách tính thuế và các bậc thuế trong phương án mới đơn giản, dễ hiểu và dễ thực hiện hơn. - HUMAN-FAC2]]</f>
        <v>9</v>
      </c>
      <c r="AI17" t="str">
        <f t="shared" si="10"/>
        <v>Support</v>
      </c>
      <c r="AJ17" s="32">
        <f t="shared" si="11"/>
        <v>0</v>
      </c>
      <c r="AK17">
        <f>step3_validation[[#This Row],[AI_TRU1]]</f>
        <v>8</v>
      </c>
      <c r="AL17" t="str">
        <f t="shared" si="12"/>
        <v>Support</v>
      </c>
      <c r="AM17">
        <f>survey_responses[[#This Row],[Tôi tin rằng Nhà nước, cơ quan thuế sẽ thực thi chính sách mới một cách khách quan, công tâm và đối xử bình đẳng với mọi người nộp thuế.  - HUMAN-TRU1]]</f>
        <v>7</v>
      </c>
      <c r="AN17" t="str">
        <f t="shared" si="13"/>
        <v>Neutral</v>
      </c>
      <c r="AO17" s="32">
        <f t="shared" si="14"/>
        <v>1</v>
      </c>
      <c r="AP17">
        <f>step3_validation[[#This Row],[AI_TRU2]]</f>
        <v>9</v>
      </c>
      <c r="AQ17" t="str">
        <f t="shared" si="15"/>
        <v>Support</v>
      </c>
      <c r="AR17">
        <f>survey_responses[[#This Row],[Tôi thấy mức thuế tôi phải đóng theo phương án mới là công bằng (người thu nhập như tôi đóng mức này là hợp lý). - HUMAN-TRU2]]</f>
        <v>7</v>
      </c>
      <c r="AS17" t="str">
        <f t="shared" si="16"/>
        <v>Neutral</v>
      </c>
      <c r="AT17" s="32">
        <f t="shared" si="17"/>
        <v>2</v>
      </c>
      <c r="AU17">
        <f>step3_validation[[#This Row],[AI_TRU3]]</f>
        <v>8</v>
      </c>
      <c r="AV17" t="str">
        <f t="shared" si="18"/>
        <v>Support</v>
      </c>
      <c r="AW17">
        <f>survey_responses[[#This Row],[Tôi tin tưởng số tiền thuế tôi đóng sẽ được Nhà nước sử dụng hiệu quả để cải thiện dịch vụ công (y tế, đường xá...). - HUMAN-TRU3]]</f>
        <v>9</v>
      </c>
      <c r="AX17" t="str">
        <f t="shared" si="19"/>
        <v>Support</v>
      </c>
      <c r="AY17" s="32">
        <f t="shared" si="20"/>
        <v>1</v>
      </c>
      <c r="AZ17">
        <f>step3_validation[[#This Row],[AI_TRU4]]</f>
        <v>9</v>
      </c>
      <c r="BA17" t="str">
        <f t="shared" si="21"/>
        <v>Support</v>
      </c>
      <c r="BB17">
        <f>survey_responses[[#This Row],[Tôi thấy Nhà nước đã giải thích rõ ràng, minh bạch về lý do và mục tiêu của việc sửa đổi thuế lần này. - HUMAN-TRU4]]</f>
        <v>8</v>
      </c>
      <c r="BC17" t="str">
        <f t="shared" si="22"/>
        <v>Support</v>
      </c>
      <c r="BD17" s="32">
        <f t="shared" si="23"/>
        <v>1</v>
      </c>
      <c r="BE17">
        <f>step3_validation[[#This Row],[AI_OUT1]]</f>
        <v>9</v>
      </c>
      <c r="BF17" t="str">
        <f t="shared" si="24"/>
        <v>Support</v>
      </c>
      <c r="BG17">
        <f>survey_responses[[#This Row],[Sau khi xem xét các quyền lợi và nghĩa vụ, bạn có ủng hộ và tuân thủ chính sách mới hiện nay? - HUMAN-OUT1]]</f>
        <v>7</v>
      </c>
      <c r="BH17" t="str">
        <f t="shared" si="25"/>
        <v>Neutral</v>
      </c>
      <c r="BI17" s="32">
        <f t="shared" si="26"/>
        <v>2</v>
      </c>
    </row>
    <row r="18" spans="1:61" x14ac:dyDescent="0.45">
      <c r="A18" s="30">
        <f>step3_validation[[#This Row],[Persona_ID]]</f>
        <v>17</v>
      </c>
      <c r="B18" s="31">
        <f>step3_validation[[#This Row],[Used_Seed]]</f>
        <v>2042</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20.133872094292034</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6</v>
      </c>
      <c r="R18" t="str">
        <f t="shared" si="0"/>
        <v>Neutral</v>
      </c>
      <c r="S18">
        <f>survey_responses[[#This Row],[Tôi tin rằng với các quy định quản lý thuế hiện nay, hành vi gian lận hoặc trốn thuế sẽ dễ dàng bị phát hiện và xử lý nghiêm. - HUMAN-ENF1]]</f>
        <v>6</v>
      </c>
      <c r="T18" t="str">
        <f t="shared" si="1"/>
        <v>Neutral</v>
      </c>
      <c r="U18" s="32">
        <f t="shared" si="2"/>
        <v>0</v>
      </c>
      <c r="V18">
        <f>step3_validation[[#This Row],[AI_ENF2]]</f>
        <v>6</v>
      </c>
      <c r="W18" t="str">
        <f t="shared" si="3"/>
        <v>Neutral</v>
      </c>
      <c r="X18">
        <f>survey_responses[[#This Row],[Tôi tin rằng Nhà nước, cơ quan thuế có đủ khả năng và công nghệ để phát hiện, xử lý nghiêm các hành vi trốn thuế. - HUMAN-ENF2]]</f>
        <v>7</v>
      </c>
      <c r="Y18" t="str">
        <f t="shared" si="4"/>
        <v>Neutral</v>
      </c>
      <c r="Z18" s="32">
        <f t="shared" si="5"/>
        <v>1</v>
      </c>
      <c r="AA18">
        <f>step3_validation[[#This Row],[AI_FAC1]]</f>
        <v>7</v>
      </c>
      <c r="AB18" t="str">
        <f t="shared" si="6"/>
        <v>Neutral</v>
      </c>
      <c r="AC18">
        <f>survey_responses[[#This Row],[Các thủ tục khai báo thuế VÀ/HOẶC quy trình làm việc với cơ quan thuế đơn giản, tiện lợi, nhanh chóng hơn so với trước đây. - HUMAN-FAC1]]</f>
        <v>5</v>
      </c>
      <c r="AD18" t="str">
        <f t="shared" si="7"/>
        <v>Neutral</v>
      </c>
      <c r="AE18" s="32">
        <f t="shared" si="8"/>
        <v>2</v>
      </c>
      <c r="AF18">
        <f>step3_validation[[#This Row],[AI_FAC2]]</f>
        <v>7</v>
      </c>
      <c r="AG18" t="str">
        <f t="shared" si="9"/>
        <v>Neutral</v>
      </c>
      <c r="AH18">
        <f>survey_responses[[#This Row],[So với trước đây, tôi thấy cách tính thuế và các bậc thuế trong phương án mới đơn giản, dễ hiểu và dễ thực hiện hơn. - HUMAN-FAC2]]</f>
        <v>5</v>
      </c>
      <c r="AI18" t="str">
        <f t="shared" si="10"/>
        <v>Neutral</v>
      </c>
      <c r="AJ18" s="32">
        <f t="shared" si="11"/>
        <v>2</v>
      </c>
      <c r="AK18">
        <f>step3_validation[[#This Row],[AI_TRU1]]</f>
        <v>5</v>
      </c>
      <c r="AL18" t="str">
        <f t="shared" si="12"/>
        <v>Neutral</v>
      </c>
      <c r="AM18">
        <f>survey_responses[[#This Row],[Tôi tin rằng Nhà nước, cơ quan thuế sẽ thực thi chính sách mới một cách khách quan, công tâm và đối xử bình đẳng với mọi người nộp thuế.  - HUMAN-TRU1]]</f>
        <v>6</v>
      </c>
      <c r="AN18" t="str">
        <f t="shared" si="13"/>
        <v>Neutral</v>
      </c>
      <c r="AO18" s="32">
        <f t="shared" si="14"/>
        <v>1</v>
      </c>
      <c r="AP18">
        <f>step3_validation[[#This Row],[AI_TRU2]]</f>
        <v>6</v>
      </c>
      <c r="AQ18" t="str">
        <f t="shared" si="15"/>
        <v>Neutral</v>
      </c>
      <c r="AR18">
        <f>survey_responses[[#This Row],[Tôi thấy mức thuế tôi phải đóng theo phương án mới là công bằng (người thu nhập như tôi đóng mức này là hợp lý). - HUMAN-TRU2]]</f>
        <v>7</v>
      </c>
      <c r="AS18" t="str">
        <f t="shared" si="16"/>
        <v>Neutral</v>
      </c>
      <c r="AT18" s="32">
        <f t="shared" si="17"/>
        <v>1</v>
      </c>
      <c r="AU18">
        <f>step3_validation[[#This Row],[AI_TRU3]]</f>
        <v>5</v>
      </c>
      <c r="AV18" t="str">
        <f t="shared" si="18"/>
        <v>Neutral</v>
      </c>
      <c r="AW18">
        <f>survey_responses[[#This Row],[Tôi tin tưởng số tiền thuế tôi đóng sẽ được Nhà nước sử dụng hiệu quả để cải thiện dịch vụ công (y tế, đường xá...). - HUMAN-TRU3]]</f>
        <v>3</v>
      </c>
      <c r="AX18" t="str">
        <f t="shared" si="19"/>
        <v>Oppose</v>
      </c>
      <c r="AY18" s="32">
        <f t="shared" si="20"/>
        <v>2</v>
      </c>
      <c r="AZ18">
        <f>step3_validation[[#This Row],[AI_TRU4]]</f>
        <v>6</v>
      </c>
      <c r="BA18" t="str">
        <f t="shared" si="21"/>
        <v>Neutral</v>
      </c>
      <c r="BB18">
        <f>survey_responses[[#This Row],[Tôi thấy Nhà nước đã giải thích rõ ràng, minh bạch về lý do và mục tiêu của việc sửa đổi thuế lần này. - HUMAN-TRU4]]</f>
        <v>4</v>
      </c>
      <c r="BC18" t="str">
        <f t="shared" si="22"/>
        <v>Oppose</v>
      </c>
      <c r="BD18" s="32">
        <f t="shared" si="23"/>
        <v>2</v>
      </c>
      <c r="BE18">
        <f>step3_validation[[#This Row],[AI_OUT1]]</f>
        <v>7</v>
      </c>
      <c r="BF18" t="str">
        <f t="shared" si="24"/>
        <v>Neutral</v>
      </c>
      <c r="BG18">
        <f>survey_responses[[#This Row],[Sau khi xem xét các quyền lợi và nghĩa vụ, bạn có ủng hộ và tuân thủ chính sách mới hiện nay? - HUMAN-OUT1]]</f>
        <v>5</v>
      </c>
      <c r="BH18" t="str">
        <f t="shared" si="25"/>
        <v>Neutral</v>
      </c>
      <c r="BI18" s="32">
        <f t="shared" si="26"/>
        <v>2</v>
      </c>
    </row>
    <row r="19" spans="1:61" x14ac:dyDescent="0.45">
      <c r="A19" s="30">
        <f>step3_validation[[#This Row],[Persona_ID]]</f>
        <v>18</v>
      </c>
      <c r="B19" s="31">
        <f>step3_validation[[#This Row],[Used_Seed]]</f>
        <v>2043</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16.192287050442665</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7</v>
      </c>
      <c r="R19" t="str">
        <f t="shared" si="0"/>
        <v>Neutral</v>
      </c>
      <c r="S19">
        <f>survey_responses[[#This Row],[Tôi tin rằng với các quy định quản lý thuế hiện nay, hành vi gian lận hoặc trốn thuế sẽ dễ dàng bị phát hiện và xử lý nghiêm. - HUMAN-ENF1]]</f>
        <v>6</v>
      </c>
      <c r="T19" t="str">
        <f t="shared" si="1"/>
        <v>Neutral</v>
      </c>
      <c r="U19" s="32">
        <f t="shared" si="2"/>
        <v>1</v>
      </c>
      <c r="V19">
        <f>step3_validation[[#This Row],[AI_ENF2]]</f>
        <v>8</v>
      </c>
      <c r="W19" t="str">
        <f t="shared" si="3"/>
        <v>Support</v>
      </c>
      <c r="X19">
        <f>survey_responses[[#This Row],[Tôi tin rằng Nhà nước, cơ quan thuế có đủ khả năng và công nghệ để phát hiện, xử lý nghiêm các hành vi trốn thuế. - HUMAN-ENF2]]</f>
        <v>8</v>
      </c>
      <c r="Y19" t="str">
        <f t="shared" si="4"/>
        <v>Support</v>
      </c>
      <c r="Z19" s="32">
        <f t="shared" si="5"/>
        <v>0</v>
      </c>
      <c r="AA19">
        <f>step3_validation[[#This Row],[AI_FAC1]]</f>
        <v>6</v>
      </c>
      <c r="AB19" t="str">
        <f t="shared" si="6"/>
        <v>Neutral</v>
      </c>
      <c r="AC19">
        <f>survey_responses[[#This Row],[Các thủ tục khai báo thuế VÀ/HOẶC quy trình làm việc với cơ quan thuế đơn giản, tiện lợi, nhanh chóng hơn so với trước đây. - HUMAN-FAC1]]</f>
        <v>7</v>
      </c>
      <c r="AD19" t="str">
        <f t="shared" si="7"/>
        <v>Neutral</v>
      </c>
      <c r="AE19" s="32">
        <f t="shared" si="8"/>
        <v>1</v>
      </c>
      <c r="AF19">
        <f>step3_validation[[#This Row],[AI_FAC2]]</f>
        <v>9</v>
      </c>
      <c r="AG19" t="str">
        <f t="shared" si="9"/>
        <v>Support</v>
      </c>
      <c r="AH19">
        <f>survey_responses[[#This Row],[So với trước đây, tôi thấy cách tính thuế và các bậc thuế trong phương án mới đơn giản, dễ hiểu và dễ thực hiện hơn. - HUMAN-FAC2]]</f>
        <v>8</v>
      </c>
      <c r="AI19" t="str">
        <f t="shared" si="10"/>
        <v>Support</v>
      </c>
      <c r="AJ19" s="32">
        <f t="shared" si="11"/>
        <v>1</v>
      </c>
      <c r="AK19">
        <f>step3_validation[[#This Row],[AI_TRU1]]</f>
        <v>8</v>
      </c>
      <c r="AL19" t="str">
        <f t="shared" si="12"/>
        <v>Support</v>
      </c>
      <c r="AM19">
        <f>survey_responses[[#This Row],[Tôi tin rằng Nhà nước, cơ quan thuế sẽ thực thi chính sách mới một cách khách quan, công tâm và đối xử bình đẳng với mọi người nộp thuế.  - HUMAN-TRU1]]</f>
        <v>8</v>
      </c>
      <c r="AN19" t="str">
        <f t="shared" si="13"/>
        <v>Support</v>
      </c>
      <c r="AO19" s="32">
        <f t="shared" si="14"/>
        <v>0</v>
      </c>
      <c r="AP19">
        <f>step3_validation[[#This Row],[AI_TRU2]]</f>
        <v>9</v>
      </c>
      <c r="AQ19" t="str">
        <f t="shared" si="15"/>
        <v>Support</v>
      </c>
      <c r="AR19">
        <f>survey_responses[[#This Row],[Tôi thấy mức thuế tôi phải đóng theo phương án mới là công bằng (người thu nhập như tôi đóng mức này là hợp lý). - HUMAN-TRU2]]</f>
        <v>7</v>
      </c>
      <c r="AS19" t="str">
        <f t="shared" si="16"/>
        <v>Neutral</v>
      </c>
      <c r="AT19" s="32">
        <f t="shared" si="17"/>
        <v>2</v>
      </c>
      <c r="AU19">
        <f>step3_validation[[#This Row],[AI_TRU3]]</f>
        <v>8</v>
      </c>
      <c r="AV19" t="str">
        <f t="shared" si="18"/>
        <v>Support</v>
      </c>
      <c r="AW19">
        <f>survey_responses[[#This Row],[Tôi tin tưởng số tiền thuế tôi đóng sẽ được Nhà nước sử dụng hiệu quả để cải thiện dịch vụ công (y tế, đường xá...). - HUMAN-TRU3]]</f>
        <v>7</v>
      </c>
      <c r="AX19" t="str">
        <f t="shared" si="19"/>
        <v>Neutral</v>
      </c>
      <c r="AY19" s="32">
        <f t="shared" si="20"/>
        <v>1</v>
      </c>
      <c r="AZ19">
        <f>step3_validation[[#This Row],[AI_TRU4]]</f>
        <v>7</v>
      </c>
      <c r="BA19" t="str">
        <f t="shared" si="21"/>
        <v>Neutral</v>
      </c>
      <c r="BB19">
        <f>survey_responses[[#This Row],[Tôi thấy Nhà nước đã giải thích rõ ràng, minh bạch về lý do và mục tiêu của việc sửa đổi thuế lần này. - HUMAN-TRU4]]</f>
        <v>6</v>
      </c>
      <c r="BC19" t="str">
        <f t="shared" si="22"/>
        <v>Neutral</v>
      </c>
      <c r="BD19" s="32">
        <f t="shared" si="23"/>
        <v>1</v>
      </c>
      <c r="BE19">
        <f>step3_validation[[#This Row],[AI_OUT1]]</f>
        <v>9</v>
      </c>
      <c r="BF19" t="str">
        <f t="shared" si="24"/>
        <v>Support</v>
      </c>
      <c r="BG19">
        <f>survey_responses[[#This Row],[Sau khi xem xét các quyền lợi và nghĩa vụ, bạn có ủng hộ và tuân thủ chính sách mới hiện nay? - HUMAN-OUT1]]</f>
        <v>8</v>
      </c>
      <c r="BH19" t="str">
        <f t="shared" si="25"/>
        <v>Support</v>
      </c>
      <c r="BI19" s="32">
        <f t="shared" si="26"/>
        <v>1</v>
      </c>
    </row>
    <row r="20" spans="1:61" x14ac:dyDescent="0.45">
      <c r="A20" s="30">
        <f>step3_validation[[#This Row],[Persona_ID]]</f>
        <v>19</v>
      </c>
      <c r="B20" s="31">
        <f>step3_validation[[#This Row],[Used_Seed]]</f>
        <v>2044</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169.19246089071672</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7</v>
      </c>
      <c r="R20" t="str">
        <f t="shared" si="0"/>
        <v>Neutral</v>
      </c>
      <c r="S20">
        <f>survey_responses[[#This Row],[Tôi tin rằng với các quy định quản lý thuế hiện nay, hành vi gian lận hoặc trốn thuế sẽ dễ dàng bị phát hiện và xử lý nghiêm. - HUMAN-ENF1]]</f>
        <v>10</v>
      </c>
      <c r="T20" t="str">
        <f t="shared" si="1"/>
        <v>Support</v>
      </c>
      <c r="U20" s="32">
        <f t="shared" si="2"/>
        <v>3</v>
      </c>
      <c r="V20">
        <f>step3_validation[[#This Row],[AI_ENF2]]</f>
        <v>9</v>
      </c>
      <c r="W20" t="str">
        <f t="shared" si="3"/>
        <v>Support</v>
      </c>
      <c r="X20">
        <f>survey_responses[[#This Row],[Tôi tin rằng Nhà nước, cơ quan thuế có đủ khả năng và công nghệ để phát hiện, xử lý nghiêm các hành vi trốn thuế. - HUMAN-ENF2]]</f>
        <v>10</v>
      </c>
      <c r="Y20" t="str">
        <f t="shared" si="4"/>
        <v>Support</v>
      </c>
      <c r="Z20" s="32">
        <f t="shared" si="5"/>
        <v>1</v>
      </c>
      <c r="AA20">
        <f>step3_validation[[#This Row],[AI_FAC1]]</f>
        <v>8</v>
      </c>
      <c r="AB20" t="str">
        <f t="shared" si="6"/>
        <v>Support</v>
      </c>
      <c r="AC20">
        <f>survey_responses[[#This Row],[Các thủ tục khai báo thuế VÀ/HOẶC quy trình làm việc với cơ quan thuế đơn giản, tiện lợi, nhanh chóng hơn so với trước đây. - HUMAN-FAC1]]</f>
        <v>5</v>
      </c>
      <c r="AD20" t="str">
        <f t="shared" si="7"/>
        <v>Neutral</v>
      </c>
      <c r="AE20" s="32">
        <f t="shared" si="8"/>
        <v>3</v>
      </c>
      <c r="AF20">
        <f>step3_validation[[#This Row],[AI_FAC2]]</f>
        <v>9</v>
      </c>
      <c r="AG20" t="str">
        <f t="shared" si="9"/>
        <v>Support</v>
      </c>
      <c r="AH20">
        <f>survey_responses[[#This Row],[So với trước đây, tôi thấy cách tính thuế và các bậc thuế trong phương án mới đơn giản, dễ hiểu và dễ thực hiện hơn. - HUMAN-FAC2]]</f>
        <v>5</v>
      </c>
      <c r="AI20" t="str">
        <f t="shared" si="10"/>
        <v>Neutral</v>
      </c>
      <c r="AJ20" s="32">
        <f t="shared" si="11"/>
        <v>4</v>
      </c>
      <c r="AK20">
        <f>step3_validation[[#This Row],[AI_TRU1]]</f>
        <v>8</v>
      </c>
      <c r="AL20" t="str">
        <f t="shared" si="12"/>
        <v>Support</v>
      </c>
      <c r="AM20">
        <f>survey_responses[[#This Row],[Tôi tin rằng Nhà nước, cơ quan thuế sẽ thực thi chính sách mới một cách khách quan, công tâm và đối xử bình đẳng với mọi người nộp thuế.  - HUMAN-TRU1]]</f>
        <v>5</v>
      </c>
      <c r="AN20" t="str">
        <f t="shared" si="13"/>
        <v>Neutral</v>
      </c>
      <c r="AO20" s="32">
        <f t="shared" si="14"/>
        <v>3</v>
      </c>
      <c r="AP20">
        <f>step3_validation[[#This Row],[AI_TRU2]]</f>
        <v>8</v>
      </c>
      <c r="AQ20" t="str">
        <f t="shared" si="15"/>
        <v>Support</v>
      </c>
      <c r="AR20">
        <f>survey_responses[[#This Row],[Tôi thấy mức thuế tôi phải đóng theo phương án mới là công bằng (người thu nhập như tôi đóng mức này là hợp lý). - HUMAN-TRU2]]</f>
        <v>3</v>
      </c>
      <c r="AS20" t="str">
        <f t="shared" si="16"/>
        <v>Oppose</v>
      </c>
      <c r="AT20" s="32">
        <f t="shared" si="17"/>
        <v>5</v>
      </c>
      <c r="AU20">
        <f>step3_validation[[#This Row],[AI_TRU3]]</f>
        <v>8</v>
      </c>
      <c r="AV20" t="str">
        <f t="shared" si="18"/>
        <v>Support</v>
      </c>
      <c r="AW20">
        <f>survey_responses[[#This Row],[Tôi tin tưởng số tiền thuế tôi đóng sẽ được Nhà nước sử dụng hiệu quả để cải thiện dịch vụ công (y tế, đường xá...). - HUMAN-TRU3]]</f>
        <v>2</v>
      </c>
      <c r="AX20" t="str">
        <f t="shared" si="19"/>
        <v>Oppose</v>
      </c>
      <c r="AY20" s="32">
        <f t="shared" si="20"/>
        <v>6</v>
      </c>
      <c r="AZ20">
        <f>step3_validation[[#This Row],[AI_TRU4]]</f>
        <v>9</v>
      </c>
      <c r="BA20" t="str">
        <f t="shared" si="21"/>
        <v>Support</v>
      </c>
      <c r="BB20">
        <f>survey_responses[[#This Row],[Tôi thấy Nhà nước đã giải thích rõ ràng, minh bạch về lý do và mục tiêu của việc sửa đổi thuế lần này. - HUMAN-TRU4]]</f>
        <v>5</v>
      </c>
      <c r="BC20" t="str">
        <f t="shared" si="22"/>
        <v>Neutral</v>
      </c>
      <c r="BD20" s="32">
        <f t="shared" si="23"/>
        <v>4</v>
      </c>
      <c r="BE20">
        <f>step3_validation[[#This Row],[AI_OUT1]]</f>
        <v>8</v>
      </c>
      <c r="BF20" t="str">
        <f t="shared" si="24"/>
        <v>Support</v>
      </c>
      <c r="BG20">
        <f>survey_responses[[#This Row],[Sau khi xem xét các quyền lợi và nghĩa vụ, bạn có ủng hộ và tuân thủ chính sách mới hiện nay? - HUMAN-OUT1]]</f>
        <v>8</v>
      </c>
      <c r="BH20" t="str">
        <f t="shared" si="25"/>
        <v>Support</v>
      </c>
      <c r="BI20" s="32">
        <f t="shared" si="26"/>
        <v>0</v>
      </c>
    </row>
    <row r="21" spans="1:61" x14ac:dyDescent="0.45">
      <c r="A21" s="30">
        <f>step3_validation[[#This Row],[Persona_ID]]</f>
        <v>20</v>
      </c>
      <c r="B21" s="31">
        <f>step3_validation[[#This Row],[Used_Seed]]</f>
        <v>2045</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67.237648934947359</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8</v>
      </c>
      <c r="R21" t="str">
        <f t="shared" si="0"/>
        <v>Support</v>
      </c>
      <c r="S21">
        <f>survey_responses[[#This Row],[Tôi tin rằng với các quy định quản lý thuế hiện nay, hành vi gian lận hoặc trốn thuế sẽ dễ dàng bị phát hiện và xử lý nghiêm. - HUMAN-ENF1]]</f>
        <v>9</v>
      </c>
      <c r="T21" t="str">
        <f t="shared" si="1"/>
        <v>Support</v>
      </c>
      <c r="U21" s="32">
        <f t="shared" si="2"/>
        <v>1</v>
      </c>
      <c r="V21">
        <f>step3_validation[[#This Row],[AI_ENF2]]</f>
        <v>9</v>
      </c>
      <c r="W21" t="str">
        <f t="shared" si="3"/>
        <v>Support</v>
      </c>
      <c r="X21">
        <f>survey_responses[[#This Row],[Tôi tin rằng Nhà nước, cơ quan thuế có đủ khả năng và công nghệ để phát hiện, xử lý nghiêm các hành vi trốn thuế. - HUMAN-ENF2]]</f>
        <v>9</v>
      </c>
      <c r="Y21" t="str">
        <f t="shared" si="4"/>
        <v>Support</v>
      </c>
      <c r="Z21" s="32">
        <f t="shared" si="5"/>
        <v>0</v>
      </c>
      <c r="AA21">
        <f>step3_validation[[#This Row],[AI_FAC1]]</f>
        <v>8</v>
      </c>
      <c r="AB21" t="str">
        <f t="shared" si="6"/>
        <v>Support</v>
      </c>
      <c r="AC21">
        <f>survey_responses[[#This Row],[Các thủ tục khai báo thuế VÀ/HOẶC quy trình làm việc với cơ quan thuế đơn giản, tiện lợi, nhanh chóng hơn so với trước đây. - HUMAN-FAC1]]</f>
        <v>7</v>
      </c>
      <c r="AD21" t="str">
        <f t="shared" si="7"/>
        <v>Neutral</v>
      </c>
      <c r="AE21" s="32">
        <f t="shared" si="8"/>
        <v>1</v>
      </c>
      <c r="AF21">
        <f>step3_validation[[#This Row],[AI_FAC2]]</f>
        <v>9</v>
      </c>
      <c r="AG21" t="str">
        <f t="shared" si="9"/>
        <v>Support</v>
      </c>
      <c r="AH21">
        <f>survey_responses[[#This Row],[So với trước đây, tôi thấy cách tính thuế và các bậc thuế trong phương án mới đơn giản, dễ hiểu và dễ thực hiện hơn. - HUMAN-FAC2]]</f>
        <v>9</v>
      </c>
      <c r="AI21" t="str">
        <f t="shared" si="10"/>
        <v>Support</v>
      </c>
      <c r="AJ21" s="32">
        <f t="shared" si="11"/>
        <v>0</v>
      </c>
      <c r="AK21">
        <f>step3_validation[[#This Row],[AI_TRU1]]</f>
        <v>8</v>
      </c>
      <c r="AL21" t="str">
        <f t="shared" si="12"/>
        <v>Support</v>
      </c>
      <c r="AM21">
        <f>survey_responses[[#This Row],[Tôi tin rằng Nhà nước, cơ quan thuế sẽ thực thi chính sách mới một cách khách quan, công tâm và đối xử bình đẳng với mọi người nộp thuế.  - HUMAN-TRU1]]</f>
        <v>7</v>
      </c>
      <c r="AN21" t="str">
        <f t="shared" si="13"/>
        <v>Neutral</v>
      </c>
      <c r="AO21" s="32">
        <f t="shared" si="14"/>
        <v>1</v>
      </c>
      <c r="AP21">
        <f>step3_validation[[#This Row],[AI_TRU2]]</f>
        <v>9</v>
      </c>
      <c r="AQ21" t="str">
        <f t="shared" si="15"/>
        <v>Support</v>
      </c>
      <c r="AR21">
        <f>survey_responses[[#This Row],[Tôi thấy mức thuế tôi phải đóng theo phương án mới là công bằng (người thu nhập như tôi đóng mức này là hợp lý). - HUMAN-TRU2]]</f>
        <v>8</v>
      </c>
      <c r="AS21" t="str">
        <f t="shared" si="16"/>
        <v>Support</v>
      </c>
      <c r="AT21" s="32">
        <f t="shared" si="17"/>
        <v>1</v>
      </c>
      <c r="AU21">
        <f>step3_validation[[#This Row],[AI_TRU3]]</f>
        <v>8</v>
      </c>
      <c r="AV21" t="str">
        <f t="shared" si="18"/>
        <v>Support</v>
      </c>
      <c r="AW21">
        <f>survey_responses[[#This Row],[Tôi tin tưởng số tiền thuế tôi đóng sẽ được Nhà nước sử dụng hiệu quả để cải thiện dịch vụ công (y tế, đường xá...). - HUMAN-TRU3]]</f>
        <v>5</v>
      </c>
      <c r="AX21" t="str">
        <f t="shared" si="19"/>
        <v>Neutral</v>
      </c>
      <c r="AY21" s="32">
        <f t="shared" si="20"/>
        <v>3</v>
      </c>
      <c r="AZ21">
        <f>step3_validation[[#This Row],[AI_TRU4]]</f>
        <v>9</v>
      </c>
      <c r="BA21" t="str">
        <f t="shared" si="21"/>
        <v>Support</v>
      </c>
      <c r="BB21">
        <f>survey_responses[[#This Row],[Tôi thấy Nhà nước đã giải thích rõ ràng, minh bạch về lý do và mục tiêu của việc sửa đổi thuế lần này. - HUMAN-TRU4]]</f>
        <v>5</v>
      </c>
      <c r="BC21" t="str">
        <f t="shared" si="22"/>
        <v>Neutral</v>
      </c>
      <c r="BD21" s="32">
        <f t="shared" si="23"/>
        <v>4</v>
      </c>
      <c r="BE21">
        <f>step3_validation[[#This Row],[AI_OUT1]]</f>
        <v>8</v>
      </c>
      <c r="BF21" t="str">
        <f t="shared" si="24"/>
        <v>Support</v>
      </c>
      <c r="BG21">
        <f>survey_responses[[#This Row],[Sau khi xem xét các quyền lợi và nghĩa vụ, bạn có ủng hộ và tuân thủ chính sách mới hiện nay? - HUMAN-OUT1]]</f>
        <v>6</v>
      </c>
      <c r="BH21" t="str">
        <f t="shared" si="25"/>
        <v>Neutral</v>
      </c>
      <c r="BI21" s="32">
        <f t="shared" si="26"/>
        <v>2</v>
      </c>
    </row>
    <row r="22" spans="1:61" x14ac:dyDescent="0.45">
      <c r="A22" s="30">
        <f>step3_validation[[#This Row],[Persona_ID]]</f>
        <v>21</v>
      </c>
      <c r="B22" s="31">
        <f>step3_validation[[#This Row],[Used_Seed]]</f>
        <v>2046</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164.59881593036766</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8</v>
      </c>
      <c r="R22" t="str">
        <f t="shared" si="0"/>
        <v>Support</v>
      </c>
      <c r="S22">
        <f>survey_responses[[#This Row],[Tôi tin rằng với các quy định quản lý thuế hiện nay, hành vi gian lận hoặc trốn thuế sẽ dễ dàng bị phát hiện và xử lý nghiêm. - HUMAN-ENF1]]</f>
        <v>10</v>
      </c>
      <c r="T22" t="str">
        <f t="shared" si="1"/>
        <v>Support</v>
      </c>
      <c r="U22" s="32">
        <f t="shared" si="2"/>
        <v>2</v>
      </c>
      <c r="V22">
        <f>step3_validation[[#This Row],[AI_ENF2]]</f>
        <v>9</v>
      </c>
      <c r="W22" t="str">
        <f t="shared" si="3"/>
        <v>Support</v>
      </c>
      <c r="X22">
        <f>survey_responses[[#This Row],[Tôi tin rằng Nhà nước, cơ quan thuế có đủ khả năng và công nghệ để phát hiện, xử lý nghiêm các hành vi trốn thuế. - HUMAN-ENF2]]</f>
        <v>10</v>
      </c>
      <c r="Y22" t="str">
        <f t="shared" si="4"/>
        <v>Support</v>
      </c>
      <c r="Z22" s="32">
        <f t="shared" si="5"/>
        <v>1</v>
      </c>
      <c r="AA22">
        <f>step3_validation[[#This Row],[AI_FAC1]]</f>
        <v>8</v>
      </c>
      <c r="AB22" t="str">
        <f t="shared" si="6"/>
        <v>Support</v>
      </c>
      <c r="AC22">
        <f>survey_responses[[#This Row],[Các thủ tục khai báo thuế VÀ/HOẶC quy trình làm việc với cơ quan thuế đơn giản, tiện lợi, nhanh chóng hơn so với trước đây. - HUMAN-FAC1]]</f>
        <v>8</v>
      </c>
      <c r="AD22" t="str">
        <f t="shared" si="7"/>
        <v>Support</v>
      </c>
      <c r="AE22" s="32">
        <f t="shared" si="8"/>
        <v>0</v>
      </c>
      <c r="AF22">
        <f>step3_validation[[#This Row],[AI_FAC2]]</f>
        <v>9</v>
      </c>
      <c r="AG22" t="str">
        <f t="shared" si="9"/>
        <v>Support</v>
      </c>
      <c r="AH22">
        <f>survey_responses[[#This Row],[So với trước đây, tôi thấy cách tính thuế và các bậc thuế trong phương án mới đơn giản, dễ hiểu và dễ thực hiện hơn. - HUMAN-FAC2]]</f>
        <v>7</v>
      </c>
      <c r="AI22" t="str">
        <f t="shared" si="10"/>
        <v>Neutral</v>
      </c>
      <c r="AJ22" s="32">
        <f t="shared" si="11"/>
        <v>2</v>
      </c>
      <c r="AK22">
        <f>step3_validation[[#This Row],[AI_TRU1]]</f>
        <v>9</v>
      </c>
      <c r="AL22" t="str">
        <f t="shared" si="12"/>
        <v>Support</v>
      </c>
      <c r="AM22">
        <f>survey_responses[[#This Row],[Tôi tin rằng Nhà nước, cơ quan thuế sẽ thực thi chính sách mới một cách khách quan, công tâm và đối xử bình đẳng với mọi người nộp thuế.  - HUMAN-TRU1]]</f>
        <v>7</v>
      </c>
      <c r="AN22" t="str">
        <f t="shared" si="13"/>
        <v>Neutral</v>
      </c>
      <c r="AO22" s="32">
        <f t="shared" si="14"/>
        <v>2</v>
      </c>
      <c r="AP22">
        <f>step3_validation[[#This Row],[AI_TRU2]]</f>
        <v>9</v>
      </c>
      <c r="AQ22" t="str">
        <f t="shared" si="15"/>
        <v>Support</v>
      </c>
      <c r="AR22">
        <f>survey_responses[[#This Row],[Tôi thấy mức thuế tôi phải đóng theo phương án mới là công bằng (người thu nhập như tôi đóng mức này là hợp lý). - HUMAN-TRU2]]</f>
        <v>7</v>
      </c>
      <c r="AS22" t="str">
        <f t="shared" si="16"/>
        <v>Neutral</v>
      </c>
      <c r="AT22" s="32">
        <f t="shared" si="17"/>
        <v>2</v>
      </c>
      <c r="AU22">
        <f>step3_validation[[#This Row],[AI_TRU3]]</f>
        <v>8</v>
      </c>
      <c r="AV22" t="str">
        <f t="shared" si="18"/>
        <v>Support</v>
      </c>
      <c r="AW22">
        <f>survey_responses[[#This Row],[Tôi tin tưởng số tiền thuế tôi đóng sẽ được Nhà nước sử dụng hiệu quả để cải thiện dịch vụ công (y tế, đường xá...). - HUMAN-TRU3]]</f>
        <v>2</v>
      </c>
      <c r="AX22" t="str">
        <f t="shared" si="19"/>
        <v>Oppose</v>
      </c>
      <c r="AY22" s="32">
        <f t="shared" si="20"/>
        <v>6</v>
      </c>
      <c r="AZ22">
        <f>step3_validation[[#This Row],[AI_TRU4]]</f>
        <v>7</v>
      </c>
      <c r="BA22" t="str">
        <f t="shared" si="21"/>
        <v>Neutral</v>
      </c>
      <c r="BB22">
        <f>survey_responses[[#This Row],[Tôi thấy Nhà nước đã giải thích rõ ràng, minh bạch về lý do và mục tiêu của việc sửa đổi thuế lần này. - HUMAN-TRU4]]</f>
        <v>3</v>
      </c>
      <c r="BC22" t="str">
        <f t="shared" si="22"/>
        <v>Oppose</v>
      </c>
      <c r="BD22" s="32">
        <f t="shared" si="23"/>
        <v>4</v>
      </c>
      <c r="BE22">
        <f>step3_validation[[#This Row],[AI_OUT1]]</f>
        <v>9</v>
      </c>
      <c r="BF22" t="str">
        <f t="shared" si="24"/>
        <v>Support</v>
      </c>
      <c r="BG22">
        <f>survey_responses[[#This Row],[Sau khi xem xét các quyền lợi và nghĩa vụ, bạn có ủng hộ và tuân thủ chính sách mới hiện nay? - HUMAN-OUT1]]</f>
        <v>3</v>
      </c>
      <c r="BH22" t="str">
        <f t="shared" si="25"/>
        <v>Oppose</v>
      </c>
      <c r="BI22" s="32">
        <f t="shared" si="26"/>
        <v>6</v>
      </c>
    </row>
    <row r="23" spans="1:61" x14ac:dyDescent="0.45">
      <c r="A23" s="30">
        <f>step3_validation[[#This Row],[Persona_ID]]</f>
        <v>22</v>
      </c>
      <c r="B23" s="31">
        <f>step3_validation[[#This Row],[Used_Seed]]</f>
        <v>2047</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14.434261083054142</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7</v>
      </c>
      <c r="R23" t="str">
        <f t="shared" si="0"/>
        <v>Neutral</v>
      </c>
      <c r="S23">
        <f>survey_responses[[#This Row],[Tôi tin rằng với các quy định quản lý thuế hiện nay, hành vi gian lận hoặc trốn thuế sẽ dễ dàng bị phát hiện và xử lý nghiêm. - HUMAN-ENF1]]</f>
        <v>8</v>
      </c>
      <c r="T23" t="str">
        <f t="shared" si="1"/>
        <v>Support</v>
      </c>
      <c r="U23" s="32">
        <f t="shared" si="2"/>
        <v>1</v>
      </c>
      <c r="V23">
        <f>step3_validation[[#This Row],[AI_ENF2]]</f>
        <v>6</v>
      </c>
      <c r="W23" t="str">
        <f t="shared" si="3"/>
        <v>Neutral</v>
      </c>
      <c r="X23">
        <f>survey_responses[[#This Row],[Tôi tin rằng Nhà nước, cơ quan thuế có đủ khả năng và công nghệ để phát hiện, xử lý nghiêm các hành vi trốn thuế. - HUMAN-ENF2]]</f>
        <v>8</v>
      </c>
      <c r="Y23" t="str">
        <f t="shared" si="4"/>
        <v>Support</v>
      </c>
      <c r="Z23" s="32">
        <f t="shared" si="5"/>
        <v>2</v>
      </c>
      <c r="AA23">
        <f>step3_validation[[#This Row],[AI_FAC1]]</f>
        <v>8</v>
      </c>
      <c r="AB23" t="str">
        <f t="shared" si="6"/>
        <v>Support</v>
      </c>
      <c r="AC23">
        <f>survey_responses[[#This Row],[Các thủ tục khai báo thuế VÀ/HOẶC quy trình làm việc với cơ quan thuế đơn giản, tiện lợi, nhanh chóng hơn so với trước đây. - HUMAN-FAC1]]</f>
        <v>5</v>
      </c>
      <c r="AD23" t="str">
        <f t="shared" si="7"/>
        <v>Neutral</v>
      </c>
      <c r="AE23" s="32">
        <f t="shared" si="8"/>
        <v>3</v>
      </c>
      <c r="AF23">
        <f>step3_validation[[#This Row],[AI_FAC2]]</f>
        <v>9</v>
      </c>
      <c r="AG23" t="str">
        <f t="shared" si="9"/>
        <v>Support</v>
      </c>
      <c r="AH23">
        <f>survey_responses[[#This Row],[So với trước đây, tôi thấy cách tính thuế và các bậc thuế trong phương án mới đơn giản, dễ hiểu và dễ thực hiện hơn. - HUMAN-FAC2]]</f>
        <v>8</v>
      </c>
      <c r="AI23" t="str">
        <f t="shared" si="10"/>
        <v>Support</v>
      </c>
      <c r="AJ23" s="32">
        <f t="shared" si="11"/>
        <v>1</v>
      </c>
      <c r="AK23">
        <f>step3_validation[[#This Row],[AI_TRU1]]</f>
        <v>7</v>
      </c>
      <c r="AL23" t="str">
        <f t="shared" si="12"/>
        <v>Neutral</v>
      </c>
      <c r="AM23">
        <f>survey_responses[[#This Row],[Tôi tin rằng Nhà nước, cơ quan thuế sẽ thực thi chính sách mới một cách khách quan, công tâm và đối xử bình đẳng với mọi người nộp thuế.  - HUMAN-TRU1]]</f>
        <v>8</v>
      </c>
      <c r="AN23" t="str">
        <f t="shared" si="13"/>
        <v>Support</v>
      </c>
      <c r="AO23" s="32">
        <f t="shared" si="14"/>
        <v>1</v>
      </c>
      <c r="AP23">
        <f>step3_validation[[#This Row],[AI_TRU2]]</f>
        <v>9</v>
      </c>
      <c r="AQ23" t="str">
        <f t="shared" si="15"/>
        <v>Support</v>
      </c>
      <c r="AR23">
        <f>survey_responses[[#This Row],[Tôi thấy mức thuế tôi phải đóng theo phương án mới là công bằng (người thu nhập như tôi đóng mức này là hợp lý). - HUMAN-TRU2]]</f>
        <v>8</v>
      </c>
      <c r="AS23" t="str">
        <f t="shared" si="16"/>
        <v>Support</v>
      </c>
      <c r="AT23" s="32">
        <f t="shared" si="17"/>
        <v>1</v>
      </c>
      <c r="AU23">
        <f>step3_validation[[#This Row],[AI_TRU3]]</f>
        <v>7</v>
      </c>
      <c r="AV23" t="str">
        <f t="shared" si="18"/>
        <v>Neutral</v>
      </c>
      <c r="AW23">
        <f>survey_responses[[#This Row],[Tôi tin tưởng số tiền thuế tôi đóng sẽ được Nhà nước sử dụng hiệu quả để cải thiện dịch vụ công (y tế, đường xá...). - HUMAN-TRU3]]</f>
        <v>8</v>
      </c>
      <c r="AX23" t="str">
        <f t="shared" si="19"/>
        <v>Support</v>
      </c>
      <c r="AY23" s="32">
        <f t="shared" si="20"/>
        <v>1</v>
      </c>
      <c r="AZ23">
        <f>step3_validation[[#This Row],[AI_TRU4]]</f>
        <v>6</v>
      </c>
      <c r="BA23" t="str">
        <f t="shared" si="21"/>
        <v>Neutral</v>
      </c>
      <c r="BB23">
        <f>survey_responses[[#This Row],[Tôi thấy Nhà nước đã giải thích rõ ràng, minh bạch về lý do và mục tiêu của việc sửa đổi thuế lần này. - HUMAN-TRU4]]</f>
        <v>8</v>
      </c>
      <c r="BC23" t="str">
        <f t="shared" si="22"/>
        <v>Support</v>
      </c>
      <c r="BD23" s="32">
        <f t="shared" si="23"/>
        <v>2</v>
      </c>
      <c r="BE23">
        <f>step3_validation[[#This Row],[AI_OUT1]]</f>
        <v>9</v>
      </c>
      <c r="BF23" t="str">
        <f t="shared" si="24"/>
        <v>Support</v>
      </c>
      <c r="BG23">
        <f>survey_responses[[#This Row],[Sau khi xem xét các quyền lợi và nghĩa vụ, bạn có ủng hộ và tuân thủ chính sách mới hiện nay? - HUMAN-OUT1]]</f>
        <v>8</v>
      </c>
      <c r="BH23" t="str">
        <f t="shared" si="25"/>
        <v>Support</v>
      </c>
      <c r="BI23" s="32">
        <f t="shared" si="26"/>
        <v>1</v>
      </c>
    </row>
    <row r="24" spans="1:61" x14ac:dyDescent="0.45">
      <c r="A24" s="30">
        <f>step3_validation[[#This Row],[Persona_ID]]</f>
        <v>23</v>
      </c>
      <c r="B24" s="31">
        <f>step3_validation[[#This Row],[Used_Seed]]</f>
        <v>2048</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94.131520402000504</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6</v>
      </c>
      <c r="R24" t="str">
        <f t="shared" si="0"/>
        <v>Neutral</v>
      </c>
      <c r="S24">
        <f>survey_responses[[#This Row],[Tôi tin rằng với các quy định quản lý thuế hiện nay, hành vi gian lận hoặc trốn thuế sẽ dễ dàng bị phát hiện và xử lý nghiêm. - HUMAN-ENF1]]</f>
        <v>5</v>
      </c>
      <c r="T24" t="str">
        <f t="shared" si="1"/>
        <v>Neutral</v>
      </c>
      <c r="U24" s="32">
        <f t="shared" si="2"/>
        <v>1</v>
      </c>
      <c r="V24">
        <f>step3_validation[[#This Row],[AI_ENF2]]</f>
        <v>7</v>
      </c>
      <c r="W24" t="str">
        <f t="shared" si="3"/>
        <v>Neutral</v>
      </c>
      <c r="X24">
        <f>survey_responses[[#This Row],[Tôi tin rằng Nhà nước, cơ quan thuế có đủ khả năng và công nghệ để phát hiện, xử lý nghiêm các hành vi trốn thuế. - HUMAN-ENF2]]</f>
        <v>5</v>
      </c>
      <c r="Y24" t="str">
        <f t="shared" si="4"/>
        <v>Neutral</v>
      </c>
      <c r="Z24" s="32">
        <f t="shared" si="5"/>
        <v>2</v>
      </c>
      <c r="AA24">
        <f>step3_validation[[#This Row],[AI_FAC1]]</f>
        <v>9</v>
      </c>
      <c r="AB24" t="str">
        <f t="shared" si="6"/>
        <v>Support</v>
      </c>
      <c r="AC24">
        <f>survey_responses[[#This Row],[Các thủ tục khai báo thuế VÀ/HOẶC quy trình làm việc với cơ quan thuế đơn giản, tiện lợi, nhanh chóng hơn so với trước đây. - HUMAN-FAC1]]</f>
        <v>5</v>
      </c>
      <c r="AD24" t="str">
        <f t="shared" si="7"/>
        <v>Neutral</v>
      </c>
      <c r="AE24" s="32">
        <f t="shared" si="8"/>
        <v>4</v>
      </c>
      <c r="AF24">
        <f>step3_validation[[#This Row],[AI_FAC2]]</f>
        <v>8</v>
      </c>
      <c r="AG24" t="str">
        <f t="shared" si="9"/>
        <v>Support</v>
      </c>
      <c r="AH24">
        <f>survey_responses[[#This Row],[So với trước đây, tôi thấy cách tính thuế và các bậc thuế trong phương án mới đơn giản, dễ hiểu và dễ thực hiện hơn. - HUMAN-FAC2]]</f>
        <v>5</v>
      </c>
      <c r="AI24" t="str">
        <f t="shared" si="10"/>
        <v>Neutral</v>
      </c>
      <c r="AJ24" s="32">
        <f t="shared" si="11"/>
        <v>3</v>
      </c>
      <c r="AK24">
        <f>step3_validation[[#This Row],[AI_TRU1]]</f>
        <v>7</v>
      </c>
      <c r="AL24" t="str">
        <f t="shared" si="12"/>
        <v>Neutral</v>
      </c>
      <c r="AM24">
        <f>survey_responses[[#This Row],[Tôi tin rằng Nhà nước, cơ quan thuế sẽ thực thi chính sách mới một cách khách quan, công tâm và đối xử bình đẳng với mọi người nộp thuế.  - HUMAN-TRU1]]</f>
        <v>5</v>
      </c>
      <c r="AN24" t="str">
        <f t="shared" si="13"/>
        <v>Neutral</v>
      </c>
      <c r="AO24" s="32">
        <f t="shared" si="14"/>
        <v>2</v>
      </c>
      <c r="AP24">
        <f>step3_validation[[#This Row],[AI_TRU2]]</f>
        <v>9</v>
      </c>
      <c r="AQ24" t="str">
        <f t="shared" si="15"/>
        <v>Support</v>
      </c>
      <c r="AR24">
        <f>survey_responses[[#This Row],[Tôi thấy mức thuế tôi phải đóng theo phương án mới là công bằng (người thu nhập như tôi đóng mức này là hợp lý). - HUMAN-TRU2]]</f>
        <v>5</v>
      </c>
      <c r="AS24" t="str">
        <f t="shared" si="16"/>
        <v>Neutral</v>
      </c>
      <c r="AT24" s="32">
        <f t="shared" si="17"/>
        <v>4</v>
      </c>
      <c r="AU24">
        <f>step3_validation[[#This Row],[AI_TRU3]]</f>
        <v>8</v>
      </c>
      <c r="AV24" t="str">
        <f t="shared" si="18"/>
        <v>Support</v>
      </c>
      <c r="AW24">
        <f>survey_responses[[#This Row],[Tôi tin tưởng số tiền thuế tôi đóng sẽ được Nhà nước sử dụng hiệu quả để cải thiện dịch vụ công (y tế, đường xá...). - HUMAN-TRU3]]</f>
        <v>5</v>
      </c>
      <c r="AX24" t="str">
        <f t="shared" si="19"/>
        <v>Neutral</v>
      </c>
      <c r="AY24" s="32">
        <f t="shared" si="20"/>
        <v>3</v>
      </c>
      <c r="AZ24">
        <f>step3_validation[[#This Row],[AI_TRU4]]</f>
        <v>9</v>
      </c>
      <c r="BA24" t="str">
        <f t="shared" si="21"/>
        <v>Support</v>
      </c>
      <c r="BB24">
        <f>survey_responses[[#This Row],[Tôi thấy Nhà nước đã giải thích rõ ràng, minh bạch về lý do và mục tiêu của việc sửa đổi thuế lần này. - HUMAN-TRU4]]</f>
        <v>5</v>
      </c>
      <c r="BC24" t="str">
        <f t="shared" si="22"/>
        <v>Neutral</v>
      </c>
      <c r="BD24" s="32">
        <f t="shared" si="23"/>
        <v>4</v>
      </c>
      <c r="BE24">
        <f>step3_validation[[#This Row],[AI_OUT1]]</f>
        <v>8</v>
      </c>
      <c r="BF24" t="str">
        <f t="shared" si="24"/>
        <v>Support</v>
      </c>
      <c r="BG24">
        <f>survey_responses[[#This Row],[Sau khi xem xét các quyền lợi và nghĩa vụ, bạn có ủng hộ và tuân thủ chính sách mới hiện nay? - HUMAN-OUT1]]</f>
        <v>5</v>
      </c>
      <c r="BH24" t="str">
        <f t="shared" si="25"/>
        <v>Neutral</v>
      </c>
      <c r="BI24" s="32">
        <f t="shared" si="26"/>
        <v>3</v>
      </c>
    </row>
    <row r="25" spans="1:61" x14ac:dyDescent="0.45">
      <c r="A25" s="30">
        <f>step3_validation[[#This Row],[Persona_ID]]</f>
        <v>24</v>
      </c>
      <c r="B25" s="31">
        <f>step3_validation[[#This Row],[Used_Seed]]</f>
        <v>2049</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25.82109916600459</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7</v>
      </c>
      <c r="R25" t="str">
        <f t="shared" si="0"/>
        <v>Neutral</v>
      </c>
      <c r="S25">
        <f>survey_responses[[#This Row],[Tôi tin rằng với các quy định quản lý thuế hiện nay, hành vi gian lận hoặc trốn thuế sẽ dễ dàng bị phát hiện và xử lý nghiêm. - HUMAN-ENF1]]</f>
        <v>9</v>
      </c>
      <c r="T25" t="str">
        <f t="shared" si="1"/>
        <v>Support</v>
      </c>
      <c r="U25" s="32">
        <f t="shared" si="2"/>
        <v>2</v>
      </c>
      <c r="V25">
        <f>step3_validation[[#This Row],[AI_ENF2]]</f>
        <v>7</v>
      </c>
      <c r="W25" t="str">
        <f t="shared" si="3"/>
        <v>Neutral</v>
      </c>
      <c r="X25">
        <f>survey_responses[[#This Row],[Tôi tin rằng Nhà nước, cơ quan thuế có đủ khả năng và công nghệ để phát hiện, xử lý nghiêm các hành vi trốn thuế. - HUMAN-ENF2]]</f>
        <v>8</v>
      </c>
      <c r="Y25" t="str">
        <f t="shared" si="4"/>
        <v>Support</v>
      </c>
      <c r="Z25" s="32">
        <f t="shared" si="5"/>
        <v>1</v>
      </c>
      <c r="AA25">
        <f>step3_validation[[#This Row],[AI_FAC1]]</f>
        <v>6</v>
      </c>
      <c r="AB25" t="str">
        <f t="shared" si="6"/>
        <v>Neutral</v>
      </c>
      <c r="AC25">
        <f>survey_responses[[#This Row],[Các thủ tục khai báo thuế VÀ/HOẶC quy trình làm việc với cơ quan thuế đơn giản, tiện lợi, nhanh chóng hơn so với trước đây. - HUMAN-FAC1]]</f>
        <v>6</v>
      </c>
      <c r="AD25" t="str">
        <f t="shared" si="7"/>
        <v>Neutral</v>
      </c>
      <c r="AE25" s="32">
        <f t="shared" si="8"/>
        <v>0</v>
      </c>
      <c r="AF25">
        <f>step3_validation[[#This Row],[AI_FAC2]]</f>
        <v>8</v>
      </c>
      <c r="AG25" t="str">
        <f t="shared" si="9"/>
        <v>Support</v>
      </c>
      <c r="AH25">
        <f>survey_responses[[#This Row],[So với trước đây, tôi thấy cách tính thuế và các bậc thuế trong phương án mới đơn giản, dễ hiểu và dễ thực hiện hơn. - HUMAN-FAC2]]</f>
        <v>9</v>
      </c>
      <c r="AI25" t="str">
        <f t="shared" si="10"/>
        <v>Support</v>
      </c>
      <c r="AJ25" s="32">
        <f t="shared" si="11"/>
        <v>1</v>
      </c>
      <c r="AK25">
        <f>step3_validation[[#This Row],[AI_TRU1]]</f>
        <v>9</v>
      </c>
      <c r="AL25" t="str">
        <f t="shared" si="12"/>
        <v>Support</v>
      </c>
      <c r="AM25">
        <f>survey_responses[[#This Row],[Tôi tin rằng Nhà nước, cơ quan thuế sẽ thực thi chính sách mới một cách khách quan, công tâm và đối xử bình đẳng với mọi người nộp thuế.  - HUMAN-TRU1]]</f>
        <v>8</v>
      </c>
      <c r="AN25" t="str">
        <f t="shared" si="13"/>
        <v>Support</v>
      </c>
      <c r="AO25" s="32">
        <f t="shared" si="14"/>
        <v>1</v>
      </c>
      <c r="AP25">
        <f>step3_validation[[#This Row],[AI_TRU2]]</f>
        <v>8</v>
      </c>
      <c r="AQ25" t="str">
        <f t="shared" si="15"/>
        <v>Support</v>
      </c>
      <c r="AR25">
        <f>survey_responses[[#This Row],[Tôi thấy mức thuế tôi phải đóng theo phương án mới là công bằng (người thu nhập như tôi đóng mức này là hợp lý). - HUMAN-TRU2]]</f>
        <v>10</v>
      </c>
      <c r="AS25" t="str">
        <f t="shared" si="16"/>
        <v>Support</v>
      </c>
      <c r="AT25" s="32">
        <f t="shared" si="17"/>
        <v>2</v>
      </c>
      <c r="AU25">
        <f>step3_validation[[#This Row],[AI_TRU3]]</f>
        <v>7</v>
      </c>
      <c r="AV25" t="str">
        <f t="shared" si="18"/>
        <v>Neutral</v>
      </c>
      <c r="AW25">
        <f>survey_responses[[#This Row],[Tôi tin tưởng số tiền thuế tôi đóng sẽ được Nhà nước sử dụng hiệu quả để cải thiện dịch vụ công (y tế, đường xá...). - HUMAN-TRU3]]</f>
        <v>6</v>
      </c>
      <c r="AX25" t="str">
        <f t="shared" si="19"/>
        <v>Neutral</v>
      </c>
      <c r="AY25" s="32">
        <f t="shared" si="20"/>
        <v>1</v>
      </c>
      <c r="AZ25">
        <f>step3_validation[[#This Row],[AI_TRU4]]</f>
        <v>8</v>
      </c>
      <c r="BA25" t="str">
        <f t="shared" si="21"/>
        <v>Support</v>
      </c>
      <c r="BB25">
        <f>survey_responses[[#This Row],[Tôi thấy Nhà nước đã giải thích rõ ràng, minh bạch về lý do và mục tiêu của việc sửa đổi thuế lần này. - HUMAN-TRU4]]</f>
        <v>6</v>
      </c>
      <c r="BC25" t="str">
        <f t="shared" si="22"/>
        <v>Neutral</v>
      </c>
      <c r="BD25" s="32">
        <f t="shared" si="23"/>
        <v>2</v>
      </c>
      <c r="BE25">
        <f>step3_validation[[#This Row],[AI_OUT1]]</f>
        <v>8</v>
      </c>
      <c r="BF25" t="str">
        <f t="shared" si="24"/>
        <v>Support</v>
      </c>
      <c r="BG25">
        <f>survey_responses[[#This Row],[Sau khi xem xét các quyền lợi và nghĩa vụ, bạn có ủng hộ và tuân thủ chính sách mới hiện nay? - HUMAN-OUT1]]</f>
        <v>8</v>
      </c>
      <c r="BH25" t="str">
        <f t="shared" si="25"/>
        <v>Support</v>
      </c>
      <c r="BI25" s="32">
        <f t="shared" si="26"/>
        <v>0</v>
      </c>
    </row>
    <row r="26" spans="1:61" x14ac:dyDescent="0.45">
      <c r="A26" s="30">
        <f>step3_validation[[#This Row],[Persona_ID]]</f>
        <v>25</v>
      </c>
      <c r="B26" s="31">
        <f>step3_validation[[#This Row],[Used_Seed]]</f>
        <v>2050</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44.699871122693587</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7</v>
      </c>
      <c r="R26" t="str">
        <f t="shared" si="0"/>
        <v>Neutral</v>
      </c>
      <c r="S26">
        <f>survey_responses[[#This Row],[Tôi tin rằng với các quy định quản lý thuế hiện nay, hành vi gian lận hoặc trốn thuế sẽ dễ dàng bị phát hiện và xử lý nghiêm. - HUMAN-ENF1]]</f>
        <v>6</v>
      </c>
      <c r="T26" t="str">
        <f t="shared" si="1"/>
        <v>Neutral</v>
      </c>
      <c r="U26" s="32">
        <f t="shared" si="2"/>
        <v>1</v>
      </c>
      <c r="V26">
        <f>step3_validation[[#This Row],[AI_ENF2]]</f>
        <v>8</v>
      </c>
      <c r="W26" t="str">
        <f t="shared" si="3"/>
        <v>Support</v>
      </c>
      <c r="X26">
        <f>survey_responses[[#This Row],[Tôi tin rằng Nhà nước, cơ quan thuế có đủ khả năng và công nghệ để phát hiện, xử lý nghiêm các hành vi trốn thuế. - HUMAN-ENF2]]</f>
        <v>7</v>
      </c>
      <c r="Y26" t="str">
        <f t="shared" si="4"/>
        <v>Neutral</v>
      </c>
      <c r="Z26" s="32">
        <f t="shared" si="5"/>
        <v>1</v>
      </c>
      <c r="AA26">
        <f>step3_validation[[#This Row],[AI_FAC1]]</f>
        <v>9</v>
      </c>
      <c r="AB26" t="str">
        <f t="shared" si="6"/>
        <v>Support</v>
      </c>
      <c r="AC26">
        <f>survey_responses[[#This Row],[Các thủ tục khai báo thuế VÀ/HOẶC quy trình làm việc với cơ quan thuế đơn giản, tiện lợi, nhanh chóng hơn so với trước đây. - HUMAN-FAC1]]</f>
        <v>5</v>
      </c>
      <c r="AD26" t="str">
        <f t="shared" si="7"/>
        <v>Neutral</v>
      </c>
      <c r="AE26" s="32">
        <f t="shared" si="8"/>
        <v>4</v>
      </c>
      <c r="AF26">
        <f>step3_validation[[#This Row],[AI_FAC2]]</f>
        <v>9</v>
      </c>
      <c r="AG26" t="str">
        <f t="shared" si="9"/>
        <v>Support</v>
      </c>
      <c r="AH26">
        <f>survey_responses[[#This Row],[So với trước đây, tôi thấy cách tính thuế và các bậc thuế trong phương án mới đơn giản, dễ hiểu và dễ thực hiện hơn. - HUMAN-FAC2]]</f>
        <v>6</v>
      </c>
      <c r="AI26" t="str">
        <f t="shared" si="10"/>
        <v>Neutral</v>
      </c>
      <c r="AJ26" s="32">
        <f t="shared" si="11"/>
        <v>3</v>
      </c>
      <c r="AK26">
        <f>step3_validation[[#This Row],[AI_TRU1]]</f>
        <v>8</v>
      </c>
      <c r="AL26" t="str">
        <f t="shared" si="12"/>
        <v>Support</v>
      </c>
      <c r="AM26">
        <f>survey_responses[[#This Row],[Tôi tin rằng Nhà nước, cơ quan thuế sẽ thực thi chính sách mới một cách khách quan, công tâm và đối xử bình đẳng với mọi người nộp thuế.  - HUMAN-TRU1]]</f>
        <v>7</v>
      </c>
      <c r="AN26" t="str">
        <f t="shared" si="13"/>
        <v>Neutral</v>
      </c>
      <c r="AO26" s="32">
        <f t="shared" si="14"/>
        <v>1</v>
      </c>
      <c r="AP26">
        <f>step3_validation[[#This Row],[AI_TRU2]]</f>
        <v>9</v>
      </c>
      <c r="AQ26" t="str">
        <f t="shared" si="15"/>
        <v>Support</v>
      </c>
      <c r="AR26">
        <f>survey_responses[[#This Row],[Tôi thấy mức thuế tôi phải đóng theo phương án mới là công bằng (người thu nhập như tôi đóng mức này là hợp lý). - HUMAN-TRU2]]</f>
        <v>7</v>
      </c>
      <c r="AS26" t="str">
        <f t="shared" si="16"/>
        <v>Neutral</v>
      </c>
      <c r="AT26" s="32">
        <f t="shared" si="17"/>
        <v>2</v>
      </c>
      <c r="AU26">
        <f>step3_validation[[#This Row],[AI_TRU3]]</f>
        <v>8</v>
      </c>
      <c r="AV26" t="str">
        <f t="shared" si="18"/>
        <v>Support</v>
      </c>
      <c r="AW26">
        <f>survey_responses[[#This Row],[Tôi tin tưởng số tiền thuế tôi đóng sẽ được Nhà nước sử dụng hiệu quả để cải thiện dịch vụ công (y tế, đường xá...). - HUMAN-TRU3]]</f>
        <v>3</v>
      </c>
      <c r="AX26" t="str">
        <f t="shared" si="19"/>
        <v>Oppose</v>
      </c>
      <c r="AY26" s="32">
        <f t="shared" si="20"/>
        <v>5</v>
      </c>
      <c r="AZ26">
        <f>step3_validation[[#This Row],[AI_TRU4]]</f>
        <v>9</v>
      </c>
      <c r="BA26" t="str">
        <f t="shared" si="21"/>
        <v>Support</v>
      </c>
      <c r="BB26">
        <f>survey_responses[[#This Row],[Tôi thấy Nhà nước đã giải thích rõ ràng, minh bạch về lý do và mục tiêu của việc sửa đổi thuế lần này. - HUMAN-TRU4]]</f>
        <v>3</v>
      </c>
      <c r="BC26" t="str">
        <f t="shared" si="22"/>
        <v>Oppose</v>
      </c>
      <c r="BD26" s="32">
        <f t="shared" si="23"/>
        <v>6</v>
      </c>
      <c r="BE26">
        <f>step3_validation[[#This Row],[AI_OUT1]]</f>
        <v>8</v>
      </c>
      <c r="BF26" t="str">
        <f t="shared" si="24"/>
        <v>Support</v>
      </c>
      <c r="BG26">
        <f>survey_responses[[#This Row],[Sau khi xem xét các quyền lợi và nghĩa vụ, bạn có ủng hộ và tuân thủ chính sách mới hiện nay? - HUMAN-OUT1]]</f>
        <v>5</v>
      </c>
      <c r="BH26" t="str">
        <f t="shared" si="25"/>
        <v>Neutral</v>
      </c>
      <c r="BI26" s="32">
        <f t="shared" si="26"/>
        <v>3</v>
      </c>
    </row>
    <row r="27" spans="1:61" x14ac:dyDescent="0.45">
      <c r="A27" s="30">
        <f>step3_validation[[#This Row],[Persona_ID]]</f>
        <v>26</v>
      </c>
      <c r="B27" s="31">
        <f>step3_validation[[#This Row],[Used_Seed]]</f>
        <v>2051</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6</v>
      </c>
      <c r="R27" t="str">
        <f t="shared" si="0"/>
        <v>Neutral</v>
      </c>
      <c r="S27">
        <f>survey_responses[[#This Row],[Tôi tin rằng với các quy định quản lý thuế hiện nay, hành vi gian lận hoặc trốn thuế sẽ dễ dàng bị phát hiện và xử lý nghiêm. - HUMAN-ENF1]]</f>
        <v>10</v>
      </c>
      <c r="T27" t="str">
        <f t="shared" si="1"/>
        <v>Support</v>
      </c>
      <c r="U27" s="32">
        <f t="shared" si="2"/>
        <v>4</v>
      </c>
      <c r="V27">
        <f>step3_validation[[#This Row],[AI_ENF2]]</f>
        <v>7</v>
      </c>
      <c r="W27" t="str">
        <f t="shared" si="3"/>
        <v>Neutral</v>
      </c>
      <c r="X27">
        <f>survey_responses[[#This Row],[Tôi tin rằng Nhà nước, cơ quan thuế có đủ khả năng và công nghệ để phát hiện, xử lý nghiêm các hành vi trốn thuế. - HUMAN-ENF2]]</f>
        <v>10</v>
      </c>
      <c r="Y27" t="str">
        <f t="shared" si="4"/>
        <v>Support</v>
      </c>
      <c r="Z27" s="32">
        <f t="shared" si="5"/>
        <v>3</v>
      </c>
      <c r="AA27">
        <f>step3_validation[[#This Row],[AI_FAC1]]</f>
        <v>8</v>
      </c>
      <c r="AB27" t="str">
        <f t="shared" si="6"/>
        <v>Support</v>
      </c>
      <c r="AC27">
        <f>survey_responses[[#This Row],[Các thủ tục khai báo thuế VÀ/HOẶC quy trình làm việc với cơ quan thuế đơn giản, tiện lợi, nhanh chóng hơn so với trước đây. - HUMAN-FAC1]]</f>
        <v>10</v>
      </c>
      <c r="AD27" t="str">
        <f t="shared" si="7"/>
        <v>Support</v>
      </c>
      <c r="AE27" s="32">
        <f t="shared" si="8"/>
        <v>2</v>
      </c>
      <c r="AF27">
        <f>step3_validation[[#This Row],[AI_FAC2]]</f>
        <v>9</v>
      </c>
      <c r="AG27" t="str">
        <f t="shared" si="9"/>
        <v>Support</v>
      </c>
      <c r="AH27">
        <f>survey_responses[[#This Row],[So với trước đây, tôi thấy cách tính thuế và các bậc thuế trong phương án mới đơn giản, dễ hiểu và dễ thực hiện hơn. - HUMAN-FAC2]]</f>
        <v>6</v>
      </c>
      <c r="AI27" t="str">
        <f t="shared" si="10"/>
        <v>Neutral</v>
      </c>
      <c r="AJ27" s="32">
        <f t="shared" si="11"/>
        <v>3</v>
      </c>
      <c r="AK27">
        <f>step3_validation[[#This Row],[AI_TRU1]]</f>
        <v>8</v>
      </c>
      <c r="AL27" t="str">
        <f t="shared" si="12"/>
        <v>Support</v>
      </c>
      <c r="AM27">
        <f>survey_responses[[#This Row],[Tôi tin rằng Nhà nước, cơ quan thuế sẽ thực thi chính sách mới một cách khách quan, công tâm và đối xử bình đẳng với mọi người nộp thuế.  - HUMAN-TRU1]]</f>
        <v>6</v>
      </c>
      <c r="AN27" t="str">
        <f t="shared" si="13"/>
        <v>Neutral</v>
      </c>
      <c r="AO27" s="32">
        <f t="shared" si="14"/>
        <v>2</v>
      </c>
      <c r="AP27">
        <f>step3_validation[[#This Row],[AI_TRU2]]</f>
        <v>9</v>
      </c>
      <c r="AQ27" t="str">
        <f t="shared" si="15"/>
        <v>Support</v>
      </c>
      <c r="AR27">
        <f>survey_responses[[#This Row],[Tôi thấy mức thuế tôi phải đóng theo phương án mới là công bằng (người thu nhập như tôi đóng mức này là hợp lý). - HUMAN-TRU2]]</f>
        <v>10</v>
      </c>
      <c r="AS27" t="str">
        <f t="shared" si="16"/>
        <v>Support</v>
      </c>
      <c r="AT27" s="32">
        <f t="shared" si="17"/>
        <v>1</v>
      </c>
      <c r="AU27">
        <f>step3_validation[[#This Row],[AI_TRU3]]</f>
        <v>8</v>
      </c>
      <c r="AV27" t="str">
        <f t="shared" si="18"/>
        <v>Support</v>
      </c>
      <c r="AW27">
        <f>survey_responses[[#This Row],[Tôi tin tưởng số tiền thuế tôi đóng sẽ được Nhà nước sử dụng hiệu quả để cải thiện dịch vụ công (y tế, đường xá...). - HUMAN-TRU3]]</f>
        <v>1</v>
      </c>
      <c r="AX27" t="str">
        <f t="shared" si="19"/>
        <v>Oppose</v>
      </c>
      <c r="AY27" s="32">
        <f t="shared" si="20"/>
        <v>7</v>
      </c>
      <c r="AZ27">
        <f>step3_validation[[#This Row],[AI_TRU4]]</f>
        <v>9</v>
      </c>
      <c r="BA27" t="str">
        <f t="shared" si="21"/>
        <v>Support</v>
      </c>
      <c r="BB27">
        <f>survey_responses[[#This Row],[Tôi thấy Nhà nước đã giải thích rõ ràng, minh bạch về lý do và mục tiêu của việc sửa đổi thuế lần này. - HUMAN-TRU4]]</f>
        <v>4</v>
      </c>
      <c r="BC27" t="str">
        <f t="shared" si="22"/>
        <v>Oppose</v>
      </c>
      <c r="BD27" s="32">
        <f t="shared" si="23"/>
        <v>5</v>
      </c>
      <c r="BE27">
        <f>step3_validation[[#This Row],[AI_OUT1]]</f>
        <v>8</v>
      </c>
      <c r="BF27" t="str">
        <f t="shared" si="24"/>
        <v>Support</v>
      </c>
      <c r="BG27">
        <f>survey_responses[[#This Row],[Sau khi xem xét các quyền lợi và nghĩa vụ, bạn có ủng hộ và tuân thủ chính sách mới hiện nay? - HUMAN-OUT1]]</f>
        <v>10</v>
      </c>
      <c r="BH27" t="str">
        <f t="shared" si="25"/>
        <v>Support</v>
      </c>
      <c r="BI27" s="32">
        <f t="shared" si="26"/>
        <v>2</v>
      </c>
    </row>
    <row r="28" spans="1:61" x14ac:dyDescent="0.45">
      <c r="A28" s="30">
        <f>step3_validation[[#This Row],[Persona_ID]]</f>
        <v>27</v>
      </c>
      <c r="B28" s="31">
        <f>step3_validation[[#This Row],[Used_Seed]]</f>
        <v>2052</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7</v>
      </c>
      <c r="R28" t="str">
        <f t="shared" si="0"/>
        <v>Neutral</v>
      </c>
      <c r="S28">
        <f>survey_responses[[#This Row],[Tôi tin rằng với các quy định quản lý thuế hiện nay, hành vi gian lận hoặc trốn thuế sẽ dễ dàng bị phát hiện và xử lý nghiêm. - HUMAN-ENF1]]</f>
        <v>1</v>
      </c>
      <c r="T28" t="str">
        <f t="shared" si="1"/>
        <v>Oppose</v>
      </c>
      <c r="U28" s="32">
        <f t="shared" si="2"/>
        <v>6</v>
      </c>
      <c r="V28">
        <f>step3_validation[[#This Row],[AI_ENF2]]</f>
        <v>8</v>
      </c>
      <c r="W28" t="str">
        <f t="shared" si="3"/>
        <v>Support</v>
      </c>
      <c r="X28">
        <f>survey_responses[[#This Row],[Tôi tin rằng Nhà nước, cơ quan thuế có đủ khả năng và công nghệ để phát hiện, xử lý nghiêm các hành vi trốn thuế. - HUMAN-ENF2]]</f>
        <v>1</v>
      </c>
      <c r="Y28" t="str">
        <f t="shared" si="4"/>
        <v>Oppose</v>
      </c>
      <c r="Z28" s="32">
        <f t="shared" si="5"/>
        <v>7</v>
      </c>
      <c r="AA28">
        <f>step3_validation[[#This Row],[AI_FAC1]]</f>
        <v>7</v>
      </c>
      <c r="AB28" t="str">
        <f t="shared" si="6"/>
        <v>Neutral</v>
      </c>
      <c r="AC28">
        <f>survey_responses[[#This Row],[Các thủ tục khai báo thuế VÀ/HOẶC quy trình làm việc với cơ quan thuế đơn giản, tiện lợi, nhanh chóng hơn so với trước đây. - HUMAN-FAC1]]</f>
        <v>1</v>
      </c>
      <c r="AD28" t="str">
        <f t="shared" si="7"/>
        <v>Oppose</v>
      </c>
      <c r="AE28" s="32">
        <f t="shared" si="8"/>
        <v>6</v>
      </c>
      <c r="AF28">
        <f>step3_validation[[#This Row],[AI_FAC2]]</f>
        <v>9</v>
      </c>
      <c r="AG28" t="str">
        <f t="shared" si="9"/>
        <v>Support</v>
      </c>
      <c r="AH28">
        <f>survey_responses[[#This Row],[So với trước đây, tôi thấy cách tính thuế và các bậc thuế trong phương án mới đơn giản, dễ hiểu và dễ thực hiện hơn. - HUMAN-FAC2]]</f>
        <v>1</v>
      </c>
      <c r="AI28" t="str">
        <f t="shared" si="10"/>
        <v>Oppose</v>
      </c>
      <c r="AJ28" s="32">
        <f t="shared" si="11"/>
        <v>8</v>
      </c>
      <c r="AK28">
        <f>step3_validation[[#This Row],[AI_TRU1]]</f>
        <v>0</v>
      </c>
      <c r="AL28" t="str">
        <f t="shared" si="12"/>
        <v/>
      </c>
      <c r="AM28">
        <f>survey_responses[[#This Row],[Tôi tin rằng Nhà nước, cơ quan thuế sẽ thực thi chính sách mới một cách khách quan, công tâm và đối xử bình đẳng với mọi người nộp thuế.  - HUMAN-TRU1]]</f>
        <v>1</v>
      </c>
      <c r="AN28" t="str">
        <f t="shared" si="13"/>
        <v>Oppose</v>
      </c>
      <c r="AO28" s="32">
        <f t="shared" si="14"/>
        <v>1</v>
      </c>
      <c r="AP28">
        <f>step3_validation[[#This Row],[AI_TRU2]]</f>
        <v>0</v>
      </c>
      <c r="AQ28" t="str">
        <f t="shared" si="15"/>
        <v/>
      </c>
      <c r="AR28">
        <f>survey_responses[[#This Row],[Tôi thấy mức thuế tôi phải đóng theo phương án mới là công bằng (người thu nhập như tôi đóng mức này là hợp lý). - HUMAN-TRU2]]</f>
        <v>1</v>
      </c>
      <c r="AS28" t="str">
        <f t="shared" si="16"/>
        <v>Oppose</v>
      </c>
      <c r="AT28" s="32">
        <f t="shared" si="17"/>
        <v>1</v>
      </c>
      <c r="AU28">
        <f>step3_validation[[#This Row],[AI_TRU3]]</f>
        <v>0</v>
      </c>
      <c r="AV28" t="str">
        <f t="shared" si="18"/>
        <v/>
      </c>
      <c r="AW28">
        <f>survey_responses[[#This Row],[Tôi tin tưởng số tiền thuế tôi đóng sẽ được Nhà nước sử dụng hiệu quả để cải thiện dịch vụ công (y tế, đường xá...). - HUMAN-TRU3]]</f>
        <v>1</v>
      </c>
      <c r="AX28" t="str">
        <f t="shared" si="19"/>
        <v>Oppose</v>
      </c>
      <c r="AY28" s="32">
        <f t="shared" si="20"/>
        <v>1</v>
      </c>
      <c r="AZ28">
        <f>step3_validation[[#This Row],[AI_TRU4]]</f>
        <v>0</v>
      </c>
      <c r="BA28" t="str">
        <f t="shared" si="21"/>
        <v/>
      </c>
      <c r="BB28">
        <f>survey_responses[[#This Row],[Tôi thấy Nhà nước đã giải thích rõ ràng, minh bạch về lý do và mục tiêu của việc sửa đổi thuế lần này. - HUMAN-TRU4]]</f>
        <v>1</v>
      </c>
      <c r="BC28" t="str">
        <f t="shared" si="22"/>
        <v>Oppose</v>
      </c>
      <c r="BD28" s="32">
        <f t="shared" si="23"/>
        <v>1</v>
      </c>
      <c r="BE28">
        <f>step3_validation[[#This Row],[AI_OUT1]]</f>
        <v>0</v>
      </c>
      <c r="BF28" t="str">
        <f t="shared" si="24"/>
        <v/>
      </c>
      <c r="BG28">
        <f>survey_responses[[#This Row],[Sau khi xem xét các quyền lợi và nghĩa vụ, bạn có ủng hộ và tuân thủ chính sách mới hiện nay? - HUMAN-OUT1]]</f>
        <v>1</v>
      </c>
      <c r="BH28" t="str">
        <f t="shared" si="25"/>
        <v>Oppose</v>
      </c>
      <c r="BI28" s="32">
        <f t="shared" si="26"/>
        <v>1</v>
      </c>
    </row>
    <row r="29" spans="1:61" x14ac:dyDescent="0.45">
      <c r="A29" s="30">
        <f>step3_validation[[#This Row],[Persona_ID]]</f>
        <v>28</v>
      </c>
      <c r="B29" s="31">
        <f>step3_validation[[#This Row],[Used_Seed]]</f>
        <v>2053</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15.826589278218485</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7</v>
      </c>
      <c r="R29" t="str">
        <f t="shared" si="0"/>
        <v>Neutral</v>
      </c>
      <c r="S29">
        <f>survey_responses[[#This Row],[Tôi tin rằng với các quy định quản lý thuế hiện nay, hành vi gian lận hoặc trốn thuế sẽ dễ dàng bị phát hiện và xử lý nghiêm. - HUMAN-ENF1]]</f>
        <v>1</v>
      </c>
      <c r="T29" t="str">
        <f t="shared" si="1"/>
        <v>Oppose</v>
      </c>
      <c r="U29" s="32">
        <f t="shared" si="2"/>
        <v>6</v>
      </c>
      <c r="V29">
        <f>step3_validation[[#This Row],[AI_ENF2]]</f>
        <v>8</v>
      </c>
      <c r="W29" t="str">
        <f t="shared" si="3"/>
        <v>Support</v>
      </c>
      <c r="X29">
        <f>survey_responses[[#This Row],[Tôi tin rằng Nhà nước, cơ quan thuế có đủ khả năng và công nghệ để phát hiện, xử lý nghiêm các hành vi trốn thuế. - HUMAN-ENF2]]</f>
        <v>1</v>
      </c>
      <c r="Y29" t="str">
        <f t="shared" si="4"/>
        <v>Oppose</v>
      </c>
      <c r="Z29" s="32">
        <f t="shared" si="5"/>
        <v>7</v>
      </c>
      <c r="AA29">
        <f>step3_validation[[#This Row],[AI_FAC1]]</f>
        <v>6</v>
      </c>
      <c r="AB29" t="str">
        <f t="shared" si="6"/>
        <v>Neutral</v>
      </c>
      <c r="AC29">
        <f>survey_responses[[#This Row],[Các thủ tục khai báo thuế VÀ/HOẶC quy trình làm việc với cơ quan thuế đơn giản, tiện lợi, nhanh chóng hơn so với trước đây. - HUMAN-FAC1]]</f>
        <v>1</v>
      </c>
      <c r="AD29" t="str">
        <f t="shared" si="7"/>
        <v>Oppose</v>
      </c>
      <c r="AE29" s="32">
        <f t="shared" si="8"/>
        <v>5</v>
      </c>
      <c r="AF29">
        <f>step3_validation[[#This Row],[AI_FAC2]]</f>
        <v>8</v>
      </c>
      <c r="AG29" t="str">
        <f t="shared" si="9"/>
        <v>Support</v>
      </c>
      <c r="AH29">
        <f>survey_responses[[#This Row],[So với trước đây, tôi thấy cách tính thuế và các bậc thuế trong phương án mới đơn giản, dễ hiểu và dễ thực hiện hơn. - HUMAN-FAC2]]</f>
        <v>1</v>
      </c>
      <c r="AI29" t="str">
        <f t="shared" si="10"/>
        <v>Oppose</v>
      </c>
      <c r="AJ29" s="32">
        <f t="shared" si="11"/>
        <v>7</v>
      </c>
      <c r="AK29">
        <f>step3_validation[[#This Row],[AI_TRU1]]</f>
        <v>7</v>
      </c>
      <c r="AL29" t="str">
        <f t="shared" si="12"/>
        <v>Neutral</v>
      </c>
      <c r="AM29">
        <f>survey_responses[[#This Row],[Tôi tin rằng Nhà nước, cơ quan thuế sẽ thực thi chính sách mới một cách khách quan, công tâm và đối xử bình đẳng với mọi người nộp thuế.  - HUMAN-TRU1]]</f>
        <v>1</v>
      </c>
      <c r="AN29" t="str">
        <f t="shared" si="13"/>
        <v>Oppose</v>
      </c>
      <c r="AO29" s="32">
        <f t="shared" si="14"/>
        <v>6</v>
      </c>
      <c r="AP29">
        <f>step3_validation[[#This Row],[AI_TRU2]]</f>
        <v>9</v>
      </c>
      <c r="AQ29" t="str">
        <f t="shared" si="15"/>
        <v>Support</v>
      </c>
      <c r="AR29">
        <f>survey_responses[[#This Row],[Tôi thấy mức thuế tôi phải đóng theo phương án mới là công bằng (người thu nhập như tôi đóng mức này là hợp lý). - HUMAN-TRU2]]</f>
        <v>1</v>
      </c>
      <c r="AS29" t="str">
        <f t="shared" si="16"/>
        <v>Oppose</v>
      </c>
      <c r="AT29" s="32">
        <f t="shared" si="17"/>
        <v>8</v>
      </c>
      <c r="AU29">
        <f>step3_validation[[#This Row],[AI_TRU3]]</f>
        <v>6</v>
      </c>
      <c r="AV29" t="str">
        <f t="shared" si="18"/>
        <v>Neutral</v>
      </c>
      <c r="AW29">
        <f>survey_responses[[#This Row],[Tôi tin tưởng số tiền thuế tôi đóng sẽ được Nhà nước sử dụng hiệu quả để cải thiện dịch vụ công (y tế, đường xá...). - HUMAN-TRU3]]</f>
        <v>1</v>
      </c>
      <c r="AX29" t="str">
        <f t="shared" si="19"/>
        <v>Oppose</v>
      </c>
      <c r="AY29" s="32">
        <f t="shared" si="20"/>
        <v>5</v>
      </c>
      <c r="AZ29">
        <f>step3_validation[[#This Row],[AI_TRU4]]</f>
        <v>7</v>
      </c>
      <c r="BA29" t="str">
        <f t="shared" si="21"/>
        <v>Neutral</v>
      </c>
      <c r="BB29">
        <f>survey_responses[[#This Row],[Tôi thấy Nhà nước đã giải thích rõ ràng, minh bạch về lý do và mục tiêu của việc sửa đổi thuế lần này. - HUMAN-TRU4]]</f>
        <v>1</v>
      </c>
      <c r="BC29" t="str">
        <f t="shared" si="22"/>
        <v>Oppose</v>
      </c>
      <c r="BD29" s="32">
        <f t="shared" si="23"/>
        <v>6</v>
      </c>
      <c r="BE29">
        <f>step3_validation[[#This Row],[AI_OUT1]]</f>
        <v>8</v>
      </c>
      <c r="BF29" t="str">
        <f t="shared" si="24"/>
        <v>Support</v>
      </c>
      <c r="BG29">
        <f>survey_responses[[#This Row],[Sau khi xem xét các quyền lợi và nghĩa vụ, bạn có ủng hộ và tuân thủ chính sách mới hiện nay? - HUMAN-OUT1]]</f>
        <v>1</v>
      </c>
      <c r="BH29" t="str">
        <f t="shared" si="25"/>
        <v>Oppose</v>
      </c>
      <c r="BI29" s="32">
        <f t="shared" si="26"/>
        <v>7</v>
      </c>
    </row>
    <row r="30" spans="1:61" x14ac:dyDescent="0.45">
      <c r="A30" s="30">
        <f>step3_validation[[#This Row],[Persona_ID]]</f>
        <v>29</v>
      </c>
      <c r="B30" s="31">
        <f>step3_validation[[#This Row],[Used_Seed]]</f>
        <v>2054</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14.516807367423905</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8</v>
      </c>
      <c r="R30" t="str">
        <f t="shared" si="0"/>
        <v>Support</v>
      </c>
      <c r="S30">
        <f>survey_responses[[#This Row],[Tôi tin rằng với các quy định quản lý thuế hiện nay, hành vi gian lận hoặc trốn thuế sẽ dễ dàng bị phát hiện và xử lý nghiêm. - HUMAN-ENF1]]</f>
        <v>10</v>
      </c>
      <c r="T30" t="str">
        <f t="shared" si="1"/>
        <v>Support</v>
      </c>
      <c r="U30" s="32">
        <f t="shared" si="2"/>
        <v>2</v>
      </c>
      <c r="V30">
        <f>step3_validation[[#This Row],[AI_ENF2]]</f>
        <v>9</v>
      </c>
      <c r="W30" t="str">
        <f t="shared" si="3"/>
        <v>Support</v>
      </c>
      <c r="X30">
        <f>survey_responses[[#This Row],[Tôi tin rằng Nhà nước, cơ quan thuế có đủ khả năng và công nghệ để phát hiện, xử lý nghiêm các hành vi trốn thuế. - HUMAN-ENF2]]</f>
        <v>10</v>
      </c>
      <c r="Y30" t="str">
        <f t="shared" si="4"/>
        <v>Support</v>
      </c>
      <c r="Z30" s="32">
        <f t="shared" si="5"/>
        <v>1</v>
      </c>
      <c r="AA30">
        <f>step3_validation[[#This Row],[AI_FAC1]]</f>
        <v>8</v>
      </c>
      <c r="AB30" t="str">
        <f t="shared" si="6"/>
        <v>Support</v>
      </c>
      <c r="AC30">
        <f>survey_responses[[#This Row],[Các thủ tục khai báo thuế VÀ/HOẶC quy trình làm việc với cơ quan thuế đơn giản, tiện lợi, nhanh chóng hơn so với trước đây. - HUMAN-FAC1]]</f>
        <v>9</v>
      </c>
      <c r="AD30" t="str">
        <f t="shared" si="7"/>
        <v>Support</v>
      </c>
      <c r="AE30" s="32">
        <f t="shared" si="8"/>
        <v>1</v>
      </c>
      <c r="AF30">
        <f>step3_validation[[#This Row],[AI_FAC2]]</f>
        <v>9</v>
      </c>
      <c r="AG30" t="str">
        <f t="shared" si="9"/>
        <v>Support</v>
      </c>
      <c r="AH30">
        <f>survey_responses[[#This Row],[So với trước đây, tôi thấy cách tính thuế và các bậc thuế trong phương án mới đơn giản, dễ hiểu và dễ thực hiện hơn. - HUMAN-FAC2]]</f>
        <v>10</v>
      </c>
      <c r="AI30" t="str">
        <f t="shared" si="10"/>
        <v>Support</v>
      </c>
      <c r="AJ30" s="32">
        <f t="shared" si="11"/>
        <v>1</v>
      </c>
      <c r="AK30">
        <f>step3_validation[[#This Row],[AI_TRU1]]</f>
        <v>8</v>
      </c>
      <c r="AL30" t="str">
        <f t="shared" si="12"/>
        <v>Support</v>
      </c>
      <c r="AM30">
        <f>survey_responses[[#This Row],[Tôi tin rằng Nhà nước, cơ quan thuế sẽ thực thi chính sách mới một cách khách quan, công tâm và đối xử bình đẳng với mọi người nộp thuế.  - HUMAN-TRU1]]</f>
        <v>10</v>
      </c>
      <c r="AN30" t="str">
        <f t="shared" si="13"/>
        <v>Support</v>
      </c>
      <c r="AO30" s="32">
        <f t="shared" si="14"/>
        <v>2</v>
      </c>
      <c r="AP30">
        <f>step3_validation[[#This Row],[AI_TRU2]]</f>
        <v>9</v>
      </c>
      <c r="AQ30" t="str">
        <f t="shared" si="15"/>
        <v>Support</v>
      </c>
      <c r="AR30">
        <f>survey_responses[[#This Row],[Tôi thấy mức thuế tôi phải đóng theo phương án mới là công bằng (người thu nhập như tôi đóng mức này là hợp lý). - HUMAN-TRU2]]</f>
        <v>9</v>
      </c>
      <c r="AS30" t="str">
        <f t="shared" si="16"/>
        <v>Support</v>
      </c>
      <c r="AT30" s="32">
        <f t="shared" si="17"/>
        <v>0</v>
      </c>
      <c r="AU30">
        <f>step3_validation[[#This Row],[AI_TRU3]]</f>
        <v>8</v>
      </c>
      <c r="AV30" t="str">
        <f t="shared" si="18"/>
        <v>Support</v>
      </c>
      <c r="AW30">
        <f>survey_responses[[#This Row],[Tôi tin tưởng số tiền thuế tôi đóng sẽ được Nhà nước sử dụng hiệu quả để cải thiện dịch vụ công (y tế, đường xá...). - HUMAN-TRU3]]</f>
        <v>10</v>
      </c>
      <c r="AX30" t="str">
        <f t="shared" si="19"/>
        <v>Support</v>
      </c>
      <c r="AY30" s="32">
        <f t="shared" si="20"/>
        <v>2</v>
      </c>
      <c r="AZ30">
        <f>step3_validation[[#This Row],[AI_TRU4]]</f>
        <v>9</v>
      </c>
      <c r="BA30" t="str">
        <f t="shared" si="21"/>
        <v>Support</v>
      </c>
      <c r="BB30">
        <f>survey_responses[[#This Row],[Tôi thấy Nhà nước đã giải thích rõ ràng, minh bạch về lý do và mục tiêu của việc sửa đổi thuế lần này. - HUMAN-TRU4]]</f>
        <v>10</v>
      </c>
      <c r="BC30" t="str">
        <f t="shared" si="22"/>
        <v>Support</v>
      </c>
      <c r="BD30" s="32">
        <f t="shared" si="23"/>
        <v>1</v>
      </c>
      <c r="BE30">
        <f>step3_validation[[#This Row],[AI_OUT1]]</f>
        <v>9</v>
      </c>
      <c r="BF30" t="str">
        <f t="shared" si="24"/>
        <v>Support</v>
      </c>
      <c r="BG30">
        <f>survey_responses[[#This Row],[Sau khi xem xét các quyền lợi và nghĩa vụ, bạn có ủng hộ và tuân thủ chính sách mới hiện nay? - HUMAN-OUT1]]</f>
        <v>10</v>
      </c>
      <c r="BH30" t="str">
        <f t="shared" si="25"/>
        <v>Support</v>
      </c>
      <c r="BI30" s="32">
        <f t="shared" si="26"/>
        <v>1</v>
      </c>
    </row>
    <row r="31" spans="1:61" x14ac:dyDescent="0.45">
      <c r="A31" s="30">
        <f>step3_validation[[#This Row],[Persona_ID]]</f>
        <v>30</v>
      </c>
      <c r="B31" s="31">
        <f>step3_validation[[#This Row],[Used_Seed]]</f>
        <v>2055</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15.744568233524205</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8</v>
      </c>
      <c r="R31" t="str">
        <f t="shared" si="0"/>
        <v>Support</v>
      </c>
      <c r="S31">
        <f>survey_responses[[#This Row],[Tôi tin rằng với các quy định quản lý thuế hiện nay, hành vi gian lận hoặc trốn thuế sẽ dễ dàng bị phát hiện và xử lý nghiêm. - HUMAN-ENF1]]</f>
        <v>10</v>
      </c>
      <c r="T31" t="str">
        <f t="shared" si="1"/>
        <v>Support</v>
      </c>
      <c r="U31" s="32">
        <f t="shared" si="2"/>
        <v>2</v>
      </c>
      <c r="V31">
        <f>step3_validation[[#This Row],[AI_ENF2]]</f>
        <v>9</v>
      </c>
      <c r="W31" t="str">
        <f t="shared" si="3"/>
        <v>Support</v>
      </c>
      <c r="X31">
        <f>survey_responses[[#This Row],[Tôi tin rằng Nhà nước, cơ quan thuế có đủ khả năng và công nghệ để phát hiện, xử lý nghiêm các hành vi trốn thuế. - HUMAN-ENF2]]</f>
        <v>10</v>
      </c>
      <c r="Y31" t="str">
        <f t="shared" si="4"/>
        <v>Support</v>
      </c>
      <c r="Z31" s="32">
        <f t="shared" si="5"/>
        <v>1</v>
      </c>
      <c r="AA31">
        <f>step3_validation[[#This Row],[AI_FAC1]]</f>
        <v>8</v>
      </c>
      <c r="AB31" t="str">
        <f t="shared" si="6"/>
        <v>Support</v>
      </c>
      <c r="AC31">
        <f>survey_responses[[#This Row],[Các thủ tục khai báo thuế VÀ/HOẶC quy trình làm việc với cơ quan thuế đơn giản, tiện lợi, nhanh chóng hơn so với trước đây. - HUMAN-FAC1]]</f>
        <v>9</v>
      </c>
      <c r="AD31" t="str">
        <f t="shared" si="7"/>
        <v>Support</v>
      </c>
      <c r="AE31" s="32">
        <f t="shared" si="8"/>
        <v>1</v>
      </c>
      <c r="AF31">
        <f>step3_validation[[#This Row],[AI_FAC2]]</f>
        <v>9</v>
      </c>
      <c r="AG31" t="str">
        <f t="shared" si="9"/>
        <v>Support</v>
      </c>
      <c r="AH31">
        <f>survey_responses[[#This Row],[So với trước đây, tôi thấy cách tính thuế và các bậc thuế trong phương án mới đơn giản, dễ hiểu và dễ thực hiện hơn. - HUMAN-FAC2]]</f>
        <v>10</v>
      </c>
      <c r="AI31" t="str">
        <f t="shared" si="10"/>
        <v>Support</v>
      </c>
      <c r="AJ31" s="32">
        <f t="shared" si="11"/>
        <v>1</v>
      </c>
      <c r="AK31">
        <f>step3_validation[[#This Row],[AI_TRU1]]</f>
        <v>8</v>
      </c>
      <c r="AL31" t="str">
        <f t="shared" si="12"/>
        <v>Support</v>
      </c>
      <c r="AM31">
        <f>survey_responses[[#This Row],[Tôi tin rằng Nhà nước, cơ quan thuế sẽ thực thi chính sách mới một cách khách quan, công tâm và đối xử bình đẳng với mọi người nộp thuế.  - HUMAN-TRU1]]</f>
        <v>10</v>
      </c>
      <c r="AN31" t="str">
        <f t="shared" si="13"/>
        <v>Support</v>
      </c>
      <c r="AO31" s="32">
        <f t="shared" si="14"/>
        <v>2</v>
      </c>
      <c r="AP31">
        <f>step3_validation[[#This Row],[AI_TRU2]]</f>
        <v>9</v>
      </c>
      <c r="AQ31" t="str">
        <f t="shared" si="15"/>
        <v>Support</v>
      </c>
      <c r="AR31">
        <f>survey_responses[[#This Row],[Tôi thấy mức thuế tôi phải đóng theo phương án mới là công bằng (người thu nhập như tôi đóng mức này là hợp lý). - HUMAN-TRU2]]</f>
        <v>10</v>
      </c>
      <c r="AS31" t="str">
        <f t="shared" si="16"/>
        <v>Support</v>
      </c>
      <c r="AT31" s="32">
        <f t="shared" si="17"/>
        <v>1</v>
      </c>
      <c r="AU31">
        <f>step3_validation[[#This Row],[AI_TRU3]]</f>
        <v>8</v>
      </c>
      <c r="AV31" t="str">
        <f t="shared" si="18"/>
        <v>Support</v>
      </c>
      <c r="AW31">
        <f>survey_responses[[#This Row],[Tôi tin tưởng số tiền thuế tôi đóng sẽ được Nhà nước sử dụng hiệu quả để cải thiện dịch vụ công (y tế, đường xá...). - HUMAN-TRU3]]</f>
        <v>10</v>
      </c>
      <c r="AX31" t="str">
        <f t="shared" si="19"/>
        <v>Support</v>
      </c>
      <c r="AY31" s="32">
        <f t="shared" si="20"/>
        <v>2</v>
      </c>
      <c r="AZ31">
        <f>step3_validation[[#This Row],[AI_TRU4]]</f>
        <v>9</v>
      </c>
      <c r="BA31" t="str">
        <f t="shared" si="21"/>
        <v>Support</v>
      </c>
      <c r="BB31">
        <f>survey_responses[[#This Row],[Tôi thấy Nhà nước đã giải thích rõ ràng, minh bạch về lý do và mục tiêu của việc sửa đổi thuế lần này. - HUMAN-TRU4]]</f>
        <v>10</v>
      </c>
      <c r="BC31" t="str">
        <f t="shared" si="22"/>
        <v>Support</v>
      </c>
      <c r="BD31" s="32">
        <f t="shared" si="23"/>
        <v>1</v>
      </c>
      <c r="BE31">
        <f>step3_validation[[#This Row],[AI_OUT1]]</f>
        <v>8</v>
      </c>
      <c r="BF31" t="str">
        <f t="shared" si="24"/>
        <v>Support</v>
      </c>
      <c r="BG31">
        <f>survey_responses[[#This Row],[Sau khi xem xét các quyền lợi và nghĩa vụ, bạn có ủng hộ và tuân thủ chính sách mới hiện nay? - HUMAN-OUT1]]</f>
        <v>10</v>
      </c>
      <c r="BH31" t="str">
        <f t="shared" si="25"/>
        <v>Support</v>
      </c>
      <c r="BI31" s="32">
        <f t="shared" si="26"/>
        <v>2</v>
      </c>
    </row>
    <row r="32" spans="1:61" x14ac:dyDescent="0.45">
      <c r="A32" s="30">
        <f>step3_validation[[#This Row],[Persona_ID]]</f>
        <v>31</v>
      </c>
      <c r="B32" s="31">
        <f>step3_validation[[#This Row],[Used_Seed]]</f>
        <v>2056</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29.762060784767023</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6</v>
      </c>
      <c r="R32" t="str">
        <f t="shared" si="0"/>
        <v>Neutral</v>
      </c>
      <c r="S32">
        <f>survey_responses[[#This Row],[Tôi tin rằng với các quy định quản lý thuế hiện nay, hành vi gian lận hoặc trốn thuế sẽ dễ dàng bị phát hiện và xử lý nghiêm. - HUMAN-ENF1]]</f>
        <v>10</v>
      </c>
      <c r="T32" t="str">
        <f t="shared" si="1"/>
        <v>Support</v>
      </c>
      <c r="U32" s="32">
        <f t="shared" si="2"/>
        <v>4</v>
      </c>
      <c r="V32">
        <f>step3_validation[[#This Row],[AI_ENF2]]</f>
        <v>7</v>
      </c>
      <c r="W32" t="str">
        <f t="shared" si="3"/>
        <v>Neutral</v>
      </c>
      <c r="X32">
        <f>survey_responses[[#This Row],[Tôi tin rằng Nhà nước, cơ quan thuế có đủ khả năng và công nghệ để phát hiện, xử lý nghiêm các hành vi trốn thuế. - HUMAN-ENF2]]</f>
        <v>7</v>
      </c>
      <c r="Y32" t="str">
        <f t="shared" si="4"/>
        <v>Neutral</v>
      </c>
      <c r="Z32" s="32">
        <f t="shared" si="5"/>
        <v>0</v>
      </c>
      <c r="AA32">
        <f>step3_validation[[#This Row],[AI_FAC1]]</f>
        <v>9</v>
      </c>
      <c r="AB32" t="str">
        <f t="shared" si="6"/>
        <v>Support</v>
      </c>
      <c r="AC32">
        <f>survey_responses[[#This Row],[Các thủ tục khai báo thuế VÀ/HOẶC quy trình làm việc với cơ quan thuế đơn giản, tiện lợi, nhanh chóng hơn so với trước đây. - HUMAN-FAC1]]</f>
        <v>10</v>
      </c>
      <c r="AD32" t="str">
        <f t="shared" si="7"/>
        <v>Support</v>
      </c>
      <c r="AE32" s="32">
        <f t="shared" si="8"/>
        <v>1</v>
      </c>
      <c r="AF32">
        <f>step3_validation[[#This Row],[AI_FAC2]]</f>
        <v>8</v>
      </c>
      <c r="AG32" t="str">
        <f t="shared" si="9"/>
        <v>Support</v>
      </c>
      <c r="AH32">
        <f>survey_responses[[#This Row],[So với trước đây, tôi thấy cách tính thuế và các bậc thuế trong phương án mới đơn giản, dễ hiểu và dễ thực hiện hơn. - HUMAN-FAC2]]</f>
        <v>7</v>
      </c>
      <c r="AI32" t="str">
        <f t="shared" si="10"/>
        <v>Neutral</v>
      </c>
      <c r="AJ32" s="32">
        <f t="shared" si="11"/>
        <v>1</v>
      </c>
      <c r="AK32">
        <f>step3_validation[[#This Row],[AI_TRU1]]</f>
        <v>7</v>
      </c>
      <c r="AL32" t="str">
        <f t="shared" si="12"/>
        <v>Neutral</v>
      </c>
      <c r="AM32">
        <f>survey_responses[[#This Row],[Tôi tin rằng Nhà nước, cơ quan thuế sẽ thực thi chính sách mới một cách khách quan, công tâm và đối xử bình đẳng với mọi người nộp thuế.  - HUMAN-TRU1]]</f>
        <v>10</v>
      </c>
      <c r="AN32" t="str">
        <f t="shared" si="13"/>
        <v>Support</v>
      </c>
      <c r="AO32" s="32">
        <f t="shared" si="14"/>
        <v>3</v>
      </c>
      <c r="AP32">
        <f>step3_validation[[#This Row],[AI_TRU2]]</f>
        <v>8</v>
      </c>
      <c r="AQ32" t="str">
        <f t="shared" si="15"/>
        <v>Support</v>
      </c>
      <c r="AR32">
        <f>survey_responses[[#This Row],[Tôi thấy mức thuế tôi phải đóng theo phương án mới là công bằng (người thu nhập như tôi đóng mức này là hợp lý). - HUMAN-TRU2]]</f>
        <v>10</v>
      </c>
      <c r="AS32" t="str">
        <f t="shared" si="16"/>
        <v>Support</v>
      </c>
      <c r="AT32" s="32">
        <f t="shared" si="17"/>
        <v>2</v>
      </c>
      <c r="AU32">
        <f>step3_validation[[#This Row],[AI_TRU3]]</f>
        <v>7</v>
      </c>
      <c r="AV32" t="str">
        <f t="shared" si="18"/>
        <v>Neutral</v>
      </c>
      <c r="AW32">
        <f>survey_responses[[#This Row],[Tôi tin tưởng số tiền thuế tôi đóng sẽ được Nhà nước sử dụng hiệu quả để cải thiện dịch vụ công (y tế, đường xá...). - HUMAN-TRU3]]</f>
        <v>3</v>
      </c>
      <c r="AX32" t="str">
        <f t="shared" si="19"/>
        <v>Oppose</v>
      </c>
      <c r="AY32" s="32">
        <f t="shared" si="20"/>
        <v>4</v>
      </c>
      <c r="AZ32">
        <f>step3_validation[[#This Row],[AI_TRU4]]</f>
        <v>8</v>
      </c>
      <c r="BA32" t="str">
        <f t="shared" si="21"/>
        <v>Support</v>
      </c>
      <c r="BB32">
        <f>survey_responses[[#This Row],[Tôi thấy Nhà nước đã giải thích rõ ràng, minh bạch về lý do và mục tiêu của việc sửa đổi thuế lần này. - HUMAN-TRU4]]</f>
        <v>5</v>
      </c>
      <c r="BC32" t="str">
        <f t="shared" si="22"/>
        <v>Neutral</v>
      </c>
      <c r="BD32" s="32">
        <f t="shared" si="23"/>
        <v>3</v>
      </c>
      <c r="BE32">
        <f>step3_validation[[#This Row],[AI_OUT1]]</f>
        <v>9</v>
      </c>
      <c r="BF32" t="str">
        <f t="shared" si="24"/>
        <v>Support</v>
      </c>
      <c r="BG32">
        <f>survey_responses[[#This Row],[Sau khi xem xét các quyền lợi và nghĩa vụ, bạn có ủng hộ và tuân thủ chính sách mới hiện nay? - HUMAN-OUT1]]</f>
        <v>8</v>
      </c>
      <c r="BH32" t="str">
        <f t="shared" si="25"/>
        <v>Support</v>
      </c>
      <c r="BI32" s="32">
        <f t="shared" si="26"/>
        <v>1</v>
      </c>
    </row>
    <row r="33" spans="1:61" x14ac:dyDescent="0.45">
      <c r="A33" s="30">
        <f>step3_validation[[#This Row],[Persona_ID]]</f>
        <v>32</v>
      </c>
      <c r="B33" s="31">
        <f>step3_validation[[#This Row],[Used_Seed]]</f>
        <v>2057</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30.638065812473538</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7</v>
      </c>
      <c r="R33" t="str">
        <f t="shared" si="0"/>
        <v>Neutral</v>
      </c>
      <c r="S33">
        <f>survey_responses[[#This Row],[Tôi tin rằng với các quy định quản lý thuế hiện nay, hành vi gian lận hoặc trốn thuế sẽ dễ dàng bị phát hiện và xử lý nghiêm. - HUMAN-ENF1]]</f>
        <v>5</v>
      </c>
      <c r="T33" t="str">
        <f t="shared" si="1"/>
        <v>Neutral</v>
      </c>
      <c r="U33" s="32">
        <f t="shared" si="2"/>
        <v>2</v>
      </c>
      <c r="V33">
        <f>step3_validation[[#This Row],[AI_ENF2]]</f>
        <v>8</v>
      </c>
      <c r="W33" t="str">
        <f t="shared" si="3"/>
        <v>Support</v>
      </c>
      <c r="X33">
        <f>survey_responses[[#This Row],[Tôi tin rằng Nhà nước, cơ quan thuế có đủ khả năng và công nghệ để phát hiện, xử lý nghiêm các hành vi trốn thuế. - HUMAN-ENF2]]</f>
        <v>5</v>
      </c>
      <c r="Y33" t="str">
        <f t="shared" si="4"/>
        <v>Neutral</v>
      </c>
      <c r="Z33" s="32">
        <f t="shared" si="5"/>
        <v>3</v>
      </c>
      <c r="AA33">
        <f>step3_validation[[#This Row],[AI_FAC1]]</f>
        <v>9</v>
      </c>
      <c r="AB33" t="str">
        <f t="shared" si="6"/>
        <v>Support</v>
      </c>
      <c r="AC33">
        <f>survey_responses[[#This Row],[Các thủ tục khai báo thuế VÀ/HOẶC quy trình làm việc với cơ quan thuế đơn giản, tiện lợi, nhanh chóng hơn so với trước đây. - HUMAN-FAC1]]</f>
        <v>5</v>
      </c>
      <c r="AD33" t="str">
        <f t="shared" si="7"/>
        <v>Neutral</v>
      </c>
      <c r="AE33" s="32">
        <f t="shared" si="8"/>
        <v>4</v>
      </c>
      <c r="AF33">
        <f>step3_validation[[#This Row],[AI_FAC2]]</f>
        <v>9</v>
      </c>
      <c r="AG33" t="str">
        <f t="shared" si="9"/>
        <v>Support</v>
      </c>
      <c r="AH33">
        <f>survey_responses[[#This Row],[So với trước đây, tôi thấy cách tính thuế và các bậc thuế trong phương án mới đơn giản, dễ hiểu và dễ thực hiện hơn. - HUMAN-FAC2]]</f>
        <v>5</v>
      </c>
      <c r="AI33" t="str">
        <f t="shared" si="10"/>
        <v>Neutral</v>
      </c>
      <c r="AJ33" s="32">
        <f t="shared" si="11"/>
        <v>4</v>
      </c>
      <c r="AK33">
        <f>step3_validation[[#This Row],[AI_TRU1]]</f>
        <v>7</v>
      </c>
      <c r="AL33" t="str">
        <f t="shared" si="12"/>
        <v>Neutral</v>
      </c>
      <c r="AM33">
        <f>survey_responses[[#This Row],[Tôi tin rằng Nhà nước, cơ quan thuế sẽ thực thi chính sách mới một cách khách quan, công tâm và đối xử bình đẳng với mọi người nộp thuế.  - HUMAN-TRU1]]</f>
        <v>5</v>
      </c>
      <c r="AN33" t="str">
        <f t="shared" si="13"/>
        <v>Neutral</v>
      </c>
      <c r="AO33" s="32">
        <f t="shared" si="14"/>
        <v>2</v>
      </c>
      <c r="AP33">
        <f>step3_validation[[#This Row],[AI_TRU2]]</f>
        <v>9</v>
      </c>
      <c r="AQ33" t="str">
        <f t="shared" si="15"/>
        <v>Support</v>
      </c>
      <c r="AR33">
        <f>survey_responses[[#This Row],[Tôi thấy mức thuế tôi phải đóng theo phương án mới là công bằng (người thu nhập như tôi đóng mức này là hợp lý). - HUMAN-TRU2]]</f>
        <v>5</v>
      </c>
      <c r="AS33" t="str">
        <f t="shared" si="16"/>
        <v>Neutral</v>
      </c>
      <c r="AT33" s="32">
        <f t="shared" si="17"/>
        <v>4</v>
      </c>
      <c r="AU33">
        <f>step3_validation[[#This Row],[AI_TRU3]]</f>
        <v>7</v>
      </c>
      <c r="AV33" t="str">
        <f t="shared" si="18"/>
        <v>Neutral</v>
      </c>
      <c r="AW33">
        <f>survey_responses[[#This Row],[Tôi tin tưởng số tiền thuế tôi đóng sẽ được Nhà nước sử dụng hiệu quả để cải thiện dịch vụ công (y tế, đường xá...). - HUMAN-TRU3]]</f>
        <v>5</v>
      </c>
      <c r="AX33" t="str">
        <f t="shared" si="19"/>
        <v>Neutral</v>
      </c>
      <c r="AY33" s="32">
        <f t="shared" si="20"/>
        <v>2</v>
      </c>
      <c r="AZ33">
        <f>step3_validation[[#This Row],[AI_TRU4]]</f>
        <v>8</v>
      </c>
      <c r="BA33" t="str">
        <f t="shared" si="21"/>
        <v>Support</v>
      </c>
      <c r="BB33">
        <f>survey_responses[[#This Row],[Tôi thấy Nhà nước đã giải thích rõ ràng, minh bạch về lý do và mục tiêu của việc sửa đổi thuế lần này. - HUMAN-TRU4]]</f>
        <v>5</v>
      </c>
      <c r="BC33" t="str">
        <f t="shared" si="22"/>
        <v>Neutral</v>
      </c>
      <c r="BD33" s="32">
        <f t="shared" si="23"/>
        <v>3</v>
      </c>
      <c r="BE33">
        <f>step3_validation[[#This Row],[AI_OUT1]]</f>
        <v>9</v>
      </c>
      <c r="BF33" t="str">
        <f t="shared" si="24"/>
        <v>Support</v>
      </c>
      <c r="BG33">
        <f>survey_responses[[#This Row],[Sau khi xem xét các quyền lợi và nghĩa vụ, bạn có ủng hộ và tuân thủ chính sách mới hiện nay? - HUMAN-OUT1]]</f>
        <v>5</v>
      </c>
      <c r="BH33" t="str">
        <f t="shared" si="25"/>
        <v>Neutral</v>
      </c>
      <c r="BI33" s="32">
        <f t="shared" si="26"/>
        <v>4</v>
      </c>
    </row>
    <row r="34" spans="1:61" x14ac:dyDescent="0.45">
      <c r="A34" s="30">
        <f>step3_validation[[#This Row],[Persona_ID]]</f>
        <v>33</v>
      </c>
      <c r="B34" s="31">
        <f>step3_validation[[#This Row],[Used_Seed]]</f>
        <v>2058</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27.734032954208029</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7</v>
      </c>
      <c r="R34" t="str">
        <f t="shared" si="0"/>
        <v>Neutral</v>
      </c>
      <c r="S34">
        <f>survey_responses[[#This Row],[Tôi tin rằng với các quy định quản lý thuế hiện nay, hành vi gian lận hoặc trốn thuế sẽ dễ dàng bị phát hiện và xử lý nghiêm. - HUMAN-ENF1]]</f>
        <v>8</v>
      </c>
      <c r="T34" t="str">
        <f t="shared" si="1"/>
        <v>Support</v>
      </c>
      <c r="U34" s="32">
        <f t="shared" si="2"/>
        <v>1</v>
      </c>
      <c r="V34">
        <f>step3_validation[[#This Row],[AI_ENF2]]</f>
        <v>6</v>
      </c>
      <c r="W34" t="str">
        <f t="shared" si="3"/>
        <v>Neutral</v>
      </c>
      <c r="X34">
        <f>survey_responses[[#This Row],[Tôi tin rằng Nhà nước, cơ quan thuế có đủ khả năng và công nghệ để phát hiện, xử lý nghiêm các hành vi trốn thuế. - HUMAN-ENF2]]</f>
        <v>9</v>
      </c>
      <c r="Y34" t="str">
        <f t="shared" si="4"/>
        <v>Support</v>
      </c>
      <c r="Z34" s="32">
        <f t="shared" si="5"/>
        <v>3</v>
      </c>
      <c r="AA34">
        <f>step3_validation[[#This Row],[AI_FAC1]]</f>
        <v>7</v>
      </c>
      <c r="AB34" t="str">
        <f t="shared" si="6"/>
        <v>Neutral</v>
      </c>
      <c r="AC34">
        <f>survey_responses[[#This Row],[Các thủ tục khai báo thuế VÀ/HOẶC quy trình làm việc với cơ quan thuế đơn giản, tiện lợi, nhanh chóng hơn so với trước đây. - HUMAN-FAC1]]</f>
        <v>7</v>
      </c>
      <c r="AD34" t="str">
        <f t="shared" si="7"/>
        <v>Neutral</v>
      </c>
      <c r="AE34" s="32">
        <f t="shared" si="8"/>
        <v>0</v>
      </c>
      <c r="AF34">
        <f>step3_validation[[#This Row],[AI_FAC2]]</f>
        <v>9</v>
      </c>
      <c r="AG34" t="str">
        <f t="shared" si="9"/>
        <v>Support</v>
      </c>
      <c r="AH34">
        <f>survey_responses[[#This Row],[So với trước đây, tôi thấy cách tính thuế và các bậc thuế trong phương án mới đơn giản, dễ hiểu và dễ thực hiện hơn. - HUMAN-FAC2]]</f>
        <v>8</v>
      </c>
      <c r="AI34" t="str">
        <f t="shared" si="10"/>
        <v>Support</v>
      </c>
      <c r="AJ34" s="32">
        <f t="shared" si="11"/>
        <v>1</v>
      </c>
      <c r="AK34">
        <f>step3_validation[[#This Row],[AI_TRU1]]</f>
        <v>8</v>
      </c>
      <c r="AL34" t="str">
        <f t="shared" si="12"/>
        <v>Support</v>
      </c>
      <c r="AM34">
        <f>survey_responses[[#This Row],[Tôi tin rằng Nhà nước, cơ quan thuế sẽ thực thi chính sách mới một cách khách quan, công tâm và đối xử bình đẳng với mọi người nộp thuế.  - HUMAN-TRU1]]</f>
        <v>8</v>
      </c>
      <c r="AN34" t="str">
        <f t="shared" si="13"/>
        <v>Support</v>
      </c>
      <c r="AO34" s="32">
        <f t="shared" si="14"/>
        <v>0</v>
      </c>
      <c r="AP34">
        <f>step3_validation[[#This Row],[AI_TRU2]]</f>
        <v>7</v>
      </c>
      <c r="AQ34" t="str">
        <f t="shared" si="15"/>
        <v>Neutral</v>
      </c>
      <c r="AR34">
        <f>survey_responses[[#This Row],[Tôi thấy mức thuế tôi phải đóng theo phương án mới là công bằng (người thu nhập như tôi đóng mức này là hợp lý). - HUMAN-TRU2]]</f>
        <v>8</v>
      </c>
      <c r="AS34" t="str">
        <f t="shared" si="16"/>
        <v>Support</v>
      </c>
      <c r="AT34" s="32">
        <f t="shared" si="17"/>
        <v>1</v>
      </c>
      <c r="AU34">
        <f>step3_validation[[#This Row],[AI_TRU3]]</f>
        <v>6</v>
      </c>
      <c r="AV34" t="str">
        <f t="shared" si="18"/>
        <v>Neutral</v>
      </c>
      <c r="AW34">
        <f>survey_responses[[#This Row],[Tôi tin tưởng số tiền thuế tôi đóng sẽ được Nhà nước sử dụng hiệu quả để cải thiện dịch vụ công (y tế, đường xá...). - HUMAN-TRU3]]</f>
        <v>3</v>
      </c>
      <c r="AX34" t="str">
        <f t="shared" si="19"/>
        <v>Oppose</v>
      </c>
      <c r="AY34" s="32">
        <f t="shared" si="20"/>
        <v>3</v>
      </c>
      <c r="AZ34">
        <f>step3_validation[[#This Row],[AI_TRU4]]</f>
        <v>7</v>
      </c>
      <c r="BA34" t="str">
        <f t="shared" si="21"/>
        <v>Neutral</v>
      </c>
      <c r="BB34">
        <f>survey_responses[[#This Row],[Tôi thấy Nhà nước đã giải thích rõ ràng, minh bạch về lý do và mục tiêu của việc sửa đổi thuế lần này. - HUMAN-TRU4]]</f>
        <v>6</v>
      </c>
      <c r="BC34" t="str">
        <f t="shared" si="22"/>
        <v>Neutral</v>
      </c>
      <c r="BD34" s="32">
        <f t="shared" si="23"/>
        <v>1</v>
      </c>
      <c r="BE34">
        <f>step3_validation[[#This Row],[AI_OUT1]]</f>
        <v>8</v>
      </c>
      <c r="BF34" t="str">
        <f t="shared" si="24"/>
        <v>Support</v>
      </c>
      <c r="BG34">
        <f>survey_responses[[#This Row],[Sau khi xem xét các quyền lợi và nghĩa vụ, bạn có ủng hộ và tuân thủ chính sách mới hiện nay? - HUMAN-OUT1]]</f>
        <v>7</v>
      </c>
      <c r="BH34" t="str">
        <f t="shared" si="25"/>
        <v>Neutral</v>
      </c>
      <c r="BI34" s="32">
        <f t="shared" si="26"/>
        <v>1</v>
      </c>
    </row>
    <row r="35" spans="1:61" x14ac:dyDescent="0.45">
      <c r="A35" s="30">
        <f>step3_validation[[#This Row],[Persona_ID]]</f>
        <v>34</v>
      </c>
      <c r="B35" s="31">
        <f>step3_validation[[#This Row],[Used_Seed]]</f>
        <v>2059</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13.397145814734863</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6</v>
      </c>
      <c r="R35" t="str">
        <f t="shared" si="0"/>
        <v>Neutral</v>
      </c>
      <c r="S35">
        <f>survey_responses[[#This Row],[Tôi tin rằng với các quy định quản lý thuế hiện nay, hành vi gian lận hoặc trốn thuế sẽ dễ dàng bị phát hiện và xử lý nghiêm. - HUMAN-ENF1]]</f>
        <v>10</v>
      </c>
      <c r="T35" t="str">
        <f t="shared" si="1"/>
        <v>Support</v>
      </c>
      <c r="U35" s="32">
        <f t="shared" si="2"/>
        <v>4</v>
      </c>
      <c r="V35">
        <f>step3_validation[[#This Row],[AI_ENF2]]</f>
        <v>7</v>
      </c>
      <c r="W35" t="str">
        <f t="shared" si="3"/>
        <v>Neutral</v>
      </c>
      <c r="X35">
        <f>survey_responses[[#This Row],[Tôi tin rằng Nhà nước, cơ quan thuế có đủ khả năng và công nghệ để phát hiện, xử lý nghiêm các hành vi trốn thuế. - HUMAN-ENF2]]</f>
        <v>10</v>
      </c>
      <c r="Y35" t="str">
        <f t="shared" si="4"/>
        <v>Support</v>
      </c>
      <c r="Z35" s="32">
        <f t="shared" si="5"/>
        <v>3</v>
      </c>
      <c r="AA35">
        <f>step3_validation[[#This Row],[AI_FAC1]]</f>
        <v>8</v>
      </c>
      <c r="AB35" t="str">
        <f t="shared" si="6"/>
        <v>Support</v>
      </c>
      <c r="AC35">
        <f>survey_responses[[#This Row],[Các thủ tục khai báo thuế VÀ/HOẶC quy trình làm việc với cơ quan thuế đơn giản, tiện lợi, nhanh chóng hơn so với trước đây. - HUMAN-FAC1]]</f>
        <v>10</v>
      </c>
      <c r="AD35" t="str">
        <f t="shared" si="7"/>
        <v>Support</v>
      </c>
      <c r="AE35" s="32">
        <f t="shared" si="8"/>
        <v>2</v>
      </c>
      <c r="AF35">
        <f>step3_validation[[#This Row],[AI_FAC2]]</f>
        <v>9</v>
      </c>
      <c r="AG35" t="str">
        <f t="shared" si="9"/>
        <v>Support</v>
      </c>
      <c r="AH35">
        <f>survey_responses[[#This Row],[So với trước đây, tôi thấy cách tính thuế và các bậc thuế trong phương án mới đơn giản, dễ hiểu và dễ thực hiện hơn. - HUMAN-FAC2]]</f>
        <v>10</v>
      </c>
      <c r="AI35" t="str">
        <f t="shared" si="10"/>
        <v>Support</v>
      </c>
      <c r="AJ35" s="32">
        <f t="shared" si="11"/>
        <v>1</v>
      </c>
      <c r="AK35">
        <f>step3_validation[[#This Row],[AI_TRU1]]</f>
        <v>7</v>
      </c>
      <c r="AL35" t="str">
        <f t="shared" si="12"/>
        <v>Neutral</v>
      </c>
      <c r="AM35">
        <f>survey_responses[[#This Row],[Tôi tin rằng Nhà nước, cơ quan thuế sẽ thực thi chính sách mới một cách khách quan, công tâm và đối xử bình đẳng với mọi người nộp thuế.  - HUMAN-TRU1]]</f>
        <v>10</v>
      </c>
      <c r="AN35" t="str">
        <f t="shared" si="13"/>
        <v>Support</v>
      </c>
      <c r="AO35" s="32">
        <f t="shared" si="14"/>
        <v>3</v>
      </c>
      <c r="AP35">
        <f>step3_validation[[#This Row],[AI_TRU2]]</f>
        <v>8</v>
      </c>
      <c r="AQ35" t="str">
        <f t="shared" si="15"/>
        <v>Support</v>
      </c>
      <c r="AR35">
        <f>survey_responses[[#This Row],[Tôi thấy mức thuế tôi phải đóng theo phương án mới là công bằng (người thu nhập như tôi đóng mức này là hợp lý). - HUMAN-TRU2]]</f>
        <v>10</v>
      </c>
      <c r="AS35" t="str">
        <f t="shared" si="16"/>
        <v>Support</v>
      </c>
      <c r="AT35" s="32">
        <f t="shared" si="17"/>
        <v>2</v>
      </c>
      <c r="AU35">
        <f>step3_validation[[#This Row],[AI_TRU3]]</f>
        <v>7</v>
      </c>
      <c r="AV35" t="str">
        <f t="shared" si="18"/>
        <v>Neutral</v>
      </c>
      <c r="AW35">
        <f>survey_responses[[#This Row],[Tôi tin tưởng số tiền thuế tôi đóng sẽ được Nhà nước sử dụng hiệu quả để cải thiện dịch vụ công (y tế, đường xá...). - HUMAN-TRU3]]</f>
        <v>10</v>
      </c>
      <c r="AX35" t="str">
        <f t="shared" si="19"/>
        <v>Support</v>
      </c>
      <c r="AY35" s="32">
        <f t="shared" si="20"/>
        <v>3</v>
      </c>
      <c r="AZ35">
        <f>step3_validation[[#This Row],[AI_TRU4]]</f>
        <v>8</v>
      </c>
      <c r="BA35" t="str">
        <f t="shared" si="21"/>
        <v>Support</v>
      </c>
      <c r="BB35">
        <f>survey_responses[[#This Row],[Tôi thấy Nhà nước đã giải thích rõ ràng, minh bạch về lý do và mục tiêu của việc sửa đổi thuế lần này. - HUMAN-TRU4]]</f>
        <v>10</v>
      </c>
      <c r="BC35" t="str">
        <f t="shared" si="22"/>
        <v>Support</v>
      </c>
      <c r="BD35" s="32">
        <f t="shared" si="23"/>
        <v>2</v>
      </c>
      <c r="BE35">
        <f>step3_validation[[#This Row],[AI_OUT1]]</f>
        <v>8</v>
      </c>
      <c r="BF35" t="str">
        <f t="shared" si="24"/>
        <v>Support</v>
      </c>
      <c r="BG35">
        <f>survey_responses[[#This Row],[Sau khi xem xét các quyền lợi và nghĩa vụ, bạn có ủng hộ và tuân thủ chính sách mới hiện nay? - HUMAN-OUT1]]</f>
        <v>10</v>
      </c>
      <c r="BH35" t="str">
        <f t="shared" si="25"/>
        <v>Support</v>
      </c>
      <c r="BI35" s="32">
        <f t="shared" si="26"/>
        <v>2</v>
      </c>
    </row>
    <row r="36" spans="1:61" x14ac:dyDescent="0.45">
      <c r="A36" s="30">
        <f>step3_validation[[#This Row],[Persona_ID]]</f>
        <v>35</v>
      </c>
      <c r="B36" s="31">
        <f>step3_validation[[#This Row],[Used_Seed]]</f>
        <v>2060</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16.904640139034235</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8</v>
      </c>
      <c r="R36" t="str">
        <f t="shared" si="0"/>
        <v>Support</v>
      </c>
      <c r="S36">
        <f>survey_responses[[#This Row],[Tôi tin rằng với các quy định quản lý thuế hiện nay, hành vi gian lận hoặc trốn thuế sẽ dễ dàng bị phát hiện và xử lý nghiêm. - HUMAN-ENF1]]</f>
        <v>10</v>
      </c>
      <c r="T36" t="str">
        <f t="shared" si="1"/>
        <v>Support</v>
      </c>
      <c r="U36" s="32">
        <f t="shared" si="2"/>
        <v>2</v>
      </c>
      <c r="V36">
        <f>step3_validation[[#This Row],[AI_ENF2]]</f>
        <v>8</v>
      </c>
      <c r="W36" t="str">
        <f t="shared" si="3"/>
        <v>Support</v>
      </c>
      <c r="X36">
        <f>survey_responses[[#This Row],[Tôi tin rằng Nhà nước, cơ quan thuế có đủ khả năng và công nghệ để phát hiện, xử lý nghiêm các hành vi trốn thuế. - HUMAN-ENF2]]</f>
        <v>10</v>
      </c>
      <c r="Y36" t="str">
        <f t="shared" si="4"/>
        <v>Support</v>
      </c>
      <c r="Z36" s="32">
        <f t="shared" si="5"/>
        <v>2</v>
      </c>
      <c r="AA36">
        <f>step3_validation[[#This Row],[AI_FAC1]]</f>
        <v>9</v>
      </c>
      <c r="AB36" t="str">
        <f t="shared" si="6"/>
        <v>Support</v>
      </c>
      <c r="AC36">
        <f>survey_responses[[#This Row],[Các thủ tục khai báo thuế VÀ/HOẶC quy trình làm việc với cơ quan thuế đơn giản, tiện lợi, nhanh chóng hơn so với trước đây. - HUMAN-FAC1]]</f>
        <v>10</v>
      </c>
      <c r="AD36" t="str">
        <f t="shared" si="7"/>
        <v>Support</v>
      </c>
      <c r="AE36" s="32">
        <f t="shared" si="8"/>
        <v>1</v>
      </c>
      <c r="AF36">
        <f>step3_validation[[#This Row],[AI_FAC2]]</f>
        <v>9</v>
      </c>
      <c r="AG36" t="str">
        <f t="shared" si="9"/>
        <v>Support</v>
      </c>
      <c r="AH36">
        <f>survey_responses[[#This Row],[So với trước đây, tôi thấy cách tính thuế và các bậc thuế trong phương án mới đơn giản, dễ hiểu và dễ thực hiện hơn. - HUMAN-FAC2]]</f>
        <v>10</v>
      </c>
      <c r="AI36" t="str">
        <f t="shared" si="10"/>
        <v>Support</v>
      </c>
      <c r="AJ36" s="32">
        <f t="shared" si="11"/>
        <v>1</v>
      </c>
      <c r="AK36">
        <f>step3_validation[[#This Row],[AI_TRU1]]</f>
        <v>9</v>
      </c>
      <c r="AL36" t="str">
        <f t="shared" si="12"/>
        <v>Support</v>
      </c>
      <c r="AM36">
        <f>survey_responses[[#This Row],[Tôi tin rằng Nhà nước, cơ quan thuế sẽ thực thi chính sách mới một cách khách quan, công tâm và đối xử bình đẳng với mọi người nộp thuế.  - HUMAN-TRU1]]</f>
        <v>10</v>
      </c>
      <c r="AN36" t="str">
        <f t="shared" si="13"/>
        <v>Support</v>
      </c>
      <c r="AO36" s="32">
        <f t="shared" si="14"/>
        <v>1</v>
      </c>
      <c r="AP36">
        <f>step3_validation[[#This Row],[AI_TRU2]]</f>
        <v>8</v>
      </c>
      <c r="AQ36" t="str">
        <f t="shared" si="15"/>
        <v>Support</v>
      </c>
      <c r="AR36">
        <f>survey_responses[[#This Row],[Tôi thấy mức thuế tôi phải đóng theo phương án mới là công bằng (người thu nhập như tôi đóng mức này là hợp lý). - HUMAN-TRU2]]</f>
        <v>10</v>
      </c>
      <c r="AS36" t="str">
        <f t="shared" si="16"/>
        <v>Support</v>
      </c>
      <c r="AT36" s="32">
        <f t="shared" si="17"/>
        <v>2</v>
      </c>
      <c r="AU36">
        <f>step3_validation[[#This Row],[AI_TRU3]]</f>
        <v>9</v>
      </c>
      <c r="AV36" t="str">
        <f t="shared" si="18"/>
        <v>Support</v>
      </c>
      <c r="AW36">
        <f>survey_responses[[#This Row],[Tôi tin tưởng số tiền thuế tôi đóng sẽ được Nhà nước sử dụng hiệu quả để cải thiện dịch vụ công (y tế, đường xá...). - HUMAN-TRU3]]</f>
        <v>10</v>
      </c>
      <c r="AX36" t="str">
        <f t="shared" si="19"/>
        <v>Support</v>
      </c>
      <c r="AY36" s="32">
        <f t="shared" si="20"/>
        <v>1</v>
      </c>
      <c r="AZ36">
        <f>step3_validation[[#This Row],[AI_TRU4]]</f>
        <v>8</v>
      </c>
      <c r="BA36" t="str">
        <f t="shared" si="21"/>
        <v>Support</v>
      </c>
      <c r="BB36">
        <f>survey_responses[[#This Row],[Tôi thấy Nhà nước đã giải thích rõ ràng, minh bạch về lý do và mục tiêu của việc sửa đổi thuế lần này. - HUMAN-TRU4]]</f>
        <v>10</v>
      </c>
      <c r="BC36" t="str">
        <f t="shared" si="22"/>
        <v>Support</v>
      </c>
      <c r="BD36" s="32">
        <f t="shared" si="23"/>
        <v>2</v>
      </c>
      <c r="BE36">
        <f>step3_validation[[#This Row],[AI_OUT1]]</f>
        <v>9</v>
      </c>
      <c r="BF36" t="str">
        <f t="shared" si="24"/>
        <v>Support</v>
      </c>
      <c r="BG36">
        <f>survey_responses[[#This Row],[Sau khi xem xét các quyền lợi và nghĩa vụ, bạn có ủng hộ và tuân thủ chính sách mới hiện nay? - HUMAN-OUT1]]</f>
        <v>10</v>
      </c>
      <c r="BH36" t="str">
        <f t="shared" si="25"/>
        <v>Support</v>
      </c>
      <c r="BI36" s="32">
        <f t="shared" si="26"/>
        <v>1</v>
      </c>
    </row>
    <row r="37" spans="1:61" x14ac:dyDescent="0.45">
      <c r="A37" s="30">
        <f>step3_validation[[#This Row],[Persona_ID]]</f>
        <v>36</v>
      </c>
      <c r="B37" s="31">
        <f>step3_validation[[#This Row],[Used_Seed]]</f>
        <v>2061</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12.766162122864227</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7</v>
      </c>
      <c r="R37" t="str">
        <f t="shared" si="0"/>
        <v>Neutral</v>
      </c>
      <c r="S37">
        <f>survey_responses[[#This Row],[Tôi tin rằng với các quy định quản lý thuế hiện nay, hành vi gian lận hoặc trốn thuế sẽ dễ dàng bị phát hiện và xử lý nghiêm. - HUMAN-ENF1]]</f>
        <v>10</v>
      </c>
      <c r="T37" t="str">
        <f t="shared" si="1"/>
        <v>Support</v>
      </c>
      <c r="U37" s="32">
        <f t="shared" si="2"/>
        <v>3</v>
      </c>
      <c r="V37">
        <f>step3_validation[[#This Row],[AI_ENF2]]</f>
        <v>6</v>
      </c>
      <c r="W37" t="str">
        <f t="shared" si="3"/>
        <v>Neutral</v>
      </c>
      <c r="X37">
        <f>survey_responses[[#This Row],[Tôi tin rằng Nhà nước, cơ quan thuế có đủ khả năng và công nghệ để phát hiện, xử lý nghiêm các hành vi trốn thuế. - HUMAN-ENF2]]</f>
        <v>9</v>
      </c>
      <c r="Y37" t="str">
        <f t="shared" si="4"/>
        <v>Support</v>
      </c>
      <c r="Z37" s="32">
        <f t="shared" si="5"/>
        <v>3</v>
      </c>
      <c r="AA37">
        <f>step3_validation[[#This Row],[AI_FAC1]]</f>
        <v>9</v>
      </c>
      <c r="AB37" t="str">
        <f t="shared" si="6"/>
        <v>Support</v>
      </c>
      <c r="AC37">
        <f>survey_responses[[#This Row],[Các thủ tục khai báo thuế VÀ/HOẶC quy trình làm việc với cơ quan thuế đơn giản, tiện lợi, nhanh chóng hơn so với trước đây. - HUMAN-FAC1]]</f>
        <v>10</v>
      </c>
      <c r="AD37" t="str">
        <f t="shared" si="7"/>
        <v>Support</v>
      </c>
      <c r="AE37" s="32">
        <f t="shared" si="8"/>
        <v>1</v>
      </c>
      <c r="AF37">
        <f>step3_validation[[#This Row],[AI_FAC2]]</f>
        <v>8</v>
      </c>
      <c r="AG37" t="str">
        <f t="shared" si="9"/>
        <v>Support</v>
      </c>
      <c r="AH37">
        <f>survey_responses[[#This Row],[So với trước đây, tôi thấy cách tính thuế và các bậc thuế trong phương án mới đơn giản, dễ hiểu và dễ thực hiện hơn. - HUMAN-FAC2]]</f>
        <v>8</v>
      </c>
      <c r="AI37" t="str">
        <f t="shared" si="10"/>
        <v>Support</v>
      </c>
      <c r="AJ37" s="32">
        <f t="shared" si="11"/>
        <v>0</v>
      </c>
      <c r="AK37">
        <f>step3_validation[[#This Row],[AI_TRU1]]</f>
        <v>7</v>
      </c>
      <c r="AL37" t="str">
        <f t="shared" si="12"/>
        <v>Neutral</v>
      </c>
      <c r="AM37">
        <f>survey_responses[[#This Row],[Tôi tin rằng Nhà nước, cơ quan thuế sẽ thực thi chính sách mới một cách khách quan, công tâm và đối xử bình đẳng với mọi người nộp thuế.  - HUMAN-TRU1]]</f>
        <v>10</v>
      </c>
      <c r="AN37" t="str">
        <f t="shared" si="13"/>
        <v>Support</v>
      </c>
      <c r="AO37" s="32">
        <f t="shared" si="14"/>
        <v>3</v>
      </c>
      <c r="AP37">
        <f>step3_validation[[#This Row],[AI_TRU2]]</f>
        <v>8</v>
      </c>
      <c r="AQ37" t="str">
        <f t="shared" si="15"/>
        <v>Support</v>
      </c>
      <c r="AR37">
        <f>survey_responses[[#This Row],[Tôi thấy mức thuế tôi phải đóng theo phương án mới là công bằng (người thu nhập như tôi đóng mức này là hợp lý). - HUMAN-TRU2]]</f>
        <v>9</v>
      </c>
      <c r="AS37" t="str">
        <f t="shared" si="16"/>
        <v>Support</v>
      </c>
      <c r="AT37" s="32">
        <f t="shared" si="17"/>
        <v>1</v>
      </c>
      <c r="AU37">
        <f>step3_validation[[#This Row],[AI_TRU3]]</f>
        <v>7</v>
      </c>
      <c r="AV37" t="str">
        <f t="shared" si="18"/>
        <v>Neutral</v>
      </c>
      <c r="AW37">
        <f>survey_responses[[#This Row],[Tôi tin tưởng số tiền thuế tôi đóng sẽ được Nhà nước sử dụng hiệu quả để cải thiện dịch vụ công (y tế, đường xá...). - HUMAN-TRU3]]</f>
        <v>10</v>
      </c>
      <c r="AX37" t="str">
        <f t="shared" si="19"/>
        <v>Support</v>
      </c>
      <c r="AY37" s="32">
        <f t="shared" si="20"/>
        <v>3</v>
      </c>
      <c r="AZ37">
        <f>step3_validation[[#This Row],[AI_TRU4]]</f>
        <v>6</v>
      </c>
      <c r="BA37" t="str">
        <f t="shared" si="21"/>
        <v>Neutral</v>
      </c>
      <c r="BB37">
        <f>survey_responses[[#This Row],[Tôi thấy Nhà nước đã giải thích rõ ràng, minh bạch về lý do và mục tiêu của việc sửa đổi thuế lần này. - HUMAN-TRU4]]</f>
        <v>10</v>
      </c>
      <c r="BC37" t="str">
        <f t="shared" si="22"/>
        <v>Support</v>
      </c>
      <c r="BD37" s="32">
        <f t="shared" si="23"/>
        <v>4</v>
      </c>
      <c r="BE37">
        <f>step3_validation[[#This Row],[AI_OUT1]]</f>
        <v>8</v>
      </c>
      <c r="BF37" t="str">
        <f t="shared" si="24"/>
        <v>Support</v>
      </c>
      <c r="BG37">
        <f>survey_responses[[#This Row],[Sau khi xem xét các quyền lợi và nghĩa vụ, bạn có ủng hộ và tuân thủ chính sách mới hiện nay? - HUMAN-OUT1]]</f>
        <v>10</v>
      </c>
      <c r="BH37" t="str">
        <f t="shared" si="25"/>
        <v>Support</v>
      </c>
      <c r="BI37" s="32">
        <f t="shared" si="26"/>
        <v>2</v>
      </c>
    </row>
    <row r="38" spans="1:61" x14ac:dyDescent="0.45">
      <c r="A38" s="30">
        <f>step3_validation[[#This Row],[Persona_ID]]</f>
        <v>37</v>
      </c>
      <c r="B38" s="31">
        <f>step3_validation[[#This Row],[Used_Seed]]</f>
        <v>2062</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16.417761124094746</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6</v>
      </c>
      <c r="R38" t="str">
        <f t="shared" si="0"/>
        <v>Neutral</v>
      </c>
      <c r="S38">
        <f>survey_responses[[#This Row],[Tôi tin rằng với các quy định quản lý thuế hiện nay, hành vi gian lận hoặc trốn thuế sẽ dễ dàng bị phát hiện và xử lý nghiêm. - HUMAN-ENF1]]</f>
        <v>10</v>
      </c>
      <c r="T38" t="str">
        <f t="shared" si="1"/>
        <v>Support</v>
      </c>
      <c r="U38" s="32">
        <f t="shared" si="2"/>
        <v>4</v>
      </c>
      <c r="V38">
        <f>step3_validation[[#This Row],[AI_ENF2]]</f>
        <v>8</v>
      </c>
      <c r="W38" t="str">
        <f t="shared" si="3"/>
        <v>Support</v>
      </c>
      <c r="X38">
        <f>survey_responses[[#This Row],[Tôi tin rằng Nhà nước, cơ quan thuế có đủ khả năng và công nghệ để phát hiện, xử lý nghiêm các hành vi trốn thuế. - HUMAN-ENF2]]</f>
        <v>10</v>
      </c>
      <c r="Y38" t="str">
        <f t="shared" si="4"/>
        <v>Support</v>
      </c>
      <c r="Z38" s="32">
        <f t="shared" si="5"/>
        <v>2</v>
      </c>
      <c r="AA38">
        <f>step3_validation[[#This Row],[AI_FAC1]]</f>
        <v>9</v>
      </c>
      <c r="AB38" t="str">
        <f t="shared" si="6"/>
        <v>Support</v>
      </c>
      <c r="AC38">
        <f>survey_responses[[#This Row],[Các thủ tục khai báo thuế VÀ/HOẶC quy trình làm việc với cơ quan thuế đơn giản, tiện lợi, nhanh chóng hơn so với trước đây. - HUMAN-FAC1]]</f>
        <v>10</v>
      </c>
      <c r="AD38" t="str">
        <f t="shared" si="7"/>
        <v>Support</v>
      </c>
      <c r="AE38" s="32">
        <f t="shared" si="8"/>
        <v>1</v>
      </c>
      <c r="AF38">
        <f>step3_validation[[#This Row],[AI_FAC2]]</f>
        <v>10</v>
      </c>
      <c r="AG38" t="str">
        <f t="shared" si="9"/>
        <v>Support</v>
      </c>
      <c r="AH38">
        <f>survey_responses[[#This Row],[So với trước đây, tôi thấy cách tính thuế và các bậc thuế trong phương án mới đơn giản, dễ hiểu và dễ thực hiện hơn. - HUMAN-FAC2]]</f>
        <v>10</v>
      </c>
      <c r="AI38" t="str">
        <f t="shared" si="10"/>
        <v>Support</v>
      </c>
      <c r="AJ38" s="32">
        <f t="shared" si="11"/>
        <v>0</v>
      </c>
      <c r="AK38">
        <f>step3_validation[[#This Row],[AI_TRU1]]</f>
        <v>8</v>
      </c>
      <c r="AL38" t="str">
        <f t="shared" si="12"/>
        <v>Support</v>
      </c>
      <c r="AM38">
        <f>survey_responses[[#This Row],[Tôi tin rằng Nhà nước, cơ quan thuế sẽ thực thi chính sách mới một cách khách quan, công tâm và đối xử bình đẳng với mọi người nộp thuế.  - HUMAN-TRU1]]</f>
        <v>9</v>
      </c>
      <c r="AN38" t="str">
        <f t="shared" si="13"/>
        <v>Support</v>
      </c>
      <c r="AO38" s="32">
        <f t="shared" si="14"/>
        <v>1</v>
      </c>
      <c r="AP38">
        <f>step3_validation[[#This Row],[AI_TRU2]]</f>
        <v>9</v>
      </c>
      <c r="AQ38" t="str">
        <f t="shared" si="15"/>
        <v>Support</v>
      </c>
      <c r="AR38">
        <f>survey_responses[[#This Row],[Tôi thấy mức thuế tôi phải đóng theo phương án mới là công bằng (người thu nhập như tôi đóng mức này là hợp lý). - HUMAN-TRU2]]</f>
        <v>9</v>
      </c>
      <c r="AS38" t="str">
        <f t="shared" si="16"/>
        <v>Support</v>
      </c>
      <c r="AT38" s="32">
        <f t="shared" si="17"/>
        <v>0</v>
      </c>
      <c r="AU38">
        <f>step3_validation[[#This Row],[AI_TRU3]]</f>
        <v>8</v>
      </c>
      <c r="AV38" t="str">
        <f t="shared" si="18"/>
        <v>Support</v>
      </c>
      <c r="AW38">
        <f>survey_responses[[#This Row],[Tôi tin tưởng số tiền thuế tôi đóng sẽ được Nhà nước sử dụng hiệu quả để cải thiện dịch vụ công (y tế, đường xá...). - HUMAN-TRU3]]</f>
        <v>9</v>
      </c>
      <c r="AX38" t="str">
        <f t="shared" si="19"/>
        <v>Support</v>
      </c>
      <c r="AY38" s="32">
        <f t="shared" si="20"/>
        <v>1</v>
      </c>
      <c r="AZ38">
        <f>step3_validation[[#This Row],[AI_TRU4]]</f>
        <v>7</v>
      </c>
      <c r="BA38" t="str">
        <f t="shared" si="21"/>
        <v>Neutral</v>
      </c>
      <c r="BB38">
        <f>survey_responses[[#This Row],[Tôi thấy Nhà nước đã giải thích rõ ràng, minh bạch về lý do và mục tiêu của việc sửa đổi thuế lần này. - HUMAN-TRU4]]</f>
        <v>9</v>
      </c>
      <c r="BC38" t="str">
        <f t="shared" si="22"/>
        <v>Support</v>
      </c>
      <c r="BD38" s="32">
        <f t="shared" si="23"/>
        <v>2</v>
      </c>
      <c r="BE38">
        <f>step3_validation[[#This Row],[AI_OUT1]]</f>
        <v>9</v>
      </c>
      <c r="BF38" t="str">
        <f t="shared" si="24"/>
        <v>Support</v>
      </c>
      <c r="BG38">
        <f>survey_responses[[#This Row],[Sau khi xem xét các quyền lợi và nghĩa vụ, bạn có ủng hộ và tuân thủ chính sách mới hiện nay? - HUMAN-OUT1]]</f>
        <v>8</v>
      </c>
      <c r="BH38" t="str">
        <f t="shared" si="25"/>
        <v>Support</v>
      </c>
      <c r="BI38" s="32">
        <f t="shared" si="26"/>
        <v>1</v>
      </c>
    </row>
    <row r="39" spans="1:61" x14ac:dyDescent="0.45">
      <c r="A39" s="30">
        <f>step3_validation[[#This Row],[Persona_ID]]</f>
        <v>38</v>
      </c>
      <c r="B39" s="31">
        <f>step3_validation[[#This Row],[Used_Seed]]</f>
        <v>2063</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36.770758499302943</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7</v>
      </c>
      <c r="R39" t="str">
        <f t="shared" si="0"/>
        <v>Neutral</v>
      </c>
      <c r="S39">
        <f>survey_responses[[#This Row],[Tôi tin rằng với các quy định quản lý thuế hiện nay, hành vi gian lận hoặc trốn thuế sẽ dễ dàng bị phát hiện và xử lý nghiêm. - HUMAN-ENF1]]</f>
        <v>8</v>
      </c>
      <c r="T39" t="str">
        <f t="shared" si="1"/>
        <v>Support</v>
      </c>
      <c r="U39" s="32">
        <f t="shared" si="2"/>
        <v>1</v>
      </c>
      <c r="V39">
        <f>step3_validation[[#This Row],[AI_ENF2]]</f>
        <v>8</v>
      </c>
      <c r="W39" t="str">
        <f t="shared" si="3"/>
        <v>Support</v>
      </c>
      <c r="X39">
        <f>survey_responses[[#This Row],[Tôi tin rằng Nhà nước, cơ quan thuế có đủ khả năng và công nghệ để phát hiện, xử lý nghiêm các hành vi trốn thuế. - HUMAN-ENF2]]</f>
        <v>8</v>
      </c>
      <c r="Y39" t="str">
        <f t="shared" si="4"/>
        <v>Support</v>
      </c>
      <c r="Z39" s="32">
        <f t="shared" si="5"/>
        <v>0</v>
      </c>
      <c r="AA39">
        <f>step3_validation[[#This Row],[AI_FAC1]]</f>
        <v>6</v>
      </c>
      <c r="AB39" t="str">
        <f t="shared" si="6"/>
        <v>Neutral</v>
      </c>
      <c r="AC39">
        <f>survey_responses[[#This Row],[Các thủ tục khai báo thuế VÀ/HOẶC quy trình làm việc với cơ quan thuế đơn giản, tiện lợi, nhanh chóng hơn so với trước đây. - HUMAN-FAC1]]</f>
        <v>8</v>
      </c>
      <c r="AD39" t="str">
        <f t="shared" si="7"/>
        <v>Support</v>
      </c>
      <c r="AE39" s="32">
        <f t="shared" si="8"/>
        <v>2</v>
      </c>
      <c r="AF39">
        <f>step3_validation[[#This Row],[AI_FAC2]]</f>
        <v>9</v>
      </c>
      <c r="AG39" t="str">
        <f t="shared" si="9"/>
        <v>Support</v>
      </c>
      <c r="AH39">
        <f>survey_responses[[#This Row],[So với trước đây, tôi thấy cách tính thuế và các bậc thuế trong phương án mới đơn giản, dễ hiểu và dễ thực hiện hơn. - HUMAN-FAC2]]</f>
        <v>8</v>
      </c>
      <c r="AI39" t="str">
        <f t="shared" si="10"/>
        <v>Support</v>
      </c>
      <c r="AJ39" s="32">
        <f t="shared" si="11"/>
        <v>1</v>
      </c>
      <c r="AK39">
        <f>step3_validation[[#This Row],[AI_TRU1]]</f>
        <v>8</v>
      </c>
      <c r="AL39" t="str">
        <f t="shared" si="12"/>
        <v>Support</v>
      </c>
      <c r="AM39">
        <f>survey_responses[[#This Row],[Tôi tin rằng Nhà nước, cơ quan thuế sẽ thực thi chính sách mới một cách khách quan, công tâm và đối xử bình đẳng với mọi người nộp thuế.  - HUMAN-TRU1]]</f>
        <v>8</v>
      </c>
      <c r="AN39" t="str">
        <f t="shared" si="13"/>
        <v>Support</v>
      </c>
      <c r="AO39" s="32">
        <f t="shared" si="14"/>
        <v>0</v>
      </c>
      <c r="AP39">
        <f>step3_validation[[#This Row],[AI_TRU2]]</f>
        <v>7</v>
      </c>
      <c r="AQ39" t="str">
        <f t="shared" si="15"/>
        <v>Neutral</v>
      </c>
      <c r="AR39">
        <f>survey_responses[[#This Row],[Tôi thấy mức thuế tôi phải đóng theo phương án mới là công bằng (người thu nhập như tôi đóng mức này là hợp lý). - HUMAN-TRU2]]</f>
        <v>8</v>
      </c>
      <c r="AS39" t="str">
        <f t="shared" si="16"/>
        <v>Support</v>
      </c>
      <c r="AT39" s="32">
        <f t="shared" si="17"/>
        <v>1</v>
      </c>
      <c r="AU39">
        <f>step3_validation[[#This Row],[AI_TRU3]]</f>
        <v>6</v>
      </c>
      <c r="AV39" t="str">
        <f t="shared" si="18"/>
        <v>Neutral</v>
      </c>
      <c r="AW39">
        <f>survey_responses[[#This Row],[Tôi tin tưởng số tiền thuế tôi đóng sẽ được Nhà nước sử dụng hiệu quả để cải thiện dịch vụ công (y tế, đường xá...). - HUMAN-TRU3]]</f>
        <v>8</v>
      </c>
      <c r="AX39" t="str">
        <f t="shared" si="19"/>
        <v>Support</v>
      </c>
      <c r="AY39" s="32">
        <f t="shared" si="20"/>
        <v>2</v>
      </c>
      <c r="AZ39">
        <f>step3_validation[[#This Row],[AI_TRU4]]</f>
        <v>7</v>
      </c>
      <c r="BA39" t="str">
        <f t="shared" si="21"/>
        <v>Neutral</v>
      </c>
      <c r="BB39">
        <f>survey_responses[[#This Row],[Tôi thấy Nhà nước đã giải thích rõ ràng, minh bạch về lý do và mục tiêu của việc sửa đổi thuế lần này. - HUMAN-TRU4]]</f>
        <v>8</v>
      </c>
      <c r="BC39" t="str">
        <f t="shared" si="22"/>
        <v>Support</v>
      </c>
      <c r="BD39" s="32">
        <f t="shared" si="23"/>
        <v>1</v>
      </c>
      <c r="BE39">
        <f>step3_validation[[#This Row],[AI_OUT1]]</f>
        <v>9</v>
      </c>
      <c r="BF39" t="str">
        <f t="shared" si="24"/>
        <v>Support</v>
      </c>
      <c r="BG39">
        <f>survey_responses[[#This Row],[Sau khi xem xét các quyền lợi và nghĩa vụ, bạn có ủng hộ và tuân thủ chính sách mới hiện nay? - HUMAN-OUT1]]</f>
        <v>8</v>
      </c>
      <c r="BH39" t="str">
        <f t="shared" si="25"/>
        <v>Support</v>
      </c>
      <c r="BI39" s="32">
        <f t="shared" si="26"/>
        <v>1</v>
      </c>
    </row>
    <row r="40" spans="1:61" x14ac:dyDescent="0.45">
      <c r="A40" s="30">
        <f>step3_validation[[#This Row],[Persona_ID]]</f>
        <v>39</v>
      </c>
      <c r="B40" s="31">
        <f>step3_validation[[#This Row],[Used_Seed]]</f>
        <v>2064</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15.260241947641184</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6</v>
      </c>
      <c r="R40" t="str">
        <f t="shared" si="0"/>
        <v>Neutral</v>
      </c>
      <c r="S40">
        <f>survey_responses[[#This Row],[Tôi tin rằng với các quy định quản lý thuế hiện nay, hành vi gian lận hoặc trốn thuế sẽ dễ dàng bị phát hiện và xử lý nghiêm. - HUMAN-ENF1]]</f>
        <v>10</v>
      </c>
      <c r="T40" t="str">
        <f t="shared" si="1"/>
        <v>Support</v>
      </c>
      <c r="U40" s="32">
        <f t="shared" si="2"/>
        <v>4</v>
      </c>
      <c r="V40">
        <f>step3_validation[[#This Row],[AI_ENF2]]</f>
        <v>5</v>
      </c>
      <c r="W40" t="str">
        <f t="shared" si="3"/>
        <v>Neutral</v>
      </c>
      <c r="X40">
        <f>survey_responses[[#This Row],[Tôi tin rằng Nhà nước, cơ quan thuế có đủ khả năng và công nghệ để phát hiện, xử lý nghiêm các hành vi trốn thuế. - HUMAN-ENF2]]</f>
        <v>10</v>
      </c>
      <c r="Y40" t="str">
        <f t="shared" si="4"/>
        <v>Support</v>
      </c>
      <c r="Z40" s="32">
        <f t="shared" si="5"/>
        <v>5</v>
      </c>
      <c r="AA40">
        <f>step3_validation[[#This Row],[AI_FAC1]]</f>
        <v>9</v>
      </c>
      <c r="AB40" t="str">
        <f t="shared" si="6"/>
        <v>Support</v>
      </c>
      <c r="AC40">
        <f>survey_responses[[#This Row],[Các thủ tục khai báo thuế VÀ/HOẶC quy trình làm việc với cơ quan thuế đơn giản, tiện lợi, nhanh chóng hơn so với trước đây. - HUMAN-FAC1]]</f>
        <v>10</v>
      </c>
      <c r="AD40" t="str">
        <f t="shared" si="7"/>
        <v>Support</v>
      </c>
      <c r="AE40" s="32">
        <f t="shared" si="8"/>
        <v>1</v>
      </c>
      <c r="AF40">
        <f>step3_validation[[#This Row],[AI_FAC2]]</f>
        <v>10</v>
      </c>
      <c r="AG40" t="str">
        <f t="shared" si="9"/>
        <v>Support</v>
      </c>
      <c r="AH40">
        <f>survey_responses[[#This Row],[So với trước đây, tôi thấy cách tính thuế và các bậc thuế trong phương án mới đơn giản, dễ hiểu và dễ thực hiện hơn. - HUMAN-FAC2]]</f>
        <v>10</v>
      </c>
      <c r="AI40" t="str">
        <f t="shared" si="10"/>
        <v>Support</v>
      </c>
      <c r="AJ40" s="32">
        <f t="shared" si="11"/>
        <v>0</v>
      </c>
      <c r="AK40">
        <f>step3_validation[[#This Row],[AI_TRU1]]</f>
        <v>8</v>
      </c>
      <c r="AL40" t="str">
        <f t="shared" si="12"/>
        <v>Support</v>
      </c>
      <c r="AM40">
        <f>survey_responses[[#This Row],[Tôi tin rằng Nhà nước, cơ quan thuế sẽ thực thi chính sách mới một cách khách quan, công tâm và đối xử bình đẳng với mọi người nộp thuế.  - HUMAN-TRU1]]</f>
        <v>10</v>
      </c>
      <c r="AN40" t="str">
        <f t="shared" si="13"/>
        <v>Support</v>
      </c>
      <c r="AO40" s="32">
        <f t="shared" si="14"/>
        <v>2</v>
      </c>
      <c r="AP40">
        <f>step3_validation[[#This Row],[AI_TRU2]]</f>
        <v>9</v>
      </c>
      <c r="AQ40" t="str">
        <f t="shared" si="15"/>
        <v>Support</v>
      </c>
      <c r="AR40">
        <f>survey_responses[[#This Row],[Tôi thấy mức thuế tôi phải đóng theo phương án mới là công bằng (người thu nhập như tôi đóng mức này là hợp lý). - HUMAN-TRU2]]</f>
        <v>10</v>
      </c>
      <c r="AS40" t="str">
        <f t="shared" si="16"/>
        <v>Support</v>
      </c>
      <c r="AT40" s="32">
        <f t="shared" si="17"/>
        <v>1</v>
      </c>
      <c r="AU40">
        <f>step3_validation[[#This Row],[AI_TRU3]]</f>
        <v>7</v>
      </c>
      <c r="AV40" t="str">
        <f t="shared" si="18"/>
        <v>Neutral</v>
      </c>
      <c r="AW40">
        <f>survey_responses[[#This Row],[Tôi tin tưởng số tiền thuế tôi đóng sẽ được Nhà nước sử dụng hiệu quả để cải thiện dịch vụ công (y tế, đường xá...). - HUMAN-TRU3]]</f>
        <v>10</v>
      </c>
      <c r="AX40" t="str">
        <f t="shared" si="19"/>
        <v>Support</v>
      </c>
      <c r="AY40" s="32">
        <f t="shared" si="20"/>
        <v>3</v>
      </c>
      <c r="AZ40">
        <f>step3_validation[[#This Row],[AI_TRU4]]</f>
        <v>8</v>
      </c>
      <c r="BA40" t="str">
        <f t="shared" si="21"/>
        <v>Support</v>
      </c>
      <c r="BB40">
        <f>survey_responses[[#This Row],[Tôi thấy Nhà nước đã giải thích rõ ràng, minh bạch về lý do và mục tiêu của việc sửa đổi thuế lần này. - HUMAN-TRU4]]</f>
        <v>10</v>
      </c>
      <c r="BC40" t="str">
        <f t="shared" si="22"/>
        <v>Support</v>
      </c>
      <c r="BD40" s="32">
        <f t="shared" si="23"/>
        <v>2</v>
      </c>
      <c r="BE40">
        <f>step3_validation[[#This Row],[AI_OUT1]]</f>
        <v>9</v>
      </c>
      <c r="BF40" t="str">
        <f t="shared" si="24"/>
        <v>Support</v>
      </c>
      <c r="BG40">
        <f>survey_responses[[#This Row],[Sau khi xem xét các quyền lợi và nghĩa vụ, bạn có ủng hộ và tuân thủ chính sách mới hiện nay? - HUMAN-OUT1]]</f>
        <v>10</v>
      </c>
      <c r="BH40" t="str">
        <f t="shared" si="25"/>
        <v>Support</v>
      </c>
      <c r="BI40" s="32">
        <f t="shared" si="26"/>
        <v>1</v>
      </c>
    </row>
    <row r="41" spans="1:61" x14ac:dyDescent="0.45">
      <c r="A41" s="30">
        <f>step3_validation[[#This Row],[Persona_ID]]</f>
        <v>40</v>
      </c>
      <c r="B41" s="31">
        <f>step3_validation[[#This Row],[Used_Seed]]</f>
        <v>2065</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213.1129214539863</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9</v>
      </c>
      <c r="R41" t="str">
        <f t="shared" si="0"/>
        <v>Support</v>
      </c>
      <c r="S41">
        <f>survey_responses[[#This Row],[Tôi tin rằng với các quy định quản lý thuế hiện nay, hành vi gian lận hoặc trốn thuế sẽ dễ dàng bị phát hiện và xử lý nghiêm. - HUMAN-ENF1]]</f>
        <v>8</v>
      </c>
      <c r="T41" t="str">
        <f t="shared" si="1"/>
        <v>Support</v>
      </c>
      <c r="U41" s="32">
        <f t="shared" si="2"/>
        <v>1</v>
      </c>
      <c r="V41">
        <f>step3_validation[[#This Row],[AI_ENF2]]</f>
        <v>8</v>
      </c>
      <c r="W41" t="str">
        <f t="shared" si="3"/>
        <v>Support</v>
      </c>
      <c r="X41">
        <f>survey_responses[[#This Row],[Tôi tin rằng Nhà nước, cơ quan thuế có đủ khả năng và công nghệ để phát hiện, xử lý nghiêm các hành vi trốn thuế. - HUMAN-ENF2]]</f>
        <v>8</v>
      </c>
      <c r="Y41" t="str">
        <f t="shared" si="4"/>
        <v>Support</v>
      </c>
      <c r="Z41" s="32">
        <f t="shared" si="5"/>
        <v>0</v>
      </c>
      <c r="AA41">
        <f>step3_validation[[#This Row],[AI_FAC1]]</f>
        <v>9</v>
      </c>
      <c r="AB41" t="str">
        <f t="shared" si="6"/>
        <v>Support</v>
      </c>
      <c r="AC41">
        <f>survey_responses[[#This Row],[Các thủ tục khai báo thuế VÀ/HOẶC quy trình làm việc với cơ quan thuế đơn giản, tiện lợi, nhanh chóng hơn so với trước đây. - HUMAN-FAC1]]</f>
        <v>6</v>
      </c>
      <c r="AD41" t="str">
        <f t="shared" si="7"/>
        <v>Neutral</v>
      </c>
      <c r="AE41" s="32">
        <f t="shared" si="8"/>
        <v>3</v>
      </c>
      <c r="AF41">
        <f>step3_validation[[#This Row],[AI_FAC2]]</f>
        <v>8</v>
      </c>
      <c r="AG41" t="str">
        <f t="shared" si="9"/>
        <v>Support</v>
      </c>
      <c r="AH41">
        <f>survey_responses[[#This Row],[So với trước đây, tôi thấy cách tính thuế và các bậc thuế trong phương án mới đơn giản, dễ hiểu và dễ thực hiện hơn. - HUMAN-FAC2]]</f>
        <v>8</v>
      </c>
      <c r="AI41" t="str">
        <f t="shared" si="10"/>
        <v>Support</v>
      </c>
      <c r="AJ41" s="32">
        <f t="shared" si="11"/>
        <v>0</v>
      </c>
      <c r="AK41">
        <f>step3_validation[[#This Row],[AI_TRU1]]</f>
        <v>9</v>
      </c>
      <c r="AL41" t="str">
        <f t="shared" si="12"/>
        <v>Support</v>
      </c>
      <c r="AM41">
        <f>survey_responses[[#This Row],[Tôi tin rằng Nhà nước, cơ quan thuế sẽ thực thi chính sách mới một cách khách quan, công tâm và đối xử bình đẳng với mọi người nộp thuế.  - HUMAN-TRU1]]</f>
        <v>7</v>
      </c>
      <c r="AN41" t="str">
        <f t="shared" si="13"/>
        <v>Neutral</v>
      </c>
      <c r="AO41" s="32">
        <f t="shared" si="14"/>
        <v>2</v>
      </c>
      <c r="AP41">
        <f>step3_validation[[#This Row],[AI_TRU2]]</f>
        <v>8</v>
      </c>
      <c r="AQ41" t="str">
        <f t="shared" si="15"/>
        <v>Support</v>
      </c>
      <c r="AR41">
        <f>survey_responses[[#This Row],[Tôi thấy mức thuế tôi phải đóng theo phương án mới là công bằng (người thu nhập như tôi đóng mức này là hợp lý). - HUMAN-TRU2]]</f>
        <v>8</v>
      </c>
      <c r="AS41" t="str">
        <f t="shared" si="16"/>
        <v>Support</v>
      </c>
      <c r="AT41" s="32">
        <f t="shared" si="17"/>
        <v>0</v>
      </c>
      <c r="AU41">
        <f>step3_validation[[#This Row],[AI_TRU3]]</f>
        <v>9</v>
      </c>
      <c r="AV41" t="str">
        <f t="shared" si="18"/>
        <v>Support</v>
      </c>
      <c r="AW41">
        <f>survey_responses[[#This Row],[Tôi tin tưởng số tiền thuế tôi đóng sẽ được Nhà nước sử dụng hiệu quả để cải thiện dịch vụ công (y tế, đường xá...). - HUMAN-TRU3]]</f>
        <v>5</v>
      </c>
      <c r="AX41" t="str">
        <f t="shared" si="19"/>
        <v>Neutral</v>
      </c>
      <c r="AY41" s="32">
        <f t="shared" si="20"/>
        <v>4</v>
      </c>
      <c r="AZ41">
        <f>step3_validation[[#This Row],[AI_TRU4]]</f>
        <v>8</v>
      </c>
      <c r="BA41" t="str">
        <f t="shared" si="21"/>
        <v>Support</v>
      </c>
      <c r="BB41">
        <f>survey_responses[[#This Row],[Tôi thấy Nhà nước đã giải thích rõ ràng, minh bạch về lý do và mục tiêu của việc sửa đổi thuế lần này. - HUMAN-TRU4]]</f>
        <v>6</v>
      </c>
      <c r="BC41" t="str">
        <f t="shared" si="22"/>
        <v>Neutral</v>
      </c>
      <c r="BD41" s="32">
        <f t="shared" si="23"/>
        <v>2</v>
      </c>
      <c r="BE41">
        <f>step3_validation[[#This Row],[AI_OUT1]]</f>
        <v>9</v>
      </c>
      <c r="BF41" t="str">
        <f t="shared" si="24"/>
        <v>Support</v>
      </c>
      <c r="BG41">
        <f>survey_responses[[#This Row],[Sau khi xem xét các quyền lợi và nghĩa vụ, bạn có ủng hộ và tuân thủ chính sách mới hiện nay? - HUMAN-OUT1]]</f>
        <v>7</v>
      </c>
      <c r="BH41" t="str">
        <f t="shared" si="25"/>
        <v>Neutral</v>
      </c>
      <c r="BI41" s="32">
        <f t="shared" si="26"/>
        <v>2</v>
      </c>
    </row>
    <row r="42" spans="1:61" x14ac:dyDescent="0.45">
      <c r="A42" s="30">
        <f>step3_validation[[#This Row],[Persona_ID]]</f>
        <v>41</v>
      </c>
      <c r="B42" s="31">
        <f>step3_validation[[#This Row],[Used_Seed]]</f>
        <v>2066</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70.305033061748276</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8</v>
      </c>
      <c r="R42" t="str">
        <f t="shared" si="0"/>
        <v>Support</v>
      </c>
      <c r="S42">
        <f>survey_responses[[#This Row],[Tôi tin rằng với các quy định quản lý thuế hiện nay, hành vi gian lận hoặc trốn thuế sẽ dễ dàng bị phát hiện và xử lý nghiêm. - HUMAN-ENF1]]</f>
        <v>9</v>
      </c>
      <c r="T42" t="str">
        <f t="shared" si="1"/>
        <v>Support</v>
      </c>
      <c r="U42" s="32">
        <f t="shared" si="2"/>
        <v>1</v>
      </c>
      <c r="V42">
        <f>step3_validation[[#This Row],[AI_ENF2]]</f>
        <v>9</v>
      </c>
      <c r="W42" t="str">
        <f t="shared" si="3"/>
        <v>Support</v>
      </c>
      <c r="X42">
        <f>survey_responses[[#This Row],[Tôi tin rằng Nhà nước, cơ quan thuế có đủ khả năng và công nghệ để phát hiện, xử lý nghiêm các hành vi trốn thuế. - HUMAN-ENF2]]</f>
        <v>8</v>
      </c>
      <c r="Y42" t="str">
        <f t="shared" si="4"/>
        <v>Support</v>
      </c>
      <c r="Z42" s="32">
        <f t="shared" si="5"/>
        <v>1</v>
      </c>
      <c r="AA42">
        <f>step3_validation[[#This Row],[AI_FAC1]]</f>
        <v>8</v>
      </c>
      <c r="AB42" t="str">
        <f t="shared" si="6"/>
        <v>Support</v>
      </c>
      <c r="AC42">
        <f>survey_responses[[#This Row],[Các thủ tục khai báo thuế VÀ/HOẶC quy trình làm việc với cơ quan thuế đơn giản, tiện lợi, nhanh chóng hơn so với trước đây. - HUMAN-FAC1]]</f>
        <v>7</v>
      </c>
      <c r="AD42" t="str">
        <f t="shared" si="7"/>
        <v>Neutral</v>
      </c>
      <c r="AE42" s="32">
        <f t="shared" si="8"/>
        <v>1</v>
      </c>
      <c r="AF42">
        <f>step3_validation[[#This Row],[AI_FAC2]]</f>
        <v>9</v>
      </c>
      <c r="AG42" t="str">
        <f t="shared" si="9"/>
        <v>Support</v>
      </c>
      <c r="AH42">
        <f>survey_responses[[#This Row],[So với trước đây, tôi thấy cách tính thuế và các bậc thuế trong phương án mới đơn giản, dễ hiểu và dễ thực hiện hơn. - HUMAN-FAC2]]</f>
        <v>8</v>
      </c>
      <c r="AI42" t="str">
        <f t="shared" si="10"/>
        <v>Support</v>
      </c>
      <c r="AJ42" s="32">
        <f t="shared" si="11"/>
        <v>1</v>
      </c>
      <c r="AK42">
        <f>step3_validation[[#This Row],[AI_TRU1]]</f>
        <v>8</v>
      </c>
      <c r="AL42" t="str">
        <f t="shared" si="12"/>
        <v>Support</v>
      </c>
      <c r="AM42">
        <f>survey_responses[[#This Row],[Tôi tin rằng Nhà nước, cơ quan thuế sẽ thực thi chính sách mới một cách khách quan, công tâm và đối xử bình đẳng với mọi người nộp thuế.  - HUMAN-TRU1]]</f>
        <v>7</v>
      </c>
      <c r="AN42" t="str">
        <f t="shared" si="13"/>
        <v>Neutral</v>
      </c>
      <c r="AO42" s="32">
        <f t="shared" si="14"/>
        <v>1</v>
      </c>
      <c r="AP42">
        <f>step3_validation[[#This Row],[AI_TRU2]]</f>
        <v>9</v>
      </c>
      <c r="AQ42" t="str">
        <f t="shared" si="15"/>
        <v>Support</v>
      </c>
      <c r="AR42">
        <f>survey_responses[[#This Row],[Tôi thấy mức thuế tôi phải đóng theo phương án mới là công bằng (người thu nhập như tôi đóng mức này là hợp lý). - HUMAN-TRU2]]</f>
        <v>4</v>
      </c>
      <c r="AS42" t="str">
        <f t="shared" si="16"/>
        <v>Oppose</v>
      </c>
      <c r="AT42" s="32">
        <f t="shared" si="17"/>
        <v>5</v>
      </c>
      <c r="AU42">
        <f>step3_validation[[#This Row],[AI_TRU3]]</f>
        <v>8</v>
      </c>
      <c r="AV42" t="str">
        <f t="shared" si="18"/>
        <v>Support</v>
      </c>
      <c r="AW42">
        <f>survey_responses[[#This Row],[Tôi tin tưởng số tiền thuế tôi đóng sẽ được Nhà nước sử dụng hiệu quả để cải thiện dịch vụ công (y tế, đường xá...). - HUMAN-TRU3]]</f>
        <v>2</v>
      </c>
      <c r="AX42" t="str">
        <f t="shared" si="19"/>
        <v>Oppose</v>
      </c>
      <c r="AY42" s="32">
        <f t="shared" si="20"/>
        <v>6</v>
      </c>
      <c r="AZ42">
        <f>step3_validation[[#This Row],[AI_TRU4]]</f>
        <v>9</v>
      </c>
      <c r="BA42" t="str">
        <f t="shared" si="21"/>
        <v>Support</v>
      </c>
      <c r="BB42">
        <f>survey_responses[[#This Row],[Tôi thấy Nhà nước đã giải thích rõ ràng, minh bạch về lý do và mục tiêu của việc sửa đổi thuế lần này. - HUMAN-TRU4]]</f>
        <v>8</v>
      </c>
      <c r="BC42" t="str">
        <f t="shared" si="22"/>
        <v>Support</v>
      </c>
      <c r="BD42" s="32">
        <f t="shared" si="23"/>
        <v>1</v>
      </c>
      <c r="BE42">
        <f>step3_validation[[#This Row],[AI_OUT1]]</f>
        <v>10</v>
      </c>
      <c r="BF42" t="str">
        <f t="shared" si="24"/>
        <v>Support</v>
      </c>
      <c r="BG42">
        <f>survey_responses[[#This Row],[Sau khi xem xét các quyền lợi và nghĩa vụ, bạn có ủng hộ và tuân thủ chính sách mới hiện nay? - HUMAN-OUT1]]</f>
        <v>8</v>
      </c>
      <c r="BH42" t="str">
        <f t="shared" si="25"/>
        <v>Support</v>
      </c>
      <c r="BI42" s="32">
        <f t="shared" si="26"/>
        <v>2</v>
      </c>
    </row>
    <row r="43" spans="1:61" x14ac:dyDescent="0.45">
      <c r="A43" s="30">
        <f>step3_validation[[#This Row],[Persona_ID]]</f>
        <v>42</v>
      </c>
      <c r="B43" s="31">
        <f>step3_validation[[#This Row],[Used_Seed]]</f>
        <v>2067</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44.491598483886804</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7</v>
      </c>
      <c r="R43" t="str">
        <f t="shared" si="0"/>
        <v>Neutral</v>
      </c>
      <c r="S43">
        <f>survey_responses[[#This Row],[Tôi tin rằng với các quy định quản lý thuế hiện nay, hành vi gian lận hoặc trốn thuế sẽ dễ dàng bị phát hiện và xử lý nghiêm. - HUMAN-ENF1]]</f>
        <v>10</v>
      </c>
      <c r="T43" t="str">
        <f t="shared" si="1"/>
        <v>Support</v>
      </c>
      <c r="U43" s="32">
        <f t="shared" si="2"/>
        <v>3</v>
      </c>
      <c r="V43">
        <f>step3_validation[[#This Row],[AI_ENF2]]</f>
        <v>8</v>
      </c>
      <c r="W43" t="str">
        <f t="shared" si="3"/>
        <v>Support</v>
      </c>
      <c r="X43">
        <f>survey_responses[[#This Row],[Tôi tin rằng Nhà nước, cơ quan thuế có đủ khả năng và công nghệ để phát hiện, xử lý nghiêm các hành vi trốn thuế. - HUMAN-ENF2]]</f>
        <v>10</v>
      </c>
      <c r="Y43" t="str">
        <f t="shared" si="4"/>
        <v>Support</v>
      </c>
      <c r="Z43" s="32">
        <f t="shared" si="5"/>
        <v>2</v>
      </c>
      <c r="AA43">
        <f>step3_validation[[#This Row],[AI_FAC1]]</f>
        <v>9</v>
      </c>
      <c r="AB43" t="str">
        <f t="shared" si="6"/>
        <v>Support</v>
      </c>
      <c r="AC43">
        <f>survey_responses[[#This Row],[Các thủ tục khai báo thuế VÀ/HOẶC quy trình làm việc với cơ quan thuế đơn giản, tiện lợi, nhanh chóng hơn so với trước đây. - HUMAN-FAC1]]</f>
        <v>9</v>
      </c>
      <c r="AD43" t="str">
        <f t="shared" si="7"/>
        <v>Support</v>
      </c>
      <c r="AE43" s="32">
        <f t="shared" si="8"/>
        <v>0</v>
      </c>
      <c r="AF43">
        <f>step3_validation[[#This Row],[AI_FAC2]]</f>
        <v>9</v>
      </c>
      <c r="AG43" t="str">
        <f t="shared" si="9"/>
        <v>Support</v>
      </c>
      <c r="AH43">
        <f>survey_responses[[#This Row],[So với trước đây, tôi thấy cách tính thuế và các bậc thuế trong phương án mới đơn giản, dễ hiểu và dễ thực hiện hơn. - HUMAN-FAC2]]</f>
        <v>8</v>
      </c>
      <c r="AI43" t="str">
        <f t="shared" si="10"/>
        <v>Support</v>
      </c>
      <c r="AJ43" s="32">
        <f t="shared" si="11"/>
        <v>1</v>
      </c>
      <c r="AK43">
        <f>step3_validation[[#This Row],[AI_TRU1]]</f>
        <v>8</v>
      </c>
      <c r="AL43" t="str">
        <f t="shared" si="12"/>
        <v>Support</v>
      </c>
      <c r="AM43">
        <f>survey_responses[[#This Row],[Tôi tin rằng Nhà nước, cơ quan thuế sẽ thực thi chính sách mới một cách khách quan, công tâm và đối xử bình đẳng với mọi người nộp thuế.  - HUMAN-TRU1]]</f>
        <v>7</v>
      </c>
      <c r="AN43" t="str">
        <f t="shared" si="13"/>
        <v>Neutral</v>
      </c>
      <c r="AO43" s="32">
        <f t="shared" si="14"/>
        <v>1</v>
      </c>
      <c r="AP43">
        <f>step3_validation[[#This Row],[AI_TRU2]]</f>
        <v>9</v>
      </c>
      <c r="AQ43" t="str">
        <f t="shared" si="15"/>
        <v>Support</v>
      </c>
      <c r="AR43">
        <f>survey_responses[[#This Row],[Tôi thấy mức thuế tôi phải đóng theo phương án mới là công bằng (người thu nhập như tôi đóng mức này là hợp lý). - HUMAN-TRU2]]</f>
        <v>9</v>
      </c>
      <c r="AS43" t="str">
        <f t="shared" si="16"/>
        <v>Support</v>
      </c>
      <c r="AT43" s="32">
        <f t="shared" si="17"/>
        <v>0</v>
      </c>
      <c r="AU43">
        <f>step3_validation[[#This Row],[AI_TRU3]]</f>
        <v>7</v>
      </c>
      <c r="AV43" t="str">
        <f t="shared" si="18"/>
        <v>Neutral</v>
      </c>
      <c r="AW43">
        <f>survey_responses[[#This Row],[Tôi tin tưởng số tiền thuế tôi đóng sẽ được Nhà nước sử dụng hiệu quả để cải thiện dịch vụ công (y tế, đường xá...). - HUMAN-TRU3]]</f>
        <v>9</v>
      </c>
      <c r="AX43" t="str">
        <f t="shared" si="19"/>
        <v>Support</v>
      </c>
      <c r="AY43" s="32">
        <f t="shared" si="20"/>
        <v>2</v>
      </c>
      <c r="AZ43">
        <f>step3_validation[[#This Row],[AI_TRU4]]</f>
        <v>8</v>
      </c>
      <c r="BA43" t="str">
        <f t="shared" si="21"/>
        <v>Support</v>
      </c>
      <c r="BB43">
        <f>survey_responses[[#This Row],[Tôi thấy Nhà nước đã giải thích rõ ràng, minh bạch về lý do và mục tiêu của việc sửa đổi thuế lần này. - HUMAN-TRU4]]</f>
        <v>8</v>
      </c>
      <c r="BC43" t="str">
        <f t="shared" si="22"/>
        <v>Support</v>
      </c>
      <c r="BD43" s="32">
        <f t="shared" si="23"/>
        <v>0</v>
      </c>
      <c r="BE43">
        <f>step3_validation[[#This Row],[AI_OUT1]]</f>
        <v>9</v>
      </c>
      <c r="BF43" t="str">
        <f t="shared" si="24"/>
        <v>Support</v>
      </c>
      <c r="BG43">
        <f>survey_responses[[#This Row],[Sau khi xem xét các quyền lợi và nghĩa vụ, bạn có ủng hộ và tuân thủ chính sách mới hiện nay? - HUMAN-OUT1]]</f>
        <v>8</v>
      </c>
      <c r="BH43" t="str">
        <f t="shared" si="25"/>
        <v>Support</v>
      </c>
      <c r="BI43" s="32">
        <f t="shared" si="26"/>
        <v>1</v>
      </c>
    </row>
    <row r="44" spans="1:61" x14ac:dyDescent="0.45">
      <c r="A44" s="30">
        <f>step3_validation[[#This Row],[Persona_ID]]</f>
        <v>43</v>
      </c>
      <c r="B44" s="31">
        <f>step3_validation[[#This Row],[Used_Seed]]</f>
        <v>2068</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219.69463858226527</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6</v>
      </c>
      <c r="R44" t="str">
        <f t="shared" si="0"/>
        <v>Neutral</v>
      </c>
      <c r="S44">
        <f>survey_responses[[#This Row],[Tôi tin rằng với các quy định quản lý thuế hiện nay, hành vi gian lận hoặc trốn thuế sẽ dễ dàng bị phát hiện và xử lý nghiêm. - HUMAN-ENF1]]</f>
        <v>6</v>
      </c>
      <c r="T44" t="str">
        <f t="shared" si="1"/>
        <v>Neutral</v>
      </c>
      <c r="U44" s="32">
        <f t="shared" si="2"/>
        <v>0</v>
      </c>
      <c r="V44">
        <f>step3_validation[[#This Row],[AI_ENF2]]</f>
        <v>7</v>
      </c>
      <c r="W44" t="str">
        <f t="shared" si="3"/>
        <v>Neutral</v>
      </c>
      <c r="X44">
        <f>survey_responses[[#This Row],[Tôi tin rằng Nhà nước, cơ quan thuế có đủ khả năng và công nghệ để phát hiện, xử lý nghiêm các hành vi trốn thuế. - HUMAN-ENF2]]</f>
        <v>6</v>
      </c>
      <c r="Y44" t="str">
        <f t="shared" si="4"/>
        <v>Neutral</v>
      </c>
      <c r="Z44" s="32">
        <f t="shared" si="5"/>
        <v>1</v>
      </c>
      <c r="AA44">
        <f>step3_validation[[#This Row],[AI_FAC1]]</f>
        <v>8</v>
      </c>
      <c r="AB44" t="str">
        <f t="shared" si="6"/>
        <v>Support</v>
      </c>
      <c r="AC44">
        <f>survey_responses[[#This Row],[Các thủ tục khai báo thuế VÀ/HOẶC quy trình làm việc với cơ quan thuế đơn giản, tiện lợi, nhanh chóng hơn so với trước đây. - HUMAN-FAC1]]</f>
        <v>8</v>
      </c>
      <c r="AD44" t="str">
        <f t="shared" si="7"/>
        <v>Support</v>
      </c>
      <c r="AE44" s="32">
        <f t="shared" si="8"/>
        <v>0</v>
      </c>
      <c r="AF44">
        <f>step3_validation[[#This Row],[AI_FAC2]]</f>
        <v>9</v>
      </c>
      <c r="AG44" t="str">
        <f t="shared" si="9"/>
        <v>Support</v>
      </c>
      <c r="AH44">
        <f>survey_responses[[#This Row],[So với trước đây, tôi thấy cách tính thuế và các bậc thuế trong phương án mới đơn giản, dễ hiểu và dễ thực hiện hơn. - HUMAN-FAC2]]</f>
        <v>10</v>
      </c>
      <c r="AI44" t="str">
        <f t="shared" si="10"/>
        <v>Support</v>
      </c>
      <c r="AJ44" s="32">
        <f t="shared" si="11"/>
        <v>1</v>
      </c>
      <c r="AK44">
        <f>step3_validation[[#This Row],[AI_TRU1]]</f>
        <v>8</v>
      </c>
      <c r="AL44" t="str">
        <f t="shared" si="12"/>
        <v>Support</v>
      </c>
      <c r="AM44">
        <f>survey_responses[[#This Row],[Tôi tin rằng Nhà nước, cơ quan thuế sẽ thực thi chính sách mới một cách khách quan, công tâm và đối xử bình đẳng với mọi người nộp thuế.  - HUMAN-TRU1]]</f>
        <v>9</v>
      </c>
      <c r="AN44" t="str">
        <f t="shared" si="13"/>
        <v>Support</v>
      </c>
      <c r="AO44" s="32">
        <f t="shared" si="14"/>
        <v>1</v>
      </c>
      <c r="AP44">
        <f>step3_validation[[#This Row],[AI_TRU2]]</f>
        <v>9</v>
      </c>
      <c r="AQ44" t="str">
        <f t="shared" si="15"/>
        <v>Support</v>
      </c>
      <c r="AR44">
        <f>survey_responses[[#This Row],[Tôi thấy mức thuế tôi phải đóng theo phương án mới là công bằng (người thu nhập như tôi đóng mức này là hợp lý). - HUMAN-TRU2]]</f>
        <v>1</v>
      </c>
      <c r="AS44" t="str">
        <f t="shared" si="16"/>
        <v>Oppose</v>
      </c>
      <c r="AT44" s="32">
        <f t="shared" si="17"/>
        <v>8</v>
      </c>
      <c r="AU44">
        <f>step3_validation[[#This Row],[AI_TRU3]]</f>
        <v>8</v>
      </c>
      <c r="AV44" t="str">
        <f t="shared" si="18"/>
        <v>Support</v>
      </c>
      <c r="AW44">
        <f>survey_responses[[#This Row],[Tôi tin tưởng số tiền thuế tôi đóng sẽ được Nhà nước sử dụng hiệu quả để cải thiện dịch vụ công (y tế, đường xá...). - HUMAN-TRU3]]</f>
        <v>7</v>
      </c>
      <c r="AX44" t="str">
        <f t="shared" si="19"/>
        <v>Neutral</v>
      </c>
      <c r="AY44" s="32">
        <f t="shared" si="20"/>
        <v>1</v>
      </c>
      <c r="AZ44">
        <f>step3_validation[[#This Row],[AI_TRU4]]</f>
        <v>9</v>
      </c>
      <c r="BA44" t="str">
        <f t="shared" si="21"/>
        <v>Support</v>
      </c>
      <c r="BB44">
        <f>survey_responses[[#This Row],[Tôi thấy Nhà nước đã giải thích rõ ràng, minh bạch về lý do và mục tiêu của việc sửa đổi thuế lần này. - HUMAN-TRU4]]</f>
        <v>7</v>
      </c>
      <c r="BC44" t="str">
        <f t="shared" si="22"/>
        <v>Neutral</v>
      </c>
      <c r="BD44" s="32">
        <f t="shared" si="23"/>
        <v>2</v>
      </c>
      <c r="BE44">
        <f>step3_validation[[#This Row],[AI_OUT1]]</f>
        <v>9</v>
      </c>
      <c r="BF44" t="str">
        <f t="shared" si="24"/>
        <v>Support</v>
      </c>
      <c r="BG44">
        <f>survey_responses[[#This Row],[Sau khi xem xét các quyền lợi và nghĩa vụ, bạn có ủng hộ và tuân thủ chính sách mới hiện nay? - HUMAN-OUT1]]</f>
        <v>8</v>
      </c>
      <c r="BH44" t="str">
        <f t="shared" si="25"/>
        <v>Support</v>
      </c>
      <c r="BI44" s="32">
        <f t="shared" si="26"/>
        <v>1</v>
      </c>
    </row>
    <row r="45" spans="1:61" x14ac:dyDescent="0.45">
      <c r="A45" s="30">
        <f>step3_validation[[#This Row],[Persona_ID]]</f>
        <v>44</v>
      </c>
      <c r="B45" s="31">
        <f>step3_validation[[#This Row],[Used_Seed]]</f>
        <v>2069</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25.502999772061084</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7</v>
      </c>
      <c r="R45" t="str">
        <f t="shared" si="0"/>
        <v>Neutral</v>
      </c>
      <c r="S45">
        <f>survey_responses[[#This Row],[Tôi tin rằng với các quy định quản lý thuế hiện nay, hành vi gian lận hoặc trốn thuế sẽ dễ dàng bị phát hiện và xử lý nghiêm. - HUMAN-ENF1]]</f>
        <v>8</v>
      </c>
      <c r="T45" t="str">
        <f t="shared" si="1"/>
        <v>Support</v>
      </c>
      <c r="U45" s="32">
        <f t="shared" si="2"/>
        <v>1</v>
      </c>
      <c r="V45">
        <f>step3_validation[[#This Row],[AI_ENF2]]</f>
        <v>8</v>
      </c>
      <c r="W45" t="str">
        <f t="shared" si="3"/>
        <v>Support</v>
      </c>
      <c r="X45">
        <f>survey_responses[[#This Row],[Tôi tin rằng Nhà nước, cơ quan thuế có đủ khả năng và công nghệ để phát hiện, xử lý nghiêm các hành vi trốn thuế. - HUMAN-ENF2]]</f>
        <v>8</v>
      </c>
      <c r="Y45" t="str">
        <f t="shared" si="4"/>
        <v>Support</v>
      </c>
      <c r="Z45" s="32">
        <f t="shared" si="5"/>
        <v>0</v>
      </c>
      <c r="AA45">
        <f>step3_validation[[#This Row],[AI_FAC1]]</f>
        <v>9</v>
      </c>
      <c r="AB45" t="str">
        <f t="shared" si="6"/>
        <v>Support</v>
      </c>
      <c r="AC45">
        <f>survey_responses[[#This Row],[Các thủ tục khai báo thuế VÀ/HOẶC quy trình làm việc với cơ quan thuế đơn giản, tiện lợi, nhanh chóng hơn so với trước đây. - HUMAN-FAC1]]</f>
        <v>8</v>
      </c>
      <c r="AD45" t="str">
        <f t="shared" si="7"/>
        <v>Support</v>
      </c>
      <c r="AE45" s="32">
        <f t="shared" si="8"/>
        <v>1</v>
      </c>
      <c r="AF45">
        <f>step3_validation[[#This Row],[AI_FAC2]]</f>
        <v>10</v>
      </c>
      <c r="AG45" t="str">
        <f t="shared" si="9"/>
        <v>Support</v>
      </c>
      <c r="AH45">
        <f>survey_responses[[#This Row],[So với trước đây, tôi thấy cách tính thuế và các bậc thuế trong phương án mới đơn giản, dễ hiểu và dễ thực hiện hơn. - HUMAN-FAC2]]</f>
        <v>8</v>
      </c>
      <c r="AI45" t="str">
        <f t="shared" si="10"/>
        <v>Support</v>
      </c>
      <c r="AJ45" s="32">
        <f t="shared" si="11"/>
        <v>2</v>
      </c>
      <c r="AK45">
        <f>step3_validation[[#This Row],[AI_TRU1]]</f>
        <v>9</v>
      </c>
      <c r="AL45" t="str">
        <f t="shared" si="12"/>
        <v>Support</v>
      </c>
      <c r="AM45">
        <f>survey_responses[[#This Row],[Tôi tin rằng Nhà nước, cơ quan thuế sẽ thực thi chính sách mới một cách khách quan, công tâm và đối xử bình đẳng với mọi người nộp thuế.  - HUMAN-TRU1]]</f>
        <v>8</v>
      </c>
      <c r="AN45" t="str">
        <f t="shared" si="13"/>
        <v>Support</v>
      </c>
      <c r="AO45" s="32">
        <f t="shared" si="14"/>
        <v>1</v>
      </c>
      <c r="AP45">
        <f>step3_validation[[#This Row],[AI_TRU2]]</f>
        <v>8</v>
      </c>
      <c r="AQ45" t="str">
        <f t="shared" si="15"/>
        <v>Support</v>
      </c>
      <c r="AR45">
        <f>survey_responses[[#This Row],[Tôi thấy mức thuế tôi phải đóng theo phương án mới là công bằng (người thu nhập như tôi đóng mức này là hợp lý). - HUMAN-TRU2]]</f>
        <v>8</v>
      </c>
      <c r="AS45" t="str">
        <f t="shared" si="16"/>
        <v>Support</v>
      </c>
      <c r="AT45" s="32">
        <f t="shared" si="17"/>
        <v>0</v>
      </c>
      <c r="AU45">
        <f>step3_validation[[#This Row],[AI_TRU3]]</f>
        <v>9</v>
      </c>
      <c r="AV45" t="str">
        <f t="shared" si="18"/>
        <v>Support</v>
      </c>
      <c r="AW45">
        <f>survey_responses[[#This Row],[Tôi tin tưởng số tiền thuế tôi đóng sẽ được Nhà nước sử dụng hiệu quả để cải thiện dịch vụ công (y tế, đường xá...). - HUMAN-TRU3]]</f>
        <v>9</v>
      </c>
      <c r="AX45" t="str">
        <f t="shared" si="19"/>
        <v>Support</v>
      </c>
      <c r="AY45" s="32">
        <f t="shared" si="20"/>
        <v>0</v>
      </c>
      <c r="AZ45">
        <f>step3_validation[[#This Row],[AI_TRU4]]</f>
        <v>8</v>
      </c>
      <c r="BA45" t="str">
        <f t="shared" si="21"/>
        <v>Support</v>
      </c>
      <c r="BB45">
        <f>survey_responses[[#This Row],[Tôi thấy Nhà nước đã giải thích rõ ràng, minh bạch về lý do và mục tiêu của việc sửa đổi thuế lần này. - HUMAN-TRU4]]</f>
        <v>5</v>
      </c>
      <c r="BC45" t="str">
        <f t="shared" si="22"/>
        <v>Neutral</v>
      </c>
      <c r="BD45" s="32">
        <f t="shared" si="23"/>
        <v>3</v>
      </c>
      <c r="BE45">
        <f>step3_validation[[#This Row],[AI_OUT1]]</f>
        <v>9</v>
      </c>
      <c r="BF45" t="str">
        <f t="shared" si="24"/>
        <v>Support</v>
      </c>
      <c r="BG45">
        <f>survey_responses[[#This Row],[Sau khi xem xét các quyền lợi và nghĩa vụ, bạn có ủng hộ và tuân thủ chính sách mới hiện nay? - HUMAN-OUT1]]</f>
        <v>9</v>
      </c>
      <c r="BH45" t="str">
        <f t="shared" si="25"/>
        <v>Support</v>
      </c>
      <c r="BI45" s="32">
        <f t="shared" si="26"/>
        <v>0</v>
      </c>
    </row>
    <row r="46" spans="1:61" x14ac:dyDescent="0.45">
      <c r="A46" s="30">
        <f>step3_validation[[#This Row],[Persona_ID]]</f>
        <v>45</v>
      </c>
      <c r="B46" s="31">
        <f>step3_validation[[#This Row],[Used_Seed]]</f>
        <v>2070</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25.014512247536622</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8</v>
      </c>
      <c r="R46" t="str">
        <f t="shared" si="0"/>
        <v>Support</v>
      </c>
      <c r="S46">
        <f>survey_responses[[#This Row],[Tôi tin rằng với các quy định quản lý thuế hiện nay, hành vi gian lận hoặc trốn thuế sẽ dễ dàng bị phát hiện và xử lý nghiêm. - HUMAN-ENF1]]</f>
        <v>10</v>
      </c>
      <c r="T46" t="str">
        <f t="shared" si="1"/>
        <v>Support</v>
      </c>
      <c r="U46" s="32">
        <f t="shared" si="2"/>
        <v>2</v>
      </c>
      <c r="V46">
        <f>step3_validation[[#This Row],[AI_ENF2]]</f>
        <v>7</v>
      </c>
      <c r="W46" t="str">
        <f t="shared" si="3"/>
        <v>Neutral</v>
      </c>
      <c r="X46">
        <f>survey_responses[[#This Row],[Tôi tin rằng Nhà nước, cơ quan thuế có đủ khả năng và công nghệ để phát hiện, xử lý nghiêm các hành vi trốn thuế. - HUMAN-ENF2]]</f>
        <v>10</v>
      </c>
      <c r="Y46" t="str">
        <f t="shared" si="4"/>
        <v>Support</v>
      </c>
      <c r="Z46" s="32">
        <f t="shared" si="5"/>
        <v>3</v>
      </c>
      <c r="AA46">
        <f>step3_validation[[#This Row],[AI_FAC1]]</f>
        <v>6</v>
      </c>
      <c r="AB46" t="str">
        <f t="shared" si="6"/>
        <v>Neutral</v>
      </c>
      <c r="AC46">
        <f>survey_responses[[#This Row],[Các thủ tục khai báo thuế VÀ/HOẶC quy trình làm việc với cơ quan thuế đơn giản, tiện lợi, nhanh chóng hơn so với trước đây. - HUMAN-FAC1]]</f>
        <v>10</v>
      </c>
      <c r="AD46" t="str">
        <f t="shared" si="7"/>
        <v>Support</v>
      </c>
      <c r="AE46" s="32">
        <f t="shared" si="8"/>
        <v>4</v>
      </c>
      <c r="AF46">
        <f>step3_validation[[#This Row],[AI_FAC2]]</f>
        <v>9</v>
      </c>
      <c r="AG46" t="str">
        <f t="shared" si="9"/>
        <v>Support</v>
      </c>
      <c r="AH46">
        <f>survey_responses[[#This Row],[So với trước đây, tôi thấy cách tính thuế và các bậc thuế trong phương án mới đơn giản, dễ hiểu và dễ thực hiện hơn. - HUMAN-FAC2]]</f>
        <v>9</v>
      </c>
      <c r="AI46" t="str">
        <f t="shared" si="10"/>
        <v>Support</v>
      </c>
      <c r="AJ46" s="32">
        <f t="shared" si="11"/>
        <v>0</v>
      </c>
      <c r="AK46">
        <f>step3_validation[[#This Row],[AI_TRU1]]</f>
        <v>7</v>
      </c>
      <c r="AL46" t="str">
        <f t="shared" si="12"/>
        <v>Neutral</v>
      </c>
      <c r="AM46">
        <f>survey_responses[[#This Row],[Tôi tin rằng Nhà nước, cơ quan thuế sẽ thực thi chính sách mới một cách khách quan, công tâm và đối xử bình đẳng với mọi người nộp thuế.  - HUMAN-TRU1]]</f>
        <v>10</v>
      </c>
      <c r="AN46" t="str">
        <f t="shared" si="13"/>
        <v>Support</v>
      </c>
      <c r="AO46" s="32">
        <f t="shared" si="14"/>
        <v>3</v>
      </c>
      <c r="AP46">
        <f>step3_validation[[#This Row],[AI_TRU2]]</f>
        <v>9</v>
      </c>
      <c r="AQ46" t="str">
        <f t="shared" si="15"/>
        <v>Support</v>
      </c>
      <c r="AR46">
        <f>survey_responses[[#This Row],[Tôi thấy mức thuế tôi phải đóng theo phương án mới là công bằng (người thu nhập như tôi đóng mức này là hợp lý). - HUMAN-TRU2]]</f>
        <v>10</v>
      </c>
      <c r="AS46" t="str">
        <f t="shared" si="16"/>
        <v>Support</v>
      </c>
      <c r="AT46" s="32">
        <f t="shared" si="17"/>
        <v>1</v>
      </c>
      <c r="AU46">
        <f>step3_validation[[#This Row],[AI_TRU3]]</f>
        <v>7</v>
      </c>
      <c r="AV46" t="str">
        <f t="shared" si="18"/>
        <v>Neutral</v>
      </c>
      <c r="AW46">
        <f>survey_responses[[#This Row],[Tôi tin tưởng số tiền thuế tôi đóng sẽ được Nhà nước sử dụng hiệu quả để cải thiện dịch vụ công (y tế, đường xá...). - HUMAN-TRU3]]</f>
        <v>10</v>
      </c>
      <c r="AX46" t="str">
        <f t="shared" si="19"/>
        <v>Support</v>
      </c>
      <c r="AY46" s="32">
        <f t="shared" si="20"/>
        <v>3</v>
      </c>
      <c r="AZ46">
        <f>step3_validation[[#This Row],[AI_TRU4]]</f>
        <v>6</v>
      </c>
      <c r="BA46" t="str">
        <f t="shared" si="21"/>
        <v>Neutral</v>
      </c>
      <c r="BB46">
        <f>survey_responses[[#This Row],[Tôi thấy Nhà nước đã giải thích rõ ràng, minh bạch về lý do và mục tiêu của việc sửa đổi thuế lần này. - HUMAN-TRU4]]</f>
        <v>10</v>
      </c>
      <c r="BC46" t="str">
        <f t="shared" si="22"/>
        <v>Support</v>
      </c>
      <c r="BD46" s="32">
        <f t="shared" si="23"/>
        <v>4</v>
      </c>
      <c r="BE46">
        <f>step3_validation[[#This Row],[AI_OUT1]]</f>
        <v>9</v>
      </c>
      <c r="BF46" t="str">
        <f t="shared" si="24"/>
        <v>Support</v>
      </c>
      <c r="BG46">
        <f>survey_responses[[#This Row],[Sau khi xem xét các quyền lợi và nghĩa vụ, bạn có ủng hộ và tuân thủ chính sách mới hiện nay? - HUMAN-OUT1]]</f>
        <v>10</v>
      </c>
      <c r="BH46" t="str">
        <f t="shared" si="25"/>
        <v>Support</v>
      </c>
      <c r="BI46" s="32">
        <f t="shared" si="26"/>
        <v>1</v>
      </c>
    </row>
    <row r="47" spans="1:61" x14ac:dyDescent="0.45">
      <c r="A47" s="30">
        <f>step3_validation[[#This Row],[Persona_ID]]</f>
        <v>46</v>
      </c>
      <c r="B47" s="31">
        <f>step3_validation[[#This Row],[Used_Seed]]</f>
        <v>2071</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7</v>
      </c>
      <c r="R47" t="str">
        <f t="shared" si="0"/>
        <v>Neutral</v>
      </c>
      <c r="S47">
        <f>survey_responses[[#This Row],[Tôi tin rằng với các quy định quản lý thuế hiện nay, hành vi gian lận hoặc trốn thuế sẽ dễ dàng bị phát hiện và xử lý nghiêm. - HUMAN-ENF1]]</f>
        <v>1</v>
      </c>
      <c r="T47" t="str">
        <f t="shared" si="1"/>
        <v>Oppose</v>
      </c>
      <c r="U47" s="32">
        <f t="shared" si="2"/>
        <v>6</v>
      </c>
      <c r="V47">
        <f>step3_validation[[#This Row],[AI_ENF2]]</f>
        <v>6</v>
      </c>
      <c r="W47" t="str">
        <f t="shared" si="3"/>
        <v>Neutral</v>
      </c>
      <c r="X47">
        <f>survey_responses[[#This Row],[Tôi tin rằng Nhà nước, cơ quan thuế có đủ khả năng và công nghệ để phát hiện, xử lý nghiêm các hành vi trốn thuế. - HUMAN-ENF2]]</f>
        <v>1</v>
      </c>
      <c r="Y47" t="str">
        <f t="shared" si="4"/>
        <v>Oppose</v>
      </c>
      <c r="Z47" s="32">
        <f t="shared" si="5"/>
        <v>5</v>
      </c>
      <c r="AA47">
        <f>step3_validation[[#This Row],[AI_FAC1]]</f>
        <v>8</v>
      </c>
      <c r="AB47" t="str">
        <f t="shared" si="6"/>
        <v>Support</v>
      </c>
      <c r="AC47">
        <f>survey_responses[[#This Row],[Các thủ tục khai báo thuế VÀ/HOẶC quy trình làm việc với cơ quan thuế đơn giản, tiện lợi, nhanh chóng hơn so với trước đây. - HUMAN-FAC1]]</f>
        <v>2</v>
      </c>
      <c r="AD47" t="str">
        <f t="shared" si="7"/>
        <v>Oppose</v>
      </c>
      <c r="AE47" s="32">
        <f t="shared" si="8"/>
        <v>6</v>
      </c>
      <c r="AF47">
        <f>step3_validation[[#This Row],[AI_FAC2]]</f>
        <v>9</v>
      </c>
      <c r="AG47" t="str">
        <f t="shared" si="9"/>
        <v>Support</v>
      </c>
      <c r="AH47">
        <f>survey_responses[[#This Row],[So với trước đây, tôi thấy cách tính thuế và các bậc thuế trong phương án mới đơn giản, dễ hiểu và dễ thực hiện hơn. - HUMAN-FAC2]]</f>
        <v>1</v>
      </c>
      <c r="AI47" t="str">
        <f t="shared" si="10"/>
        <v>Oppose</v>
      </c>
      <c r="AJ47" s="32">
        <f t="shared" si="11"/>
        <v>8</v>
      </c>
      <c r="AK47">
        <f>step3_validation[[#This Row],[AI_TRU1]]</f>
        <v>8</v>
      </c>
      <c r="AL47" t="str">
        <f t="shared" si="12"/>
        <v>Support</v>
      </c>
      <c r="AM47">
        <f>survey_responses[[#This Row],[Tôi tin rằng Nhà nước, cơ quan thuế sẽ thực thi chính sách mới một cách khách quan, công tâm và đối xử bình đẳng với mọi người nộp thuế.  - HUMAN-TRU1]]</f>
        <v>1</v>
      </c>
      <c r="AN47" t="str">
        <f t="shared" si="13"/>
        <v>Oppose</v>
      </c>
      <c r="AO47" s="32">
        <f t="shared" si="14"/>
        <v>7</v>
      </c>
      <c r="AP47">
        <f>step3_validation[[#This Row],[AI_TRU2]]</f>
        <v>9</v>
      </c>
      <c r="AQ47" t="str">
        <f t="shared" si="15"/>
        <v>Support</v>
      </c>
      <c r="AR47">
        <f>survey_responses[[#This Row],[Tôi thấy mức thuế tôi phải đóng theo phương án mới là công bằng (người thu nhập như tôi đóng mức này là hợp lý). - HUMAN-TRU2]]</f>
        <v>1</v>
      </c>
      <c r="AS47" t="str">
        <f t="shared" si="16"/>
        <v>Oppose</v>
      </c>
      <c r="AT47" s="32">
        <f t="shared" si="17"/>
        <v>8</v>
      </c>
      <c r="AU47">
        <f>step3_validation[[#This Row],[AI_TRU3]]</f>
        <v>8</v>
      </c>
      <c r="AV47" t="str">
        <f t="shared" si="18"/>
        <v>Support</v>
      </c>
      <c r="AW47">
        <f>survey_responses[[#This Row],[Tôi tin tưởng số tiền thuế tôi đóng sẽ được Nhà nước sử dụng hiệu quả để cải thiện dịch vụ công (y tế, đường xá...). - HUMAN-TRU3]]</f>
        <v>1</v>
      </c>
      <c r="AX47" t="str">
        <f t="shared" si="19"/>
        <v>Oppose</v>
      </c>
      <c r="AY47" s="32">
        <f t="shared" si="20"/>
        <v>7</v>
      </c>
      <c r="AZ47">
        <f>step3_validation[[#This Row],[AI_TRU4]]</f>
        <v>7</v>
      </c>
      <c r="BA47" t="str">
        <f t="shared" si="21"/>
        <v>Neutral</v>
      </c>
      <c r="BB47">
        <f>survey_responses[[#This Row],[Tôi thấy Nhà nước đã giải thích rõ ràng, minh bạch về lý do và mục tiêu của việc sửa đổi thuế lần này. - HUMAN-TRU4]]</f>
        <v>1</v>
      </c>
      <c r="BC47" t="str">
        <f t="shared" si="22"/>
        <v>Oppose</v>
      </c>
      <c r="BD47" s="32">
        <f t="shared" si="23"/>
        <v>6</v>
      </c>
      <c r="BE47">
        <f>step3_validation[[#This Row],[AI_OUT1]]</f>
        <v>9</v>
      </c>
      <c r="BF47" t="str">
        <f t="shared" si="24"/>
        <v>Support</v>
      </c>
      <c r="BG47">
        <f>survey_responses[[#This Row],[Sau khi xem xét các quyền lợi và nghĩa vụ, bạn có ủng hộ và tuân thủ chính sách mới hiện nay? - HUMAN-OUT1]]</f>
        <v>1</v>
      </c>
      <c r="BH47" t="str">
        <f t="shared" si="25"/>
        <v>Oppose</v>
      </c>
      <c r="BI47" s="32">
        <f t="shared" si="26"/>
        <v>8</v>
      </c>
    </row>
    <row r="48" spans="1:61" x14ac:dyDescent="0.45">
      <c r="A48" s="30">
        <f>step3_validation[[#This Row],[Persona_ID]]</f>
        <v>47</v>
      </c>
      <c r="B48" s="31">
        <f>step3_validation[[#This Row],[Used_Seed]]</f>
        <v>2072</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6</v>
      </c>
      <c r="R48" t="str">
        <f t="shared" si="0"/>
        <v>Neutral</v>
      </c>
      <c r="S48">
        <f>survey_responses[[#This Row],[Tôi tin rằng với các quy định quản lý thuế hiện nay, hành vi gian lận hoặc trốn thuế sẽ dễ dàng bị phát hiện và xử lý nghiêm. - HUMAN-ENF1]]</f>
        <v>8</v>
      </c>
      <c r="T48" t="str">
        <f t="shared" si="1"/>
        <v>Support</v>
      </c>
      <c r="U48" s="32">
        <f t="shared" si="2"/>
        <v>2</v>
      </c>
      <c r="V48">
        <f>step3_validation[[#This Row],[AI_ENF2]]</f>
        <v>7</v>
      </c>
      <c r="W48" t="str">
        <f t="shared" si="3"/>
        <v>Neutral</v>
      </c>
      <c r="X48">
        <f>survey_responses[[#This Row],[Tôi tin rằng Nhà nước, cơ quan thuế có đủ khả năng và công nghệ để phát hiện, xử lý nghiêm các hành vi trốn thuế. - HUMAN-ENF2]]</f>
        <v>8</v>
      </c>
      <c r="Y48" t="str">
        <f t="shared" si="4"/>
        <v>Support</v>
      </c>
      <c r="Z48" s="32">
        <f t="shared" si="5"/>
        <v>1</v>
      </c>
      <c r="AA48">
        <f>step3_validation[[#This Row],[AI_FAC1]]</f>
        <v>8</v>
      </c>
      <c r="AB48" t="str">
        <f t="shared" si="6"/>
        <v>Support</v>
      </c>
      <c r="AC48">
        <f>survey_responses[[#This Row],[Các thủ tục khai báo thuế VÀ/HOẶC quy trình làm việc với cơ quan thuế đơn giản, tiện lợi, nhanh chóng hơn so với trước đây. - HUMAN-FAC1]]</f>
        <v>8</v>
      </c>
      <c r="AD48" t="str">
        <f t="shared" si="7"/>
        <v>Support</v>
      </c>
      <c r="AE48" s="32">
        <f t="shared" si="8"/>
        <v>0</v>
      </c>
      <c r="AF48">
        <f>step3_validation[[#This Row],[AI_FAC2]]</f>
        <v>9</v>
      </c>
      <c r="AG48" t="str">
        <f t="shared" si="9"/>
        <v>Support</v>
      </c>
      <c r="AH48">
        <f>survey_responses[[#This Row],[So với trước đây, tôi thấy cách tính thuế và các bậc thuế trong phương án mới đơn giản, dễ hiểu và dễ thực hiện hơn. - HUMAN-FAC2]]</f>
        <v>7</v>
      </c>
      <c r="AI48" t="str">
        <f t="shared" si="10"/>
        <v>Neutral</v>
      </c>
      <c r="AJ48" s="32">
        <f t="shared" si="11"/>
        <v>2</v>
      </c>
      <c r="AK48">
        <f>step3_validation[[#This Row],[AI_TRU1]]</f>
        <v>7</v>
      </c>
      <c r="AL48" t="str">
        <f t="shared" si="12"/>
        <v>Neutral</v>
      </c>
      <c r="AM48">
        <f>survey_responses[[#This Row],[Tôi tin rằng Nhà nước, cơ quan thuế sẽ thực thi chính sách mới một cách khách quan, công tâm và đối xử bình đẳng với mọi người nộp thuế.  - HUMAN-TRU1]]</f>
        <v>6</v>
      </c>
      <c r="AN48" t="str">
        <f t="shared" si="13"/>
        <v>Neutral</v>
      </c>
      <c r="AO48" s="32">
        <f t="shared" si="14"/>
        <v>1</v>
      </c>
      <c r="AP48">
        <f>step3_validation[[#This Row],[AI_TRU2]]</f>
        <v>8</v>
      </c>
      <c r="AQ48" t="str">
        <f t="shared" si="15"/>
        <v>Support</v>
      </c>
      <c r="AR48">
        <f>survey_responses[[#This Row],[Tôi thấy mức thuế tôi phải đóng theo phương án mới là công bằng (người thu nhập như tôi đóng mức này là hợp lý). - HUMAN-TRU2]]</f>
        <v>8</v>
      </c>
      <c r="AS48" t="str">
        <f t="shared" si="16"/>
        <v>Support</v>
      </c>
      <c r="AT48" s="32">
        <f t="shared" si="17"/>
        <v>0</v>
      </c>
      <c r="AU48">
        <f>step3_validation[[#This Row],[AI_TRU3]]</f>
        <v>7</v>
      </c>
      <c r="AV48" t="str">
        <f t="shared" si="18"/>
        <v>Neutral</v>
      </c>
      <c r="AW48">
        <f>survey_responses[[#This Row],[Tôi tin tưởng số tiền thuế tôi đóng sẽ được Nhà nước sử dụng hiệu quả để cải thiện dịch vụ công (y tế, đường xá...). - HUMAN-TRU3]]</f>
        <v>8</v>
      </c>
      <c r="AX48" t="str">
        <f t="shared" si="19"/>
        <v>Support</v>
      </c>
      <c r="AY48" s="32">
        <f t="shared" si="20"/>
        <v>1</v>
      </c>
      <c r="AZ48">
        <f>step3_validation[[#This Row],[AI_TRU4]]</f>
        <v>6</v>
      </c>
      <c r="BA48" t="str">
        <f t="shared" si="21"/>
        <v>Neutral</v>
      </c>
      <c r="BB48">
        <f>survey_responses[[#This Row],[Tôi thấy Nhà nước đã giải thích rõ ràng, minh bạch về lý do và mục tiêu của việc sửa đổi thuế lần này. - HUMAN-TRU4]]</f>
        <v>9</v>
      </c>
      <c r="BC48" t="str">
        <f t="shared" si="22"/>
        <v>Support</v>
      </c>
      <c r="BD48" s="32">
        <f t="shared" si="23"/>
        <v>3</v>
      </c>
      <c r="BE48">
        <f>step3_validation[[#This Row],[AI_OUT1]]</f>
        <v>9</v>
      </c>
      <c r="BF48" t="str">
        <f t="shared" si="24"/>
        <v>Support</v>
      </c>
      <c r="BG48">
        <f>survey_responses[[#This Row],[Sau khi xem xét các quyền lợi và nghĩa vụ, bạn có ủng hộ và tuân thủ chính sách mới hiện nay? - HUMAN-OUT1]]</f>
        <v>8</v>
      </c>
      <c r="BH48" t="str">
        <f t="shared" si="25"/>
        <v>Support</v>
      </c>
      <c r="BI48" s="32">
        <f t="shared" si="26"/>
        <v>1</v>
      </c>
    </row>
    <row r="49" spans="1:61" x14ac:dyDescent="0.45">
      <c r="A49" s="30">
        <f>step3_validation[[#This Row],[Persona_ID]]</f>
        <v>48</v>
      </c>
      <c r="B49" s="31">
        <f>step3_validation[[#This Row],[Used_Seed]]</f>
        <v>2073</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46.731063330532756</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8</v>
      </c>
      <c r="R49" t="str">
        <f t="shared" si="0"/>
        <v>Support</v>
      </c>
      <c r="S49">
        <f>survey_responses[[#This Row],[Tôi tin rằng với các quy định quản lý thuế hiện nay, hành vi gian lận hoặc trốn thuế sẽ dễ dàng bị phát hiện và xử lý nghiêm. - HUMAN-ENF1]]</f>
        <v>10</v>
      </c>
      <c r="T49" t="str">
        <f t="shared" si="1"/>
        <v>Support</v>
      </c>
      <c r="U49" s="32">
        <f t="shared" si="2"/>
        <v>2</v>
      </c>
      <c r="V49">
        <f>step3_validation[[#This Row],[AI_ENF2]]</f>
        <v>8</v>
      </c>
      <c r="W49" t="str">
        <f t="shared" si="3"/>
        <v>Support</v>
      </c>
      <c r="X49">
        <f>survey_responses[[#This Row],[Tôi tin rằng Nhà nước, cơ quan thuế có đủ khả năng và công nghệ để phát hiện, xử lý nghiêm các hành vi trốn thuế. - HUMAN-ENF2]]</f>
        <v>10</v>
      </c>
      <c r="Y49" t="str">
        <f t="shared" si="4"/>
        <v>Support</v>
      </c>
      <c r="Z49" s="32">
        <f t="shared" si="5"/>
        <v>2</v>
      </c>
      <c r="AA49">
        <f>step3_validation[[#This Row],[AI_FAC1]]</f>
        <v>9</v>
      </c>
      <c r="AB49" t="str">
        <f t="shared" si="6"/>
        <v>Support</v>
      </c>
      <c r="AC49">
        <f>survey_responses[[#This Row],[Các thủ tục khai báo thuế VÀ/HOẶC quy trình làm việc với cơ quan thuế đơn giản, tiện lợi, nhanh chóng hơn so với trước đây. - HUMAN-FAC1]]</f>
        <v>10</v>
      </c>
      <c r="AD49" t="str">
        <f t="shared" si="7"/>
        <v>Support</v>
      </c>
      <c r="AE49" s="32">
        <f t="shared" si="8"/>
        <v>1</v>
      </c>
      <c r="AF49">
        <f>step3_validation[[#This Row],[AI_FAC2]]</f>
        <v>9</v>
      </c>
      <c r="AG49" t="str">
        <f t="shared" si="9"/>
        <v>Support</v>
      </c>
      <c r="AH49">
        <f>survey_responses[[#This Row],[So với trước đây, tôi thấy cách tính thuế và các bậc thuế trong phương án mới đơn giản, dễ hiểu và dễ thực hiện hơn. - HUMAN-FAC2]]</f>
        <v>10</v>
      </c>
      <c r="AI49" t="str">
        <f t="shared" si="10"/>
        <v>Support</v>
      </c>
      <c r="AJ49" s="32">
        <f t="shared" si="11"/>
        <v>1</v>
      </c>
      <c r="AK49">
        <f>step3_validation[[#This Row],[AI_TRU1]]</f>
        <v>7</v>
      </c>
      <c r="AL49" t="str">
        <f t="shared" si="12"/>
        <v>Neutral</v>
      </c>
      <c r="AM49">
        <f>survey_responses[[#This Row],[Tôi tin rằng Nhà nước, cơ quan thuế sẽ thực thi chính sách mới một cách khách quan, công tâm và đối xử bình đẳng với mọi người nộp thuế.  - HUMAN-TRU1]]</f>
        <v>10</v>
      </c>
      <c r="AN49" t="str">
        <f t="shared" si="13"/>
        <v>Support</v>
      </c>
      <c r="AO49" s="32">
        <f t="shared" si="14"/>
        <v>3</v>
      </c>
      <c r="AP49">
        <f>step3_validation[[#This Row],[AI_TRU2]]</f>
        <v>9</v>
      </c>
      <c r="AQ49" t="str">
        <f t="shared" si="15"/>
        <v>Support</v>
      </c>
      <c r="AR49">
        <f>survey_responses[[#This Row],[Tôi thấy mức thuế tôi phải đóng theo phương án mới là công bằng (người thu nhập như tôi đóng mức này là hợp lý). - HUMAN-TRU2]]</f>
        <v>10</v>
      </c>
      <c r="AS49" t="str">
        <f t="shared" si="16"/>
        <v>Support</v>
      </c>
      <c r="AT49" s="32">
        <f t="shared" si="17"/>
        <v>1</v>
      </c>
      <c r="AU49">
        <f>step3_validation[[#This Row],[AI_TRU3]]</f>
        <v>8</v>
      </c>
      <c r="AV49" t="str">
        <f t="shared" si="18"/>
        <v>Support</v>
      </c>
      <c r="AW49">
        <f>survey_responses[[#This Row],[Tôi tin tưởng số tiền thuế tôi đóng sẽ được Nhà nước sử dụng hiệu quả để cải thiện dịch vụ công (y tế, đường xá...). - HUMAN-TRU3]]</f>
        <v>10</v>
      </c>
      <c r="AX49" t="str">
        <f t="shared" si="19"/>
        <v>Support</v>
      </c>
      <c r="AY49" s="32">
        <f t="shared" si="20"/>
        <v>2</v>
      </c>
      <c r="AZ49">
        <f>step3_validation[[#This Row],[AI_TRU4]]</f>
        <v>8</v>
      </c>
      <c r="BA49" t="str">
        <f t="shared" si="21"/>
        <v>Support</v>
      </c>
      <c r="BB49">
        <f>survey_responses[[#This Row],[Tôi thấy Nhà nước đã giải thích rõ ràng, minh bạch về lý do và mục tiêu của việc sửa đổi thuế lần này. - HUMAN-TRU4]]</f>
        <v>10</v>
      </c>
      <c r="BC49" t="str">
        <f t="shared" si="22"/>
        <v>Support</v>
      </c>
      <c r="BD49" s="32">
        <f t="shared" si="23"/>
        <v>2</v>
      </c>
      <c r="BE49">
        <f>step3_validation[[#This Row],[AI_OUT1]]</f>
        <v>8</v>
      </c>
      <c r="BF49" t="str">
        <f t="shared" si="24"/>
        <v>Support</v>
      </c>
      <c r="BG49">
        <f>survey_responses[[#This Row],[Sau khi xem xét các quyền lợi và nghĩa vụ, bạn có ủng hộ và tuân thủ chính sách mới hiện nay? - HUMAN-OUT1]]</f>
        <v>10</v>
      </c>
      <c r="BH49" t="str">
        <f t="shared" si="25"/>
        <v>Support</v>
      </c>
      <c r="BI49" s="32">
        <f t="shared" si="26"/>
        <v>2</v>
      </c>
    </row>
    <row r="50" spans="1:61" x14ac:dyDescent="0.45">
      <c r="A50" s="30">
        <f>step3_validation[[#This Row],[Persona_ID]]</f>
        <v>49</v>
      </c>
      <c r="B50" s="31">
        <f>step3_validation[[#This Row],[Used_Seed]]</f>
        <v>2074</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127.15811609299585</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7</v>
      </c>
      <c r="R50" t="str">
        <f t="shared" si="0"/>
        <v>Neutral</v>
      </c>
      <c r="S50">
        <f>survey_responses[[#This Row],[Tôi tin rằng với các quy định quản lý thuế hiện nay, hành vi gian lận hoặc trốn thuế sẽ dễ dàng bị phát hiện và xử lý nghiêm. - HUMAN-ENF1]]</f>
        <v>8</v>
      </c>
      <c r="T50" t="str">
        <f t="shared" si="1"/>
        <v>Support</v>
      </c>
      <c r="U50" s="32">
        <f t="shared" si="2"/>
        <v>1</v>
      </c>
      <c r="V50">
        <f>step3_validation[[#This Row],[AI_ENF2]]</f>
        <v>8</v>
      </c>
      <c r="W50" t="str">
        <f t="shared" si="3"/>
        <v>Support</v>
      </c>
      <c r="X50">
        <f>survey_responses[[#This Row],[Tôi tin rằng Nhà nước, cơ quan thuế có đủ khả năng và công nghệ để phát hiện, xử lý nghiêm các hành vi trốn thuế. - HUMAN-ENF2]]</f>
        <v>8</v>
      </c>
      <c r="Y50" t="str">
        <f t="shared" si="4"/>
        <v>Support</v>
      </c>
      <c r="Z50" s="32">
        <f t="shared" si="5"/>
        <v>0</v>
      </c>
      <c r="AA50">
        <f>step3_validation[[#This Row],[AI_FAC1]]</f>
        <v>9</v>
      </c>
      <c r="AB50" t="str">
        <f t="shared" si="6"/>
        <v>Support</v>
      </c>
      <c r="AC50">
        <f>survey_responses[[#This Row],[Các thủ tục khai báo thuế VÀ/HOẶC quy trình làm việc với cơ quan thuế đơn giản, tiện lợi, nhanh chóng hơn so với trước đây. - HUMAN-FAC1]]</f>
        <v>7</v>
      </c>
      <c r="AD50" t="str">
        <f t="shared" si="7"/>
        <v>Neutral</v>
      </c>
      <c r="AE50" s="32">
        <f t="shared" si="8"/>
        <v>2</v>
      </c>
      <c r="AF50">
        <f>step3_validation[[#This Row],[AI_FAC2]]</f>
        <v>10</v>
      </c>
      <c r="AG50" t="str">
        <f t="shared" si="9"/>
        <v>Support</v>
      </c>
      <c r="AH50">
        <f>survey_responses[[#This Row],[So với trước đây, tôi thấy cách tính thuế và các bậc thuế trong phương án mới đơn giản, dễ hiểu và dễ thực hiện hơn. - HUMAN-FAC2]]</f>
        <v>8</v>
      </c>
      <c r="AI50" t="str">
        <f t="shared" si="10"/>
        <v>Support</v>
      </c>
      <c r="AJ50" s="32">
        <f t="shared" si="11"/>
        <v>2</v>
      </c>
      <c r="AK50">
        <f>step3_validation[[#This Row],[AI_TRU1]]</f>
        <v>7</v>
      </c>
      <c r="AL50" t="str">
        <f t="shared" si="12"/>
        <v>Neutral</v>
      </c>
      <c r="AM50">
        <f>survey_responses[[#This Row],[Tôi tin rằng Nhà nước, cơ quan thuế sẽ thực thi chính sách mới một cách khách quan, công tâm và đối xử bình đẳng với mọi người nộp thuế.  - HUMAN-TRU1]]</f>
        <v>6</v>
      </c>
      <c r="AN50" t="str">
        <f t="shared" si="13"/>
        <v>Neutral</v>
      </c>
      <c r="AO50" s="32">
        <f t="shared" si="14"/>
        <v>1</v>
      </c>
      <c r="AP50">
        <f>step3_validation[[#This Row],[AI_TRU2]]</f>
        <v>9</v>
      </c>
      <c r="AQ50" t="str">
        <f t="shared" si="15"/>
        <v>Support</v>
      </c>
      <c r="AR50">
        <f>survey_responses[[#This Row],[Tôi thấy mức thuế tôi phải đóng theo phương án mới là công bằng (người thu nhập như tôi đóng mức này là hợp lý). - HUMAN-TRU2]]</f>
        <v>8</v>
      </c>
      <c r="AS50" t="str">
        <f t="shared" si="16"/>
        <v>Support</v>
      </c>
      <c r="AT50" s="32">
        <f t="shared" si="17"/>
        <v>1</v>
      </c>
      <c r="AU50">
        <f>step3_validation[[#This Row],[AI_TRU3]]</f>
        <v>8</v>
      </c>
      <c r="AV50" t="str">
        <f t="shared" si="18"/>
        <v>Support</v>
      </c>
      <c r="AW50">
        <f>survey_responses[[#This Row],[Tôi tin tưởng số tiền thuế tôi đóng sẽ được Nhà nước sử dụng hiệu quả để cải thiện dịch vụ công (y tế, đường xá...). - HUMAN-TRU3]]</f>
        <v>6</v>
      </c>
      <c r="AX50" t="str">
        <f t="shared" si="19"/>
        <v>Neutral</v>
      </c>
      <c r="AY50" s="32">
        <f t="shared" si="20"/>
        <v>2</v>
      </c>
      <c r="AZ50">
        <f>step3_validation[[#This Row],[AI_TRU4]]</f>
        <v>7</v>
      </c>
      <c r="BA50" t="str">
        <f t="shared" si="21"/>
        <v>Neutral</v>
      </c>
      <c r="BB50">
        <f>survey_responses[[#This Row],[Tôi thấy Nhà nước đã giải thích rõ ràng, minh bạch về lý do và mục tiêu của việc sửa đổi thuế lần này. - HUMAN-TRU4]]</f>
        <v>5</v>
      </c>
      <c r="BC50" t="str">
        <f t="shared" si="22"/>
        <v>Neutral</v>
      </c>
      <c r="BD50" s="32">
        <f t="shared" si="23"/>
        <v>2</v>
      </c>
      <c r="BE50">
        <f>step3_validation[[#This Row],[AI_OUT1]]</f>
        <v>9</v>
      </c>
      <c r="BF50" t="str">
        <f t="shared" si="24"/>
        <v>Support</v>
      </c>
      <c r="BG50">
        <f>survey_responses[[#This Row],[Sau khi xem xét các quyền lợi và nghĩa vụ, bạn có ủng hộ và tuân thủ chính sách mới hiện nay? - HUMAN-OUT1]]</f>
        <v>8</v>
      </c>
      <c r="BH50" t="str">
        <f t="shared" si="25"/>
        <v>Support</v>
      </c>
      <c r="BI50" s="32">
        <f t="shared" si="26"/>
        <v>1</v>
      </c>
    </row>
    <row r="51" spans="1:61" x14ac:dyDescent="0.45">
      <c r="A51" s="30">
        <f>step3_validation[[#This Row],[Persona_ID]]</f>
        <v>50</v>
      </c>
      <c r="B51" s="31">
        <f>step3_validation[[#This Row],[Used_Seed]]</f>
        <v>2075</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20.537467236225865</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8</v>
      </c>
      <c r="R51" t="str">
        <f t="shared" si="0"/>
        <v>Support</v>
      </c>
      <c r="S51">
        <f>survey_responses[[#This Row],[Tôi tin rằng với các quy định quản lý thuế hiện nay, hành vi gian lận hoặc trốn thuế sẽ dễ dàng bị phát hiện và xử lý nghiêm. - HUMAN-ENF1]]</f>
        <v>10</v>
      </c>
      <c r="T51" t="str">
        <f t="shared" si="1"/>
        <v>Support</v>
      </c>
      <c r="U51" s="32">
        <f t="shared" si="2"/>
        <v>2</v>
      </c>
      <c r="V51">
        <f>step3_validation[[#This Row],[AI_ENF2]]</f>
        <v>9</v>
      </c>
      <c r="W51" t="str">
        <f t="shared" si="3"/>
        <v>Support</v>
      </c>
      <c r="X51">
        <f>survey_responses[[#This Row],[Tôi tin rằng Nhà nước, cơ quan thuế có đủ khả năng và công nghệ để phát hiện, xử lý nghiêm các hành vi trốn thuế. - HUMAN-ENF2]]</f>
        <v>10</v>
      </c>
      <c r="Y51" t="str">
        <f t="shared" si="4"/>
        <v>Support</v>
      </c>
      <c r="Z51" s="32">
        <f t="shared" si="5"/>
        <v>1</v>
      </c>
      <c r="AA51">
        <f>step3_validation[[#This Row],[AI_FAC1]]</f>
        <v>8</v>
      </c>
      <c r="AB51" t="str">
        <f t="shared" si="6"/>
        <v>Support</v>
      </c>
      <c r="AC51">
        <f>survey_responses[[#This Row],[Các thủ tục khai báo thuế VÀ/HOẶC quy trình làm việc với cơ quan thuế đơn giản, tiện lợi, nhanh chóng hơn so với trước đây. - HUMAN-FAC1]]</f>
        <v>10</v>
      </c>
      <c r="AD51" t="str">
        <f t="shared" si="7"/>
        <v>Support</v>
      </c>
      <c r="AE51" s="32">
        <f t="shared" si="8"/>
        <v>2</v>
      </c>
      <c r="AF51">
        <f>step3_validation[[#This Row],[AI_FAC2]]</f>
        <v>9</v>
      </c>
      <c r="AG51" t="str">
        <f t="shared" si="9"/>
        <v>Support</v>
      </c>
      <c r="AH51">
        <f>survey_responses[[#This Row],[So với trước đây, tôi thấy cách tính thuế và các bậc thuế trong phương án mới đơn giản, dễ hiểu và dễ thực hiện hơn. - HUMAN-FAC2]]</f>
        <v>8</v>
      </c>
      <c r="AI51" t="str">
        <f t="shared" si="10"/>
        <v>Support</v>
      </c>
      <c r="AJ51" s="32">
        <f t="shared" si="11"/>
        <v>1</v>
      </c>
      <c r="AK51">
        <f>step3_validation[[#This Row],[AI_TRU1]]</f>
        <v>8</v>
      </c>
      <c r="AL51" t="str">
        <f t="shared" si="12"/>
        <v>Support</v>
      </c>
      <c r="AM51">
        <f>survey_responses[[#This Row],[Tôi tin rằng Nhà nước, cơ quan thuế sẽ thực thi chính sách mới một cách khách quan, công tâm và đối xử bình đẳng với mọi người nộp thuế.  - HUMAN-TRU1]]</f>
        <v>8</v>
      </c>
      <c r="AN51" t="str">
        <f t="shared" si="13"/>
        <v>Support</v>
      </c>
      <c r="AO51" s="32">
        <f t="shared" si="14"/>
        <v>0</v>
      </c>
      <c r="AP51">
        <f>step3_validation[[#This Row],[AI_TRU2]]</f>
        <v>9</v>
      </c>
      <c r="AQ51" t="str">
        <f t="shared" si="15"/>
        <v>Support</v>
      </c>
      <c r="AR51">
        <f>survey_responses[[#This Row],[Tôi thấy mức thuế tôi phải đóng theo phương án mới là công bằng (người thu nhập như tôi đóng mức này là hợp lý). - HUMAN-TRU2]]</f>
        <v>8</v>
      </c>
      <c r="AS51" t="str">
        <f t="shared" si="16"/>
        <v>Support</v>
      </c>
      <c r="AT51" s="32">
        <f t="shared" si="17"/>
        <v>1</v>
      </c>
      <c r="AU51">
        <f>step3_validation[[#This Row],[AI_TRU3]]</f>
        <v>8</v>
      </c>
      <c r="AV51" t="str">
        <f t="shared" si="18"/>
        <v>Support</v>
      </c>
      <c r="AW51">
        <f>survey_responses[[#This Row],[Tôi tin tưởng số tiền thuế tôi đóng sẽ được Nhà nước sử dụng hiệu quả để cải thiện dịch vụ công (y tế, đường xá...). - HUMAN-TRU3]]</f>
        <v>8</v>
      </c>
      <c r="AX51" t="str">
        <f t="shared" si="19"/>
        <v>Support</v>
      </c>
      <c r="AY51" s="32">
        <f t="shared" si="20"/>
        <v>0</v>
      </c>
      <c r="AZ51">
        <f>step3_validation[[#This Row],[AI_TRU4]]</f>
        <v>9</v>
      </c>
      <c r="BA51" t="str">
        <f t="shared" si="21"/>
        <v>Support</v>
      </c>
      <c r="BB51">
        <f>survey_responses[[#This Row],[Tôi thấy Nhà nước đã giải thích rõ ràng, minh bạch về lý do và mục tiêu của việc sửa đổi thuế lần này. - HUMAN-TRU4]]</f>
        <v>8</v>
      </c>
      <c r="BC51" t="str">
        <f t="shared" si="22"/>
        <v>Support</v>
      </c>
      <c r="BD51" s="32">
        <f t="shared" si="23"/>
        <v>1</v>
      </c>
      <c r="BE51">
        <f>step3_validation[[#This Row],[AI_OUT1]]</f>
        <v>8</v>
      </c>
      <c r="BF51" t="str">
        <f t="shared" si="24"/>
        <v>Support</v>
      </c>
      <c r="BG51">
        <f>survey_responses[[#This Row],[Sau khi xem xét các quyền lợi và nghĩa vụ, bạn có ủng hộ và tuân thủ chính sách mới hiện nay? - HUMAN-OUT1]]</f>
        <v>8</v>
      </c>
      <c r="BH51" t="str">
        <f t="shared" si="25"/>
        <v>Support</v>
      </c>
      <c r="BI51" s="32">
        <f t="shared" si="26"/>
        <v>0</v>
      </c>
    </row>
    <row r="52" spans="1:61" x14ac:dyDescent="0.45">
      <c r="A52" s="30">
        <f>step3_validation[[#This Row],[Persona_ID]]</f>
        <v>51</v>
      </c>
      <c r="B52" s="31">
        <f>step3_validation[[#This Row],[Used_Seed]]</f>
        <v>2076</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12.678193407051058</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6</v>
      </c>
      <c r="R52" t="str">
        <f t="shared" si="0"/>
        <v>Neutral</v>
      </c>
      <c r="S52">
        <f>survey_responses[[#This Row],[Tôi tin rằng với các quy định quản lý thuế hiện nay, hành vi gian lận hoặc trốn thuế sẽ dễ dàng bị phát hiện và xử lý nghiêm. - HUMAN-ENF1]]</f>
        <v>10</v>
      </c>
      <c r="T52" t="str">
        <f t="shared" si="1"/>
        <v>Support</v>
      </c>
      <c r="U52" s="32">
        <f t="shared" si="2"/>
        <v>4</v>
      </c>
      <c r="V52">
        <f>step3_validation[[#This Row],[AI_ENF2]]</f>
        <v>6</v>
      </c>
      <c r="W52" t="str">
        <f t="shared" si="3"/>
        <v>Neutral</v>
      </c>
      <c r="X52">
        <f>survey_responses[[#This Row],[Tôi tin rằng Nhà nước, cơ quan thuế có đủ khả năng và công nghệ để phát hiện, xử lý nghiêm các hành vi trốn thuế. - HUMAN-ENF2]]</f>
        <v>10</v>
      </c>
      <c r="Y52" t="str">
        <f t="shared" si="4"/>
        <v>Support</v>
      </c>
      <c r="Z52" s="32">
        <f t="shared" si="5"/>
        <v>4</v>
      </c>
      <c r="AA52">
        <f>step3_validation[[#This Row],[AI_FAC1]]</f>
        <v>7</v>
      </c>
      <c r="AB52" t="str">
        <f t="shared" si="6"/>
        <v>Neutral</v>
      </c>
      <c r="AC52">
        <f>survey_responses[[#This Row],[Các thủ tục khai báo thuế VÀ/HOẶC quy trình làm việc với cơ quan thuế đơn giản, tiện lợi, nhanh chóng hơn so với trước đây. - HUMAN-FAC1]]</f>
        <v>10</v>
      </c>
      <c r="AD52" t="str">
        <f t="shared" si="7"/>
        <v>Support</v>
      </c>
      <c r="AE52" s="32">
        <f t="shared" si="8"/>
        <v>3</v>
      </c>
      <c r="AF52">
        <f>step3_validation[[#This Row],[AI_FAC2]]</f>
        <v>9</v>
      </c>
      <c r="AG52" t="str">
        <f t="shared" si="9"/>
        <v>Support</v>
      </c>
      <c r="AH52">
        <f>survey_responses[[#This Row],[So với trước đây, tôi thấy cách tính thuế và các bậc thuế trong phương án mới đơn giản, dễ hiểu và dễ thực hiện hơn. - HUMAN-FAC2]]</f>
        <v>10</v>
      </c>
      <c r="AI52" t="str">
        <f t="shared" si="10"/>
        <v>Support</v>
      </c>
      <c r="AJ52" s="32">
        <f t="shared" si="11"/>
        <v>1</v>
      </c>
      <c r="AK52">
        <f>step3_validation[[#This Row],[AI_TRU1]]</f>
        <v>7</v>
      </c>
      <c r="AL52" t="str">
        <f t="shared" si="12"/>
        <v>Neutral</v>
      </c>
      <c r="AM52">
        <f>survey_responses[[#This Row],[Tôi tin rằng Nhà nước, cơ quan thuế sẽ thực thi chính sách mới một cách khách quan, công tâm và đối xử bình đẳng với mọi người nộp thuế.  - HUMAN-TRU1]]</f>
        <v>10</v>
      </c>
      <c r="AN52" t="str">
        <f t="shared" si="13"/>
        <v>Support</v>
      </c>
      <c r="AO52" s="32">
        <f t="shared" si="14"/>
        <v>3</v>
      </c>
      <c r="AP52">
        <f>step3_validation[[#This Row],[AI_TRU2]]</f>
        <v>9</v>
      </c>
      <c r="AQ52" t="str">
        <f t="shared" si="15"/>
        <v>Support</v>
      </c>
      <c r="AR52">
        <f>survey_responses[[#This Row],[Tôi thấy mức thuế tôi phải đóng theo phương án mới là công bằng (người thu nhập như tôi đóng mức này là hợp lý). - HUMAN-TRU2]]</f>
        <v>10</v>
      </c>
      <c r="AS52" t="str">
        <f t="shared" si="16"/>
        <v>Support</v>
      </c>
      <c r="AT52" s="32">
        <f t="shared" si="17"/>
        <v>1</v>
      </c>
      <c r="AU52">
        <f>step3_validation[[#This Row],[AI_TRU3]]</f>
        <v>7</v>
      </c>
      <c r="AV52" t="str">
        <f t="shared" si="18"/>
        <v>Neutral</v>
      </c>
      <c r="AW52">
        <f>survey_responses[[#This Row],[Tôi tin tưởng số tiền thuế tôi đóng sẽ được Nhà nước sử dụng hiệu quả để cải thiện dịch vụ công (y tế, đường xá...). - HUMAN-TRU3]]</f>
        <v>10</v>
      </c>
      <c r="AX52" t="str">
        <f t="shared" si="19"/>
        <v>Support</v>
      </c>
      <c r="AY52" s="32">
        <f t="shared" si="20"/>
        <v>3</v>
      </c>
      <c r="AZ52">
        <f>step3_validation[[#This Row],[AI_TRU4]]</f>
        <v>8</v>
      </c>
      <c r="BA52" t="str">
        <f t="shared" si="21"/>
        <v>Support</v>
      </c>
      <c r="BB52">
        <f>survey_responses[[#This Row],[Tôi thấy Nhà nước đã giải thích rõ ràng, minh bạch về lý do và mục tiêu của việc sửa đổi thuế lần này. - HUMAN-TRU4]]</f>
        <v>10</v>
      </c>
      <c r="BC52" t="str">
        <f t="shared" si="22"/>
        <v>Support</v>
      </c>
      <c r="BD52" s="32">
        <f t="shared" si="23"/>
        <v>2</v>
      </c>
      <c r="BE52">
        <f>step3_validation[[#This Row],[AI_OUT1]]</f>
        <v>9</v>
      </c>
      <c r="BF52" t="str">
        <f t="shared" si="24"/>
        <v>Support</v>
      </c>
      <c r="BG52">
        <f>survey_responses[[#This Row],[Sau khi xem xét các quyền lợi và nghĩa vụ, bạn có ủng hộ và tuân thủ chính sách mới hiện nay? - HUMAN-OUT1]]</f>
        <v>10</v>
      </c>
      <c r="BH52" t="str">
        <f t="shared" si="25"/>
        <v>Support</v>
      </c>
      <c r="BI52" s="32">
        <f t="shared" si="26"/>
        <v>1</v>
      </c>
    </row>
    <row r="53" spans="1:61" x14ac:dyDescent="0.45">
      <c r="A53" s="30">
        <f>step3_validation[[#This Row],[Persona_ID]]</f>
        <v>52</v>
      </c>
      <c r="B53" s="31">
        <f>step3_validation[[#This Row],[Used_Seed]]</f>
        <v>2077</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21.908318374234778</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7</v>
      </c>
      <c r="R53" t="str">
        <f t="shared" si="0"/>
        <v>Neutral</v>
      </c>
      <c r="S53">
        <f>survey_responses[[#This Row],[Tôi tin rằng với các quy định quản lý thuế hiện nay, hành vi gian lận hoặc trốn thuế sẽ dễ dàng bị phát hiện và xử lý nghiêm. - HUMAN-ENF1]]</f>
        <v>10</v>
      </c>
      <c r="T53" t="str">
        <f t="shared" si="1"/>
        <v>Support</v>
      </c>
      <c r="U53" s="32">
        <f t="shared" si="2"/>
        <v>3</v>
      </c>
      <c r="V53">
        <f>step3_validation[[#This Row],[AI_ENF2]]</f>
        <v>6</v>
      </c>
      <c r="W53" t="str">
        <f t="shared" si="3"/>
        <v>Neutral</v>
      </c>
      <c r="X53">
        <f>survey_responses[[#This Row],[Tôi tin rằng Nhà nước, cơ quan thuế có đủ khả năng và công nghệ để phát hiện, xử lý nghiêm các hành vi trốn thuế. - HUMAN-ENF2]]</f>
        <v>10</v>
      </c>
      <c r="Y53" t="str">
        <f t="shared" si="4"/>
        <v>Support</v>
      </c>
      <c r="Z53" s="32">
        <f t="shared" si="5"/>
        <v>4</v>
      </c>
      <c r="AA53">
        <f>step3_validation[[#This Row],[AI_FAC1]]</f>
        <v>8</v>
      </c>
      <c r="AB53" t="str">
        <f t="shared" si="6"/>
        <v>Support</v>
      </c>
      <c r="AC53">
        <f>survey_responses[[#This Row],[Các thủ tục khai báo thuế VÀ/HOẶC quy trình làm việc với cơ quan thuế đơn giản, tiện lợi, nhanh chóng hơn so với trước đây. - HUMAN-FAC1]]</f>
        <v>10</v>
      </c>
      <c r="AD53" t="str">
        <f t="shared" si="7"/>
        <v>Support</v>
      </c>
      <c r="AE53" s="32">
        <f t="shared" si="8"/>
        <v>2</v>
      </c>
      <c r="AF53">
        <f>step3_validation[[#This Row],[AI_FAC2]]</f>
        <v>9</v>
      </c>
      <c r="AG53" t="str">
        <f t="shared" si="9"/>
        <v>Support</v>
      </c>
      <c r="AH53">
        <f>survey_responses[[#This Row],[So với trước đây, tôi thấy cách tính thuế và các bậc thuế trong phương án mới đơn giản, dễ hiểu và dễ thực hiện hơn. - HUMAN-FAC2]]</f>
        <v>10</v>
      </c>
      <c r="AI53" t="str">
        <f t="shared" si="10"/>
        <v>Support</v>
      </c>
      <c r="AJ53" s="32">
        <f t="shared" si="11"/>
        <v>1</v>
      </c>
      <c r="AK53">
        <f>step3_validation[[#This Row],[AI_TRU1]]</f>
        <v>7</v>
      </c>
      <c r="AL53" t="str">
        <f t="shared" si="12"/>
        <v>Neutral</v>
      </c>
      <c r="AM53">
        <f>survey_responses[[#This Row],[Tôi tin rằng Nhà nước, cơ quan thuế sẽ thực thi chính sách mới một cách khách quan, công tâm và đối xử bình đẳng với mọi người nộp thuế.  - HUMAN-TRU1]]</f>
        <v>10</v>
      </c>
      <c r="AN53" t="str">
        <f t="shared" si="13"/>
        <v>Support</v>
      </c>
      <c r="AO53" s="32">
        <f t="shared" si="14"/>
        <v>3</v>
      </c>
      <c r="AP53">
        <f>step3_validation[[#This Row],[AI_TRU2]]</f>
        <v>9</v>
      </c>
      <c r="AQ53" t="str">
        <f t="shared" si="15"/>
        <v>Support</v>
      </c>
      <c r="AR53">
        <f>survey_responses[[#This Row],[Tôi thấy mức thuế tôi phải đóng theo phương án mới là công bằng (người thu nhập như tôi đóng mức này là hợp lý). - HUMAN-TRU2]]</f>
        <v>10</v>
      </c>
      <c r="AS53" t="str">
        <f t="shared" si="16"/>
        <v>Support</v>
      </c>
      <c r="AT53" s="32">
        <f t="shared" si="17"/>
        <v>1</v>
      </c>
      <c r="AU53">
        <f>step3_validation[[#This Row],[AI_TRU3]]</f>
        <v>8</v>
      </c>
      <c r="AV53" t="str">
        <f t="shared" si="18"/>
        <v>Support</v>
      </c>
      <c r="AW53">
        <f>survey_responses[[#This Row],[Tôi tin tưởng số tiền thuế tôi đóng sẽ được Nhà nước sử dụng hiệu quả để cải thiện dịch vụ công (y tế, đường xá...). - HUMAN-TRU3]]</f>
        <v>10</v>
      </c>
      <c r="AX53" t="str">
        <f t="shared" si="19"/>
        <v>Support</v>
      </c>
      <c r="AY53" s="32">
        <f t="shared" si="20"/>
        <v>2</v>
      </c>
      <c r="AZ53">
        <f>step3_validation[[#This Row],[AI_TRU4]]</f>
        <v>7</v>
      </c>
      <c r="BA53" t="str">
        <f t="shared" si="21"/>
        <v>Neutral</v>
      </c>
      <c r="BB53">
        <f>survey_responses[[#This Row],[Tôi thấy Nhà nước đã giải thích rõ ràng, minh bạch về lý do và mục tiêu của việc sửa đổi thuế lần này. - HUMAN-TRU4]]</f>
        <v>10</v>
      </c>
      <c r="BC53" t="str">
        <f t="shared" si="22"/>
        <v>Support</v>
      </c>
      <c r="BD53" s="32">
        <f t="shared" si="23"/>
        <v>3</v>
      </c>
      <c r="BE53">
        <f>step3_validation[[#This Row],[AI_OUT1]]</f>
        <v>8</v>
      </c>
      <c r="BF53" t="str">
        <f t="shared" si="24"/>
        <v>Support</v>
      </c>
      <c r="BG53">
        <f>survey_responses[[#This Row],[Sau khi xem xét các quyền lợi và nghĩa vụ, bạn có ủng hộ và tuân thủ chính sách mới hiện nay? - HUMAN-OUT1]]</f>
        <v>8</v>
      </c>
      <c r="BH53" t="str">
        <f t="shared" si="25"/>
        <v>Support</v>
      </c>
      <c r="BI53" s="32">
        <f t="shared" si="26"/>
        <v>0</v>
      </c>
    </row>
    <row r="54" spans="1:61" x14ac:dyDescent="0.45">
      <c r="A54" s="30">
        <f>step3_validation[[#This Row],[Persona_ID]]</f>
        <v>53</v>
      </c>
      <c r="B54" s="31">
        <f>step3_validation[[#This Row],[Used_Seed]]</f>
        <v>2078</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14.483188240647426</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8</v>
      </c>
      <c r="R54" t="str">
        <f t="shared" si="0"/>
        <v>Support</v>
      </c>
      <c r="S54">
        <f>survey_responses[[#This Row],[Tôi tin rằng với các quy định quản lý thuế hiện nay, hành vi gian lận hoặc trốn thuế sẽ dễ dàng bị phát hiện và xử lý nghiêm. - HUMAN-ENF1]]</f>
        <v>10</v>
      </c>
      <c r="T54" t="str">
        <f t="shared" si="1"/>
        <v>Support</v>
      </c>
      <c r="U54" s="32">
        <f t="shared" si="2"/>
        <v>2</v>
      </c>
      <c r="V54">
        <f>step3_validation[[#This Row],[AI_ENF2]]</f>
        <v>9</v>
      </c>
      <c r="W54" t="str">
        <f t="shared" si="3"/>
        <v>Support</v>
      </c>
      <c r="X54">
        <f>survey_responses[[#This Row],[Tôi tin rằng Nhà nước, cơ quan thuế có đủ khả năng và công nghệ để phát hiện, xử lý nghiêm các hành vi trốn thuế. - HUMAN-ENF2]]</f>
        <v>10</v>
      </c>
      <c r="Y54" t="str">
        <f t="shared" si="4"/>
        <v>Support</v>
      </c>
      <c r="Z54" s="32">
        <f t="shared" si="5"/>
        <v>1</v>
      </c>
      <c r="AA54">
        <f>step3_validation[[#This Row],[AI_FAC1]]</f>
        <v>7</v>
      </c>
      <c r="AB54" t="str">
        <f t="shared" si="6"/>
        <v>Neutral</v>
      </c>
      <c r="AC54">
        <f>survey_responses[[#This Row],[Các thủ tục khai báo thuế VÀ/HOẶC quy trình làm việc với cơ quan thuế đơn giản, tiện lợi, nhanh chóng hơn so với trước đây. - HUMAN-FAC1]]</f>
        <v>10</v>
      </c>
      <c r="AD54" t="str">
        <f t="shared" si="7"/>
        <v>Support</v>
      </c>
      <c r="AE54" s="32">
        <f t="shared" si="8"/>
        <v>3</v>
      </c>
      <c r="AF54">
        <f>step3_validation[[#This Row],[AI_FAC2]]</f>
        <v>6</v>
      </c>
      <c r="AG54" t="str">
        <f t="shared" si="9"/>
        <v>Neutral</v>
      </c>
      <c r="AH54">
        <f>survey_responses[[#This Row],[So với trước đây, tôi thấy cách tính thuế và các bậc thuế trong phương án mới đơn giản, dễ hiểu và dễ thực hiện hơn. - HUMAN-FAC2]]</f>
        <v>10</v>
      </c>
      <c r="AI54" t="str">
        <f t="shared" si="10"/>
        <v>Support</v>
      </c>
      <c r="AJ54" s="32">
        <f t="shared" si="11"/>
        <v>4</v>
      </c>
      <c r="AK54">
        <f>step3_validation[[#This Row],[AI_TRU1]]</f>
        <v>9</v>
      </c>
      <c r="AL54" t="str">
        <f t="shared" si="12"/>
        <v>Support</v>
      </c>
      <c r="AM54">
        <f>survey_responses[[#This Row],[Tôi tin rằng Nhà nước, cơ quan thuế sẽ thực thi chính sách mới một cách khách quan, công tâm và đối xử bình đẳng với mọi người nộp thuế.  - HUMAN-TRU1]]</f>
        <v>10</v>
      </c>
      <c r="AN54" t="str">
        <f t="shared" si="13"/>
        <v>Support</v>
      </c>
      <c r="AO54" s="32">
        <f t="shared" si="14"/>
        <v>1</v>
      </c>
      <c r="AP54">
        <f>step3_validation[[#This Row],[AI_TRU2]]</f>
        <v>8</v>
      </c>
      <c r="AQ54" t="str">
        <f t="shared" si="15"/>
        <v>Support</v>
      </c>
      <c r="AR54">
        <f>survey_responses[[#This Row],[Tôi thấy mức thuế tôi phải đóng theo phương án mới là công bằng (người thu nhập như tôi đóng mức này là hợp lý). - HUMAN-TRU2]]</f>
        <v>10</v>
      </c>
      <c r="AS54" t="str">
        <f t="shared" si="16"/>
        <v>Support</v>
      </c>
      <c r="AT54" s="32">
        <f t="shared" si="17"/>
        <v>2</v>
      </c>
      <c r="AU54">
        <f>step3_validation[[#This Row],[AI_TRU3]]</f>
        <v>7</v>
      </c>
      <c r="AV54" t="str">
        <f t="shared" si="18"/>
        <v>Neutral</v>
      </c>
      <c r="AW54">
        <f>survey_responses[[#This Row],[Tôi tin tưởng số tiền thuế tôi đóng sẽ được Nhà nước sử dụng hiệu quả để cải thiện dịch vụ công (y tế, đường xá...). - HUMAN-TRU3]]</f>
        <v>10</v>
      </c>
      <c r="AX54" t="str">
        <f t="shared" si="19"/>
        <v>Support</v>
      </c>
      <c r="AY54" s="32">
        <f t="shared" si="20"/>
        <v>3</v>
      </c>
      <c r="AZ54">
        <f>step3_validation[[#This Row],[AI_TRU4]]</f>
        <v>8</v>
      </c>
      <c r="BA54" t="str">
        <f t="shared" si="21"/>
        <v>Support</v>
      </c>
      <c r="BB54">
        <f>survey_responses[[#This Row],[Tôi thấy Nhà nước đã giải thích rõ ràng, minh bạch về lý do và mục tiêu của việc sửa đổi thuế lần này. - HUMAN-TRU4]]</f>
        <v>10</v>
      </c>
      <c r="BC54" t="str">
        <f t="shared" si="22"/>
        <v>Support</v>
      </c>
      <c r="BD54" s="32">
        <f t="shared" si="23"/>
        <v>2</v>
      </c>
      <c r="BE54">
        <f>step3_validation[[#This Row],[AI_OUT1]]</f>
        <v>9</v>
      </c>
      <c r="BF54" t="str">
        <f t="shared" si="24"/>
        <v>Support</v>
      </c>
      <c r="BG54">
        <f>survey_responses[[#This Row],[Sau khi xem xét các quyền lợi và nghĩa vụ, bạn có ủng hộ và tuân thủ chính sách mới hiện nay? - HUMAN-OUT1]]</f>
        <v>10</v>
      </c>
      <c r="BH54" t="str">
        <f t="shared" si="25"/>
        <v>Support</v>
      </c>
      <c r="BI54" s="32">
        <f t="shared" si="26"/>
        <v>1</v>
      </c>
    </row>
    <row r="55" spans="1:61" x14ac:dyDescent="0.45">
      <c r="A55" s="30">
        <f>step3_validation[[#This Row],[Persona_ID]]</f>
        <v>54</v>
      </c>
      <c r="B55" s="31">
        <f>step3_validation[[#This Row],[Used_Seed]]</f>
        <v>2079</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39.885700409580231</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7</v>
      </c>
      <c r="R55" t="str">
        <f t="shared" si="0"/>
        <v>Neutral</v>
      </c>
      <c r="S55">
        <f>survey_responses[[#This Row],[Tôi tin rằng với các quy định quản lý thuế hiện nay, hành vi gian lận hoặc trốn thuế sẽ dễ dàng bị phát hiện và xử lý nghiêm. - HUMAN-ENF1]]</f>
        <v>8</v>
      </c>
      <c r="T55" t="str">
        <f t="shared" si="1"/>
        <v>Support</v>
      </c>
      <c r="U55" s="32">
        <f t="shared" si="2"/>
        <v>1</v>
      </c>
      <c r="V55">
        <f>step3_validation[[#This Row],[AI_ENF2]]</f>
        <v>6</v>
      </c>
      <c r="W55" t="str">
        <f t="shared" si="3"/>
        <v>Neutral</v>
      </c>
      <c r="X55">
        <f>survey_responses[[#This Row],[Tôi tin rằng Nhà nước, cơ quan thuế có đủ khả năng và công nghệ để phát hiện, xử lý nghiêm các hành vi trốn thuế. - HUMAN-ENF2]]</f>
        <v>7</v>
      </c>
      <c r="Y55" t="str">
        <f t="shared" si="4"/>
        <v>Neutral</v>
      </c>
      <c r="Z55" s="32">
        <f t="shared" si="5"/>
        <v>1</v>
      </c>
      <c r="AA55">
        <f>step3_validation[[#This Row],[AI_FAC1]]</f>
        <v>8</v>
      </c>
      <c r="AB55" t="str">
        <f t="shared" si="6"/>
        <v>Support</v>
      </c>
      <c r="AC55">
        <f>survey_responses[[#This Row],[Các thủ tục khai báo thuế VÀ/HOẶC quy trình làm việc với cơ quan thuế đơn giản, tiện lợi, nhanh chóng hơn so với trước đây. - HUMAN-FAC1]]</f>
        <v>7</v>
      </c>
      <c r="AD55" t="str">
        <f t="shared" si="7"/>
        <v>Neutral</v>
      </c>
      <c r="AE55" s="32">
        <f t="shared" si="8"/>
        <v>1</v>
      </c>
      <c r="AF55">
        <f>step3_validation[[#This Row],[AI_FAC2]]</f>
        <v>9</v>
      </c>
      <c r="AG55" t="str">
        <f t="shared" si="9"/>
        <v>Support</v>
      </c>
      <c r="AH55">
        <f>survey_responses[[#This Row],[So với trước đây, tôi thấy cách tính thuế và các bậc thuế trong phương án mới đơn giản, dễ hiểu và dễ thực hiện hơn. - HUMAN-FAC2]]</f>
        <v>8</v>
      </c>
      <c r="AI55" t="str">
        <f t="shared" si="10"/>
        <v>Support</v>
      </c>
      <c r="AJ55" s="32">
        <f t="shared" si="11"/>
        <v>1</v>
      </c>
      <c r="AK55">
        <f>step3_validation[[#This Row],[AI_TRU1]]</f>
        <v>7</v>
      </c>
      <c r="AL55" t="str">
        <f t="shared" si="12"/>
        <v>Neutral</v>
      </c>
      <c r="AM55">
        <f>survey_responses[[#This Row],[Tôi tin rằng Nhà nước, cơ quan thuế sẽ thực thi chính sách mới một cách khách quan, công tâm và đối xử bình đẳng với mọi người nộp thuế.  - HUMAN-TRU1]]</f>
        <v>7</v>
      </c>
      <c r="AN55" t="str">
        <f t="shared" si="13"/>
        <v>Neutral</v>
      </c>
      <c r="AO55" s="32">
        <f t="shared" si="14"/>
        <v>0</v>
      </c>
      <c r="AP55">
        <f>step3_validation[[#This Row],[AI_TRU2]]</f>
        <v>8</v>
      </c>
      <c r="AQ55" t="str">
        <f t="shared" si="15"/>
        <v>Support</v>
      </c>
      <c r="AR55">
        <f>survey_responses[[#This Row],[Tôi thấy mức thuế tôi phải đóng theo phương án mới là công bằng (người thu nhập như tôi đóng mức này là hợp lý). - HUMAN-TRU2]]</f>
        <v>8</v>
      </c>
      <c r="AS55" t="str">
        <f t="shared" si="16"/>
        <v>Support</v>
      </c>
      <c r="AT55" s="32">
        <f t="shared" si="17"/>
        <v>0</v>
      </c>
      <c r="AU55">
        <f>step3_validation[[#This Row],[AI_TRU3]]</f>
        <v>6</v>
      </c>
      <c r="AV55" t="str">
        <f t="shared" si="18"/>
        <v>Neutral</v>
      </c>
      <c r="AW55">
        <f>survey_responses[[#This Row],[Tôi tin tưởng số tiền thuế tôi đóng sẽ được Nhà nước sử dụng hiệu quả để cải thiện dịch vụ công (y tế, đường xá...). - HUMAN-TRU3]]</f>
        <v>7</v>
      </c>
      <c r="AX55" t="str">
        <f t="shared" si="19"/>
        <v>Neutral</v>
      </c>
      <c r="AY55" s="32">
        <f t="shared" si="20"/>
        <v>1</v>
      </c>
      <c r="AZ55">
        <f>step3_validation[[#This Row],[AI_TRU4]]</f>
        <v>7</v>
      </c>
      <c r="BA55" t="str">
        <f t="shared" si="21"/>
        <v>Neutral</v>
      </c>
      <c r="BB55">
        <f>survey_responses[[#This Row],[Tôi thấy Nhà nước đã giải thích rõ ràng, minh bạch về lý do và mục tiêu của việc sửa đổi thuế lần này. - HUMAN-TRU4]]</f>
        <v>7</v>
      </c>
      <c r="BC55" t="str">
        <f t="shared" si="22"/>
        <v>Neutral</v>
      </c>
      <c r="BD55" s="32">
        <f t="shared" si="23"/>
        <v>0</v>
      </c>
      <c r="BE55">
        <f>step3_validation[[#This Row],[AI_OUT1]]</f>
        <v>8</v>
      </c>
      <c r="BF55" t="str">
        <f t="shared" si="24"/>
        <v>Support</v>
      </c>
      <c r="BG55">
        <f>survey_responses[[#This Row],[Sau khi xem xét các quyền lợi và nghĩa vụ, bạn có ủng hộ và tuân thủ chính sách mới hiện nay? - HUMAN-OUT1]]</f>
        <v>8</v>
      </c>
      <c r="BH55" t="str">
        <f t="shared" si="25"/>
        <v>Support</v>
      </c>
      <c r="BI55" s="32">
        <f t="shared" si="26"/>
        <v>0</v>
      </c>
    </row>
    <row r="56" spans="1:61" x14ac:dyDescent="0.45">
      <c r="A56" s="30">
        <f>step3_validation[[#This Row],[Persona_ID]]</f>
        <v>55</v>
      </c>
      <c r="B56" s="31">
        <f>step3_validation[[#This Row],[Used_Seed]]</f>
        <v>2080</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33.623516564615294</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9</v>
      </c>
      <c r="R56" t="str">
        <f t="shared" si="0"/>
        <v>Support</v>
      </c>
      <c r="S56">
        <f>survey_responses[[#This Row],[Tôi tin rằng với các quy định quản lý thuế hiện nay, hành vi gian lận hoặc trốn thuế sẽ dễ dàng bị phát hiện và xử lý nghiêm. - HUMAN-ENF1]]</f>
        <v>10</v>
      </c>
      <c r="T56" t="str">
        <f t="shared" si="1"/>
        <v>Support</v>
      </c>
      <c r="U56" s="32">
        <f t="shared" si="2"/>
        <v>1</v>
      </c>
      <c r="V56">
        <f>step3_validation[[#This Row],[AI_ENF2]]</f>
        <v>9</v>
      </c>
      <c r="W56" t="str">
        <f t="shared" si="3"/>
        <v>Support</v>
      </c>
      <c r="X56">
        <f>survey_responses[[#This Row],[Tôi tin rằng Nhà nước, cơ quan thuế có đủ khả năng và công nghệ để phát hiện, xử lý nghiêm các hành vi trốn thuế. - HUMAN-ENF2]]</f>
        <v>9</v>
      </c>
      <c r="Y56" t="str">
        <f t="shared" si="4"/>
        <v>Support</v>
      </c>
      <c r="Z56" s="32">
        <f t="shared" si="5"/>
        <v>0</v>
      </c>
      <c r="AA56">
        <f>step3_validation[[#This Row],[AI_FAC1]]</f>
        <v>8</v>
      </c>
      <c r="AB56" t="str">
        <f t="shared" si="6"/>
        <v>Support</v>
      </c>
      <c r="AC56">
        <f>survey_responses[[#This Row],[Các thủ tục khai báo thuế VÀ/HOẶC quy trình làm việc với cơ quan thuế đơn giản, tiện lợi, nhanh chóng hơn so với trước đây. - HUMAN-FAC1]]</f>
        <v>3</v>
      </c>
      <c r="AD56" t="str">
        <f t="shared" si="7"/>
        <v>Oppose</v>
      </c>
      <c r="AE56" s="32">
        <f t="shared" si="8"/>
        <v>5</v>
      </c>
      <c r="AF56">
        <f>step3_validation[[#This Row],[AI_FAC2]]</f>
        <v>9</v>
      </c>
      <c r="AG56" t="str">
        <f t="shared" si="9"/>
        <v>Support</v>
      </c>
      <c r="AH56">
        <f>survey_responses[[#This Row],[So với trước đây, tôi thấy cách tính thuế và các bậc thuế trong phương án mới đơn giản, dễ hiểu và dễ thực hiện hơn. - HUMAN-FAC2]]</f>
        <v>4</v>
      </c>
      <c r="AI56" t="str">
        <f t="shared" si="10"/>
        <v>Oppose</v>
      </c>
      <c r="AJ56" s="32">
        <f t="shared" si="11"/>
        <v>5</v>
      </c>
      <c r="AK56">
        <f>step3_validation[[#This Row],[AI_TRU1]]</f>
        <v>8</v>
      </c>
      <c r="AL56" t="str">
        <f t="shared" si="12"/>
        <v>Support</v>
      </c>
      <c r="AM56">
        <f>survey_responses[[#This Row],[Tôi tin rằng Nhà nước, cơ quan thuế sẽ thực thi chính sách mới một cách khách quan, công tâm và đối xử bình đẳng với mọi người nộp thuế.  - HUMAN-TRU1]]</f>
        <v>3</v>
      </c>
      <c r="AN56" t="str">
        <f t="shared" si="13"/>
        <v>Oppose</v>
      </c>
      <c r="AO56" s="32">
        <f t="shared" si="14"/>
        <v>5</v>
      </c>
      <c r="AP56">
        <f>step3_validation[[#This Row],[AI_TRU2]]</f>
        <v>9</v>
      </c>
      <c r="AQ56" t="str">
        <f t="shared" si="15"/>
        <v>Support</v>
      </c>
      <c r="AR56">
        <f>survey_responses[[#This Row],[Tôi thấy mức thuế tôi phải đóng theo phương án mới là công bằng (người thu nhập như tôi đóng mức này là hợp lý). - HUMAN-TRU2]]</f>
        <v>3</v>
      </c>
      <c r="AS56" t="str">
        <f t="shared" si="16"/>
        <v>Oppose</v>
      </c>
      <c r="AT56" s="32">
        <f t="shared" si="17"/>
        <v>6</v>
      </c>
      <c r="AU56">
        <f>step3_validation[[#This Row],[AI_TRU3]]</f>
        <v>8</v>
      </c>
      <c r="AV56" t="str">
        <f t="shared" si="18"/>
        <v>Support</v>
      </c>
      <c r="AW56">
        <f>survey_responses[[#This Row],[Tôi tin tưởng số tiền thuế tôi đóng sẽ được Nhà nước sử dụng hiệu quả để cải thiện dịch vụ công (y tế, đường xá...). - HUMAN-TRU3]]</f>
        <v>1</v>
      </c>
      <c r="AX56" t="str">
        <f t="shared" si="19"/>
        <v>Oppose</v>
      </c>
      <c r="AY56" s="32">
        <f t="shared" si="20"/>
        <v>7</v>
      </c>
      <c r="AZ56">
        <f>step3_validation[[#This Row],[AI_TRU4]]</f>
        <v>9</v>
      </c>
      <c r="BA56" t="str">
        <f t="shared" si="21"/>
        <v>Support</v>
      </c>
      <c r="BB56">
        <f>survey_responses[[#This Row],[Tôi thấy Nhà nước đã giải thích rõ ràng, minh bạch về lý do và mục tiêu của việc sửa đổi thuế lần này. - HUMAN-TRU4]]</f>
        <v>1</v>
      </c>
      <c r="BC56" t="str">
        <f t="shared" si="22"/>
        <v>Oppose</v>
      </c>
      <c r="BD56" s="32">
        <f t="shared" si="23"/>
        <v>8</v>
      </c>
      <c r="BE56">
        <f>step3_validation[[#This Row],[AI_OUT1]]</f>
        <v>9</v>
      </c>
      <c r="BF56" t="str">
        <f t="shared" si="24"/>
        <v>Support</v>
      </c>
      <c r="BG56">
        <f>survey_responses[[#This Row],[Sau khi xem xét các quyền lợi và nghĩa vụ, bạn có ủng hộ và tuân thủ chính sách mới hiện nay? - HUMAN-OUT1]]</f>
        <v>3</v>
      </c>
      <c r="BH56" t="str">
        <f t="shared" si="25"/>
        <v>Oppose</v>
      </c>
      <c r="BI56" s="32">
        <f t="shared" si="26"/>
        <v>6</v>
      </c>
    </row>
    <row r="57" spans="1:61" x14ac:dyDescent="0.45">
      <c r="A57" s="30">
        <f>step3_validation[[#This Row],[Persona_ID]]</f>
        <v>56</v>
      </c>
      <c r="B57" s="31">
        <f>step3_validation[[#This Row],[Used_Seed]]</f>
        <v>2081</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6</v>
      </c>
      <c r="R57" t="str">
        <f t="shared" si="0"/>
        <v>Neutral</v>
      </c>
      <c r="S57">
        <f>survey_responses[[#This Row],[Tôi tin rằng với các quy định quản lý thuế hiện nay, hành vi gian lận hoặc trốn thuế sẽ dễ dàng bị phát hiện và xử lý nghiêm. - HUMAN-ENF1]]</f>
        <v>10</v>
      </c>
      <c r="T57" t="str">
        <f t="shared" si="1"/>
        <v>Support</v>
      </c>
      <c r="U57" s="32">
        <f t="shared" si="2"/>
        <v>4</v>
      </c>
      <c r="V57">
        <f>step3_validation[[#This Row],[AI_ENF2]]</f>
        <v>6</v>
      </c>
      <c r="W57" t="str">
        <f t="shared" si="3"/>
        <v>Neutral</v>
      </c>
      <c r="X57">
        <f>survey_responses[[#This Row],[Tôi tin rằng Nhà nước, cơ quan thuế có đủ khả năng và công nghệ để phát hiện, xử lý nghiêm các hành vi trốn thuế. - HUMAN-ENF2]]</f>
        <v>10</v>
      </c>
      <c r="Y57" t="str">
        <f t="shared" si="4"/>
        <v>Support</v>
      </c>
      <c r="Z57" s="32">
        <f t="shared" si="5"/>
        <v>4</v>
      </c>
      <c r="AA57">
        <f>step3_validation[[#This Row],[AI_FAC1]]</f>
        <v>8</v>
      </c>
      <c r="AB57" t="str">
        <f t="shared" si="6"/>
        <v>Support</v>
      </c>
      <c r="AC57">
        <f>survey_responses[[#This Row],[Các thủ tục khai báo thuế VÀ/HOẶC quy trình làm việc với cơ quan thuế đơn giản, tiện lợi, nhanh chóng hơn so với trước đây. - HUMAN-FAC1]]</f>
        <v>9</v>
      </c>
      <c r="AD57" t="str">
        <f t="shared" si="7"/>
        <v>Support</v>
      </c>
      <c r="AE57" s="32">
        <f t="shared" si="8"/>
        <v>1</v>
      </c>
      <c r="AF57">
        <f>step3_validation[[#This Row],[AI_FAC2]]</f>
        <v>9</v>
      </c>
      <c r="AG57" t="str">
        <f t="shared" si="9"/>
        <v>Support</v>
      </c>
      <c r="AH57">
        <f>survey_responses[[#This Row],[So với trước đây, tôi thấy cách tính thuế và các bậc thuế trong phương án mới đơn giản, dễ hiểu và dễ thực hiện hơn. - HUMAN-FAC2]]</f>
        <v>10</v>
      </c>
      <c r="AI57" t="str">
        <f t="shared" si="10"/>
        <v>Support</v>
      </c>
      <c r="AJ57" s="32">
        <f t="shared" si="11"/>
        <v>1</v>
      </c>
      <c r="AK57">
        <f>step3_validation[[#This Row],[AI_TRU1]]</f>
        <v>6</v>
      </c>
      <c r="AL57" t="str">
        <f t="shared" si="12"/>
        <v>Neutral</v>
      </c>
      <c r="AM57">
        <f>survey_responses[[#This Row],[Tôi tin rằng Nhà nước, cơ quan thuế sẽ thực thi chính sách mới một cách khách quan, công tâm và đối xử bình đẳng với mọi người nộp thuế.  - HUMAN-TRU1]]</f>
        <v>9</v>
      </c>
      <c r="AN57" t="str">
        <f t="shared" si="13"/>
        <v>Support</v>
      </c>
      <c r="AO57" s="32">
        <f t="shared" si="14"/>
        <v>3</v>
      </c>
      <c r="AP57">
        <f>step3_validation[[#This Row],[AI_TRU2]]</f>
        <v>7</v>
      </c>
      <c r="AQ57" t="str">
        <f t="shared" si="15"/>
        <v>Neutral</v>
      </c>
      <c r="AR57">
        <f>survey_responses[[#This Row],[Tôi thấy mức thuế tôi phải đóng theo phương án mới là công bằng (người thu nhập như tôi đóng mức này là hợp lý). - HUMAN-TRU2]]</f>
        <v>10</v>
      </c>
      <c r="AS57" t="str">
        <f t="shared" si="16"/>
        <v>Support</v>
      </c>
      <c r="AT57" s="32">
        <f t="shared" si="17"/>
        <v>3</v>
      </c>
      <c r="AU57">
        <f>step3_validation[[#This Row],[AI_TRU3]]</f>
        <v>6</v>
      </c>
      <c r="AV57" t="str">
        <f t="shared" si="18"/>
        <v>Neutral</v>
      </c>
      <c r="AW57">
        <f>survey_responses[[#This Row],[Tôi tin tưởng số tiền thuế tôi đóng sẽ được Nhà nước sử dụng hiệu quả để cải thiện dịch vụ công (y tế, đường xá...). - HUMAN-TRU3]]</f>
        <v>9</v>
      </c>
      <c r="AX57" t="str">
        <f t="shared" si="19"/>
        <v>Support</v>
      </c>
      <c r="AY57" s="32">
        <f t="shared" si="20"/>
        <v>3</v>
      </c>
      <c r="AZ57">
        <f>step3_validation[[#This Row],[AI_TRU4]]</f>
        <v>6</v>
      </c>
      <c r="BA57" t="str">
        <f t="shared" si="21"/>
        <v>Neutral</v>
      </c>
      <c r="BB57">
        <f>survey_responses[[#This Row],[Tôi thấy Nhà nước đã giải thích rõ ràng, minh bạch về lý do và mục tiêu của việc sửa đổi thuế lần này. - HUMAN-TRU4]]</f>
        <v>10</v>
      </c>
      <c r="BC57" t="str">
        <f t="shared" si="22"/>
        <v>Support</v>
      </c>
      <c r="BD57" s="32">
        <f t="shared" si="23"/>
        <v>4</v>
      </c>
      <c r="BE57">
        <f>step3_validation[[#This Row],[AI_OUT1]]</f>
        <v>7</v>
      </c>
      <c r="BF57" t="str">
        <f t="shared" si="24"/>
        <v>Neutral</v>
      </c>
      <c r="BG57">
        <f>survey_responses[[#This Row],[Sau khi xem xét các quyền lợi và nghĩa vụ, bạn có ủng hộ và tuân thủ chính sách mới hiện nay? - HUMAN-OUT1]]</f>
        <v>9</v>
      </c>
      <c r="BH57" t="str">
        <f t="shared" si="25"/>
        <v>Support</v>
      </c>
      <c r="BI57" s="32">
        <f t="shared" si="26"/>
        <v>2</v>
      </c>
    </row>
    <row r="58" spans="1:61" x14ac:dyDescent="0.45">
      <c r="A58" s="30">
        <f>step3_validation[[#This Row],[Persona_ID]]</f>
        <v>57</v>
      </c>
      <c r="B58" s="31">
        <f>step3_validation[[#This Row],[Used_Seed]]</f>
        <v>2082</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14.286362299942033</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7</v>
      </c>
      <c r="R58" t="str">
        <f t="shared" si="0"/>
        <v>Neutral</v>
      </c>
      <c r="S58">
        <f>survey_responses[[#This Row],[Tôi tin rằng với các quy định quản lý thuế hiện nay, hành vi gian lận hoặc trốn thuế sẽ dễ dàng bị phát hiện và xử lý nghiêm. - HUMAN-ENF1]]</f>
        <v>10</v>
      </c>
      <c r="T58" t="str">
        <f t="shared" si="1"/>
        <v>Support</v>
      </c>
      <c r="U58" s="32">
        <f t="shared" si="2"/>
        <v>3</v>
      </c>
      <c r="V58">
        <f>step3_validation[[#This Row],[AI_ENF2]]</f>
        <v>6</v>
      </c>
      <c r="W58" t="str">
        <f t="shared" si="3"/>
        <v>Neutral</v>
      </c>
      <c r="X58">
        <f>survey_responses[[#This Row],[Tôi tin rằng Nhà nước, cơ quan thuế có đủ khả năng và công nghệ để phát hiện, xử lý nghiêm các hành vi trốn thuế. - HUMAN-ENF2]]</f>
        <v>10</v>
      </c>
      <c r="Y58" t="str">
        <f t="shared" si="4"/>
        <v>Support</v>
      </c>
      <c r="Z58" s="32">
        <f t="shared" si="5"/>
        <v>4</v>
      </c>
      <c r="AA58">
        <f>step3_validation[[#This Row],[AI_FAC1]]</f>
        <v>9</v>
      </c>
      <c r="AB58" t="str">
        <f t="shared" si="6"/>
        <v>Support</v>
      </c>
      <c r="AC58">
        <f>survey_responses[[#This Row],[Các thủ tục khai báo thuế VÀ/HOẶC quy trình làm việc với cơ quan thuế đơn giản, tiện lợi, nhanh chóng hơn so với trước đây. - HUMAN-FAC1]]</f>
        <v>1</v>
      </c>
      <c r="AD58" t="str">
        <f t="shared" si="7"/>
        <v>Oppose</v>
      </c>
      <c r="AE58" s="32">
        <f t="shared" si="8"/>
        <v>8</v>
      </c>
      <c r="AF58">
        <f>step3_validation[[#This Row],[AI_FAC2]]</f>
        <v>9</v>
      </c>
      <c r="AG58" t="str">
        <f t="shared" si="9"/>
        <v>Support</v>
      </c>
      <c r="AH58">
        <f>survey_responses[[#This Row],[So với trước đây, tôi thấy cách tính thuế và các bậc thuế trong phương án mới đơn giản, dễ hiểu và dễ thực hiện hơn. - HUMAN-FAC2]]</f>
        <v>5</v>
      </c>
      <c r="AI58" t="str">
        <f t="shared" si="10"/>
        <v>Neutral</v>
      </c>
      <c r="AJ58" s="32">
        <f t="shared" si="11"/>
        <v>4</v>
      </c>
      <c r="AK58">
        <f>step3_validation[[#This Row],[AI_TRU1]]</f>
        <v>8</v>
      </c>
      <c r="AL58" t="str">
        <f t="shared" si="12"/>
        <v>Support</v>
      </c>
      <c r="AM58">
        <f>survey_responses[[#This Row],[Tôi tin rằng Nhà nước, cơ quan thuế sẽ thực thi chính sách mới một cách khách quan, công tâm và đối xử bình đẳng với mọi người nộp thuế.  - HUMAN-TRU1]]</f>
        <v>7</v>
      </c>
      <c r="AN58" t="str">
        <f t="shared" si="13"/>
        <v>Neutral</v>
      </c>
      <c r="AO58" s="32">
        <f t="shared" si="14"/>
        <v>1</v>
      </c>
      <c r="AP58">
        <f>step3_validation[[#This Row],[AI_TRU2]]</f>
        <v>9</v>
      </c>
      <c r="AQ58" t="str">
        <f t="shared" si="15"/>
        <v>Support</v>
      </c>
      <c r="AR58">
        <f>survey_responses[[#This Row],[Tôi thấy mức thuế tôi phải đóng theo phương án mới là công bằng (người thu nhập như tôi đóng mức này là hợp lý). - HUMAN-TRU2]]</f>
        <v>10</v>
      </c>
      <c r="AS58" t="str">
        <f t="shared" si="16"/>
        <v>Support</v>
      </c>
      <c r="AT58" s="32">
        <f t="shared" si="17"/>
        <v>1</v>
      </c>
      <c r="AU58">
        <f>step3_validation[[#This Row],[AI_TRU3]]</f>
        <v>8</v>
      </c>
      <c r="AV58" t="str">
        <f t="shared" si="18"/>
        <v>Support</v>
      </c>
      <c r="AW58">
        <f>survey_responses[[#This Row],[Tôi tin tưởng số tiền thuế tôi đóng sẽ được Nhà nước sử dụng hiệu quả để cải thiện dịch vụ công (y tế, đường xá...). - HUMAN-TRU3]]</f>
        <v>9</v>
      </c>
      <c r="AX58" t="str">
        <f t="shared" si="19"/>
        <v>Support</v>
      </c>
      <c r="AY58" s="32">
        <f t="shared" si="20"/>
        <v>1</v>
      </c>
      <c r="AZ58">
        <f>step3_validation[[#This Row],[AI_TRU4]]</f>
        <v>7</v>
      </c>
      <c r="BA58" t="str">
        <f t="shared" si="21"/>
        <v>Neutral</v>
      </c>
      <c r="BB58">
        <f>survey_responses[[#This Row],[Tôi thấy Nhà nước đã giải thích rõ ràng, minh bạch về lý do và mục tiêu của việc sửa đổi thuế lần này. - HUMAN-TRU4]]</f>
        <v>9</v>
      </c>
      <c r="BC58" t="str">
        <f t="shared" si="22"/>
        <v>Support</v>
      </c>
      <c r="BD58" s="32">
        <f t="shared" si="23"/>
        <v>2</v>
      </c>
      <c r="BE58">
        <f>step3_validation[[#This Row],[AI_OUT1]]</f>
        <v>9</v>
      </c>
      <c r="BF58" t="str">
        <f t="shared" si="24"/>
        <v>Support</v>
      </c>
      <c r="BG58">
        <f>survey_responses[[#This Row],[Sau khi xem xét các quyền lợi và nghĩa vụ, bạn có ủng hộ và tuân thủ chính sách mới hiện nay? - HUMAN-OUT1]]</f>
        <v>10</v>
      </c>
      <c r="BH58" t="str">
        <f t="shared" si="25"/>
        <v>Support</v>
      </c>
      <c r="BI58" s="32">
        <f t="shared" si="26"/>
        <v>1</v>
      </c>
    </row>
    <row r="59" spans="1:61" x14ac:dyDescent="0.45">
      <c r="A59" s="30">
        <f>step3_validation[[#This Row],[Persona_ID]]</f>
        <v>58</v>
      </c>
      <c r="B59" s="31">
        <f>step3_validation[[#This Row],[Used_Seed]]</f>
        <v>2083</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30.771428466564885</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7</v>
      </c>
      <c r="R59" t="str">
        <f t="shared" si="0"/>
        <v>Neutral</v>
      </c>
      <c r="S59">
        <f>survey_responses[[#This Row],[Tôi tin rằng với các quy định quản lý thuế hiện nay, hành vi gian lận hoặc trốn thuế sẽ dễ dàng bị phát hiện và xử lý nghiêm. - HUMAN-ENF1]]</f>
        <v>5</v>
      </c>
      <c r="T59" t="str">
        <f t="shared" si="1"/>
        <v>Neutral</v>
      </c>
      <c r="U59" s="32">
        <f t="shared" si="2"/>
        <v>2</v>
      </c>
      <c r="V59">
        <f>step3_validation[[#This Row],[AI_ENF2]]</f>
        <v>8</v>
      </c>
      <c r="W59" t="str">
        <f t="shared" si="3"/>
        <v>Support</v>
      </c>
      <c r="X59">
        <f>survey_responses[[#This Row],[Tôi tin rằng Nhà nước, cơ quan thuế có đủ khả năng và công nghệ để phát hiện, xử lý nghiêm các hành vi trốn thuế. - HUMAN-ENF2]]</f>
        <v>5</v>
      </c>
      <c r="Y59" t="str">
        <f t="shared" si="4"/>
        <v>Neutral</v>
      </c>
      <c r="Z59" s="32">
        <f t="shared" si="5"/>
        <v>3</v>
      </c>
      <c r="AA59">
        <f>step3_validation[[#This Row],[AI_FAC1]]</f>
        <v>6</v>
      </c>
      <c r="AB59" t="str">
        <f t="shared" si="6"/>
        <v>Neutral</v>
      </c>
      <c r="AC59">
        <f>survey_responses[[#This Row],[Các thủ tục khai báo thuế VÀ/HOẶC quy trình làm việc với cơ quan thuế đơn giản, tiện lợi, nhanh chóng hơn so với trước đây. - HUMAN-FAC1]]</f>
        <v>4</v>
      </c>
      <c r="AD59" t="str">
        <f t="shared" si="7"/>
        <v>Oppose</v>
      </c>
      <c r="AE59" s="32">
        <f t="shared" si="8"/>
        <v>2</v>
      </c>
      <c r="AF59">
        <f>step3_validation[[#This Row],[AI_FAC2]]</f>
        <v>9</v>
      </c>
      <c r="AG59" t="str">
        <f t="shared" si="9"/>
        <v>Support</v>
      </c>
      <c r="AH59">
        <f>survey_responses[[#This Row],[So với trước đây, tôi thấy cách tính thuế và các bậc thuế trong phương án mới đơn giản, dễ hiểu và dễ thực hiện hơn. - HUMAN-FAC2]]</f>
        <v>8</v>
      </c>
      <c r="AI59" t="str">
        <f t="shared" si="10"/>
        <v>Support</v>
      </c>
      <c r="AJ59" s="32">
        <f t="shared" si="11"/>
        <v>1</v>
      </c>
      <c r="AK59">
        <f>step3_validation[[#This Row],[AI_TRU1]]</f>
        <v>7</v>
      </c>
      <c r="AL59" t="str">
        <f t="shared" si="12"/>
        <v>Neutral</v>
      </c>
      <c r="AM59">
        <f>survey_responses[[#This Row],[Tôi tin rằng Nhà nước, cơ quan thuế sẽ thực thi chính sách mới một cách khách quan, công tâm và đối xử bình đẳng với mọi người nộp thuế.  - HUMAN-TRU1]]</f>
        <v>5</v>
      </c>
      <c r="AN59" t="str">
        <f t="shared" si="13"/>
        <v>Neutral</v>
      </c>
      <c r="AO59" s="32">
        <f t="shared" si="14"/>
        <v>2</v>
      </c>
      <c r="AP59">
        <f>step3_validation[[#This Row],[AI_TRU2]]</f>
        <v>9</v>
      </c>
      <c r="AQ59" t="str">
        <f t="shared" si="15"/>
        <v>Support</v>
      </c>
      <c r="AR59">
        <f>survey_responses[[#This Row],[Tôi thấy mức thuế tôi phải đóng theo phương án mới là công bằng (người thu nhập như tôi đóng mức này là hợp lý). - HUMAN-TRU2]]</f>
        <v>7</v>
      </c>
      <c r="AS59" t="str">
        <f t="shared" si="16"/>
        <v>Neutral</v>
      </c>
      <c r="AT59" s="32">
        <f t="shared" si="17"/>
        <v>2</v>
      </c>
      <c r="AU59">
        <f>step3_validation[[#This Row],[AI_TRU3]]</f>
        <v>7</v>
      </c>
      <c r="AV59" t="str">
        <f t="shared" si="18"/>
        <v>Neutral</v>
      </c>
      <c r="AW59">
        <f>survey_responses[[#This Row],[Tôi tin tưởng số tiền thuế tôi đóng sẽ được Nhà nước sử dụng hiệu quả để cải thiện dịch vụ công (y tế, đường xá...). - HUMAN-TRU3]]</f>
        <v>7</v>
      </c>
      <c r="AX59" t="str">
        <f t="shared" si="19"/>
        <v>Neutral</v>
      </c>
      <c r="AY59" s="32">
        <f t="shared" si="20"/>
        <v>0</v>
      </c>
      <c r="AZ59">
        <f>step3_validation[[#This Row],[AI_TRU4]]</f>
        <v>8</v>
      </c>
      <c r="BA59" t="str">
        <f t="shared" si="21"/>
        <v>Support</v>
      </c>
      <c r="BB59">
        <f>survey_responses[[#This Row],[Tôi thấy Nhà nước đã giải thích rõ ràng, minh bạch về lý do và mục tiêu của việc sửa đổi thuế lần này. - HUMAN-TRU4]]</f>
        <v>7</v>
      </c>
      <c r="BC59" t="str">
        <f t="shared" si="22"/>
        <v>Neutral</v>
      </c>
      <c r="BD59" s="32">
        <f t="shared" si="23"/>
        <v>1</v>
      </c>
      <c r="BE59">
        <f>step3_validation[[#This Row],[AI_OUT1]]</f>
        <v>9</v>
      </c>
      <c r="BF59" t="str">
        <f t="shared" si="24"/>
        <v>Support</v>
      </c>
      <c r="BG59">
        <f>survey_responses[[#This Row],[Sau khi xem xét các quyền lợi và nghĩa vụ, bạn có ủng hộ và tuân thủ chính sách mới hiện nay? - HUMAN-OUT1]]</f>
        <v>7</v>
      </c>
      <c r="BH59" t="str">
        <f t="shared" si="25"/>
        <v>Neutral</v>
      </c>
      <c r="BI59" s="32">
        <f t="shared" si="26"/>
        <v>2</v>
      </c>
    </row>
    <row r="60" spans="1:61" x14ac:dyDescent="0.45">
      <c r="A60" s="30">
        <f>step3_validation[[#This Row],[Persona_ID]]</f>
        <v>59</v>
      </c>
      <c r="B60" s="31">
        <f>step3_validation[[#This Row],[Used_Seed]]</f>
        <v>2084</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7</v>
      </c>
      <c r="R60" t="str">
        <f t="shared" si="0"/>
        <v>Neutral</v>
      </c>
      <c r="S60">
        <f>survey_responses[[#This Row],[Tôi tin rằng với các quy định quản lý thuế hiện nay, hành vi gian lận hoặc trốn thuế sẽ dễ dàng bị phát hiện và xử lý nghiêm. - HUMAN-ENF1]]</f>
        <v>9</v>
      </c>
      <c r="T60" t="str">
        <f t="shared" si="1"/>
        <v>Support</v>
      </c>
      <c r="U60" s="32">
        <f t="shared" si="2"/>
        <v>2</v>
      </c>
      <c r="V60">
        <f>step3_validation[[#This Row],[AI_ENF2]]</f>
        <v>6</v>
      </c>
      <c r="W60" t="str">
        <f t="shared" si="3"/>
        <v>Neutral</v>
      </c>
      <c r="X60">
        <f>survey_responses[[#This Row],[Tôi tin rằng Nhà nước, cơ quan thuế có đủ khả năng và công nghệ để phát hiện, xử lý nghiêm các hành vi trốn thuế. - HUMAN-ENF2]]</f>
        <v>9</v>
      </c>
      <c r="Y60" t="str">
        <f t="shared" si="4"/>
        <v>Support</v>
      </c>
      <c r="Z60" s="32">
        <f t="shared" si="5"/>
        <v>3</v>
      </c>
      <c r="AA60">
        <f>step3_validation[[#This Row],[AI_FAC1]]</f>
        <v>9</v>
      </c>
      <c r="AB60" t="str">
        <f t="shared" si="6"/>
        <v>Support</v>
      </c>
      <c r="AC60">
        <f>survey_responses[[#This Row],[Các thủ tục khai báo thuế VÀ/HOẶC quy trình làm việc với cơ quan thuế đơn giản, tiện lợi, nhanh chóng hơn so với trước đây. - HUMAN-FAC1]]</f>
        <v>9</v>
      </c>
      <c r="AD60" t="str">
        <f t="shared" si="7"/>
        <v>Support</v>
      </c>
      <c r="AE60" s="32">
        <f t="shared" si="8"/>
        <v>0</v>
      </c>
      <c r="AF60">
        <f>step3_validation[[#This Row],[AI_FAC2]]</f>
        <v>8</v>
      </c>
      <c r="AG60" t="str">
        <f t="shared" si="9"/>
        <v>Support</v>
      </c>
      <c r="AH60">
        <f>survey_responses[[#This Row],[So với trước đây, tôi thấy cách tính thuế và các bậc thuế trong phương án mới đơn giản, dễ hiểu và dễ thực hiện hơn. - HUMAN-FAC2]]</f>
        <v>7</v>
      </c>
      <c r="AI60" t="str">
        <f t="shared" si="10"/>
        <v>Neutral</v>
      </c>
      <c r="AJ60" s="32">
        <f t="shared" si="11"/>
        <v>1</v>
      </c>
      <c r="AK60">
        <f>step3_validation[[#This Row],[AI_TRU1]]</f>
        <v>7</v>
      </c>
      <c r="AL60" t="str">
        <f t="shared" si="12"/>
        <v>Neutral</v>
      </c>
      <c r="AM60">
        <f>survey_responses[[#This Row],[Tôi tin rằng Nhà nước, cơ quan thuế sẽ thực thi chính sách mới một cách khách quan, công tâm và đối xử bình đẳng với mọi người nộp thuế.  - HUMAN-TRU1]]</f>
        <v>7</v>
      </c>
      <c r="AN60" t="str">
        <f t="shared" si="13"/>
        <v>Neutral</v>
      </c>
      <c r="AO60" s="32">
        <f t="shared" si="14"/>
        <v>0</v>
      </c>
      <c r="AP60">
        <f>step3_validation[[#This Row],[AI_TRU2]]</f>
        <v>8</v>
      </c>
      <c r="AQ60" t="str">
        <f t="shared" si="15"/>
        <v>Support</v>
      </c>
      <c r="AR60">
        <f>survey_responses[[#This Row],[Tôi thấy mức thuế tôi phải đóng theo phương án mới là công bằng (người thu nhập như tôi đóng mức này là hợp lý). - HUMAN-TRU2]]</f>
        <v>8</v>
      </c>
      <c r="AS60" t="str">
        <f t="shared" si="16"/>
        <v>Support</v>
      </c>
      <c r="AT60" s="32">
        <f t="shared" si="17"/>
        <v>0</v>
      </c>
      <c r="AU60">
        <f>step3_validation[[#This Row],[AI_TRU3]]</f>
        <v>6</v>
      </c>
      <c r="AV60" t="str">
        <f t="shared" si="18"/>
        <v>Neutral</v>
      </c>
      <c r="AW60">
        <f>survey_responses[[#This Row],[Tôi tin tưởng số tiền thuế tôi đóng sẽ được Nhà nước sử dụng hiệu quả để cải thiện dịch vụ công (y tế, đường xá...). - HUMAN-TRU3]]</f>
        <v>8</v>
      </c>
      <c r="AX60" t="str">
        <f t="shared" si="19"/>
        <v>Support</v>
      </c>
      <c r="AY60" s="32">
        <f t="shared" si="20"/>
        <v>2</v>
      </c>
      <c r="AZ60">
        <f>step3_validation[[#This Row],[AI_TRU4]]</f>
        <v>5</v>
      </c>
      <c r="BA60" t="str">
        <f t="shared" si="21"/>
        <v>Neutral</v>
      </c>
      <c r="BB60">
        <f>survey_responses[[#This Row],[Tôi thấy Nhà nước đã giải thích rõ ràng, minh bạch về lý do và mục tiêu của việc sửa đổi thuế lần này. - HUMAN-TRU4]]</f>
        <v>6</v>
      </c>
      <c r="BC60" t="str">
        <f t="shared" si="22"/>
        <v>Neutral</v>
      </c>
      <c r="BD60" s="32">
        <f t="shared" si="23"/>
        <v>1</v>
      </c>
      <c r="BE60">
        <f>step3_validation[[#This Row],[AI_OUT1]]</f>
        <v>8</v>
      </c>
      <c r="BF60" t="str">
        <f t="shared" si="24"/>
        <v>Support</v>
      </c>
      <c r="BG60">
        <f>survey_responses[[#This Row],[Sau khi xem xét các quyền lợi và nghĩa vụ, bạn có ủng hộ và tuân thủ chính sách mới hiện nay? - HUMAN-OUT1]]</f>
        <v>5</v>
      </c>
      <c r="BH60" t="str">
        <f t="shared" si="25"/>
        <v>Neutral</v>
      </c>
      <c r="BI60" s="32">
        <f t="shared" si="26"/>
        <v>3</v>
      </c>
    </row>
    <row r="61" spans="1:61" x14ac:dyDescent="0.45">
      <c r="A61" s="30">
        <f>step3_validation[[#This Row],[Persona_ID]]</f>
        <v>60</v>
      </c>
      <c r="B61" s="31">
        <f>step3_validation[[#This Row],[Used_Seed]]</f>
        <v>2085</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15.02703303822214</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8</v>
      </c>
      <c r="R61" t="str">
        <f t="shared" si="0"/>
        <v>Support</v>
      </c>
      <c r="S61">
        <f>survey_responses[[#This Row],[Tôi tin rằng với các quy định quản lý thuế hiện nay, hành vi gian lận hoặc trốn thuế sẽ dễ dàng bị phát hiện và xử lý nghiêm. - HUMAN-ENF1]]</f>
        <v>5</v>
      </c>
      <c r="T61" t="str">
        <f t="shared" si="1"/>
        <v>Neutral</v>
      </c>
      <c r="U61" s="32">
        <f t="shared" si="2"/>
        <v>3</v>
      </c>
      <c r="V61">
        <f>step3_validation[[#This Row],[AI_ENF2]]</f>
        <v>8</v>
      </c>
      <c r="W61" t="str">
        <f t="shared" si="3"/>
        <v>Support</v>
      </c>
      <c r="X61">
        <f>survey_responses[[#This Row],[Tôi tin rằng Nhà nước, cơ quan thuế có đủ khả năng và công nghệ để phát hiện, xử lý nghiêm các hành vi trốn thuế. - HUMAN-ENF2]]</f>
        <v>5</v>
      </c>
      <c r="Y61" t="str">
        <f t="shared" si="4"/>
        <v>Neutral</v>
      </c>
      <c r="Z61" s="32">
        <f t="shared" si="5"/>
        <v>3</v>
      </c>
      <c r="AA61">
        <f>step3_validation[[#This Row],[AI_FAC1]]</f>
        <v>9</v>
      </c>
      <c r="AB61" t="str">
        <f t="shared" si="6"/>
        <v>Support</v>
      </c>
      <c r="AC61">
        <f>survey_responses[[#This Row],[Các thủ tục khai báo thuế VÀ/HOẶC quy trình làm việc với cơ quan thuế đơn giản, tiện lợi, nhanh chóng hơn so với trước đây. - HUMAN-FAC1]]</f>
        <v>5</v>
      </c>
      <c r="AD61" t="str">
        <f t="shared" si="7"/>
        <v>Neutral</v>
      </c>
      <c r="AE61" s="32">
        <f t="shared" si="8"/>
        <v>4</v>
      </c>
      <c r="AF61">
        <f>step3_validation[[#This Row],[AI_FAC2]]</f>
        <v>9</v>
      </c>
      <c r="AG61" t="str">
        <f t="shared" si="9"/>
        <v>Support</v>
      </c>
      <c r="AH61">
        <f>survey_responses[[#This Row],[So với trước đây, tôi thấy cách tính thuế và các bậc thuế trong phương án mới đơn giản, dễ hiểu và dễ thực hiện hơn. - HUMAN-FAC2]]</f>
        <v>5</v>
      </c>
      <c r="AI61" t="str">
        <f t="shared" si="10"/>
        <v>Neutral</v>
      </c>
      <c r="AJ61" s="32">
        <f t="shared" si="11"/>
        <v>4</v>
      </c>
      <c r="AK61">
        <f>step3_validation[[#This Row],[AI_TRU1]]</f>
        <v>8</v>
      </c>
      <c r="AL61" t="str">
        <f t="shared" si="12"/>
        <v>Support</v>
      </c>
      <c r="AM61">
        <f>survey_responses[[#This Row],[Tôi tin rằng Nhà nước, cơ quan thuế sẽ thực thi chính sách mới một cách khách quan, công tâm và đối xử bình đẳng với mọi người nộp thuế.  - HUMAN-TRU1]]</f>
        <v>5</v>
      </c>
      <c r="AN61" t="str">
        <f t="shared" si="13"/>
        <v>Neutral</v>
      </c>
      <c r="AO61" s="32">
        <f t="shared" si="14"/>
        <v>3</v>
      </c>
      <c r="AP61">
        <f>step3_validation[[#This Row],[AI_TRU2]]</f>
        <v>9</v>
      </c>
      <c r="AQ61" t="str">
        <f t="shared" si="15"/>
        <v>Support</v>
      </c>
      <c r="AR61">
        <f>survey_responses[[#This Row],[Tôi thấy mức thuế tôi phải đóng theo phương án mới là công bằng (người thu nhập như tôi đóng mức này là hợp lý). - HUMAN-TRU2]]</f>
        <v>8</v>
      </c>
      <c r="AS61" t="str">
        <f t="shared" si="16"/>
        <v>Support</v>
      </c>
      <c r="AT61" s="32">
        <f t="shared" si="17"/>
        <v>1</v>
      </c>
      <c r="AU61">
        <f>step3_validation[[#This Row],[AI_TRU3]]</f>
        <v>8</v>
      </c>
      <c r="AV61" t="str">
        <f t="shared" si="18"/>
        <v>Support</v>
      </c>
      <c r="AW61">
        <f>survey_responses[[#This Row],[Tôi tin tưởng số tiền thuế tôi đóng sẽ được Nhà nước sử dụng hiệu quả để cải thiện dịch vụ công (y tế, đường xá...). - HUMAN-TRU3]]</f>
        <v>4</v>
      </c>
      <c r="AX61" t="str">
        <f t="shared" si="19"/>
        <v>Oppose</v>
      </c>
      <c r="AY61" s="32">
        <f t="shared" si="20"/>
        <v>4</v>
      </c>
      <c r="AZ61">
        <f>step3_validation[[#This Row],[AI_TRU4]]</f>
        <v>7</v>
      </c>
      <c r="BA61" t="str">
        <f t="shared" si="21"/>
        <v>Neutral</v>
      </c>
      <c r="BB61">
        <f>survey_responses[[#This Row],[Tôi thấy Nhà nước đã giải thích rõ ràng, minh bạch về lý do và mục tiêu của việc sửa đổi thuế lần này. - HUMAN-TRU4]]</f>
        <v>5</v>
      </c>
      <c r="BC61" t="str">
        <f t="shared" si="22"/>
        <v>Neutral</v>
      </c>
      <c r="BD61" s="32">
        <f t="shared" si="23"/>
        <v>2</v>
      </c>
      <c r="BE61">
        <f>step3_validation[[#This Row],[AI_OUT1]]</f>
        <v>9</v>
      </c>
      <c r="BF61" t="str">
        <f t="shared" si="24"/>
        <v>Support</v>
      </c>
      <c r="BG61">
        <f>survey_responses[[#This Row],[Sau khi xem xét các quyền lợi và nghĩa vụ, bạn có ủng hộ và tuân thủ chính sách mới hiện nay? - HUMAN-OUT1]]</f>
        <v>5</v>
      </c>
      <c r="BH61" t="str">
        <f t="shared" si="25"/>
        <v>Neutral</v>
      </c>
      <c r="BI61" s="32">
        <f t="shared" si="26"/>
        <v>4</v>
      </c>
    </row>
    <row r="62" spans="1:61" x14ac:dyDescent="0.45">
      <c r="A62" s="30">
        <f>step3_validation[[#This Row],[Persona_ID]]</f>
        <v>61</v>
      </c>
      <c r="B62" s="31">
        <f>step3_validation[[#This Row],[Used_Seed]]</f>
        <v>2086</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18.332078427425902</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8</v>
      </c>
      <c r="R62" t="str">
        <f t="shared" si="0"/>
        <v>Support</v>
      </c>
      <c r="S62">
        <f>survey_responses[[#This Row],[Tôi tin rằng với các quy định quản lý thuế hiện nay, hành vi gian lận hoặc trốn thuế sẽ dễ dàng bị phát hiện và xử lý nghiêm. - HUMAN-ENF1]]</f>
        <v>8</v>
      </c>
      <c r="T62" t="str">
        <f t="shared" si="1"/>
        <v>Support</v>
      </c>
      <c r="U62" s="32">
        <f t="shared" si="2"/>
        <v>0</v>
      </c>
      <c r="V62">
        <f>step3_validation[[#This Row],[AI_ENF2]]</f>
        <v>7</v>
      </c>
      <c r="W62" t="str">
        <f t="shared" si="3"/>
        <v>Neutral</v>
      </c>
      <c r="X62">
        <f>survey_responses[[#This Row],[Tôi tin rằng Nhà nước, cơ quan thuế có đủ khả năng và công nghệ để phát hiện, xử lý nghiêm các hành vi trốn thuế. - HUMAN-ENF2]]</f>
        <v>9</v>
      </c>
      <c r="Y62" t="str">
        <f t="shared" si="4"/>
        <v>Support</v>
      </c>
      <c r="Z62" s="32">
        <f t="shared" si="5"/>
        <v>2</v>
      </c>
      <c r="AA62">
        <f>step3_validation[[#This Row],[AI_FAC1]]</f>
        <v>8</v>
      </c>
      <c r="AB62" t="str">
        <f t="shared" si="6"/>
        <v>Support</v>
      </c>
      <c r="AC62">
        <f>survey_responses[[#This Row],[Các thủ tục khai báo thuế VÀ/HOẶC quy trình làm việc với cơ quan thuế đơn giản, tiện lợi, nhanh chóng hơn so với trước đây. - HUMAN-FAC1]]</f>
        <v>9</v>
      </c>
      <c r="AD62" t="str">
        <f t="shared" si="7"/>
        <v>Support</v>
      </c>
      <c r="AE62" s="32">
        <f t="shared" si="8"/>
        <v>1</v>
      </c>
      <c r="AF62">
        <f>step3_validation[[#This Row],[AI_FAC2]]</f>
        <v>9</v>
      </c>
      <c r="AG62" t="str">
        <f t="shared" si="9"/>
        <v>Support</v>
      </c>
      <c r="AH62">
        <f>survey_responses[[#This Row],[So với trước đây, tôi thấy cách tính thuế và các bậc thuế trong phương án mới đơn giản, dễ hiểu và dễ thực hiện hơn. - HUMAN-FAC2]]</f>
        <v>9</v>
      </c>
      <c r="AI62" t="str">
        <f t="shared" si="10"/>
        <v>Support</v>
      </c>
      <c r="AJ62" s="32">
        <f t="shared" si="11"/>
        <v>0</v>
      </c>
      <c r="AK62">
        <f>step3_validation[[#This Row],[AI_TRU1]]</f>
        <v>7</v>
      </c>
      <c r="AL62" t="str">
        <f t="shared" si="12"/>
        <v>Neutral</v>
      </c>
      <c r="AM62">
        <f>survey_responses[[#This Row],[Tôi tin rằng Nhà nước, cơ quan thuế sẽ thực thi chính sách mới một cách khách quan, công tâm và đối xử bình đẳng với mọi người nộp thuế.  - HUMAN-TRU1]]</f>
        <v>9</v>
      </c>
      <c r="AN62" t="str">
        <f t="shared" si="13"/>
        <v>Support</v>
      </c>
      <c r="AO62" s="32">
        <f t="shared" si="14"/>
        <v>2</v>
      </c>
      <c r="AP62">
        <f>step3_validation[[#This Row],[AI_TRU2]]</f>
        <v>8</v>
      </c>
      <c r="AQ62" t="str">
        <f t="shared" si="15"/>
        <v>Support</v>
      </c>
      <c r="AR62">
        <f>survey_responses[[#This Row],[Tôi thấy mức thuế tôi phải đóng theo phương án mới là công bằng (người thu nhập như tôi đóng mức này là hợp lý). - HUMAN-TRU2]]</f>
        <v>8</v>
      </c>
      <c r="AS62" t="str">
        <f t="shared" si="16"/>
        <v>Support</v>
      </c>
      <c r="AT62" s="32">
        <f t="shared" si="17"/>
        <v>0</v>
      </c>
      <c r="AU62">
        <f>step3_validation[[#This Row],[AI_TRU3]]</f>
        <v>7</v>
      </c>
      <c r="AV62" t="str">
        <f t="shared" si="18"/>
        <v>Neutral</v>
      </c>
      <c r="AW62">
        <f>survey_responses[[#This Row],[Tôi tin tưởng số tiền thuế tôi đóng sẽ được Nhà nước sử dụng hiệu quả để cải thiện dịch vụ công (y tế, đường xá...). - HUMAN-TRU3]]</f>
        <v>8</v>
      </c>
      <c r="AX62" t="str">
        <f t="shared" si="19"/>
        <v>Support</v>
      </c>
      <c r="AY62" s="32">
        <f t="shared" si="20"/>
        <v>1</v>
      </c>
      <c r="AZ62">
        <f>step3_validation[[#This Row],[AI_TRU4]]</f>
        <v>6</v>
      </c>
      <c r="BA62" t="str">
        <f t="shared" si="21"/>
        <v>Neutral</v>
      </c>
      <c r="BB62">
        <f>survey_responses[[#This Row],[Tôi thấy Nhà nước đã giải thích rõ ràng, minh bạch về lý do và mục tiêu của việc sửa đổi thuế lần này. - HUMAN-TRU4]]</f>
        <v>8</v>
      </c>
      <c r="BC62" t="str">
        <f t="shared" si="22"/>
        <v>Support</v>
      </c>
      <c r="BD62" s="32">
        <f t="shared" si="23"/>
        <v>2</v>
      </c>
      <c r="BE62">
        <f>step3_validation[[#This Row],[AI_OUT1]]</f>
        <v>7</v>
      </c>
      <c r="BF62" t="str">
        <f t="shared" si="24"/>
        <v>Neutral</v>
      </c>
      <c r="BG62">
        <f>survey_responses[[#This Row],[Sau khi xem xét các quyền lợi và nghĩa vụ, bạn có ủng hộ và tuân thủ chính sách mới hiện nay? - HUMAN-OUT1]]</f>
        <v>9</v>
      </c>
      <c r="BH62" t="str">
        <f t="shared" si="25"/>
        <v>Support</v>
      </c>
      <c r="BI62" s="32">
        <f t="shared" si="26"/>
        <v>2</v>
      </c>
    </row>
    <row r="63" spans="1:61" x14ac:dyDescent="0.45">
      <c r="A63" s="30">
        <f>step3_validation[[#This Row],[Persona_ID]]</f>
        <v>62</v>
      </c>
      <c r="B63" s="31">
        <f>step3_validation[[#This Row],[Used_Seed]]</f>
        <v>2087</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26.341976997812576</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6</v>
      </c>
      <c r="R63" t="str">
        <f t="shared" si="0"/>
        <v>Neutral</v>
      </c>
      <c r="S63">
        <f>survey_responses[[#This Row],[Tôi tin rằng với các quy định quản lý thuế hiện nay, hành vi gian lận hoặc trốn thuế sẽ dễ dàng bị phát hiện và xử lý nghiêm. - HUMAN-ENF1]]</f>
        <v>9</v>
      </c>
      <c r="T63" t="str">
        <f t="shared" si="1"/>
        <v>Support</v>
      </c>
      <c r="U63" s="32">
        <f t="shared" si="2"/>
        <v>3</v>
      </c>
      <c r="V63">
        <f>step3_validation[[#This Row],[AI_ENF2]]</f>
        <v>7</v>
      </c>
      <c r="W63" t="str">
        <f t="shared" si="3"/>
        <v>Neutral</v>
      </c>
      <c r="X63">
        <f>survey_responses[[#This Row],[Tôi tin rằng Nhà nước, cơ quan thuế có đủ khả năng và công nghệ để phát hiện, xử lý nghiêm các hành vi trốn thuế. - HUMAN-ENF2]]</f>
        <v>9</v>
      </c>
      <c r="Y63" t="str">
        <f t="shared" si="4"/>
        <v>Support</v>
      </c>
      <c r="Z63" s="32">
        <f t="shared" si="5"/>
        <v>2</v>
      </c>
      <c r="AA63">
        <f>step3_validation[[#This Row],[AI_FAC1]]</f>
        <v>9</v>
      </c>
      <c r="AB63" t="str">
        <f t="shared" si="6"/>
        <v>Support</v>
      </c>
      <c r="AC63">
        <f>survey_responses[[#This Row],[Các thủ tục khai báo thuế VÀ/HOẶC quy trình làm việc với cơ quan thuế đơn giản, tiện lợi, nhanh chóng hơn so với trước đây. - HUMAN-FAC1]]</f>
        <v>7</v>
      </c>
      <c r="AD63" t="str">
        <f t="shared" si="7"/>
        <v>Neutral</v>
      </c>
      <c r="AE63" s="32">
        <f t="shared" si="8"/>
        <v>2</v>
      </c>
      <c r="AF63">
        <f>step3_validation[[#This Row],[AI_FAC2]]</f>
        <v>8</v>
      </c>
      <c r="AG63" t="str">
        <f t="shared" si="9"/>
        <v>Support</v>
      </c>
      <c r="AH63">
        <f>survey_responses[[#This Row],[So với trước đây, tôi thấy cách tính thuế và các bậc thuế trong phương án mới đơn giản, dễ hiểu và dễ thực hiện hơn. - HUMAN-FAC2]]</f>
        <v>6</v>
      </c>
      <c r="AI63" t="str">
        <f t="shared" si="10"/>
        <v>Neutral</v>
      </c>
      <c r="AJ63" s="32">
        <f t="shared" si="11"/>
        <v>2</v>
      </c>
      <c r="AK63">
        <f>step3_validation[[#This Row],[AI_TRU1]]</f>
        <v>7</v>
      </c>
      <c r="AL63" t="str">
        <f t="shared" si="12"/>
        <v>Neutral</v>
      </c>
      <c r="AM63">
        <f>survey_responses[[#This Row],[Tôi tin rằng Nhà nước, cơ quan thuế sẽ thực thi chính sách mới một cách khách quan, công tâm và đối xử bình đẳng với mọi người nộp thuế.  - HUMAN-TRU1]]</f>
        <v>7</v>
      </c>
      <c r="AN63" t="str">
        <f t="shared" si="13"/>
        <v>Neutral</v>
      </c>
      <c r="AO63" s="32">
        <f t="shared" si="14"/>
        <v>0</v>
      </c>
      <c r="AP63">
        <f>step3_validation[[#This Row],[AI_TRU2]]</f>
        <v>9</v>
      </c>
      <c r="AQ63" t="str">
        <f t="shared" si="15"/>
        <v>Support</v>
      </c>
      <c r="AR63">
        <f>survey_responses[[#This Row],[Tôi thấy mức thuế tôi phải đóng theo phương án mới là công bằng (người thu nhập như tôi đóng mức này là hợp lý). - HUMAN-TRU2]]</f>
        <v>5</v>
      </c>
      <c r="AS63" t="str">
        <f t="shared" si="16"/>
        <v>Neutral</v>
      </c>
      <c r="AT63" s="32">
        <f t="shared" si="17"/>
        <v>4</v>
      </c>
      <c r="AU63">
        <f>step3_validation[[#This Row],[AI_TRU3]]</f>
        <v>6</v>
      </c>
      <c r="AV63" t="str">
        <f t="shared" si="18"/>
        <v>Neutral</v>
      </c>
      <c r="AW63">
        <f>survey_responses[[#This Row],[Tôi tin tưởng số tiền thuế tôi đóng sẽ được Nhà nước sử dụng hiệu quả để cải thiện dịch vụ công (y tế, đường xá...). - HUMAN-TRU3]]</f>
        <v>6</v>
      </c>
      <c r="AX63" t="str">
        <f t="shared" si="19"/>
        <v>Neutral</v>
      </c>
      <c r="AY63" s="32">
        <f t="shared" si="20"/>
        <v>0</v>
      </c>
      <c r="AZ63">
        <f>step3_validation[[#This Row],[AI_TRU4]]</f>
        <v>7</v>
      </c>
      <c r="BA63" t="str">
        <f t="shared" si="21"/>
        <v>Neutral</v>
      </c>
      <c r="BB63">
        <f>survey_responses[[#This Row],[Tôi thấy Nhà nước đã giải thích rõ ràng, minh bạch về lý do và mục tiêu của việc sửa đổi thuế lần này. - HUMAN-TRU4]]</f>
        <v>8</v>
      </c>
      <c r="BC63" t="str">
        <f t="shared" si="22"/>
        <v>Support</v>
      </c>
      <c r="BD63" s="32">
        <f t="shared" si="23"/>
        <v>1</v>
      </c>
      <c r="BE63">
        <f>step3_validation[[#This Row],[AI_OUT1]]</f>
        <v>8</v>
      </c>
      <c r="BF63" t="str">
        <f t="shared" si="24"/>
        <v>Support</v>
      </c>
      <c r="BG63">
        <f>survey_responses[[#This Row],[Sau khi xem xét các quyền lợi và nghĩa vụ, bạn có ủng hộ và tuân thủ chính sách mới hiện nay? - HUMAN-OUT1]]</f>
        <v>5</v>
      </c>
      <c r="BH63" t="str">
        <f t="shared" si="25"/>
        <v>Neutral</v>
      </c>
      <c r="BI63" s="32">
        <f t="shared" si="26"/>
        <v>3</v>
      </c>
    </row>
    <row r="64" spans="1:61" x14ac:dyDescent="0.45">
      <c r="A64" s="30">
        <f>step3_validation[[#This Row],[Persona_ID]]</f>
        <v>63</v>
      </c>
      <c r="B64" s="31">
        <f>step3_validation[[#This Row],[Used_Seed]]</f>
        <v>2088</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19.176103235392247</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7</v>
      </c>
      <c r="R64" t="str">
        <f t="shared" si="0"/>
        <v>Neutral</v>
      </c>
      <c r="S64">
        <f>survey_responses[[#This Row],[Tôi tin rằng với các quy định quản lý thuế hiện nay, hành vi gian lận hoặc trốn thuế sẽ dễ dàng bị phát hiện và xử lý nghiêm. - HUMAN-ENF1]]</f>
        <v>9</v>
      </c>
      <c r="T64" t="str">
        <f t="shared" si="1"/>
        <v>Support</v>
      </c>
      <c r="U64" s="32">
        <f t="shared" si="2"/>
        <v>2</v>
      </c>
      <c r="V64">
        <f>step3_validation[[#This Row],[AI_ENF2]]</f>
        <v>8</v>
      </c>
      <c r="W64" t="str">
        <f t="shared" si="3"/>
        <v>Support</v>
      </c>
      <c r="X64">
        <f>survey_responses[[#This Row],[Tôi tin rằng Nhà nước, cơ quan thuế có đủ khả năng và công nghệ để phát hiện, xử lý nghiêm các hành vi trốn thuế. - HUMAN-ENF2]]</f>
        <v>9</v>
      </c>
      <c r="Y64" t="str">
        <f t="shared" si="4"/>
        <v>Support</v>
      </c>
      <c r="Z64" s="32">
        <f t="shared" si="5"/>
        <v>1</v>
      </c>
      <c r="AA64">
        <f>step3_validation[[#This Row],[AI_FAC1]]</f>
        <v>9</v>
      </c>
      <c r="AB64" t="str">
        <f t="shared" si="6"/>
        <v>Support</v>
      </c>
      <c r="AC64">
        <f>survey_responses[[#This Row],[Các thủ tục khai báo thuế VÀ/HOẶC quy trình làm việc với cơ quan thuế đơn giản, tiện lợi, nhanh chóng hơn so với trước đây. - HUMAN-FAC1]]</f>
        <v>9</v>
      </c>
      <c r="AD64" t="str">
        <f t="shared" si="7"/>
        <v>Support</v>
      </c>
      <c r="AE64" s="32">
        <f t="shared" si="8"/>
        <v>0</v>
      </c>
      <c r="AF64">
        <f>step3_validation[[#This Row],[AI_FAC2]]</f>
        <v>10</v>
      </c>
      <c r="AG64" t="str">
        <f t="shared" si="9"/>
        <v>Support</v>
      </c>
      <c r="AH64">
        <f>survey_responses[[#This Row],[So với trước đây, tôi thấy cách tính thuế và các bậc thuế trong phương án mới đơn giản, dễ hiểu và dễ thực hiện hơn. - HUMAN-FAC2]]</f>
        <v>9</v>
      </c>
      <c r="AI64" t="str">
        <f t="shared" si="10"/>
        <v>Support</v>
      </c>
      <c r="AJ64" s="32">
        <f t="shared" si="11"/>
        <v>1</v>
      </c>
      <c r="AK64">
        <f>step3_validation[[#This Row],[AI_TRU1]]</f>
        <v>9</v>
      </c>
      <c r="AL64" t="str">
        <f t="shared" si="12"/>
        <v>Support</v>
      </c>
      <c r="AM64">
        <f>survey_responses[[#This Row],[Tôi tin rằng Nhà nước, cơ quan thuế sẽ thực thi chính sách mới một cách khách quan, công tâm và đối xử bình đẳng với mọi người nộp thuế.  - HUMAN-TRU1]]</f>
        <v>8</v>
      </c>
      <c r="AN64" t="str">
        <f t="shared" si="13"/>
        <v>Support</v>
      </c>
      <c r="AO64" s="32">
        <f t="shared" si="14"/>
        <v>1</v>
      </c>
      <c r="AP64">
        <f>step3_validation[[#This Row],[AI_TRU2]]</f>
        <v>10</v>
      </c>
      <c r="AQ64" t="str">
        <f t="shared" si="15"/>
        <v>Support</v>
      </c>
      <c r="AR64">
        <f>survey_responses[[#This Row],[Tôi thấy mức thuế tôi phải đóng theo phương án mới là công bằng (người thu nhập như tôi đóng mức này là hợp lý). - HUMAN-TRU2]]</f>
        <v>9</v>
      </c>
      <c r="AS64" t="str">
        <f t="shared" si="16"/>
        <v>Support</v>
      </c>
      <c r="AT64" s="32">
        <f t="shared" si="17"/>
        <v>1</v>
      </c>
      <c r="AU64">
        <f>step3_validation[[#This Row],[AI_TRU3]]</f>
        <v>9</v>
      </c>
      <c r="AV64" t="str">
        <f t="shared" si="18"/>
        <v>Support</v>
      </c>
      <c r="AW64">
        <f>survey_responses[[#This Row],[Tôi tin tưởng số tiền thuế tôi đóng sẽ được Nhà nước sử dụng hiệu quả để cải thiện dịch vụ công (y tế, đường xá...). - HUMAN-TRU3]]</f>
        <v>9</v>
      </c>
      <c r="AX64" t="str">
        <f t="shared" si="19"/>
        <v>Support</v>
      </c>
      <c r="AY64" s="32">
        <f t="shared" si="20"/>
        <v>0</v>
      </c>
      <c r="AZ64">
        <f>step3_validation[[#This Row],[AI_TRU4]]</f>
        <v>8</v>
      </c>
      <c r="BA64" t="str">
        <f t="shared" si="21"/>
        <v>Support</v>
      </c>
      <c r="BB64">
        <f>survey_responses[[#This Row],[Tôi thấy Nhà nước đã giải thích rõ ràng, minh bạch về lý do và mục tiêu của việc sửa đổi thuế lần này. - HUMAN-TRU4]]</f>
        <v>8</v>
      </c>
      <c r="BC64" t="str">
        <f t="shared" si="22"/>
        <v>Support</v>
      </c>
      <c r="BD64" s="32">
        <f t="shared" si="23"/>
        <v>0</v>
      </c>
      <c r="BE64">
        <f>step3_validation[[#This Row],[AI_OUT1]]</f>
        <v>10</v>
      </c>
      <c r="BF64" t="str">
        <f t="shared" si="24"/>
        <v>Support</v>
      </c>
      <c r="BG64">
        <f>survey_responses[[#This Row],[Sau khi xem xét các quyền lợi và nghĩa vụ, bạn có ủng hộ và tuân thủ chính sách mới hiện nay? - HUMAN-OUT1]]</f>
        <v>7</v>
      </c>
      <c r="BH64" t="str">
        <f t="shared" si="25"/>
        <v>Neutral</v>
      </c>
      <c r="BI64" s="32">
        <f t="shared" si="26"/>
        <v>3</v>
      </c>
    </row>
    <row r="65" spans="1:61" x14ac:dyDescent="0.45">
      <c r="A65" s="30">
        <f>step3_validation[[#This Row],[Persona_ID]]</f>
        <v>64</v>
      </c>
      <c r="B65" s="31">
        <f>step3_validation[[#This Row],[Used_Seed]]</f>
        <v>2089</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117.06931912645403</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8</v>
      </c>
      <c r="R65" t="str">
        <f t="shared" si="0"/>
        <v>Support</v>
      </c>
      <c r="S65">
        <f>survey_responses[[#This Row],[Tôi tin rằng với các quy định quản lý thuế hiện nay, hành vi gian lận hoặc trốn thuế sẽ dễ dàng bị phát hiện và xử lý nghiêm. - HUMAN-ENF1]]</f>
        <v>9</v>
      </c>
      <c r="T65" t="str">
        <f t="shared" si="1"/>
        <v>Support</v>
      </c>
      <c r="U65" s="32">
        <f t="shared" si="2"/>
        <v>1</v>
      </c>
      <c r="V65">
        <f>step3_validation[[#This Row],[AI_ENF2]]</f>
        <v>7</v>
      </c>
      <c r="W65" t="str">
        <f t="shared" si="3"/>
        <v>Neutral</v>
      </c>
      <c r="X65">
        <f>survey_responses[[#This Row],[Tôi tin rằng Nhà nước, cơ quan thuế có đủ khả năng và công nghệ để phát hiện, xử lý nghiêm các hành vi trốn thuế. - HUMAN-ENF2]]</f>
        <v>10</v>
      </c>
      <c r="Y65" t="str">
        <f t="shared" si="4"/>
        <v>Support</v>
      </c>
      <c r="Z65" s="32">
        <f t="shared" si="5"/>
        <v>3</v>
      </c>
      <c r="AA65">
        <f>step3_validation[[#This Row],[AI_FAC1]]</f>
        <v>9</v>
      </c>
      <c r="AB65" t="str">
        <f t="shared" si="6"/>
        <v>Support</v>
      </c>
      <c r="AC65">
        <f>survey_responses[[#This Row],[Các thủ tục khai báo thuế VÀ/HOẶC quy trình làm việc với cơ quan thuế đơn giản, tiện lợi, nhanh chóng hơn so với trước đây. - HUMAN-FAC1]]</f>
        <v>9</v>
      </c>
      <c r="AD65" t="str">
        <f t="shared" si="7"/>
        <v>Support</v>
      </c>
      <c r="AE65" s="32">
        <f t="shared" si="8"/>
        <v>0</v>
      </c>
      <c r="AF65">
        <f>step3_validation[[#This Row],[AI_FAC2]]</f>
        <v>10</v>
      </c>
      <c r="AG65" t="str">
        <f t="shared" si="9"/>
        <v>Support</v>
      </c>
      <c r="AH65">
        <f>survey_responses[[#This Row],[So với trước đây, tôi thấy cách tính thuế và các bậc thuế trong phương án mới đơn giản, dễ hiểu và dễ thực hiện hơn. - HUMAN-FAC2]]</f>
        <v>10</v>
      </c>
      <c r="AI65" t="str">
        <f t="shared" si="10"/>
        <v>Support</v>
      </c>
      <c r="AJ65" s="32">
        <f t="shared" si="11"/>
        <v>0</v>
      </c>
      <c r="AK65">
        <f>step3_validation[[#This Row],[AI_TRU1]]</f>
        <v>9</v>
      </c>
      <c r="AL65" t="str">
        <f t="shared" si="12"/>
        <v>Support</v>
      </c>
      <c r="AM65">
        <f>survey_responses[[#This Row],[Tôi tin rằng Nhà nước, cơ quan thuế sẽ thực thi chính sách mới một cách khách quan, công tâm và đối xử bình đẳng với mọi người nộp thuế.  - HUMAN-TRU1]]</f>
        <v>10</v>
      </c>
      <c r="AN65" t="str">
        <f t="shared" si="13"/>
        <v>Support</v>
      </c>
      <c r="AO65" s="32">
        <f t="shared" si="14"/>
        <v>1</v>
      </c>
      <c r="AP65">
        <f>step3_validation[[#This Row],[AI_TRU2]]</f>
        <v>8</v>
      </c>
      <c r="AQ65" t="str">
        <f t="shared" si="15"/>
        <v>Support</v>
      </c>
      <c r="AR65">
        <f>survey_responses[[#This Row],[Tôi thấy mức thuế tôi phải đóng theo phương án mới là công bằng (người thu nhập như tôi đóng mức này là hợp lý). - HUMAN-TRU2]]</f>
        <v>5</v>
      </c>
      <c r="AS65" t="str">
        <f t="shared" si="16"/>
        <v>Neutral</v>
      </c>
      <c r="AT65" s="32">
        <f t="shared" si="17"/>
        <v>3</v>
      </c>
      <c r="AU65">
        <f>step3_validation[[#This Row],[AI_TRU3]]</f>
        <v>9</v>
      </c>
      <c r="AV65" t="str">
        <f t="shared" si="18"/>
        <v>Support</v>
      </c>
      <c r="AW65">
        <f>survey_responses[[#This Row],[Tôi tin tưởng số tiền thuế tôi đóng sẽ được Nhà nước sử dụng hiệu quả để cải thiện dịch vụ công (y tế, đường xá...). - HUMAN-TRU3]]</f>
        <v>10</v>
      </c>
      <c r="AX65" t="str">
        <f t="shared" si="19"/>
        <v>Support</v>
      </c>
      <c r="AY65" s="32">
        <f t="shared" si="20"/>
        <v>1</v>
      </c>
      <c r="AZ65">
        <f>step3_validation[[#This Row],[AI_TRU4]]</f>
        <v>7</v>
      </c>
      <c r="BA65" t="str">
        <f t="shared" si="21"/>
        <v>Neutral</v>
      </c>
      <c r="BB65">
        <f>survey_responses[[#This Row],[Tôi thấy Nhà nước đã giải thích rõ ràng, minh bạch về lý do và mục tiêu của việc sửa đổi thuế lần này. - HUMAN-TRU4]]</f>
        <v>7</v>
      </c>
      <c r="BC65" t="str">
        <f t="shared" si="22"/>
        <v>Neutral</v>
      </c>
      <c r="BD65" s="32">
        <f t="shared" si="23"/>
        <v>0</v>
      </c>
      <c r="BE65">
        <f>step3_validation[[#This Row],[AI_OUT1]]</f>
        <v>9</v>
      </c>
      <c r="BF65" t="str">
        <f t="shared" si="24"/>
        <v>Support</v>
      </c>
      <c r="BG65">
        <f>survey_responses[[#This Row],[Sau khi xem xét các quyền lợi và nghĩa vụ, bạn có ủng hộ và tuân thủ chính sách mới hiện nay? - HUMAN-OUT1]]</f>
        <v>9</v>
      </c>
      <c r="BH65" t="str">
        <f t="shared" si="25"/>
        <v>Support</v>
      </c>
      <c r="BI65" s="32">
        <f t="shared" si="26"/>
        <v>0</v>
      </c>
    </row>
    <row r="66" spans="1:61" x14ac:dyDescent="0.45">
      <c r="A66" s="30">
        <f>step3_validation[[#This Row],[Persona_ID]]</f>
        <v>65</v>
      </c>
      <c r="B66" s="31">
        <f>step3_validation[[#This Row],[Used_Seed]]</f>
        <v>2090</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5</v>
      </c>
      <c r="R66" t="str">
        <f t="shared" si="0"/>
        <v>Neutral</v>
      </c>
      <c r="S66">
        <f>survey_responses[[#This Row],[Tôi tin rằng với các quy định quản lý thuế hiện nay, hành vi gian lận hoặc trốn thuế sẽ dễ dàng bị phát hiện và xử lý nghiêm. - HUMAN-ENF1]]</f>
        <v>10</v>
      </c>
      <c r="T66" t="str">
        <f t="shared" si="1"/>
        <v>Support</v>
      </c>
      <c r="U66" s="32">
        <f t="shared" si="2"/>
        <v>5</v>
      </c>
      <c r="V66">
        <f>step3_validation[[#This Row],[AI_ENF2]]</f>
        <v>6</v>
      </c>
      <c r="W66" t="str">
        <f t="shared" si="3"/>
        <v>Neutral</v>
      </c>
      <c r="X66">
        <f>survey_responses[[#This Row],[Tôi tin rằng Nhà nước, cơ quan thuế có đủ khả năng và công nghệ để phát hiện, xử lý nghiêm các hành vi trốn thuế. - HUMAN-ENF2]]</f>
        <v>10</v>
      </c>
      <c r="Y66" t="str">
        <f t="shared" si="4"/>
        <v>Support</v>
      </c>
      <c r="Z66" s="32">
        <f t="shared" si="5"/>
        <v>4</v>
      </c>
      <c r="AA66">
        <f>step3_validation[[#This Row],[AI_FAC1]]</f>
        <v>8</v>
      </c>
      <c r="AB66" t="str">
        <f t="shared" si="6"/>
        <v>Support</v>
      </c>
      <c r="AC66">
        <f>survey_responses[[#This Row],[Các thủ tục khai báo thuế VÀ/HOẶC quy trình làm việc với cơ quan thuế đơn giản, tiện lợi, nhanh chóng hơn so với trước đây. - HUMAN-FAC1]]</f>
        <v>10</v>
      </c>
      <c r="AD66" t="str">
        <f t="shared" si="7"/>
        <v>Support</v>
      </c>
      <c r="AE66" s="32">
        <f t="shared" si="8"/>
        <v>2</v>
      </c>
      <c r="AF66">
        <f>step3_validation[[#This Row],[AI_FAC2]]</f>
        <v>9</v>
      </c>
      <c r="AG66" t="str">
        <f t="shared" si="9"/>
        <v>Support</v>
      </c>
      <c r="AH66">
        <f>survey_responses[[#This Row],[So với trước đây, tôi thấy cách tính thuế và các bậc thuế trong phương án mới đơn giản, dễ hiểu và dễ thực hiện hơn. - HUMAN-FAC2]]</f>
        <v>10</v>
      </c>
      <c r="AI66" t="str">
        <f t="shared" si="10"/>
        <v>Support</v>
      </c>
      <c r="AJ66" s="32">
        <f t="shared" si="11"/>
        <v>1</v>
      </c>
      <c r="AK66">
        <f>step3_validation[[#This Row],[AI_TRU1]]</f>
        <v>8</v>
      </c>
      <c r="AL66" t="str">
        <f t="shared" si="12"/>
        <v>Support</v>
      </c>
      <c r="AM66">
        <f>survey_responses[[#This Row],[Tôi tin rằng Nhà nước, cơ quan thuế sẽ thực thi chính sách mới một cách khách quan, công tâm và đối xử bình đẳng với mọi người nộp thuế.  - HUMAN-TRU1]]</f>
        <v>10</v>
      </c>
      <c r="AN66" t="str">
        <f t="shared" si="13"/>
        <v>Support</v>
      </c>
      <c r="AO66" s="32">
        <f t="shared" si="14"/>
        <v>2</v>
      </c>
      <c r="AP66">
        <f>step3_validation[[#This Row],[AI_TRU2]]</f>
        <v>7</v>
      </c>
      <c r="AQ66" t="str">
        <f t="shared" si="15"/>
        <v>Neutral</v>
      </c>
      <c r="AR66">
        <f>survey_responses[[#This Row],[Tôi thấy mức thuế tôi phải đóng theo phương án mới là công bằng (người thu nhập như tôi đóng mức này là hợp lý). - HUMAN-TRU2]]</f>
        <v>10</v>
      </c>
      <c r="AS66" t="str">
        <f t="shared" si="16"/>
        <v>Support</v>
      </c>
      <c r="AT66" s="32">
        <f t="shared" si="17"/>
        <v>3</v>
      </c>
      <c r="AU66">
        <f>step3_validation[[#This Row],[AI_TRU3]]</f>
        <v>8</v>
      </c>
      <c r="AV66" t="str">
        <f t="shared" si="18"/>
        <v>Support</v>
      </c>
      <c r="AW66">
        <f>survey_responses[[#This Row],[Tôi tin tưởng số tiền thuế tôi đóng sẽ được Nhà nước sử dụng hiệu quả để cải thiện dịch vụ công (y tế, đường xá...). - HUMAN-TRU3]]</f>
        <v>10</v>
      </c>
      <c r="AX66" t="str">
        <f t="shared" si="19"/>
        <v>Support</v>
      </c>
      <c r="AY66" s="32">
        <f t="shared" si="20"/>
        <v>2</v>
      </c>
      <c r="AZ66">
        <f>step3_validation[[#This Row],[AI_TRU4]]</f>
        <v>7</v>
      </c>
      <c r="BA66" t="str">
        <f t="shared" si="21"/>
        <v>Neutral</v>
      </c>
      <c r="BB66">
        <f>survey_responses[[#This Row],[Tôi thấy Nhà nước đã giải thích rõ ràng, minh bạch về lý do và mục tiêu của việc sửa đổi thuế lần này. - HUMAN-TRU4]]</f>
        <v>10</v>
      </c>
      <c r="BC66" t="str">
        <f t="shared" si="22"/>
        <v>Support</v>
      </c>
      <c r="BD66" s="32">
        <f t="shared" si="23"/>
        <v>3</v>
      </c>
      <c r="BE66">
        <f>step3_validation[[#This Row],[AI_OUT1]]</f>
        <v>8</v>
      </c>
      <c r="BF66" t="str">
        <f t="shared" si="24"/>
        <v>Support</v>
      </c>
      <c r="BG66">
        <f>survey_responses[[#This Row],[Sau khi xem xét các quyền lợi và nghĩa vụ, bạn có ủng hộ và tuân thủ chính sách mới hiện nay? - HUMAN-OUT1]]</f>
        <v>10</v>
      </c>
      <c r="BH66" t="str">
        <f t="shared" si="25"/>
        <v>Support</v>
      </c>
      <c r="BI66" s="32">
        <f t="shared" si="26"/>
        <v>2</v>
      </c>
    </row>
    <row r="67" spans="1:61" x14ac:dyDescent="0.45">
      <c r="A67" s="30">
        <f>step3_validation[[#This Row],[Persona_ID]]</f>
        <v>66</v>
      </c>
      <c r="B67" s="31">
        <f>step3_validation[[#This Row],[Used_Seed]]</f>
        <v>2091</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12.870425584750935</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7</v>
      </c>
      <c r="R67" t="str">
        <f t="shared" ref="R67:R130" si="27">IF(AND(Q67&gt;=1,Q67&lt;5),"Oppose",IF(AND(Q67&gt;=5,Q67&lt;8),"Neutral",IF(AND(Q67&gt;=8,Q67&lt;=10),"Support","")))</f>
        <v>Neutral</v>
      </c>
      <c r="S67">
        <f>survey_responses[[#This Row],[Tôi tin rằng với các quy định quản lý thuế hiện nay, hành vi gian lận hoặc trốn thuế sẽ dễ dàng bị phát hiện và xử lý nghiêm. - HUMAN-ENF1]]</f>
        <v>7</v>
      </c>
      <c r="T67" t="str">
        <f t="shared" ref="T67:T130" si="28">IF(AND(S67&gt;=1,S67&lt;5),"Oppose",IF(AND(S67&gt;=5,S67&lt;8),"Neutral",IF(AND(S67&gt;=8,S67&lt;=10),"Support","")))</f>
        <v>Neutral</v>
      </c>
      <c r="U67" s="32">
        <f t="shared" ref="U67:U130" si="29">ABS(S67-Q67)</f>
        <v>0</v>
      </c>
      <c r="V67">
        <f>step3_validation[[#This Row],[AI_ENF2]]</f>
        <v>6</v>
      </c>
      <c r="W67" t="str">
        <f t="shared" ref="W67:W130" si="30">IF(AND(V67&gt;=1,V67&lt;5),"Oppose",IF(AND(V67&gt;=5,V67&lt;8),"Neutral",IF(AND(V67&gt;=8,V67&lt;=10),"Support","")))</f>
        <v>Neutral</v>
      </c>
      <c r="X67">
        <f>survey_responses[[#This Row],[Tôi tin rằng Nhà nước, cơ quan thuế có đủ khả năng và công nghệ để phát hiện, xử lý nghiêm các hành vi trốn thuế. - HUMAN-ENF2]]</f>
        <v>5</v>
      </c>
      <c r="Y67" t="str">
        <f t="shared" ref="Y67:Y130" si="31">IF(AND(X67&gt;=1,X67&lt;5),"Oppose",IF(AND(X67&gt;=5,X67&lt;8),"Neutral",IF(AND(X67&gt;=8,X67&lt;=10),"Support","")))</f>
        <v>Neutral</v>
      </c>
      <c r="Z67" s="32">
        <f t="shared" ref="Z67:Z130" si="32">ABS(X67-V67)</f>
        <v>1</v>
      </c>
      <c r="AA67">
        <f>step3_validation[[#This Row],[AI_FAC1]]</f>
        <v>9</v>
      </c>
      <c r="AB67" t="str">
        <f t="shared" ref="AB67:AB130" si="33">IF(AND(AA67&gt;=1,AA67&lt;5),"Oppose",IF(AND(AA67&gt;=5,AA67&lt;8),"Neutral",IF(AND(AA67&gt;=8,AA67&lt;=10),"Support","")))</f>
        <v>Support</v>
      </c>
      <c r="AC67">
        <f>survey_responses[[#This Row],[Các thủ tục khai báo thuế VÀ/HOẶC quy trình làm việc với cơ quan thuế đơn giản, tiện lợi, nhanh chóng hơn so với trước đây. - HUMAN-FAC1]]</f>
        <v>3</v>
      </c>
      <c r="AD67" t="str">
        <f t="shared" ref="AD67:AD130" si="34">IF(AND(AC67&gt;=1,AC67&lt;5),"Oppose",IF(AND(AC67&gt;=5,AC67&lt;8),"Neutral",IF(AND(AC67&gt;=8,AC67&lt;=10),"Support","")))</f>
        <v>Oppose</v>
      </c>
      <c r="AE67" s="32">
        <f t="shared" ref="AE67:AE130" si="35">ABS(AC67-AA67)</f>
        <v>6</v>
      </c>
      <c r="AF67">
        <f>step3_validation[[#This Row],[AI_FAC2]]</f>
        <v>8</v>
      </c>
      <c r="AG67" t="str">
        <f t="shared" ref="AG67:AG130" si="36">IF(AND(AF67&gt;=1,AF67&lt;5),"Oppose",IF(AND(AF67&gt;=5,AF67&lt;8),"Neutral",IF(AND(AF67&gt;=8,AF67&lt;=10),"Support","")))</f>
        <v>Support</v>
      </c>
      <c r="AH67">
        <f>survey_responses[[#This Row],[So với trước đây, tôi thấy cách tính thuế và các bậc thuế trong phương án mới đơn giản, dễ hiểu và dễ thực hiện hơn. - HUMAN-FAC2]]</f>
        <v>5</v>
      </c>
      <c r="AI67" t="str">
        <f t="shared" ref="AI67:AI130" si="37">IF(AND(AH67&gt;=1,AH67&lt;5),"Oppose",IF(AND(AH67&gt;=5,AH67&lt;8),"Neutral",IF(AND(AH67&gt;=8,AH67&lt;=10),"Support","")))</f>
        <v>Neutral</v>
      </c>
      <c r="AJ67" s="32">
        <f t="shared" ref="AJ67:AJ130" si="38">ABS(AH67-AF67)</f>
        <v>3</v>
      </c>
      <c r="AK67">
        <f>step3_validation[[#This Row],[AI_TRU1]]</f>
        <v>7</v>
      </c>
      <c r="AL67" t="str">
        <f t="shared" ref="AL67:AL130" si="39">IF(AND(AK67&gt;=1,AK67&lt;5),"Oppose",IF(AND(AK67&gt;=5,AK67&lt;8),"Neutral",IF(AND(AK67&gt;=8,AK67&lt;=10),"Support","")))</f>
        <v>Neutral</v>
      </c>
      <c r="AM67">
        <f>survey_responses[[#This Row],[Tôi tin rằng Nhà nước, cơ quan thuế sẽ thực thi chính sách mới một cách khách quan, công tâm và đối xử bình đẳng với mọi người nộp thuế.  - HUMAN-TRU1]]</f>
        <v>4</v>
      </c>
      <c r="AN67" t="str">
        <f t="shared" ref="AN67:AN130" si="40">IF(AND(AM67&gt;=1,AM67&lt;5),"Oppose",IF(AND(AM67&gt;=5,AM67&lt;8),"Neutral",IF(AND(AM67&gt;=8,AM67&lt;=10),"Support","")))</f>
        <v>Oppose</v>
      </c>
      <c r="AO67" s="32">
        <f t="shared" ref="AO67:AO130" si="41">ABS(AM67-AK67)</f>
        <v>3</v>
      </c>
      <c r="AP67">
        <f>step3_validation[[#This Row],[AI_TRU2]]</f>
        <v>9</v>
      </c>
      <c r="AQ67" t="str">
        <f t="shared" ref="AQ67:AQ130" si="42">IF(AND(AP67&gt;=1,AP67&lt;5),"Oppose",IF(AND(AP67&gt;=5,AP67&lt;8),"Neutral",IF(AND(AP67&gt;=8,AP67&lt;=10),"Support","")))</f>
        <v>Support</v>
      </c>
      <c r="AR67">
        <f>survey_responses[[#This Row],[Tôi thấy mức thuế tôi phải đóng theo phương án mới là công bằng (người thu nhập như tôi đóng mức này là hợp lý). - HUMAN-TRU2]]</f>
        <v>3</v>
      </c>
      <c r="AS67" t="str">
        <f t="shared" ref="AS67:AS130" si="43">IF(AND(AR67&gt;=1,AR67&lt;5),"Oppose",IF(AND(AR67&gt;=5,AR67&lt;8),"Neutral",IF(AND(AR67&gt;=8,AR67&lt;=10),"Support","")))</f>
        <v>Oppose</v>
      </c>
      <c r="AT67" s="32">
        <f t="shared" ref="AT67:AT130" si="44">ABS(AR67-AP67)</f>
        <v>6</v>
      </c>
      <c r="AU67">
        <f>step3_validation[[#This Row],[AI_TRU3]]</f>
        <v>6</v>
      </c>
      <c r="AV67" t="str">
        <f t="shared" ref="AV67:AV130" si="45">IF(AND(AU67&gt;=1,AU67&lt;5),"Oppose",IF(AND(AU67&gt;=5,AU67&lt;8),"Neutral",IF(AND(AU67&gt;=8,AU67&lt;=10),"Support","")))</f>
        <v>Neutral</v>
      </c>
      <c r="AW67">
        <f>survey_responses[[#This Row],[Tôi tin tưởng số tiền thuế tôi đóng sẽ được Nhà nước sử dụng hiệu quả để cải thiện dịch vụ công (y tế, đường xá...). - HUMAN-TRU3]]</f>
        <v>5</v>
      </c>
      <c r="AX67" t="str">
        <f t="shared" ref="AX67:AX130" si="46">IF(AND(AW67&gt;=1,AW67&lt;5),"Oppose",IF(AND(AW67&gt;=5,AW67&lt;8),"Neutral",IF(AND(AW67&gt;=8,AW67&lt;=10),"Support","")))</f>
        <v>Neutral</v>
      </c>
      <c r="AY67" s="32">
        <f t="shared" ref="AY67:AY130" si="47">ABS(AW67-AU67)</f>
        <v>1</v>
      </c>
      <c r="AZ67">
        <f>step3_validation[[#This Row],[AI_TRU4]]</f>
        <v>5</v>
      </c>
      <c r="BA67" t="str">
        <f t="shared" ref="BA67:BA130" si="48">IF(AND(AZ67&gt;=1,AZ67&lt;5),"Oppose",IF(AND(AZ67&gt;=5,AZ67&lt;8),"Neutral",IF(AND(AZ67&gt;=8,AZ67&lt;=10),"Support","")))</f>
        <v>Neutral</v>
      </c>
      <c r="BB67">
        <f>survey_responses[[#This Row],[Tôi thấy Nhà nước đã giải thích rõ ràng, minh bạch về lý do và mục tiêu của việc sửa đổi thuế lần này. - HUMAN-TRU4]]</f>
        <v>6</v>
      </c>
      <c r="BC67" t="str">
        <f t="shared" ref="BC67:BC130" si="49">IF(AND(BB67&gt;=1,BB67&lt;5),"Oppose",IF(AND(BB67&gt;=5,BB67&lt;8),"Neutral",IF(AND(BB67&gt;=8,BB67&lt;=10),"Support","")))</f>
        <v>Neutral</v>
      </c>
      <c r="BD67" s="32">
        <f t="shared" ref="BD67:BD130" si="50">ABS(BB67-AZ67)</f>
        <v>1</v>
      </c>
      <c r="BE67">
        <f>step3_validation[[#This Row],[AI_OUT1]]</f>
        <v>8</v>
      </c>
      <c r="BF67" t="str">
        <f t="shared" ref="BF67:BF130" si="51">IF(AND(BE67&gt;=1,BE67&lt;5),"Oppose",IF(AND(BE67&gt;=5,BE67&lt;8),"Neutral",IF(AND(BE67&gt;=8,BE67&lt;=10),"Support","")))</f>
        <v>Support</v>
      </c>
      <c r="BG67">
        <f>survey_responses[[#This Row],[Sau khi xem xét các quyền lợi và nghĩa vụ, bạn có ủng hộ và tuân thủ chính sách mới hiện nay? - HUMAN-OUT1]]</f>
        <v>6</v>
      </c>
      <c r="BH67" t="str">
        <f t="shared" ref="BH67:BH130" si="52">IF(AND(BG67&gt;=1,BG67&lt;5),"Oppose",IF(AND(BG67&gt;=5,BG67&lt;8),"Neutral",IF(AND(BG67&gt;=8,BG67&lt;=10),"Support","")))</f>
        <v>Neutral</v>
      </c>
      <c r="BI67" s="32">
        <f t="shared" ref="BI67:BI130" si="53">ABS(BG67-BE67)</f>
        <v>2</v>
      </c>
    </row>
    <row r="68" spans="1:61" x14ac:dyDescent="0.45">
      <c r="A68" s="30">
        <f>step3_validation[[#This Row],[Persona_ID]]</f>
        <v>67</v>
      </c>
      <c r="B68" s="31">
        <f>step3_validation[[#This Row],[Used_Seed]]</f>
        <v>2092</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92.83454409634939</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7</v>
      </c>
      <c r="R68" t="str">
        <f t="shared" si="27"/>
        <v>Neutral</v>
      </c>
      <c r="S68">
        <f>survey_responses[[#This Row],[Tôi tin rằng với các quy định quản lý thuế hiện nay, hành vi gian lận hoặc trốn thuế sẽ dễ dàng bị phát hiện và xử lý nghiêm. - HUMAN-ENF1]]</f>
        <v>5</v>
      </c>
      <c r="T68" t="str">
        <f t="shared" si="28"/>
        <v>Neutral</v>
      </c>
      <c r="U68" s="32">
        <f t="shared" si="29"/>
        <v>2</v>
      </c>
      <c r="V68">
        <f>step3_validation[[#This Row],[AI_ENF2]]</f>
        <v>6</v>
      </c>
      <c r="W68" t="str">
        <f t="shared" si="30"/>
        <v>Neutral</v>
      </c>
      <c r="X68">
        <f>survey_responses[[#This Row],[Tôi tin rằng Nhà nước, cơ quan thuế có đủ khả năng và công nghệ để phát hiện, xử lý nghiêm các hành vi trốn thuế. - HUMAN-ENF2]]</f>
        <v>5</v>
      </c>
      <c r="Y68" t="str">
        <f t="shared" si="31"/>
        <v>Neutral</v>
      </c>
      <c r="Z68" s="32">
        <f t="shared" si="32"/>
        <v>1</v>
      </c>
      <c r="AA68">
        <f>step3_validation[[#This Row],[AI_FAC1]]</f>
        <v>8</v>
      </c>
      <c r="AB68" t="str">
        <f t="shared" si="33"/>
        <v>Support</v>
      </c>
      <c r="AC68">
        <f>survey_responses[[#This Row],[Các thủ tục khai báo thuế VÀ/HOẶC quy trình làm việc với cơ quan thuế đơn giản, tiện lợi, nhanh chóng hơn so với trước đây. - HUMAN-FAC1]]</f>
        <v>4</v>
      </c>
      <c r="AD68" t="str">
        <f t="shared" si="34"/>
        <v>Oppose</v>
      </c>
      <c r="AE68" s="32">
        <f t="shared" si="35"/>
        <v>4</v>
      </c>
      <c r="AF68">
        <f>step3_validation[[#This Row],[AI_FAC2]]</f>
        <v>9</v>
      </c>
      <c r="AG68" t="str">
        <f t="shared" si="36"/>
        <v>Support</v>
      </c>
      <c r="AH68">
        <f>survey_responses[[#This Row],[So với trước đây, tôi thấy cách tính thuế và các bậc thuế trong phương án mới đơn giản, dễ hiểu và dễ thực hiện hơn. - HUMAN-FAC2]]</f>
        <v>4</v>
      </c>
      <c r="AI68" t="str">
        <f t="shared" si="37"/>
        <v>Oppose</v>
      </c>
      <c r="AJ68" s="32">
        <f t="shared" si="38"/>
        <v>5</v>
      </c>
      <c r="AK68">
        <f>step3_validation[[#This Row],[AI_TRU1]]</f>
        <v>7</v>
      </c>
      <c r="AL68" t="str">
        <f t="shared" si="39"/>
        <v>Neutral</v>
      </c>
      <c r="AM68">
        <f>survey_responses[[#This Row],[Tôi tin rằng Nhà nước, cơ quan thuế sẽ thực thi chính sách mới một cách khách quan, công tâm và đối xử bình đẳng với mọi người nộp thuế.  - HUMAN-TRU1]]</f>
        <v>2</v>
      </c>
      <c r="AN68" t="str">
        <f t="shared" si="40"/>
        <v>Oppose</v>
      </c>
      <c r="AO68" s="32">
        <f t="shared" si="41"/>
        <v>5</v>
      </c>
      <c r="AP68">
        <f>step3_validation[[#This Row],[AI_TRU2]]</f>
        <v>9</v>
      </c>
      <c r="AQ68" t="str">
        <f t="shared" si="42"/>
        <v>Support</v>
      </c>
      <c r="AR68">
        <f>survey_responses[[#This Row],[Tôi thấy mức thuế tôi phải đóng theo phương án mới là công bằng (người thu nhập như tôi đóng mức này là hợp lý). - HUMAN-TRU2]]</f>
        <v>3</v>
      </c>
      <c r="AS68" t="str">
        <f t="shared" si="43"/>
        <v>Oppose</v>
      </c>
      <c r="AT68" s="32">
        <f t="shared" si="44"/>
        <v>6</v>
      </c>
      <c r="AU68">
        <f>step3_validation[[#This Row],[AI_TRU3]]</f>
        <v>8</v>
      </c>
      <c r="AV68" t="str">
        <f t="shared" si="45"/>
        <v>Support</v>
      </c>
      <c r="AW68">
        <f>survey_responses[[#This Row],[Tôi tin tưởng số tiền thuế tôi đóng sẽ được Nhà nước sử dụng hiệu quả để cải thiện dịch vụ công (y tế, đường xá...). - HUMAN-TRU3]]</f>
        <v>2</v>
      </c>
      <c r="AX68" t="str">
        <f t="shared" si="46"/>
        <v>Oppose</v>
      </c>
      <c r="AY68" s="32">
        <f t="shared" si="47"/>
        <v>6</v>
      </c>
      <c r="AZ68">
        <f>step3_validation[[#This Row],[AI_TRU4]]</f>
        <v>7</v>
      </c>
      <c r="BA68" t="str">
        <f t="shared" si="48"/>
        <v>Neutral</v>
      </c>
      <c r="BB68">
        <f>survey_responses[[#This Row],[Tôi thấy Nhà nước đã giải thích rõ ràng, minh bạch về lý do và mục tiêu của việc sửa đổi thuế lần này. - HUMAN-TRU4]]</f>
        <v>3</v>
      </c>
      <c r="BC68" t="str">
        <f t="shared" si="49"/>
        <v>Oppose</v>
      </c>
      <c r="BD68" s="32">
        <f t="shared" si="50"/>
        <v>4</v>
      </c>
      <c r="BE68">
        <f>step3_validation[[#This Row],[AI_OUT1]]</f>
        <v>9</v>
      </c>
      <c r="BF68" t="str">
        <f t="shared" si="51"/>
        <v>Support</v>
      </c>
      <c r="BG68">
        <f>survey_responses[[#This Row],[Sau khi xem xét các quyền lợi và nghĩa vụ, bạn có ủng hộ và tuân thủ chính sách mới hiện nay? - HUMAN-OUT1]]</f>
        <v>3</v>
      </c>
      <c r="BH68" t="str">
        <f t="shared" si="52"/>
        <v>Oppose</v>
      </c>
      <c r="BI68" s="32">
        <f t="shared" si="53"/>
        <v>6</v>
      </c>
    </row>
    <row r="69" spans="1:61" x14ac:dyDescent="0.45">
      <c r="A69" s="30">
        <f>step3_validation[[#This Row],[Persona_ID]]</f>
        <v>68</v>
      </c>
      <c r="B69" s="31">
        <f>step3_validation[[#This Row],[Used_Seed]]</f>
        <v>2093</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68.339576582534093</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8</v>
      </c>
      <c r="R69" t="str">
        <f t="shared" si="27"/>
        <v>Support</v>
      </c>
      <c r="S69">
        <f>survey_responses[[#This Row],[Tôi tin rằng với các quy định quản lý thuế hiện nay, hành vi gian lận hoặc trốn thuế sẽ dễ dàng bị phát hiện và xử lý nghiêm. - HUMAN-ENF1]]</f>
        <v>4</v>
      </c>
      <c r="T69" t="str">
        <f t="shared" si="28"/>
        <v>Oppose</v>
      </c>
      <c r="U69" s="32">
        <f t="shared" si="29"/>
        <v>4</v>
      </c>
      <c r="V69">
        <f>step3_validation[[#This Row],[AI_ENF2]]</f>
        <v>7</v>
      </c>
      <c r="W69" t="str">
        <f t="shared" si="30"/>
        <v>Neutral</v>
      </c>
      <c r="X69">
        <f>survey_responses[[#This Row],[Tôi tin rằng Nhà nước, cơ quan thuế có đủ khả năng và công nghệ để phát hiện, xử lý nghiêm các hành vi trốn thuế. - HUMAN-ENF2]]</f>
        <v>3</v>
      </c>
      <c r="Y69" t="str">
        <f t="shared" si="31"/>
        <v>Oppose</v>
      </c>
      <c r="Z69" s="32">
        <f t="shared" si="32"/>
        <v>4</v>
      </c>
      <c r="AA69">
        <f>step3_validation[[#This Row],[AI_FAC1]]</f>
        <v>9</v>
      </c>
      <c r="AB69" t="str">
        <f t="shared" si="33"/>
        <v>Support</v>
      </c>
      <c r="AC69">
        <f>survey_responses[[#This Row],[Các thủ tục khai báo thuế VÀ/HOẶC quy trình làm việc với cơ quan thuế đơn giản, tiện lợi, nhanh chóng hơn so với trước đây. - HUMAN-FAC1]]</f>
        <v>1</v>
      </c>
      <c r="AD69" t="str">
        <f t="shared" si="34"/>
        <v>Oppose</v>
      </c>
      <c r="AE69" s="32">
        <f t="shared" si="35"/>
        <v>8</v>
      </c>
      <c r="AF69">
        <f>step3_validation[[#This Row],[AI_FAC2]]</f>
        <v>8</v>
      </c>
      <c r="AG69" t="str">
        <f t="shared" si="36"/>
        <v>Support</v>
      </c>
      <c r="AH69">
        <f>survey_responses[[#This Row],[So với trước đây, tôi thấy cách tính thuế và các bậc thuế trong phương án mới đơn giản, dễ hiểu và dễ thực hiện hơn. - HUMAN-FAC2]]</f>
        <v>5</v>
      </c>
      <c r="AI69" t="str">
        <f t="shared" si="37"/>
        <v>Neutral</v>
      </c>
      <c r="AJ69" s="32">
        <f t="shared" si="38"/>
        <v>3</v>
      </c>
      <c r="AK69">
        <f>step3_validation[[#This Row],[AI_TRU1]]</f>
        <v>6</v>
      </c>
      <c r="AL69" t="str">
        <f t="shared" si="39"/>
        <v>Neutral</v>
      </c>
      <c r="AM69">
        <f>survey_responses[[#This Row],[Tôi tin rằng Nhà nước, cơ quan thuế sẽ thực thi chính sách mới một cách khách quan, công tâm và đối xử bình đẳng với mọi người nộp thuế.  - HUMAN-TRU1]]</f>
        <v>4</v>
      </c>
      <c r="AN69" t="str">
        <f t="shared" si="40"/>
        <v>Oppose</v>
      </c>
      <c r="AO69" s="32">
        <f t="shared" si="41"/>
        <v>2</v>
      </c>
      <c r="AP69">
        <f>step3_validation[[#This Row],[AI_TRU2]]</f>
        <v>9</v>
      </c>
      <c r="AQ69" t="str">
        <f t="shared" si="42"/>
        <v>Support</v>
      </c>
      <c r="AR69">
        <f>survey_responses[[#This Row],[Tôi thấy mức thuế tôi phải đóng theo phương án mới là công bằng (người thu nhập như tôi đóng mức này là hợp lý). - HUMAN-TRU2]]</f>
        <v>3</v>
      </c>
      <c r="AS69" t="str">
        <f t="shared" si="43"/>
        <v>Oppose</v>
      </c>
      <c r="AT69" s="32">
        <f t="shared" si="44"/>
        <v>6</v>
      </c>
      <c r="AU69">
        <f>step3_validation[[#This Row],[AI_TRU3]]</f>
        <v>7</v>
      </c>
      <c r="AV69" t="str">
        <f t="shared" si="45"/>
        <v>Neutral</v>
      </c>
      <c r="AW69">
        <f>survey_responses[[#This Row],[Tôi tin tưởng số tiền thuế tôi đóng sẽ được Nhà nước sử dụng hiệu quả để cải thiện dịch vụ công (y tế, đường xá...). - HUMAN-TRU3]]</f>
        <v>1</v>
      </c>
      <c r="AX69" t="str">
        <f t="shared" si="46"/>
        <v>Oppose</v>
      </c>
      <c r="AY69" s="32">
        <f t="shared" si="47"/>
        <v>6</v>
      </c>
      <c r="AZ69">
        <f>step3_validation[[#This Row],[AI_TRU4]]</f>
        <v>6</v>
      </c>
      <c r="BA69" t="str">
        <f t="shared" si="48"/>
        <v>Neutral</v>
      </c>
      <c r="BB69">
        <f>survey_responses[[#This Row],[Tôi thấy Nhà nước đã giải thích rõ ràng, minh bạch về lý do và mục tiêu của việc sửa đổi thuế lần này. - HUMAN-TRU4]]</f>
        <v>3</v>
      </c>
      <c r="BC69" t="str">
        <f t="shared" si="49"/>
        <v>Oppose</v>
      </c>
      <c r="BD69" s="32">
        <f t="shared" si="50"/>
        <v>3</v>
      </c>
      <c r="BE69">
        <f>step3_validation[[#This Row],[AI_OUT1]]</f>
        <v>8</v>
      </c>
      <c r="BF69" t="str">
        <f t="shared" si="51"/>
        <v>Support</v>
      </c>
      <c r="BG69">
        <f>survey_responses[[#This Row],[Sau khi xem xét các quyền lợi và nghĩa vụ, bạn có ủng hộ và tuân thủ chính sách mới hiện nay? - HUMAN-OUT1]]</f>
        <v>5</v>
      </c>
      <c r="BH69" t="str">
        <f t="shared" si="52"/>
        <v>Neutral</v>
      </c>
      <c r="BI69" s="32">
        <f t="shared" si="53"/>
        <v>3</v>
      </c>
    </row>
    <row r="70" spans="1:61" x14ac:dyDescent="0.45">
      <c r="A70" s="30">
        <f>step3_validation[[#This Row],[Persona_ID]]</f>
        <v>69</v>
      </c>
      <c r="B70" s="31">
        <f>step3_validation[[#This Row],[Used_Seed]]</f>
        <v>2094</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18.177356308135195</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7</v>
      </c>
      <c r="R70" t="str">
        <f t="shared" si="27"/>
        <v>Neutral</v>
      </c>
      <c r="S70">
        <f>survey_responses[[#This Row],[Tôi tin rằng với các quy định quản lý thuế hiện nay, hành vi gian lận hoặc trốn thuế sẽ dễ dàng bị phát hiện và xử lý nghiêm. - HUMAN-ENF1]]</f>
        <v>7</v>
      </c>
      <c r="T70" t="str">
        <f t="shared" si="28"/>
        <v>Neutral</v>
      </c>
      <c r="U70" s="32">
        <f t="shared" si="29"/>
        <v>0</v>
      </c>
      <c r="V70">
        <f>step3_validation[[#This Row],[AI_ENF2]]</f>
        <v>6</v>
      </c>
      <c r="W70" t="str">
        <f t="shared" si="30"/>
        <v>Neutral</v>
      </c>
      <c r="X70">
        <f>survey_responses[[#This Row],[Tôi tin rằng Nhà nước, cơ quan thuế có đủ khả năng và công nghệ để phát hiện, xử lý nghiêm các hành vi trốn thuế. - HUMAN-ENF2]]</f>
        <v>7</v>
      </c>
      <c r="Y70" t="str">
        <f t="shared" si="31"/>
        <v>Neutral</v>
      </c>
      <c r="Z70" s="32">
        <f t="shared" si="32"/>
        <v>1</v>
      </c>
      <c r="AA70">
        <f>step3_validation[[#This Row],[AI_FAC1]]</f>
        <v>8</v>
      </c>
      <c r="AB70" t="str">
        <f t="shared" si="33"/>
        <v>Support</v>
      </c>
      <c r="AC70">
        <f>survey_responses[[#This Row],[Các thủ tục khai báo thuế VÀ/HOẶC quy trình làm việc với cơ quan thuế đơn giản, tiện lợi, nhanh chóng hơn so với trước đây. - HUMAN-FAC1]]</f>
        <v>8</v>
      </c>
      <c r="AD70" t="str">
        <f t="shared" si="34"/>
        <v>Support</v>
      </c>
      <c r="AE70" s="32">
        <f t="shared" si="35"/>
        <v>0</v>
      </c>
      <c r="AF70">
        <f>step3_validation[[#This Row],[AI_FAC2]]</f>
        <v>9</v>
      </c>
      <c r="AG70" t="str">
        <f t="shared" si="36"/>
        <v>Support</v>
      </c>
      <c r="AH70">
        <f>survey_responses[[#This Row],[So với trước đây, tôi thấy cách tính thuế và các bậc thuế trong phương án mới đơn giản, dễ hiểu và dễ thực hiện hơn. - HUMAN-FAC2]]</f>
        <v>9</v>
      </c>
      <c r="AI70" t="str">
        <f t="shared" si="37"/>
        <v>Support</v>
      </c>
      <c r="AJ70" s="32">
        <f t="shared" si="38"/>
        <v>0</v>
      </c>
      <c r="AK70">
        <f>step3_validation[[#This Row],[AI_TRU1]]</f>
        <v>8</v>
      </c>
      <c r="AL70" t="str">
        <f t="shared" si="39"/>
        <v>Support</v>
      </c>
      <c r="AM70">
        <f>survey_responses[[#This Row],[Tôi tin rằng Nhà nước, cơ quan thuế sẽ thực thi chính sách mới một cách khách quan, công tâm và đối xử bình đẳng với mọi người nộp thuế.  - HUMAN-TRU1]]</f>
        <v>8</v>
      </c>
      <c r="AN70" t="str">
        <f t="shared" si="40"/>
        <v>Support</v>
      </c>
      <c r="AO70" s="32">
        <f t="shared" si="41"/>
        <v>0</v>
      </c>
      <c r="AP70">
        <f>step3_validation[[#This Row],[AI_TRU2]]</f>
        <v>9</v>
      </c>
      <c r="AQ70" t="str">
        <f t="shared" si="42"/>
        <v>Support</v>
      </c>
      <c r="AR70">
        <f>survey_responses[[#This Row],[Tôi thấy mức thuế tôi phải đóng theo phương án mới là công bằng (người thu nhập như tôi đóng mức này là hợp lý). - HUMAN-TRU2]]</f>
        <v>10</v>
      </c>
      <c r="AS70" t="str">
        <f t="shared" si="43"/>
        <v>Support</v>
      </c>
      <c r="AT70" s="32">
        <f t="shared" si="44"/>
        <v>1</v>
      </c>
      <c r="AU70">
        <f>step3_validation[[#This Row],[AI_TRU3]]</f>
        <v>8</v>
      </c>
      <c r="AV70" t="str">
        <f t="shared" si="45"/>
        <v>Support</v>
      </c>
      <c r="AW70">
        <f>survey_responses[[#This Row],[Tôi tin tưởng số tiền thuế tôi đóng sẽ được Nhà nước sử dụng hiệu quả để cải thiện dịch vụ công (y tế, đường xá...). - HUMAN-TRU3]]</f>
        <v>9</v>
      </c>
      <c r="AX70" t="str">
        <f t="shared" si="46"/>
        <v>Support</v>
      </c>
      <c r="AY70" s="32">
        <f t="shared" si="47"/>
        <v>1</v>
      </c>
      <c r="AZ70">
        <f>step3_validation[[#This Row],[AI_TRU4]]</f>
        <v>7</v>
      </c>
      <c r="BA70" t="str">
        <f t="shared" si="48"/>
        <v>Neutral</v>
      </c>
      <c r="BB70">
        <f>survey_responses[[#This Row],[Tôi thấy Nhà nước đã giải thích rõ ràng, minh bạch về lý do và mục tiêu của việc sửa đổi thuế lần này. - HUMAN-TRU4]]</f>
        <v>9</v>
      </c>
      <c r="BC70" t="str">
        <f t="shared" si="49"/>
        <v>Support</v>
      </c>
      <c r="BD70" s="32">
        <f t="shared" si="50"/>
        <v>2</v>
      </c>
      <c r="BE70">
        <f>step3_validation[[#This Row],[AI_OUT1]]</f>
        <v>9</v>
      </c>
      <c r="BF70" t="str">
        <f t="shared" si="51"/>
        <v>Support</v>
      </c>
      <c r="BG70">
        <f>survey_responses[[#This Row],[Sau khi xem xét các quyền lợi và nghĩa vụ, bạn có ủng hộ và tuân thủ chính sách mới hiện nay? - HUMAN-OUT1]]</f>
        <v>9</v>
      </c>
      <c r="BH70" t="str">
        <f t="shared" si="52"/>
        <v>Support</v>
      </c>
      <c r="BI70" s="32">
        <f t="shared" si="53"/>
        <v>0</v>
      </c>
    </row>
    <row r="71" spans="1:61" x14ac:dyDescent="0.45">
      <c r="A71" s="30">
        <f>step3_validation[[#This Row],[Persona_ID]]</f>
        <v>70</v>
      </c>
      <c r="B71" s="31">
        <f>step3_validation[[#This Row],[Used_Seed]]</f>
        <v>2095</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234.86312148195492</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8</v>
      </c>
      <c r="R71" t="str">
        <f t="shared" si="27"/>
        <v>Support</v>
      </c>
      <c r="S71">
        <f>survey_responses[[#This Row],[Tôi tin rằng với các quy định quản lý thuế hiện nay, hành vi gian lận hoặc trốn thuế sẽ dễ dàng bị phát hiện và xử lý nghiêm. - HUMAN-ENF1]]</f>
        <v>6</v>
      </c>
      <c r="T71" t="str">
        <f t="shared" si="28"/>
        <v>Neutral</v>
      </c>
      <c r="U71" s="32">
        <f t="shared" si="29"/>
        <v>2</v>
      </c>
      <c r="V71">
        <f>step3_validation[[#This Row],[AI_ENF2]]</f>
        <v>9</v>
      </c>
      <c r="W71" t="str">
        <f t="shared" si="30"/>
        <v>Support</v>
      </c>
      <c r="X71">
        <f>survey_responses[[#This Row],[Tôi tin rằng Nhà nước, cơ quan thuế có đủ khả năng và công nghệ để phát hiện, xử lý nghiêm các hành vi trốn thuế. - HUMAN-ENF2]]</f>
        <v>6</v>
      </c>
      <c r="Y71" t="str">
        <f t="shared" si="31"/>
        <v>Neutral</v>
      </c>
      <c r="Z71" s="32">
        <f t="shared" si="32"/>
        <v>3</v>
      </c>
      <c r="AA71">
        <f>step3_validation[[#This Row],[AI_FAC1]]</f>
        <v>7</v>
      </c>
      <c r="AB71" t="str">
        <f t="shared" si="33"/>
        <v>Neutral</v>
      </c>
      <c r="AC71">
        <f>survey_responses[[#This Row],[Các thủ tục khai báo thuế VÀ/HOẶC quy trình làm việc với cơ quan thuế đơn giản, tiện lợi, nhanh chóng hơn so với trước đây. - HUMAN-FAC1]]</f>
        <v>5</v>
      </c>
      <c r="AD71" t="str">
        <f t="shared" si="34"/>
        <v>Neutral</v>
      </c>
      <c r="AE71" s="32">
        <f t="shared" si="35"/>
        <v>2</v>
      </c>
      <c r="AF71">
        <f>step3_validation[[#This Row],[AI_FAC2]]</f>
        <v>9</v>
      </c>
      <c r="AG71" t="str">
        <f t="shared" si="36"/>
        <v>Support</v>
      </c>
      <c r="AH71">
        <f>survey_responses[[#This Row],[So với trước đây, tôi thấy cách tính thuế và các bậc thuế trong phương án mới đơn giản, dễ hiểu và dễ thực hiện hơn. - HUMAN-FAC2]]</f>
        <v>5</v>
      </c>
      <c r="AI71" t="str">
        <f t="shared" si="37"/>
        <v>Neutral</v>
      </c>
      <c r="AJ71" s="32">
        <f t="shared" si="38"/>
        <v>4</v>
      </c>
      <c r="AK71">
        <f>step3_validation[[#This Row],[AI_TRU1]]</f>
        <v>8</v>
      </c>
      <c r="AL71" t="str">
        <f t="shared" si="39"/>
        <v>Support</v>
      </c>
      <c r="AM71">
        <f>survey_responses[[#This Row],[Tôi tin rằng Nhà nước, cơ quan thuế sẽ thực thi chính sách mới một cách khách quan, công tâm và đối xử bình đẳng với mọi người nộp thuế.  - HUMAN-TRU1]]</f>
        <v>5</v>
      </c>
      <c r="AN71" t="str">
        <f t="shared" si="40"/>
        <v>Neutral</v>
      </c>
      <c r="AO71" s="32">
        <f t="shared" si="41"/>
        <v>3</v>
      </c>
      <c r="AP71">
        <f>step3_validation[[#This Row],[AI_TRU2]]</f>
        <v>9</v>
      </c>
      <c r="AQ71" t="str">
        <f t="shared" si="42"/>
        <v>Support</v>
      </c>
      <c r="AR71">
        <f>survey_responses[[#This Row],[Tôi thấy mức thuế tôi phải đóng theo phương án mới là công bằng (người thu nhập như tôi đóng mức này là hợp lý). - HUMAN-TRU2]]</f>
        <v>1</v>
      </c>
      <c r="AS71" t="str">
        <f t="shared" si="43"/>
        <v>Oppose</v>
      </c>
      <c r="AT71" s="32">
        <f t="shared" si="44"/>
        <v>8</v>
      </c>
      <c r="AU71">
        <f>step3_validation[[#This Row],[AI_TRU3]]</f>
        <v>8</v>
      </c>
      <c r="AV71" t="str">
        <f t="shared" si="45"/>
        <v>Support</v>
      </c>
      <c r="AW71">
        <f>survey_responses[[#This Row],[Tôi tin tưởng số tiền thuế tôi đóng sẽ được Nhà nước sử dụng hiệu quả để cải thiện dịch vụ công (y tế, đường xá...). - HUMAN-TRU3]]</f>
        <v>5</v>
      </c>
      <c r="AX71" t="str">
        <f t="shared" si="46"/>
        <v>Neutral</v>
      </c>
      <c r="AY71" s="32">
        <f t="shared" si="47"/>
        <v>3</v>
      </c>
      <c r="AZ71">
        <f>step3_validation[[#This Row],[AI_TRU4]]</f>
        <v>9</v>
      </c>
      <c r="BA71" t="str">
        <f t="shared" si="48"/>
        <v>Support</v>
      </c>
      <c r="BB71">
        <f>survey_responses[[#This Row],[Tôi thấy Nhà nước đã giải thích rõ ràng, minh bạch về lý do và mục tiêu của việc sửa đổi thuế lần này. - HUMAN-TRU4]]</f>
        <v>5</v>
      </c>
      <c r="BC71" t="str">
        <f t="shared" si="49"/>
        <v>Neutral</v>
      </c>
      <c r="BD71" s="32">
        <f t="shared" si="50"/>
        <v>4</v>
      </c>
      <c r="BE71">
        <f>step3_validation[[#This Row],[AI_OUT1]]</f>
        <v>8</v>
      </c>
      <c r="BF71" t="str">
        <f t="shared" si="51"/>
        <v>Support</v>
      </c>
      <c r="BG71">
        <f>survey_responses[[#This Row],[Sau khi xem xét các quyền lợi và nghĩa vụ, bạn có ủng hộ và tuân thủ chính sách mới hiện nay? - HUMAN-OUT1]]</f>
        <v>5</v>
      </c>
      <c r="BH71" t="str">
        <f t="shared" si="52"/>
        <v>Neutral</v>
      </c>
      <c r="BI71" s="32">
        <f t="shared" si="53"/>
        <v>3</v>
      </c>
    </row>
    <row r="72" spans="1:61" x14ac:dyDescent="0.45">
      <c r="A72" s="30">
        <f>step3_validation[[#This Row],[Persona_ID]]</f>
        <v>71</v>
      </c>
      <c r="B72" s="31">
        <f>step3_validation[[#This Row],[Used_Seed]]</f>
        <v>2096</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24.219488216535261</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8</v>
      </c>
      <c r="R72" t="str">
        <f t="shared" si="27"/>
        <v>Support</v>
      </c>
      <c r="S72">
        <f>survey_responses[[#This Row],[Tôi tin rằng với các quy định quản lý thuế hiện nay, hành vi gian lận hoặc trốn thuế sẽ dễ dàng bị phát hiện và xử lý nghiêm. - HUMAN-ENF1]]</f>
        <v>3</v>
      </c>
      <c r="T72" t="str">
        <f t="shared" si="28"/>
        <v>Oppose</v>
      </c>
      <c r="U72" s="32">
        <f t="shared" si="29"/>
        <v>5</v>
      </c>
      <c r="V72">
        <f>step3_validation[[#This Row],[AI_ENF2]]</f>
        <v>9</v>
      </c>
      <c r="W72" t="str">
        <f t="shared" si="30"/>
        <v>Support</v>
      </c>
      <c r="X72">
        <f>survey_responses[[#This Row],[Tôi tin rằng Nhà nước, cơ quan thuế có đủ khả năng và công nghệ để phát hiện, xử lý nghiêm các hành vi trốn thuế. - HUMAN-ENF2]]</f>
        <v>3</v>
      </c>
      <c r="Y72" t="str">
        <f t="shared" si="31"/>
        <v>Oppose</v>
      </c>
      <c r="Z72" s="32">
        <f t="shared" si="32"/>
        <v>6</v>
      </c>
      <c r="AA72">
        <f>step3_validation[[#This Row],[AI_FAC1]]</f>
        <v>8</v>
      </c>
      <c r="AB72" t="str">
        <f t="shared" si="33"/>
        <v>Support</v>
      </c>
      <c r="AC72">
        <f>survey_responses[[#This Row],[Các thủ tục khai báo thuế VÀ/HOẶC quy trình làm việc với cơ quan thuế đơn giản, tiện lợi, nhanh chóng hơn so với trước đây. - HUMAN-FAC1]]</f>
        <v>3</v>
      </c>
      <c r="AD72" t="str">
        <f t="shared" si="34"/>
        <v>Oppose</v>
      </c>
      <c r="AE72" s="32">
        <f t="shared" si="35"/>
        <v>5</v>
      </c>
      <c r="AF72">
        <f>step3_validation[[#This Row],[AI_FAC2]]</f>
        <v>10</v>
      </c>
      <c r="AG72" t="str">
        <f t="shared" si="36"/>
        <v>Support</v>
      </c>
      <c r="AH72">
        <f>survey_responses[[#This Row],[So với trước đây, tôi thấy cách tính thuế và các bậc thuế trong phương án mới đơn giản, dễ hiểu và dễ thực hiện hơn. - HUMAN-FAC2]]</f>
        <v>5</v>
      </c>
      <c r="AI72" t="str">
        <f t="shared" si="37"/>
        <v>Neutral</v>
      </c>
      <c r="AJ72" s="32">
        <f t="shared" si="38"/>
        <v>5</v>
      </c>
      <c r="AK72">
        <f>step3_validation[[#This Row],[AI_TRU1]]</f>
        <v>9</v>
      </c>
      <c r="AL72" t="str">
        <f t="shared" si="39"/>
        <v>Support</v>
      </c>
      <c r="AM72">
        <f>survey_responses[[#This Row],[Tôi tin rằng Nhà nước, cơ quan thuế sẽ thực thi chính sách mới một cách khách quan, công tâm và đối xử bình đẳng với mọi người nộp thuế.  - HUMAN-TRU1]]</f>
        <v>3</v>
      </c>
      <c r="AN72" t="str">
        <f t="shared" si="40"/>
        <v>Oppose</v>
      </c>
      <c r="AO72" s="32">
        <f t="shared" si="41"/>
        <v>6</v>
      </c>
      <c r="AP72">
        <f>step3_validation[[#This Row],[AI_TRU2]]</f>
        <v>10</v>
      </c>
      <c r="AQ72" t="str">
        <f t="shared" si="42"/>
        <v>Support</v>
      </c>
      <c r="AR72">
        <f>survey_responses[[#This Row],[Tôi thấy mức thuế tôi phải đóng theo phương án mới là công bằng (người thu nhập như tôi đóng mức này là hợp lý). - HUMAN-TRU2]]</f>
        <v>3</v>
      </c>
      <c r="AS72" t="str">
        <f t="shared" si="43"/>
        <v>Oppose</v>
      </c>
      <c r="AT72" s="32">
        <f t="shared" si="44"/>
        <v>7</v>
      </c>
      <c r="AU72">
        <f>step3_validation[[#This Row],[AI_TRU3]]</f>
        <v>8</v>
      </c>
      <c r="AV72" t="str">
        <f t="shared" si="45"/>
        <v>Support</v>
      </c>
      <c r="AW72">
        <f>survey_responses[[#This Row],[Tôi tin tưởng số tiền thuế tôi đóng sẽ được Nhà nước sử dụng hiệu quả để cải thiện dịch vụ công (y tế, đường xá...). - HUMAN-TRU3]]</f>
        <v>3</v>
      </c>
      <c r="AX72" t="str">
        <f t="shared" si="46"/>
        <v>Oppose</v>
      </c>
      <c r="AY72" s="32">
        <f t="shared" si="47"/>
        <v>5</v>
      </c>
      <c r="AZ72">
        <f>step3_validation[[#This Row],[AI_TRU4]]</f>
        <v>10</v>
      </c>
      <c r="BA72" t="str">
        <f t="shared" si="48"/>
        <v>Support</v>
      </c>
      <c r="BB72">
        <f>survey_responses[[#This Row],[Tôi thấy Nhà nước đã giải thích rõ ràng, minh bạch về lý do và mục tiêu của việc sửa đổi thuế lần này. - HUMAN-TRU4]]</f>
        <v>3</v>
      </c>
      <c r="BC72" t="str">
        <f t="shared" si="49"/>
        <v>Oppose</v>
      </c>
      <c r="BD72" s="32">
        <f t="shared" si="50"/>
        <v>7</v>
      </c>
      <c r="BE72">
        <f>step3_validation[[#This Row],[AI_OUT1]]</f>
        <v>10</v>
      </c>
      <c r="BF72" t="str">
        <f t="shared" si="51"/>
        <v>Support</v>
      </c>
      <c r="BG72">
        <f>survey_responses[[#This Row],[Sau khi xem xét các quyền lợi và nghĩa vụ, bạn có ủng hộ và tuân thủ chính sách mới hiện nay? - HUMAN-OUT1]]</f>
        <v>4</v>
      </c>
      <c r="BH72" t="str">
        <f t="shared" si="52"/>
        <v>Oppose</v>
      </c>
      <c r="BI72" s="32">
        <f t="shared" si="53"/>
        <v>6</v>
      </c>
    </row>
    <row r="73" spans="1:61" x14ac:dyDescent="0.45">
      <c r="A73" s="30">
        <f>step3_validation[[#This Row],[Persona_ID]]</f>
        <v>72</v>
      </c>
      <c r="B73" s="31">
        <f>step3_validation[[#This Row],[Used_Seed]]</f>
        <v>2097</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18.411774060836969</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7</v>
      </c>
      <c r="R73" t="str">
        <f t="shared" si="27"/>
        <v>Neutral</v>
      </c>
      <c r="S73">
        <f>survey_responses[[#This Row],[Tôi tin rằng với các quy định quản lý thuế hiện nay, hành vi gian lận hoặc trốn thuế sẽ dễ dàng bị phát hiện và xử lý nghiêm. - HUMAN-ENF1]]</f>
        <v>8</v>
      </c>
      <c r="T73" t="str">
        <f t="shared" si="28"/>
        <v>Support</v>
      </c>
      <c r="U73" s="32">
        <f t="shared" si="29"/>
        <v>1</v>
      </c>
      <c r="V73">
        <f>step3_validation[[#This Row],[AI_ENF2]]</f>
        <v>6</v>
      </c>
      <c r="W73" t="str">
        <f t="shared" si="30"/>
        <v>Neutral</v>
      </c>
      <c r="X73">
        <f>survey_responses[[#This Row],[Tôi tin rằng Nhà nước, cơ quan thuế có đủ khả năng và công nghệ để phát hiện, xử lý nghiêm các hành vi trốn thuế. - HUMAN-ENF2]]</f>
        <v>8</v>
      </c>
      <c r="Y73" t="str">
        <f t="shared" si="31"/>
        <v>Support</v>
      </c>
      <c r="Z73" s="32">
        <f t="shared" si="32"/>
        <v>2</v>
      </c>
      <c r="AA73">
        <f>step3_validation[[#This Row],[AI_FAC1]]</f>
        <v>8</v>
      </c>
      <c r="AB73" t="str">
        <f t="shared" si="33"/>
        <v>Support</v>
      </c>
      <c r="AC73">
        <f>survey_responses[[#This Row],[Các thủ tục khai báo thuế VÀ/HOẶC quy trình làm việc với cơ quan thuế đơn giản, tiện lợi, nhanh chóng hơn so với trước đây. - HUMAN-FAC1]]</f>
        <v>4</v>
      </c>
      <c r="AD73" t="str">
        <f t="shared" si="34"/>
        <v>Oppose</v>
      </c>
      <c r="AE73" s="32">
        <f t="shared" si="35"/>
        <v>4</v>
      </c>
      <c r="AF73">
        <f>step3_validation[[#This Row],[AI_FAC2]]</f>
        <v>9</v>
      </c>
      <c r="AG73" t="str">
        <f t="shared" si="36"/>
        <v>Support</v>
      </c>
      <c r="AH73">
        <f>survey_responses[[#This Row],[So với trước đây, tôi thấy cách tính thuế và các bậc thuế trong phương án mới đơn giản, dễ hiểu và dễ thực hiện hơn. - HUMAN-FAC2]]</f>
        <v>2</v>
      </c>
      <c r="AI73" t="str">
        <f t="shared" si="37"/>
        <v>Oppose</v>
      </c>
      <c r="AJ73" s="32">
        <f t="shared" si="38"/>
        <v>7</v>
      </c>
      <c r="AK73">
        <f>step3_validation[[#This Row],[AI_TRU1]]</f>
        <v>7</v>
      </c>
      <c r="AL73" t="str">
        <f t="shared" si="39"/>
        <v>Neutral</v>
      </c>
      <c r="AM73">
        <f>survey_responses[[#This Row],[Tôi tin rằng Nhà nước, cơ quan thuế sẽ thực thi chính sách mới một cách khách quan, công tâm và đối xử bình đẳng với mọi người nộp thuế.  - HUMAN-TRU1]]</f>
        <v>6</v>
      </c>
      <c r="AN73" t="str">
        <f t="shared" si="40"/>
        <v>Neutral</v>
      </c>
      <c r="AO73" s="32">
        <f t="shared" si="41"/>
        <v>1</v>
      </c>
      <c r="AP73">
        <f>step3_validation[[#This Row],[AI_TRU2]]</f>
        <v>9</v>
      </c>
      <c r="AQ73" t="str">
        <f t="shared" si="42"/>
        <v>Support</v>
      </c>
      <c r="AR73">
        <f>survey_responses[[#This Row],[Tôi thấy mức thuế tôi phải đóng theo phương án mới là công bằng (người thu nhập như tôi đóng mức này là hợp lý). - HUMAN-TRU2]]</f>
        <v>3</v>
      </c>
      <c r="AS73" t="str">
        <f t="shared" si="43"/>
        <v>Oppose</v>
      </c>
      <c r="AT73" s="32">
        <f t="shared" si="44"/>
        <v>6</v>
      </c>
      <c r="AU73">
        <f>step3_validation[[#This Row],[AI_TRU3]]</f>
        <v>8</v>
      </c>
      <c r="AV73" t="str">
        <f t="shared" si="45"/>
        <v>Support</v>
      </c>
      <c r="AW73">
        <f>survey_responses[[#This Row],[Tôi tin tưởng số tiền thuế tôi đóng sẽ được Nhà nước sử dụng hiệu quả để cải thiện dịch vụ công (y tế, đường xá...). - HUMAN-TRU3]]</f>
        <v>8</v>
      </c>
      <c r="AX73" t="str">
        <f t="shared" si="46"/>
        <v>Support</v>
      </c>
      <c r="AY73" s="32">
        <f t="shared" si="47"/>
        <v>0</v>
      </c>
      <c r="AZ73">
        <f>step3_validation[[#This Row],[AI_TRU4]]</f>
        <v>6</v>
      </c>
      <c r="BA73" t="str">
        <f t="shared" si="48"/>
        <v>Neutral</v>
      </c>
      <c r="BB73">
        <f>survey_responses[[#This Row],[Tôi thấy Nhà nước đã giải thích rõ ràng, minh bạch về lý do và mục tiêu của việc sửa đổi thuế lần này. - HUMAN-TRU4]]</f>
        <v>4</v>
      </c>
      <c r="BC73" t="str">
        <f t="shared" si="49"/>
        <v>Oppose</v>
      </c>
      <c r="BD73" s="32">
        <f t="shared" si="50"/>
        <v>2</v>
      </c>
      <c r="BE73">
        <f>step3_validation[[#This Row],[AI_OUT1]]</f>
        <v>5</v>
      </c>
      <c r="BF73" t="str">
        <f t="shared" si="51"/>
        <v>Neutral</v>
      </c>
      <c r="BG73">
        <f>survey_responses[[#This Row],[Sau khi xem xét các quyền lợi và nghĩa vụ, bạn có ủng hộ và tuân thủ chính sách mới hiện nay? - HUMAN-OUT1]]</f>
        <v>8</v>
      </c>
      <c r="BH73" t="str">
        <f t="shared" si="52"/>
        <v>Support</v>
      </c>
      <c r="BI73" s="32">
        <f t="shared" si="53"/>
        <v>3</v>
      </c>
    </row>
    <row r="74" spans="1:61" x14ac:dyDescent="0.45">
      <c r="A74" s="30">
        <f>step3_validation[[#This Row],[Persona_ID]]</f>
        <v>73</v>
      </c>
      <c r="B74" s="31">
        <f>step3_validation[[#This Row],[Used_Seed]]</f>
        <v>2098</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14.186306823579844</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7</v>
      </c>
      <c r="R74" t="str">
        <f t="shared" si="27"/>
        <v>Neutral</v>
      </c>
      <c r="S74">
        <f>survey_responses[[#This Row],[Tôi tin rằng với các quy định quản lý thuế hiện nay, hành vi gian lận hoặc trốn thuế sẽ dễ dàng bị phát hiện và xử lý nghiêm. - HUMAN-ENF1]]</f>
        <v>5</v>
      </c>
      <c r="T74" t="str">
        <f t="shared" si="28"/>
        <v>Neutral</v>
      </c>
      <c r="U74" s="32">
        <f t="shared" si="29"/>
        <v>2</v>
      </c>
      <c r="V74">
        <f>step3_validation[[#This Row],[AI_ENF2]]</f>
        <v>8</v>
      </c>
      <c r="W74" t="str">
        <f t="shared" si="30"/>
        <v>Support</v>
      </c>
      <c r="X74">
        <f>survey_responses[[#This Row],[Tôi tin rằng Nhà nước, cơ quan thuế có đủ khả năng và công nghệ để phát hiện, xử lý nghiêm các hành vi trốn thuế. - HUMAN-ENF2]]</f>
        <v>5</v>
      </c>
      <c r="Y74" t="str">
        <f t="shared" si="31"/>
        <v>Neutral</v>
      </c>
      <c r="Z74" s="32">
        <f t="shared" si="32"/>
        <v>3</v>
      </c>
      <c r="AA74">
        <f>step3_validation[[#This Row],[AI_FAC1]]</f>
        <v>9</v>
      </c>
      <c r="AB74" t="str">
        <f t="shared" si="33"/>
        <v>Support</v>
      </c>
      <c r="AC74">
        <f>survey_responses[[#This Row],[Các thủ tục khai báo thuế VÀ/HOẶC quy trình làm việc với cơ quan thuế đơn giản, tiện lợi, nhanh chóng hơn so với trước đây. - HUMAN-FAC1]]</f>
        <v>5</v>
      </c>
      <c r="AD74" t="str">
        <f t="shared" si="34"/>
        <v>Neutral</v>
      </c>
      <c r="AE74" s="32">
        <f t="shared" si="35"/>
        <v>4</v>
      </c>
      <c r="AF74">
        <f>step3_validation[[#This Row],[AI_FAC2]]</f>
        <v>8</v>
      </c>
      <c r="AG74" t="str">
        <f t="shared" si="36"/>
        <v>Support</v>
      </c>
      <c r="AH74">
        <f>survey_responses[[#This Row],[So với trước đây, tôi thấy cách tính thuế và các bậc thuế trong phương án mới đơn giản, dễ hiểu và dễ thực hiện hơn. - HUMAN-FAC2]]</f>
        <v>5</v>
      </c>
      <c r="AI74" t="str">
        <f t="shared" si="37"/>
        <v>Neutral</v>
      </c>
      <c r="AJ74" s="32">
        <f t="shared" si="38"/>
        <v>3</v>
      </c>
      <c r="AK74">
        <f>step3_validation[[#This Row],[AI_TRU1]]</f>
        <v>9</v>
      </c>
      <c r="AL74" t="str">
        <f t="shared" si="39"/>
        <v>Support</v>
      </c>
      <c r="AM74">
        <f>survey_responses[[#This Row],[Tôi tin rằng Nhà nước, cơ quan thuế sẽ thực thi chính sách mới một cách khách quan, công tâm và đối xử bình đẳng với mọi người nộp thuế.  - HUMAN-TRU1]]</f>
        <v>5</v>
      </c>
      <c r="AN74" t="str">
        <f t="shared" si="40"/>
        <v>Neutral</v>
      </c>
      <c r="AO74" s="32">
        <f t="shared" si="41"/>
        <v>4</v>
      </c>
      <c r="AP74">
        <f>step3_validation[[#This Row],[AI_TRU2]]</f>
        <v>10</v>
      </c>
      <c r="AQ74" t="str">
        <f t="shared" si="42"/>
        <v>Support</v>
      </c>
      <c r="AR74">
        <f>survey_responses[[#This Row],[Tôi thấy mức thuế tôi phải đóng theo phương án mới là công bằng (người thu nhập như tôi đóng mức này là hợp lý). - HUMAN-TRU2]]</f>
        <v>10</v>
      </c>
      <c r="AS74" t="str">
        <f t="shared" si="43"/>
        <v>Support</v>
      </c>
      <c r="AT74" s="32">
        <f t="shared" si="44"/>
        <v>0</v>
      </c>
      <c r="AU74">
        <f>step3_validation[[#This Row],[AI_TRU3]]</f>
        <v>9</v>
      </c>
      <c r="AV74" t="str">
        <f t="shared" si="45"/>
        <v>Support</v>
      </c>
      <c r="AW74">
        <f>survey_responses[[#This Row],[Tôi tin tưởng số tiền thuế tôi đóng sẽ được Nhà nước sử dụng hiệu quả để cải thiện dịch vụ công (y tế, đường xá...). - HUMAN-TRU3]]</f>
        <v>5</v>
      </c>
      <c r="AX74" t="str">
        <f t="shared" si="46"/>
        <v>Neutral</v>
      </c>
      <c r="AY74" s="32">
        <f t="shared" si="47"/>
        <v>4</v>
      </c>
      <c r="AZ74">
        <f>step3_validation[[#This Row],[AI_TRU4]]</f>
        <v>10</v>
      </c>
      <c r="BA74" t="str">
        <f t="shared" si="48"/>
        <v>Support</v>
      </c>
      <c r="BB74">
        <f>survey_responses[[#This Row],[Tôi thấy Nhà nước đã giải thích rõ ràng, minh bạch về lý do và mục tiêu của việc sửa đổi thuế lần này. - HUMAN-TRU4]]</f>
        <v>5</v>
      </c>
      <c r="BC74" t="str">
        <f t="shared" si="49"/>
        <v>Neutral</v>
      </c>
      <c r="BD74" s="32">
        <f t="shared" si="50"/>
        <v>5</v>
      </c>
      <c r="BE74">
        <f>step3_validation[[#This Row],[AI_OUT1]]</f>
        <v>9</v>
      </c>
      <c r="BF74" t="str">
        <f t="shared" si="51"/>
        <v>Support</v>
      </c>
      <c r="BG74">
        <f>survey_responses[[#This Row],[Sau khi xem xét các quyền lợi và nghĩa vụ, bạn có ủng hộ và tuân thủ chính sách mới hiện nay? - HUMAN-OUT1]]</f>
        <v>10</v>
      </c>
      <c r="BH74" t="str">
        <f t="shared" si="52"/>
        <v>Support</v>
      </c>
      <c r="BI74" s="32">
        <f t="shared" si="53"/>
        <v>1</v>
      </c>
    </row>
    <row r="75" spans="1:61" x14ac:dyDescent="0.45">
      <c r="A75" s="30">
        <f>step3_validation[[#This Row],[Persona_ID]]</f>
        <v>74</v>
      </c>
      <c r="B75" s="31">
        <f>step3_validation[[#This Row],[Used_Seed]]</f>
        <v>2099</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20.309817357435918</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7</v>
      </c>
      <c r="R75" t="str">
        <f t="shared" si="27"/>
        <v>Neutral</v>
      </c>
      <c r="S75">
        <f>survey_responses[[#This Row],[Tôi tin rằng với các quy định quản lý thuế hiện nay, hành vi gian lận hoặc trốn thuế sẽ dễ dàng bị phát hiện và xử lý nghiêm. - HUMAN-ENF1]]</f>
        <v>5</v>
      </c>
      <c r="T75" t="str">
        <f t="shared" si="28"/>
        <v>Neutral</v>
      </c>
      <c r="U75" s="32">
        <f t="shared" si="29"/>
        <v>2</v>
      </c>
      <c r="V75">
        <f>step3_validation[[#This Row],[AI_ENF2]]</f>
        <v>8</v>
      </c>
      <c r="W75" t="str">
        <f t="shared" si="30"/>
        <v>Support</v>
      </c>
      <c r="X75">
        <f>survey_responses[[#This Row],[Tôi tin rằng Nhà nước, cơ quan thuế có đủ khả năng và công nghệ để phát hiện, xử lý nghiêm các hành vi trốn thuế. - HUMAN-ENF2]]</f>
        <v>10</v>
      </c>
      <c r="Y75" t="str">
        <f t="shared" si="31"/>
        <v>Support</v>
      </c>
      <c r="Z75" s="32">
        <f t="shared" si="32"/>
        <v>2</v>
      </c>
      <c r="AA75">
        <f>step3_validation[[#This Row],[AI_FAC1]]</f>
        <v>6</v>
      </c>
      <c r="AB75" t="str">
        <f t="shared" si="33"/>
        <v>Neutral</v>
      </c>
      <c r="AC75">
        <f>survey_responses[[#This Row],[Các thủ tục khai báo thuế VÀ/HOẶC quy trình làm việc với cơ quan thuế đơn giản, tiện lợi, nhanh chóng hơn so với trước đây. - HUMAN-FAC1]]</f>
        <v>2</v>
      </c>
      <c r="AD75" t="str">
        <f t="shared" si="34"/>
        <v>Oppose</v>
      </c>
      <c r="AE75" s="32">
        <f t="shared" si="35"/>
        <v>4</v>
      </c>
      <c r="AF75">
        <f>step3_validation[[#This Row],[AI_FAC2]]</f>
        <v>9</v>
      </c>
      <c r="AG75" t="str">
        <f t="shared" si="36"/>
        <v>Support</v>
      </c>
      <c r="AH75">
        <f>survey_responses[[#This Row],[So với trước đây, tôi thấy cách tính thuế và các bậc thuế trong phương án mới đơn giản, dễ hiểu và dễ thực hiện hơn. - HUMAN-FAC2]]</f>
        <v>8</v>
      </c>
      <c r="AI75" t="str">
        <f t="shared" si="37"/>
        <v>Support</v>
      </c>
      <c r="AJ75" s="32">
        <f t="shared" si="38"/>
        <v>1</v>
      </c>
      <c r="AK75">
        <f>step3_validation[[#This Row],[AI_TRU1]]</f>
        <v>8</v>
      </c>
      <c r="AL75" t="str">
        <f t="shared" si="39"/>
        <v>Support</v>
      </c>
      <c r="AM75">
        <f>survey_responses[[#This Row],[Tôi tin rằng Nhà nước, cơ quan thuế sẽ thực thi chính sách mới một cách khách quan, công tâm và đối xử bình đẳng với mọi người nộp thuế.  - HUMAN-TRU1]]</f>
        <v>5</v>
      </c>
      <c r="AN75" t="str">
        <f t="shared" si="40"/>
        <v>Neutral</v>
      </c>
      <c r="AO75" s="32">
        <f t="shared" si="41"/>
        <v>3</v>
      </c>
      <c r="AP75">
        <f>step3_validation[[#This Row],[AI_TRU2]]</f>
        <v>9</v>
      </c>
      <c r="AQ75" t="str">
        <f t="shared" si="42"/>
        <v>Support</v>
      </c>
      <c r="AR75">
        <f>survey_responses[[#This Row],[Tôi thấy mức thuế tôi phải đóng theo phương án mới là công bằng (người thu nhập như tôi đóng mức này là hợp lý). - HUMAN-TRU2]]</f>
        <v>5</v>
      </c>
      <c r="AS75" t="str">
        <f t="shared" si="43"/>
        <v>Neutral</v>
      </c>
      <c r="AT75" s="32">
        <f t="shared" si="44"/>
        <v>4</v>
      </c>
      <c r="AU75">
        <f>step3_validation[[#This Row],[AI_TRU3]]</f>
        <v>8</v>
      </c>
      <c r="AV75" t="str">
        <f t="shared" si="45"/>
        <v>Support</v>
      </c>
      <c r="AW75">
        <f>survey_responses[[#This Row],[Tôi tin tưởng số tiền thuế tôi đóng sẽ được Nhà nước sử dụng hiệu quả để cải thiện dịch vụ công (y tế, đường xá...). - HUMAN-TRU3]]</f>
        <v>1</v>
      </c>
      <c r="AX75" t="str">
        <f t="shared" si="46"/>
        <v>Oppose</v>
      </c>
      <c r="AY75" s="32">
        <f t="shared" si="47"/>
        <v>7</v>
      </c>
      <c r="AZ75">
        <f>step3_validation[[#This Row],[AI_TRU4]]</f>
        <v>7</v>
      </c>
      <c r="BA75" t="str">
        <f t="shared" si="48"/>
        <v>Neutral</v>
      </c>
      <c r="BB75">
        <f>survey_responses[[#This Row],[Tôi thấy Nhà nước đã giải thích rõ ràng, minh bạch về lý do và mục tiêu của việc sửa đổi thuế lần này. - HUMAN-TRU4]]</f>
        <v>4</v>
      </c>
      <c r="BC75" t="str">
        <f t="shared" si="49"/>
        <v>Oppose</v>
      </c>
      <c r="BD75" s="32">
        <f t="shared" si="50"/>
        <v>3</v>
      </c>
      <c r="BE75">
        <f>step3_validation[[#This Row],[AI_OUT1]]</f>
        <v>9</v>
      </c>
      <c r="BF75" t="str">
        <f t="shared" si="51"/>
        <v>Support</v>
      </c>
      <c r="BG75">
        <f>survey_responses[[#This Row],[Sau khi xem xét các quyền lợi và nghĩa vụ, bạn có ủng hộ và tuân thủ chính sách mới hiện nay? - HUMAN-OUT1]]</f>
        <v>5</v>
      </c>
      <c r="BH75" t="str">
        <f t="shared" si="52"/>
        <v>Neutral</v>
      </c>
      <c r="BI75" s="32">
        <f t="shared" si="53"/>
        <v>4</v>
      </c>
    </row>
    <row r="76" spans="1:61" x14ac:dyDescent="0.45">
      <c r="A76" s="30">
        <f>step3_validation[[#This Row],[Persona_ID]]</f>
        <v>75</v>
      </c>
      <c r="B76" s="31">
        <f>step3_validation[[#This Row],[Used_Seed]]</f>
        <v>2100</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54.279779262352179</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9</v>
      </c>
      <c r="R76" t="str">
        <f t="shared" si="27"/>
        <v>Support</v>
      </c>
      <c r="S76">
        <f>survey_responses[[#This Row],[Tôi tin rằng với các quy định quản lý thuế hiện nay, hành vi gian lận hoặc trốn thuế sẽ dễ dàng bị phát hiện và xử lý nghiêm. - HUMAN-ENF1]]</f>
        <v>8</v>
      </c>
      <c r="T76" t="str">
        <f t="shared" si="28"/>
        <v>Support</v>
      </c>
      <c r="U76" s="32">
        <f t="shared" si="29"/>
        <v>1</v>
      </c>
      <c r="V76">
        <f>step3_validation[[#This Row],[AI_ENF2]]</f>
        <v>7</v>
      </c>
      <c r="W76" t="str">
        <f t="shared" si="30"/>
        <v>Neutral</v>
      </c>
      <c r="X76">
        <f>survey_responses[[#This Row],[Tôi tin rằng Nhà nước, cơ quan thuế có đủ khả năng và công nghệ để phát hiện, xử lý nghiêm các hành vi trốn thuế. - HUMAN-ENF2]]</f>
        <v>9</v>
      </c>
      <c r="Y76" t="str">
        <f t="shared" si="31"/>
        <v>Support</v>
      </c>
      <c r="Z76" s="32">
        <f t="shared" si="32"/>
        <v>2</v>
      </c>
      <c r="AA76">
        <f>step3_validation[[#This Row],[AI_FAC1]]</f>
        <v>8</v>
      </c>
      <c r="AB76" t="str">
        <f t="shared" si="33"/>
        <v>Support</v>
      </c>
      <c r="AC76">
        <f>survey_responses[[#This Row],[Các thủ tục khai báo thuế VÀ/HOẶC quy trình làm việc với cơ quan thuế đơn giản, tiện lợi, nhanh chóng hơn so với trước đây. - HUMAN-FAC1]]</f>
        <v>9</v>
      </c>
      <c r="AD76" t="str">
        <f t="shared" si="34"/>
        <v>Support</v>
      </c>
      <c r="AE76" s="32">
        <f t="shared" si="35"/>
        <v>1</v>
      </c>
      <c r="AF76">
        <f>step3_validation[[#This Row],[AI_FAC2]]</f>
        <v>9</v>
      </c>
      <c r="AG76" t="str">
        <f t="shared" si="36"/>
        <v>Support</v>
      </c>
      <c r="AH76">
        <f>survey_responses[[#This Row],[So với trước đây, tôi thấy cách tính thuế và các bậc thuế trong phương án mới đơn giản, dễ hiểu và dễ thực hiện hơn. - HUMAN-FAC2]]</f>
        <v>9</v>
      </c>
      <c r="AI76" t="str">
        <f t="shared" si="37"/>
        <v>Support</v>
      </c>
      <c r="AJ76" s="32">
        <f t="shared" si="38"/>
        <v>0</v>
      </c>
      <c r="AK76">
        <f>step3_validation[[#This Row],[AI_TRU1]]</f>
        <v>8</v>
      </c>
      <c r="AL76" t="str">
        <f t="shared" si="39"/>
        <v>Support</v>
      </c>
      <c r="AM76">
        <f>survey_responses[[#This Row],[Tôi tin rằng Nhà nước, cơ quan thuế sẽ thực thi chính sách mới một cách khách quan, công tâm và đối xử bình đẳng với mọi người nộp thuế.  - HUMAN-TRU1]]</f>
        <v>3</v>
      </c>
      <c r="AN76" t="str">
        <f t="shared" si="40"/>
        <v>Oppose</v>
      </c>
      <c r="AO76" s="32">
        <f t="shared" si="41"/>
        <v>5</v>
      </c>
      <c r="AP76">
        <f>step3_validation[[#This Row],[AI_TRU2]]</f>
        <v>9</v>
      </c>
      <c r="AQ76" t="str">
        <f t="shared" si="42"/>
        <v>Support</v>
      </c>
      <c r="AR76">
        <f>survey_responses[[#This Row],[Tôi thấy mức thuế tôi phải đóng theo phương án mới là công bằng (người thu nhập như tôi đóng mức này là hợp lý). - HUMAN-TRU2]]</f>
        <v>3</v>
      </c>
      <c r="AS76" t="str">
        <f t="shared" si="43"/>
        <v>Oppose</v>
      </c>
      <c r="AT76" s="32">
        <f t="shared" si="44"/>
        <v>6</v>
      </c>
      <c r="AU76">
        <f>step3_validation[[#This Row],[AI_TRU3]]</f>
        <v>8</v>
      </c>
      <c r="AV76" t="str">
        <f t="shared" si="45"/>
        <v>Support</v>
      </c>
      <c r="AW76">
        <f>survey_responses[[#This Row],[Tôi tin tưởng số tiền thuế tôi đóng sẽ được Nhà nước sử dụng hiệu quả để cải thiện dịch vụ công (y tế, đường xá...). - HUMAN-TRU3]]</f>
        <v>2</v>
      </c>
      <c r="AX76" t="str">
        <f t="shared" si="46"/>
        <v>Oppose</v>
      </c>
      <c r="AY76" s="32">
        <f t="shared" si="47"/>
        <v>6</v>
      </c>
      <c r="AZ76">
        <f>step3_validation[[#This Row],[AI_TRU4]]</f>
        <v>7</v>
      </c>
      <c r="BA76" t="str">
        <f t="shared" si="48"/>
        <v>Neutral</v>
      </c>
      <c r="BB76">
        <f>survey_responses[[#This Row],[Tôi thấy Nhà nước đã giải thích rõ ràng, minh bạch về lý do và mục tiêu của việc sửa đổi thuế lần này. - HUMAN-TRU4]]</f>
        <v>2</v>
      </c>
      <c r="BC76" t="str">
        <f t="shared" si="49"/>
        <v>Oppose</v>
      </c>
      <c r="BD76" s="32">
        <f t="shared" si="50"/>
        <v>5</v>
      </c>
      <c r="BE76">
        <f>step3_validation[[#This Row],[AI_OUT1]]</f>
        <v>9</v>
      </c>
      <c r="BF76" t="str">
        <f t="shared" si="51"/>
        <v>Support</v>
      </c>
      <c r="BG76">
        <f>survey_responses[[#This Row],[Sau khi xem xét các quyền lợi và nghĩa vụ, bạn có ủng hộ và tuân thủ chính sách mới hiện nay? - HUMAN-OUT1]]</f>
        <v>6</v>
      </c>
      <c r="BH76" t="str">
        <f t="shared" si="52"/>
        <v>Neutral</v>
      </c>
      <c r="BI76" s="32">
        <f t="shared" si="53"/>
        <v>3</v>
      </c>
    </row>
    <row r="77" spans="1:61" x14ac:dyDescent="0.45">
      <c r="A77" s="30">
        <f>step3_validation[[#This Row],[Persona_ID]]</f>
        <v>76</v>
      </c>
      <c r="B77" s="31">
        <f>step3_validation[[#This Row],[Used_Seed]]</f>
        <v>2101</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12.540853038445734</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5</v>
      </c>
      <c r="R77" t="str">
        <f t="shared" si="27"/>
        <v>Neutral</v>
      </c>
      <c r="S77">
        <f>survey_responses[[#This Row],[Tôi tin rằng với các quy định quản lý thuế hiện nay, hành vi gian lận hoặc trốn thuế sẽ dễ dàng bị phát hiện và xử lý nghiêm. - HUMAN-ENF1]]</f>
        <v>5</v>
      </c>
      <c r="T77" t="str">
        <f t="shared" si="28"/>
        <v>Neutral</v>
      </c>
      <c r="U77" s="32">
        <f t="shared" si="29"/>
        <v>0</v>
      </c>
      <c r="V77">
        <f>step3_validation[[#This Row],[AI_ENF2]]</f>
        <v>5</v>
      </c>
      <c r="W77" t="str">
        <f t="shared" si="30"/>
        <v>Neutral</v>
      </c>
      <c r="X77">
        <f>survey_responses[[#This Row],[Tôi tin rằng Nhà nước, cơ quan thuế có đủ khả năng và công nghệ để phát hiện, xử lý nghiêm các hành vi trốn thuế. - HUMAN-ENF2]]</f>
        <v>5</v>
      </c>
      <c r="Y77" t="str">
        <f t="shared" si="31"/>
        <v>Neutral</v>
      </c>
      <c r="Z77" s="32">
        <f t="shared" si="32"/>
        <v>0</v>
      </c>
      <c r="AA77">
        <f>step3_validation[[#This Row],[AI_FAC1]]</f>
        <v>7</v>
      </c>
      <c r="AB77" t="str">
        <f t="shared" si="33"/>
        <v>Neutral</v>
      </c>
      <c r="AC77">
        <f>survey_responses[[#This Row],[Các thủ tục khai báo thuế VÀ/HOẶC quy trình làm việc với cơ quan thuế đơn giản, tiện lợi, nhanh chóng hơn so với trước đây. - HUMAN-FAC1]]</f>
        <v>5</v>
      </c>
      <c r="AD77" t="str">
        <f t="shared" si="34"/>
        <v>Neutral</v>
      </c>
      <c r="AE77" s="32">
        <f t="shared" si="35"/>
        <v>2</v>
      </c>
      <c r="AF77">
        <f>step3_validation[[#This Row],[AI_FAC2]]</f>
        <v>9</v>
      </c>
      <c r="AG77" t="str">
        <f t="shared" si="36"/>
        <v>Support</v>
      </c>
      <c r="AH77">
        <f>survey_responses[[#This Row],[So với trước đây, tôi thấy cách tính thuế và các bậc thuế trong phương án mới đơn giản, dễ hiểu và dễ thực hiện hơn. - HUMAN-FAC2]]</f>
        <v>5</v>
      </c>
      <c r="AI77" t="str">
        <f t="shared" si="37"/>
        <v>Neutral</v>
      </c>
      <c r="AJ77" s="32">
        <f t="shared" si="38"/>
        <v>4</v>
      </c>
      <c r="AK77">
        <f>step3_validation[[#This Row],[AI_TRU1]]</f>
        <v>6</v>
      </c>
      <c r="AL77" t="str">
        <f t="shared" si="39"/>
        <v>Neutral</v>
      </c>
      <c r="AM77">
        <f>survey_responses[[#This Row],[Tôi tin rằng Nhà nước, cơ quan thuế sẽ thực thi chính sách mới một cách khách quan, công tâm và đối xử bình đẳng với mọi người nộp thuế.  - HUMAN-TRU1]]</f>
        <v>5</v>
      </c>
      <c r="AN77" t="str">
        <f t="shared" si="40"/>
        <v>Neutral</v>
      </c>
      <c r="AO77" s="32">
        <f t="shared" si="41"/>
        <v>1</v>
      </c>
      <c r="AP77">
        <f>step3_validation[[#This Row],[AI_TRU2]]</f>
        <v>8</v>
      </c>
      <c r="AQ77" t="str">
        <f t="shared" si="42"/>
        <v>Support</v>
      </c>
      <c r="AR77">
        <f>survey_responses[[#This Row],[Tôi thấy mức thuế tôi phải đóng theo phương án mới là công bằng (người thu nhập như tôi đóng mức này là hợp lý). - HUMAN-TRU2]]</f>
        <v>5</v>
      </c>
      <c r="AS77" t="str">
        <f t="shared" si="43"/>
        <v>Neutral</v>
      </c>
      <c r="AT77" s="32">
        <f t="shared" si="44"/>
        <v>3</v>
      </c>
      <c r="AU77">
        <f>step3_validation[[#This Row],[AI_TRU3]]</f>
        <v>6</v>
      </c>
      <c r="AV77" t="str">
        <f t="shared" si="45"/>
        <v>Neutral</v>
      </c>
      <c r="AW77">
        <f>survey_responses[[#This Row],[Tôi tin tưởng số tiền thuế tôi đóng sẽ được Nhà nước sử dụng hiệu quả để cải thiện dịch vụ công (y tế, đường xá...). - HUMAN-TRU3]]</f>
        <v>5</v>
      </c>
      <c r="AX77" t="str">
        <f t="shared" si="46"/>
        <v>Neutral</v>
      </c>
      <c r="AY77" s="32">
        <f t="shared" si="47"/>
        <v>1</v>
      </c>
      <c r="AZ77">
        <f>step3_validation[[#This Row],[AI_TRU4]]</f>
        <v>7</v>
      </c>
      <c r="BA77" t="str">
        <f t="shared" si="48"/>
        <v>Neutral</v>
      </c>
      <c r="BB77">
        <f>survey_responses[[#This Row],[Tôi thấy Nhà nước đã giải thích rõ ràng, minh bạch về lý do và mục tiêu của việc sửa đổi thuế lần này. - HUMAN-TRU4]]</f>
        <v>5</v>
      </c>
      <c r="BC77" t="str">
        <f t="shared" si="49"/>
        <v>Neutral</v>
      </c>
      <c r="BD77" s="32">
        <f t="shared" si="50"/>
        <v>2</v>
      </c>
      <c r="BE77">
        <f>step3_validation[[#This Row],[AI_OUT1]]</f>
        <v>9</v>
      </c>
      <c r="BF77" t="str">
        <f t="shared" si="51"/>
        <v>Support</v>
      </c>
      <c r="BG77">
        <f>survey_responses[[#This Row],[Sau khi xem xét các quyền lợi và nghĩa vụ, bạn có ủng hộ và tuân thủ chính sách mới hiện nay? - HUMAN-OUT1]]</f>
        <v>5</v>
      </c>
      <c r="BH77" t="str">
        <f t="shared" si="52"/>
        <v>Neutral</v>
      </c>
      <c r="BI77" s="32">
        <f t="shared" si="53"/>
        <v>4</v>
      </c>
    </row>
    <row r="78" spans="1:61" x14ac:dyDescent="0.45">
      <c r="A78" s="30">
        <f>step3_validation[[#This Row],[Persona_ID]]</f>
        <v>77</v>
      </c>
      <c r="B78" s="31">
        <f>step3_validation[[#This Row],[Used_Seed]]</f>
        <v>2102</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12.72710053997309</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7</v>
      </c>
      <c r="R78" t="str">
        <f t="shared" si="27"/>
        <v>Neutral</v>
      </c>
      <c r="S78">
        <f>survey_responses[[#This Row],[Tôi tin rằng với các quy định quản lý thuế hiện nay, hành vi gian lận hoặc trốn thuế sẽ dễ dàng bị phát hiện và xử lý nghiêm. - HUMAN-ENF1]]</f>
        <v>8</v>
      </c>
      <c r="T78" t="str">
        <f t="shared" si="28"/>
        <v>Support</v>
      </c>
      <c r="U78" s="32">
        <f t="shared" si="29"/>
        <v>1</v>
      </c>
      <c r="V78">
        <f>step3_validation[[#This Row],[AI_ENF2]]</f>
        <v>8</v>
      </c>
      <c r="W78" t="str">
        <f t="shared" si="30"/>
        <v>Support</v>
      </c>
      <c r="X78">
        <f>survey_responses[[#This Row],[Tôi tin rằng Nhà nước, cơ quan thuế có đủ khả năng và công nghệ để phát hiện, xử lý nghiêm các hành vi trốn thuế. - HUMAN-ENF2]]</f>
        <v>8</v>
      </c>
      <c r="Y78" t="str">
        <f t="shared" si="31"/>
        <v>Support</v>
      </c>
      <c r="Z78" s="32">
        <f t="shared" si="32"/>
        <v>0</v>
      </c>
      <c r="AA78">
        <f>step3_validation[[#This Row],[AI_FAC1]]</f>
        <v>9</v>
      </c>
      <c r="AB78" t="str">
        <f t="shared" si="33"/>
        <v>Support</v>
      </c>
      <c r="AC78">
        <f>survey_responses[[#This Row],[Các thủ tục khai báo thuế VÀ/HOẶC quy trình làm việc với cơ quan thuế đơn giản, tiện lợi, nhanh chóng hơn so với trước đây. - HUMAN-FAC1]]</f>
        <v>8</v>
      </c>
      <c r="AD78" t="str">
        <f t="shared" si="34"/>
        <v>Support</v>
      </c>
      <c r="AE78" s="32">
        <f t="shared" si="35"/>
        <v>1</v>
      </c>
      <c r="AF78">
        <f>step3_validation[[#This Row],[AI_FAC2]]</f>
        <v>9</v>
      </c>
      <c r="AG78" t="str">
        <f t="shared" si="36"/>
        <v>Support</v>
      </c>
      <c r="AH78">
        <f>survey_responses[[#This Row],[So với trước đây, tôi thấy cách tính thuế và các bậc thuế trong phương án mới đơn giản, dễ hiểu và dễ thực hiện hơn. - HUMAN-FAC2]]</f>
        <v>8</v>
      </c>
      <c r="AI78" t="str">
        <f t="shared" si="37"/>
        <v>Support</v>
      </c>
      <c r="AJ78" s="32">
        <f t="shared" si="38"/>
        <v>1</v>
      </c>
      <c r="AK78">
        <f>step3_validation[[#This Row],[AI_TRU1]]</f>
        <v>8</v>
      </c>
      <c r="AL78" t="str">
        <f t="shared" si="39"/>
        <v>Support</v>
      </c>
      <c r="AM78">
        <f>survey_responses[[#This Row],[Tôi tin rằng Nhà nước, cơ quan thuế sẽ thực thi chính sách mới một cách khách quan, công tâm và đối xử bình đẳng với mọi người nộp thuế.  - HUMAN-TRU1]]</f>
        <v>9</v>
      </c>
      <c r="AN78" t="str">
        <f t="shared" si="40"/>
        <v>Support</v>
      </c>
      <c r="AO78" s="32">
        <f t="shared" si="41"/>
        <v>1</v>
      </c>
      <c r="AP78">
        <f>step3_validation[[#This Row],[AI_TRU2]]</f>
        <v>9</v>
      </c>
      <c r="AQ78" t="str">
        <f t="shared" si="42"/>
        <v>Support</v>
      </c>
      <c r="AR78">
        <f>survey_responses[[#This Row],[Tôi thấy mức thuế tôi phải đóng theo phương án mới là công bằng (người thu nhập như tôi đóng mức này là hợp lý). - HUMAN-TRU2]]</f>
        <v>7</v>
      </c>
      <c r="AS78" t="str">
        <f t="shared" si="43"/>
        <v>Neutral</v>
      </c>
      <c r="AT78" s="32">
        <f t="shared" si="44"/>
        <v>2</v>
      </c>
      <c r="AU78">
        <f>step3_validation[[#This Row],[AI_TRU3]]</f>
        <v>6</v>
      </c>
      <c r="AV78" t="str">
        <f t="shared" si="45"/>
        <v>Neutral</v>
      </c>
      <c r="AW78">
        <f>survey_responses[[#This Row],[Tôi tin tưởng số tiền thuế tôi đóng sẽ được Nhà nước sử dụng hiệu quả để cải thiện dịch vụ công (y tế, đường xá...). - HUMAN-TRU3]]</f>
        <v>9</v>
      </c>
      <c r="AX78" t="str">
        <f t="shared" si="46"/>
        <v>Support</v>
      </c>
      <c r="AY78" s="32">
        <f t="shared" si="47"/>
        <v>3</v>
      </c>
      <c r="AZ78">
        <f>step3_validation[[#This Row],[AI_TRU4]]</f>
        <v>8</v>
      </c>
      <c r="BA78" t="str">
        <f t="shared" si="48"/>
        <v>Support</v>
      </c>
      <c r="BB78">
        <f>survey_responses[[#This Row],[Tôi thấy Nhà nước đã giải thích rõ ràng, minh bạch về lý do và mục tiêu của việc sửa đổi thuế lần này. - HUMAN-TRU4]]</f>
        <v>10</v>
      </c>
      <c r="BC78" t="str">
        <f t="shared" si="49"/>
        <v>Support</v>
      </c>
      <c r="BD78" s="32">
        <f t="shared" si="50"/>
        <v>2</v>
      </c>
      <c r="BE78">
        <f>step3_validation[[#This Row],[AI_OUT1]]</f>
        <v>9</v>
      </c>
      <c r="BF78" t="str">
        <f t="shared" si="51"/>
        <v>Support</v>
      </c>
      <c r="BG78">
        <f>survey_responses[[#This Row],[Sau khi xem xét các quyền lợi và nghĩa vụ, bạn có ủng hộ và tuân thủ chính sách mới hiện nay? - HUMAN-OUT1]]</f>
        <v>8</v>
      </c>
      <c r="BH78" t="str">
        <f t="shared" si="52"/>
        <v>Support</v>
      </c>
      <c r="BI78" s="32">
        <f t="shared" si="53"/>
        <v>1</v>
      </c>
    </row>
    <row r="79" spans="1:61" x14ac:dyDescent="0.45">
      <c r="A79" s="30">
        <f>step3_validation[[#This Row],[Persona_ID]]</f>
        <v>78</v>
      </c>
      <c r="B79" s="31">
        <f>step3_validation[[#This Row],[Used_Seed]]</f>
        <v>2103</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46.2403264185861</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9</v>
      </c>
      <c r="R79" t="str">
        <f t="shared" si="27"/>
        <v>Support</v>
      </c>
      <c r="S79">
        <f>survey_responses[[#This Row],[Tôi tin rằng với các quy định quản lý thuế hiện nay, hành vi gian lận hoặc trốn thuế sẽ dễ dàng bị phát hiện và xử lý nghiêm. - HUMAN-ENF1]]</f>
        <v>8</v>
      </c>
      <c r="T79" t="str">
        <f t="shared" si="28"/>
        <v>Support</v>
      </c>
      <c r="U79" s="32">
        <f t="shared" si="29"/>
        <v>1</v>
      </c>
      <c r="V79">
        <f>step3_validation[[#This Row],[AI_ENF2]]</f>
        <v>8</v>
      </c>
      <c r="W79" t="str">
        <f t="shared" si="30"/>
        <v>Support</v>
      </c>
      <c r="X79">
        <f>survey_responses[[#This Row],[Tôi tin rằng Nhà nước, cơ quan thuế có đủ khả năng và công nghệ để phát hiện, xử lý nghiêm các hành vi trốn thuế. - HUMAN-ENF2]]</f>
        <v>7</v>
      </c>
      <c r="Y79" t="str">
        <f t="shared" si="31"/>
        <v>Neutral</v>
      </c>
      <c r="Z79" s="32">
        <f t="shared" si="32"/>
        <v>1</v>
      </c>
      <c r="AA79">
        <f>step3_validation[[#This Row],[AI_FAC1]]</f>
        <v>9</v>
      </c>
      <c r="AB79" t="str">
        <f t="shared" si="33"/>
        <v>Support</v>
      </c>
      <c r="AC79">
        <f>survey_responses[[#This Row],[Các thủ tục khai báo thuế VÀ/HOẶC quy trình làm việc với cơ quan thuế đơn giản, tiện lợi, nhanh chóng hơn so với trước đây. - HUMAN-FAC1]]</f>
        <v>9</v>
      </c>
      <c r="AD79" t="str">
        <f t="shared" si="34"/>
        <v>Support</v>
      </c>
      <c r="AE79" s="32">
        <f t="shared" si="35"/>
        <v>0</v>
      </c>
      <c r="AF79">
        <f>step3_validation[[#This Row],[AI_FAC2]]</f>
        <v>8</v>
      </c>
      <c r="AG79" t="str">
        <f t="shared" si="36"/>
        <v>Support</v>
      </c>
      <c r="AH79">
        <f>survey_responses[[#This Row],[So với trước đây, tôi thấy cách tính thuế và các bậc thuế trong phương án mới đơn giản, dễ hiểu và dễ thực hiện hơn. - HUMAN-FAC2]]</f>
        <v>8</v>
      </c>
      <c r="AI79" t="str">
        <f t="shared" si="37"/>
        <v>Support</v>
      </c>
      <c r="AJ79" s="32">
        <f t="shared" si="38"/>
        <v>0</v>
      </c>
      <c r="AK79">
        <f>step3_validation[[#This Row],[AI_TRU1]]</f>
        <v>9</v>
      </c>
      <c r="AL79" t="str">
        <f t="shared" si="39"/>
        <v>Support</v>
      </c>
      <c r="AM79">
        <f>survey_responses[[#This Row],[Tôi tin rằng Nhà nước, cơ quan thuế sẽ thực thi chính sách mới một cách khách quan, công tâm và đối xử bình đẳng với mọi người nộp thuế.  - HUMAN-TRU1]]</f>
        <v>8</v>
      </c>
      <c r="AN79" t="str">
        <f t="shared" si="40"/>
        <v>Support</v>
      </c>
      <c r="AO79" s="32">
        <f t="shared" si="41"/>
        <v>1</v>
      </c>
      <c r="AP79">
        <f>step3_validation[[#This Row],[AI_TRU2]]</f>
        <v>8</v>
      </c>
      <c r="AQ79" t="str">
        <f t="shared" si="42"/>
        <v>Support</v>
      </c>
      <c r="AR79">
        <f>survey_responses[[#This Row],[Tôi thấy mức thuế tôi phải đóng theo phương án mới là công bằng (người thu nhập như tôi đóng mức này là hợp lý). - HUMAN-TRU2]]</f>
        <v>8</v>
      </c>
      <c r="AS79" t="str">
        <f t="shared" si="43"/>
        <v>Support</v>
      </c>
      <c r="AT79" s="32">
        <f t="shared" si="44"/>
        <v>0</v>
      </c>
      <c r="AU79">
        <f>step3_validation[[#This Row],[AI_TRU3]]</f>
        <v>9</v>
      </c>
      <c r="AV79" t="str">
        <f t="shared" si="45"/>
        <v>Support</v>
      </c>
      <c r="AW79">
        <f>survey_responses[[#This Row],[Tôi tin tưởng số tiền thuế tôi đóng sẽ được Nhà nước sử dụng hiệu quả để cải thiện dịch vụ công (y tế, đường xá...). - HUMAN-TRU3]]</f>
        <v>6</v>
      </c>
      <c r="AX79" t="str">
        <f t="shared" si="46"/>
        <v>Neutral</v>
      </c>
      <c r="AY79" s="32">
        <f t="shared" si="47"/>
        <v>3</v>
      </c>
      <c r="AZ79">
        <f>step3_validation[[#This Row],[AI_TRU4]]</f>
        <v>7</v>
      </c>
      <c r="BA79" t="str">
        <f t="shared" si="48"/>
        <v>Neutral</v>
      </c>
      <c r="BB79">
        <f>survey_responses[[#This Row],[Tôi thấy Nhà nước đã giải thích rõ ràng, minh bạch về lý do và mục tiêu của việc sửa đổi thuế lần này. - HUMAN-TRU4]]</f>
        <v>6</v>
      </c>
      <c r="BC79" t="str">
        <f t="shared" si="49"/>
        <v>Neutral</v>
      </c>
      <c r="BD79" s="32">
        <f t="shared" si="50"/>
        <v>1</v>
      </c>
      <c r="BE79">
        <f>step3_validation[[#This Row],[AI_OUT1]]</f>
        <v>9</v>
      </c>
      <c r="BF79" t="str">
        <f t="shared" si="51"/>
        <v>Support</v>
      </c>
      <c r="BG79">
        <f>survey_responses[[#This Row],[Sau khi xem xét các quyền lợi và nghĩa vụ, bạn có ủng hộ và tuân thủ chính sách mới hiện nay? - HUMAN-OUT1]]</f>
        <v>7</v>
      </c>
      <c r="BH79" t="str">
        <f t="shared" si="52"/>
        <v>Neutral</v>
      </c>
      <c r="BI79" s="32">
        <f t="shared" si="53"/>
        <v>2</v>
      </c>
    </row>
    <row r="80" spans="1:61" x14ac:dyDescent="0.45">
      <c r="A80" s="30">
        <f>step3_validation[[#This Row],[Persona_ID]]</f>
        <v>79</v>
      </c>
      <c r="B80" s="31">
        <f>step3_validation[[#This Row],[Used_Seed]]</f>
        <v>2104</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15.293782501370558</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7</v>
      </c>
      <c r="R80" t="str">
        <f t="shared" si="27"/>
        <v>Neutral</v>
      </c>
      <c r="S80">
        <f>survey_responses[[#This Row],[Tôi tin rằng với các quy định quản lý thuế hiện nay, hành vi gian lận hoặc trốn thuế sẽ dễ dàng bị phát hiện và xử lý nghiêm. - HUMAN-ENF1]]</f>
        <v>6</v>
      </c>
      <c r="T80" t="str">
        <f t="shared" si="28"/>
        <v>Neutral</v>
      </c>
      <c r="U80" s="32">
        <f t="shared" si="29"/>
        <v>1</v>
      </c>
      <c r="V80">
        <f>step3_validation[[#This Row],[AI_ENF2]]</f>
        <v>8</v>
      </c>
      <c r="W80" t="str">
        <f t="shared" si="30"/>
        <v>Support</v>
      </c>
      <c r="X80">
        <f>survey_responses[[#This Row],[Tôi tin rằng Nhà nước, cơ quan thuế có đủ khả năng và công nghệ để phát hiện, xử lý nghiêm các hành vi trốn thuế. - HUMAN-ENF2]]</f>
        <v>2</v>
      </c>
      <c r="Y80" t="str">
        <f t="shared" si="31"/>
        <v>Oppose</v>
      </c>
      <c r="Z80" s="32">
        <f t="shared" si="32"/>
        <v>6</v>
      </c>
      <c r="AA80">
        <f>step3_validation[[#This Row],[AI_FAC1]]</f>
        <v>9</v>
      </c>
      <c r="AB80" t="str">
        <f t="shared" si="33"/>
        <v>Support</v>
      </c>
      <c r="AC80">
        <f>survey_responses[[#This Row],[Các thủ tục khai báo thuế VÀ/HOẶC quy trình làm việc với cơ quan thuế đơn giản, tiện lợi, nhanh chóng hơn so với trước đây. - HUMAN-FAC1]]</f>
        <v>3</v>
      </c>
      <c r="AD80" t="str">
        <f t="shared" si="34"/>
        <v>Oppose</v>
      </c>
      <c r="AE80" s="32">
        <f t="shared" si="35"/>
        <v>6</v>
      </c>
      <c r="AF80">
        <f>step3_validation[[#This Row],[AI_FAC2]]</f>
        <v>9</v>
      </c>
      <c r="AG80" t="str">
        <f t="shared" si="36"/>
        <v>Support</v>
      </c>
      <c r="AH80">
        <f>survey_responses[[#This Row],[So với trước đây, tôi thấy cách tính thuế và các bậc thuế trong phương án mới đơn giản, dễ hiểu và dễ thực hiện hơn. - HUMAN-FAC2]]</f>
        <v>2</v>
      </c>
      <c r="AI80" t="str">
        <f t="shared" si="37"/>
        <v>Oppose</v>
      </c>
      <c r="AJ80" s="32">
        <f t="shared" si="38"/>
        <v>7</v>
      </c>
      <c r="AK80">
        <f>step3_validation[[#This Row],[AI_TRU1]]</f>
        <v>7</v>
      </c>
      <c r="AL80" t="str">
        <f t="shared" si="39"/>
        <v>Neutral</v>
      </c>
      <c r="AM80">
        <f>survey_responses[[#This Row],[Tôi tin rằng Nhà nước, cơ quan thuế sẽ thực thi chính sách mới một cách khách quan, công tâm và đối xử bình đẳng với mọi người nộp thuế.  - HUMAN-TRU1]]</f>
        <v>3</v>
      </c>
      <c r="AN80" t="str">
        <f t="shared" si="40"/>
        <v>Oppose</v>
      </c>
      <c r="AO80" s="32">
        <f t="shared" si="41"/>
        <v>4</v>
      </c>
      <c r="AP80">
        <f>step3_validation[[#This Row],[AI_TRU2]]</f>
        <v>8</v>
      </c>
      <c r="AQ80" t="str">
        <f t="shared" si="42"/>
        <v>Support</v>
      </c>
      <c r="AR80">
        <f>survey_responses[[#This Row],[Tôi thấy mức thuế tôi phải đóng theo phương án mới là công bằng (người thu nhập như tôi đóng mức này là hợp lý). - HUMAN-TRU2]]</f>
        <v>7</v>
      </c>
      <c r="AS80" t="str">
        <f t="shared" si="43"/>
        <v>Neutral</v>
      </c>
      <c r="AT80" s="32">
        <f t="shared" si="44"/>
        <v>1</v>
      </c>
      <c r="AU80">
        <f>step3_validation[[#This Row],[AI_TRU3]]</f>
        <v>6</v>
      </c>
      <c r="AV80" t="str">
        <f t="shared" si="45"/>
        <v>Neutral</v>
      </c>
      <c r="AW80">
        <f>survey_responses[[#This Row],[Tôi tin tưởng số tiền thuế tôi đóng sẽ được Nhà nước sử dụng hiệu quả để cải thiện dịch vụ công (y tế, đường xá...). - HUMAN-TRU3]]</f>
        <v>5</v>
      </c>
      <c r="AX80" t="str">
        <f t="shared" si="46"/>
        <v>Neutral</v>
      </c>
      <c r="AY80" s="32">
        <f t="shared" si="47"/>
        <v>1</v>
      </c>
      <c r="AZ80">
        <f>step3_validation[[#This Row],[AI_TRU4]]</f>
        <v>8</v>
      </c>
      <c r="BA80" t="str">
        <f t="shared" si="48"/>
        <v>Support</v>
      </c>
      <c r="BB80">
        <f>survey_responses[[#This Row],[Tôi thấy Nhà nước đã giải thích rõ ràng, minh bạch về lý do và mục tiêu của việc sửa đổi thuế lần này. - HUMAN-TRU4]]</f>
        <v>5</v>
      </c>
      <c r="BC80" t="str">
        <f t="shared" si="49"/>
        <v>Neutral</v>
      </c>
      <c r="BD80" s="32">
        <f t="shared" si="50"/>
        <v>3</v>
      </c>
      <c r="BE80">
        <f>step3_validation[[#This Row],[AI_OUT1]]</f>
        <v>9</v>
      </c>
      <c r="BF80" t="str">
        <f t="shared" si="51"/>
        <v>Support</v>
      </c>
      <c r="BG80">
        <f>survey_responses[[#This Row],[Sau khi xem xét các quyền lợi và nghĩa vụ, bạn có ủng hộ và tuân thủ chính sách mới hiện nay? - HUMAN-OUT1]]</f>
        <v>7</v>
      </c>
      <c r="BH80" t="str">
        <f t="shared" si="52"/>
        <v>Neutral</v>
      </c>
      <c r="BI80" s="32">
        <f t="shared" si="53"/>
        <v>2</v>
      </c>
    </row>
    <row r="81" spans="1:61" x14ac:dyDescent="0.45">
      <c r="A81" s="30">
        <f>step3_validation[[#This Row],[Persona_ID]]</f>
        <v>80</v>
      </c>
      <c r="B81" s="31">
        <f>step3_validation[[#This Row],[Used_Seed]]</f>
        <v>2105</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16.660673825493227</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8</v>
      </c>
      <c r="R81" t="str">
        <f t="shared" si="27"/>
        <v>Support</v>
      </c>
      <c r="S81">
        <f>survey_responses[[#This Row],[Tôi tin rằng với các quy định quản lý thuế hiện nay, hành vi gian lận hoặc trốn thuế sẽ dễ dàng bị phát hiện và xử lý nghiêm. - HUMAN-ENF1]]</f>
        <v>8</v>
      </c>
      <c r="T81" t="str">
        <f t="shared" si="28"/>
        <v>Support</v>
      </c>
      <c r="U81" s="32">
        <f t="shared" si="29"/>
        <v>0</v>
      </c>
      <c r="V81">
        <f>step3_validation[[#This Row],[AI_ENF2]]</f>
        <v>9</v>
      </c>
      <c r="W81" t="str">
        <f t="shared" si="30"/>
        <v>Support</v>
      </c>
      <c r="X81">
        <f>survey_responses[[#This Row],[Tôi tin rằng Nhà nước, cơ quan thuế có đủ khả năng và công nghệ để phát hiện, xử lý nghiêm các hành vi trốn thuế. - HUMAN-ENF2]]</f>
        <v>8</v>
      </c>
      <c r="Y81" t="str">
        <f t="shared" si="31"/>
        <v>Support</v>
      </c>
      <c r="Z81" s="32">
        <f t="shared" si="32"/>
        <v>1</v>
      </c>
      <c r="AA81">
        <f>step3_validation[[#This Row],[AI_FAC1]]</f>
        <v>7</v>
      </c>
      <c r="AB81" t="str">
        <f t="shared" si="33"/>
        <v>Neutral</v>
      </c>
      <c r="AC81">
        <f>survey_responses[[#This Row],[Các thủ tục khai báo thuế VÀ/HOẶC quy trình làm việc với cơ quan thuế đơn giản, tiện lợi, nhanh chóng hơn so với trước đây. - HUMAN-FAC1]]</f>
        <v>8</v>
      </c>
      <c r="AD81" t="str">
        <f t="shared" si="34"/>
        <v>Support</v>
      </c>
      <c r="AE81" s="32">
        <f t="shared" si="35"/>
        <v>1</v>
      </c>
      <c r="AF81">
        <f>step3_validation[[#This Row],[AI_FAC2]]</f>
        <v>9</v>
      </c>
      <c r="AG81" t="str">
        <f t="shared" si="36"/>
        <v>Support</v>
      </c>
      <c r="AH81">
        <f>survey_responses[[#This Row],[So với trước đây, tôi thấy cách tính thuế và các bậc thuế trong phương án mới đơn giản, dễ hiểu và dễ thực hiện hơn. - HUMAN-FAC2]]</f>
        <v>8</v>
      </c>
      <c r="AI81" t="str">
        <f t="shared" si="37"/>
        <v>Support</v>
      </c>
      <c r="AJ81" s="32">
        <f t="shared" si="38"/>
        <v>1</v>
      </c>
      <c r="AK81">
        <f>step3_validation[[#This Row],[AI_TRU1]]</f>
        <v>8</v>
      </c>
      <c r="AL81" t="str">
        <f t="shared" si="39"/>
        <v>Support</v>
      </c>
      <c r="AM81">
        <f>survey_responses[[#This Row],[Tôi tin rằng Nhà nước, cơ quan thuế sẽ thực thi chính sách mới một cách khách quan, công tâm và đối xử bình đẳng với mọi người nộp thuế.  - HUMAN-TRU1]]</f>
        <v>8</v>
      </c>
      <c r="AN81" t="str">
        <f t="shared" si="40"/>
        <v>Support</v>
      </c>
      <c r="AO81" s="32">
        <f t="shared" si="41"/>
        <v>0</v>
      </c>
      <c r="AP81">
        <f>step3_validation[[#This Row],[AI_TRU2]]</f>
        <v>9</v>
      </c>
      <c r="AQ81" t="str">
        <f t="shared" si="42"/>
        <v>Support</v>
      </c>
      <c r="AR81">
        <f>survey_responses[[#This Row],[Tôi thấy mức thuế tôi phải đóng theo phương án mới là công bằng (người thu nhập như tôi đóng mức này là hợp lý). - HUMAN-TRU2]]</f>
        <v>8</v>
      </c>
      <c r="AS81" t="str">
        <f t="shared" si="43"/>
        <v>Support</v>
      </c>
      <c r="AT81" s="32">
        <f t="shared" si="44"/>
        <v>1</v>
      </c>
      <c r="AU81">
        <f>step3_validation[[#This Row],[AI_TRU3]]</f>
        <v>8</v>
      </c>
      <c r="AV81" t="str">
        <f t="shared" si="45"/>
        <v>Support</v>
      </c>
      <c r="AW81">
        <f>survey_responses[[#This Row],[Tôi tin tưởng số tiền thuế tôi đóng sẽ được Nhà nước sử dụng hiệu quả để cải thiện dịch vụ công (y tế, đường xá...). - HUMAN-TRU3]]</f>
        <v>8</v>
      </c>
      <c r="AX81" t="str">
        <f t="shared" si="46"/>
        <v>Support</v>
      </c>
      <c r="AY81" s="32">
        <f t="shared" si="47"/>
        <v>0</v>
      </c>
      <c r="AZ81">
        <f>step3_validation[[#This Row],[AI_TRU4]]</f>
        <v>7</v>
      </c>
      <c r="BA81" t="str">
        <f t="shared" si="48"/>
        <v>Neutral</v>
      </c>
      <c r="BB81">
        <f>survey_responses[[#This Row],[Tôi thấy Nhà nước đã giải thích rõ ràng, minh bạch về lý do và mục tiêu của việc sửa đổi thuế lần này. - HUMAN-TRU4]]</f>
        <v>8</v>
      </c>
      <c r="BC81" t="str">
        <f t="shared" si="49"/>
        <v>Support</v>
      </c>
      <c r="BD81" s="32">
        <f t="shared" si="50"/>
        <v>1</v>
      </c>
      <c r="BE81">
        <f>step3_validation[[#This Row],[AI_OUT1]]</f>
        <v>9</v>
      </c>
      <c r="BF81" t="str">
        <f t="shared" si="51"/>
        <v>Support</v>
      </c>
      <c r="BG81">
        <f>survey_responses[[#This Row],[Sau khi xem xét các quyền lợi và nghĩa vụ, bạn có ủng hộ và tuân thủ chính sách mới hiện nay? - HUMAN-OUT1]]</f>
        <v>8</v>
      </c>
      <c r="BH81" t="str">
        <f t="shared" si="52"/>
        <v>Support</v>
      </c>
      <c r="BI81" s="32">
        <f t="shared" si="53"/>
        <v>1</v>
      </c>
    </row>
    <row r="82" spans="1:61" x14ac:dyDescent="0.45">
      <c r="A82" s="30">
        <f>step3_validation[[#This Row],[Persona_ID]]</f>
        <v>81</v>
      </c>
      <c r="B82" s="31">
        <f>step3_validation[[#This Row],[Used_Seed]]</f>
        <v>2106</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5</v>
      </c>
      <c r="R82" t="str">
        <f t="shared" si="27"/>
        <v>Neutral</v>
      </c>
      <c r="S82">
        <f>survey_responses[[#This Row],[Tôi tin rằng với các quy định quản lý thuế hiện nay, hành vi gian lận hoặc trốn thuế sẽ dễ dàng bị phát hiện và xử lý nghiêm. - HUMAN-ENF1]]</f>
        <v>7</v>
      </c>
      <c r="T82" t="str">
        <f t="shared" si="28"/>
        <v>Neutral</v>
      </c>
      <c r="U82" s="32">
        <f t="shared" si="29"/>
        <v>2</v>
      </c>
      <c r="V82">
        <f>step3_validation[[#This Row],[AI_ENF2]]</f>
        <v>6</v>
      </c>
      <c r="W82" t="str">
        <f t="shared" si="30"/>
        <v>Neutral</v>
      </c>
      <c r="X82">
        <f>survey_responses[[#This Row],[Tôi tin rằng Nhà nước, cơ quan thuế có đủ khả năng và công nghệ để phát hiện, xử lý nghiêm các hành vi trốn thuế. - HUMAN-ENF2]]</f>
        <v>7</v>
      </c>
      <c r="Y82" t="str">
        <f t="shared" si="31"/>
        <v>Neutral</v>
      </c>
      <c r="Z82" s="32">
        <f t="shared" si="32"/>
        <v>1</v>
      </c>
      <c r="AA82">
        <f>step3_validation[[#This Row],[AI_FAC1]]</f>
        <v>8</v>
      </c>
      <c r="AB82" t="str">
        <f t="shared" si="33"/>
        <v>Support</v>
      </c>
      <c r="AC82">
        <f>survey_responses[[#This Row],[Các thủ tục khai báo thuế VÀ/HOẶC quy trình làm việc với cơ quan thuế đơn giản, tiện lợi, nhanh chóng hơn so với trước đây. - HUMAN-FAC1]]</f>
        <v>5</v>
      </c>
      <c r="AD82" t="str">
        <f t="shared" si="34"/>
        <v>Neutral</v>
      </c>
      <c r="AE82" s="32">
        <f t="shared" si="35"/>
        <v>3</v>
      </c>
      <c r="AF82">
        <f>step3_validation[[#This Row],[AI_FAC2]]</f>
        <v>7</v>
      </c>
      <c r="AG82" t="str">
        <f t="shared" si="36"/>
        <v>Neutral</v>
      </c>
      <c r="AH82">
        <f>survey_responses[[#This Row],[So với trước đây, tôi thấy cách tính thuế và các bậc thuế trong phương án mới đơn giản, dễ hiểu và dễ thực hiện hơn. - HUMAN-FAC2]]</f>
        <v>5</v>
      </c>
      <c r="AI82" t="str">
        <f t="shared" si="37"/>
        <v>Neutral</v>
      </c>
      <c r="AJ82" s="32">
        <f t="shared" si="38"/>
        <v>2</v>
      </c>
      <c r="AK82">
        <f>step3_validation[[#This Row],[AI_TRU1]]</f>
        <v>6</v>
      </c>
      <c r="AL82" t="str">
        <f t="shared" si="39"/>
        <v>Neutral</v>
      </c>
      <c r="AM82">
        <f>survey_responses[[#This Row],[Tôi tin rằng Nhà nước, cơ quan thuế sẽ thực thi chính sách mới một cách khách quan, công tâm và đối xử bình đẳng với mọi người nộp thuế.  - HUMAN-TRU1]]</f>
        <v>6</v>
      </c>
      <c r="AN82" t="str">
        <f t="shared" si="40"/>
        <v>Neutral</v>
      </c>
      <c r="AO82" s="32">
        <f t="shared" si="41"/>
        <v>0</v>
      </c>
      <c r="AP82">
        <f>step3_validation[[#This Row],[AI_TRU2]]</f>
        <v>7</v>
      </c>
      <c r="AQ82" t="str">
        <f t="shared" si="42"/>
        <v>Neutral</v>
      </c>
      <c r="AR82">
        <f>survey_responses[[#This Row],[Tôi thấy mức thuế tôi phải đóng theo phương án mới là công bằng (người thu nhập như tôi đóng mức này là hợp lý). - HUMAN-TRU2]]</f>
        <v>5</v>
      </c>
      <c r="AS82" t="str">
        <f t="shared" si="43"/>
        <v>Neutral</v>
      </c>
      <c r="AT82" s="32">
        <f t="shared" si="44"/>
        <v>2</v>
      </c>
      <c r="AU82">
        <f>step3_validation[[#This Row],[AI_TRU3]]</f>
        <v>6</v>
      </c>
      <c r="AV82" t="str">
        <f t="shared" si="45"/>
        <v>Neutral</v>
      </c>
      <c r="AW82">
        <f>survey_responses[[#This Row],[Tôi tin tưởng số tiền thuế tôi đóng sẽ được Nhà nước sử dụng hiệu quả để cải thiện dịch vụ công (y tế, đường xá...). - HUMAN-TRU3]]</f>
        <v>8</v>
      </c>
      <c r="AX82" t="str">
        <f t="shared" si="46"/>
        <v>Support</v>
      </c>
      <c r="AY82" s="32">
        <f t="shared" si="47"/>
        <v>2</v>
      </c>
      <c r="AZ82">
        <f>step3_validation[[#This Row],[AI_TRU4]]</f>
        <v>7</v>
      </c>
      <c r="BA82" t="str">
        <f t="shared" si="48"/>
        <v>Neutral</v>
      </c>
      <c r="BB82">
        <f>survey_responses[[#This Row],[Tôi thấy Nhà nước đã giải thích rõ ràng, minh bạch về lý do và mục tiêu của việc sửa đổi thuế lần này. - HUMAN-TRU4]]</f>
        <v>6</v>
      </c>
      <c r="BC82" t="str">
        <f t="shared" si="49"/>
        <v>Neutral</v>
      </c>
      <c r="BD82" s="32">
        <f t="shared" si="50"/>
        <v>1</v>
      </c>
      <c r="BE82">
        <f>step3_validation[[#This Row],[AI_OUT1]]</f>
        <v>6</v>
      </c>
      <c r="BF82" t="str">
        <f t="shared" si="51"/>
        <v>Neutral</v>
      </c>
      <c r="BG82">
        <f>survey_responses[[#This Row],[Sau khi xem xét các quyền lợi và nghĩa vụ, bạn có ủng hộ và tuân thủ chính sách mới hiện nay? - HUMAN-OUT1]]</f>
        <v>8</v>
      </c>
      <c r="BH82" t="str">
        <f t="shared" si="52"/>
        <v>Support</v>
      </c>
      <c r="BI82" s="32">
        <f t="shared" si="53"/>
        <v>2</v>
      </c>
    </row>
    <row r="83" spans="1:61" x14ac:dyDescent="0.45">
      <c r="A83" s="30">
        <f>step3_validation[[#This Row],[Persona_ID]]</f>
        <v>82</v>
      </c>
      <c r="B83" s="31">
        <f>step3_validation[[#This Row],[Used_Seed]]</f>
        <v>2107</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13.767324094667719</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7</v>
      </c>
      <c r="R83" t="str">
        <f t="shared" si="27"/>
        <v>Neutral</v>
      </c>
      <c r="S83">
        <f>survey_responses[[#This Row],[Tôi tin rằng với các quy định quản lý thuế hiện nay, hành vi gian lận hoặc trốn thuế sẽ dễ dàng bị phát hiện và xử lý nghiêm. - HUMAN-ENF1]]</f>
        <v>8</v>
      </c>
      <c r="T83" t="str">
        <f t="shared" si="28"/>
        <v>Support</v>
      </c>
      <c r="U83" s="32">
        <f t="shared" si="29"/>
        <v>1</v>
      </c>
      <c r="V83">
        <f>step3_validation[[#This Row],[AI_ENF2]]</f>
        <v>8</v>
      </c>
      <c r="W83" t="str">
        <f t="shared" si="30"/>
        <v>Support</v>
      </c>
      <c r="X83">
        <f>survey_responses[[#This Row],[Tôi tin rằng Nhà nước, cơ quan thuế có đủ khả năng và công nghệ để phát hiện, xử lý nghiêm các hành vi trốn thuế. - HUMAN-ENF2]]</f>
        <v>9</v>
      </c>
      <c r="Y83" t="str">
        <f t="shared" si="31"/>
        <v>Support</v>
      </c>
      <c r="Z83" s="32">
        <f t="shared" si="32"/>
        <v>1</v>
      </c>
      <c r="AA83">
        <f>step3_validation[[#This Row],[AI_FAC1]]</f>
        <v>6</v>
      </c>
      <c r="AB83" t="str">
        <f t="shared" si="33"/>
        <v>Neutral</v>
      </c>
      <c r="AC83">
        <f>survey_responses[[#This Row],[Các thủ tục khai báo thuế VÀ/HOẶC quy trình làm việc với cơ quan thuế đơn giản, tiện lợi, nhanh chóng hơn so với trước đây. - HUMAN-FAC1]]</f>
        <v>5</v>
      </c>
      <c r="AD83" t="str">
        <f t="shared" si="34"/>
        <v>Neutral</v>
      </c>
      <c r="AE83" s="32">
        <f t="shared" si="35"/>
        <v>1</v>
      </c>
      <c r="AF83">
        <f>step3_validation[[#This Row],[AI_FAC2]]</f>
        <v>9</v>
      </c>
      <c r="AG83" t="str">
        <f t="shared" si="36"/>
        <v>Support</v>
      </c>
      <c r="AH83">
        <f>survey_responses[[#This Row],[So với trước đây, tôi thấy cách tính thuế và các bậc thuế trong phương án mới đơn giản, dễ hiểu và dễ thực hiện hơn. - HUMAN-FAC2]]</f>
        <v>5</v>
      </c>
      <c r="AI83" t="str">
        <f t="shared" si="37"/>
        <v>Neutral</v>
      </c>
      <c r="AJ83" s="32">
        <f t="shared" si="38"/>
        <v>4</v>
      </c>
      <c r="AK83">
        <f>step3_validation[[#This Row],[AI_TRU1]]</f>
        <v>7</v>
      </c>
      <c r="AL83" t="str">
        <f t="shared" si="39"/>
        <v>Neutral</v>
      </c>
      <c r="AM83">
        <f>survey_responses[[#This Row],[Tôi tin rằng Nhà nước, cơ quan thuế sẽ thực thi chính sách mới một cách khách quan, công tâm và đối xử bình đẳng với mọi người nộp thuế.  - HUMAN-TRU1]]</f>
        <v>5</v>
      </c>
      <c r="AN83" t="str">
        <f t="shared" si="40"/>
        <v>Neutral</v>
      </c>
      <c r="AO83" s="32">
        <f t="shared" si="41"/>
        <v>2</v>
      </c>
      <c r="AP83">
        <f>step3_validation[[#This Row],[AI_TRU2]]</f>
        <v>9</v>
      </c>
      <c r="AQ83" t="str">
        <f t="shared" si="42"/>
        <v>Support</v>
      </c>
      <c r="AR83">
        <f>survey_responses[[#This Row],[Tôi thấy mức thuế tôi phải đóng theo phương án mới là công bằng (người thu nhập như tôi đóng mức này là hợp lý). - HUMAN-TRU2]]</f>
        <v>5</v>
      </c>
      <c r="AS83" t="str">
        <f t="shared" si="43"/>
        <v>Neutral</v>
      </c>
      <c r="AT83" s="32">
        <f t="shared" si="44"/>
        <v>4</v>
      </c>
      <c r="AU83">
        <f>step3_validation[[#This Row],[AI_TRU3]]</f>
        <v>8</v>
      </c>
      <c r="AV83" t="str">
        <f t="shared" si="45"/>
        <v>Support</v>
      </c>
      <c r="AW83">
        <f>survey_responses[[#This Row],[Tôi tin tưởng số tiền thuế tôi đóng sẽ được Nhà nước sử dụng hiệu quả để cải thiện dịch vụ công (y tế, đường xá...). - HUMAN-TRU3]]</f>
        <v>1</v>
      </c>
      <c r="AX83" t="str">
        <f t="shared" si="46"/>
        <v>Oppose</v>
      </c>
      <c r="AY83" s="32">
        <f t="shared" si="47"/>
        <v>7</v>
      </c>
      <c r="AZ83">
        <f>step3_validation[[#This Row],[AI_TRU4]]</f>
        <v>7</v>
      </c>
      <c r="BA83" t="str">
        <f t="shared" si="48"/>
        <v>Neutral</v>
      </c>
      <c r="BB83">
        <f>survey_responses[[#This Row],[Tôi thấy Nhà nước đã giải thích rõ ràng, minh bạch về lý do và mục tiêu của việc sửa đổi thuế lần này. - HUMAN-TRU4]]</f>
        <v>5</v>
      </c>
      <c r="BC83" t="str">
        <f t="shared" si="49"/>
        <v>Neutral</v>
      </c>
      <c r="BD83" s="32">
        <f t="shared" si="50"/>
        <v>2</v>
      </c>
      <c r="BE83">
        <f>step3_validation[[#This Row],[AI_OUT1]]</f>
        <v>9</v>
      </c>
      <c r="BF83" t="str">
        <f t="shared" si="51"/>
        <v>Support</v>
      </c>
      <c r="BG83">
        <f>survey_responses[[#This Row],[Sau khi xem xét các quyền lợi và nghĩa vụ, bạn có ủng hộ và tuân thủ chính sách mới hiện nay? - HUMAN-OUT1]]</f>
        <v>5</v>
      </c>
      <c r="BH83" t="str">
        <f t="shared" si="52"/>
        <v>Neutral</v>
      </c>
      <c r="BI83" s="32">
        <f t="shared" si="53"/>
        <v>4</v>
      </c>
    </row>
    <row r="84" spans="1:61" x14ac:dyDescent="0.45">
      <c r="A84" s="30">
        <f>step3_validation[[#This Row],[Persona_ID]]</f>
        <v>83</v>
      </c>
      <c r="B84" s="31">
        <f>step3_validation[[#This Row],[Used_Seed]]</f>
        <v>2108</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14.291093238120416</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7</v>
      </c>
      <c r="R84" t="str">
        <f t="shared" si="27"/>
        <v>Neutral</v>
      </c>
      <c r="S84">
        <f>survey_responses[[#This Row],[Tôi tin rằng với các quy định quản lý thuế hiện nay, hành vi gian lận hoặc trốn thuế sẽ dễ dàng bị phát hiện và xử lý nghiêm. - HUMAN-ENF1]]</f>
        <v>10</v>
      </c>
      <c r="T84" t="str">
        <f t="shared" si="28"/>
        <v>Support</v>
      </c>
      <c r="U84" s="32">
        <f t="shared" si="29"/>
        <v>3</v>
      </c>
      <c r="V84">
        <f>step3_validation[[#This Row],[AI_ENF2]]</f>
        <v>7</v>
      </c>
      <c r="W84" t="str">
        <f t="shared" si="30"/>
        <v>Neutral</v>
      </c>
      <c r="X84">
        <f>survey_responses[[#This Row],[Tôi tin rằng Nhà nước, cơ quan thuế có đủ khả năng và công nghệ để phát hiện, xử lý nghiêm các hành vi trốn thuế. - HUMAN-ENF2]]</f>
        <v>8</v>
      </c>
      <c r="Y84" t="str">
        <f t="shared" si="31"/>
        <v>Support</v>
      </c>
      <c r="Z84" s="32">
        <f t="shared" si="32"/>
        <v>1</v>
      </c>
      <c r="AA84">
        <f>step3_validation[[#This Row],[AI_FAC1]]</f>
        <v>8</v>
      </c>
      <c r="AB84" t="str">
        <f t="shared" si="33"/>
        <v>Support</v>
      </c>
      <c r="AC84">
        <f>survey_responses[[#This Row],[Các thủ tục khai báo thuế VÀ/HOẶC quy trình làm việc với cơ quan thuế đơn giản, tiện lợi, nhanh chóng hơn so với trước đây. - HUMAN-FAC1]]</f>
        <v>8</v>
      </c>
      <c r="AD84" t="str">
        <f t="shared" si="34"/>
        <v>Support</v>
      </c>
      <c r="AE84" s="32">
        <f t="shared" si="35"/>
        <v>0</v>
      </c>
      <c r="AF84">
        <f>step3_validation[[#This Row],[AI_FAC2]]</f>
        <v>9</v>
      </c>
      <c r="AG84" t="str">
        <f t="shared" si="36"/>
        <v>Support</v>
      </c>
      <c r="AH84">
        <f>survey_responses[[#This Row],[So với trước đây, tôi thấy cách tính thuế và các bậc thuế trong phương án mới đơn giản, dễ hiểu và dễ thực hiện hơn. - HUMAN-FAC2]]</f>
        <v>7</v>
      </c>
      <c r="AI84" t="str">
        <f t="shared" si="37"/>
        <v>Neutral</v>
      </c>
      <c r="AJ84" s="32">
        <f t="shared" si="38"/>
        <v>2</v>
      </c>
      <c r="AK84">
        <f>step3_validation[[#This Row],[AI_TRU1]]</f>
        <v>8</v>
      </c>
      <c r="AL84" t="str">
        <f t="shared" si="39"/>
        <v>Support</v>
      </c>
      <c r="AM84">
        <f>survey_responses[[#This Row],[Tôi tin rằng Nhà nước, cơ quan thuế sẽ thực thi chính sách mới một cách khách quan, công tâm và đối xử bình đẳng với mọi người nộp thuế.  - HUMAN-TRU1]]</f>
        <v>7</v>
      </c>
      <c r="AN84" t="str">
        <f t="shared" si="40"/>
        <v>Neutral</v>
      </c>
      <c r="AO84" s="32">
        <f t="shared" si="41"/>
        <v>1</v>
      </c>
      <c r="AP84">
        <f>step3_validation[[#This Row],[AI_TRU2]]</f>
        <v>9</v>
      </c>
      <c r="AQ84" t="str">
        <f t="shared" si="42"/>
        <v>Support</v>
      </c>
      <c r="AR84">
        <f>survey_responses[[#This Row],[Tôi thấy mức thuế tôi phải đóng theo phương án mới là công bằng (người thu nhập như tôi đóng mức này là hợp lý). - HUMAN-TRU2]]</f>
        <v>6</v>
      </c>
      <c r="AS84" t="str">
        <f t="shared" si="43"/>
        <v>Neutral</v>
      </c>
      <c r="AT84" s="32">
        <f t="shared" si="44"/>
        <v>3</v>
      </c>
      <c r="AU84">
        <f>step3_validation[[#This Row],[AI_TRU3]]</f>
        <v>8</v>
      </c>
      <c r="AV84" t="str">
        <f t="shared" si="45"/>
        <v>Support</v>
      </c>
      <c r="AW84">
        <f>survey_responses[[#This Row],[Tôi tin tưởng số tiền thuế tôi đóng sẽ được Nhà nước sử dụng hiệu quả để cải thiện dịch vụ công (y tế, đường xá...). - HUMAN-TRU3]]</f>
        <v>7</v>
      </c>
      <c r="AX84" t="str">
        <f t="shared" si="46"/>
        <v>Neutral</v>
      </c>
      <c r="AY84" s="32">
        <f t="shared" si="47"/>
        <v>1</v>
      </c>
      <c r="AZ84">
        <f>step3_validation[[#This Row],[AI_TRU4]]</f>
        <v>7</v>
      </c>
      <c r="BA84" t="str">
        <f t="shared" si="48"/>
        <v>Neutral</v>
      </c>
      <c r="BB84">
        <f>survey_responses[[#This Row],[Tôi thấy Nhà nước đã giải thích rõ ràng, minh bạch về lý do và mục tiêu của việc sửa đổi thuế lần này. - HUMAN-TRU4]]</f>
        <v>6</v>
      </c>
      <c r="BC84" t="str">
        <f t="shared" si="49"/>
        <v>Neutral</v>
      </c>
      <c r="BD84" s="32">
        <f t="shared" si="50"/>
        <v>1</v>
      </c>
      <c r="BE84">
        <f>step3_validation[[#This Row],[AI_OUT1]]</f>
        <v>9</v>
      </c>
      <c r="BF84" t="str">
        <f t="shared" si="51"/>
        <v>Support</v>
      </c>
      <c r="BG84">
        <f>survey_responses[[#This Row],[Sau khi xem xét các quyền lợi và nghĩa vụ, bạn có ủng hộ và tuân thủ chính sách mới hiện nay? - HUMAN-OUT1]]</f>
        <v>8</v>
      </c>
      <c r="BH84" t="str">
        <f t="shared" si="52"/>
        <v>Support</v>
      </c>
      <c r="BI84" s="32">
        <f t="shared" si="53"/>
        <v>1</v>
      </c>
    </row>
    <row r="85" spans="1:61" x14ac:dyDescent="0.45">
      <c r="A85" s="30">
        <f>step3_validation[[#This Row],[Persona_ID]]</f>
        <v>84</v>
      </c>
      <c r="B85" s="31">
        <f>step3_validation[[#This Row],[Used_Seed]]</f>
        <v>2109</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13.146205596577964</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9</v>
      </c>
      <c r="R85" t="str">
        <f t="shared" si="27"/>
        <v>Support</v>
      </c>
      <c r="S85">
        <f>survey_responses[[#This Row],[Tôi tin rằng với các quy định quản lý thuế hiện nay, hành vi gian lận hoặc trốn thuế sẽ dễ dàng bị phát hiện và xử lý nghiêm. - HUMAN-ENF1]]</f>
        <v>6</v>
      </c>
      <c r="T85" t="str">
        <f t="shared" si="28"/>
        <v>Neutral</v>
      </c>
      <c r="U85" s="32">
        <f t="shared" si="29"/>
        <v>3</v>
      </c>
      <c r="V85">
        <f>step3_validation[[#This Row],[AI_ENF2]]</f>
        <v>6</v>
      </c>
      <c r="W85" t="str">
        <f t="shared" si="30"/>
        <v>Neutral</v>
      </c>
      <c r="X85">
        <f>survey_responses[[#This Row],[Tôi tin rằng Nhà nước, cơ quan thuế có đủ khả năng và công nghệ để phát hiện, xử lý nghiêm các hành vi trốn thuế. - HUMAN-ENF2]]</f>
        <v>7</v>
      </c>
      <c r="Y85" t="str">
        <f t="shared" si="31"/>
        <v>Neutral</v>
      </c>
      <c r="Z85" s="32">
        <f t="shared" si="32"/>
        <v>1</v>
      </c>
      <c r="AA85">
        <f>step3_validation[[#This Row],[AI_FAC1]]</f>
        <v>8</v>
      </c>
      <c r="AB85" t="str">
        <f t="shared" si="33"/>
        <v>Support</v>
      </c>
      <c r="AC85">
        <f>survey_responses[[#This Row],[Các thủ tục khai báo thuế VÀ/HOẶC quy trình làm việc với cơ quan thuế đơn giản, tiện lợi, nhanh chóng hơn so với trước đây. - HUMAN-FAC1]]</f>
        <v>5</v>
      </c>
      <c r="AD85" t="str">
        <f t="shared" si="34"/>
        <v>Neutral</v>
      </c>
      <c r="AE85" s="32">
        <f t="shared" si="35"/>
        <v>3</v>
      </c>
      <c r="AF85">
        <f>step3_validation[[#This Row],[AI_FAC2]]</f>
        <v>9</v>
      </c>
      <c r="AG85" t="str">
        <f t="shared" si="36"/>
        <v>Support</v>
      </c>
      <c r="AH85">
        <f>survey_responses[[#This Row],[So với trước đây, tôi thấy cách tính thuế và các bậc thuế trong phương án mới đơn giản, dễ hiểu và dễ thực hiện hơn. - HUMAN-FAC2]]</f>
        <v>5</v>
      </c>
      <c r="AI85" t="str">
        <f t="shared" si="37"/>
        <v>Neutral</v>
      </c>
      <c r="AJ85" s="32">
        <f t="shared" si="38"/>
        <v>4</v>
      </c>
      <c r="AK85">
        <f>step3_validation[[#This Row],[AI_TRU1]]</f>
        <v>7</v>
      </c>
      <c r="AL85" t="str">
        <f t="shared" si="39"/>
        <v>Neutral</v>
      </c>
      <c r="AM85">
        <f>survey_responses[[#This Row],[Tôi tin rằng Nhà nước, cơ quan thuế sẽ thực thi chính sách mới một cách khách quan, công tâm và đối xử bình đẳng với mọi người nộp thuế.  - HUMAN-TRU1]]</f>
        <v>5</v>
      </c>
      <c r="AN85" t="str">
        <f t="shared" si="40"/>
        <v>Neutral</v>
      </c>
      <c r="AO85" s="32">
        <f t="shared" si="41"/>
        <v>2</v>
      </c>
      <c r="AP85">
        <f>step3_validation[[#This Row],[AI_TRU2]]</f>
        <v>8</v>
      </c>
      <c r="AQ85" t="str">
        <f t="shared" si="42"/>
        <v>Support</v>
      </c>
      <c r="AR85">
        <f>survey_responses[[#This Row],[Tôi thấy mức thuế tôi phải đóng theo phương án mới là công bằng (người thu nhập như tôi đóng mức này là hợp lý). - HUMAN-TRU2]]</f>
        <v>5</v>
      </c>
      <c r="AS85" t="str">
        <f t="shared" si="43"/>
        <v>Neutral</v>
      </c>
      <c r="AT85" s="32">
        <f t="shared" si="44"/>
        <v>3</v>
      </c>
      <c r="AU85">
        <f>step3_validation[[#This Row],[AI_TRU3]]</f>
        <v>6</v>
      </c>
      <c r="AV85" t="str">
        <f t="shared" si="45"/>
        <v>Neutral</v>
      </c>
      <c r="AW85">
        <f>survey_responses[[#This Row],[Tôi tin tưởng số tiền thuế tôi đóng sẽ được Nhà nước sử dụng hiệu quả để cải thiện dịch vụ công (y tế, đường xá...). - HUMAN-TRU3]]</f>
        <v>5</v>
      </c>
      <c r="AX85" t="str">
        <f t="shared" si="46"/>
        <v>Neutral</v>
      </c>
      <c r="AY85" s="32">
        <f t="shared" si="47"/>
        <v>1</v>
      </c>
      <c r="AZ85">
        <f>step3_validation[[#This Row],[AI_TRU4]]</f>
        <v>8</v>
      </c>
      <c r="BA85" t="str">
        <f t="shared" si="48"/>
        <v>Support</v>
      </c>
      <c r="BB85">
        <f>survey_responses[[#This Row],[Tôi thấy Nhà nước đã giải thích rõ ràng, minh bạch về lý do và mục tiêu của việc sửa đổi thuế lần này. - HUMAN-TRU4]]</f>
        <v>5</v>
      </c>
      <c r="BC85" t="str">
        <f t="shared" si="49"/>
        <v>Neutral</v>
      </c>
      <c r="BD85" s="32">
        <f t="shared" si="50"/>
        <v>3</v>
      </c>
      <c r="BE85">
        <f>step3_validation[[#This Row],[AI_OUT1]]</f>
        <v>9</v>
      </c>
      <c r="BF85" t="str">
        <f t="shared" si="51"/>
        <v>Support</v>
      </c>
      <c r="BG85">
        <f>survey_responses[[#This Row],[Sau khi xem xét các quyền lợi và nghĩa vụ, bạn có ủng hộ và tuân thủ chính sách mới hiện nay? - HUMAN-OUT1]]</f>
        <v>5</v>
      </c>
      <c r="BH85" t="str">
        <f t="shared" si="52"/>
        <v>Neutral</v>
      </c>
      <c r="BI85" s="32">
        <f t="shared" si="53"/>
        <v>4</v>
      </c>
    </row>
    <row r="86" spans="1:61" x14ac:dyDescent="0.45">
      <c r="A86" s="30">
        <f>step3_validation[[#This Row],[Persona_ID]]</f>
        <v>85</v>
      </c>
      <c r="B86" s="31">
        <f>step3_validation[[#This Row],[Used_Seed]]</f>
        <v>2110</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14.285271216828137</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7</v>
      </c>
      <c r="R86" t="str">
        <f t="shared" si="27"/>
        <v>Neutral</v>
      </c>
      <c r="S86">
        <f>survey_responses[[#This Row],[Tôi tin rằng với các quy định quản lý thuế hiện nay, hành vi gian lận hoặc trốn thuế sẽ dễ dàng bị phát hiện và xử lý nghiêm. - HUMAN-ENF1]]</f>
        <v>9</v>
      </c>
      <c r="T86" t="str">
        <f t="shared" si="28"/>
        <v>Support</v>
      </c>
      <c r="U86" s="32">
        <f t="shared" si="29"/>
        <v>2</v>
      </c>
      <c r="V86">
        <f>step3_validation[[#This Row],[AI_ENF2]]</f>
        <v>8</v>
      </c>
      <c r="W86" t="str">
        <f t="shared" si="30"/>
        <v>Support</v>
      </c>
      <c r="X86">
        <f>survey_responses[[#This Row],[Tôi tin rằng Nhà nước, cơ quan thuế có đủ khả năng và công nghệ để phát hiện, xử lý nghiêm các hành vi trốn thuế. - HUMAN-ENF2]]</f>
        <v>9</v>
      </c>
      <c r="Y86" t="str">
        <f t="shared" si="31"/>
        <v>Support</v>
      </c>
      <c r="Z86" s="32">
        <f t="shared" si="32"/>
        <v>1</v>
      </c>
      <c r="AA86">
        <f>step3_validation[[#This Row],[AI_FAC1]]</f>
        <v>6</v>
      </c>
      <c r="AB86" t="str">
        <f t="shared" si="33"/>
        <v>Neutral</v>
      </c>
      <c r="AC86">
        <f>survey_responses[[#This Row],[Các thủ tục khai báo thuế VÀ/HOẶC quy trình làm việc với cơ quan thuế đơn giản, tiện lợi, nhanh chóng hơn so với trước đây. - HUMAN-FAC1]]</f>
        <v>8</v>
      </c>
      <c r="AD86" t="str">
        <f t="shared" si="34"/>
        <v>Support</v>
      </c>
      <c r="AE86" s="32">
        <f t="shared" si="35"/>
        <v>2</v>
      </c>
      <c r="AF86">
        <f>step3_validation[[#This Row],[AI_FAC2]]</f>
        <v>9</v>
      </c>
      <c r="AG86" t="str">
        <f t="shared" si="36"/>
        <v>Support</v>
      </c>
      <c r="AH86">
        <f>survey_responses[[#This Row],[So với trước đây, tôi thấy cách tính thuế và các bậc thuế trong phương án mới đơn giản, dễ hiểu và dễ thực hiện hơn. - HUMAN-FAC2]]</f>
        <v>9</v>
      </c>
      <c r="AI86" t="str">
        <f t="shared" si="37"/>
        <v>Support</v>
      </c>
      <c r="AJ86" s="32">
        <f t="shared" si="38"/>
        <v>0</v>
      </c>
      <c r="AK86">
        <f>step3_validation[[#This Row],[AI_TRU1]]</f>
        <v>7</v>
      </c>
      <c r="AL86" t="str">
        <f t="shared" si="39"/>
        <v>Neutral</v>
      </c>
      <c r="AM86">
        <f>survey_responses[[#This Row],[Tôi tin rằng Nhà nước, cơ quan thuế sẽ thực thi chính sách mới một cách khách quan, công tâm và đối xử bình đẳng với mọi người nộp thuế.  - HUMAN-TRU1]]</f>
        <v>9</v>
      </c>
      <c r="AN86" t="str">
        <f t="shared" si="40"/>
        <v>Support</v>
      </c>
      <c r="AO86" s="32">
        <f t="shared" si="41"/>
        <v>2</v>
      </c>
      <c r="AP86">
        <f>step3_validation[[#This Row],[AI_TRU2]]</f>
        <v>9</v>
      </c>
      <c r="AQ86" t="str">
        <f t="shared" si="42"/>
        <v>Support</v>
      </c>
      <c r="AR86">
        <f>survey_responses[[#This Row],[Tôi thấy mức thuế tôi phải đóng theo phương án mới là công bằng (người thu nhập như tôi đóng mức này là hợp lý). - HUMAN-TRU2]]</f>
        <v>9</v>
      </c>
      <c r="AS86" t="str">
        <f t="shared" si="43"/>
        <v>Support</v>
      </c>
      <c r="AT86" s="32">
        <f t="shared" si="44"/>
        <v>0</v>
      </c>
      <c r="AU86">
        <f>step3_validation[[#This Row],[AI_TRU3]]</f>
        <v>7</v>
      </c>
      <c r="AV86" t="str">
        <f t="shared" si="45"/>
        <v>Neutral</v>
      </c>
      <c r="AW86">
        <f>survey_responses[[#This Row],[Tôi tin tưởng số tiền thuế tôi đóng sẽ được Nhà nước sử dụng hiệu quả để cải thiện dịch vụ công (y tế, đường xá...). - HUMAN-TRU3]]</f>
        <v>7</v>
      </c>
      <c r="AX86" t="str">
        <f t="shared" si="46"/>
        <v>Neutral</v>
      </c>
      <c r="AY86" s="32">
        <f t="shared" si="47"/>
        <v>0</v>
      </c>
      <c r="AZ86">
        <f>step3_validation[[#This Row],[AI_TRU4]]</f>
        <v>8</v>
      </c>
      <c r="BA86" t="str">
        <f t="shared" si="48"/>
        <v>Support</v>
      </c>
      <c r="BB86">
        <f>survey_responses[[#This Row],[Tôi thấy Nhà nước đã giải thích rõ ràng, minh bạch về lý do và mục tiêu của việc sửa đổi thuế lần này. - HUMAN-TRU4]]</f>
        <v>8</v>
      </c>
      <c r="BC86" t="str">
        <f t="shared" si="49"/>
        <v>Support</v>
      </c>
      <c r="BD86" s="32">
        <f t="shared" si="50"/>
        <v>0</v>
      </c>
      <c r="BE86">
        <f>step3_validation[[#This Row],[AI_OUT1]]</f>
        <v>9</v>
      </c>
      <c r="BF86" t="str">
        <f t="shared" si="51"/>
        <v>Support</v>
      </c>
      <c r="BG86">
        <f>survey_responses[[#This Row],[Sau khi xem xét các quyền lợi và nghĩa vụ, bạn có ủng hộ và tuân thủ chính sách mới hiện nay? - HUMAN-OUT1]]</f>
        <v>8</v>
      </c>
      <c r="BH86" t="str">
        <f t="shared" si="52"/>
        <v>Support</v>
      </c>
      <c r="BI86" s="32">
        <f t="shared" si="53"/>
        <v>1</v>
      </c>
    </row>
    <row r="87" spans="1:61" x14ac:dyDescent="0.45">
      <c r="A87" s="30">
        <f>step3_validation[[#This Row],[Persona_ID]]</f>
        <v>86</v>
      </c>
      <c r="B87" s="31">
        <f>step3_validation[[#This Row],[Used_Seed]]</f>
        <v>2111</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15.353809289270757</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6</v>
      </c>
      <c r="R87" t="str">
        <f t="shared" si="27"/>
        <v>Neutral</v>
      </c>
      <c r="S87">
        <f>survey_responses[[#This Row],[Tôi tin rằng với các quy định quản lý thuế hiện nay, hành vi gian lận hoặc trốn thuế sẽ dễ dàng bị phát hiện và xử lý nghiêm. - HUMAN-ENF1]]</f>
        <v>5</v>
      </c>
      <c r="T87" t="str">
        <f t="shared" si="28"/>
        <v>Neutral</v>
      </c>
      <c r="U87" s="32">
        <f t="shared" si="29"/>
        <v>1</v>
      </c>
      <c r="V87">
        <f>step3_validation[[#This Row],[AI_ENF2]]</f>
        <v>5</v>
      </c>
      <c r="W87" t="str">
        <f t="shared" si="30"/>
        <v>Neutral</v>
      </c>
      <c r="X87">
        <f>survey_responses[[#This Row],[Tôi tin rằng Nhà nước, cơ quan thuế có đủ khả năng và công nghệ để phát hiện, xử lý nghiêm các hành vi trốn thuế. - HUMAN-ENF2]]</f>
        <v>5</v>
      </c>
      <c r="Y87" t="str">
        <f t="shared" si="31"/>
        <v>Neutral</v>
      </c>
      <c r="Z87" s="32">
        <f t="shared" si="32"/>
        <v>0</v>
      </c>
      <c r="AA87">
        <f>step3_validation[[#This Row],[AI_FAC1]]</f>
        <v>8</v>
      </c>
      <c r="AB87" t="str">
        <f t="shared" si="33"/>
        <v>Support</v>
      </c>
      <c r="AC87">
        <f>survey_responses[[#This Row],[Các thủ tục khai báo thuế VÀ/HOẶC quy trình làm việc với cơ quan thuế đơn giản, tiện lợi, nhanh chóng hơn so với trước đây. - HUMAN-FAC1]]</f>
        <v>10</v>
      </c>
      <c r="AD87" t="str">
        <f t="shared" si="34"/>
        <v>Support</v>
      </c>
      <c r="AE87" s="32">
        <f t="shared" si="35"/>
        <v>2</v>
      </c>
      <c r="AF87">
        <f>step3_validation[[#This Row],[AI_FAC2]]</f>
        <v>7</v>
      </c>
      <c r="AG87" t="str">
        <f t="shared" si="36"/>
        <v>Neutral</v>
      </c>
      <c r="AH87">
        <f>survey_responses[[#This Row],[So với trước đây, tôi thấy cách tính thuế và các bậc thuế trong phương án mới đơn giản, dễ hiểu và dễ thực hiện hơn. - HUMAN-FAC2]]</f>
        <v>4</v>
      </c>
      <c r="AI87" t="str">
        <f t="shared" si="37"/>
        <v>Oppose</v>
      </c>
      <c r="AJ87" s="32">
        <f t="shared" si="38"/>
        <v>3</v>
      </c>
      <c r="AK87">
        <f>step3_validation[[#This Row],[AI_TRU1]]</f>
        <v>7</v>
      </c>
      <c r="AL87" t="str">
        <f t="shared" si="39"/>
        <v>Neutral</v>
      </c>
      <c r="AM87">
        <f>survey_responses[[#This Row],[Tôi tin rằng Nhà nước, cơ quan thuế sẽ thực thi chính sách mới một cách khách quan, công tâm và đối xử bình đẳng với mọi người nộp thuế.  - HUMAN-TRU1]]</f>
        <v>4</v>
      </c>
      <c r="AN87" t="str">
        <f t="shared" si="40"/>
        <v>Oppose</v>
      </c>
      <c r="AO87" s="32">
        <f t="shared" si="41"/>
        <v>3</v>
      </c>
      <c r="AP87">
        <f>step3_validation[[#This Row],[AI_TRU2]]</f>
        <v>8</v>
      </c>
      <c r="AQ87" t="str">
        <f t="shared" si="42"/>
        <v>Support</v>
      </c>
      <c r="AR87">
        <f>survey_responses[[#This Row],[Tôi thấy mức thuế tôi phải đóng theo phương án mới là công bằng (người thu nhập như tôi đóng mức này là hợp lý). - HUMAN-TRU2]]</f>
        <v>5</v>
      </c>
      <c r="AS87" t="str">
        <f t="shared" si="43"/>
        <v>Neutral</v>
      </c>
      <c r="AT87" s="32">
        <f t="shared" si="44"/>
        <v>3</v>
      </c>
      <c r="AU87">
        <f>step3_validation[[#This Row],[AI_TRU3]]</f>
        <v>6</v>
      </c>
      <c r="AV87" t="str">
        <f t="shared" si="45"/>
        <v>Neutral</v>
      </c>
      <c r="AW87">
        <f>survey_responses[[#This Row],[Tôi tin tưởng số tiền thuế tôi đóng sẽ được Nhà nước sử dụng hiệu quả để cải thiện dịch vụ công (y tế, đường xá...). - HUMAN-TRU3]]</f>
        <v>5</v>
      </c>
      <c r="AX87" t="str">
        <f t="shared" si="46"/>
        <v>Neutral</v>
      </c>
      <c r="AY87" s="32">
        <f t="shared" si="47"/>
        <v>1</v>
      </c>
      <c r="AZ87">
        <f>step3_validation[[#This Row],[AI_TRU4]]</f>
        <v>7</v>
      </c>
      <c r="BA87" t="str">
        <f t="shared" si="48"/>
        <v>Neutral</v>
      </c>
      <c r="BB87">
        <f>survey_responses[[#This Row],[Tôi thấy Nhà nước đã giải thích rõ ràng, minh bạch về lý do và mục tiêu của việc sửa đổi thuế lần này. - HUMAN-TRU4]]</f>
        <v>8</v>
      </c>
      <c r="BC87" t="str">
        <f t="shared" si="49"/>
        <v>Support</v>
      </c>
      <c r="BD87" s="32">
        <f t="shared" si="50"/>
        <v>1</v>
      </c>
      <c r="BE87">
        <f>step3_validation[[#This Row],[AI_OUT1]]</f>
        <v>9</v>
      </c>
      <c r="BF87" t="str">
        <f t="shared" si="51"/>
        <v>Support</v>
      </c>
      <c r="BG87">
        <f>survey_responses[[#This Row],[Sau khi xem xét các quyền lợi và nghĩa vụ, bạn có ủng hộ và tuân thủ chính sách mới hiện nay? - HUMAN-OUT1]]</f>
        <v>8</v>
      </c>
      <c r="BH87" t="str">
        <f t="shared" si="52"/>
        <v>Support</v>
      </c>
      <c r="BI87" s="32">
        <f t="shared" si="53"/>
        <v>1</v>
      </c>
    </row>
    <row r="88" spans="1:61" x14ac:dyDescent="0.45">
      <c r="A88" s="30">
        <f>step3_validation[[#This Row],[Persona_ID]]</f>
        <v>87</v>
      </c>
      <c r="B88" s="31">
        <f>step3_validation[[#This Row],[Used_Seed]]</f>
        <v>2112</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12.421711402522448</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7</v>
      </c>
      <c r="R88" t="str">
        <f t="shared" si="27"/>
        <v>Neutral</v>
      </c>
      <c r="S88">
        <f>survey_responses[[#This Row],[Tôi tin rằng với các quy định quản lý thuế hiện nay, hành vi gian lận hoặc trốn thuế sẽ dễ dàng bị phát hiện và xử lý nghiêm. - HUMAN-ENF1]]</f>
        <v>10</v>
      </c>
      <c r="T88" t="str">
        <f t="shared" si="28"/>
        <v>Support</v>
      </c>
      <c r="U88" s="32">
        <f t="shared" si="29"/>
        <v>3</v>
      </c>
      <c r="V88">
        <f>step3_validation[[#This Row],[AI_ENF2]]</f>
        <v>6</v>
      </c>
      <c r="W88" t="str">
        <f t="shared" si="30"/>
        <v>Neutral</v>
      </c>
      <c r="X88">
        <f>survey_responses[[#This Row],[Tôi tin rằng Nhà nước, cơ quan thuế có đủ khả năng và công nghệ để phát hiện, xử lý nghiêm các hành vi trốn thuế. - HUMAN-ENF2]]</f>
        <v>9</v>
      </c>
      <c r="Y88" t="str">
        <f t="shared" si="31"/>
        <v>Support</v>
      </c>
      <c r="Z88" s="32">
        <f t="shared" si="32"/>
        <v>3</v>
      </c>
      <c r="AA88">
        <f>step3_validation[[#This Row],[AI_FAC1]]</f>
        <v>8</v>
      </c>
      <c r="AB88" t="str">
        <f t="shared" si="33"/>
        <v>Support</v>
      </c>
      <c r="AC88">
        <f>survey_responses[[#This Row],[Các thủ tục khai báo thuế VÀ/HOẶC quy trình làm việc với cơ quan thuế đơn giản, tiện lợi, nhanh chóng hơn so với trước đây. - HUMAN-FAC1]]</f>
        <v>9</v>
      </c>
      <c r="AD88" t="str">
        <f t="shared" si="34"/>
        <v>Support</v>
      </c>
      <c r="AE88" s="32">
        <f t="shared" si="35"/>
        <v>1</v>
      </c>
      <c r="AF88">
        <f>step3_validation[[#This Row],[AI_FAC2]]</f>
        <v>9</v>
      </c>
      <c r="AG88" t="str">
        <f t="shared" si="36"/>
        <v>Support</v>
      </c>
      <c r="AH88">
        <f>survey_responses[[#This Row],[So với trước đây, tôi thấy cách tính thuế và các bậc thuế trong phương án mới đơn giản, dễ hiểu và dễ thực hiện hơn. - HUMAN-FAC2]]</f>
        <v>9</v>
      </c>
      <c r="AI88" t="str">
        <f t="shared" si="37"/>
        <v>Support</v>
      </c>
      <c r="AJ88" s="32">
        <f t="shared" si="38"/>
        <v>0</v>
      </c>
      <c r="AK88">
        <f>step3_validation[[#This Row],[AI_TRU1]]</f>
        <v>8</v>
      </c>
      <c r="AL88" t="str">
        <f t="shared" si="39"/>
        <v>Support</v>
      </c>
      <c r="AM88">
        <f>survey_responses[[#This Row],[Tôi tin rằng Nhà nước, cơ quan thuế sẽ thực thi chính sách mới một cách khách quan, công tâm và đối xử bình đẳng với mọi người nộp thuế.  - HUMAN-TRU1]]</f>
        <v>9</v>
      </c>
      <c r="AN88" t="str">
        <f t="shared" si="40"/>
        <v>Support</v>
      </c>
      <c r="AO88" s="32">
        <f t="shared" si="41"/>
        <v>1</v>
      </c>
      <c r="AP88">
        <f>step3_validation[[#This Row],[AI_TRU2]]</f>
        <v>9</v>
      </c>
      <c r="AQ88" t="str">
        <f t="shared" si="42"/>
        <v>Support</v>
      </c>
      <c r="AR88">
        <f>survey_responses[[#This Row],[Tôi thấy mức thuế tôi phải đóng theo phương án mới là công bằng (người thu nhập như tôi đóng mức này là hợp lý). - HUMAN-TRU2]]</f>
        <v>9</v>
      </c>
      <c r="AS88" t="str">
        <f t="shared" si="43"/>
        <v>Support</v>
      </c>
      <c r="AT88" s="32">
        <f t="shared" si="44"/>
        <v>0</v>
      </c>
      <c r="AU88">
        <f>step3_validation[[#This Row],[AI_TRU3]]</f>
        <v>8</v>
      </c>
      <c r="AV88" t="str">
        <f t="shared" si="45"/>
        <v>Support</v>
      </c>
      <c r="AW88">
        <f>survey_responses[[#This Row],[Tôi tin tưởng số tiền thuế tôi đóng sẽ được Nhà nước sử dụng hiệu quả để cải thiện dịch vụ công (y tế, đường xá...). - HUMAN-TRU3]]</f>
        <v>10</v>
      </c>
      <c r="AX88" t="str">
        <f t="shared" si="46"/>
        <v>Support</v>
      </c>
      <c r="AY88" s="32">
        <f t="shared" si="47"/>
        <v>2</v>
      </c>
      <c r="AZ88">
        <f>step3_validation[[#This Row],[AI_TRU4]]</f>
        <v>7</v>
      </c>
      <c r="BA88" t="str">
        <f t="shared" si="48"/>
        <v>Neutral</v>
      </c>
      <c r="BB88">
        <f>survey_responses[[#This Row],[Tôi thấy Nhà nước đã giải thích rõ ràng, minh bạch về lý do và mục tiêu của việc sửa đổi thuế lần này. - HUMAN-TRU4]]</f>
        <v>9</v>
      </c>
      <c r="BC88" t="str">
        <f t="shared" si="49"/>
        <v>Support</v>
      </c>
      <c r="BD88" s="32">
        <f t="shared" si="50"/>
        <v>2</v>
      </c>
      <c r="BE88">
        <f>step3_validation[[#This Row],[AI_OUT1]]</f>
        <v>9</v>
      </c>
      <c r="BF88" t="str">
        <f t="shared" si="51"/>
        <v>Support</v>
      </c>
      <c r="BG88">
        <f>survey_responses[[#This Row],[Sau khi xem xét các quyền lợi và nghĩa vụ, bạn có ủng hộ và tuân thủ chính sách mới hiện nay? - HUMAN-OUT1]]</f>
        <v>10</v>
      </c>
      <c r="BH88" t="str">
        <f t="shared" si="52"/>
        <v>Support</v>
      </c>
      <c r="BI88" s="32">
        <f t="shared" si="53"/>
        <v>1</v>
      </c>
    </row>
    <row r="89" spans="1:61" x14ac:dyDescent="0.45">
      <c r="A89" s="30">
        <f>step3_validation[[#This Row],[Persona_ID]]</f>
        <v>88</v>
      </c>
      <c r="B89" s="31">
        <f>step3_validation[[#This Row],[Used_Seed]]</f>
        <v>2113</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6</v>
      </c>
      <c r="R89" t="str">
        <f t="shared" si="27"/>
        <v>Neutral</v>
      </c>
      <c r="S89">
        <f>survey_responses[[#This Row],[Tôi tin rằng với các quy định quản lý thuế hiện nay, hành vi gian lận hoặc trốn thuế sẽ dễ dàng bị phát hiện và xử lý nghiêm. - HUMAN-ENF1]]</f>
        <v>10</v>
      </c>
      <c r="T89" t="str">
        <f t="shared" si="28"/>
        <v>Support</v>
      </c>
      <c r="U89" s="32">
        <f t="shared" si="29"/>
        <v>4</v>
      </c>
      <c r="V89">
        <f>step3_validation[[#This Row],[AI_ENF2]]</f>
        <v>7</v>
      </c>
      <c r="W89" t="str">
        <f t="shared" si="30"/>
        <v>Neutral</v>
      </c>
      <c r="X89">
        <f>survey_responses[[#This Row],[Tôi tin rằng Nhà nước, cơ quan thuế có đủ khả năng và công nghệ để phát hiện, xử lý nghiêm các hành vi trốn thuế. - HUMAN-ENF2]]</f>
        <v>10</v>
      </c>
      <c r="Y89" t="str">
        <f t="shared" si="31"/>
        <v>Support</v>
      </c>
      <c r="Z89" s="32">
        <f t="shared" si="32"/>
        <v>3</v>
      </c>
      <c r="AA89">
        <f>step3_validation[[#This Row],[AI_FAC1]]</f>
        <v>9</v>
      </c>
      <c r="AB89" t="str">
        <f t="shared" si="33"/>
        <v>Support</v>
      </c>
      <c r="AC89">
        <f>survey_responses[[#This Row],[Các thủ tục khai báo thuế VÀ/HOẶC quy trình làm việc với cơ quan thuế đơn giản, tiện lợi, nhanh chóng hơn so với trước đây. - HUMAN-FAC1]]</f>
        <v>10</v>
      </c>
      <c r="AD89" t="str">
        <f t="shared" si="34"/>
        <v>Support</v>
      </c>
      <c r="AE89" s="32">
        <f t="shared" si="35"/>
        <v>1</v>
      </c>
      <c r="AF89">
        <f>step3_validation[[#This Row],[AI_FAC2]]</f>
        <v>8</v>
      </c>
      <c r="AG89" t="str">
        <f t="shared" si="36"/>
        <v>Support</v>
      </c>
      <c r="AH89">
        <f>survey_responses[[#This Row],[So với trước đây, tôi thấy cách tính thuế và các bậc thuế trong phương án mới đơn giản, dễ hiểu và dễ thực hiện hơn. - HUMAN-FAC2]]</f>
        <v>10</v>
      </c>
      <c r="AI89" t="str">
        <f t="shared" si="37"/>
        <v>Support</v>
      </c>
      <c r="AJ89" s="32">
        <f t="shared" si="38"/>
        <v>2</v>
      </c>
      <c r="AK89">
        <f>step3_validation[[#This Row],[AI_TRU1]]</f>
        <v>9</v>
      </c>
      <c r="AL89" t="str">
        <f t="shared" si="39"/>
        <v>Support</v>
      </c>
      <c r="AM89">
        <f>survey_responses[[#This Row],[Tôi tin rằng Nhà nước, cơ quan thuế sẽ thực thi chính sách mới một cách khách quan, công tâm và đối xử bình đẳng với mọi người nộp thuế.  - HUMAN-TRU1]]</f>
        <v>10</v>
      </c>
      <c r="AN89" t="str">
        <f t="shared" si="40"/>
        <v>Support</v>
      </c>
      <c r="AO89" s="32">
        <f t="shared" si="41"/>
        <v>1</v>
      </c>
      <c r="AP89">
        <f>step3_validation[[#This Row],[AI_TRU2]]</f>
        <v>8</v>
      </c>
      <c r="AQ89" t="str">
        <f t="shared" si="42"/>
        <v>Support</v>
      </c>
      <c r="AR89">
        <f>survey_responses[[#This Row],[Tôi thấy mức thuế tôi phải đóng theo phương án mới là công bằng (người thu nhập như tôi đóng mức này là hợp lý). - HUMAN-TRU2]]</f>
        <v>10</v>
      </c>
      <c r="AS89" t="str">
        <f t="shared" si="43"/>
        <v>Support</v>
      </c>
      <c r="AT89" s="32">
        <f t="shared" si="44"/>
        <v>2</v>
      </c>
      <c r="AU89">
        <f>step3_validation[[#This Row],[AI_TRU3]]</f>
        <v>9</v>
      </c>
      <c r="AV89" t="str">
        <f t="shared" si="45"/>
        <v>Support</v>
      </c>
      <c r="AW89">
        <f>survey_responses[[#This Row],[Tôi tin tưởng số tiền thuế tôi đóng sẽ được Nhà nước sử dụng hiệu quả để cải thiện dịch vụ công (y tế, đường xá...). - HUMAN-TRU3]]</f>
        <v>10</v>
      </c>
      <c r="AX89" t="str">
        <f t="shared" si="46"/>
        <v>Support</v>
      </c>
      <c r="AY89" s="32">
        <f t="shared" si="47"/>
        <v>1</v>
      </c>
      <c r="AZ89">
        <f>step3_validation[[#This Row],[AI_TRU4]]</f>
        <v>7</v>
      </c>
      <c r="BA89" t="str">
        <f t="shared" si="48"/>
        <v>Neutral</v>
      </c>
      <c r="BB89">
        <f>survey_responses[[#This Row],[Tôi thấy Nhà nước đã giải thích rõ ràng, minh bạch về lý do và mục tiêu của việc sửa đổi thuế lần này. - HUMAN-TRU4]]</f>
        <v>10</v>
      </c>
      <c r="BC89" t="str">
        <f t="shared" si="49"/>
        <v>Support</v>
      </c>
      <c r="BD89" s="32">
        <f t="shared" si="50"/>
        <v>3</v>
      </c>
      <c r="BE89">
        <f>step3_validation[[#This Row],[AI_OUT1]]</f>
        <v>9</v>
      </c>
      <c r="BF89" t="str">
        <f t="shared" si="51"/>
        <v>Support</v>
      </c>
      <c r="BG89">
        <f>survey_responses[[#This Row],[Sau khi xem xét các quyền lợi và nghĩa vụ, bạn có ủng hộ và tuân thủ chính sách mới hiện nay? - HUMAN-OUT1]]</f>
        <v>10</v>
      </c>
      <c r="BH89" t="str">
        <f t="shared" si="52"/>
        <v>Support</v>
      </c>
      <c r="BI89" s="32">
        <f t="shared" si="53"/>
        <v>1</v>
      </c>
    </row>
    <row r="90" spans="1:61" x14ac:dyDescent="0.45">
      <c r="A90" s="30">
        <f>step3_validation[[#This Row],[Persona_ID]]</f>
        <v>89</v>
      </c>
      <c r="B90" s="31">
        <f>step3_validation[[#This Row],[Used_Seed]]</f>
        <v>2114</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5</v>
      </c>
      <c r="R90" t="str">
        <f t="shared" si="27"/>
        <v>Neutral</v>
      </c>
      <c r="S90">
        <f>survey_responses[[#This Row],[Tôi tin rằng với các quy định quản lý thuế hiện nay, hành vi gian lận hoặc trốn thuế sẽ dễ dàng bị phát hiện và xử lý nghiêm. - HUMAN-ENF1]]</f>
        <v>10</v>
      </c>
      <c r="T90" t="str">
        <f t="shared" si="28"/>
        <v>Support</v>
      </c>
      <c r="U90" s="32">
        <f t="shared" si="29"/>
        <v>5</v>
      </c>
      <c r="V90">
        <f>step3_validation[[#This Row],[AI_ENF2]]</f>
        <v>4</v>
      </c>
      <c r="W90" t="str">
        <f t="shared" si="30"/>
        <v>Oppose</v>
      </c>
      <c r="X90">
        <f>survey_responses[[#This Row],[Tôi tin rằng Nhà nước, cơ quan thuế có đủ khả năng và công nghệ để phát hiện, xử lý nghiêm các hành vi trốn thuế. - HUMAN-ENF2]]</f>
        <v>9</v>
      </c>
      <c r="Y90" t="str">
        <f t="shared" si="31"/>
        <v>Support</v>
      </c>
      <c r="Z90" s="32">
        <f t="shared" si="32"/>
        <v>5</v>
      </c>
      <c r="AA90">
        <f>step3_validation[[#This Row],[AI_FAC1]]</f>
        <v>8</v>
      </c>
      <c r="AB90" t="str">
        <f t="shared" si="33"/>
        <v>Support</v>
      </c>
      <c r="AC90">
        <f>survey_responses[[#This Row],[Các thủ tục khai báo thuế VÀ/HOẶC quy trình làm việc với cơ quan thuế đơn giản, tiện lợi, nhanh chóng hơn so với trước đây. - HUMAN-FAC1]]</f>
        <v>9</v>
      </c>
      <c r="AD90" t="str">
        <f t="shared" si="34"/>
        <v>Support</v>
      </c>
      <c r="AE90" s="32">
        <f t="shared" si="35"/>
        <v>1</v>
      </c>
      <c r="AF90">
        <f>step3_validation[[#This Row],[AI_FAC2]]</f>
        <v>9</v>
      </c>
      <c r="AG90" t="str">
        <f t="shared" si="36"/>
        <v>Support</v>
      </c>
      <c r="AH90">
        <f>survey_responses[[#This Row],[So với trước đây, tôi thấy cách tính thuế và các bậc thuế trong phương án mới đơn giản, dễ hiểu và dễ thực hiện hơn. - HUMAN-FAC2]]</f>
        <v>9</v>
      </c>
      <c r="AI90" t="str">
        <f t="shared" si="37"/>
        <v>Support</v>
      </c>
      <c r="AJ90" s="32">
        <f t="shared" si="38"/>
        <v>0</v>
      </c>
      <c r="AK90">
        <f>step3_validation[[#This Row],[AI_TRU1]]</f>
        <v>8</v>
      </c>
      <c r="AL90" t="str">
        <f t="shared" si="39"/>
        <v>Support</v>
      </c>
      <c r="AM90">
        <f>survey_responses[[#This Row],[Tôi tin rằng Nhà nước, cơ quan thuế sẽ thực thi chính sách mới một cách khách quan, công tâm và đối xử bình đẳng với mọi người nộp thuế.  - HUMAN-TRU1]]</f>
        <v>10</v>
      </c>
      <c r="AN90" t="str">
        <f t="shared" si="40"/>
        <v>Support</v>
      </c>
      <c r="AO90" s="32">
        <f t="shared" si="41"/>
        <v>2</v>
      </c>
      <c r="AP90">
        <f>step3_validation[[#This Row],[AI_TRU2]]</f>
        <v>9</v>
      </c>
      <c r="AQ90" t="str">
        <f t="shared" si="42"/>
        <v>Support</v>
      </c>
      <c r="AR90">
        <f>survey_responses[[#This Row],[Tôi thấy mức thuế tôi phải đóng theo phương án mới là công bằng (người thu nhập như tôi đóng mức này là hợp lý). - HUMAN-TRU2]]</f>
        <v>9</v>
      </c>
      <c r="AS90" t="str">
        <f t="shared" si="43"/>
        <v>Support</v>
      </c>
      <c r="AT90" s="32">
        <f t="shared" si="44"/>
        <v>0</v>
      </c>
      <c r="AU90">
        <f>step3_validation[[#This Row],[AI_TRU3]]</f>
        <v>8</v>
      </c>
      <c r="AV90" t="str">
        <f t="shared" si="45"/>
        <v>Support</v>
      </c>
      <c r="AW90">
        <f>survey_responses[[#This Row],[Tôi tin tưởng số tiền thuế tôi đóng sẽ được Nhà nước sử dụng hiệu quả để cải thiện dịch vụ công (y tế, đường xá...). - HUMAN-TRU3]]</f>
        <v>9</v>
      </c>
      <c r="AX90" t="str">
        <f t="shared" si="46"/>
        <v>Support</v>
      </c>
      <c r="AY90" s="32">
        <f t="shared" si="47"/>
        <v>1</v>
      </c>
      <c r="AZ90">
        <f>step3_validation[[#This Row],[AI_TRU4]]</f>
        <v>7</v>
      </c>
      <c r="BA90" t="str">
        <f t="shared" si="48"/>
        <v>Neutral</v>
      </c>
      <c r="BB90">
        <f>survey_responses[[#This Row],[Tôi thấy Nhà nước đã giải thích rõ ràng, minh bạch về lý do và mục tiêu của việc sửa đổi thuế lần này. - HUMAN-TRU4]]</f>
        <v>8</v>
      </c>
      <c r="BC90" t="str">
        <f t="shared" si="49"/>
        <v>Support</v>
      </c>
      <c r="BD90" s="32">
        <f t="shared" si="50"/>
        <v>1</v>
      </c>
      <c r="BE90">
        <f>step3_validation[[#This Row],[AI_OUT1]]</f>
        <v>9</v>
      </c>
      <c r="BF90" t="str">
        <f t="shared" si="51"/>
        <v>Support</v>
      </c>
      <c r="BG90">
        <f>survey_responses[[#This Row],[Sau khi xem xét các quyền lợi và nghĩa vụ, bạn có ủng hộ và tuân thủ chính sách mới hiện nay? - HUMAN-OUT1]]</f>
        <v>9</v>
      </c>
      <c r="BH90" t="str">
        <f t="shared" si="52"/>
        <v>Support</v>
      </c>
      <c r="BI90" s="32">
        <f t="shared" si="53"/>
        <v>0</v>
      </c>
    </row>
    <row r="91" spans="1:61" x14ac:dyDescent="0.45">
      <c r="A91" s="30">
        <f>step3_validation[[#This Row],[Persona_ID]]</f>
        <v>90</v>
      </c>
      <c r="B91" s="31">
        <f>step3_validation[[#This Row],[Used_Seed]]</f>
        <v>2115</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9</v>
      </c>
      <c r="R91" t="str">
        <f t="shared" si="27"/>
        <v>Support</v>
      </c>
      <c r="S91">
        <f>survey_responses[[#This Row],[Tôi tin rằng với các quy định quản lý thuế hiện nay, hành vi gian lận hoặc trốn thuế sẽ dễ dàng bị phát hiện và xử lý nghiêm. - HUMAN-ENF1]]</f>
        <v>6</v>
      </c>
      <c r="T91" t="str">
        <f t="shared" si="28"/>
        <v>Neutral</v>
      </c>
      <c r="U91" s="32">
        <f t="shared" si="29"/>
        <v>3</v>
      </c>
      <c r="V91">
        <f>step3_validation[[#This Row],[AI_ENF2]]</f>
        <v>8</v>
      </c>
      <c r="W91" t="str">
        <f t="shared" si="30"/>
        <v>Support</v>
      </c>
      <c r="X91">
        <f>survey_responses[[#This Row],[Tôi tin rằng Nhà nước, cơ quan thuế có đủ khả năng và công nghệ để phát hiện, xử lý nghiêm các hành vi trốn thuế. - HUMAN-ENF2]]</f>
        <v>10</v>
      </c>
      <c r="Y91" t="str">
        <f t="shared" si="31"/>
        <v>Support</v>
      </c>
      <c r="Z91" s="32">
        <f t="shared" si="32"/>
        <v>2</v>
      </c>
      <c r="AA91">
        <f>step3_validation[[#This Row],[AI_FAC1]]</f>
        <v>7</v>
      </c>
      <c r="AB91" t="str">
        <f t="shared" si="33"/>
        <v>Neutral</v>
      </c>
      <c r="AC91">
        <f>survey_responses[[#This Row],[Các thủ tục khai báo thuế VÀ/HOẶC quy trình làm việc với cơ quan thuế đơn giản, tiện lợi, nhanh chóng hơn so với trước đây. - HUMAN-FAC1]]</f>
        <v>8</v>
      </c>
      <c r="AD91" t="str">
        <f t="shared" si="34"/>
        <v>Support</v>
      </c>
      <c r="AE91" s="32">
        <f t="shared" si="35"/>
        <v>1</v>
      </c>
      <c r="AF91">
        <f>step3_validation[[#This Row],[AI_FAC2]]</f>
        <v>8</v>
      </c>
      <c r="AG91" t="str">
        <f t="shared" si="36"/>
        <v>Support</v>
      </c>
      <c r="AH91">
        <f>survey_responses[[#This Row],[So với trước đây, tôi thấy cách tính thuế và các bậc thuế trong phương án mới đơn giản, dễ hiểu và dễ thực hiện hơn. - HUMAN-FAC2]]</f>
        <v>9</v>
      </c>
      <c r="AI91" t="str">
        <f t="shared" si="37"/>
        <v>Support</v>
      </c>
      <c r="AJ91" s="32">
        <f t="shared" si="38"/>
        <v>1</v>
      </c>
      <c r="AK91">
        <f>step3_validation[[#This Row],[AI_TRU1]]</f>
        <v>9</v>
      </c>
      <c r="AL91" t="str">
        <f t="shared" si="39"/>
        <v>Support</v>
      </c>
      <c r="AM91">
        <f>survey_responses[[#This Row],[Tôi tin rằng Nhà nước, cơ quan thuế sẽ thực thi chính sách mới một cách khách quan, công tâm và đối xử bình đẳng với mọi người nộp thuế.  - HUMAN-TRU1]]</f>
        <v>9</v>
      </c>
      <c r="AN91" t="str">
        <f t="shared" si="40"/>
        <v>Support</v>
      </c>
      <c r="AO91" s="32">
        <f t="shared" si="41"/>
        <v>0</v>
      </c>
      <c r="AP91">
        <f>step3_validation[[#This Row],[AI_TRU2]]</f>
        <v>9</v>
      </c>
      <c r="AQ91" t="str">
        <f t="shared" si="42"/>
        <v>Support</v>
      </c>
      <c r="AR91">
        <f>survey_responses[[#This Row],[Tôi thấy mức thuế tôi phải đóng theo phương án mới là công bằng (người thu nhập như tôi đóng mức này là hợp lý). - HUMAN-TRU2]]</f>
        <v>9</v>
      </c>
      <c r="AS91" t="str">
        <f t="shared" si="43"/>
        <v>Support</v>
      </c>
      <c r="AT91" s="32">
        <f t="shared" si="44"/>
        <v>0</v>
      </c>
      <c r="AU91">
        <f>step3_validation[[#This Row],[AI_TRU3]]</f>
        <v>8</v>
      </c>
      <c r="AV91" t="str">
        <f t="shared" si="45"/>
        <v>Support</v>
      </c>
      <c r="AW91">
        <f>survey_responses[[#This Row],[Tôi tin tưởng số tiền thuế tôi đóng sẽ được Nhà nước sử dụng hiệu quả để cải thiện dịch vụ công (y tế, đường xá...). - HUMAN-TRU3]]</f>
        <v>8</v>
      </c>
      <c r="AX91" t="str">
        <f t="shared" si="46"/>
        <v>Support</v>
      </c>
      <c r="AY91" s="32">
        <f t="shared" si="47"/>
        <v>0</v>
      </c>
      <c r="AZ91">
        <f>step3_validation[[#This Row],[AI_TRU4]]</f>
        <v>7</v>
      </c>
      <c r="BA91" t="str">
        <f t="shared" si="48"/>
        <v>Neutral</v>
      </c>
      <c r="BB91">
        <f>survey_responses[[#This Row],[Tôi thấy Nhà nước đã giải thích rõ ràng, minh bạch về lý do và mục tiêu của việc sửa đổi thuế lần này. - HUMAN-TRU4]]</f>
        <v>8</v>
      </c>
      <c r="BC91" t="str">
        <f t="shared" si="49"/>
        <v>Support</v>
      </c>
      <c r="BD91" s="32">
        <f t="shared" si="50"/>
        <v>1</v>
      </c>
      <c r="BE91">
        <f>step3_validation[[#This Row],[AI_OUT1]]</f>
        <v>9</v>
      </c>
      <c r="BF91" t="str">
        <f t="shared" si="51"/>
        <v>Support</v>
      </c>
      <c r="BG91">
        <f>survey_responses[[#This Row],[Sau khi xem xét các quyền lợi và nghĩa vụ, bạn có ủng hộ và tuân thủ chính sách mới hiện nay? - HUMAN-OUT1]]</f>
        <v>9</v>
      </c>
      <c r="BH91" t="str">
        <f t="shared" si="52"/>
        <v>Support</v>
      </c>
      <c r="BI91" s="32">
        <f t="shared" si="53"/>
        <v>0</v>
      </c>
    </row>
    <row r="92" spans="1:61" x14ac:dyDescent="0.45">
      <c r="A92" s="30">
        <f>step3_validation[[#This Row],[Persona_ID]]</f>
        <v>91</v>
      </c>
      <c r="B92" s="31">
        <f>step3_validation[[#This Row],[Used_Seed]]</f>
        <v>2116</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7</v>
      </c>
      <c r="R92" t="str">
        <f t="shared" si="27"/>
        <v>Neutral</v>
      </c>
      <c r="S92">
        <f>survey_responses[[#This Row],[Tôi tin rằng với các quy định quản lý thuế hiện nay, hành vi gian lận hoặc trốn thuế sẽ dễ dàng bị phát hiện và xử lý nghiêm. - HUMAN-ENF1]]</f>
        <v>10</v>
      </c>
      <c r="T92" t="str">
        <f t="shared" si="28"/>
        <v>Support</v>
      </c>
      <c r="U92" s="32">
        <f t="shared" si="29"/>
        <v>3</v>
      </c>
      <c r="V92">
        <f>step3_validation[[#This Row],[AI_ENF2]]</f>
        <v>6</v>
      </c>
      <c r="W92" t="str">
        <f t="shared" si="30"/>
        <v>Neutral</v>
      </c>
      <c r="X92">
        <f>survey_responses[[#This Row],[Tôi tin rằng Nhà nước, cơ quan thuế có đủ khả năng và công nghệ để phát hiện, xử lý nghiêm các hành vi trốn thuế. - HUMAN-ENF2]]</f>
        <v>9</v>
      </c>
      <c r="Y92" t="str">
        <f t="shared" si="31"/>
        <v>Support</v>
      </c>
      <c r="Z92" s="32">
        <f t="shared" si="32"/>
        <v>3</v>
      </c>
      <c r="AA92">
        <f>step3_validation[[#This Row],[AI_FAC1]]</f>
        <v>9</v>
      </c>
      <c r="AB92" t="str">
        <f t="shared" si="33"/>
        <v>Support</v>
      </c>
      <c r="AC92">
        <f>survey_responses[[#This Row],[Các thủ tục khai báo thuế VÀ/HOẶC quy trình làm việc với cơ quan thuế đơn giản, tiện lợi, nhanh chóng hơn so với trước đây. - HUMAN-FAC1]]</f>
        <v>9</v>
      </c>
      <c r="AD92" t="str">
        <f t="shared" si="34"/>
        <v>Support</v>
      </c>
      <c r="AE92" s="32">
        <f t="shared" si="35"/>
        <v>0</v>
      </c>
      <c r="AF92">
        <f>step3_validation[[#This Row],[AI_FAC2]]</f>
        <v>8</v>
      </c>
      <c r="AG92" t="str">
        <f t="shared" si="36"/>
        <v>Support</v>
      </c>
      <c r="AH92">
        <f>survey_responses[[#This Row],[So với trước đây, tôi thấy cách tính thuế và các bậc thuế trong phương án mới đơn giản, dễ hiểu và dễ thực hiện hơn. - HUMAN-FAC2]]</f>
        <v>9</v>
      </c>
      <c r="AI92" t="str">
        <f t="shared" si="37"/>
        <v>Support</v>
      </c>
      <c r="AJ92" s="32">
        <f t="shared" si="38"/>
        <v>1</v>
      </c>
      <c r="AK92">
        <f>step3_validation[[#This Row],[AI_TRU1]]</f>
        <v>7</v>
      </c>
      <c r="AL92" t="str">
        <f t="shared" si="39"/>
        <v>Neutral</v>
      </c>
      <c r="AM92">
        <f>survey_responses[[#This Row],[Tôi tin rằng Nhà nước, cơ quan thuế sẽ thực thi chính sách mới một cách khách quan, công tâm và đối xử bình đẳng với mọi người nộp thuế.  - HUMAN-TRU1]]</f>
        <v>10</v>
      </c>
      <c r="AN92" t="str">
        <f t="shared" si="40"/>
        <v>Support</v>
      </c>
      <c r="AO92" s="32">
        <f t="shared" si="41"/>
        <v>3</v>
      </c>
      <c r="AP92">
        <f>step3_validation[[#This Row],[AI_TRU2]]</f>
        <v>9</v>
      </c>
      <c r="AQ92" t="str">
        <f t="shared" si="42"/>
        <v>Support</v>
      </c>
      <c r="AR92">
        <f>survey_responses[[#This Row],[Tôi thấy mức thuế tôi phải đóng theo phương án mới là công bằng (người thu nhập như tôi đóng mức này là hợp lý). - HUMAN-TRU2]]</f>
        <v>9</v>
      </c>
      <c r="AS92" t="str">
        <f t="shared" si="43"/>
        <v>Support</v>
      </c>
      <c r="AT92" s="32">
        <f t="shared" si="44"/>
        <v>0</v>
      </c>
      <c r="AU92">
        <f>step3_validation[[#This Row],[AI_TRU3]]</f>
        <v>8</v>
      </c>
      <c r="AV92" t="str">
        <f t="shared" si="45"/>
        <v>Support</v>
      </c>
      <c r="AW92">
        <f>survey_responses[[#This Row],[Tôi tin tưởng số tiền thuế tôi đóng sẽ được Nhà nước sử dụng hiệu quả để cải thiện dịch vụ công (y tế, đường xá...). - HUMAN-TRU3]]</f>
        <v>8</v>
      </c>
      <c r="AX92" t="str">
        <f t="shared" si="46"/>
        <v>Support</v>
      </c>
      <c r="AY92" s="32">
        <f t="shared" si="47"/>
        <v>0</v>
      </c>
      <c r="AZ92">
        <f>step3_validation[[#This Row],[AI_TRU4]]</f>
        <v>7</v>
      </c>
      <c r="BA92" t="str">
        <f t="shared" si="48"/>
        <v>Neutral</v>
      </c>
      <c r="BB92">
        <f>survey_responses[[#This Row],[Tôi thấy Nhà nước đã giải thích rõ ràng, minh bạch về lý do và mục tiêu của việc sửa đổi thuế lần này. - HUMAN-TRU4]]</f>
        <v>8</v>
      </c>
      <c r="BC92" t="str">
        <f t="shared" si="49"/>
        <v>Support</v>
      </c>
      <c r="BD92" s="32">
        <f t="shared" si="50"/>
        <v>1</v>
      </c>
      <c r="BE92">
        <f>step3_validation[[#This Row],[AI_OUT1]]</f>
        <v>9</v>
      </c>
      <c r="BF92" t="str">
        <f t="shared" si="51"/>
        <v>Support</v>
      </c>
      <c r="BG92">
        <f>survey_responses[[#This Row],[Sau khi xem xét các quyền lợi và nghĩa vụ, bạn có ủng hộ và tuân thủ chính sách mới hiện nay? - HUMAN-OUT1]]</f>
        <v>10</v>
      </c>
      <c r="BH92" t="str">
        <f t="shared" si="52"/>
        <v>Support</v>
      </c>
      <c r="BI92" s="32">
        <f t="shared" si="53"/>
        <v>1</v>
      </c>
    </row>
    <row r="93" spans="1:61" x14ac:dyDescent="0.45">
      <c r="A93" s="30">
        <f>step3_validation[[#This Row],[Persona_ID]]</f>
        <v>92</v>
      </c>
      <c r="B93" s="31">
        <f>step3_validation[[#This Row],[Used_Seed]]</f>
        <v>2117</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8</v>
      </c>
      <c r="R93" t="str">
        <f t="shared" si="27"/>
        <v>Support</v>
      </c>
      <c r="S93">
        <f>survey_responses[[#This Row],[Tôi tin rằng với các quy định quản lý thuế hiện nay, hành vi gian lận hoặc trốn thuế sẽ dễ dàng bị phát hiện và xử lý nghiêm. - HUMAN-ENF1]]</f>
        <v>10</v>
      </c>
      <c r="T93" t="str">
        <f t="shared" si="28"/>
        <v>Support</v>
      </c>
      <c r="U93" s="32">
        <f t="shared" si="29"/>
        <v>2</v>
      </c>
      <c r="V93">
        <f>step3_validation[[#This Row],[AI_ENF2]]</f>
        <v>7</v>
      </c>
      <c r="W93" t="str">
        <f t="shared" si="30"/>
        <v>Neutral</v>
      </c>
      <c r="X93">
        <f>survey_responses[[#This Row],[Tôi tin rằng Nhà nước, cơ quan thuế có đủ khả năng và công nghệ để phát hiện, xử lý nghiêm các hành vi trốn thuế. - HUMAN-ENF2]]</f>
        <v>10</v>
      </c>
      <c r="Y93" t="str">
        <f t="shared" si="31"/>
        <v>Support</v>
      </c>
      <c r="Z93" s="32">
        <f t="shared" si="32"/>
        <v>3</v>
      </c>
      <c r="AA93">
        <f>step3_validation[[#This Row],[AI_FAC1]]</f>
        <v>9</v>
      </c>
      <c r="AB93" t="str">
        <f t="shared" si="33"/>
        <v>Support</v>
      </c>
      <c r="AC93">
        <f>survey_responses[[#This Row],[Các thủ tục khai báo thuế VÀ/HOẶC quy trình làm việc với cơ quan thuế đơn giản, tiện lợi, nhanh chóng hơn so với trước đây. - HUMAN-FAC1]]</f>
        <v>10</v>
      </c>
      <c r="AD93" t="str">
        <f t="shared" si="34"/>
        <v>Support</v>
      </c>
      <c r="AE93" s="32">
        <f t="shared" si="35"/>
        <v>1</v>
      </c>
      <c r="AF93">
        <f>step3_validation[[#This Row],[AI_FAC2]]</f>
        <v>8</v>
      </c>
      <c r="AG93" t="str">
        <f t="shared" si="36"/>
        <v>Support</v>
      </c>
      <c r="AH93">
        <f>survey_responses[[#This Row],[So với trước đây, tôi thấy cách tính thuế và các bậc thuế trong phương án mới đơn giản, dễ hiểu và dễ thực hiện hơn. - HUMAN-FAC2]]</f>
        <v>10</v>
      </c>
      <c r="AI93" t="str">
        <f t="shared" si="37"/>
        <v>Support</v>
      </c>
      <c r="AJ93" s="32">
        <f t="shared" si="38"/>
        <v>2</v>
      </c>
      <c r="AK93">
        <f>step3_validation[[#This Row],[AI_TRU1]]</f>
        <v>9</v>
      </c>
      <c r="AL93" t="str">
        <f t="shared" si="39"/>
        <v>Support</v>
      </c>
      <c r="AM93">
        <f>survey_responses[[#This Row],[Tôi tin rằng Nhà nước, cơ quan thuế sẽ thực thi chính sách mới một cách khách quan, công tâm và đối xử bình đẳng với mọi người nộp thuế.  - HUMAN-TRU1]]</f>
        <v>10</v>
      </c>
      <c r="AN93" t="str">
        <f t="shared" si="40"/>
        <v>Support</v>
      </c>
      <c r="AO93" s="32">
        <f t="shared" si="41"/>
        <v>1</v>
      </c>
      <c r="AP93">
        <f>step3_validation[[#This Row],[AI_TRU2]]</f>
        <v>8</v>
      </c>
      <c r="AQ93" t="str">
        <f t="shared" si="42"/>
        <v>Support</v>
      </c>
      <c r="AR93">
        <f>survey_responses[[#This Row],[Tôi thấy mức thuế tôi phải đóng theo phương án mới là công bằng (người thu nhập như tôi đóng mức này là hợp lý). - HUMAN-TRU2]]</f>
        <v>1</v>
      </c>
      <c r="AS93" t="str">
        <f t="shared" si="43"/>
        <v>Oppose</v>
      </c>
      <c r="AT93" s="32">
        <f t="shared" si="44"/>
        <v>7</v>
      </c>
      <c r="AU93">
        <f>step3_validation[[#This Row],[AI_TRU3]]</f>
        <v>7</v>
      </c>
      <c r="AV93" t="str">
        <f t="shared" si="45"/>
        <v>Neutral</v>
      </c>
      <c r="AW93">
        <f>survey_responses[[#This Row],[Tôi tin tưởng số tiền thuế tôi đóng sẽ được Nhà nước sử dụng hiệu quả để cải thiện dịch vụ công (y tế, đường xá...). - HUMAN-TRU3]]</f>
        <v>10</v>
      </c>
      <c r="AX93" t="str">
        <f t="shared" si="46"/>
        <v>Support</v>
      </c>
      <c r="AY93" s="32">
        <f t="shared" si="47"/>
        <v>3</v>
      </c>
      <c r="AZ93">
        <f>step3_validation[[#This Row],[AI_TRU4]]</f>
        <v>6</v>
      </c>
      <c r="BA93" t="str">
        <f t="shared" si="48"/>
        <v>Neutral</v>
      </c>
      <c r="BB93">
        <f>survey_responses[[#This Row],[Tôi thấy Nhà nước đã giải thích rõ ràng, minh bạch về lý do và mục tiêu của việc sửa đổi thuế lần này. - HUMAN-TRU4]]</f>
        <v>10</v>
      </c>
      <c r="BC93" t="str">
        <f t="shared" si="49"/>
        <v>Support</v>
      </c>
      <c r="BD93" s="32">
        <f t="shared" si="50"/>
        <v>4</v>
      </c>
      <c r="BE93">
        <f>step3_validation[[#This Row],[AI_OUT1]]</f>
        <v>9</v>
      </c>
      <c r="BF93" t="str">
        <f t="shared" si="51"/>
        <v>Support</v>
      </c>
      <c r="BG93">
        <f>survey_responses[[#This Row],[Sau khi xem xét các quyền lợi và nghĩa vụ, bạn có ủng hộ và tuân thủ chính sách mới hiện nay? - HUMAN-OUT1]]</f>
        <v>10</v>
      </c>
      <c r="BH93" t="str">
        <f t="shared" si="52"/>
        <v>Support</v>
      </c>
      <c r="BI93" s="32">
        <f t="shared" si="53"/>
        <v>1</v>
      </c>
    </row>
    <row r="94" spans="1:61" x14ac:dyDescent="0.45">
      <c r="A94" s="30">
        <f>step3_validation[[#This Row],[Persona_ID]]</f>
        <v>93</v>
      </c>
      <c r="B94" s="31">
        <f>step3_validation[[#This Row],[Used_Seed]]</f>
        <v>2118</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36.77821260984939</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6</v>
      </c>
      <c r="R94" t="str">
        <f t="shared" si="27"/>
        <v>Neutral</v>
      </c>
      <c r="S94">
        <f>survey_responses[[#This Row],[Tôi tin rằng với các quy định quản lý thuế hiện nay, hành vi gian lận hoặc trốn thuế sẽ dễ dàng bị phát hiện và xử lý nghiêm. - HUMAN-ENF1]]</f>
        <v>5</v>
      </c>
      <c r="T94" t="str">
        <f t="shared" si="28"/>
        <v>Neutral</v>
      </c>
      <c r="U94" s="32">
        <f t="shared" si="29"/>
        <v>1</v>
      </c>
      <c r="V94">
        <f>step3_validation[[#This Row],[AI_ENF2]]</f>
        <v>6</v>
      </c>
      <c r="W94" t="str">
        <f t="shared" si="30"/>
        <v>Neutral</v>
      </c>
      <c r="X94">
        <f>survey_responses[[#This Row],[Tôi tin rằng Nhà nước, cơ quan thuế có đủ khả năng và công nghệ để phát hiện, xử lý nghiêm các hành vi trốn thuế. - HUMAN-ENF2]]</f>
        <v>8</v>
      </c>
      <c r="Y94" t="str">
        <f t="shared" si="31"/>
        <v>Support</v>
      </c>
      <c r="Z94" s="32">
        <f t="shared" si="32"/>
        <v>2</v>
      </c>
      <c r="AA94">
        <f>step3_validation[[#This Row],[AI_FAC1]]</f>
        <v>7</v>
      </c>
      <c r="AB94" t="str">
        <f t="shared" si="33"/>
        <v>Neutral</v>
      </c>
      <c r="AC94">
        <f>survey_responses[[#This Row],[Các thủ tục khai báo thuế VÀ/HOẶC quy trình làm việc với cơ quan thuế đơn giản, tiện lợi, nhanh chóng hơn so với trước đây. - HUMAN-FAC1]]</f>
        <v>4</v>
      </c>
      <c r="AD94" t="str">
        <f t="shared" si="34"/>
        <v>Oppose</v>
      </c>
      <c r="AE94" s="32">
        <f t="shared" si="35"/>
        <v>3</v>
      </c>
      <c r="AF94">
        <f>step3_validation[[#This Row],[AI_FAC2]]</f>
        <v>8</v>
      </c>
      <c r="AG94" t="str">
        <f t="shared" si="36"/>
        <v>Support</v>
      </c>
      <c r="AH94">
        <f>survey_responses[[#This Row],[So với trước đây, tôi thấy cách tính thuế và các bậc thuế trong phương án mới đơn giản, dễ hiểu và dễ thực hiện hơn. - HUMAN-FAC2]]</f>
        <v>9</v>
      </c>
      <c r="AI94" t="str">
        <f t="shared" si="37"/>
        <v>Support</v>
      </c>
      <c r="AJ94" s="32">
        <f t="shared" si="38"/>
        <v>1</v>
      </c>
      <c r="AK94">
        <f>step3_validation[[#This Row],[AI_TRU1]]</f>
        <v>7</v>
      </c>
      <c r="AL94" t="str">
        <f t="shared" si="39"/>
        <v>Neutral</v>
      </c>
      <c r="AM94">
        <f>survey_responses[[#This Row],[Tôi tin rằng Nhà nước, cơ quan thuế sẽ thực thi chính sách mới một cách khách quan, công tâm và đối xử bình đẳng với mọi người nộp thuế.  - HUMAN-TRU1]]</f>
        <v>7</v>
      </c>
      <c r="AN94" t="str">
        <f t="shared" si="40"/>
        <v>Neutral</v>
      </c>
      <c r="AO94" s="32">
        <f t="shared" si="41"/>
        <v>0</v>
      </c>
      <c r="AP94">
        <f>step3_validation[[#This Row],[AI_TRU2]]</f>
        <v>8</v>
      </c>
      <c r="AQ94" t="str">
        <f t="shared" si="42"/>
        <v>Support</v>
      </c>
      <c r="AR94">
        <f>survey_responses[[#This Row],[Tôi thấy mức thuế tôi phải đóng theo phương án mới là công bằng (người thu nhập như tôi đóng mức này là hợp lý). - HUMAN-TRU2]]</f>
        <v>5</v>
      </c>
      <c r="AS94" t="str">
        <f t="shared" si="43"/>
        <v>Neutral</v>
      </c>
      <c r="AT94" s="32">
        <f t="shared" si="44"/>
        <v>3</v>
      </c>
      <c r="AU94">
        <f>step3_validation[[#This Row],[AI_TRU3]]</f>
        <v>6</v>
      </c>
      <c r="AV94" t="str">
        <f t="shared" si="45"/>
        <v>Neutral</v>
      </c>
      <c r="AW94">
        <f>survey_responses[[#This Row],[Tôi tin tưởng số tiền thuế tôi đóng sẽ được Nhà nước sử dụng hiệu quả để cải thiện dịch vụ công (y tế, đường xá...). - HUMAN-TRU3]]</f>
        <v>7</v>
      </c>
      <c r="AX94" t="str">
        <f t="shared" si="46"/>
        <v>Neutral</v>
      </c>
      <c r="AY94" s="32">
        <f t="shared" si="47"/>
        <v>1</v>
      </c>
      <c r="AZ94">
        <f>step3_validation[[#This Row],[AI_TRU4]]</f>
        <v>7</v>
      </c>
      <c r="BA94" t="str">
        <f t="shared" si="48"/>
        <v>Neutral</v>
      </c>
      <c r="BB94">
        <f>survey_responses[[#This Row],[Tôi thấy Nhà nước đã giải thích rõ ràng, minh bạch về lý do và mục tiêu của việc sửa đổi thuế lần này. - HUMAN-TRU4]]</f>
        <v>8</v>
      </c>
      <c r="BC94" t="str">
        <f t="shared" si="49"/>
        <v>Support</v>
      </c>
      <c r="BD94" s="32">
        <f t="shared" si="50"/>
        <v>1</v>
      </c>
      <c r="BE94">
        <f>step3_validation[[#This Row],[AI_OUT1]]</f>
        <v>8</v>
      </c>
      <c r="BF94" t="str">
        <f t="shared" si="51"/>
        <v>Support</v>
      </c>
      <c r="BG94">
        <f>survey_responses[[#This Row],[Sau khi xem xét các quyền lợi và nghĩa vụ, bạn có ủng hộ và tuân thủ chính sách mới hiện nay? - HUMAN-OUT1]]</f>
        <v>10</v>
      </c>
      <c r="BH94" t="str">
        <f t="shared" si="52"/>
        <v>Support</v>
      </c>
      <c r="BI94" s="32">
        <f t="shared" si="53"/>
        <v>2</v>
      </c>
    </row>
    <row r="95" spans="1:61" x14ac:dyDescent="0.45">
      <c r="A95" s="30">
        <f>step3_validation[[#This Row],[Persona_ID]]</f>
        <v>94</v>
      </c>
      <c r="B95" s="31">
        <f>step3_validation[[#This Row],[Used_Seed]]</f>
        <v>2119</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7</v>
      </c>
      <c r="R95" t="str">
        <f t="shared" si="27"/>
        <v>Neutral</v>
      </c>
      <c r="S95">
        <f>survey_responses[[#This Row],[Tôi tin rằng với các quy định quản lý thuế hiện nay, hành vi gian lận hoặc trốn thuế sẽ dễ dàng bị phát hiện và xử lý nghiêm. - HUMAN-ENF1]]</f>
        <v>9</v>
      </c>
      <c r="T95" t="str">
        <f t="shared" si="28"/>
        <v>Support</v>
      </c>
      <c r="U95" s="32">
        <f t="shared" si="29"/>
        <v>2</v>
      </c>
      <c r="V95">
        <f>step3_validation[[#This Row],[AI_ENF2]]</f>
        <v>6</v>
      </c>
      <c r="W95" t="str">
        <f t="shared" si="30"/>
        <v>Neutral</v>
      </c>
      <c r="X95">
        <f>survey_responses[[#This Row],[Tôi tin rằng Nhà nước, cơ quan thuế có đủ khả năng và công nghệ để phát hiện, xử lý nghiêm các hành vi trốn thuế. - HUMAN-ENF2]]</f>
        <v>7</v>
      </c>
      <c r="Y95" t="str">
        <f t="shared" si="31"/>
        <v>Neutral</v>
      </c>
      <c r="Z95" s="32">
        <f t="shared" si="32"/>
        <v>1</v>
      </c>
      <c r="AA95">
        <f>step3_validation[[#This Row],[AI_FAC1]]</f>
        <v>5</v>
      </c>
      <c r="AB95" t="str">
        <f t="shared" si="33"/>
        <v>Neutral</v>
      </c>
      <c r="AC95">
        <f>survey_responses[[#This Row],[Các thủ tục khai báo thuế VÀ/HOẶC quy trình làm việc với cơ quan thuế đơn giản, tiện lợi, nhanh chóng hơn so với trước đây. - HUMAN-FAC1]]</f>
        <v>5</v>
      </c>
      <c r="AD95" t="str">
        <f t="shared" si="34"/>
        <v>Neutral</v>
      </c>
      <c r="AE95" s="32">
        <f t="shared" si="35"/>
        <v>0</v>
      </c>
      <c r="AF95">
        <f>step3_validation[[#This Row],[AI_FAC2]]</f>
        <v>8</v>
      </c>
      <c r="AG95" t="str">
        <f t="shared" si="36"/>
        <v>Support</v>
      </c>
      <c r="AH95">
        <f>survey_responses[[#This Row],[So với trước đây, tôi thấy cách tính thuế và các bậc thuế trong phương án mới đơn giản, dễ hiểu và dễ thực hiện hơn. - HUMAN-FAC2]]</f>
        <v>7</v>
      </c>
      <c r="AI95" t="str">
        <f t="shared" si="37"/>
        <v>Neutral</v>
      </c>
      <c r="AJ95" s="32">
        <f t="shared" si="38"/>
        <v>1</v>
      </c>
      <c r="AK95">
        <f>step3_validation[[#This Row],[AI_TRU1]]</f>
        <v>7</v>
      </c>
      <c r="AL95" t="str">
        <f t="shared" si="39"/>
        <v>Neutral</v>
      </c>
      <c r="AM95">
        <f>survey_responses[[#This Row],[Tôi tin rằng Nhà nước, cơ quan thuế sẽ thực thi chính sách mới một cách khách quan, công tâm và đối xử bình đẳng với mọi người nộp thuế.  - HUMAN-TRU1]]</f>
        <v>5</v>
      </c>
      <c r="AN95" t="str">
        <f t="shared" si="40"/>
        <v>Neutral</v>
      </c>
      <c r="AO95" s="32">
        <f t="shared" si="41"/>
        <v>2</v>
      </c>
      <c r="AP95">
        <f>step3_validation[[#This Row],[AI_TRU2]]</f>
        <v>8</v>
      </c>
      <c r="AQ95" t="str">
        <f t="shared" si="42"/>
        <v>Support</v>
      </c>
      <c r="AR95">
        <f>survey_responses[[#This Row],[Tôi thấy mức thuế tôi phải đóng theo phương án mới là công bằng (người thu nhập như tôi đóng mức này là hợp lý). - HUMAN-TRU2]]</f>
        <v>8</v>
      </c>
      <c r="AS95" t="str">
        <f t="shared" si="43"/>
        <v>Support</v>
      </c>
      <c r="AT95" s="32">
        <f t="shared" si="44"/>
        <v>0</v>
      </c>
      <c r="AU95">
        <f>step3_validation[[#This Row],[AI_TRU3]]</f>
        <v>6</v>
      </c>
      <c r="AV95" t="str">
        <f t="shared" si="45"/>
        <v>Neutral</v>
      </c>
      <c r="AW95">
        <f>survey_responses[[#This Row],[Tôi tin tưởng số tiền thuế tôi đóng sẽ được Nhà nước sử dụng hiệu quả để cải thiện dịch vụ công (y tế, đường xá...). - HUMAN-TRU3]]</f>
        <v>5</v>
      </c>
      <c r="AX95" t="str">
        <f t="shared" si="46"/>
        <v>Neutral</v>
      </c>
      <c r="AY95" s="32">
        <f t="shared" si="47"/>
        <v>1</v>
      </c>
      <c r="AZ95">
        <f>step3_validation[[#This Row],[AI_TRU4]]</f>
        <v>9</v>
      </c>
      <c r="BA95" t="str">
        <f t="shared" si="48"/>
        <v>Support</v>
      </c>
      <c r="BB95">
        <f>survey_responses[[#This Row],[Tôi thấy Nhà nước đã giải thích rõ ràng, minh bạch về lý do và mục tiêu của việc sửa đổi thuế lần này. - HUMAN-TRU4]]</f>
        <v>5</v>
      </c>
      <c r="BC95" t="str">
        <f t="shared" si="49"/>
        <v>Neutral</v>
      </c>
      <c r="BD95" s="32">
        <f t="shared" si="50"/>
        <v>4</v>
      </c>
      <c r="BE95">
        <f>step3_validation[[#This Row],[AI_OUT1]]</f>
        <v>8</v>
      </c>
      <c r="BF95" t="str">
        <f t="shared" si="51"/>
        <v>Support</v>
      </c>
      <c r="BG95">
        <f>survey_responses[[#This Row],[Sau khi xem xét các quyền lợi và nghĩa vụ, bạn có ủng hộ và tuân thủ chính sách mới hiện nay? - HUMAN-OUT1]]</f>
        <v>7</v>
      </c>
      <c r="BH95" t="str">
        <f t="shared" si="52"/>
        <v>Neutral</v>
      </c>
      <c r="BI95" s="32">
        <f t="shared" si="53"/>
        <v>1</v>
      </c>
    </row>
    <row r="96" spans="1:61" x14ac:dyDescent="0.45">
      <c r="A96" s="30">
        <f>step3_validation[[#This Row],[Persona_ID]]</f>
        <v>95</v>
      </c>
      <c r="B96" s="31">
        <f>step3_validation[[#This Row],[Used_Seed]]</f>
        <v>2120</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32.797203467003534</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6</v>
      </c>
      <c r="R96" t="str">
        <f t="shared" si="27"/>
        <v>Neutral</v>
      </c>
      <c r="S96">
        <f>survey_responses[[#This Row],[Tôi tin rằng với các quy định quản lý thuế hiện nay, hành vi gian lận hoặc trốn thuế sẽ dễ dàng bị phát hiện và xử lý nghiêm. - HUMAN-ENF1]]</f>
        <v>4</v>
      </c>
      <c r="T96" t="str">
        <f t="shared" si="28"/>
        <v>Oppose</v>
      </c>
      <c r="U96" s="32">
        <f t="shared" si="29"/>
        <v>2</v>
      </c>
      <c r="V96">
        <f>step3_validation[[#This Row],[AI_ENF2]]</f>
        <v>8</v>
      </c>
      <c r="W96" t="str">
        <f t="shared" si="30"/>
        <v>Support</v>
      </c>
      <c r="X96">
        <f>survey_responses[[#This Row],[Tôi tin rằng Nhà nước, cơ quan thuế có đủ khả năng và công nghệ để phát hiện, xử lý nghiêm các hành vi trốn thuế. - HUMAN-ENF2]]</f>
        <v>6</v>
      </c>
      <c r="Y96" t="str">
        <f t="shared" si="31"/>
        <v>Neutral</v>
      </c>
      <c r="Z96" s="32">
        <f t="shared" si="32"/>
        <v>2</v>
      </c>
      <c r="AA96">
        <f>step3_validation[[#This Row],[AI_FAC1]]</f>
        <v>9</v>
      </c>
      <c r="AB96" t="str">
        <f t="shared" si="33"/>
        <v>Support</v>
      </c>
      <c r="AC96">
        <f>survey_responses[[#This Row],[Các thủ tục khai báo thuế VÀ/HOẶC quy trình làm việc với cơ quan thuế đơn giản, tiện lợi, nhanh chóng hơn so với trước đây. - HUMAN-FAC1]]</f>
        <v>5</v>
      </c>
      <c r="AD96" t="str">
        <f t="shared" si="34"/>
        <v>Neutral</v>
      </c>
      <c r="AE96" s="32">
        <f t="shared" si="35"/>
        <v>4</v>
      </c>
      <c r="AF96">
        <f>step3_validation[[#This Row],[AI_FAC2]]</f>
        <v>8</v>
      </c>
      <c r="AG96" t="str">
        <f t="shared" si="36"/>
        <v>Support</v>
      </c>
      <c r="AH96">
        <f>survey_responses[[#This Row],[So với trước đây, tôi thấy cách tính thuế và các bậc thuế trong phương án mới đơn giản, dễ hiểu và dễ thực hiện hơn. - HUMAN-FAC2]]</f>
        <v>5</v>
      </c>
      <c r="AI96" t="str">
        <f t="shared" si="37"/>
        <v>Neutral</v>
      </c>
      <c r="AJ96" s="32">
        <f t="shared" si="38"/>
        <v>3</v>
      </c>
      <c r="AK96">
        <f>step3_validation[[#This Row],[AI_TRU1]]</f>
        <v>7</v>
      </c>
      <c r="AL96" t="str">
        <f t="shared" si="39"/>
        <v>Neutral</v>
      </c>
      <c r="AM96">
        <f>survey_responses[[#This Row],[Tôi tin rằng Nhà nước, cơ quan thuế sẽ thực thi chính sách mới một cách khách quan, công tâm và đối xử bình đẳng với mọi người nộp thuế.  - HUMAN-TRU1]]</f>
        <v>4</v>
      </c>
      <c r="AN96" t="str">
        <f t="shared" si="40"/>
        <v>Oppose</v>
      </c>
      <c r="AO96" s="32">
        <f t="shared" si="41"/>
        <v>3</v>
      </c>
      <c r="AP96">
        <f>step3_validation[[#This Row],[AI_TRU2]]</f>
        <v>8</v>
      </c>
      <c r="AQ96" t="str">
        <f t="shared" si="42"/>
        <v>Support</v>
      </c>
      <c r="AR96">
        <f>survey_responses[[#This Row],[Tôi thấy mức thuế tôi phải đóng theo phương án mới là công bằng (người thu nhập như tôi đóng mức này là hợp lý). - HUMAN-TRU2]]</f>
        <v>4</v>
      </c>
      <c r="AS96" t="str">
        <f t="shared" si="43"/>
        <v>Oppose</v>
      </c>
      <c r="AT96" s="32">
        <f t="shared" si="44"/>
        <v>4</v>
      </c>
      <c r="AU96">
        <f>step3_validation[[#This Row],[AI_TRU3]]</f>
        <v>7</v>
      </c>
      <c r="AV96" t="str">
        <f t="shared" si="45"/>
        <v>Neutral</v>
      </c>
      <c r="AW96">
        <f>survey_responses[[#This Row],[Tôi tin tưởng số tiền thuế tôi đóng sẽ được Nhà nước sử dụng hiệu quả để cải thiện dịch vụ công (y tế, đường xá...). - HUMAN-TRU3]]</f>
        <v>3</v>
      </c>
      <c r="AX96" t="str">
        <f t="shared" si="46"/>
        <v>Oppose</v>
      </c>
      <c r="AY96" s="32">
        <f t="shared" si="47"/>
        <v>4</v>
      </c>
      <c r="AZ96">
        <f>step3_validation[[#This Row],[AI_TRU4]]</f>
        <v>6</v>
      </c>
      <c r="BA96" t="str">
        <f t="shared" si="48"/>
        <v>Neutral</v>
      </c>
      <c r="BB96">
        <f>survey_responses[[#This Row],[Tôi thấy Nhà nước đã giải thích rõ ràng, minh bạch về lý do và mục tiêu của việc sửa đổi thuế lần này. - HUMAN-TRU4]]</f>
        <v>4</v>
      </c>
      <c r="BC96" t="str">
        <f t="shared" si="49"/>
        <v>Oppose</v>
      </c>
      <c r="BD96" s="32">
        <f t="shared" si="50"/>
        <v>2</v>
      </c>
      <c r="BE96">
        <f>step3_validation[[#This Row],[AI_OUT1]]</f>
        <v>8</v>
      </c>
      <c r="BF96" t="str">
        <f t="shared" si="51"/>
        <v>Support</v>
      </c>
      <c r="BG96">
        <f>survey_responses[[#This Row],[Sau khi xem xét các quyền lợi và nghĩa vụ, bạn có ủng hộ và tuân thủ chính sách mới hiện nay? - HUMAN-OUT1]]</f>
        <v>3</v>
      </c>
      <c r="BH96" t="str">
        <f t="shared" si="52"/>
        <v>Oppose</v>
      </c>
      <c r="BI96" s="32">
        <f t="shared" si="53"/>
        <v>5</v>
      </c>
    </row>
    <row r="97" spans="1:61" x14ac:dyDescent="0.45">
      <c r="A97" s="30">
        <f>step3_validation[[#This Row],[Persona_ID]]</f>
        <v>96</v>
      </c>
      <c r="B97" s="31">
        <f>step3_validation[[#This Row],[Used_Seed]]</f>
        <v>2121</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7</v>
      </c>
      <c r="R97" t="str">
        <f t="shared" si="27"/>
        <v>Neutral</v>
      </c>
      <c r="S97">
        <f>survey_responses[[#This Row],[Tôi tin rằng với các quy định quản lý thuế hiện nay, hành vi gian lận hoặc trốn thuế sẽ dễ dàng bị phát hiện và xử lý nghiêm. - HUMAN-ENF1]]</f>
        <v>8</v>
      </c>
      <c r="T97" t="str">
        <f t="shared" si="28"/>
        <v>Support</v>
      </c>
      <c r="U97" s="32">
        <f t="shared" si="29"/>
        <v>1</v>
      </c>
      <c r="V97">
        <f>step3_validation[[#This Row],[AI_ENF2]]</f>
        <v>8</v>
      </c>
      <c r="W97" t="str">
        <f t="shared" si="30"/>
        <v>Support</v>
      </c>
      <c r="X97">
        <f>survey_responses[[#This Row],[Tôi tin rằng Nhà nước, cơ quan thuế có đủ khả năng và công nghệ để phát hiện, xử lý nghiêm các hành vi trốn thuế. - HUMAN-ENF2]]</f>
        <v>7</v>
      </c>
      <c r="Y97" t="str">
        <f t="shared" si="31"/>
        <v>Neutral</v>
      </c>
      <c r="Z97" s="32">
        <f t="shared" si="32"/>
        <v>1</v>
      </c>
      <c r="AA97">
        <f>step3_validation[[#This Row],[AI_FAC1]]</f>
        <v>9</v>
      </c>
      <c r="AB97" t="str">
        <f t="shared" si="33"/>
        <v>Support</v>
      </c>
      <c r="AC97">
        <f>survey_responses[[#This Row],[Các thủ tục khai báo thuế VÀ/HOẶC quy trình làm việc với cơ quan thuế đơn giản, tiện lợi, nhanh chóng hơn so với trước đây. - HUMAN-FAC1]]</f>
        <v>5</v>
      </c>
      <c r="AD97" t="str">
        <f t="shared" si="34"/>
        <v>Neutral</v>
      </c>
      <c r="AE97" s="32">
        <f t="shared" si="35"/>
        <v>4</v>
      </c>
      <c r="AF97">
        <f>step3_validation[[#This Row],[AI_FAC2]]</f>
        <v>10</v>
      </c>
      <c r="AG97" t="str">
        <f t="shared" si="36"/>
        <v>Support</v>
      </c>
      <c r="AH97">
        <f>survey_responses[[#This Row],[So với trước đây, tôi thấy cách tính thuế và các bậc thuế trong phương án mới đơn giản, dễ hiểu và dễ thực hiện hơn. - HUMAN-FAC2]]</f>
        <v>7</v>
      </c>
      <c r="AI97" t="str">
        <f t="shared" si="37"/>
        <v>Neutral</v>
      </c>
      <c r="AJ97" s="32">
        <f t="shared" si="38"/>
        <v>3</v>
      </c>
      <c r="AK97">
        <f>step3_validation[[#This Row],[AI_TRU1]]</f>
        <v>9</v>
      </c>
      <c r="AL97" t="str">
        <f t="shared" si="39"/>
        <v>Support</v>
      </c>
      <c r="AM97">
        <f>survey_responses[[#This Row],[Tôi tin rằng Nhà nước, cơ quan thuế sẽ thực thi chính sách mới một cách khách quan, công tâm và đối xử bình đẳng với mọi người nộp thuế.  - HUMAN-TRU1]]</f>
        <v>7</v>
      </c>
      <c r="AN97" t="str">
        <f t="shared" si="40"/>
        <v>Neutral</v>
      </c>
      <c r="AO97" s="32">
        <f t="shared" si="41"/>
        <v>2</v>
      </c>
      <c r="AP97">
        <f>step3_validation[[#This Row],[AI_TRU2]]</f>
        <v>8</v>
      </c>
      <c r="AQ97" t="str">
        <f t="shared" si="42"/>
        <v>Support</v>
      </c>
      <c r="AR97">
        <f>survey_responses[[#This Row],[Tôi thấy mức thuế tôi phải đóng theo phương án mới là công bằng (người thu nhập như tôi đóng mức này là hợp lý). - HUMAN-TRU2]]</f>
        <v>5</v>
      </c>
      <c r="AS97" t="str">
        <f t="shared" si="43"/>
        <v>Neutral</v>
      </c>
      <c r="AT97" s="32">
        <f t="shared" si="44"/>
        <v>3</v>
      </c>
      <c r="AU97">
        <f>step3_validation[[#This Row],[AI_TRU3]]</f>
        <v>9</v>
      </c>
      <c r="AV97" t="str">
        <f t="shared" si="45"/>
        <v>Support</v>
      </c>
      <c r="AW97">
        <f>survey_responses[[#This Row],[Tôi tin tưởng số tiền thuế tôi đóng sẽ được Nhà nước sử dụng hiệu quả để cải thiện dịch vụ công (y tế, đường xá...). - HUMAN-TRU3]]</f>
        <v>5</v>
      </c>
      <c r="AX97" t="str">
        <f t="shared" si="46"/>
        <v>Neutral</v>
      </c>
      <c r="AY97" s="32">
        <f t="shared" si="47"/>
        <v>4</v>
      </c>
      <c r="AZ97">
        <f>step3_validation[[#This Row],[AI_TRU4]]</f>
        <v>8</v>
      </c>
      <c r="BA97" t="str">
        <f t="shared" si="48"/>
        <v>Support</v>
      </c>
      <c r="BB97">
        <f>survey_responses[[#This Row],[Tôi thấy Nhà nước đã giải thích rõ ràng, minh bạch về lý do và mục tiêu của việc sửa đổi thuế lần này. - HUMAN-TRU4]]</f>
        <v>7</v>
      </c>
      <c r="BC97" t="str">
        <f t="shared" si="49"/>
        <v>Neutral</v>
      </c>
      <c r="BD97" s="32">
        <f t="shared" si="50"/>
        <v>1</v>
      </c>
      <c r="BE97">
        <f>step3_validation[[#This Row],[AI_OUT1]]</f>
        <v>9</v>
      </c>
      <c r="BF97" t="str">
        <f t="shared" si="51"/>
        <v>Support</v>
      </c>
      <c r="BG97">
        <f>survey_responses[[#This Row],[Sau khi xem xét các quyền lợi và nghĩa vụ, bạn có ủng hộ và tuân thủ chính sách mới hiện nay? - HUMAN-OUT1]]</f>
        <v>7</v>
      </c>
      <c r="BH97" t="str">
        <f t="shared" si="52"/>
        <v>Neutral</v>
      </c>
      <c r="BI97" s="32">
        <f t="shared" si="53"/>
        <v>2</v>
      </c>
    </row>
    <row r="98" spans="1:61" x14ac:dyDescent="0.45">
      <c r="A98" s="30">
        <f>step3_validation[[#This Row],[Persona_ID]]</f>
        <v>97</v>
      </c>
      <c r="B98" s="31">
        <f>step3_validation[[#This Row],[Used_Seed]]</f>
        <v>2122</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199.28255035736009</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7</v>
      </c>
      <c r="R98" t="str">
        <f t="shared" si="27"/>
        <v>Neutral</v>
      </c>
      <c r="S98">
        <f>survey_responses[[#This Row],[Tôi tin rằng với các quy định quản lý thuế hiện nay, hành vi gian lận hoặc trốn thuế sẽ dễ dàng bị phát hiện và xử lý nghiêm. - HUMAN-ENF1]]</f>
        <v>6</v>
      </c>
      <c r="T98" t="str">
        <f t="shared" si="28"/>
        <v>Neutral</v>
      </c>
      <c r="U98" s="32">
        <f t="shared" si="29"/>
        <v>1</v>
      </c>
      <c r="V98">
        <f>step3_validation[[#This Row],[AI_ENF2]]</f>
        <v>8</v>
      </c>
      <c r="W98" t="str">
        <f t="shared" si="30"/>
        <v>Support</v>
      </c>
      <c r="X98">
        <f>survey_responses[[#This Row],[Tôi tin rằng Nhà nước, cơ quan thuế có đủ khả năng và công nghệ để phát hiện, xử lý nghiêm các hành vi trốn thuế. - HUMAN-ENF2]]</f>
        <v>6</v>
      </c>
      <c r="Y98" t="str">
        <f t="shared" si="31"/>
        <v>Neutral</v>
      </c>
      <c r="Z98" s="32">
        <f t="shared" si="32"/>
        <v>2</v>
      </c>
      <c r="AA98">
        <f>step3_validation[[#This Row],[AI_FAC1]]</f>
        <v>7</v>
      </c>
      <c r="AB98" t="str">
        <f t="shared" si="33"/>
        <v>Neutral</v>
      </c>
      <c r="AC98">
        <f>survey_responses[[#This Row],[Các thủ tục khai báo thuế VÀ/HOẶC quy trình làm việc với cơ quan thuế đơn giản, tiện lợi, nhanh chóng hơn so với trước đây. - HUMAN-FAC1]]</f>
        <v>5</v>
      </c>
      <c r="AD98" t="str">
        <f t="shared" si="34"/>
        <v>Neutral</v>
      </c>
      <c r="AE98" s="32">
        <f t="shared" si="35"/>
        <v>2</v>
      </c>
      <c r="AF98">
        <f>step3_validation[[#This Row],[AI_FAC2]]</f>
        <v>9</v>
      </c>
      <c r="AG98" t="str">
        <f t="shared" si="36"/>
        <v>Support</v>
      </c>
      <c r="AH98">
        <f>survey_responses[[#This Row],[So với trước đây, tôi thấy cách tính thuế và các bậc thuế trong phương án mới đơn giản, dễ hiểu và dễ thực hiện hơn. - HUMAN-FAC2]]</f>
        <v>5</v>
      </c>
      <c r="AI98" t="str">
        <f t="shared" si="37"/>
        <v>Neutral</v>
      </c>
      <c r="AJ98" s="32">
        <f t="shared" si="38"/>
        <v>4</v>
      </c>
      <c r="AK98">
        <f>step3_validation[[#This Row],[AI_TRU1]]</f>
        <v>6</v>
      </c>
      <c r="AL98" t="str">
        <f t="shared" si="39"/>
        <v>Neutral</v>
      </c>
      <c r="AM98">
        <f>survey_responses[[#This Row],[Tôi tin rằng Nhà nước, cơ quan thuế sẽ thực thi chính sách mới một cách khách quan, công tâm và đối xử bình đẳng với mọi người nộp thuế.  - HUMAN-TRU1]]</f>
        <v>5</v>
      </c>
      <c r="AN98" t="str">
        <f t="shared" si="40"/>
        <v>Neutral</v>
      </c>
      <c r="AO98" s="32">
        <f t="shared" si="41"/>
        <v>1</v>
      </c>
      <c r="AP98">
        <f>step3_validation[[#This Row],[AI_TRU2]]</f>
        <v>9</v>
      </c>
      <c r="AQ98" t="str">
        <f t="shared" si="42"/>
        <v>Support</v>
      </c>
      <c r="AR98">
        <f>survey_responses[[#This Row],[Tôi thấy mức thuế tôi phải đóng theo phương án mới là công bằng (người thu nhập như tôi đóng mức này là hợp lý). - HUMAN-TRU2]]</f>
        <v>5</v>
      </c>
      <c r="AS98" t="str">
        <f t="shared" si="43"/>
        <v>Neutral</v>
      </c>
      <c r="AT98" s="32">
        <f t="shared" si="44"/>
        <v>4</v>
      </c>
      <c r="AU98">
        <f>step3_validation[[#This Row],[AI_TRU3]]</f>
        <v>6</v>
      </c>
      <c r="AV98" t="str">
        <f t="shared" si="45"/>
        <v>Neutral</v>
      </c>
      <c r="AW98">
        <f>survey_responses[[#This Row],[Tôi tin tưởng số tiền thuế tôi đóng sẽ được Nhà nước sử dụng hiệu quả để cải thiện dịch vụ công (y tế, đường xá...). - HUMAN-TRU3]]</f>
        <v>5</v>
      </c>
      <c r="AX98" t="str">
        <f t="shared" si="46"/>
        <v>Neutral</v>
      </c>
      <c r="AY98" s="32">
        <f t="shared" si="47"/>
        <v>1</v>
      </c>
      <c r="AZ98">
        <f>step3_validation[[#This Row],[AI_TRU4]]</f>
        <v>7</v>
      </c>
      <c r="BA98" t="str">
        <f t="shared" si="48"/>
        <v>Neutral</v>
      </c>
      <c r="BB98">
        <f>survey_responses[[#This Row],[Tôi thấy Nhà nước đã giải thích rõ ràng, minh bạch về lý do và mục tiêu của việc sửa đổi thuế lần này. - HUMAN-TRU4]]</f>
        <v>5</v>
      </c>
      <c r="BC98" t="str">
        <f t="shared" si="49"/>
        <v>Neutral</v>
      </c>
      <c r="BD98" s="32">
        <f t="shared" si="50"/>
        <v>2</v>
      </c>
      <c r="BE98">
        <f>step3_validation[[#This Row],[AI_OUT1]]</f>
        <v>8</v>
      </c>
      <c r="BF98" t="str">
        <f t="shared" si="51"/>
        <v>Support</v>
      </c>
      <c r="BG98">
        <f>survey_responses[[#This Row],[Sau khi xem xét các quyền lợi và nghĩa vụ, bạn có ủng hộ và tuân thủ chính sách mới hiện nay? - HUMAN-OUT1]]</f>
        <v>5</v>
      </c>
      <c r="BH98" t="str">
        <f t="shared" si="52"/>
        <v>Neutral</v>
      </c>
      <c r="BI98" s="32">
        <f t="shared" si="53"/>
        <v>3</v>
      </c>
    </row>
    <row r="99" spans="1:61" x14ac:dyDescent="0.45">
      <c r="A99" s="30">
        <f>step3_validation[[#This Row],[Persona_ID]]</f>
        <v>98</v>
      </c>
      <c r="B99" s="31">
        <f>step3_validation[[#This Row],[Used_Seed]]</f>
        <v>2123</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18.927292328244672</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7</v>
      </c>
      <c r="R99" t="str">
        <f t="shared" si="27"/>
        <v>Neutral</v>
      </c>
      <c r="S99">
        <f>survey_responses[[#This Row],[Tôi tin rằng với các quy định quản lý thuế hiện nay, hành vi gian lận hoặc trốn thuế sẽ dễ dàng bị phát hiện và xử lý nghiêm. - HUMAN-ENF1]]</f>
        <v>8</v>
      </c>
      <c r="T99" t="str">
        <f t="shared" si="28"/>
        <v>Support</v>
      </c>
      <c r="U99" s="32">
        <f t="shared" si="29"/>
        <v>1</v>
      </c>
      <c r="V99">
        <f>step3_validation[[#This Row],[AI_ENF2]]</f>
        <v>6</v>
      </c>
      <c r="W99" t="str">
        <f t="shared" si="30"/>
        <v>Neutral</v>
      </c>
      <c r="X99">
        <f>survey_responses[[#This Row],[Tôi tin rằng Nhà nước, cơ quan thuế có đủ khả năng và công nghệ để phát hiện, xử lý nghiêm các hành vi trốn thuế. - HUMAN-ENF2]]</f>
        <v>8</v>
      </c>
      <c r="Y99" t="str">
        <f t="shared" si="31"/>
        <v>Support</v>
      </c>
      <c r="Z99" s="32">
        <f t="shared" si="32"/>
        <v>2</v>
      </c>
      <c r="AA99">
        <f>step3_validation[[#This Row],[AI_FAC1]]</f>
        <v>8</v>
      </c>
      <c r="AB99" t="str">
        <f t="shared" si="33"/>
        <v>Support</v>
      </c>
      <c r="AC99">
        <f>survey_responses[[#This Row],[Các thủ tục khai báo thuế VÀ/HOẶC quy trình làm việc với cơ quan thuế đơn giản, tiện lợi, nhanh chóng hơn so với trước đây. - HUMAN-FAC1]]</f>
        <v>5</v>
      </c>
      <c r="AD99" t="str">
        <f t="shared" si="34"/>
        <v>Neutral</v>
      </c>
      <c r="AE99" s="32">
        <f t="shared" si="35"/>
        <v>3</v>
      </c>
      <c r="AF99">
        <f>step3_validation[[#This Row],[AI_FAC2]]</f>
        <v>9</v>
      </c>
      <c r="AG99" t="str">
        <f t="shared" si="36"/>
        <v>Support</v>
      </c>
      <c r="AH99">
        <f>survey_responses[[#This Row],[So với trước đây, tôi thấy cách tính thuế và các bậc thuế trong phương án mới đơn giản, dễ hiểu và dễ thực hiện hơn. - HUMAN-FAC2]]</f>
        <v>8</v>
      </c>
      <c r="AI99" t="str">
        <f t="shared" si="37"/>
        <v>Support</v>
      </c>
      <c r="AJ99" s="32">
        <f t="shared" si="38"/>
        <v>1</v>
      </c>
      <c r="AK99">
        <f>step3_validation[[#This Row],[AI_TRU1]]</f>
        <v>7</v>
      </c>
      <c r="AL99" t="str">
        <f t="shared" si="39"/>
        <v>Neutral</v>
      </c>
      <c r="AM99">
        <f>survey_responses[[#This Row],[Tôi tin rằng Nhà nước, cơ quan thuế sẽ thực thi chính sách mới một cách khách quan, công tâm và đối xử bình đẳng với mọi người nộp thuế.  - HUMAN-TRU1]]</f>
        <v>6</v>
      </c>
      <c r="AN99" t="str">
        <f t="shared" si="40"/>
        <v>Neutral</v>
      </c>
      <c r="AO99" s="32">
        <f t="shared" si="41"/>
        <v>1</v>
      </c>
      <c r="AP99">
        <f>step3_validation[[#This Row],[AI_TRU2]]</f>
        <v>8</v>
      </c>
      <c r="AQ99" t="str">
        <f t="shared" si="42"/>
        <v>Support</v>
      </c>
      <c r="AR99">
        <f>survey_responses[[#This Row],[Tôi thấy mức thuế tôi phải đóng theo phương án mới là công bằng (người thu nhập như tôi đóng mức này là hợp lý). - HUMAN-TRU2]]</f>
        <v>9</v>
      </c>
      <c r="AS99" t="str">
        <f t="shared" si="43"/>
        <v>Support</v>
      </c>
      <c r="AT99" s="32">
        <f t="shared" si="44"/>
        <v>1</v>
      </c>
      <c r="AU99">
        <f>step3_validation[[#This Row],[AI_TRU3]]</f>
        <v>7</v>
      </c>
      <c r="AV99" t="str">
        <f t="shared" si="45"/>
        <v>Neutral</v>
      </c>
      <c r="AW99">
        <f>survey_responses[[#This Row],[Tôi tin tưởng số tiền thuế tôi đóng sẽ được Nhà nước sử dụng hiệu quả để cải thiện dịch vụ công (y tế, đường xá...). - HUMAN-TRU3]]</f>
        <v>5</v>
      </c>
      <c r="AX99" t="str">
        <f t="shared" si="46"/>
        <v>Neutral</v>
      </c>
      <c r="AY99" s="32">
        <f t="shared" si="47"/>
        <v>2</v>
      </c>
      <c r="AZ99">
        <f>step3_validation[[#This Row],[AI_TRU4]]</f>
        <v>6</v>
      </c>
      <c r="BA99" t="str">
        <f t="shared" si="48"/>
        <v>Neutral</v>
      </c>
      <c r="BB99">
        <f>survey_responses[[#This Row],[Tôi thấy Nhà nước đã giải thích rõ ràng, minh bạch về lý do và mục tiêu của việc sửa đổi thuế lần này. - HUMAN-TRU4]]</f>
        <v>7</v>
      </c>
      <c r="BC99" t="str">
        <f t="shared" si="49"/>
        <v>Neutral</v>
      </c>
      <c r="BD99" s="32">
        <f t="shared" si="50"/>
        <v>1</v>
      </c>
      <c r="BE99">
        <f>step3_validation[[#This Row],[AI_OUT1]]</f>
        <v>9</v>
      </c>
      <c r="BF99" t="str">
        <f t="shared" si="51"/>
        <v>Support</v>
      </c>
      <c r="BG99">
        <f>survey_responses[[#This Row],[Sau khi xem xét các quyền lợi và nghĩa vụ, bạn có ủng hộ và tuân thủ chính sách mới hiện nay? - HUMAN-OUT1]]</f>
        <v>8</v>
      </c>
      <c r="BH99" t="str">
        <f t="shared" si="52"/>
        <v>Support</v>
      </c>
      <c r="BI99" s="32">
        <f t="shared" si="53"/>
        <v>1</v>
      </c>
    </row>
    <row r="100" spans="1:61" x14ac:dyDescent="0.45">
      <c r="A100" s="30">
        <f>step3_validation[[#This Row],[Persona_ID]]</f>
        <v>99</v>
      </c>
      <c r="B100" s="31">
        <f>step3_validation[[#This Row],[Used_Seed]]</f>
        <v>2124</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26.243013701026527</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6</v>
      </c>
      <c r="R100" t="str">
        <f t="shared" si="27"/>
        <v>Neutral</v>
      </c>
      <c r="S100">
        <f>survey_responses[[#This Row],[Tôi tin rằng với các quy định quản lý thuế hiện nay, hành vi gian lận hoặc trốn thuế sẽ dễ dàng bị phát hiện và xử lý nghiêm. - HUMAN-ENF1]]</f>
        <v>6</v>
      </c>
      <c r="T100" t="str">
        <f t="shared" si="28"/>
        <v>Neutral</v>
      </c>
      <c r="U100" s="32">
        <f t="shared" si="29"/>
        <v>0</v>
      </c>
      <c r="V100">
        <f>step3_validation[[#This Row],[AI_ENF2]]</f>
        <v>7</v>
      </c>
      <c r="W100" t="str">
        <f t="shared" si="30"/>
        <v>Neutral</v>
      </c>
      <c r="X100">
        <f>survey_responses[[#This Row],[Tôi tin rằng Nhà nước, cơ quan thuế có đủ khả năng và công nghệ để phát hiện, xử lý nghiêm các hành vi trốn thuế. - HUMAN-ENF2]]</f>
        <v>6</v>
      </c>
      <c r="Y100" t="str">
        <f t="shared" si="31"/>
        <v>Neutral</v>
      </c>
      <c r="Z100" s="32">
        <f t="shared" si="32"/>
        <v>1</v>
      </c>
      <c r="AA100">
        <f>step3_validation[[#This Row],[AI_FAC1]]</f>
        <v>9</v>
      </c>
      <c r="AB100" t="str">
        <f t="shared" si="33"/>
        <v>Support</v>
      </c>
      <c r="AC100">
        <f>survey_responses[[#This Row],[Các thủ tục khai báo thuế VÀ/HOẶC quy trình làm việc với cơ quan thuế đơn giản, tiện lợi, nhanh chóng hơn so với trước đây. - HUMAN-FAC1]]</f>
        <v>3</v>
      </c>
      <c r="AD100" t="str">
        <f t="shared" si="34"/>
        <v>Oppose</v>
      </c>
      <c r="AE100" s="32">
        <f t="shared" si="35"/>
        <v>6</v>
      </c>
      <c r="AF100">
        <f>step3_validation[[#This Row],[AI_FAC2]]</f>
        <v>9</v>
      </c>
      <c r="AG100" t="str">
        <f t="shared" si="36"/>
        <v>Support</v>
      </c>
      <c r="AH100">
        <f>survey_responses[[#This Row],[So với trước đây, tôi thấy cách tính thuế và các bậc thuế trong phương án mới đơn giản, dễ hiểu và dễ thực hiện hơn. - HUMAN-FAC2]]</f>
        <v>6</v>
      </c>
      <c r="AI100" t="str">
        <f t="shared" si="37"/>
        <v>Neutral</v>
      </c>
      <c r="AJ100" s="32">
        <f t="shared" si="38"/>
        <v>3</v>
      </c>
      <c r="AK100">
        <f>step3_validation[[#This Row],[AI_TRU1]]</f>
        <v>7</v>
      </c>
      <c r="AL100" t="str">
        <f t="shared" si="39"/>
        <v>Neutral</v>
      </c>
      <c r="AM100">
        <f>survey_responses[[#This Row],[Tôi tin rằng Nhà nước, cơ quan thuế sẽ thực thi chính sách mới một cách khách quan, công tâm và đối xử bình đẳng với mọi người nộp thuế.  - HUMAN-TRU1]]</f>
        <v>5</v>
      </c>
      <c r="AN100" t="str">
        <f t="shared" si="40"/>
        <v>Neutral</v>
      </c>
      <c r="AO100" s="32">
        <f t="shared" si="41"/>
        <v>2</v>
      </c>
      <c r="AP100">
        <f>step3_validation[[#This Row],[AI_TRU2]]</f>
        <v>8</v>
      </c>
      <c r="AQ100" t="str">
        <f t="shared" si="42"/>
        <v>Support</v>
      </c>
      <c r="AR100">
        <f>survey_responses[[#This Row],[Tôi thấy mức thuế tôi phải đóng theo phương án mới là công bằng (người thu nhập như tôi đóng mức này là hợp lý). - HUMAN-TRU2]]</f>
        <v>6</v>
      </c>
      <c r="AS100" t="str">
        <f t="shared" si="43"/>
        <v>Neutral</v>
      </c>
      <c r="AT100" s="32">
        <f t="shared" si="44"/>
        <v>2</v>
      </c>
      <c r="AU100">
        <f>step3_validation[[#This Row],[AI_TRU3]]</f>
        <v>7</v>
      </c>
      <c r="AV100" t="str">
        <f t="shared" si="45"/>
        <v>Neutral</v>
      </c>
      <c r="AW100">
        <f>survey_responses[[#This Row],[Tôi tin tưởng số tiền thuế tôi đóng sẽ được Nhà nước sử dụng hiệu quả để cải thiện dịch vụ công (y tế, đường xá...). - HUMAN-TRU3]]</f>
        <v>5</v>
      </c>
      <c r="AX100" t="str">
        <f t="shared" si="46"/>
        <v>Neutral</v>
      </c>
      <c r="AY100" s="32">
        <f t="shared" si="47"/>
        <v>2</v>
      </c>
      <c r="AZ100">
        <f>step3_validation[[#This Row],[AI_TRU4]]</f>
        <v>6</v>
      </c>
      <c r="BA100" t="str">
        <f t="shared" si="48"/>
        <v>Neutral</v>
      </c>
      <c r="BB100">
        <f>survey_responses[[#This Row],[Tôi thấy Nhà nước đã giải thích rõ ràng, minh bạch về lý do và mục tiêu của việc sửa đổi thuế lần này. - HUMAN-TRU4]]</f>
        <v>6</v>
      </c>
      <c r="BC100" t="str">
        <f t="shared" si="49"/>
        <v>Neutral</v>
      </c>
      <c r="BD100" s="32">
        <f t="shared" si="50"/>
        <v>0</v>
      </c>
      <c r="BE100">
        <f>step3_validation[[#This Row],[AI_OUT1]]</f>
        <v>9</v>
      </c>
      <c r="BF100" t="str">
        <f t="shared" si="51"/>
        <v>Support</v>
      </c>
      <c r="BG100">
        <f>survey_responses[[#This Row],[Sau khi xem xét các quyền lợi và nghĩa vụ, bạn có ủng hộ và tuân thủ chính sách mới hiện nay? - HUMAN-OUT1]]</f>
        <v>6</v>
      </c>
      <c r="BH100" t="str">
        <f t="shared" si="52"/>
        <v>Neutral</v>
      </c>
      <c r="BI100" s="32">
        <f t="shared" si="53"/>
        <v>3</v>
      </c>
    </row>
    <row r="101" spans="1:61" x14ac:dyDescent="0.45">
      <c r="A101" s="30">
        <f>step3_validation[[#This Row],[Persona_ID]]</f>
        <v>100</v>
      </c>
      <c r="B101" s="31">
        <f>step3_validation[[#This Row],[Used_Seed]]</f>
        <v>2125</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13.971867425319756</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6</v>
      </c>
      <c r="R101" t="str">
        <f t="shared" si="27"/>
        <v>Neutral</v>
      </c>
      <c r="S101">
        <f>survey_responses[[#This Row],[Tôi tin rằng với các quy định quản lý thuế hiện nay, hành vi gian lận hoặc trốn thuế sẽ dễ dàng bị phát hiện và xử lý nghiêm. - HUMAN-ENF1]]</f>
        <v>8</v>
      </c>
      <c r="T101" t="str">
        <f t="shared" si="28"/>
        <v>Support</v>
      </c>
      <c r="U101" s="32">
        <f t="shared" si="29"/>
        <v>2</v>
      </c>
      <c r="V101">
        <f>step3_validation[[#This Row],[AI_ENF2]]</f>
        <v>5</v>
      </c>
      <c r="W101" t="str">
        <f t="shared" si="30"/>
        <v>Neutral</v>
      </c>
      <c r="X101">
        <f>survey_responses[[#This Row],[Tôi tin rằng Nhà nước, cơ quan thuế có đủ khả năng và công nghệ để phát hiện, xử lý nghiêm các hành vi trốn thuế. - HUMAN-ENF2]]</f>
        <v>8</v>
      </c>
      <c r="Y101" t="str">
        <f t="shared" si="31"/>
        <v>Support</v>
      </c>
      <c r="Z101" s="32">
        <f t="shared" si="32"/>
        <v>3</v>
      </c>
      <c r="AA101">
        <f>step3_validation[[#This Row],[AI_FAC1]]</f>
        <v>8</v>
      </c>
      <c r="AB101" t="str">
        <f t="shared" si="33"/>
        <v>Support</v>
      </c>
      <c r="AC101">
        <f>survey_responses[[#This Row],[Các thủ tục khai báo thuế VÀ/HOẶC quy trình làm việc với cơ quan thuế đơn giản, tiện lợi, nhanh chóng hơn so với trước đây. - HUMAN-FAC1]]</f>
        <v>8</v>
      </c>
      <c r="AD101" t="str">
        <f t="shared" si="34"/>
        <v>Support</v>
      </c>
      <c r="AE101" s="32">
        <f t="shared" si="35"/>
        <v>0</v>
      </c>
      <c r="AF101">
        <f>step3_validation[[#This Row],[AI_FAC2]]</f>
        <v>9</v>
      </c>
      <c r="AG101" t="str">
        <f t="shared" si="36"/>
        <v>Support</v>
      </c>
      <c r="AH101">
        <f>survey_responses[[#This Row],[So với trước đây, tôi thấy cách tính thuế và các bậc thuế trong phương án mới đơn giản, dễ hiểu và dễ thực hiện hơn. - HUMAN-FAC2]]</f>
        <v>10</v>
      </c>
      <c r="AI101" t="str">
        <f t="shared" si="37"/>
        <v>Support</v>
      </c>
      <c r="AJ101" s="32">
        <f t="shared" si="38"/>
        <v>1</v>
      </c>
      <c r="AK101">
        <f>step3_validation[[#This Row],[AI_TRU1]]</f>
        <v>8</v>
      </c>
      <c r="AL101" t="str">
        <f t="shared" si="39"/>
        <v>Support</v>
      </c>
      <c r="AM101">
        <f>survey_responses[[#This Row],[Tôi tin rằng Nhà nước, cơ quan thuế sẽ thực thi chính sách mới một cách khách quan, công tâm và đối xử bình đẳng với mọi người nộp thuế.  - HUMAN-TRU1]]</f>
        <v>10</v>
      </c>
      <c r="AN101" t="str">
        <f t="shared" si="40"/>
        <v>Support</v>
      </c>
      <c r="AO101" s="32">
        <f t="shared" si="41"/>
        <v>2</v>
      </c>
      <c r="AP101">
        <f>step3_validation[[#This Row],[AI_TRU2]]</f>
        <v>7</v>
      </c>
      <c r="AQ101" t="str">
        <f t="shared" si="42"/>
        <v>Neutral</v>
      </c>
      <c r="AR101">
        <f>survey_responses[[#This Row],[Tôi thấy mức thuế tôi phải đóng theo phương án mới là công bằng (người thu nhập như tôi đóng mức này là hợp lý). - HUMAN-TRU2]]</f>
        <v>10</v>
      </c>
      <c r="AS101" t="str">
        <f t="shared" si="43"/>
        <v>Support</v>
      </c>
      <c r="AT101" s="32">
        <f t="shared" si="44"/>
        <v>3</v>
      </c>
      <c r="AU101">
        <f>step3_validation[[#This Row],[AI_TRU3]]</f>
        <v>6</v>
      </c>
      <c r="AV101" t="str">
        <f t="shared" si="45"/>
        <v>Neutral</v>
      </c>
      <c r="AW101">
        <f>survey_responses[[#This Row],[Tôi tin tưởng số tiền thuế tôi đóng sẽ được Nhà nước sử dụng hiệu quả để cải thiện dịch vụ công (y tế, đường xá...). - HUMAN-TRU3]]</f>
        <v>10</v>
      </c>
      <c r="AX101" t="str">
        <f t="shared" si="46"/>
        <v>Support</v>
      </c>
      <c r="AY101" s="32">
        <f t="shared" si="47"/>
        <v>4</v>
      </c>
      <c r="AZ101">
        <f>step3_validation[[#This Row],[AI_TRU4]]</f>
        <v>7</v>
      </c>
      <c r="BA101" t="str">
        <f t="shared" si="48"/>
        <v>Neutral</v>
      </c>
      <c r="BB101">
        <f>survey_responses[[#This Row],[Tôi thấy Nhà nước đã giải thích rõ ràng, minh bạch về lý do và mục tiêu của việc sửa đổi thuế lần này. - HUMAN-TRU4]]</f>
        <v>10</v>
      </c>
      <c r="BC101" t="str">
        <f t="shared" si="49"/>
        <v>Support</v>
      </c>
      <c r="BD101" s="32">
        <f t="shared" si="50"/>
        <v>3</v>
      </c>
      <c r="BE101">
        <f>step3_validation[[#This Row],[AI_OUT1]]</f>
        <v>9</v>
      </c>
      <c r="BF101" t="str">
        <f t="shared" si="51"/>
        <v>Support</v>
      </c>
      <c r="BG101">
        <f>survey_responses[[#This Row],[Sau khi xem xét các quyền lợi và nghĩa vụ, bạn có ủng hộ và tuân thủ chính sách mới hiện nay? - HUMAN-OUT1]]</f>
        <v>10</v>
      </c>
      <c r="BH101" t="str">
        <f t="shared" si="52"/>
        <v>Support</v>
      </c>
      <c r="BI101" s="32">
        <f t="shared" si="53"/>
        <v>1</v>
      </c>
    </row>
    <row r="102" spans="1:61" x14ac:dyDescent="0.45">
      <c r="A102" s="30">
        <f>step3_validation[[#This Row],[Persona_ID]]</f>
        <v>101</v>
      </c>
      <c r="B102" s="31">
        <f>step3_validation[[#This Row],[Used_Seed]]</f>
        <v>2126</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82.344373966456686</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7</v>
      </c>
      <c r="R102" t="str">
        <f t="shared" si="27"/>
        <v>Neutral</v>
      </c>
      <c r="S102">
        <f>survey_responses[[#This Row],[Tôi tin rằng với các quy định quản lý thuế hiện nay, hành vi gian lận hoặc trốn thuế sẽ dễ dàng bị phát hiện và xử lý nghiêm. - HUMAN-ENF1]]</f>
        <v>8</v>
      </c>
      <c r="T102" t="str">
        <f t="shared" si="28"/>
        <v>Support</v>
      </c>
      <c r="U102" s="32">
        <f t="shared" si="29"/>
        <v>1</v>
      </c>
      <c r="V102">
        <f>step3_validation[[#This Row],[AI_ENF2]]</f>
        <v>8</v>
      </c>
      <c r="W102" t="str">
        <f t="shared" si="30"/>
        <v>Support</v>
      </c>
      <c r="X102">
        <f>survey_responses[[#This Row],[Tôi tin rằng Nhà nước, cơ quan thuế có đủ khả năng và công nghệ để phát hiện, xử lý nghiêm các hành vi trốn thuế. - HUMAN-ENF2]]</f>
        <v>8</v>
      </c>
      <c r="Y102" t="str">
        <f t="shared" si="31"/>
        <v>Support</v>
      </c>
      <c r="Z102" s="32">
        <f t="shared" si="32"/>
        <v>0</v>
      </c>
      <c r="AA102">
        <f>step3_validation[[#This Row],[AI_FAC1]]</f>
        <v>9</v>
      </c>
      <c r="AB102" t="str">
        <f t="shared" si="33"/>
        <v>Support</v>
      </c>
      <c r="AC102">
        <f>survey_responses[[#This Row],[Các thủ tục khai báo thuế VÀ/HOẶC quy trình làm việc với cơ quan thuế đơn giản, tiện lợi, nhanh chóng hơn so với trước đây. - HUMAN-FAC1]]</f>
        <v>7</v>
      </c>
      <c r="AD102" t="str">
        <f t="shared" si="34"/>
        <v>Neutral</v>
      </c>
      <c r="AE102" s="32">
        <f t="shared" si="35"/>
        <v>2</v>
      </c>
      <c r="AF102">
        <f>step3_validation[[#This Row],[AI_FAC2]]</f>
        <v>8</v>
      </c>
      <c r="AG102" t="str">
        <f t="shared" si="36"/>
        <v>Support</v>
      </c>
      <c r="AH102">
        <f>survey_responses[[#This Row],[So với trước đây, tôi thấy cách tính thuế và các bậc thuế trong phương án mới đơn giản, dễ hiểu và dễ thực hiện hơn. - HUMAN-FAC2]]</f>
        <v>8</v>
      </c>
      <c r="AI102" t="str">
        <f t="shared" si="37"/>
        <v>Support</v>
      </c>
      <c r="AJ102" s="32">
        <f t="shared" si="38"/>
        <v>0</v>
      </c>
      <c r="AK102">
        <f>step3_validation[[#This Row],[AI_TRU1]]</f>
        <v>6</v>
      </c>
      <c r="AL102" t="str">
        <f t="shared" si="39"/>
        <v>Neutral</v>
      </c>
      <c r="AM102">
        <f>survey_responses[[#This Row],[Tôi tin rằng Nhà nước, cơ quan thuế sẽ thực thi chính sách mới một cách khách quan, công tâm và đối xử bình đẳng với mọi người nộp thuế.  - HUMAN-TRU1]]</f>
        <v>8</v>
      </c>
      <c r="AN102" t="str">
        <f t="shared" si="40"/>
        <v>Support</v>
      </c>
      <c r="AO102" s="32">
        <f t="shared" si="41"/>
        <v>2</v>
      </c>
      <c r="AP102">
        <f>step3_validation[[#This Row],[AI_TRU2]]</f>
        <v>9</v>
      </c>
      <c r="AQ102" t="str">
        <f t="shared" si="42"/>
        <v>Support</v>
      </c>
      <c r="AR102">
        <f>survey_responses[[#This Row],[Tôi thấy mức thuế tôi phải đóng theo phương án mới là công bằng (người thu nhập như tôi đóng mức này là hợp lý). - HUMAN-TRU2]]</f>
        <v>7</v>
      </c>
      <c r="AS102" t="str">
        <f t="shared" si="43"/>
        <v>Neutral</v>
      </c>
      <c r="AT102" s="32">
        <f t="shared" si="44"/>
        <v>2</v>
      </c>
      <c r="AU102">
        <f>step3_validation[[#This Row],[AI_TRU3]]</f>
        <v>7</v>
      </c>
      <c r="AV102" t="str">
        <f t="shared" si="45"/>
        <v>Neutral</v>
      </c>
      <c r="AW102">
        <f>survey_responses[[#This Row],[Tôi tin tưởng số tiền thuế tôi đóng sẽ được Nhà nước sử dụng hiệu quả để cải thiện dịch vụ công (y tế, đường xá...). - HUMAN-TRU3]]</f>
        <v>7</v>
      </c>
      <c r="AX102" t="str">
        <f t="shared" si="46"/>
        <v>Neutral</v>
      </c>
      <c r="AY102" s="32">
        <f t="shared" si="47"/>
        <v>0</v>
      </c>
      <c r="AZ102">
        <f>step3_validation[[#This Row],[AI_TRU4]]</f>
        <v>8</v>
      </c>
      <c r="BA102" t="str">
        <f t="shared" si="48"/>
        <v>Support</v>
      </c>
      <c r="BB102">
        <f>survey_responses[[#This Row],[Tôi thấy Nhà nước đã giải thích rõ ràng, minh bạch về lý do và mục tiêu của việc sửa đổi thuế lần này. - HUMAN-TRU4]]</f>
        <v>7</v>
      </c>
      <c r="BC102" t="str">
        <f t="shared" si="49"/>
        <v>Neutral</v>
      </c>
      <c r="BD102" s="32">
        <f t="shared" si="50"/>
        <v>1</v>
      </c>
      <c r="BE102">
        <f>step3_validation[[#This Row],[AI_OUT1]]</f>
        <v>9</v>
      </c>
      <c r="BF102" t="str">
        <f t="shared" si="51"/>
        <v>Support</v>
      </c>
      <c r="BG102">
        <f>survey_responses[[#This Row],[Sau khi xem xét các quyền lợi và nghĩa vụ, bạn có ủng hộ và tuân thủ chính sách mới hiện nay? - HUMAN-OUT1]]</f>
        <v>8</v>
      </c>
      <c r="BH102" t="str">
        <f t="shared" si="52"/>
        <v>Support</v>
      </c>
      <c r="BI102" s="32">
        <f t="shared" si="53"/>
        <v>1</v>
      </c>
    </row>
    <row r="103" spans="1:61" x14ac:dyDescent="0.45">
      <c r="A103" s="30">
        <f>step3_validation[[#This Row],[Persona_ID]]</f>
        <v>102</v>
      </c>
      <c r="B103" s="31">
        <f>step3_validation[[#This Row],[Used_Seed]]</f>
        <v>2127</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16.930439079791338</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7</v>
      </c>
      <c r="R103" t="str">
        <f t="shared" si="27"/>
        <v>Neutral</v>
      </c>
      <c r="S103">
        <f>survey_responses[[#This Row],[Tôi tin rằng với các quy định quản lý thuế hiện nay, hành vi gian lận hoặc trốn thuế sẽ dễ dàng bị phát hiện và xử lý nghiêm. - HUMAN-ENF1]]</f>
        <v>5</v>
      </c>
      <c r="T103" t="str">
        <f t="shared" si="28"/>
        <v>Neutral</v>
      </c>
      <c r="U103" s="32">
        <f t="shared" si="29"/>
        <v>2</v>
      </c>
      <c r="V103">
        <f>step3_validation[[#This Row],[AI_ENF2]]</f>
        <v>6</v>
      </c>
      <c r="W103" t="str">
        <f t="shared" si="30"/>
        <v>Neutral</v>
      </c>
      <c r="X103">
        <f>survey_responses[[#This Row],[Tôi tin rằng Nhà nước, cơ quan thuế có đủ khả năng và công nghệ để phát hiện, xử lý nghiêm các hành vi trốn thuế. - HUMAN-ENF2]]</f>
        <v>5</v>
      </c>
      <c r="Y103" t="str">
        <f t="shared" si="31"/>
        <v>Neutral</v>
      </c>
      <c r="Z103" s="32">
        <f t="shared" si="32"/>
        <v>1</v>
      </c>
      <c r="AA103">
        <f>step3_validation[[#This Row],[AI_FAC1]]</f>
        <v>8</v>
      </c>
      <c r="AB103" t="str">
        <f t="shared" si="33"/>
        <v>Support</v>
      </c>
      <c r="AC103">
        <f>survey_responses[[#This Row],[Các thủ tục khai báo thuế VÀ/HOẶC quy trình làm việc với cơ quan thuế đơn giản, tiện lợi, nhanh chóng hơn so với trước đây. - HUMAN-FAC1]]</f>
        <v>5</v>
      </c>
      <c r="AD103" t="str">
        <f t="shared" si="34"/>
        <v>Neutral</v>
      </c>
      <c r="AE103" s="32">
        <f t="shared" si="35"/>
        <v>3</v>
      </c>
      <c r="AF103">
        <f>step3_validation[[#This Row],[AI_FAC2]]</f>
        <v>9</v>
      </c>
      <c r="AG103" t="str">
        <f t="shared" si="36"/>
        <v>Support</v>
      </c>
      <c r="AH103">
        <f>survey_responses[[#This Row],[So với trước đây, tôi thấy cách tính thuế và các bậc thuế trong phương án mới đơn giản, dễ hiểu và dễ thực hiện hơn. - HUMAN-FAC2]]</f>
        <v>5</v>
      </c>
      <c r="AI103" t="str">
        <f t="shared" si="37"/>
        <v>Neutral</v>
      </c>
      <c r="AJ103" s="32">
        <f t="shared" si="38"/>
        <v>4</v>
      </c>
      <c r="AK103">
        <f>step3_validation[[#This Row],[AI_TRU1]]</f>
        <v>7</v>
      </c>
      <c r="AL103" t="str">
        <f t="shared" si="39"/>
        <v>Neutral</v>
      </c>
      <c r="AM103">
        <f>survey_responses[[#This Row],[Tôi tin rằng Nhà nước, cơ quan thuế sẽ thực thi chính sách mới một cách khách quan, công tâm và đối xử bình đẳng với mọi người nộp thuế.  - HUMAN-TRU1]]</f>
        <v>5</v>
      </c>
      <c r="AN103" t="str">
        <f t="shared" si="40"/>
        <v>Neutral</v>
      </c>
      <c r="AO103" s="32">
        <f t="shared" si="41"/>
        <v>2</v>
      </c>
      <c r="AP103">
        <f>step3_validation[[#This Row],[AI_TRU2]]</f>
        <v>9</v>
      </c>
      <c r="AQ103" t="str">
        <f t="shared" si="42"/>
        <v>Support</v>
      </c>
      <c r="AR103">
        <f>survey_responses[[#This Row],[Tôi thấy mức thuế tôi phải đóng theo phương án mới là công bằng (người thu nhập như tôi đóng mức này là hợp lý). - HUMAN-TRU2]]</f>
        <v>5</v>
      </c>
      <c r="AS103" t="str">
        <f t="shared" si="43"/>
        <v>Neutral</v>
      </c>
      <c r="AT103" s="32">
        <f t="shared" si="44"/>
        <v>4</v>
      </c>
      <c r="AU103">
        <f>step3_validation[[#This Row],[AI_TRU3]]</f>
        <v>7</v>
      </c>
      <c r="AV103" t="str">
        <f t="shared" si="45"/>
        <v>Neutral</v>
      </c>
      <c r="AW103">
        <f>survey_responses[[#This Row],[Tôi tin tưởng số tiền thuế tôi đóng sẽ được Nhà nước sử dụng hiệu quả để cải thiện dịch vụ công (y tế, đường xá...). - HUMAN-TRU3]]</f>
        <v>5</v>
      </c>
      <c r="AX103" t="str">
        <f t="shared" si="46"/>
        <v>Neutral</v>
      </c>
      <c r="AY103" s="32">
        <f t="shared" si="47"/>
        <v>2</v>
      </c>
      <c r="AZ103">
        <f>step3_validation[[#This Row],[AI_TRU4]]</f>
        <v>6</v>
      </c>
      <c r="BA103" t="str">
        <f t="shared" si="48"/>
        <v>Neutral</v>
      </c>
      <c r="BB103">
        <f>survey_responses[[#This Row],[Tôi thấy Nhà nước đã giải thích rõ ràng, minh bạch về lý do và mục tiêu của việc sửa đổi thuế lần này. - HUMAN-TRU4]]</f>
        <v>5</v>
      </c>
      <c r="BC103" t="str">
        <f t="shared" si="49"/>
        <v>Neutral</v>
      </c>
      <c r="BD103" s="32">
        <f t="shared" si="50"/>
        <v>1</v>
      </c>
      <c r="BE103">
        <f>step3_validation[[#This Row],[AI_OUT1]]</f>
        <v>9</v>
      </c>
      <c r="BF103" t="str">
        <f t="shared" si="51"/>
        <v>Support</v>
      </c>
      <c r="BG103">
        <f>survey_responses[[#This Row],[Sau khi xem xét các quyền lợi và nghĩa vụ, bạn có ủng hộ và tuân thủ chính sách mới hiện nay? - HUMAN-OUT1]]</f>
        <v>5</v>
      </c>
      <c r="BH103" t="str">
        <f t="shared" si="52"/>
        <v>Neutral</v>
      </c>
      <c r="BI103" s="32">
        <f t="shared" si="53"/>
        <v>4</v>
      </c>
    </row>
    <row r="104" spans="1:61" x14ac:dyDescent="0.45">
      <c r="A104" s="30">
        <f>step3_validation[[#This Row],[Persona_ID]]</f>
        <v>103</v>
      </c>
      <c r="B104" s="31">
        <f>step3_validation[[#This Row],[Used_Seed]]</f>
        <v>2128</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43.324997423297802</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7</v>
      </c>
      <c r="R104" t="str">
        <f t="shared" si="27"/>
        <v>Neutral</v>
      </c>
      <c r="S104">
        <f>survey_responses[[#This Row],[Tôi tin rằng với các quy định quản lý thuế hiện nay, hành vi gian lận hoặc trốn thuế sẽ dễ dàng bị phát hiện và xử lý nghiêm. - HUMAN-ENF1]]</f>
        <v>8</v>
      </c>
      <c r="T104" t="str">
        <f t="shared" si="28"/>
        <v>Support</v>
      </c>
      <c r="U104" s="32">
        <f t="shared" si="29"/>
        <v>1</v>
      </c>
      <c r="V104">
        <f>step3_validation[[#This Row],[AI_ENF2]]</f>
        <v>6</v>
      </c>
      <c r="W104" t="str">
        <f t="shared" si="30"/>
        <v>Neutral</v>
      </c>
      <c r="X104">
        <f>survey_responses[[#This Row],[Tôi tin rằng Nhà nước, cơ quan thuế có đủ khả năng và công nghệ để phát hiện, xử lý nghiêm các hành vi trốn thuế. - HUMAN-ENF2]]</f>
        <v>8</v>
      </c>
      <c r="Y104" t="str">
        <f t="shared" si="31"/>
        <v>Support</v>
      </c>
      <c r="Z104" s="32">
        <f t="shared" si="32"/>
        <v>2</v>
      </c>
      <c r="AA104">
        <f>step3_validation[[#This Row],[AI_FAC1]]</f>
        <v>8</v>
      </c>
      <c r="AB104" t="str">
        <f t="shared" si="33"/>
        <v>Support</v>
      </c>
      <c r="AC104">
        <f>survey_responses[[#This Row],[Các thủ tục khai báo thuế VÀ/HOẶC quy trình làm việc với cơ quan thuế đơn giản, tiện lợi, nhanh chóng hơn so với trước đây. - HUMAN-FAC1]]</f>
        <v>5</v>
      </c>
      <c r="AD104" t="str">
        <f t="shared" si="34"/>
        <v>Neutral</v>
      </c>
      <c r="AE104" s="32">
        <f t="shared" si="35"/>
        <v>3</v>
      </c>
      <c r="AF104">
        <f>step3_validation[[#This Row],[AI_FAC2]]</f>
        <v>9</v>
      </c>
      <c r="AG104" t="str">
        <f t="shared" si="36"/>
        <v>Support</v>
      </c>
      <c r="AH104">
        <f>survey_responses[[#This Row],[So với trước đây, tôi thấy cách tính thuế và các bậc thuế trong phương án mới đơn giản, dễ hiểu và dễ thực hiện hơn. - HUMAN-FAC2]]</f>
        <v>8</v>
      </c>
      <c r="AI104" t="str">
        <f t="shared" si="37"/>
        <v>Support</v>
      </c>
      <c r="AJ104" s="32">
        <f t="shared" si="38"/>
        <v>1</v>
      </c>
      <c r="AK104">
        <f>step3_validation[[#This Row],[AI_TRU1]]</f>
        <v>7</v>
      </c>
      <c r="AL104" t="str">
        <f t="shared" si="39"/>
        <v>Neutral</v>
      </c>
      <c r="AM104">
        <f>survey_responses[[#This Row],[Tôi tin rằng Nhà nước, cơ quan thuế sẽ thực thi chính sách mới một cách khách quan, công tâm và đối xử bình đẳng với mọi người nộp thuế.  - HUMAN-TRU1]]</f>
        <v>5</v>
      </c>
      <c r="AN104" t="str">
        <f t="shared" si="40"/>
        <v>Neutral</v>
      </c>
      <c r="AO104" s="32">
        <f t="shared" si="41"/>
        <v>2</v>
      </c>
      <c r="AP104">
        <f>step3_validation[[#This Row],[AI_TRU2]]</f>
        <v>8</v>
      </c>
      <c r="AQ104" t="str">
        <f t="shared" si="42"/>
        <v>Support</v>
      </c>
      <c r="AR104">
        <f>survey_responses[[#This Row],[Tôi thấy mức thuế tôi phải đóng theo phương án mới là công bằng (người thu nhập như tôi đóng mức này là hợp lý). - HUMAN-TRU2]]</f>
        <v>5</v>
      </c>
      <c r="AS104" t="str">
        <f t="shared" si="43"/>
        <v>Neutral</v>
      </c>
      <c r="AT104" s="32">
        <f t="shared" si="44"/>
        <v>3</v>
      </c>
      <c r="AU104">
        <f>step3_validation[[#This Row],[AI_TRU3]]</f>
        <v>6</v>
      </c>
      <c r="AV104" t="str">
        <f t="shared" si="45"/>
        <v>Neutral</v>
      </c>
      <c r="AW104">
        <f>survey_responses[[#This Row],[Tôi tin tưởng số tiền thuế tôi đóng sẽ được Nhà nước sử dụng hiệu quả để cải thiện dịch vụ công (y tế, đường xá...). - HUMAN-TRU3]]</f>
        <v>6</v>
      </c>
      <c r="AX104" t="str">
        <f t="shared" si="46"/>
        <v>Neutral</v>
      </c>
      <c r="AY104" s="32">
        <f t="shared" si="47"/>
        <v>0</v>
      </c>
      <c r="AZ104">
        <f>step3_validation[[#This Row],[AI_TRU4]]</f>
        <v>7</v>
      </c>
      <c r="BA104" t="str">
        <f t="shared" si="48"/>
        <v>Neutral</v>
      </c>
      <c r="BB104">
        <f>survey_responses[[#This Row],[Tôi thấy Nhà nước đã giải thích rõ ràng, minh bạch về lý do và mục tiêu của việc sửa đổi thuế lần này. - HUMAN-TRU4]]</f>
        <v>6</v>
      </c>
      <c r="BC104" t="str">
        <f t="shared" si="49"/>
        <v>Neutral</v>
      </c>
      <c r="BD104" s="32">
        <f t="shared" si="50"/>
        <v>1</v>
      </c>
      <c r="BE104">
        <f>step3_validation[[#This Row],[AI_OUT1]]</f>
        <v>9</v>
      </c>
      <c r="BF104" t="str">
        <f t="shared" si="51"/>
        <v>Support</v>
      </c>
      <c r="BG104">
        <f>survey_responses[[#This Row],[Sau khi xem xét các quyền lợi và nghĩa vụ, bạn có ủng hộ và tuân thủ chính sách mới hiện nay? - HUMAN-OUT1]]</f>
        <v>5</v>
      </c>
      <c r="BH104" t="str">
        <f t="shared" si="52"/>
        <v>Neutral</v>
      </c>
      <c r="BI104" s="32">
        <f t="shared" si="53"/>
        <v>4</v>
      </c>
    </row>
    <row r="105" spans="1:61" x14ac:dyDescent="0.45">
      <c r="A105" s="30">
        <f>step3_validation[[#This Row],[Persona_ID]]</f>
        <v>104</v>
      </c>
      <c r="B105" s="31">
        <f>step3_validation[[#This Row],[Used_Seed]]</f>
        <v>2129</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21.318956921411228</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6</v>
      </c>
      <c r="R105" t="str">
        <f t="shared" si="27"/>
        <v>Neutral</v>
      </c>
      <c r="S105">
        <f>survey_responses[[#This Row],[Tôi tin rằng với các quy định quản lý thuế hiện nay, hành vi gian lận hoặc trốn thuế sẽ dễ dàng bị phát hiện và xử lý nghiêm. - HUMAN-ENF1]]</f>
        <v>6</v>
      </c>
      <c r="T105" t="str">
        <f t="shared" si="28"/>
        <v>Neutral</v>
      </c>
      <c r="U105" s="32">
        <f t="shared" si="29"/>
        <v>0</v>
      </c>
      <c r="V105">
        <f>step3_validation[[#This Row],[AI_ENF2]]</f>
        <v>7</v>
      </c>
      <c r="W105" t="str">
        <f t="shared" si="30"/>
        <v>Neutral</v>
      </c>
      <c r="X105">
        <f>survey_responses[[#This Row],[Tôi tin rằng Nhà nước, cơ quan thuế có đủ khả năng và công nghệ để phát hiện, xử lý nghiêm các hành vi trốn thuế. - HUMAN-ENF2]]</f>
        <v>7</v>
      </c>
      <c r="Y105" t="str">
        <f t="shared" si="31"/>
        <v>Neutral</v>
      </c>
      <c r="Z105" s="32">
        <f t="shared" si="32"/>
        <v>0</v>
      </c>
      <c r="AA105">
        <f>step3_validation[[#This Row],[AI_FAC1]]</f>
        <v>8</v>
      </c>
      <c r="AB105" t="str">
        <f t="shared" si="33"/>
        <v>Support</v>
      </c>
      <c r="AC105">
        <f>survey_responses[[#This Row],[Các thủ tục khai báo thuế VÀ/HOẶC quy trình làm việc với cơ quan thuế đơn giản, tiện lợi, nhanh chóng hơn so với trước đây. - HUMAN-FAC1]]</f>
        <v>6</v>
      </c>
      <c r="AD105" t="str">
        <f t="shared" si="34"/>
        <v>Neutral</v>
      </c>
      <c r="AE105" s="32">
        <f t="shared" si="35"/>
        <v>2</v>
      </c>
      <c r="AF105">
        <f>step3_validation[[#This Row],[AI_FAC2]]</f>
        <v>9</v>
      </c>
      <c r="AG105" t="str">
        <f t="shared" si="36"/>
        <v>Support</v>
      </c>
      <c r="AH105">
        <f>survey_responses[[#This Row],[So với trước đây, tôi thấy cách tính thuế và các bậc thuế trong phương án mới đơn giản, dễ hiểu và dễ thực hiện hơn. - HUMAN-FAC2]]</f>
        <v>8</v>
      </c>
      <c r="AI105" t="str">
        <f t="shared" si="37"/>
        <v>Support</v>
      </c>
      <c r="AJ105" s="32">
        <f t="shared" si="38"/>
        <v>1</v>
      </c>
      <c r="AK105">
        <f>step3_validation[[#This Row],[AI_TRU1]]</f>
        <v>8</v>
      </c>
      <c r="AL105" t="str">
        <f t="shared" si="39"/>
        <v>Support</v>
      </c>
      <c r="AM105">
        <f>survey_responses[[#This Row],[Tôi tin rằng Nhà nước, cơ quan thuế sẽ thực thi chính sách mới một cách khách quan, công tâm và đối xử bình đẳng với mọi người nộp thuế.  - HUMAN-TRU1]]</f>
        <v>6</v>
      </c>
      <c r="AN105" t="str">
        <f t="shared" si="40"/>
        <v>Neutral</v>
      </c>
      <c r="AO105" s="32">
        <f t="shared" si="41"/>
        <v>2</v>
      </c>
      <c r="AP105">
        <f>step3_validation[[#This Row],[AI_TRU2]]</f>
        <v>7</v>
      </c>
      <c r="AQ105" t="str">
        <f t="shared" si="42"/>
        <v>Neutral</v>
      </c>
      <c r="AR105">
        <f>survey_responses[[#This Row],[Tôi thấy mức thuế tôi phải đóng theo phương án mới là công bằng (người thu nhập như tôi đóng mức này là hợp lý). - HUMAN-TRU2]]</f>
        <v>7</v>
      </c>
      <c r="AS105" t="str">
        <f t="shared" si="43"/>
        <v>Neutral</v>
      </c>
      <c r="AT105" s="32">
        <f t="shared" si="44"/>
        <v>0</v>
      </c>
      <c r="AU105">
        <f>step3_validation[[#This Row],[AI_TRU3]]</f>
        <v>6</v>
      </c>
      <c r="AV105" t="str">
        <f t="shared" si="45"/>
        <v>Neutral</v>
      </c>
      <c r="AW105">
        <f>survey_responses[[#This Row],[Tôi tin tưởng số tiền thuế tôi đóng sẽ được Nhà nước sử dụng hiệu quả để cải thiện dịch vụ công (y tế, đường xá...). - HUMAN-TRU3]]</f>
        <v>6</v>
      </c>
      <c r="AX105" t="str">
        <f t="shared" si="46"/>
        <v>Neutral</v>
      </c>
      <c r="AY105" s="32">
        <f t="shared" si="47"/>
        <v>0</v>
      </c>
      <c r="AZ105">
        <f>step3_validation[[#This Row],[AI_TRU4]]</f>
        <v>7</v>
      </c>
      <c r="BA105" t="str">
        <f t="shared" si="48"/>
        <v>Neutral</v>
      </c>
      <c r="BB105">
        <f>survey_responses[[#This Row],[Tôi thấy Nhà nước đã giải thích rõ ràng, minh bạch về lý do và mục tiêu của việc sửa đổi thuế lần này. - HUMAN-TRU4]]</f>
        <v>6</v>
      </c>
      <c r="BC105" t="str">
        <f t="shared" si="49"/>
        <v>Neutral</v>
      </c>
      <c r="BD105" s="32">
        <f t="shared" si="50"/>
        <v>1</v>
      </c>
      <c r="BE105">
        <f>step3_validation[[#This Row],[AI_OUT1]]</f>
        <v>9</v>
      </c>
      <c r="BF105" t="str">
        <f t="shared" si="51"/>
        <v>Support</v>
      </c>
      <c r="BG105">
        <f>survey_responses[[#This Row],[Sau khi xem xét các quyền lợi và nghĩa vụ, bạn có ủng hộ và tuân thủ chính sách mới hiện nay? - HUMAN-OUT1]]</f>
        <v>7</v>
      </c>
      <c r="BH105" t="str">
        <f t="shared" si="52"/>
        <v>Neutral</v>
      </c>
      <c r="BI105" s="32">
        <f t="shared" si="53"/>
        <v>2</v>
      </c>
    </row>
    <row r="106" spans="1:61" x14ac:dyDescent="0.45">
      <c r="A106" s="30">
        <f>step3_validation[[#This Row],[Persona_ID]]</f>
        <v>105</v>
      </c>
      <c r="B106" s="31">
        <f>step3_validation[[#This Row],[Used_Seed]]</f>
        <v>2130</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16.650486821800033</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7</v>
      </c>
      <c r="R106" t="str">
        <f t="shared" si="27"/>
        <v>Neutral</v>
      </c>
      <c r="S106">
        <f>survey_responses[[#This Row],[Tôi tin rằng với các quy định quản lý thuế hiện nay, hành vi gian lận hoặc trốn thuế sẽ dễ dàng bị phát hiện và xử lý nghiêm. - HUMAN-ENF1]]</f>
        <v>9</v>
      </c>
      <c r="T106" t="str">
        <f t="shared" si="28"/>
        <v>Support</v>
      </c>
      <c r="U106" s="32">
        <f t="shared" si="29"/>
        <v>2</v>
      </c>
      <c r="V106">
        <f>step3_validation[[#This Row],[AI_ENF2]]</f>
        <v>8</v>
      </c>
      <c r="W106" t="str">
        <f t="shared" si="30"/>
        <v>Support</v>
      </c>
      <c r="X106">
        <f>survey_responses[[#This Row],[Tôi tin rằng Nhà nước, cơ quan thuế có đủ khả năng và công nghệ để phát hiện, xử lý nghiêm các hành vi trốn thuế. - HUMAN-ENF2]]</f>
        <v>10</v>
      </c>
      <c r="Y106" t="str">
        <f t="shared" si="31"/>
        <v>Support</v>
      </c>
      <c r="Z106" s="32">
        <f t="shared" si="32"/>
        <v>2</v>
      </c>
      <c r="AA106">
        <f>step3_validation[[#This Row],[AI_FAC1]]</f>
        <v>7</v>
      </c>
      <c r="AB106" t="str">
        <f t="shared" si="33"/>
        <v>Neutral</v>
      </c>
      <c r="AC106">
        <f>survey_responses[[#This Row],[Các thủ tục khai báo thuế VÀ/HOẶC quy trình làm việc với cơ quan thuế đơn giản, tiện lợi, nhanh chóng hơn so với trước đây. - HUMAN-FAC1]]</f>
        <v>8</v>
      </c>
      <c r="AD106" t="str">
        <f t="shared" si="34"/>
        <v>Support</v>
      </c>
      <c r="AE106" s="32">
        <f t="shared" si="35"/>
        <v>1</v>
      </c>
      <c r="AF106">
        <f>step3_validation[[#This Row],[AI_FAC2]]</f>
        <v>8</v>
      </c>
      <c r="AG106" t="str">
        <f t="shared" si="36"/>
        <v>Support</v>
      </c>
      <c r="AH106">
        <f>survey_responses[[#This Row],[So với trước đây, tôi thấy cách tính thuế và các bậc thuế trong phương án mới đơn giản, dễ hiểu và dễ thực hiện hơn. - HUMAN-FAC2]]</f>
        <v>8</v>
      </c>
      <c r="AI106" t="str">
        <f t="shared" si="37"/>
        <v>Support</v>
      </c>
      <c r="AJ106" s="32">
        <f t="shared" si="38"/>
        <v>0</v>
      </c>
      <c r="AK106">
        <f>step3_validation[[#This Row],[AI_TRU1]]</f>
        <v>9</v>
      </c>
      <c r="AL106" t="str">
        <f t="shared" si="39"/>
        <v>Support</v>
      </c>
      <c r="AM106">
        <f>survey_responses[[#This Row],[Tôi tin rằng Nhà nước, cơ quan thuế sẽ thực thi chính sách mới một cách khách quan, công tâm và đối xử bình đẳng với mọi người nộp thuế.  - HUMAN-TRU1]]</f>
        <v>9</v>
      </c>
      <c r="AN106" t="str">
        <f t="shared" si="40"/>
        <v>Support</v>
      </c>
      <c r="AO106" s="32">
        <f t="shared" si="41"/>
        <v>0</v>
      </c>
      <c r="AP106">
        <f>step3_validation[[#This Row],[AI_TRU2]]</f>
        <v>8</v>
      </c>
      <c r="AQ106" t="str">
        <f t="shared" si="42"/>
        <v>Support</v>
      </c>
      <c r="AR106">
        <f>survey_responses[[#This Row],[Tôi thấy mức thuế tôi phải đóng theo phương án mới là công bằng (người thu nhập như tôi đóng mức này là hợp lý). - HUMAN-TRU2]]</f>
        <v>9</v>
      </c>
      <c r="AS106" t="str">
        <f t="shared" si="43"/>
        <v>Support</v>
      </c>
      <c r="AT106" s="32">
        <f t="shared" si="44"/>
        <v>1</v>
      </c>
      <c r="AU106">
        <f>step3_validation[[#This Row],[AI_TRU3]]</f>
        <v>9</v>
      </c>
      <c r="AV106" t="str">
        <f t="shared" si="45"/>
        <v>Support</v>
      </c>
      <c r="AW106">
        <f>survey_responses[[#This Row],[Tôi tin tưởng số tiền thuế tôi đóng sẽ được Nhà nước sử dụng hiệu quả để cải thiện dịch vụ công (y tế, đường xá...). - HUMAN-TRU3]]</f>
        <v>8</v>
      </c>
      <c r="AX106" t="str">
        <f t="shared" si="46"/>
        <v>Support</v>
      </c>
      <c r="AY106" s="32">
        <f t="shared" si="47"/>
        <v>1</v>
      </c>
      <c r="AZ106">
        <f>step3_validation[[#This Row],[AI_TRU4]]</f>
        <v>7</v>
      </c>
      <c r="BA106" t="str">
        <f t="shared" si="48"/>
        <v>Neutral</v>
      </c>
      <c r="BB106">
        <f>survey_responses[[#This Row],[Tôi thấy Nhà nước đã giải thích rõ ràng, minh bạch về lý do và mục tiêu của việc sửa đổi thuế lần này. - HUMAN-TRU4]]</f>
        <v>6</v>
      </c>
      <c r="BC106" t="str">
        <f t="shared" si="49"/>
        <v>Neutral</v>
      </c>
      <c r="BD106" s="32">
        <f t="shared" si="50"/>
        <v>1</v>
      </c>
      <c r="BE106">
        <f>step3_validation[[#This Row],[AI_OUT1]]</f>
        <v>9</v>
      </c>
      <c r="BF106" t="str">
        <f t="shared" si="51"/>
        <v>Support</v>
      </c>
      <c r="BG106">
        <f>survey_responses[[#This Row],[Sau khi xem xét các quyền lợi và nghĩa vụ, bạn có ủng hộ và tuân thủ chính sách mới hiện nay? - HUMAN-OUT1]]</f>
        <v>9</v>
      </c>
      <c r="BH106" t="str">
        <f t="shared" si="52"/>
        <v>Support</v>
      </c>
      <c r="BI106" s="32">
        <f t="shared" si="53"/>
        <v>0</v>
      </c>
    </row>
    <row r="107" spans="1:61" x14ac:dyDescent="0.45">
      <c r="A107" s="30">
        <f>step3_validation[[#This Row],[Persona_ID]]</f>
        <v>106</v>
      </c>
      <c r="B107" s="31">
        <f>step3_validation[[#This Row],[Used_Seed]]</f>
        <v>2131</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7</v>
      </c>
      <c r="R107" t="str">
        <f t="shared" si="27"/>
        <v>Neutral</v>
      </c>
      <c r="S107">
        <f>survey_responses[[#This Row],[Tôi tin rằng với các quy định quản lý thuế hiện nay, hành vi gian lận hoặc trốn thuế sẽ dễ dàng bị phát hiện và xử lý nghiêm. - HUMAN-ENF1]]</f>
        <v>10</v>
      </c>
      <c r="T107" t="str">
        <f t="shared" si="28"/>
        <v>Support</v>
      </c>
      <c r="U107" s="32">
        <f t="shared" si="29"/>
        <v>3</v>
      </c>
      <c r="V107">
        <f>step3_validation[[#This Row],[AI_ENF2]]</f>
        <v>7</v>
      </c>
      <c r="W107" t="str">
        <f t="shared" si="30"/>
        <v>Neutral</v>
      </c>
      <c r="X107">
        <f>survey_responses[[#This Row],[Tôi tin rằng Nhà nước, cơ quan thuế có đủ khả năng và công nghệ để phát hiện, xử lý nghiêm các hành vi trốn thuế. - HUMAN-ENF2]]</f>
        <v>5</v>
      </c>
      <c r="Y107" t="str">
        <f t="shared" si="31"/>
        <v>Neutral</v>
      </c>
      <c r="Z107" s="32">
        <f t="shared" si="32"/>
        <v>2</v>
      </c>
      <c r="AA107">
        <f>step3_validation[[#This Row],[AI_FAC1]]</f>
        <v>9</v>
      </c>
      <c r="AB107" t="str">
        <f t="shared" si="33"/>
        <v>Support</v>
      </c>
      <c r="AC107">
        <f>survey_responses[[#This Row],[Các thủ tục khai báo thuế VÀ/HOẶC quy trình làm việc với cơ quan thuế đơn giản, tiện lợi, nhanh chóng hơn so với trước đây. - HUMAN-FAC1]]</f>
        <v>8</v>
      </c>
      <c r="AD107" t="str">
        <f t="shared" si="34"/>
        <v>Support</v>
      </c>
      <c r="AE107" s="32">
        <f t="shared" si="35"/>
        <v>1</v>
      </c>
      <c r="AF107">
        <f>step3_validation[[#This Row],[AI_FAC2]]</f>
        <v>8</v>
      </c>
      <c r="AG107" t="str">
        <f t="shared" si="36"/>
        <v>Support</v>
      </c>
      <c r="AH107">
        <f>survey_responses[[#This Row],[So với trước đây, tôi thấy cách tính thuế và các bậc thuế trong phương án mới đơn giản, dễ hiểu và dễ thực hiện hơn. - HUMAN-FAC2]]</f>
        <v>8</v>
      </c>
      <c r="AI107" t="str">
        <f t="shared" si="37"/>
        <v>Support</v>
      </c>
      <c r="AJ107" s="32">
        <f t="shared" si="38"/>
        <v>0</v>
      </c>
      <c r="AK107">
        <f>step3_validation[[#This Row],[AI_TRU1]]</f>
        <v>7</v>
      </c>
      <c r="AL107" t="str">
        <f t="shared" si="39"/>
        <v>Neutral</v>
      </c>
      <c r="AM107">
        <f>survey_responses[[#This Row],[Tôi tin rằng Nhà nước, cơ quan thuế sẽ thực thi chính sách mới một cách khách quan, công tâm và đối xử bình đẳng với mọi người nộp thuế.  - HUMAN-TRU1]]</f>
        <v>10</v>
      </c>
      <c r="AN107" t="str">
        <f t="shared" si="40"/>
        <v>Support</v>
      </c>
      <c r="AO107" s="32">
        <f t="shared" si="41"/>
        <v>3</v>
      </c>
      <c r="AP107">
        <f>step3_validation[[#This Row],[AI_TRU2]]</f>
        <v>8</v>
      </c>
      <c r="AQ107" t="str">
        <f t="shared" si="42"/>
        <v>Support</v>
      </c>
      <c r="AR107">
        <f>survey_responses[[#This Row],[Tôi thấy mức thuế tôi phải đóng theo phương án mới là công bằng (người thu nhập như tôi đóng mức này là hợp lý). - HUMAN-TRU2]]</f>
        <v>10</v>
      </c>
      <c r="AS107" t="str">
        <f t="shared" si="43"/>
        <v>Support</v>
      </c>
      <c r="AT107" s="32">
        <f t="shared" si="44"/>
        <v>2</v>
      </c>
      <c r="AU107">
        <f>step3_validation[[#This Row],[AI_TRU3]]</f>
        <v>7</v>
      </c>
      <c r="AV107" t="str">
        <f t="shared" si="45"/>
        <v>Neutral</v>
      </c>
      <c r="AW107">
        <f>survey_responses[[#This Row],[Tôi tin tưởng số tiền thuế tôi đóng sẽ được Nhà nước sử dụng hiệu quả để cải thiện dịch vụ công (y tế, đường xá...). - HUMAN-TRU3]]</f>
        <v>10</v>
      </c>
      <c r="AX107" t="str">
        <f t="shared" si="46"/>
        <v>Support</v>
      </c>
      <c r="AY107" s="32">
        <f t="shared" si="47"/>
        <v>3</v>
      </c>
      <c r="AZ107">
        <f>step3_validation[[#This Row],[AI_TRU4]]</f>
        <v>6</v>
      </c>
      <c r="BA107" t="str">
        <f t="shared" si="48"/>
        <v>Neutral</v>
      </c>
      <c r="BB107">
        <f>survey_responses[[#This Row],[Tôi thấy Nhà nước đã giải thích rõ ràng, minh bạch về lý do và mục tiêu của việc sửa đổi thuế lần này. - HUMAN-TRU4]]</f>
        <v>10</v>
      </c>
      <c r="BC107" t="str">
        <f t="shared" si="49"/>
        <v>Support</v>
      </c>
      <c r="BD107" s="32">
        <f t="shared" si="50"/>
        <v>4</v>
      </c>
      <c r="BE107">
        <f>step3_validation[[#This Row],[AI_OUT1]]</f>
        <v>8</v>
      </c>
      <c r="BF107" t="str">
        <f t="shared" si="51"/>
        <v>Support</v>
      </c>
      <c r="BG107">
        <f>survey_responses[[#This Row],[Sau khi xem xét các quyền lợi và nghĩa vụ, bạn có ủng hộ và tuân thủ chính sách mới hiện nay? - HUMAN-OUT1]]</f>
        <v>10</v>
      </c>
      <c r="BH107" t="str">
        <f t="shared" si="52"/>
        <v>Support</v>
      </c>
      <c r="BI107" s="32">
        <f t="shared" si="53"/>
        <v>2</v>
      </c>
    </row>
    <row r="108" spans="1:61" x14ac:dyDescent="0.45">
      <c r="A108" s="30">
        <f>step3_validation[[#This Row],[Persona_ID]]</f>
        <v>107</v>
      </c>
      <c r="B108" s="31">
        <f>step3_validation[[#This Row],[Used_Seed]]</f>
        <v>2132</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29.459763549088798</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6</v>
      </c>
      <c r="R108" t="str">
        <f t="shared" si="27"/>
        <v>Neutral</v>
      </c>
      <c r="S108">
        <f>survey_responses[[#This Row],[Tôi tin rằng với các quy định quản lý thuế hiện nay, hành vi gian lận hoặc trốn thuế sẽ dễ dàng bị phát hiện và xử lý nghiêm. - HUMAN-ENF1]]</f>
        <v>7</v>
      </c>
      <c r="T108" t="str">
        <f t="shared" si="28"/>
        <v>Neutral</v>
      </c>
      <c r="U108" s="32">
        <f t="shared" si="29"/>
        <v>1</v>
      </c>
      <c r="V108">
        <f>step3_validation[[#This Row],[AI_ENF2]]</f>
        <v>6</v>
      </c>
      <c r="W108" t="str">
        <f t="shared" si="30"/>
        <v>Neutral</v>
      </c>
      <c r="X108">
        <f>survey_responses[[#This Row],[Tôi tin rằng Nhà nước, cơ quan thuế có đủ khả năng và công nghệ để phát hiện, xử lý nghiêm các hành vi trốn thuế. - HUMAN-ENF2]]</f>
        <v>7</v>
      </c>
      <c r="Y108" t="str">
        <f t="shared" si="31"/>
        <v>Neutral</v>
      </c>
      <c r="Z108" s="32">
        <f t="shared" si="32"/>
        <v>1</v>
      </c>
      <c r="AA108">
        <f>step3_validation[[#This Row],[AI_FAC1]]</f>
        <v>7</v>
      </c>
      <c r="AB108" t="str">
        <f t="shared" si="33"/>
        <v>Neutral</v>
      </c>
      <c r="AC108">
        <f>survey_responses[[#This Row],[Các thủ tục khai báo thuế VÀ/HOẶC quy trình làm việc với cơ quan thuế đơn giản, tiện lợi, nhanh chóng hơn so với trước đây. - HUMAN-FAC1]]</f>
        <v>7</v>
      </c>
      <c r="AD108" t="str">
        <f t="shared" si="34"/>
        <v>Neutral</v>
      </c>
      <c r="AE108" s="32">
        <f t="shared" si="35"/>
        <v>0</v>
      </c>
      <c r="AF108">
        <f>step3_validation[[#This Row],[AI_FAC2]]</f>
        <v>9</v>
      </c>
      <c r="AG108" t="str">
        <f t="shared" si="36"/>
        <v>Support</v>
      </c>
      <c r="AH108">
        <f>survey_responses[[#This Row],[So với trước đây, tôi thấy cách tính thuế và các bậc thuế trong phương án mới đơn giản, dễ hiểu và dễ thực hiện hơn. - HUMAN-FAC2]]</f>
        <v>7</v>
      </c>
      <c r="AI108" t="str">
        <f t="shared" si="37"/>
        <v>Neutral</v>
      </c>
      <c r="AJ108" s="32">
        <f t="shared" si="38"/>
        <v>2</v>
      </c>
      <c r="AK108">
        <f>step3_validation[[#This Row],[AI_TRU1]]</f>
        <v>7</v>
      </c>
      <c r="AL108" t="str">
        <f t="shared" si="39"/>
        <v>Neutral</v>
      </c>
      <c r="AM108">
        <f>survey_responses[[#This Row],[Tôi tin rằng Nhà nước, cơ quan thuế sẽ thực thi chính sách mới một cách khách quan, công tâm và đối xử bình đẳng với mọi người nộp thuế.  - HUMAN-TRU1]]</f>
        <v>7</v>
      </c>
      <c r="AN108" t="str">
        <f t="shared" si="40"/>
        <v>Neutral</v>
      </c>
      <c r="AO108" s="32">
        <f t="shared" si="41"/>
        <v>0</v>
      </c>
      <c r="AP108">
        <f>step3_validation[[#This Row],[AI_TRU2]]</f>
        <v>9</v>
      </c>
      <c r="AQ108" t="str">
        <f t="shared" si="42"/>
        <v>Support</v>
      </c>
      <c r="AR108">
        <f>survey_responses[[#This Row],[Tôi thấy mức thuế tôi phải đóng theo phương án mới là công bằng (người thu nhập như tôi đóng mức này là hợp lý). - HUMAN-TRU2]]</f>
        <v>7</v>
      </c>
      <c r="AS108" t="str">
        <f t="shared" si="43"/>
        <v>Neutral</v>
      </c>
      <c r="AT108" s="32">
        <f t="shared" si="44"/>
        <v>2</v>
      </c>
      <c r="AU108">
        <f>step3_validation[[#This Row],[AI_TRU3]]</f>
        <v>9</v>
      </c>
      <c r="AV108" t="str">
        <f t="shared" si="45"/>
        <v>Support</v>
      </c>
      <c r="AW108">
        <f>survey_responses[[#This Row],[Tôi tin tưởng số tiền thuế tôi đóng sẽ được Nhà nước sử dụng hiệu quả để cải thiện dịch vụ công (y tế, đường xá...). - HUMAN-TRU3]]</f>
        <v>7</v>
      </c>
      <c r="AX108" t="str">
        <f t="shared" si="46"/>
        <v>Neutral</v>
      </c>
      <c r="AY108" s="32">
        <f t="shared" si="47"/>
        <v>2</v>
      </c>
      <c r="AZ108">
        <f>step3_validation[[#This Row],[AI_TRU4]]</f>
        <v>8</v>
      </c>
      <c r="BA108" t="str">
        <f t="shared" si="48"/>
        <v>Support</v>
      </c>
      <c r="BB108">
        <f>survey_responses[[#This Row],[Tôi thấy Nhà nước đã giải thích rõ ràng, minh bạch về lý do và mục tiêu của việc sửa đổi thuế lần này. - HUMAN-TRU4]]</f>
        <v>7</v>
      </c>
      <c r="BC108" t="str">
        <f t="shared" si="49"/>
        <v>Neutral</v>
      </c>
      <c r="BD108" s="32">
        <f t="shared" si="50"/>
        <v>1</v>
      </c>
      <c r="BE108">
        <f>step3_validation[[#This Row],[AI_OUT1]]</f>
        <v>9</v>
      </c>
      <c r="BF108" t="str">
        <f t="shared" si="51"/>
        <v>Support</v>
      </c>
      <c r="BG108">
        <f>survey_responses[[#This Row],[Sau khi xem xét các quyền lợi và nghĩa vụ, bạn có ủng hộ và tuân thủ chính sách mới hiện nay? - HUMAN-OUT1]]</f>
        <v>8</v>
      </c>
      <c r="BH108" t="str">
        <f t="shared" si="52"/>
        <v>Support</v>
      </c>
      <c r="BI108" s="32">
        <f t="shared" si="53"/>
        <v>1</v>
      </c>
    </row>
    <row r="109" spans="1:61" x14ac:dyDescent="0.45">
      <c r="A109" s="30">
        <f>step3_validation[[#This Row],[Persona_ID]]</f>
        <v>108</v>
      </c>
      <c r="B109" s="31">
        <f>step3_validation[[#This Row],[Used_Seed]]</f>
        <v>2133</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13.250913260472789</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7</v>
      </c>
      <c r="R109" t="str">
        <f t="shared" si="27"/>
        <v>Neutral</v>
      </c>
      <c r="S109">
        <f>survey_responses[[#This Row],[Tôi tin rằng với các quy định quản lý thuế hiện nay, hành vi gian lận hoặc trốn thuế sẽ dễ dàng bị phát hiện và xử lý nghiêm. - HUMAN-ENF1]]</f>
        <v>5</v>
      </c>
      <c r="T109" t="str">
        <f t="shared" si="28"/>
        <v>Neutral</v>
      </c>
      <c r="U109" s="32">
        <f t="shared" si="29"/>
        <v>2</v>
      </c>
      <c r="V109">
        <f>step3_validation[[#This Row],[AI_ENF2]]</f>
        <v>8</v>
      </c>
      <c r="W109" t="str">
        <f t="shared" si="30"/>
        <v>Support</v>
      </c>
      <c r="X109">
        <f>survey_responses[[#This Row],[Tôi tin rằng Nhà nước, cơ quan thuế có đủ khả năng và công nghệ để phát hiện, xử lý nghiêm các hành vi trốn thuế. - HUMAN-ENF2]]</f>
        <v>10</v>
      </c>
      <c r="Y109" t="str">
        <f t="shared" si="31"/>
        <v>Support</v>
      </c>
      <c r="Z109" s="32">
        <f t="shared" si="32"/>
        <v>2</v>
      </c>
      <c r="AA109">
        <f>step3_validation[[#This Row],[AI_FAC1]]</f>
        <v>6</v>
      </c>
      <c r="AB109" t="str">
        <f t="shared" si="33"/>
        <v>Neutral</v>
      </c>
      <c r="AC109">
        <f>survey_responses[[#This Row],[Các thủ tục khai báo thuế VÀ/HOẶC quy trình làm việc với cơ quan thuế đơn giản, tiện lợi, nhanh chóng hơn so với trước đây. - HUMAN-FAC1]]</f>
        <v>5</v>
      </c>
      <c r="AD109" t="str">
        <f t="shared" si="34"/>
        <v>Neutral</v>
      </c>
      <c r="AE109" s="32">
        <f t="shared" si="35"/>
        <v>1</v>
      </c>
      <c r="AF109">
        <f>step3_validation[[#This Row],[AI_FAC2]]</f>
        <v>9</v>
      </c>
      <c r="AG109" t="str">
        <f t="shared" si="36"/>
        <v>Support</v>
      </c>
      <c r="AH109">
        <f>survey_responses[[#This Row],[So với trước đây, tôi thấy cách tính thuế và các bậc thuế trong phương án mới đơn giản, dễ hiểu và dễ thực hiện hơn. - HUMAN-FAC2]]</f>
        <v>5</v>
      </c>
      <c r="AI109" t="str">
        <f t="shared" si="37"/>
        <v>Neutral</v>
      </c>
      <c r="AJ109" s="32">
        <f t="shared" si="38"/>
        <v>4</v>
      </c>
      <c r="AK109">
        <f>step3_validation[[#This Row],[AI_TRU1]]</f>
        <v>7</v>
      </c>
      <c r="AL109" t="str">
        <f t="shared" si="39"/>
        <v>Neutral</v>
      </c>
      <c r="AM109">
        <f>survey_responses[[#This Row],[Tôi tin rằng Nhà nước, cơ quan thuế sẽ thực thi chính sách mới một cách khách quan, công tâm và đối xử bình đẳng với mọi người nộp thuế.  - HUMAN-TRU1]]</f>
        <v>5</v>
      </c>
      <c r="AN109" t="str">
        <f t="shared" si="40"/>
        <v>Neutral</v>
      </c>
      <c r="AO109" s="32">
        <f t="shared" si="41"/>
        <v>2</v>
      </c>
      <c r="AP109">
        <f>step3_validation[[#This Row],[AI_TRU2]]</f>
        <v>8</v>
      </c>
      <c r="AQ109" t="str">
        <f t="shared" si="42"/>
        <v>Support</v>
      </c>
      <c r="AR109">
        <f>survey_responses[[#This Row],[Tôi thấy mức thuế tôi phải đóng theo phương án mới là công bằng (người thu nhập như tôi đóng mức này là hợp lý). - HUMAN-TRU2]]</f>
        <v>5</v>
      </c>
      <c r="AS109" t="str">
        <f t="shared" si="43"/>
        <v>Neutral</v>
      </c>
      <c r="AT109" s="32">
        <f t="shared" si="44"/>
        <v>3</v>
      </c>
      <c r="AU109">
        <f>step3_validation[[#This Row],[AI_TRU3]]</f>
        <v>7</v>
      </c>
      <c r="AV109" t="str">
        <f t="shared" si="45"/>
        <v>Neutral</v>
      </c>
      <c r="AW109">
        <f>survey_responses[[#This Row],[Tôi tin tưởng số tiền thuế tôi đóng sẽ được Nhà nước sử dụng hiệu quả để cải thiện dịch vụ công (y tế, đường xá...). - HUMAN-TRU3]]</f>
        <v>8</v>
      </c>
      <c r="AX109" t="str">
        <f t="shared" si="46"/>
        <v>Support</v>
      </c>
      <c r="AY109" s="32">
        <f t="shared" si="47"/>
        <v>1</v>
      </c>
      <c r="AZ109">
        <f>step3_validation[[#This Row],[AI_TRU4]]</f>
        <v>6</v>
      </c>
      <c r="BA109" t="str">
        <f t="shared" si="48"/>
        <v>Neutral</v>
      </c>
      <c r="BB109">
        <f>survey_responses[[#This Row],[Tôi thấy Nhà nước đã giải thích rõ ràng, minh bạch về lý do và mục tiêu của việc sửa đổi thuế lần này. - HUMAN-TRU4]]</f>
        <v>5</v>
      </c>
      <c r="BC109" t="str">
        <f t="shared" si="49"/>
        <v>Neutral</v>
      </c>
      <c r="BD109" s="32">
        <f t="shared" si="50"/>
        <v>1</v>
      </c>
      <c r="BE109">
        <f>step3_validation[[#This Row],[AI_OUT1]]</f>
        <v>9</v>
      </c>
      <c r="BF109" t="str">
        <f t="shared" si="51"/>
        <v>Support</v>
      </c>
      <c r="BG109">
        <f>survey_responses[[#This Row],[Sau khi xem xét các quyền lợi và nghĩa vụ, bạn có ủng hộ và tuân thủ chính sách mới hiện nay? - HUMAN-OUT1]]</f>
        <v>6</v>
      </c>
      <c r="BH109" t="str">
        <f t="shared" si="52"/>
        <v>Neutral</v>
      </c>
      <c r="BI109" s="32">
        <f t="shared" si="53"/>
        <v>3</v>
      </c>
    </row>
    <row r="110" spans="1:61" x14ac:dyDescent="0.45">
      <c r="A110" s="30">
        <f>step3_validation[[#This Row],[Persona_ID]]</f>
        <v>109</v>
      </c>
      <c r="B110" s="31">
        <f>step3_validation[[#This Row],[Used_Seed]]</f>
        <v>2134</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15.482546722924972</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7</v>
      </c>
      <c r="R110" t="str">
        <f t="shared" si="27"/>
        <v>Neutral</v>
      </c>
      <c r="S110">
        <f>survey_responses[[#This Row],[Tôi tin rằng với các quy định quản lý thuế hiện nay, hành vi gian lận hoặc trốn thuế sẽ dễ dàng bị phát hiện và xử lý nghiêm. - HUMAN-ENF1]]</f>
        <v>10</v>
      </c>
      <c r="T110" t="str">
        <f t="shared" si="28"/>
        <v>Support</v>
      </c>
      <c r="U110" s="32">
        <f t="shared" si="29"/>
        <v>3</v>
      </c>
      <c r="V110">
        <f>step3_validation[[#This Row],[AI_ENF2]]</f>
        <v>8</v>
      </c>
      <c r="W110" t="str">
        <f t="shared" si="30"/>
        <v>Support</v>
      </c>
      <c r="X110">
        <f>survey_responses[[#This Row],[Tôi tin rằng Nhà nước, cơ quan thuế có đủ khả năng và công nghệ để phát hiện, xử lý nghiêm các hành vi trốn thuế. - HUMAN-ENF2]]</f>
        <v>10</v>
      </c>
      <c r="Y110" t="str">
        <f t="shared" si="31"/>
        <v>Support</v>
      </c>
      <c r="Z110" s="32">
        <f t="shared" si="32"/>
        <v>2</v>
      </c>
      <c r="AA110">
        <f>step3_validation[[#This Row],[AI_FAC1]]</f>
        <v>9</v>
      </c>
      <c r="AB110" t="str">
        <f t="shared" si="33"/>
        <v>Support</v>
      </c>
      <c r="AC110">
        <f>survey_responses[[#This Row],[Các thủ tục khai báo thuế VÀ/HOẶC quy trình làm việc với cơ quan thuế đơn giản, tiện lợi, nhanh chóng hơn so với trước đây. - HUMAN-FAC1]]</f>
        <v>10</v>
      </c>
      <c r="AD110" t="str">
        <f t="shared" si="34"/>
        <v>Support</v>
      </c>
      <c r="AE110" s="32">
        <f t="shared" si="35"/>
        <v>1</v>
      </c>
      <c r="AF110">
        <f>step3_validation[[#This Row],[AI_FAC2]]</f>
        <v>8</v>
      </c>
      <c r="AG110" t="str">
        <f t="shared" si="36"/>
        <v>Support</v>
      </c>
      <c r="AH110">
        <f>survey_responses[[#This Row],[So với trước đây, tôi thấy cách tính thuế và các bậc thuế trong phương án mới đơn giản, dễ hiểu và dễ thực hiện hơn. - HUMAN-FAC2]]</f>
        <v>10</v>
      </c>
      <c r="AI110" t="str">
        <f t="shared" si="37"/>
        <v>Support</v>
      </c>
      <c r="AJ110" s="32">
        <f t="shared" si="38"/>
        <v>2</v>
      </c>
      <c r="AK110">
        <f>step3_validation[[#This Row],[AI_TRU1]]</f>
        <v>9</v>
      </c>
      <c r="AL110" t="str">
        <f t="shared" si="39"/>
        <v>Support</v>
      </c>
      <c r="AM110">
        <f>survey_responses[[#This Row],[Tôi tin rằng Nhà nước, cơ quan thuế sẽ thực thi chính sách mới một cách khách quan, công tâm và đối xử bình đẳng với mọi người nộp thuế.  - HUMAN-TRU1]]</f>
        <v>10</v>
      </c>
      <c r="AN110" t="str">
        <f t="shared" si="40"/>
        <v>Support</v>
      </c>
      <c r="AO110" s="32">
        <f t="shared" si="41"/>
        <v>1</v>
      </c>
      <c r="AP110">
        <f>step3_validation[[#This Row],[AI_TRU2]]</f>
        <v>9</v>
      </c>
      <c r="AQ110" t="str">
        <f t="shared" si="42"/>
        <v>Support</v>
      </c>
      <c r="AR110">
        <f>survey_responses[[#This Row],[Tôi thấy mức thuế tôi phải đóng theo phương án mới là công bằng (người thu nhập như tôi đóng mức này là hợp lý). - HUMAN-TRU2]]</f>
        <v>10</v>
      </c>
      <c r="AS110" t="str">
        <f t="shared" si="43"/>
        <v>Support</v>
      </c>
      <c r="AT110" s="32">
        <f t="shared" si="44"/>
        <v>1</v>
      </c>
      <c r="AU110">
        <f>step3_validation[[#This Row],[AI_TRU3]]</f>
        <v>8</v>
      </c>
      <c r="AV110" t="str">
        <f t="shared" si="45"/>
        <v>Support</v>
      </c>
      <c r="AW110">
        <f>survey_responses[[#This Row],[Tôi tin tưởng số tiền thuế tôi đóng sẽ được Nhà nước sử dụng hiệu quả để cải thiện dịch vụ công (y tế, đường xá...). - HUMAN-TRU3]]</f>
        <v>10</v>
      </c>
      <c r="AX110" t="str">
        <f t="shared" si="46"/>
        <v>Support</v>
      </c>
      <c r="AY110" s="32">
        <f t="shared" si="47"/>
        <v>2</v>
      </c>
      <c r="AZ110">
        <f>step3_validation[[#This Row],[AI_TRU4]]</f>
        <v>9</v>
      </c>
      <c r="BA110" t="str">
        <f t="shared" si="48"/>
        <v>Support</v>
      </c>
      <c r="BB110">
        <f>survey_responses[[#This Row],[Tôi thấy Nhà nước đã giải thích rõ ràng, minh bạch về lý do và mục tiêu của việc sửa đổi thuế lần này. - HUMAN-TRU4]]</f>
        <v>10</v>
      </c>
      <c r="BC110" t="str">
        <f t="shared" si="49"/>
        <v>Support</v>
      </c>
      <c r="BD110" s="32">
        <f t="shared" si="50"/>
        <v>1</v>
      </c>
      <c r="BE110">
        <f>step3_validation[[#This Row],[AI_OUT1]]</f>
        <v>9</v>
      </c>
      <c r="BF110" t="str">
        <f t="shared" si="51"/>
        <v>Support</v>
      </c>
      <c r="BG110">
        <f>survey_responses[[#This Row],[Sau khi xem xét các quyền lợi và nghĩa vụ, bạn có ủng hộ và tuân thủ chính sách mới hiện nay? - HUMAN-OUT1]]</f>
        <v>10</v>
      </c>
      <c r="BH110" t="str">
        <f t="shared" si="52"/>
        <v>Support</v>
      </c>
      <c r="BI110" s="32">
        <f t="shared" si="53"/>
        <v>1</v>
      </c>
    </row>
    <row r="111" spans="1:61" x14ac:dyDescent="0.45">
      <c r="A111" s="30">
        <f>step3_validation[[#This Row],[Persona_ID]]</f>
        <v>110</v>
      </c>
      <c r="B111" s="31">
        <f>step3_validation[[#This Row],[Used_Seed]]</f>
        <v>2135</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57.646688879409737</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7</v>
      </c>
      <c r="R111" t="str">
        <f t="shared" si="27"/>
        <v>Neutral</v>
      </c>
      <c r="S111">
        <f>survey_responses[[#This Row],[Tôi tin rằng với các quy định quản lý thuế hiện nay, hành vi gian lận hoặc trốn thuế sẽ dễ dàng bị phát hiện và xử lý nghiêm. - HUMAN-ENF1]]</f>
        <v>7</v>
      </c>
      <c r="T111" t="str">
        <f t="shared" si="28"/>
        <v>Neutral</v>
      </c>
      <c r="U111" s="32">
        <f t="shared" si="29"/>
        <v>0</v>
      </c>
      <c r="V111">
        <f>step3_validation[[#This Row],[AI_ENF2]]</f>
        <v>8</v>
      </c>
      <c r="W111" t="str">
        <f t="shared" si="30"/>
        <v>Support</v>
      </c>
      <c r="X111">
        <f>survey_responses[[#This Row],[Tôi tin rằng Nhà nước, cơ quan thuế có đủ khả năng và công nghệ để phát hiện, xử lý nghiêm các hành vi trốn thuế. - HUMAN-ENF2]]</f>
        <v>6</v>
      </c>
      <c r="Y111" t="str">
        <f t="shared" si="31"/>
        <v>Neutral</v>
      </c>
      <c r="Z111" s="32">
        <f t="shared" si="32"/>
        <v>2</v>
      </c>
      <c r="AA111">
        <f>step3_validation[[#This Row],[AI_FAC1]]</f>
        <v>9</v>
      </c>
      <c r="AB111" t="str">
        <f t="shared" si="33"/>
        <v>Support</v>
      </c>
      <c r="AC111">
        <f>survey_responses[[#This Row],[Các thủ tục khai báo thuế VÀ/HOẶC quy trình làm việc với cơ quan thuế đơn giản, tiện lợi, nhanh chóng hơn so với trước đây. - HUMAN-FAC1]]</f>
        <v>8</v>
      </c>
      <c r="AD111" t="str">
        <f t="shared" si="34"/>
        <v>Support</v>
      </c>
      <c r="AE111" s="32">
        <f t="shared" si="35"/>
        <v>1</v>
      </c>
      <c r="AF111">
        <f>step3_validation[[#This Row],[AI_FAC2]]</f>
        <v>10</v>
      </c>
      <c r="AG111" t="str">
        <f t="shared" si="36"/>
        <v>Support</v>
      </c>
      <c r="AH111">
        <f>survey_responses[[#This Row],[So với trước đây, tôi thấy cách tính thuế và các bậc thuế trong phương án mới đơn giản, dễ hiểu và dễ thực hiện hơn. - HUMAN-FAC2]]</f>
        <v>8</v>
      </c>
      <c r="AI111" t="str">
        <f t="shared" si="37"/>
        <v>Support</v>
      </c>
      <c r="AJ111" s="32">
        <f t="shared" si="38"/>
        <v>2</v>
      </c>
      <c r="AK111">
        <f>step3_validation[[#This Row],[AI_TRU1]]</f>
        <v>9</v>
      </c>
      <c r="AL111" t="str">
        <f t="shared" si="39"/>
        <v>Support</v>
      </c>
      <c r="AM111">
        <f>survey_responses[[#This Row],[Tôi tin rằng Nhà nước, cơ quan thuế sẽ thực thi chính sách mới một cách khách quan, công tâm và đối xử bình đẳng với mọi người nộp thuế.  - HUMAN-TRU1]]</f>
        <v>7</v>
      </c>
      <c r="AN111" t="str">
        <f t="shared" si="40"/>
        <v>Neutral</v>
      </c>
      <c r="AO111" s="32">
        <f t="shared" si="41"/>
        <v>2</v>
      </c>
      <c r="AP111">
        <f>step3_validation[[#This Row],[AI_TRU2]]</f>
        <v>8</v>
      </c>
      <c r="AQ111" t="str">
        <f t="shared" si="42"/>
        <v>Support</v>
      </c>
      <c r="AR111">
        <f>survey_responses[[#This Row],[Tôi thấy mức thuế tôi phải đóng theo phương án mới là công bằng (người thu nhập như tôi đóng mức này là hợp lý). - HUMAN-TRU2]]</f>
        <v>6</v>
      </c>
      <c r="AS111" t="str">
        <f t="shared" si="43"/>
        <v>Neutral</v>
      </c>
      <c r="AT111" s="32">
        <f t="shared" si="44"/>
        <v>2</v>
      </c>
      <c r="AU111">
        <f>step3_validation[[#This Row],[AI_TRU3]]</f>
        <v>9</v>
      </c>
      <c r="AV111" t="str">
        <f t="shared" si="45"/>
        <v>Support</v>
      </c>
      <c r="AW111">
        <f>survey_responses[[#This Row],[Tôi tin tưởng số tiền thuế tôi đóng sẽ được Nhà nước sử dụng hiệu quả để cải thiện dịch vụ công (y tế, đường xá...). - HUMAN-TRU3]]</f>
        <v>5</v>
      </c>
      <c r="AX111" t="str">
        <f t="shared" si="46"/>
        <v>Neutral</v>
      </c>
      <c r="AY111" s="32">
        <f t="shared" si="47"/>
        <v>4</v>
      </c>
      <c r="AZ111">
        <f>step3_validation[[#This Row],[AI_TRU4]]</f>
        <v>7</v>
      </c>
      <c r="BA111" t="str">
        <f t="shared" si="48"/>
        <v>Neutral</v>
      </c>
      <c r="BB111">
        <f>survey_responses[[#This Row],[Tôi thấy Nhà nước đã giải thích rõ ràng, minh bạch về lý do và mục tiêu của việc sửa đổi thuế lần này. - HUMAN-TRU4]]</f>
        <v>5</v>
      </c>
      <c r="BC111" t="str">
        <f t="shared" si="49"/>
        <v>Neutral</v>
      </c>
      <c r="BD111" s="32">
        <f t="shared" si="50"/>
        <v>2</v>
      </c>
      <c r="BE111">
        <f>step3_validation[[#This Row],[AI_OUT1]]</f>
        <v>9</v>
      </c>
      <c r="BF111" t="str">
        <f t="shared" si="51"/>
        <v>Support</v>
      </c>
      <c r="BG111">
        <f>survey_responses[[#This Row],[Sau khi xem xét các quyền lợi và nghĩa vụ, bạn có ủng hộ và tuân thủ chính sách mới hiện nay? - HUMAN-OUT1]]</f>
        <v>8</v>
      </c>
      <c r="BH111" t="str">
        <f t="shared" si="52"/>
        <v>Support</v>
      </c>
      <c r="BI111" s="32">
        <f t="shared" si="53"/>
        <v>1</v>
      </c>
    </row>
    <row r="112" spans="1:61" x14ac:dyDescent="0.45">
      <c r="A112" s="30">
        <f>step3_validation[[#This Row],[Persona_ID]]</f>
        <v>111</v>
      </c>
      <c r="B112" s="31">
        <f>step3_validation[[#This Row],[Used_Seed]]</f>
        <v>2136</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27.030741484792316</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9</v>
      </c>
      <c r="R112" t="str">
        <f t="shared" si="27"/>
        <v>Support</v>
      </c>
      <c r="S112">
        <f>survey_responses[[#This Row],[Tôi tin rằng với các quy định quản lý thuế hiện nay, hành vi gian lận hoặc trốn thuế sẽ dễ dàng bị phát hiện và xử lý nghiêm. - HUMAN-ENF1]]</f>
        <v>8</v>
      </c>
      <c r="T112" t="str">
        <f t="shared" si="28"/>
        <v>Support</v>
      </c>
      <c r="U112" s="32">
        <f t="shared" si="29"/>
        <v>1</v>
      </c>
      <c r="V112">
        <f>step3_validation[[#This Row],[AI_ENF2]]</f>
        <v>8</v>
      </c>
      <c r="W112" t="str">
        <f t="shared" si="30"/>
        <v>Support</v>
      </c>
      <c r="X112">
        <f>survey_responses[[#This Row],[Tôi tin rằng Nhà nước, cơ quan thuế có đủ khả năng và công nghệ để phát hiện, xử lý nghiêm các hành vi trốn thuế. - HUMAN-ENF2]]</f>
        <v>8</v>
      </c>
      <c r="Y112" t="str">
        <f t="shared" si="31"/>
        <v>Support</v>
      </c>
      <c r="Z112" s="32">
        <f t="shared" si="32"/>
        <v>0</v>
      </c>
      <c r="AA112">
        <f>step3_validation[[#This Row],[AI_FAC1]]</f>
        <v>9</v>
      </c>
      <c r="AB112" t="str">
        <f t="shared" si="33"/>
        <v>Support</v>
      </c>
      <c r="AC112">
        <f>survey_responses[[#This Row],[Các thủ tục khai báo thuế VÀ/HOẶC quy trình làm việc với cơ quan thuế đơn giản, tiện lợi, nhanh chóng hơn so với trước đây. - HUMAN-FAC1]]</f>
        <v>6</v>
      </c>
      <c r="AD112" t="str">
        <f t="shared" si="34"/>
        <v>Neutral</v>
      </c>
      <c r="AE112" s="32">
        <f t="shared" si="35"/>
        <v>3</v>
      </c>
      <c r="AF112">
        <f>step3_validation[[#This Row],[AI_FAC2]]</f>
        <v>8</v>
      </c>
      <c r="AG112" t="str">
        <f t="shared" si="36"/>
        <v>Support</v>
      </c>
      <c r="AH112">
        <f>survey_responses[[#This Row],[So với trước đây, tôi thấy cách tính thuế và các bậc thuế trong phương án mới đơn giản, dễ hiểu và dễ thực hiện hơn. - HUMAN-FAC2]]</f>
        <v>7</v>
      </c>
      <c r="AI112" t="str">
        <f t="shared" si="37"/>
        <v>Neutral</v>
      </c>
      <c r="AJ112" s="32">
        <f t="shared" si="38"/>
        <v>1</v>
      </c>
      <c r="AK112">
        <f>step3_validation[[#This Row],[AI_TRU1]]</f>
        <v>9</v>
      </c>
      <c r="AL112" t="str">
        <f t="shared" si="39"/>
        <v>Support</v>
      </c>
      <c r="AM112">
        <f>survey_responses[[#This Row],[Tôi tin rằng Nhà nước, cơ quan thuế sẽ thực thi chính sách mới một cách khách quan, công tâm và đối xử bình đẳng với mọi người nộp thuế.  - HUMAN-TRU1]]</f>
        <v>6</v>
      </c>
      <c r="AN112" t="str">
        <f t="shared" si="40"/>
        <v>Neutral</v>
      </c>
      <c r="AO112" s="32">
        <f t="shared" si="41"/>
        <v>3</v>
      </c>
      <c r="AP112">
        <f>step3_validation[[#This Row],[AI_TRU2]]</f>
        <v>8</v>
      </c>
      <c r="AQ112" t="str">
        <f t="shared" si="42"/>
        <v>Support</v>
      </c>
      <c r="AR112">
        <f>survey_responses[[#This Row],[Tôi thấy mức thuế tôi phải đóng theo phương án mới là công bằng (người thu nhập như tôi đóng mức này là hợp lý). - HUMAN-TRU2]]</f>
        <v>7</v>
      </c>
      <c r="AS112" t="str">
        <f t="shared" si="43"/>
        <v>Neutral</v>
      </c>
      <c r="AT112" s="32">
        <f t="shared" si="44"/>
        <v>1</v>
      </c>
      <c r="AU112">
        <f>step3_validation[[#This Row],[AI_TRU3]]</f>
        <v>9</v>
      </c>
      <c r="AV112" t="str">
        <f t="shared" si="45"/>
        <v>Support</v>
      </c>
      <c r="AW112">
        <f>survey_responses[[#This Row],[Tôi tin tưởng số tiền thuế tôi đóng sẽ được Nhà nước sử dụng hiệu quả để cải thiện dịch vụ công (y tế, đường xá...). - HUMAN-TRU3]]</f>
        <v>5</v>
      </c>
      <c r="AX112" t="str">
        <f t="shared" si="46"/>
        <v>Neutral</v>
      </c>
      <c r="AY112" s="32">
        <f t="shared" si="47"/>
        <v>4</v>
      </c>
      <c r="AZ112">
        <f>step3_validation[[#This Row],[AI_TRU4]]</f>
        <v>8</v>
      </c>
      <c r="BA112" t="str">
        <f t="shared" si="48"/>
        <v>Support</v>
      </c>
      <c r="BB112">
        <f>survey_responses[[#This Row],[Tôi thấy Nhà nước đã giải thích rõ ràng, minh bạch về lý do và mục tiêu của việc sửa đổi thuế lần này. - HUMAN-TRU4]]</f>
        <v>5</v>
      </c>
      <c r="BC112" t="str">
        <f t="shared" si="49"/>
        <v>Neutral</v>
      </c>
      <c r="BD112" s="32">
        <f t="shared" si="50"/>
        <v>3</v>
      </c>
      <c r="BE112">
        <f>step3_validation[[#This Row],[AI_OUT1]]</f>
        <v>9</v>
      </c>
      <c r="BF112" t="str">
        <f t="shared" si="51"/>
        <v>Support</v>
      </c>
      <c r="BG112">
        <f>survey_responses[[#This Row],[Sau khi xem xét các quyền lợi và nghĩa vụ, bạn có ủng hộ và tuân thủ chính sách mới hiện nay? - HUMAN-OUT1]]</f>
        <v>5</v>
      </c>
      <c r="BH112" t="str">
        <f t="shared" si="52"/>
        <v>Neutral</v>
      </c>
      <c r="BI112" s="32">
        <f t="shared" si="53"/>
        <v>4</v>
      </c>
    </row>
    <row r="113" spans="1:61" x14ac:dyDescent="0.45">
      <c r="A113" s="30">
        <f>step3_validation[[#This Row],[Persona_ID]]</f>
        <v>112</v>
      </c>
      <c r="B113" s="31">
        <f>step3_validation[[#This Row],[Used_Seed]]</f>
        <v>2137</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19.498798349359337</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7</v>
      </c>
      <c r="R113" t="str">
        <f t="shared" si="27"/>
        <v>Neutral</v>
      </c>
      <c r="S113">
        <f>survey_responses[[#This Row],[Tôi tin rằng với các quy định quản lý thuế hiện nay, hành vi gian lận hoặc trốn thuế sẽ dễ dàng bị phát hiện và xử lý nghiêm. - HUMAN-ENF1]]</f>
        <v>7</v>
      </c>
      <c r="T113" t="str">
        <f t="shared" si="28"/>
        <v>Neutral</v>
      </c>
      <c r="U113" s="32">
        <f t="shared" si="29"/>
        <v>0</v>
      </c>
      <c r="V113">
        <f>step3_validation[[#This Row],[AI_ENF2]]</f>
        <v>7</v>
      </c>
      <c r="W113" t="str">
        <f t="shared" si="30"/>
        <v>Neutral</v>
      </c>
      <c r="X113">
        <f>survey_responses[[#This Row],[Tôi tin rằng Nhà nước, cơ quan thuế có đủ khả năng và công nghệ để phát hiện, xử lý nghiêm các hành vi trốn thuế. - HUMAN-ENF2]]</f>
        <v>8</v>
      </c>
      <c r="Y113" t="str">
        <f t="shared" si="31"/>
        <v>Support</v>
      </c>
      <c r="Z113" s="32">
        <f t="shared" si="32"/>
        <v>1</v>
      </c>
      <c r="AA113">
        <f>step3_validation[[#This Row],[AI_FAC1]]</f>
        <v>8</v>
      </c>
      <c r="AB113" t="str">
        <f t="shared" si="33"/>
        <v>Support</v>
      </c>
      <c r="AC113">
        <f>survey_responses[[#This Row],[Các thủ tục khai báo thuế VÀ/HOẶC quy trình làm việc với cơ quan thuế đơn giản, tiện lợi, nhanh chóng hơn so với trước đây. - HUMAN-FAC1]]</f>
        <v>8</v>
      </c>
      <c r="AD113" t="str">
        <f t="shared" si="34"/>
        <v>Support</v>
      </c>
      <c r="AE113" s="32">
        <f t="shared" si="35"/>
        <v>0</v>
      </c>
      <c r="AF113">
        <f>step3_validation[[#This Row],[AI_FAC2]]</f>
        <v>9</v>
      </c>
      <c r="AG113" t="str">
        <f t="shared" si="36"/>
        <v>Support</v>
      </c>
      <c r="AH113">
        <f>survey_responses[[#This Row],[So với trước đây, tôi thấy cách tính thuế và các bậc thuế trong phương án mới đơn giản, dễ hiểu và dễ thực hiện hơn. - HUMAN-FAC2]]</f>
        <v>8</v>
      </c>
      <c r="AI113" t="str">
        <f t="shared" si="37"/>
        <v>Support</v>
      </c>
      <c r="AJ113" s="32">
        <f t="shared" si="38"/>
        <v>1</v>
      </c>
      <c r="AK113">
        <f>step3_validation[[#This Row],[AI_TRU1]]</f>
        <v>8</v>
      </c>
      <c r="AL113" t="str">
        <f t="shared" si="39"/>
        <v>Support</v>
      </c>
      <c r="AM113">
        <f>survey_responses[[#This Row],[Tôi tin rằng Nhà nước, cơ quan thuế sẽ thực thi chính sách mới một cách khách quan, công tâm và đối xử bình đẳng với mọi người nộp thuế.  - HUMAN-TRU1]]</f>
        <v>8</v>
      </c>
      <c r="AN113" t="str">
        <f t="shared" si="40"/>
        <v>Support</v>
      </c>
      <c r="AO113" s="32">
        <f t="shared" si="41"/>
        <v>0</v>
      </c>
      <c r="AP113">
        <f>step3_validation[[#This Row],[AI_TRU2]]</f>
        <v>9</v>
      </c>
      <c r="AQ113" t="str">
        <f t="shared" si="42"/>
        <v>Support</v>
      </c>
      <c r="AR113">
        <f>survey_responses[[#This Row],[Tôi thấy mức thuế tôi phải đóng theo phương án mới là công bằng (người thu nhập như tôi đóng mức này là hợp lý). - HUMAN-TRU2]]</f>
        <v>8</v>
      </c>
      <c r="AS113" t="str">
        <f t="shared" si="43"/>
        <v>Support</v>
      </c>
      <c r="AT113" s="32">
        <f t="shared" si="44"/>
        <v>1</v>
      </c>
      <c r="AU113">
        <f>step3_validation[[#This Row],[AI_TRU3]]</f>
        <v>8</v>
      </c>
      <c r="AV113" t="str">
        <f t="shared" si="45"/>
        <v>Support</v>
      </c>
      <c r="AW113">
        <f>survey_responses[[#This Row],[Tôi tin tưởng số tiền thuế tôi đóng sẽ được Nhà nước sử dụng hiệu quả để cải thiện dịch vụ công (y tế, đường xá...). - HUMAN-TRU3]]</f>
        <v>8</v>
      </c>
      <c r="AX113" t="str">
        <f t="shared" si="46"/>
        <v>Support</v>
      </c>
      <c r="AY113" s="32">
        <f t="shared" si="47"/>
        <v>0</v>
      </c>
      <c r="AZ113">
        <f>step3_validation[[#This Row],[AI_TRU4]]</f>
        <v>9</v>
      </c>
      <c r="BA113" t="str">
        <f t="shared" si="48"/>
        <v>Support</v>
      </c>
      <c r="BB113">
        <f>survey_responses[[#This Row],[Tôi thấy Nhà nước đã giải thích rõ ràng, minh bạch về lý do và mục tiêu của việc sửa đổi thuế lần này. - HUMAN-TRU4]]</f>
        <v>8</v>
      </c>
      <c r="BC113" t="str">
        <f t="shared" si="49"/>
        <v>Support</v>
      </c>
      <c r="BD113" s="32">
        <f t="shared" si="50"/>
        <v>1</v>
      </c>
      <c r="BE113">
        <f>step3_validation[[#This Row],[AI_OUT1]]</f>
        <v>8</v>
      </c>
      <c r="BF113" t="str">
        <f t="shared" si="51"/>
        <v>Support</v>
      </c>
      <c r="BG113">
        <f>survey_responses[[#This Row],[Sau khi xem xét các quyền lợi và nghĩa vụ, bạn có ủng hộ và tuân thủ chính sách mới hiện nay? - HUMAN-OUT1]]</f>
        <v>8</v>
      </c>
      <c r="BH113" t="str">
        <f t="shared" si="52"/>
        <v>Support</v>
      </c>
      <c r="BI113" s="32">
        <f t="shared" si="53"/>
        <v>0</v>
      </c>
    </row>
    <row r="114" spans="1:61" x14ac:dyDescent="0.45">
      <c r="A114" s="30">
        <f>step3_validation[[#This Row],[Persona_ID]]</f>
        <v>113</v>
      </c>
      <c r="B114" s="31">
        <f>step3_validation[[#This Row],[Used_Seed]]</f>
        <v>2138</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8</v>
      </c>
      <c r="R114" t="str">
        <f t="shared" si="27"/>
        <v>Support</v>
      </c>
      <c r="S114">
        <f>survey_responses[[#This Row],[Tôi tin rằng với các quy định quản lý thuế hiện nay, hành vi gian lận hoặc trốn thuế sẽ dễ dàng bị phát hiện và xử lý nghiêm. - HUMAN-ENF1]]</f>
        <v>1</v>
      </c>
      <c r="T114" t="str">
        <f t="shared" si="28"/>
        <v>Oppose</v>
      </c>
      <c r="U114" s="32">
        <f t="shared" si="29"/>
        <v>7</v>
      </c>
      <c r="V114">
        <f>step3_validation[[#This Row],[AI_ENF2]]</f>
        <v>7</v>
      </c>
      <c r="W114" t="str">
        <f t="shared" si="30"/>
        <v>Neutral</v>
      </c>
      <c r="X114">
        <f>survey_responses[[#This Row],[Tôi tin rằng Nhà nước, cơ quan thuế có đủ khả năng và công nghệ để phát hiện, xử lý nghiêm các hành vi trốn thuế. - HUMAN-ENF2]]</f>
        <v>1</v>
      </c>
      <c r="Y114" t="str">
        <f t="shared" si="31"/>
        <v>Oppose</v>
      </c>
      <c r="Z114" s="32">
        <f t="shared" si="32"/>
        <v>6</v>
      </c>
      <c r="AA114">
        <f>step3_validation[[#This Row],[AI_FAC1]]</f>
        <v>9</v>
      </c>
      <c r="AB114" t="str">
        <f t="shared" si="33"/>
        <v>Support</v>
      </c>
      <c r="AC114">
        <f>survey_responses[[#This Row],[Các thủ tục khai báo thuế VÀ/HOẶC quy trình làm việc với cơ quan thuế đơn giản, tiện lợi, nhanh chóng hơn so với trước đây. - HUMAN-FAC1]]</f>
        <v>1</v>
      </c>
      <c r="AD114" t="str">
        <f t="shared" si="34"/>
        <v>Oppose</v>
      </c>
      <c r="AE114" s="32">
        <f t="shared" si="35"/>
        <v>8</v>
      </c>
      <c r="AF114">
        <f>step3_validation[[#This Row],[AI_FAC2]]</f>
        <v>7</v>
      </c>
      <c r="AG114" t="str">
        <f t="shared" si="36"/>
        <v>Neutral</v>
      </c>
      <c r="AH114">
        <f>survey_responses[[#This Row],[So với trước đây, tôi thấy cách tính thuế và các bậc thuế trong phương án mới đơn giản, dễ hiểu và dễ thực hiện hơn. - HUMAN-FAC2]]</f>
        <v>1</v>
      </c>
      <c r="AI114" t="str">
        <f t="shared" si="37"/>
        <v>Oppose</v>
      </c>
      <c r="AJ114" s="32">
        <f t="shared" si="38"/>
        <v>6</v>
      </c>
      <c r="AK114">
        <f>step3_validation[[#This Row],[AI_TRU1]]</f>
        <v>8</v>
      </c>
      <c r="AL114" t="str">
        <f t="shared" si="39"/>
        <v>Support</v>
      </c>
      <c r="AM114">
        <f>survey_responses[[#This Row],[Tôi tin rằng Nhà nước, cơ quan thuế sẽ thực thi chính sách mới một cách khách quan, công tâm và đối xử bình đẳng với mọi người nộp thuế.  - HUMAN-TRU1]]</f>
        <v>1</v>
      </c>
      <c r="AN114" t="str">
        <f t="shared" si="40"/>
        <v>Oppose</v>
      </c>
      <c r="AO114" s="32">
        <f t="shared" si="41"/>
        <v>7</v>
      </c>
      <c r="AP114">
        <f>step3_validation[[#This Row],[AI_TRU2]]</f>
        <v>9</v>
      </c>
      <c r="AQ114" t="str">
        <f t="shared" si="42"/>
        <v>Support</v>
      </c>
      <c r="AR114">
        <f>survey_responses[[#This Row],[Tôi thấy mức thuế tôi phải đóng theo phương án mới là công bằng (người thu nhập như tôi đóng mức này là hợp lý). - HUMAN-TRU2]]</f>
        <v>1</v>
      </c>
      <c r="AS114" t="str">
        <f t="shared" si="43"/>
        <v>Oppose</v>
      </c>
      <c r="AT114" s="32">
        <f t="shared" si="44"/>
        <v>8</v>
      </c>
      <c r="AU114">
        <f>step3_validation[[#This Row],[AI_TRU3]]</f>
        <v>8</v>
      </c>
      <c r="AV114" t="str">
        <f t="shared" si="45"/>
        <v>Support</v>
      </c>
      <c r="AW114">
        <f>survey_responses[[#This Row],[Tôi tin tưởng số tiền thuế tôi đóng sẽ được Nhà nước sử dụng hiệu quả để cải thiện dịch vụ công (y tế, đường xá...). - HUMAN-TRU3]]</f>
        <v>1</v>
      </c>
      <c r="AX114" t="str">
        <f t="shared" si="46"/>
        <v>Oppose</v>
      </c>
      <c r="AY114" s="32">
        <f t="shared" si="47"/>
        <v>7</v>
      </c>
      <c r="AZ114">
        <f>step3_validation[[#This Row],[AI_TRU4]]</f>
        <v>7</v>
      </c>
      <c r="BA114" t="str">
        <f t="shared" si="48"/>
        <v>Neutral</v>
      </c>
      <c r="BB114">
        <f>survey_responses[[#This Row],[Tôi thấy Nhà nước đã giải thích rõ ràng, minh bạch về lý do và mục tiêu của việc sửa đổi thuế lần này. - HUMAN-TRU4]]</f>
        <v>1</v>
      </c>
      <c r="BC114" t="str">
        <f t="shared" si="49"/>
        <v>Oppose</v>
      </c>
      <c r="BD114" s="32">
        <f t="shared" si="50"/>
        <v>6</v>
      </c>
      <c r="BE114">
        <f>step3_validation[[#This Row],[AI_OUT1]]</f>
        <v>9</v>
      </c>
      <c r="BF114" t="str">
        <f t="shared" si="51"/>
        <v>Support</v>
      </c>
      <c r="BG114">
        <f>survey_responses[[#This Row],[Sau khi xem xét các quyền lợi và nghĩa vụ, bạn có ủng hộ và tuân thủ chính sách mới hiện nay? - HUMAN-OUT1]]</f>
        <v>1</v>
      </c>
      <c r="BH114" t="str">
        <f t="shared" si="52"/>
        <v>Oppose</v>
      </c>
      <c r="BI114" s="32">
        <f t="shared" si="53"/>
        <v>8</v>
      </c>
    </row>
    <row r="115" spans="1:61" x14ac:dyDescent="0.45">
      <c r="A115" s="30">
        <f>step3_validation[[#This Row],[Persona_ID]]</f>
        <v>114</v>
      </c>
      <c r="B115" s="31">
        <f>step3_validation[[#This Row],[Used_Seed]]</f>
        <v>2139</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21.303432143635934</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5</v>
      </c>
      <c r="R115" t="str">
        <f t="shared" si="27"/>
        <v>Neutral</v>
      </c>
      <c r="S115">
        <f>survey_responses[[#This Row],[Tôi tin rằng với các quy định quản lý thuế hiện nay, hành vi gian lận hoặc trốn thuế sẽ dễ dàng bị phát hiện và xử lý nghiêm. - HUMAN-ENF1]]</f>
        <v>10</v>
      </c>
      <c r="T115" t="str">
        <f t="shared" si="28"/>
        <v>Support</v>
      </c>
      <c r="U115" s="32">
        <f t="shared" si="29"/>
        <v>5</v>
      </c>
      <c r="V115">
        <f>step3_validation[[#This Row],[AI_ENF2]]</f>
        <v>6</v>
      </c>
      <c r="W115" t="str">
        <f t="shared" si="30"/>
        <v>Neutral</v>
      </c>
      <c r="X115">
        <f>survey_responses[[#This Row],[Tôi tin rằng Nhà nước, cơ quan thuế có đủ khả năng và công nghệ để phát hiện, xử lý nghiêm các hành vi trốn thuế. - HUMAN-ENF2]]</f>
        <v>10</v>
      </c>
      <c r="Y115" t="str">
        <f t="shared" si="31"/>
        <v>Support</v>
      </c>
      <c r="Z115" s="32">
        <f t="shared" si="32"/>
        <v>4</v>
      </c>
      <c r="AA115">
        <f>step3_validation[[#This Row],[AI_FAC1]]</f>
        <v>9</v>
      </c>
      <c r="AB115" t="str">
        <f t="shared" si="33"/>
        <v>Support</v>
      </c>
      <c r="AC115">
        <f>survey_responses[[#This Row],[Các thủ tục khai báo thuế VÀ/HOẶC quy trình làm việc với cơ quan thuế đơn giản, tiện lợi, nhanh chóng hơn so với trước đây. - HUMAN-FAC1]]</f>
        <v>10</v>
      </c>
      <c r="AD115" t="str">
        <f t="shared" si="34"/>
        <v>Support</v>
      </c>
      <c r="AE115" s="32">
        <f t="shared" si="35"/>
        <v>1</v>
      </c>
      <c r="AF115">
        <f>step3_validation[[#This Row],[AI_FAC2]]</f>
        <v>9</v>
      </c>
      <c r="AG115" t="str">
        <f t="shared" si="36"/>
        <v>Support</v>
      </c>
      <c r="AH115">
        <f>survey_responses[[#This Row],[So với trước đây, tôi thấy cách tính thuế và các bậc thuế trong phương án mới đơn giản, dễ hiểu và dễ thực hiện hơn. - HUMAN-FAC2]]</f>
        <v>10</v>
      </c>
      <c r="AI115" t="str">
        <f t="shared" si="37"/>
        <v>Support</v>
      </c>
      <c r="AJ115" s="32">
        <f t="shared" si="38"/>
        <v>1</v>
      </c>
      <c r="AK115">
        <f>step3_validation[[#This Row],[AI_TRU1]]</f>
        <v>7</v>
      </c>
      <c r="AL115" t="str">
        <f t="shared" si="39"/>
        <v>Neutral</v>
      </c>
      <c r="AM115">
        <f>survey_responses[[#This Row],[Tôi tin rằng Nhà nước, cơ quan thuế sẽ thực thi chính sách mới một cách khách quan, công tâm và đối xử bình đẳng với mọi người nộp thuế.  - HUMAN-TRU1]]</f>
        <v>10</v>
      </c>
      <c r="AN115" t="str">
        <f t="shared" si="40"/>
        <v>Support</v>
      </c>
      <c r="AO115" s="32">
        <f t="shared" si="41"/>
        <v>3</v>
      </c>
      <c r="AP115">
        <f>step3_validation[[#This Row],[AI_TRU2]]</f>
        <v>9</v>
      </c>
      <c r="AQ115" t="str">
        <f t="shared" si="42"/>
        <v>Support</v>
      </c>
      <c r="AR115">
        <f>survey_responses[[#This Row],[Tôi thấy mức thuế tôi phải đóng theo phương án mới là công bằng (người thu nhập như tôi đóng mức này là hợp lý). - HUMAN-TRU2]]</f>
        <v>10</v>
      </c>
      <c r="AS115" t="str">
        <f t="shared" si="43"/>
        <v>Support</v>
      </c>
      <c r="AT115" s="32">
        <f t="shared" si="44"/>
        <v>1</v>
      </c>
      <c r="AU115">
        <f>step3_validation[[#This Row],[AI_TRU3]]</f>
        <v>8</v>
      </c>
      <c r="AV115" t="str">
        <f t="shared" si="45"/>
        <v>Support</v>
      </c>
      <c r="AW115">
        <f>survey_responses[[#This Row],[Tôi tin tưởng số tiền thuế tôi đóng sẽ được Nhà nước sử dụng hiệu quả để cải thiện dịch vụ công (y tế, đường xá...). - HUMAN-TRU3]]</f>
        <v>10</v>
      </c>
      <c r="AX115" t="str">
        <f t="shared" si="46"/>
        <v>Support</v>
      </c>
      <c r="AY115" s="32">
        <f t="shared" si="47"/>
        <v>2</v>
      </c>
      <c r="AZ115">
        <f>step3_validation[[#This Row],[AI_TRU4]]</f>
        <v>7</v>
      </c>
      <c r="BA115" t="str">
        <f t="shared" si="48"/>
        <v>Neutral</v>
      </c>
      <c r="BB115">
        <f>survey_responses[[#This Row],[Tôi thấy Nhà nước đã giải thích rõ ràng, minh bạch về lý do và mục tiêu của việc sửa đổi thuế lần này. - HUMAN-TRU4]]</f>
        <v>10</v>
      </c>
      <c r="BC115" t="str">
        <f t="shared" si="49"/>
        <v>Support</v>
      </c>
      <c r="BD115" s="32">
        <f t="shared" si="50"/>
        <v>3</v>
      </c>
      <c r="BE115">
        <f>step3_validation[[#This Row],[AI_OUT1]]</f>
        <v>8</v>
      </c>
      <c r="BF115" t="str">
        <f t="shared" si="51"/>
        <v>Support</v>
      </c>
      <c r="BG115">
        <f>survey_responses[[#This Row],[Sau khi xem xét các quyền lợi và nghĩa vụ, bạn có ủng hộ và tuân thủ chính sách mới hiện nay? - HUMAN-OUT1]]</f>
        <v>10</v>
      </c>
      <c r="BH115" t="str">
        <f t="shared" si="52"/>
        <v>Support</v>
      </c>
      <c r="BI115" s="32">
        <f t="shared" si="53"/>
        <v>2</v>
      </c>
    </row>
    <row r="116" spans="1:61" x14ac:dyDescent="0.45">
      <c r="A116" s="30">
        <f>step3_validation[[#This Row],[Persona_ID]]</f>
        <v>115</v>
      </c>
      <c r="B116" s="31">
        <f>step3_validation[[#This Row],[Used_Seed]]</f>
        <v>2140</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13.742364406331557</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7</v>
      </c>
      <c r="R116" t="str">
        <f t="shared" si="27"/>
        <v>Neutral</v>
      </c>
      <c r="S116">
        <f>survey_responses[[#This Row],[Tôi tin rằng với các quy định quản lý thuế hiện nay, hành vi gian lận hoặc trốn thuế sẽ dễ dàng bị phát hiện và xử lý nghiêm. - HUMAN-ENF1]]</f>
        <v>1</v>
      </c>
      <c r="T116" t="str">
        <f t="shared" si="28"/>
        <v>Oppose</v>
      </c>
      <c r="U116" s="32">
        <f t="shared" si="29"/>
        <v>6</v>
      </c>
      <c r="V116">
        <f>step3_validation[[#This Row],[AI_ENF2]]</f>
        <v>8</v>
      </c>
      <c r="W116" t="str">
        <f t="shared" si="30"/>
        <v>Support</v>
      </c>
      <c r="X116">
        <f>survey_responses[[#This Row],[Tôi tin rằng Nhà nước, cơ quan thuế có đủ khả năng và công nghệ để phát hiện, xử lý nghiêm các hành vi trốn thuế. - HUMAN-ENF2]]</f>
        <v>1</v>
      </c>
      <c r="Y116" t="str">
        <f t="shared" si="31"/>
        <v>Oppose</v>
      </c>
      <c r="Z116" s="32">
        <f t="shared" si="32"/>
        <v>7</v>
      </c>
      <c r="AA116">
        <f>step3_validation[[#This Row],[AI_FAC1]]</f>
        <v>7</v>
      </c>
      <c r="AB116" t="str">
        <f t="shared" si="33"/>
        <v>Neutral</v>
      </c>
      <c r="AC116">
        <f>survey_responses[[#This Row],[Các thủ tục khai báo thuế VÀ/HOẶC quy trình làm việc với cơ quan thuế đơn giản, tiện lợi, nhanh chóng hơn so với trước đây. - HUMAN-FAC1]]</f>
        <v>1</v>
      </c>
      <c r="AD116" t="str">
        <f t="shared" si="34"/>
        <v>Oppose</v>
      </c>
      <c r="AE116" s="32">
        <f t="shared" si="35"/>
        <v>6</v>
      </c>
      <c r="AF116">
        <f>step3_validation[[#This Row],[AI_FAC2]]</f>
        <v>9</v>
      </c>
      <c r="AG116" t="str">
        <f t="shared" si="36"/>
        <v>Support</v>
      </c>
      <c r="AH116">
        <f>survey_responses[[#This Row],[So với trước đây, tôi thấy cách tính thuế và các bậc thuế trong phương án mới đơn giản, dễ hiểu và dễ thực hiện hơn. - HUMAN-FAC2]]</f>
        <v>1</v>
      </c>
      <c r="AI116" t="str">
        <f t="shared" si="37"/>
        <v>Oppose</v>
      </c>
      <c r="AJ116" s="32">
        <f t="shared" si="38"/>
        <v>8</v>
      </c>
      <c r="AK116">
        <f>step3_validation[[#This Row],[AI_TRU1]]</f>
        <v>8</v>
      </c>
      <c r="AL116" t="str">
        <f t="shared" si="39"/>
        <v>Support</v>
      </c>
      <c r="AM116">
        <f>survey_responses[[#This Row],[Tôi tin rằng Nhà nước, cơ quan thuế sẽ thực thi chính sách mới một cách khách quan, công tâm và đối xử bình đẳng với mọi người nộp thuế.  - HUMAN-TRU1]]</f>
        <v>1</v>
      </c>
      <c r="AN116" t="str">
        <f t="shared" si="40"/>
        <v>Oppose</v>
      </c>
      <c r="AO116" s="32">
        <f t="shared" si="41"/>
        <v>7</v>
      </c>
      <c r="AP116">
        <f>step3_validation[[#This Row],[AI_TRU2]]</f>
        <v>9</v>
      </c>
      <c r="AQ116" t="str">
        <f t="shared" si="42"/>
        <v>Support</v>
      </c>
      <c r="AR116">
        <f>survey_responses[[#This Row],[Tôi thấy mức thuế tôi phải đóng theo phương án mới là công bằng (người thu nhập như tôi đóng mức này là hợp lý). - HUMAN-TRU2]]</f>
        <v>1</v>
      </c>
      <c r="AS116" t="str">
        <f t="shared" si="43"/>
        <v>Oppose</v>
      </c>
      <c r="AT116" s="32">
        <f t="shared" si="44"/>
        <v>8</v>
      </c>
      <c r="AU116">
        <f>step3_validation[[#This Row],[AI_TRU3]]</f>
        <v>8</v>
      </c>
      <c r="AV116" t="str">
        <f t="shared" si="45"/>
        <v>Support</v>
      </c>
      <c r="AW116">
        <f>survey_responses[[#This Row],[Tôi tin tưởng số tiền thuế tôi đóng sẽ được Nhà nước sử dụng hiệu quả để cải thiện dịch vụ công (y tế, đường xá...). - HUMAN-TRU3]]</f>
        <v>1</v>
      </c>
      <c r="AX116" t="str">
        <f t="shared" si="46"/>
        <v>Oppose</v>
      </c>
      <c r="AY116" s="32">
        <f t="shared" si="47"/>
        <v>7</v>
      </c>
      <c r="AZ116">
        <f>step3_validation[[#This Row],[AI_TRU4]]</f>
        <v>9</v>
      </c>
      <c r="BA116" t="str">
        <f t="shared" si="48"/>
        <v>Support</v>
      </c>
      <c r="BB116">
        <f>survey_responses[[#This Row],[Tôi thấy Nhà nước đã giải thích rõ ràng, minh bạch về lý do và mục tiêu của việc sửa đổi thuế lần này. - HUMAN-TRU4]]</f>
        <v>1</v>
      </c>
      <c r="BC116" t="str">
        <f t="shared" si="49"/>
        <v>Oppose</v>
      </c>
      <c r="BD116" s="32">
        <f t="shared" si="50"/>
        <v>8</v>
      </c>
      <c r="BE116">
        <f>step3_validation[[#This Row],[AI_OUT1]]</f>
        <v>8</v>
      </c>
      <c r="BF116" t="str">
        <f t="shared" si="51"/>
        <v>Support</v>
      </c>
      <c r="BG116">
        <f>survey_responses[[#This Row],[Sau khi xem xét các quyền lợi và nghĩa vụ, bạn có ủng hộ và tuân thủ chính sách mới hiện nay? - HUMAN-OUT1]]</f>
        <v>1</v>
      </c>
      <c r="BH116" t="str">
        <f t="shared" si="52"/>
        <v>Oppose</v>
      </c>
      <c r="BI116" s="32">
        <f t="shared" si="53"/>
        <v>7</v>
      </c>
    </row>
    <row r="117" spans="1:61" x14ac:dyDescent="0.45">
      <c r="A117" s="30">
        <f>step3_validation[[#This Row],[Persona_ID]]</f>
        <v>116</v>
      </c>
      <c r="B117" s="31">
        <f>step3_validation[[#This Row],[Used_Seed]]</f>
        <v>2141</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12.67404857828916</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7</v>
      </c>
      <c r="R117" t="str">
        <f t="shared" si="27"/>
        <v>Neutral</v>
      </c>
      <c r="S117">
        <f>survey_responses[[#This Row],[Tôi tin rằng với các quy định quản lý thuế hiện nay, hành vi gian lận hoặc trốn thuế sẽ dễ dàng bị phát hiện và xử lý nghiêm. - HUMAN-ENF1]]</f>
        <v>9</v>
      </c>
      <c r="T117" t="str">
        <f t="shared" si="28"/>
        <v>Support</v>
      </c>
      <c r="U117" s="32">
        <f t="shared" si="29"/>
        <v>2</v>
      </c>
      <c r="V117">
        <f>step3_validation[[#This Row],[AI_ENF2]]</f>
        <v>6</v>
      </c>
      <c r="W117" t="str">
        <f t="shared" si="30"/>
        <v>Neutral</v>
      </c>
      <c r="X117">
        <f>survey_responses[[#This Row],[Tôi tin rằng Nhà nước, cơ quan thuế có đủ khả năng và công nghệ để phát hiện, xử lý nghiêm các hành vi trốn thuế. - HUMAN-ENF2]]</f>
        <v>9</v>
      </c>
      <c r="Y117" t="str">
        <f t="shared" si="31"/>
        <v>Support</v>
      </c>
      <c r="Z117" s="32">
        <f t="shared" si="32"/>
        <v>3</v>
      </c>
      <c r="AA117">
        <f>step3_validation[[#This Row],[AI_FAC1]]</f>
        <v>9</v>
      </c>
      <c r="AB117" t="str">
        <f t="shared" si="33"/>
        <v>Support</v>
      </c>
      <c r="AC117">
        <f>survey_responses[[#This Row],[Các thủ tục khai báo thuế VÀ/HOẶC quy trình làm việc với cơ quan thuế đơn giản, tiện lợi, nhanh chóng hơn so với trước đây. - HUMAN-FAC1]]</f>
        <v>9</v>
      </c>
      <c r="AD117" t="str">
        <f t="shared" si="34"/>
        <v>Support</v>
      </c>
      <c r="AE117" s="32">
        <f t="shared" si="35"/>
        <v>0</v>
      </c>
      <c r="AF117">
        <f>step3_validation[[#This Row],[AI_FAC2]]</f>
        <v>8</v>
      </c>
      <c r="AG117" t="str">
        <f t="shared" si="36"/>
        <v>Support</v>
      </c>
      <c r="AH117">
        <f>survey_responses[[#This Row],[So với trước đây, tôi thấy cách tính thuế và các bậc thuế trong phương án mới đơn giản, dễ hiểu và dễ thực hiện hơn. - HUMAN-FAC2]]</f>
        <v>9</v>
      </c>
      <c r="AI117" t="str">
        <f t="shared" si="37"/>
        <v>Support</v>
      </c>
      <c r="AJ117" s="32">
        <f t="shared" si="38"/>
        <v>1</v>
      </c>
      <c r="AK117">
        <f>step3_validation[[#This Row],[AI_TRU1]]</f>
        <v>6</v>
      </c>
      <c r="AL117" t="str">
        <f t="shared" si="39"/>
        <v>Neutral</v>
      </c>
      <c r="AM117">
        <f>survey_responses[[#This Row],[Tôi tin rằng Nhà nước, cơ quan thuế sẽ thực thi chính sách mới một cách khách quan, công tâm và đối xử bình đẳng với mọi người nộp thuế.  - HUMAN-TRU1]]</f>
        <v>9</v>
      </c>
      <c r="AN117" t="str">
        <f t="shared" si="40"/>
        <v>Support</v>
      </c>
      <c r="AO117" s="32">
        <f t="shared" si="41"/>
        <v>3</v>
      </c>
      <c r="AP117">
        <f>step3_validation[[#This Row],[AI_TRU2]]</f>
        <v>9</v>
      </c>
      <c r="AQ117" t="str">
        <f t="shared" si="42"/>
        <v>Support</v>
      </c>
      <c r="AR117">
        <f>survey_responses[[#This Row],[Tôi thấy mức thuế tôi phải đóng theo phương án mới là công bằng (người thu nhập như tôi đóng mức này là hợp lý). - HUMAN-TRU2]]</f>
        <v>9</v>
      </c>
      <c r="AS117" t="str">
        <f t="shared" si="43"/>
        <v>Support</v>
      </c>
      <c r="AT117" s="32">
        <f t="shared" si="44"/>
        <v>0</v>
      </c>
      <c r="AU117">
        <f>step3_validation[[#This Row],[AI_TRU3]]</f>
        <v>7</v>
      </c>
      <c r="AV117" t="str">
        <f t="shared" si="45"/>
        <v>Neutral</v>
      </c>
      <c r="AW117">
        <f>survey_responses[[#This Row],[Tôi tin tưởng số tiền thuế tôi đóng sẽ được Nhà nước sử dụng hiệu quả để cải thiện dịch vụ công (y tế, đường xá...). - HUMAN-TRU3]]</f>
        <v>9</v>
      </c>
      <c r="AX117" t="str">
        <f t="shared" si="46"/>
        <v>Support</v>
      </c>
      <c r="AY117" s="32">
        <f t="shared" si="47"/>
        <v>2</v>
      </c>
      <c r="AZ117">
        <f>step3_validation[[#This Row],[AI_TRU4]]</f>
        <v>6</v>
      </c>
      <c r="BA117" t="str">
        <f t="shared" si="48"/>
        <v>Neutral</v>
      </c>
      <c r="BB117">
        <f>survey_responses[[#This Row],[Tôi thấy Nhà nước đã giải thích rõ ràng, minh bạch về lý do và mục tiêu của việc sửa đổi thuế lần này. - HUMAN-TRU4]]</f>
        <v>8</v>
      </c>
      <c r="BC117" t="str">
        <f t="shared" si="49"/>
        <v>Support</v>
      </c>
      <c r="BD117" s="32">
        <f t="shared" si="50"/>
        <v>2</v>
      </c>
      <c r="BE117">
        <f>step3_validation[[#This Row],[AI_OUT1]]</f>
        <v>8</v>
      </c>
      <c r="BF117" t="str">
        <f t="shared" si="51"/>
        <v>Support</v>
      </c>
      <c r="BG117">
        <f>survey_responses[[#This Row],[Sau khi xem xét các quyền lợi và nghĩa vụ, bạn có ủng hộ và tuân thủ chính sách mới hiện nay? - HUMAN-OUT1]]</f>
        <v>9</v>
      </c>
      <c r="BH117" t="str">
        <f t="shared" si="52"/>
        <v>Support</v>
      </c>
      <c r="BI117" s="32">
        <f t="shared" si="53"/>
        <v>1</v>
      </c>
    </row>
    <row r="118" spans="1:61" x14ac:dyDescent="0.45">
      <c r="A118" s="30">
        <f>step3_validation[[#This Row],[Persona_ID]]</f>
        <v>117</v>
      </c>
      <c r="B118" s="31">
        <f>step3_validation[[#This Row],[Used_Seed]]</f>
        <v>2142</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49.048057594631516</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9</v>
      </c>
      <c r="R118" t="str">
        <f t="shared" si="27"/>
        <v>Support</v>
      </c>
      <c r="S118">
        <f>survey_responses[[#This Row],[Tôi tin rằng với các quy định quản lý thuế hiện nay, hành vi gian lận hoặc trốn thuế sẽ dễ dàng bị phát hiện và xử lý nghiêm. - HUMAN-ENF1]]</f>
        <v>8</v>
      </c>
      <c r="T118" t="str">
        <f t="shared" si="28"/>
        <v>Support</v>
      </c>
      <c r="U118" s="32">
        <f t="shared" si="29"/>
        <v>1</v>
      </c>
      <c r="V118">
        <f>step3_validation[[#This Row],[AI_ENF2]]</f>
        <v>7</v>
      </c>
      <c r="W118" t="str">
        <f t="shared" si="30"/>
        <v>Neutral</v>
      </c>
      <c r="X118">
        <f>survey_responses[[#This Row],[Tôi tin rằng Nhà nước, cơ quan thuế có đủ khả năng và công nghệ để phát hiện, xử lý nghiêm các hành vi trốn thuế. - HUMAN-ENF2]]</f>
        <v>9</v>
      </c>
      <c r="Y118" t="str">
        <f t="shared" si="31"/>
        <v>Support</v>
      </c>
      <c r="Z118" s="32">
        <f t="shared" si="32"/>
        <v>2</v>
      </c>
      <c r="AA118">
        <f>step3_validation[[#This Row],[AI_FAC1]]</f>
        <v>8</v>
      </c>
      <c r="AB118" t="str">
        <f t="shared" si="33"/>
        <v>Support</v>
      </c>
      <c r="AC118">
        <f>survey_responses[[#This Row],[Các thủ tục khai báo thuế VÀ/HOẶC quy trình làm việc với cơ quan thuế đơn giản, tiện lợi, nhanh chóng hơn so với trước đây. - HUMAN-FAC1]]</f>
        <v>8</v>
      </c>
      <c r="AD118" t="str">
        <f t="shared" si="34"/>
        <v>Support</v>
      </c>
      <c r="AE118" s="32">
        <f t="shared" si="35"/>
        <v>0</v>
      </c>
      <c r="AF118">
        <f>step3_validation[[#This Row],[AI_FAC2]]</f>
        <v>9</v>
      </c>
      <c r="AG118" t="str">
        <f t="shared" si="36"/>
        <v>Support</v>
      </c>
      <c r="AH118">
        <f>survey_responses[[#This Row],[So với trước đây, tôi thấy cách tính thuế và các bậc thuế trong phương án mới đơn giản, dễ hiểu và dễ thực hiện hơn. - HUMAN-FAC2]]</f>
        <v>6</v>
      </c>
      <c r="AI118" t="str">
        <f t="shared" si="37"/>
        <v>Neutral</v>
      </c>
      <c r="AJ118" s="32">
        <f t="shared" si="38"/>
        <v>3</v>
      </c>
      <c r="AK118">
        <f>step3_validation[[#This Row],[AI_TRU1]]</f>
        <v>8</v>
      </c>
      <c r="AL118" t="str">
        <f t="shared" si="39"/>
        <v>Support</v>
      </c>
      <c r="AM118">
        <f>survey_responses[[#This Row],[Tôi tin rằng Nhà nước, cơ quan thuế sẽ thực thi chính sách mới một cách khách quan, công tâm và đối xử bình đẳng với mọi người nộp thuế.  - HUMAN-TRU1]]</f>
        <v>8</v>
      </c>
      <c r="AN118" t="str">
        <f t="shared" si="40"/>
        <v>Support</v>
      </c>
      <c r="AO118" s="32">
        <f t="shared" si="41"/>
        <v>0</v>
      </c>
      <c r="AP118">
        <f>step3_validation[[#This Row],[AI_TRU2]]</f>
        <v>9</v>
      </c>
      <c r="AQ118" t="str">
        <f t="shared" si="42"/>
        <v>Support</v>
      </c>
      <c r="AR118">
        <f>survey_responses[[#This Row],[Tôi thấy mức thuế tôi phải đóng theo phương án mới là công bằng (người thu nhập như tôi đóng mức này là hợp lý). - HUMAN-TRU2]]</f>
        <v>8</v>
      </c>
      <c r="AS118" t="str">
        <f t="shared" si="43"/>
        <v>Support</v>
      </c>
      <c r="AT118" s="32">
        <f t="shared" si="44"/>
        <v>1</v>
      </c>
      <c r="AU118">
        <f>step3_validation[[#This Row],[AI_TRU3]]</f>
        <v>8</v>
      </c>
      <c r="AV118" t="str">
        <f t="shared" si="45"/>
        <v>Support</v>
      </c>
      <c r="AW118">
        <f>survey_responses[[#This Row],[Tôi tin tưởng số tiền thuế tôi đóng sẽ được Nhà nước sử dụng hiệu quả để cải thiện dịch vụ công (y tế, đường xá...). - HUMAN-TRU3]]</f>
        <v>8</v>
      </c>
      <c r="AX118" t="str">
        <f t="shared" si="46"/>
        <v>Support</v>
      </c>
      <c r="AY118" s="32">
        <f t="shared" si="47"/>
        <v>0</v>
      </c>
      <c r="AZ118">
        <f>step3_validation[[#This Row],[AI_TRU4]]</f>
        <v>9</v>
      </c>
      <c r="BA118" t="str">
        <f t="shared" si="48"/>
        <v>Support</v>
      </c>
      <c r="BB118">
        <f>survey_responses[[#This Row],[Tôi thấy Nhà nước đã giải thích rõ ràng, minh bạch về lý do và mục tiêu của việc sửa đổi thuế lần này. - HUMAN-TRU4]]</f>
        <v>8</v>
      </c>
      <c r="BC118" t="str">
        <f t="shared" si="49"/>
        <v>Support</v>
      </c>
      <c r="BD118" s="32">
        <f t="shared" si="50"/>
        <v>1</v>
      </c>
      <c r="BE118">
        <f>step3_validation[[#This Row],[AI_OUT1]]</f>
        <v>10</v>
      </c>
      <c r="BF118" t="str">
        <f t="shared" si="51"/>
        <v>Support</v>
      </c>
      <c r="BG118">
        <f>survey_responses[[#This Row],[Sau khi xem xét các quyền lợi và nghĩa vụ, bạn có ủng hộ và tuân thủ chính sách mới hiện nay? - HUMAN-OUT1]]</f>
        <v>6</v>
      </c>
      <c r="BH118" t="str">
        <f t="shared" si="52"/>
        <v>Neutral</v>
      </c>
      <c r="BI118" s="32">
        <f t="shared" si="53"/>
        <v>4</v>
      </c>
    </row>
    <row r="119" spans="1:61" x14ac:dyDescent="0.45">
      <c r="A119" s="30">
        <f>step3_validation[[#This Row],[Persona_ID]]</f>
        <v>118</v>
      </c>
      <c r="B119" s="31">
        <f>step3_validation[[#This Row],[Used_Seed]]</f>
        <v>2143</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41.026562611168941</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7</v>
      </c>
      <c r="R119" t="str">
        <f t="shared" si="27"/>
        <v>Neutral</v>
      </c>
      <c r="S119">
        <f>survey_responses[[#This Row],[Tôi tin rằng với các quy định quản lý thuế hiện nay, hành vi gian lận hoặc trốn thuế sẽ dễ dàng bị phát hiện và xử lý nghiêm. - HUMAN-ENF1]]</f>
        <v>4</v>
      </c>
      <c r="T119" t="str">
        <f t="shared" si="28"/>
        <v>Oppose</v>
      </c>
      <c r="U119" s="32">
        <f t="shared" si="29"/>
        <v>3</v>
      </c>
      <c r="V119">
        <f>step3_validation[[#This Row],[AI_ENF2]]</f>
        <v>8</v>
      </c>
      <c r="W119" t="str">
        <f t="shared" si="30"/>
        <v>Support</v>
      </c>
      <c r="X119">
        <f>survey_responses[[#This Row],[Tôi tin rằng Nhà nước, cơ quan thuế có đủ khả năng và công nghệ để phát hiện, xử lý nghiêm các hành vi trốn thuế. - HUMAN-ENF2]]</f>
        <v>1</v>
      </c>
      <c r="Y119" t="str">
        <f t="shared" si="31"/>
        <v>Oppose</v>
      </c>
      <c r="Z119" s="32">
        <f t="shared" si="32"/>
        <v>7</v>
      </c>
      <c r="AA119">
        <f>step3_validation[[#This Row],[AI_FAC1]]</f>
        <v>7</v>
      </c>
      <c r="AB119" t="str">
        <f t="shared" si="33"/>
        <v>Neutral</v>
      </c>
      <c r="AC119">
        <f>survey_responses[[#This Row],[Các thủ tục khai báo thuế VÀ/HOẶC quy trình làm việc với cơ quan thuế đơn giản, tiện lợi, nhanh chóng hơn so với trước đây. - HUMAN-FAC1]]</f>
        <v>1</v>
      </c>
      <c r="AD119" t="str">
        <f t="shared" si="34"/>
        <v>Oppose</v>
      </c>
      <c r="AE119" s="32">
        <f t="shared" si="35"/>
        <v>6</v>
      </c>
      <c r="AF119">
        <f>step3_validation[[#This Row],[AI_FAC2]]</f>
        <v>9</v>
      </c>
      <c r="AG119" t="str">
        <f t="shared" si="36"/>
        <v>Support</v>
      </c>
      <c r="AH119">
        <f>survey_responses[[#This Row],[So với trước đây, tôi thấy cách tính thuế và các bậc thuế trong phương án mới đơn giản, dễ hiểu và dễ thực hiện hơn. - HUMAN-FAC2]]</f>
        <v>5</v>
      </c>
      <c r="AI119" t="str">
        <f t="shared" si="37"/>
        <v>Neutral</v>
      </c>
      <c r="AJ119" s="32">
        <f t="shared" si="38"/>
        <v>4</v>
      </c>
      <c r="AK119">
        <f>step3_validation[[#This Row],[AI_TRU1]]</f>
        <v>6</v>
      </c>
      <c r="AL119" t="str">
        <f t="shared" si="39"/>
        <v>Neutral</v>
      </c>
      <c r="AM119">
        <f>survey_responses[[#This Row],[Tôi tin rằng Nhà nước, cơ quan thuế sẽ thực thi chính sách mới một cách khách quan, công tâm và đối xử bình đẳng với mọi người nộp thuế.  - HUMAN-TRU1]]</f>
        <v>1</v>
      </c>
      <c r="AN119" t="str">
        <f t="shared" si="40"/>
        <v>Oppose</v>
      </c>
      <c r="AO119" s="32">
        <f t="shared" si="41"/>
        <v>5</v>
      </c>
      <c r="AP119">
        <f>step3_validation[[#This Row],[AI_TRU2]]</f>
        <v>8</v>
      </c>
      <c r="AQ119" t="str">
        <f t="shared" si="42"/>
        <v>Support</v>
      </c>
      <c r="AR119">
        <f>survey_responses[[#This Row],[Tôi thấy mức thuế tôi phải đóng theo phương án mới là công bằng (người thu nhập như tôi đóng mức này là hợp lý). - HUMAN-TRU2]]</f>
        <v>3</v>
      </c>
      <c r="AS119" t="str">
        <f t="shared" si="43"/>
        <v>Oppose</v>
      </c>
      <c r="AT119" s="32">
        <f t="shared" si="44"/>
        <v>5</v>
      </c>
      <c r="AU119">
        <f>step3_validation[[#This Row],[AI_TRU3]]</f>
        <v>6</v>
      </c>
      <c r="AV119" t="str">
        <f t="shared" si="45"/>
        <v>Neutral</v>
      </c>
      <c r="AW119">
        <f>survey_responses[[#This Row],[Tôi tin tưởng số tiền thuế tôi đóng sẽ được Nhà nước sử dụng hiệu quả để cải thiện dịch vụ công (y tế, đường xá...). - HUMAN-TRU3]]</f>
        <v>1</v>
      </c>
      <c r="AX119" t="str">
        <f t="shared" si="46"/>
        <v>Oppose</v>
      </c>
      <c r="AY119" s="32">
        <f t="shared" si="47"/>
        <v>5</v>
      </c>
      <c r="AZ119">
        <f>step3_validation[[#This Row],[AI_TRU4]]</f>
        <v>7</v>
      </c>
      <c r="BA119" t="str">
        <f t="shared" si="48"/>
        <v>Neutral</v>
      </c>
      <c r="BB119">
        <f>survey_responses[[#This Row],[Tôi thấy Nhà nước đã giải thích rõ ràng, minh bạch về lý do và mục tiêu của việc sửa đổi thuế lần này. - HUMAN-TRU4]]</f>
        <v>1</v>
      </c>
      <c r="BC119" t="str">
        <f t="shared" si="49"/>
        <v>Oppose</v>
      </c>
      <c r="BD119" s="32">
        <f t="shared" si="50"/>
        <v>6</v>
      </c>
      <c r="BE119">
        <f>step3_validation[[#This Row],[AI_OUT1]]</f>
        <v>8</v>
      </c>
      <c r="BF119" t="str">
        <f t="shared" si="51"/>
        <v>Support</v>
      </c>
      <c r="BG119">
        <f>survey_responses[[#This Row],[Sau khi xem xét các quyền lợi và nghĩa vụ, bạn có ủng hộ và tuân thủ chính sách mới hiện nay? - HUMAN-OUT1]]</f>
        <v>5</v>
      </c>
      <c r="BH119" t="str">
        <f t="shared" si="52"/>
        <v>Neutral</v>
      </c>
      <c r="BI119" s="32">
        <f t="shared" si="53"/>
        <v>3</v>
      </c>
    </row>
    <row r="120" spans="1:61" x14ac:dyDescent="0.45">
      <c r="A120" s="30">
        <f>step3_validation[[#This Row],[Persona_ID]]</f>
        <v>119</v>
      </c>
      <c r="B120" s="31">
        <f>step3_validation[[#This Row],[Used_Seed]]</f>
        <v>2144</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51.836876213739146</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7</v>
      </c>
      <c r="R120" t="str">
        <f t="shared" si="27"/>
        <v>Neutral</v>
      </c>
      <c r="S120">
        <f>survey_responses[[#This Row],[Tôi tin rằng với các quy định quản lý thuế hiện nay, hành vi gian lận hoặc trốn thuế sẽ dễ dàng bị phát hiện và xử lý nghiêm. - HUMAN-ENF1]]</f>
        <v>8</v>
      </c>
      <c r="T120" t="str">
        <f t="shared" si="28"/>
        <v>Support</v>
      </c>
      <c r="U120" s="32">
        <f t="shared" si="29"/>
        <v>1</v>
      </c>
      <c r="V120">
        <f>step3_validation[[#This Row],[AI_ENF2]]</f>
        <v>8</v>
      </c>
      <c r="W120" t="str">
        <f t="shared" si="30"/>
        <v>Support</v>
      </c>
      <c r="X120">
        <f>survey_responses[[#This Row],[Tôi tin rằng Nhà nước, cơ quan thuế có đủ khả năng và công nghệ để phát hiện, xử lý nghiêm các hành vi trốn thuế. - HUMAN-ENF2]]</f>
        <v>8</v>
      </c>
      <c r="Y120" t="str">
        <f t="shared" si="31"/>
        <v>Support</v>
      </c>
      <c r="Z120" s="32">
        <f t="shared" si="32"/>
        <v>0</v>
      </c>
      <c r="AA120">
        <f>step3_validation[[#This Row],[AI_FAC1]]</f>
        <v>7</v>
      </c>
      <c r="AB120" t="str">
        <f t="shared" si="33"/>
        <v>Neutral</v>
      </c>
      <c r="AC120">
        <f>survey_responses[[#This Row],[Các thủ tục khai báo thuế VÀ/HOẶC quy trình làm việc với cơ quan thuế đơn giản, tiện lợi, nhanh chóng hơn so với trước đây. - HUMAN-FAC1]]</f>
        <v>6</v>
      </c>
      <c r="AD120" t="str">
        <f t="shared" si="34"/>
        <v>Neutral</v>
      </c>
      <c r="AE120" s="32">
        <f t="shared" si="35"/>
        <v>1</v>
      </c>
      <c r="AF120">
        <f>step3_validation[[#This Row],[AI_FAC2]]</f>
        <v>9</v>
      </c>
      <c r="AG120" t="str">
        <f t="shared" si="36"/>
        <v>Support</v>
      </c>
      <c r="AH120">
        <f>survey_responses[[#This Row],[So với trước đây, tôi thấy cách tính thuế và các bậc thuế trong phương án mới đơn giản, dễ hiểu và dễ thực hiện hơn. - HUMAN-FAC2]]</f>
        <v>9</v>
      </c>
      <c r="AI120" t="str">
        <f t="shared" si="37"/>
        <v>Support</v>
      </c>
      <c r="AJ120" s="32">
        <f t="shared" si="38"/>
        <v>0</v>
      </c>
      <c r="AK120">
        <f>step3_validation[[#This Row],[AI_TRU1]]</f>
        <v>7</v>
      </c>
      <c r="AL120" t="str">
        <f t="shared" si="39"/>
        <v>Neutral</v>
      </c>
      <c r="AM120">
        <f>survey_responses[[#This Row],[Tôi tin rằng Nhà nước, cơ quan thuế sẽ thực thi chính sách mới một cách khách quan, công tâm và đối xử bình đẳng với mọi người nộp thuế.  - HUMAN-TRU1]]</f>
        <v>8</v>
      </c>
      <c r="AN120" t="str">
        <f t="shared" si="40"/>
        <v>Support</v>
      </c>
      <c r="AO120" s="32">
        <f t="shared" si="41"/>
        <v>1</v>
      </c>
      <c r="AP120">
        <f>step3_validation[[#This Row],[AI_TRU2]]</f>
        <v>8</v>
      </c>
      <c r="AQ120" t="str">
        <f t="shared" si="42"/>
        <v>Support</v>
      </c>
      <c r="AR120">
        <f>survey_responses[[#This Row],[Tôi thấy mức thuế tôi phải đóng theo phương án mới là công bằng (người thu nhập như tôi đóng mức này là hợp lý). - HUMAN-TRU2]]</f>
        <v>7</v>
      </c>
      <c r="AS120" t="str">
        <f t="shared" si="43"/>
        <v>Neutral</v>
      </c>
      <c r="AT120" s="32">
        <f t="shared" si="44"/>
        <v>1</v>
      </c>
      <c r="AU120">
        <f>step3_validation[[#This Row],[AI_TRU3]]</f>
        <v>7</v>
      </c>
      <c r="AV120" t="str">
        <f t="shared" si="45"/>
        <v>Neutral</v>
      </c>
      <c r="AW120">
        <f>survey_responses[[#This Row],[Tôi tin tưởng số tiền thuế tôi đóng sẽ được Nhà nước sử dụng hiệu quả để cải thiện dịch vụ công (y tế, đường xá...). - HUMAN-TRU3]]</f>
        <v>7</v>
      </c>
      <c r="AX120" t="str">
        <f t="shared" si="46"/>
        <v>Neutral</v>
      </c>
      <c r="AY120" s="32">
        <f t="shared" si="47"/>
        <v>0</v>
      </c>
      <c r="AZ120">
        <f>step3_validation[[#This Row],[AI_TRU4]]</f>
        <v>6</v>
      </c>
      <c r="BA120" t="str">
        <f t="shared" si="48"/>
        <v>Neutral</v>
      </c>
      <c r="BB120">
        <f>survey_responses[[#This Row],[Tôi thấy Nhà nước đã giải thích rõ ràng, minh bạch về lý do và mục tiêu của việc sửa đổi thuế lần này. - HUMAN-TRU4]]</f>
        <v>7</v>
      </c>
      <c r="BC120" t="str">
        <f t="shared" si="49"/>
        <v>Neutral</v>
      </c>
      <c r="BD120" s="32">
        <f t="shared" si="50"/>
        <v>1</v>
      </c>
      <c r="BE120">
        <f>step3_validation[[#This Row],[AI_OUT1]]</f>
        <v>7</v>
      </c>
      <c r="BF120" t="str">
        <f t="shared" si="51"/>
        <v>Neutral</v>
      </c>
      <c r="BG120">
        <f>survey_responses[[#This Row],[Sau khi xem xét các quyền lợi và nghĩa vụ, bạn có ủng hộ và tuân thủ chính sách mới hiện nay? - HUMAN-OUT1]]</f>
        <v>7</v>
      </c>
      <c r="BH120" t="str">
        <f t="shared" si="52"/>
        <v>Neutral</v>
      </c>
      <c r="BI120" s="32">
        <f t="shared" si="53"/>
        <v>0</v>
      </c>
    </row>
    <row r="121" spans="1:61" x14ac:dyDescent="0.45">
      <c r="A121" s="30">
        <f>step3_validation[[#This Row],[Persona_ID]]</f>
        <v>120</v>
      </c>
      <c r="B121" s="31">
        <f>step3_validation[[#This Row],[Used_Seed]]</f>
        <v>2145</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29.588223348090047</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8</v>
      </c>
      <c r="R121" t="str">
        <f t="shared" si="27"/>
        <v>Support</v>
      </c>
      <c r="S121">
        <f>survey_responses[[#This Row],[Tôi tin rằng với các quy định quản lý thuế hiện nay, hành vi gian lận hoặc trốn thuế sẽ dễ dàng bị phát hiện và xử lý nghiêm. - HUMAN-ENF1]]</f>
        <v>6</v>
      </c>
      <c r="T121" t="str">
        <f t="shared" si="28"/>
        <v>Neutral</v>
      </c>
      <c r="U121" s="32">
        <f t="shared" si="29"/>
        <v>2</v>
      </c>
      <c r="V121">
        <f>step3_validation[[#This Row],[AI_ENF2]]</f>
        <v>9</v>
      </c>
      <c r="W121" t="str">
        <f t="shared" si="30"/>
        <v>Support</v>
      </c>
      <c r="X121">
        <f>survey_responses[[#This Row],[Tôi tin rằng Nhà nước, cơ quan thuế có đủ khả năng và công nghệ để phát hiện, xử lý nghiêm các hành vi trốn thuế. - HUMAN-ENF2]]</f>
        <v>6</v>
      </c>
      <c r="Y121" t="str">
        <f t="shared" si="31"/>
        <v>Neutral</v>
      </c>
      <c r="Z121" s="32">
        <f t="shared" si="32"/>
        <v>3</v>
      </c>
      <c r="AA121">
        <f>step3_validation[[#This Row],[AI_FAC1]]</f>
        <v>8</v>
      </c>
      <c r="AB121" t="str">
        <f t="shared" si="33"/>
        <v>Support</v>
      </c>
      <c r="AC121">
        <f>survey_responses[[#This Row],[Các thủ tục khai báo thuế VÀ/HOẶC quy trình làm việc với cơ quan thuế đơn giản, tiện lợi, nhanh chóng hơn so với trước đây. - HUMAN-FAC1]]</f>
        <v>6</v>
      </c>
      <c r="AD121" t="str">
        <f t="shared" si="34"/>
        <v>Neutral</v>
      </c>
      <c r="AE121" s="32">
        <f t="shared" si="35"/>
        <v>2</v>
      </c>
      <c r="AF121">
        <f>step3_validation[[#This Row],[AI_FAC2]]</f>
        <v>9</v>
      </c>
      <c r="AG121" t="str">
        <f t="shared" si="36"/>
        <v>Support</v>
      </c>
      <c r="AH121">
        <f>survey_responses[[#This Row],[So với trước đây, tôi thấy cách tính thuế và các bậc thuế trong phương án mới đơn giản, dễ hiểu và dễ thực hiện hơn. - HUMAN-FAC2]]</f>
        <v>6</v>
      </c>
      <c r="AI121" t="str">
        <f t="shared" si="37"/>
        <v>Neutral</v>
      </c>
      <c r="AJ121" s="32">
        <f t="shared" si="38"/>
        <v>3</v>
      </c>
      <c r="AK121">
        <f>step3_validation[[#This Row],[AI_TRU1]]</f>
        <v>8</v>
      </c>
      <c r="AL121" t="str">
        <f t="shared" si="39"/>
        <v>Support</v>
      </c>
      <c r="AM121">
        <f>survey_responses[[#This Row],[Tôi tin rằng Nhà nước, cơ quan thuế sẽ thực thi chính sách mới một cách khách quan, công tâm và đối xử bình đẳng với mọi người nộp thuế.  - HUMAN-TRU1]]</f>
        <v>6</v>
      </c>
      <c r="AN121" t="str">
        <f t="shared" si="40"/>
        <v>Neutral</v>
      </c>
      <c r="AO121" s="32">
        <f t="shared" si="41"/>
        <v>2</v>
      </c>
      <c r="AP121">
        <f>step3_validation[[#This Row],[AI_TRU2]]</f>
        <v>9</v>
      </c>
      <c r="AQ121" t="str">
        <f t="shared" si="42"/>
        <v>Support</v>
      </c>
      <c r="AR121">
        <f>survey_responses[[#This Row],[Tôi thấy mức thuế tôi phải đóng theo phương án mới là công bằng (người thu nhập như tôi đóng mức này là hợp lý). - HUMAN-TRU2]]</f>
        <v>6</v>
      </c>
      <c r="AS121" t="str">
        <f t="shared" si="43"/>
        <v>Neutral</v>
      </c>
      <c r="AT121" s="32">
        <f t="shared" si="44"/>
        <v>3</v>
      </c>
      <c r="AU121">
        <f>step3_validation[[#This Row],[AI_TRU3]]</f>
        <v>8</v>
      </c>
      <c r="AV121" t="str">
        <f t="shared" si="45"/>
        <v>Support</v>
      </c>
      <c r="AW121">
        <f>survey_responses[[#This Row],[Tôi tin tưởng số tiền thuế tôi đóng sẽ được Nhà nước sử dụng hiệu quả để cải thiện dịch vụ công (y tế, đường xá...). - HUMAN-TRU3]]</f>
        <v>6</v>
      </c>
      <c r="AX121" t="str">
        <f t="shared" si="46"/>
        <v>Neutral</v>
      </c>
      <c r="AY121" s="32">
        <f t="shared" si="47"/>
        <v>2</v>
      </c>
      <c r="AZ121">
        <f>step3_validation[[#This Row],[AI_TRU4]]</f>
        <v>9</v>
      </c>
      <c r="BA121" t="str">
        <f t="shared" si="48"/>
        <v>Support</v>
      </c>
      <c r="BB121">
        <f>survey_responses[[#This Row],[Tôi thấy Nhà nước đã giải thích rõ ràng, minh bạch về lý do và mục tiêu của việc sửa đổi thuế lần này. - HUMAN-TRU4]]</f>
        <v>6</v>
      </c>
      <c r="BC121" t="str">
        <f t="shared" si="49"/>
        <v>Neutral</v>
      </c>
      <c r="BD121" s="32">
        <f t="shared" si="50"/>
        <v>3</v>
      </c>
      <c r="BE121">
        <f>step3_validation[[#This Row],[AI_OUT1]]</f>
        <v>9</v>
      </c>
      <c r="BF121" t="str">
        <f t="shared" si="51"/>
        <v>Support</v>
      </c>
      <c r="BG121">
        <f>survey_responses[[#This Row],[Sau khi xem xét các quyền lợi và nghĩa vụ, bạn có ủng hộ và tuân thủ chính sách mới hiện nay? - HUMAN-OUT1]]</f>
        <v>6</v>
      </c>
      <c r="BH121" t="str">
        <f t="shared" si="52"/>
        <v>Neutral</v>
      </c>
      <c r="BI121" s="32">
        <f t="shared" si="53"/>
        <v>3</v>
      </c>
    </row>
    <row r="122" spans="1:61" x14ac:dyDescent="0.45">
      <c r="A122" s="30">
        <f>step3_validation[[#This Row],[Persona_ID]]</f>
        <v>121</v>
      </c>
      <c r="B122" s="31">
        <f>step3_validation[[#This Row],[Used_Seed]]</f>
        <v>2146</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119.17250359388431</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7</v>
      </c>
      <c r="R122" t="str">
        <f t="shared" si="27"/>
        <v>Neutral</v>
      </c>
      <c r="S122">
        <f>survey_responses[[#This Row],[Tôi tin rằng với các quy định quản lý thuế hiện nay, hành vi gian lận hoặc trốn thuế sẽ dễ dàng bị phát hiện và xử lý nghiêm. - HUMAN-ENF1]]</f>
        <v>1</v>
      </c>
      <c r="T122" t="str">
        <f t="shared" si="28"/>
        <v>Oppose</v>
      </c>
      <c r="U122" s="32">
        <f t="shared" si="29"/>
        <v>6</v>
      </c>
      <c r="V122">
        <f>step3_validation[[#This Row],[AI_ENF2]]</f>
        <v>8</v>
      </c>
      <c r="W122" t="str">
        <f t="shared" si="30"/>
        <v>Support</v>
      </c>
      <c r="X122">
        <f>survey_responses[[#This Row],[Tôi tin rằng Nhà nước, cơ quan thuế có đủ khả năng và công nghệ để phát hiện, xử lý nghiêm các hành vi trốn thuế. - HUMAN-ENF2]]</f>
        <v>1</v>
      </c>
      <c r="Y122" t="str">
        <f t="shared" si="31"/>
        <v>Oppose</v>
      </c>
      <c r="Z122" s="32">
        <f t="shared" si="32"/>
        <v>7</v>
      </c>
      <c r="AA122">
        <f>step3_validation[[#This Row],[AI_FAC1]]</f>
        <v>9</v>
      </c>
      <c r="AB122" t="str">
        <f t="shared" si="33"/>
        <v>Support</v>
      </c>
      <c r="AC122">
        <f>survey_responses[[#This Row],[Các thủ tục khai báo thuế VÀ/HOẶC quy trình làm việc với cơ quan thuế đơn giản, tiện lợi, nhanh chóng hơn so với trước đây. - HUMAN-FAC1]]</f>
        <v>1</v>
      </c>
      <c r="AD122" t="str">
        <f t="shared" si="34"/>
        <v>Oppose</v>
      </c>
      <c r="AE122" s="32">
        <f t="shared" si="35"/>
        <v>8</v>
      </c>
      <c r="AF122">
        <f>step3_validation[[#This Row],[AI_FAC2]]</f>
        <v>8</v>
      </c>
      <c r="AG122" t="str">
        <f t="shared" si="36"/>
        <v>Support</v>
      </c>
      <c r="AH122">
        <f>survey_responses[[#This Row],[So với trước đây, tôi thấy cách tính thuế và các bậc thuế trong phương án mới đơn giản, dễ hiểu và dễ thực hiện hơn. - HUMAN-FAC2]]</f>
        <v>5</v>
      </c>
      <c r="AI122" t="str">
        <f t="shared" si="37"/>
        <v>Neutral</v>
      </c>
      <c r="AJ122" s="32">
        <f t="shared" si="38"/>
        <v>3</v>
      </c>
      <c r="AK122">
        <f>step3_validation[[#This Row],[AI_TRU1]]</f>
        <v>7</v>
      </c>
      <c r="AL122" t="str">
        <f t="shared" si="39"/>
        <v>Neutral</v>
      </c>
      <c r="AM122">
        <f>survey_responses[[#This Row],[Tôi tin rằng Nhà nước, cơ quan thuế sẽ thực thi chính sách mới một cách khách quan, công tâm và đối xử bình đẳng với mọi người nộp thuế.  - HUMAN-TRU1]]</f>
        <v>1</v>
      </c>
      <c r="AN122" t="str">
        <f t="shared" si="40"/>
        <v>Oppose</v>
      </c>
      <c r="AO122" s="32">
        <f t="shared" si="41"/>
        <v>6</v>
      </c>
      <c r="AP122">
        <f>step3_validation[[#This Row],[AI_TRU2]]</f>
        <v>9</v>
      </c>
      <c r="AQ122" t="str">
        <f t="shared" si="42"/>
        <v>Support</v>
      </c>
      <c r="AR122">
        <f>survey_responses[[#This Row],[Tôi thấy mức thuế tôi phải đóng theo phương án mới là công bằng (người thu nhập như tôi đóng mức này là hợp lý). - HUMAN-TRU2]]</f>
        <v>1</v>
      </c>
      <c r="AS122" t="str">
        <f t="shared" si="43"/>
        <v>Oppose</v>
      </c>
      <c r="AT122" s="32">
        <f t="shared" si="44"/>
        <v>8</v>
      </c>
      <c r="AU122">
        <f>step3_validation[[#This Row],[AI_TRU3]]</f>
        <v>7</v>
      </c>
      <c r="AV122" t="str">
        <f t="shared" si="45"/>
        <v>Neutral</v>
      </c>
      <c r="AW122">
        <f>survey_responses[[#This Row],[Tôi tin tưởng số tiền thuế tôi đóng sẽ được Nhà nước sử dụng hiệu quả để cải thiện dịch vụ công (y tế, đường xá...). - HUMAN-TRU3]]</f>
        <v>1</v>
      </c>
      <c r="AX122" t="str">
        <f t="shared" si="46"/>
        <v>Oppose</v>
      </c>
      <c r="AY122" s="32">
        <f t="shared" si="47"/>
        <v>6</v>
      </c>
      <c r="AZ122">
        <f>step3_validation[[#This Row],[AI_TRU4]]</f>
        <v>9</v>
      </c>
      <c r="BA122" t="str">
        <f t="shared" si="48"/>
        <v>Support</v>
      </c>
      <c r="BB122">
        <f>survey_responses[[#This Row],[Tôi thấy Nhà nước đã giải thích rõ ràng, minh bạch về lý do và mục tiêu của việc sửa đổi thuế lần này. - HUMAN-TRU4]]</f>
        <v>1</v>
      </c>
      <c r="BC122" t="str">
        <f t="shared" si="49"/>
        <v>Oppose</v>
      </c>
      <c r="BD122" s="32">
        <f t="shared" si="50"/>
        <v>8</v>
      </c>
      <c r="BE122">
        <f>step3_validation[[#This Row],[AI_OUT1]]</f>
        <v>9</v>
      </c>
      <c r="BF122" t="str">
        <f t="shared" si="51"/>
        <v>Support</v>
      </c>
      <c r="BG122">
        <f>survey_responses[[#This Row],[Sau khi xem xét các quyền lợi và nghĩa vụ, bạn có ủng hộ và tuân thủ chính sách mới hiện nay? - HUMAN-OUT1]]</f>
        <v>5</v>
      </c>
      <c r="BH122" t="str">
        <f t="shared" si="52"/>
        <v>Neutral</v>
      </c>
      <c r="BI122" s="32">
        <f t="shared" si="53"/>
        <v>4</v>
      </c>
    </row>
    <row r="123" spans="1:61" x14ac:dyDescent="0.45">
      <c r="A123" s="30">
        <f>step3_validation[[#This Row],[Persona_ID]]</f>
        <v>122</v>
      </c>
      <c r="B123" s="31">
        <f>step3_validation[[#This Row],[Used_Seed]]</f>
        <v>2147</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146.02299438962618</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7</v>
      </c>
      <c r="R123" t="str">
        <f t="shared" si="27"/>
        <v>Neutral</v>
      </c>
      <c r="S123">
        <f>survey_responses[[#This Row],[Tôi tin rằng với các quy định quản lý thuế hiện nay, hành vi gian lận hoặc trốn thuế sẽ dễ dàng bị phát hiện và xử lý nghiêm. - HUMAN-ENF1]]</f>
        <v>4</v>
      </c>
      <c r="T123" t="str">
        <f t="shared" si="28"/>
        <v>Oppose</v>
      </c>
      <c r="U123" s="32">
        <f t="shared" si="29"/>
        <v>3</v>
      </c>
      <c r="V123">
        <f>step3_validation[[#This Row],[AI_ENF2]]</f>
        <v>8</v>
      </c>
      <c r="W123" t="str">
        <f t="shared" si="30"/>
        <v>Support</v>
      </c>
      <c r="X123">
        <f>survey_responses[[#This Row],[Tôi tin rằng Nhà nước, cơ quan thuế có đủ khả năng và công nghệ để phát hiện, xử lý nghiêm các hành vi trốn thuế. - HUMAN-ENF2]]</f>
        <v>4</v>
      </c>
      <c r="Y123" t="str">
        <f t="shared" si="31"/>
        <v>Oppose</v>
      </c>
      <c r="Z123" s="32">
        <f t="shared" si="32"/>
        <v>4</v>
      </c>
      <c r="AA123">
        <f>step3_validation[[#This Row],[AI_FAC1]]</f>
        <v>9</v>
      </c>
      <c r="AB123" t="str">
        <f t="shared" si="33"/>
        <v>Support</v>
      </c>
      <c r="AC123">
        <f>survey_responses[[#This Row],[Các thủ tục khai báo thuế VÀ/HOẶC quy trình làm việc với cơ quan thuế đơn giản, tiện lợi, nhanh chóng hơn so với trước đây. - HUMAN-FAC1]]</f>
        <v>2</v>
      </c>
      <c r="AD123" t="str">
        <f t="shared" si="34"/>
        <v>Oppose</v>
      </c>
      <c r="AE123" s="32">
        <f t="shared" si="35"/>
        <v>7</v>
      </c>
      <c r="AF123">
        <f>step3_validation[[#This Row],[AI_FAC2]]</f>
        <v>10</v>
      </c>
      <c r="AG123" t="str">
        <f t="shared" si="36"/>
        <v>Support</v>
      </c>
      <c r="AH123">
        <f>survey_responses[[#This Row],[So với trước đây, tôi thấy cách tính thuế và các bậc thuế trong phương án mới đơn giản, dễ hiểu và dễ thực hiện hơn. - HUMAN-FAC2]]</f>
        <v>5</v>
      </c>
      <c r="AI123" t="str">
        <f t="shared" si="37"/>
        <v>Neutral</v>
      </c>
      <c r="AJ123" s="32">
        <f t="shared" si="38"/>
        <v>5</v>
      </c>
      <c r="AK123">
        <f>step3_validation[[#This Row],[AI_TRU1]]</f>
        <v>6</v>
      </c>
      <c r="AL123" t="str">
        <f t="shared" si="39"/>
        <v>Neutral</v>
      </c>
      <c r="AM123">
        <f>survey_responses[[#This Row],[Tôi tin rằng Nhà nước, cơ quan thuế sẽ thực thi chính sách mới một cách khách quan, công tâm và đối xử bình đẳng với mọi người nộp thuế.  - HUMAN-TRU1]]</f>
        <v>1</v>
      </c>
      <c r="AN123" t="str">
        <f t="shared" si="40"/>
        <v>Oppose</v>
      </c>
      <c r="AO123" s="32">
        <f t="shared" si="41"/>
        <v>5</v>
      </c>
      <c r="AP123">
        <f>step3_validation[[#This Row],[AI_TRU2]]</f>
        <v>7</v>
      </c>
      <c r="AQ123" t="str">
        <f t="shared" si="42"/>
        <v>Neutral</v>
      </c>
      <c r="AR123">
        <f>survey_responses[[#This Row],[Tôi thấy mức thuế tôi phải đóng theo phương án mới là công bằng (người thu nhập như tôi đóng mức này là hợp lý). - HUMAN-TRU2]]</f>
        <v>1</v>
      </c>
      <c r="AS123" t="str">
        <f t="shared" si="43"/>
        <v>Oppose</v>
      </c>
      <c r="AT123" s="32">
        <f t="shared" si="44"/>
        <v>6</v>
      </c>
      <c r="AU123">
        <f>step3_validation[[#This Row],[AI_TRU3]]</f>
        <v>6</v>
      </c>
      <c r="AV123" t="str">
        <f t="shared" si="45"/>
        <v>Neutral</v>
      </c>
      <c r="AW123">
        <f>survey_responses[[#This Row],[Tôi tin tưởng số tiền thuế tôi đóng sẽ được Nhà nước sử dụng hiệu quả để cải thiện dịch vụ công (y tế, đường xá...). - HUMAN-TRU3]]</f>
        <v>1</v>
      </c>
      <c r="AX123" t="str">
        <f t="shared" si="46"/>
        <v>Oppose</v>
      </c>
      <c r="AY123" s="32">
        <f t="shared" si="47"/>
        <v>5</v>
      </c>
      <c r="AZ123">
        <f>step3_validation[[#This Row],[AI_TRU4]]</f>
        <v>7</v>
      </c>
      <c r="BA123" t="str">
        <f t="shared" si="48"/>
        <v>Neutral</v>
      </c>
      <c r="BB123">
        <f>survey_responses[[#This Row],[Tôi thấy Nhà nước đã giải thích rõ ràng, minh bạch về lý do và mục tiêu của việc sửa đổi thuế lần này. - HUMAN-TRU4]]</f>
        <v>4</v>
      </c>
      <c r="BC123" t="str">
        <f t="shared" si="49"/>
        <v>Oppose</v>
      </c>
      <c r="BD123" s="32">
        <f t="shared" si="50"/>
        <v>3</v>
      </c>
      <c r="BE123">
        <f>step3_validation[[#This Row],[AI_OUT1]]</f>
        <v>8</v>
      </c>
      <c r="BF123" t="str">
        <f t="shared" si="51"/>
        <v>Support</v>
      </c>
      <c r="BG123">
        <f>survey_responses[[#This Row],[Sau khi xem xét các quyền lợi và nghĩa vụ, bạn có ủng hộ và tuân thủ chính sách mới hiện nay? - HUMAN-OUT1]]</f>
        <v>4</v>
      </c>
      <c r="BH123" t="str">
        <f t="shared" si="52"/>
        <v>Oppose</v>
      </c>
      <c r="BI123" s="32">
        <f t="shared" si="53"/>
        <v>4</v>
      </c>
    </row>
    <row r="124" spans="1:61" x14ac:dyDescent="0.45">
      <c r="A124" s="30">
        <f>step3_validation[[#This Row],[Persona_ID]]</f>
        <v>123</v>
      </c>
      <c r="B124" s="31">
        <f>step3_validation[[#This Row],[Used_Seed]]</f>
        <v>2148</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6</v>
      </c>
      <c r="R124" t="str">
        <f t="shared" si="27"/>
        <v>Neutral</v>
      </c>
      <c r="S124">
        <f>survey_responses[[#This Row],[Tôi tin rằng với các quy định quản lý thuế hiện nay, hành vi gian lận hoặc trốn thuế sẽ dễ dàng bị phát hiện và xử lý nghiêm. - HUMAN-ENF1]]</f>
        <v>7</v>
      </c>
      <c r="T124" t="str">
        <f t="shared" si="28"/>
        <v>Neutral</v>
      </c>
      <c r="U124" s="32">
        <f t="shared" si="29"/>
        <v>1</v>
      </c>
      <c r="V124">
        <f>step3_validation[[#This Row],[AI_ENF2]]</f>
        <v>8</v>
      </c>
      <c r="W124" t="str">
        <f t="shared" si="30"/>
        <v>Support</v>
      </c>
      <c r="X124">
        <f>survey_responses[[#This Row],[Tôi tin rằng Nhà nước, cơ quan thuế có đủ khả năng và công nghệ để phát hiện, xử lý nghiêm các hành vi trốn thuế. - HUMAN-ENF2]]</f>
        <v>7</v>
      </c>
      <c r="Y124" t="str">
        <f t="shared" si="31"/>
        <v>Neutral</v>
      </c>
      <c r="Z124" s="32">
        <f t="shared" si="32"/>
        <v>1</v>
      </c>
      <c r="AA124">
        <f>step3_validation[[#This Row],[AI_FAC1]]</f>
        <v>7</v>
      </c>
      <c r="AB124" t="str">
        <f t="shared" si="33"/>
        <v>Neutral</v>
      </c>
      <c r="AC124">
        <f>survey_responses[[#This Row],[Các thủ tục khai báo thuế VÀ/HOẶC quy trình làm việc với cơ quan thuế đơn giản, tiện lợi, nhanh chóng hơn so với trước đây. - HUMAN-FAC1]]</f>
        <v>7</v>
      </c>
      <c r="AD124" t="str">
        <f t="shared" si="34"/>
        <v>Neutral</v>
      </c>
      <c r="AE124" s="32">
        <f t="shared" si="35"/>
        <v>0</v>
      </c>
      <c r="AF124">
        <f>step3_validation[[#This Row],[AI_FAC2]]</f>
        <v>9</v>
      </c>
      <c r="AG124" t="str">
        <f t="shared" si="36"/>
        <v>Support</v>
      </c>
      <c r="AH124">
        <f>survey_responses[[#This Row],[So với trước đây, tôi thấy cách tính thuế và các bậc thuế trong phương án mới đơn giản, dễ hiểu và dễ thực hiện hơn. - HUMAN-FAC2]]</f>
        <v>7</v>
      </c>
      <c r="AI124" t="str">
        <f t="shared" si="37"/>
        <v>Neutral</v>
      </c>
      <c r="AJ124" s="32">
        <f t="shared" si="38"/>
        <v>2</v>
      </c>
      <c r="AK124">
        <f>step3_validation[[#This Row],[AI_TRU1]]</f>
        <v>7</v>
      </c>
      <c r="AL124" t="str">
        <f t="shared" si="39"/>
        <v>Neutral</v>
      </c>
      <c r="AM124">
        <f>survey_responses[[#This Row],[Tôi tin rằng Nhà nước, cơ quan thuế sẽ thực thi chính sách mới một cách khách quan, công tâm và đối xử bình đẳng với mọi người nộp thuế.  - HUMAN-TRU1]]</f>
        <v>7</v>
      </c>
      <c r="AN124" t="str">
        <f t="shared" si="40"/>
        <v>Neutral</v>
      </c>
      <c r="AO124" s="32">
        <f t="shared" si="41"/>
        <v>0</v>
      </c>
      <c r="AP124">
        <f>step3_validation[[#This Row],[AI_TRU2]]</f>
        <v>8</v>
      </c>
      <c r="AQ124" t="str">
        <f t="shared" si="42"/>
        <v>Support</v>
      </c>
      <c r="AR124">
        <f>survey_responses[[#This Row],[Tôi thấy mức thuế tôi phải đóng theo phương án mới là công bằng (người thu nhập như tôi đóng mức này là hợp lý). - HUMAN-TRU2]]</f>
        <v>7</v>
      </c>
      <c r="AS124" t="str">
        <f t="shared" si="43"/>
        <v>Neutral</v>
      </c>
      <c r="AT124" s="32">
        <f t="shared" si="44"/>
        <v>1</v>
      </c>
      <c r="AU124">
        <f>step3_validation[[#This Row],[AI_TRU3]]</f>
        <v>7</v>
      </c>
      <c r="AV124" t="str">
        <f t="shared" si="45"/>
        <v>Neutral</v>
      </c>
      <c r="AW124">
        <f>survey_responses[[#This Row],[Tôi tin tưởng số tiền thuế tôi đóng sẽ được Nhà nước sử dụng hiệu quả để cải thiện dịch vụ công (y tế, đường xá...). - HUMAN-TRU3]]</f>
        <v>7</v>
      </c>
      <c r="AX124" t="str">
        <f t="shared" si="46"/>
        <v>Neutral</v>
      </c>
      <c r="AY124" s="32">
        <f t="shared" si="47"/>
        <v>0</v>
      </c>
      <c r="AZ124">
        <f>step3_validation[[#This Row],[AI_TRU4]]</f>
        <v>6</v>
      </c>
      <c r="BA124" t="str">
        <f t="shared" si="48"/>
        <v>Neutral</v>
      </c>
      <c r="BB124">
        <f>survey_responses[[#This Row],[Tôi thấy Nhà nước đã giải thích rõ ràng, minh bạch về lý do và mục tiêu của việc sửa đổi thuế lần này. - HUMAN-TRU4]]</f>
        <v>7</v>
      </c>
      <c r="BC124" t="str">
        <f t="shared" si="49"/>
        <v>Neutral</v>
      </c>
      <c r="BD124" s="32">
        <f t="shared" si="50"/>
        <v>1</v>
      </c>
      <c r="BE124">
        <f>step3_validation[[#This Row],[AI_OUT1]]</f>
        <v>8</v>
      </c>
      <c r="BF124" t="str">
        <f t="shared" si="51"/>
        <v>Support</v>
      </c>
      <c r="BG124">
        <f>survey_responses[[#This Row],[Sau khi xem xét các quyền lợi và nghĩa vụ, bạn có ủng hộ và tuân thủ chính sách mới hiện nay? - HUMAN-OUT1]]</f>
        <v>8</v>
      </c>
      <c r="BH124" t="str">
        <f t="shared" si="52"/>
        <v>Support</v>
      </c>
      <c r="BI124" s="32">
        <f t="shared" si="53"/>
        <v>0</v>
      </c>
    </row>
    <row r="125" spans="1:61" x14ac:dyDescent="0.45">
      <c r="A125" s="30">
        <f>step3_validation[[#This Row],[Persona_ID]]</f>
        <v>124</v>
      </c>
      <c r="B125" s="31">
        <f>step3_validation[[#This Row],[Used_Seed]]</f>
        <v>2149</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33.46719409588362</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7</v>
      </c>
      <c r="R125" t="str">
        <f t="shared" si="27"/>
        <v>Neutral</v>
      </c>
      <c r="S125">
        <f>survey_responses[[#This Row],[Tôi tin rằng với các quy định quản lý thuế hiện nay, hành vi gian lận hoặc trốn thuế sẽ dễ dàng bị phát hiện và xử lý nghiêm. - HUMAN-ENF1]]</f>
        <v>10</v>
      </c>
      <c r="T125" t="str">
        <f t="shared" si="28"/>
        <v>Support</v>
      </c>
      <c r="U125" s="32">
        <f t="shared" si="29"/>
        <v>3</v>
      </c>
      <c r="V125">
        <f>step3_validation[[#This Row],[AI_ENF2]]</f>
        <v>8</v>
      </c>
      <c r="W125" t="str">
        <f t="shared" si="30"/>
        <v>Support</v>
      </c>
      <c r="X125">
        <f>survey_responses[[#This Row],[Tôi tin rằng Nhà nước, cơ quan thuế có đủ khả năng và công nghệ để phát hiện, xử lý nghiêm các hành vi trốn thuế. - HUMAN-ENF2]]</f>
        <v>9</v>
      </c>
      <c r="Y125" t="str">
        <f t="shared" si="31"/>
        <v>Support</v>
      </c>
      <c r="Z125" s="32">
        <f t="shared" si="32"/>
        <v>1</v>
      </c>
      <c r="AA125">
        <f>step3_validation[[#This Row],[AI_FAC1]]</f>
        <v>7</v>
      </c>
      <c r="AB125" t="str">
        <f t="shared" si="33"/>
        <v>Neutral</v>
      </c>
      <c r="AC125">
        <f>survey_responses[[#This Row],[Các thủ tục khai báo thuế VÀ/HOẶC quy trình làm việc với cơ quan thuế đơn giản, tiện lợi, nhanh chóng hơn so với trước đây. - HUMAN-FAC1]]</f>
        <v>10</v>
      </c>
      <c r="AD125" t="str">
        <f t="shared" si="34"/>
        <v>Support</v>
      </c>
      <c r="AE125" s="32">
        <f t="shared" si="35"/>
        <v>3</v>
      </c>
      <c r="AF125">
        <f>step3_validation[[#This Row],[AI_FAC2]]</f>
        <v>9</v>
      </c>
      <c r="AG125" t="str">
        <f t="shared" si="36"/>
        <v>Support</v>
      </c>
      <c r="AH125">
        <f>survey_responses[[#This Row],[So với trước đây, tôi thấy cách tính thuế và các bậc thuế trong phương án mới đơn giản, dễ hiểu và dễ thực hiện hơn. - HUMAN-FAC2]]</f>
        <v>10</v>
      </c>
      <c r="AI125" t="str">
        <f t="shared" si="37"/>
        <v>Support</v>
      </c>
      <c r="AJ125" s="32">
        <f t="shared" si="38"/>
        <v>1</v>
      </c>
      <c r="AK125">
        <f>step3_validation[[#This Row],[AI_TRU1]]</f>
        <v>6</v>
      </c>
      <c r="AL125" t="str">
        <f t="shared" si="39"/>
        <v>Neutral</v>
      </c>
      <c r="AM125">
        <f>survey_responses[[#This Row],[Tôi tin rằng Nhà nước, cơ quan thuế sẽ thực thi chính sách mới một cách khách quan, công tâm và đối xử bình đẳng với mọi người nộp thuế.  - HUMAN-TRU1]]</f>
        <v>10</v>
      </c>
      <c r="AN125" t="str">
        <f t="shared" si="40"/>
        <v>Support</v>
      </c>
      <c r="AO125" s="32">
        <f t="shared" si="41"/>
        <v>4</v>
      </c>
      <c r="AP125">
        <f>step3_validation[[#This Row],[AI_TRU2]]</f>
        <v>8</v>
      </c>
      <c r="AQ125" t="str">
        <f t="shared" si="42"/>
        <v>Support</v>
      </c>
      <c r="AR125">
        <f>survey_responses[[#This Row],[Tôi thấy mức thuế tôi phải đóng theo phương án mới là công bằng (người thu nhập như tôi đóng mức này là hợp lý). - HUMAN-TRU2]]</f>
        <v>8</v>
      </c>
      <c r="AS125" t="str">
        <f t="shared" si="43"/>
        <v>Support</v>
      </c>
      <c r="AT125" s="32">
        <f t="shared" si="44"/>
        <v>0</v>
      </c>
      <c r="AU125">
        <f>step3_validation[[#This Row],[AI_TRU3]]</f>
        <v>7</v>
      </c>
      <c r="AV125" t="str">
        <f t="shared" si="45"/>
        <v>Neutral</v>
      </c>
      <c r="AW125">
        <f>survey_responses[[#This Row],[Tôi tin tưởng số tiền thuế tôi đóng sẽ được Nhà nước sử dụng hiệu quả để cải thiện dịch vụ công (y tế, đường xá...). - HUMAN-TRU3]]</f>
        <v>9</v>
      </c>
      <c r="AX125" t="str">
        <f t="shared" si="46"/>
        <v>Support</v>
      </c>
      <c r="AY125" s="32">
        <f t="shared" si="47"/>
        <v>2</v>
      </c>
      <c r="AZ125">
        <f>step3_validation[[#This Row],[AI_TRU4]]</f>
        <v>8</v>
      </c>
      <c r="BA125" t="str">
        <f t="shared" si="48"/>
        <v>Support</v>
      </c>
      <c r="BB125">
        <f>survey_responses[[#This Row],[Tôi thấy Nhà nước đã giải thích rõ ràng, minh bạch về lý do và mục tiêu của việc sửa đổi thuế lần này. - HUMAN-TRU4]]</f>
        <v>9</v>
      </c>
      <c r="BC125" t="str">
        <f t="shared" si="49"/>
        <v>Support</v>
      </c>
      <c r="BD125" s="32">
        <f t="shared" si="50"/>
        <v>1</v>
      </c>
      <c r="BE125">
        <f>step3_validation[[#This Row],[AI_OUT1]]</f>
        <v>9</v>
      </c>
      <c r="BF125" t="str">
        <f t="shared" si="51"/>
        <v>Support</v>
      </c>
      <c r="BG125">
        <f>survey_responses[[#This Row],[Sau khi xem xét các quyền lợi và nghĩa vụ, bạn có ủng hộ và tuân thủ chính sách mới hiện nay? - HUMAN-OUT1]]</f>
        <v>9</v>
      </c>
      <c r="BH125" t="str">
        <f t="shared" si="52"/>
        <v>Support</v>
      </c>
      <c r="BI125" s="32">
        <f t="shared" si="53"/>
        <v>0</v>
      </c>
    </row>
    <row r="126" spans="1:61" x14ac:dyDescent="0.45">
      <c r="A126" s="30">
        <f>step3_validation[[#This Row],[Persona_ID]]</f>
        <v>125</v>
      </c>
      <c r="B126" s="31">
        <f>step3_validation[[#This Row],[Used_Seed]]</f>
        <v>2150</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16.372898626805611</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6</v>
      </c>
      <c r="R126" t="str">
        <f t="shared" si="27"/>
        <v>Neutral</v>
      </c>
      <c r="S126">
        <f>survey_responses[[#This Row],[Tôi tin rằng với các quy định quản lý thuế hiện nay, hành vi gian lận hoặc trốn thuế sẽ dễ dàng bị phát hiện và xử lý nghiêm. - HUMAN-ENF1]]</f>
        <v>10</v>
      </c>
      <c r="T126" t="str">
        <f t="shared" si="28"/>
        <v>Support</v>
      </c>
      <c r="U126" s="32">
        <f t="shared" si="29"/>
        <v>4</v>
      </c>
      <c r="V126">
        <f>step3_validation[[#This Row],[AI_ENF2]]</f>
        <v>8</v>
      </c>
      <c r="W126" t="str">
        <f t="shared" si="30"/>
        <v>Support</v>
      </c>
      <c r="X126">
        <f>survey_responses[[#This Row],[Tôi tin rằng Nhà nước, cơ quan thuế có đủ khả năng và công nghệ để phát hiện, xử lý nghiêm các hành vi trốn thuế. - HUMAN-ENF2]]</f>
        <v>10</v>
      </c>
      <c r="Y126" t="str">
        <f t="shared" si="31"/>
        <v>Support</v>
      </c>
      <c r="Z126" s="32">
        <f t="shared" si="32"/>
        <v>2</v>
      </c>
      <c r="AA126">
        <f>step3_validation[[#This Row],[AI_FAC1]]</f>
        <v>9</v>
      </c>
      <c r="AB126" t="str">
        <f t="shared" si="33"/>
        <v>Support</v>
      </c>
      <c r="AC126">
        <f>survey_responses[[#This Row],[Các thủ tục khai báo thuế VÀ/HOẶC quy trình làm việc với cơ quan thuế đơn giản, tiện lợi, nhanh chóng hơn so với trước đây. - HUMAN-FAC1]]</f>
        <v>10</v>
      </c>
      <c r="AD126" t="str">
        <f t="shared" si="34"/>
        <v>Support</v>
      </c>
      <c r="AE126" s="32">
        <f t="shared" si="35"/>
        <v>1</v>
      </c>
      <c r="AF126">
        <f>step3_validation[[#This Row],[AI_FAC2]]</f>
        <v>10</v>
      </c>
      <c r="AG126" t="str">
        <f t="shared" si="36"/>
        <v>Support</v>
      </c>
      <c r="AH126">
        <f>survey_responses[[#This Row],[So với trước đây, tôi thấy cách tính thuế và các bậc thuế trong phương án mới đơn giản, dễ hiểu và dễ thực hiện hơn. - HUMAN-FAC2]]</f>
        <v>10</v>
      </c>
      <c r="AI126" t="str">
        <f t="shared" si="37"/>
        <v>Support</v>
      </c>
      <c r="AJ126" s="32">
        <f t="shared" si="38"/>
        <v>0</v>
      </c>
      <c r="AK126">
        <f>step3_validation[[#This Row],[AI_TRU1]]</f>
        <v>7</v>
      </c>
      <c r="AL126" t="str">
        <f t="shared" si="39"/>
        <v>Neutral</v>
      </c>
      <c r="AM126">
        <f>survey_responses[[#This Row],[Tôi tin rằng Nhà nước, cơ quan thuế sẽ thực thi chính sách mới một cách khách quan, công tâm và đối xử bình đẳng với mọi người nộp thuế.  - HUMAN-TRU1]]</f>
        <v>10</v>
      </c>
      <c r="AN126" t="str">
        <f t="shared" si="40"/>
        <v>Support</v>
      </c>
      <c r="AO126" s="32">
        <f t="shared" si="41"/>
        <v>3</v>
      </c>
      <c r="AP126">
        <f>step3_validation[[#This Row],[AI_TRU2]]</f>
        <v>9</v>
      </c>
      <c r="AQ126" t="str">
        <f t="shared" si="42"/>
        <v>Support</v>
      </c>
      <c r="AR126">
        <f>survey_responses[[#This Row],[Tôi thấy mức thuế tôi phải đóng theo phương án mới là công bằng (người thu nhập như tôi đóng mức này là hợp lý). - HUMAN-TRU2]]</f>
        <v>10</v>
      </c>
      <c r="AS126" t="str">
        <f t="shared" si="43"/>
        <v>Support</v>
      </c>
      <c r="AT126" s="32">
        <f t="shared" si="44"/>
        <v>1</v>
      </c>
      <c r="AU126">
        <f>step3_validation[[#This Row],[AI_TRU3]]</f>
        <v>8</v>
      </c>
      <c r="AV126" t="str">
        <f t="shared" si="45"/>
        <v>Support</v>
      </c>
      <c r="AW126">
        <f>survey_responses[[#This Row],[Tôi tin tưởng số tiền thuế tôi đóng sẽ được Nhà nước sử dụng hiệu quả để cải thiện dịch vụ công (y tế, đường xá...). - HUMAN-TRU3]]</f>
        <v>10</v>
      </c>
      <c r="AX126" t="str">
        <f t="shared" si="46"/>
        <v>Support</v>
      </c>
      <c r="AY126" s="32">
        <f t="shared" si="47"/>
        <v>2</v>
      </c>
      <c r="AZ126">
        <f>step3_validation[[#This Row],[AI_TRU4]]</f>
        <v>9</v>
      </c>
      <c r="BA126" t="str">
        <f t="shared" si="48"/>
        <v>Support</v>
      </c>
      <c r="BB126">
        <f>survey_responses[[#This Row],[Tôi thấy Nhà nước đã giải thích rõ ràng, minh bạch về lý do và mục tiêu của việc sửa đổi thuế lần này. - HUMAN-TRU4]]</f>
        <v>10</v>
      </c>
      <c r="BC126" t="str">
        <f t="shared" si="49"/>
        <v>Support</v>
      </c>
      <c r="BD126" s="32">
        <f t="shared" si="50"/>
        <v>1</v>
      </c>
      <c r="BE126">
        <f>step3_validation[[#This Row],[AI_OUT1]]</f>
        <v>10</v>
      </c>
      <c r="BF126" t="str">
        <f t="shared" si="51"/>
        <v>Support</v>
      </c>
      <c r="BG126">
        <f>survey_responses[[#This Row],[Sau khi xem xét các quyền lợi và nghĩa vụ, bạn có ủng hộ và tuân thủ chính sách mới hiện nay? - HUMAN-OUT1]]</f>
        <v>10</v>
      </c>
      <c r="BH126" t="str">
        <f t="shared" si="52"/>
        <v>Support</v>
      </c>
      <c r="BI126" s="32">
        <f t="shared" si="53"/>
        <v>0</v>
      </c>
    </row>
    <row r="127" spans="1:61" x14ac:dyDescent="0.45">
      <c r="A127" s="30">
        <f>step3_validation[[#This Row],[Persona_ID]]</f>
        <v>126</v>
      </c>
      <c r="B127" s="31">
        <f>step3_validation[[#This Row],[Used_Seed]]</f>
        <v>2151</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28.507590905989076</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8</v>
      </c>
      <c r="R127" t="str">
        <f t="shared" si="27"/>
        <v>Support</v>
      </c>
      <c r="S127">
        <f>survey_responses[[#This Row],[Tôi tin rằng với các quy định quản lý thuế hiện nay, hành vi gian lận hoặc trốn thuế sẽ dễ dàng bị phát hiện và xử lý nghiêm. - HUMAN-ENF1]]</f>
        <v>8</v>
      </c>
      <c r="T127" t="str">
        <f t="shared" si="28"/>
        <v>Support</v>
      </c>
      <c r="U127" s="32">
        <f t="shared" si="29"/>
        <v>0</v>
      </c>
      <c r="V127">
        <f>step3_validation[[#This Row],[AI_ENF2]]</f>
        <v>8</v>
      </c>
      <c r="W127" t="str">
        <f t="shared" si="30"/>
        <v>Support</v>
      </c>
      <c r="X127">
        <f>survey_responses[[#This Row],[Tôi tin rằng Nhà nước, cơ quan thuế có đủ khả năng và công nghệ để phát hiện, xử lý nghiêm các hành vi trốn thuế. - HUMAN-ENF2]]</f>
        <v>8</v>
      </c>
      <c r="Y127" t="str">
        <f t="shared" si="31"/>
        <v>Support</v>
      </c>
      <c r="Z127" s="32">
        <f t="shared" si="32"/>
        <v>0</v>
      </c>
      <c r="AA127">
        <f>step3_validation[[#This Row],[AI_FAC1]]</f>
        <v>9</v>
      </c>
      <c r="AB127" t="str">
        <f t="shared" si="33"/>
        <v>Support</v>
      </c>
      <c r="AC127">
        <f>survey_responses[[#This Row],[Các thủ tục khai báo thuế VÀ/HOẶC quy trình làm việc với cơ quan thuế đơn giản, tiện lợi, nhanh chóng hơn so với trước đây. - HUMAN-FAC1]]</f>
        <v>5</v>
      </c>
      <c r="AD127" t="str">
        <f t="shared" si="34"/>
        <v>Neutral</v>
      </c>
      <c r="AE127" s="32">
        <f t="shared" si="35"/>
        <v>4</v>
      </c>
      <c r="AF127">
        <f>step3_validation[[#This Row],[AI_FAC2]]</f>
        <v>9</v>
      </c>
      <c r="AG127" t="str">
        <f t="shared" si="36"/>
        <v>Support</v>
      </c>
      <c r="AH127">
        <f>survey_responses[[#This Row],[So với trước đây, tôi thấy cách tính thuế và các bậc thuế trong phương án mới đơn giản, dễ hiểu và dễ thực hiện hơn. - HUMAN-FAC2]]</f>
        <v>8</v>
      </c>
      <c r="AI127" t="str">
        <f t="shared" si="37"/>
        <v>Support</v>
      </c>
      <c r="AJ127" s="32">
        <f t="shared" si="38"/>
        <v>1</v>
      </c>
      <c r="AK127">
        <f>step3_validation[[#This Row],[AI_TRU1]]</f>
        <v>7</v>
      </c>
      <c r="AL127" t="str">
        <f t="shared" si="39"/>
        <v>Neutral</v>
      </c>
      <c r="AM127">
        <f>survey_responses[[#This Row],[Tôi tin rằng Nhà nước, cơ quan thuế sẽ thực thi chính sách mới một cách khách quan, công tâm và đối xử bình đẳng với mọi người nộp thuế.  - HUMAN-TRU1]]</f>
        <v>8</v>
      </c>
      <c r="AN127" t="str">
        <f t="shared" si="40"/>
        <v>Support</v>
      </c>
      <c r="AO127" s="32">
        <f t="shared" si="41"/>
        <v>1</v>
      </c>
      <c r="AP127">
        <f>step3_validation[[#This Row],[AI_TRU2]]</f>
        <v>8</v>
      </c>
      <c r="AQ127" t="str">
        <f t="shared" si="42"/>
        <v>Support</v>
      </c>
      <c r="AR127">
        <f>survey_responses[[#This Row],[Tôi thấy mức thuế tôi phải đóng theo phương án mới là công bằng (người thu nhập như tôi đóng mức này là hợp lý). - HUMAN-TRU2]]</f>
        <v>8</v>
      </c>
      <c r="AS127" t="str">
        <f t="shared" si="43"/>
        <v>Support</v>
      </c>
      <c r="AT127" s="32">
        <f t="shared" si="44"/>
        <v>0</v>
      </c>
      <c r="AU127">
        <f>step3_validation[[#This Row],[AI_TRU3]]</f>
        <v>7</v>
      </c>
      <c r="AV127" t="str">
        <f t="shared" si="45"/>
        <v>Neutral</v>
      </c>
      <c r="AW127">
        <f>survey_responses[[#This Row],[Tôi tin tưởng số tiền thuế tôi đóng sẽ được Nhà nước sử dụng hiệu quả để cải thiện dịch vụ công (y tế, đường xá...). - HUMAN-TRU3]]</f>
        <v>7</v>
      </c>
      <c r="AX127" t="str">
        <f t="shared" si="46"/>
        <v>Neutral</v>
      </c>
      <c r="AY127" s="32">
        <f t="shared" si="47"/>
        <v>0</v>
      </c>
      <c r="AZ127">
        <f>step3_validation[[#This Row],[AI_TRU4]]</f>
        <v>8</v>
      </c>
      <c r="BA127" t="str">
        <f t="shared" si="48"/>
        <v>Support</v>
      </c>
      <c r="BB127">
        <f>survey_responses[[#This Row],[Tôi thấy Nhà nước đã giải thích rõ ràng, minh bạch về lý do và mục tiêu của việc sửa đổi thuế lần này. - HUMAN-TRU4]]</f>
        <v>7</v>
      </c>
      <c r="BC127" t="str">
        <f t="shared" si="49"/>
        <v>Neutral</v>
      </c>
      <c r="BD127" s="32">
        <f t="shared" si="50"/>
        <v>1</v>
      </c>
      <c r="BE127">
        <f>step3_validation[[#This Row],[AI_OUT1]]</f>
        <v>9</v>
      </c>
      <c r="BF127" t="str">
        <f t="shared" si="51"/>
        <v>Support</v>
      </c>
      <c r="BG127">
        <f>survey_responses[[#This Row],[Sau khi xem xét các quyền lợi và nghĩa vụ, bạn có ủng hộ và tuân thủ chính sách mới hiện nay? - HUMAN-OUT1]]</f>
        <v>8</v>
      </c>
      <c r="BH127" t="str">
        <f t="shared" si="52"/>
        <v>Support</v>
      </c>
      <c r="BI127" s="32">
        <f t="shared" si="53"/>
        <v>1</v>
      </c>
    </row>
    <row r="128" spans="1:61" x14ac:dyDescent="0.45">
      <c r="A128" s="30">
        <f>step3_validation[[#This Row],[Persona_ID]]</f>
        <v>127</v>
      </c>
      <c r="B128" s="31">
        <f>step3_validation[[#This Row],[Used_Seed]]</f>
        <v>2152</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249.59796248611758</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7</v>
      </c>
      <c r="R128" t="str">
        <f t="shared" si="27"/>
        <v>Neutral</v>
      </c>
      <c r="S128">
        <f>survey_responses[[#This Row],[Tôi tin rằng với các quy định quản lý thuế hiện nay, hành vi gian lận hoặc trốn thuế sẽ dễ dàng bị phát hiện và xử lý nghiêm. - HUMAN-ENF1]]</f>
        <v>1</v>
      </c>
      <c r="T128" t="str">
        <f t="shared" si="28"/>
        <v>Oppose</v>
      </c>
      <c r="U128" s="32">
        <f t="shared" si="29"/>
        <v>6</v>
      </c>
      <c r="V128">
        <f>step3_validation[[#This Row],[AI_ENF2]]</f>
        <v>6</v>
      </c>
      <c r="W128" t="str">
        <f t="shared" si="30"/>
        <v>Neutral</v>
      </c>
      <c r="X128">
        <f>survey_responses[[#This Row],[Tôi tin rằng Nhà nước, cơ quan thuế có đủ khả năng và công nghệ để phát hiện, xử lý nghiêm các hành vi trốn thuế. - HUMAN-ENF2]]</f>
        <v>1</v>
      </c>
      <c r="Y128" t="str">
        <f t="shared" si="31"/>
        <v>Oppose</v>
      </c>
      <c r="Z128" s="32">
        <f t="shared" si="32"/>
        <v>5</v>
      </c>
      <c r="AA128">
        <f>step3_validation[[#This Row],[AI_FAC1]]</f>
        <v>8</v>
      </c>
      <c r="AB128" t="str">
        <f t="shared" si="33"/>
        <v>Support</v>
      </c>
      <c r="AC128">
        <f>survey_responses[[#This Row],[Các thủ tục khai báo thuế VÀ/HOẶC quy trình làm việc với cơ quan thuế đơn giản, tiện lợi, nhanh chóng hơn so với trước đây. - HUMAN-FAC1]]</f>
        <v>1</v>
      </c>
      <c r="AD128" t="str">
        <f t="shared" si="34"/>
        <v>Oppose</v>
      </c>
      <c r="AE128" s="32">
        <f t="shared" si="35"/>
        <v>7</v>
      </c>
      <c r="AF128">
        <f>step3_validation[[#This Row],[AI_FAC2]]</f>
        <v>9</v>
      </c>
      <c r="AG128" t="str">
        <f t="shared" si="36"/>
        <v>Support</v>
      </c>
      <c r="AH128">
        <f>survey_responses[[#This Row],[So với trước đây, tôi thấy cách tính thuế và các bậc thuế trong phương án mới đơn giản, dễ hiểu và dễ thực hiện hơn. - HUMAN-FAC2]]</f>
        <v>5</v>
      </c>
      <c r="AI128" t="str">
        <f t="shared" si="37"/>
        <v>Neutral</v>
      </c>
      <c r="AJ128" s="32">
        <f t="shared" si="38"/>
        <v>4</v>
      </c>
      <c r="AK128">
        <f>step3_validation[[#This Row],[AI_TRU1]]</f>
        <v>7</v>
      </c>
      <c r="AL128" t="str">
        <f t="shared" si="39"/>
        <v>Neutral</v>
      </c>
      <c r="AM128">
        <f>survey_responses[[#This Row],[Tôi tin rằng Nhà nước, cơ quan thuế sẽ thực thi chính sách mới một cách khách quan, công tâm và đối xử bình đẳng với mọi người nộp thuế.  - HUMAN-TRU1]]</f>
        <v>1</v>
      </c>
      <c r="AN128" t="str">
        <f t="shared" si="40"/>
        <v>Oppose</v>
      </c>
      <c r="AO128" s="32">
        <f t="shared" si="41"/>
        <v>6</v>
      </c>
      <c r="AP128">
        <f>step3_validation[[#This Row],[AI_TRU2]]</f>
        <v>8</v>
      </c>
      <c r="AQ128" t="str">
        <f t="shared" si="42"/>
        <v>Support</v>
      </c>
      <c r="AR128">
        <f>survey_responses[[#This Row],[Tôi thấy mức thuế tôi phải đóng theo phương án mới là công bằng (người thu nhập như tôi đóng mức này là hợp lý). - HUMAN-TRU2]]</f>
        <v>1</v>
      </c>
      <c r="AS128" t="str">
        <f t="shared" si="43"/>
        <v>Oppose</v>
      </c>
      <c r="AT128" s="32">
        <f t="shared" si="44"/>
        <v>7</v>
      </c>
      <c r="AU128">
        <f>step3_validation[[#This Row],[AI_TRU3]]</f>
        <v>6</v>
      </c>
      <c r="AV128" t="str">
        <f t="shared" si="45"/>
        <v>Neutral</v>
      </c>
      <c r="AW128">
        <f>survey_responses[[#This Row],[Tôi tin tưởng số tiền thuế tôi đóng sẽ được Nhà nước sử dụng hiệu quả để cải thiện dịch vụ công (y tế, đường xá...). - HUMAN-TRU3]]</f>
        <v>1</v>
      </c>
      <c r="AX128" t="str">
        <f t="shared" si="46"/>
        <v>Oppose</v>
      </c>
      <c r="AY128" s="32">
        <f t="shared" si="47"/>
        <v>5</v>
      </c>
      <c r="AZ128">
        <f>step3_validation[[#This Row],[AI_TRU4]]</f>
        <v>8</v>
      </c>
      <c r="BA128" t="str">
        <f t="shared" si="48"/>
        <v>Support</v>
      </c>
      <c r="BB128">
        <f>survey_responses[[#This Row],[Tôi thấy Nhà nước đã giải thích rõ ràng, minh bạch về lý do và mục tiêu của việc sửa đổi thuế lần này. - HUMAN-TRU4]]</f>
        <v>5</v>
      </c>
      <c r="BC128" t="str">
        <f t="shared" si="49"/>
        <v>Neutral</v>
      </c>
      <c r="BD128" s="32">
        <f t="shared" si="50"/>
        <v>3</v>
      </c>
      <c r="BE128">
        <f>step3_validation[[#This Row],[AI_OUT1]]</f>
        <v>9</v>
      </c>
      <c r="BF128" t="str">
        <f t="shared" si="51"/>
        <v>Support</v>
      </c>
      <c r="BG128">
        <f>survey_responses[[#This Row],[Sau khi xem xét các quyền lợi và nghĩa vụ, bạn có ủng hộ và tuân thủ chính sách mới hiện nay? - HUMAN-OUT1]]</f>
        <v>5</v>
      </c>
      <c r="BH128" t="str">
        <f t="shared" si="52"/>
        <v>Neutral</v>
      </c>
      <c r="BI128" s="32">
        <f t="shared" si="53"/>
        <v>4</v>
      </c>
    </row>
    <row r="129" spans="1:61" x14ac:dyDescent="0.45">
      <c r="A129" s="30">
        <f>step3_validation[[#This Row],[Persona_ID]]</f>
        <v>128</v>
      </c>
      <c r="B129" s="31">
        <f>step3_validation[[#This Row],[Used_Seed]]</f>
        <v>2153</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201.42857396570378</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8</v>
      </c>
      <c r="R129" t="str">
        <f t="shared" si="27"/>
        <v>Support</v>
      </c>
      <c r="S129">
        <f>survey_responses[[#This Row],[Tôi tin rằng với các quy định quản lý thuế hiện nay, hành vi gian lận hoặc trốn thuế sẽ dễ dàng bị phát hiện và xử lý nghiêm. - HUMAN-ENF1]]</f>
        <v>6</v>
      </c>
      <c r="T129" t="str">
        <f t="shared" si="28"/>
        <v>Neutral</v>
      </c>
      <c r="U129" s="32">
        <f t="shared" si="29"/>
        <v>2</v>
      </c>
      <c r="V129">
        <f>step3_validation[[#This Row],[AI_ENF2]]</f>
        <v>9</v>
      </c>
      <c r="W129" t="str">
        <f t="shared" si="30"/>
        <v>Support</v>
      </c>
      <c r="X129">
        <f>survey_responses[[#This Row],[Tôi tin rằng Nhà nước, cơ quan thuế có đủ khả năng và công nghệ để phát hiện, xử lý nghiêm các hành vi trốn thuế. - HUMAN-ENF2]]</f>
        <v>6</v>
      </c>
      <c r="Y129" t="str">
        <f t="shared" si="31"/>
        <v>Neutral</v>
      </c>
      <c r="Z129" s="32">
        <f t="shared" si="32"/>
        <v>3</v>
      </c>
      <c r="AA129">
        <f>step3_validation[[#This Row],[AI_FAC1]]</f>
        <v>7</v>
      </c>
      <c r="AB129" t="str">
        <f t="shared" si="33"/>
        <v>Neutral</v>
      </c>
      <c r="AC129">
        <f>survey_responses[[#This Row],[Các thủ tục khai báo thuế VÀ/HOẶC quy trình làm việc với cơ quan thuế đơn giản, tiện lợi, nhanh chóng hơn so với trước đây. - HUMAN-FAC1]]</f>
        <v>6</v>
      </c>
      <c r="AD129" t="str">
        <f t="shared" si="34"/>
        <v>Neutral</v>
      </c>
      <c r="AE129" s="32">
        <f t="shared" si="35"/>
        <v>1</v>
      </c>
      <c r="AF129">
        <f>step3_validation[[#This Row],[AI_FAC2]]</f>
        <v>9</v>
      </c>
      <c r="AG129" t="str">
        <f t="shared" si="36"/>
        <v>Support</v>
      </c>
      <c r="AH129">
        <f>survey_responses[[#This Row],[So với trước đây, tôi thấy cách tính thuế và các bậc thuế trong phương án mới đơn giản, dễ hiểu và dễ thực hiện hơn. - HUMAN-FAC2]]</f>
        <v>8</v>
      </c>
      <c r="AI129" t="str">
        <f t="shared" si="37"/>
        <v>Support</v>
      </c>
      <c r="AJ129" s="32">
        <f t="shared" si="38"/>
        <v>1</v>
      </c>
      <c r="AK129">
        <f>step3_validation[[#This Row],[AI_TRU1]]</f>
        <v>8</v>
      </c>
      <c r="AL129" t="str">
        <f t="shared" si="39"/>
        <v>Support</v>
      </c>
      <c r="AM129">
        <f>survey_responses[[#This Row],[Tôi tin rằng Nhà nước, cơ quan thuế sẽ thực thi chính sách mới một cách khách quan, công tâm và đối xử bình đẳng với mọi người nộp thuế.  - HUMAN-TRU1]]</f>
        <v>6</v>
      </c>
      <c r="AN129" t="str">
        <f t="shared" si="40"/>
        <v>Neutral</v>
      </c>
      <c r="AO129" s="32">
        <f t="shared" si="41"/>
        <v>2</v>
      </c>
      <c r="AP129">
        <f>step3_validation[[#This Row],[AI_TRU2]]</f>
        <v>9</v>
      </c>
      <c r="AQ129" t="str">
        <f t="shared" si="42"/>
        <v>Support</v>
      </c>
      <c r="AR129">
        <f>survey_responses[[#This Row],[Tôi thấy mức thuế tôi phải đóng theo phương án mới là công bằng (người thu nhập như tôi đóng mức này là hợp lý). - HUMAN-TRU2]]</f>
        <v>3</v>
      </c>
      <c r="AS129" t="str">
        <f t="shared" si="43"/>
        <v>Oppose</v>
      </c>
      <c r="AT129" s="32">
        <f t="shared" si="44"/>
        <v>6</v>
      </c>
      <c r="AU129">
        <f>step3_validation[[#This Row],[AI_TRU3]]</f>
        <v>8</v>
      </c>
      <c r="AV129" t="str">
        <f t="shared" si="45"/>
        <v>Support</v>
      </c>
      <c r="AW129">
        <f>survey_responses[[#This Row],[Tôi tin tưởng số tiền thuế tôi đóng sẽ được Nhà nước sử dụng hiệu quả để cải thiện dịch vụ công (y tế, đường xá...). - HUMAN-TRU3]]</f>
        <v>5</v>
      </c>
      <c r="AX129" t="str">
        <f t="shared" si="46"/>
        <v>Neutral</v>
      </c>
      <c r="AY129" s="32">
        <f t="shared" si="47"/>
        <v>3</v>
      </c>
      <c r="AZ129">
        <f>step3_validation[[#This Row],[AI_TRU4]]</f>
        <v>7</v>
      </c>
      <c r="BA129" t="str">
        <f t="shared" si="48"/>
        <v>Neutral</v>
      </c>
      <c r="BB129">
        <f>survey_responses[[#This Row],[Tôi thấy Nhà nước đã giải thích rõ ràng, minh bạch về lý do và mục tiêu của việc sửa đổi thuế lần này. - HUMAN-TRU4]]</f>
        <v>5</v>
      </c>
      <c r="BC129" t="str">
        <f t="shared" si="49"/>
        <v>Neutral</v>
      </c>
      <c r="BD129" s="32">
        <f t="shared" si="50"/>
        <v>2</v>
      </c>
      <c r="BE129">
        <f>step3_validation[[#This Row],[AI_OUT1]]</f>
        <v>9</v>
      </c>
      <c r="BF129" t="str">
        <f t="shared" si="51"/>
        <v>Support</v>
      </c>
      <c r="BG129">
        <f>survey_responses[[#This Row],[Sau khi xem xét các quyền lợi và nghĩa vụ, bạn có ủng hộ và tuân thủ chính sách mới hiện nay? - HUMAN-OUT1]]</f>
        <v>4</v>
      </c>
      <c r="BH129" t="str">
        <f t="shared" si="52"/>
        <v>Oppose</v>
      </c>
      <c r="BI129" s="32">
        <f t="shared" si="53"/>
        <v>5</v>
      </c>
    </row>
    <row r="130" spans="1:61" x14ac:dyDescent="0.45">
      <c r="A130" s="30">
        <f>step3_validation[[#This Row],[Persona_ID]]</f>
        <v>129</v>
      </c>
      <c r="B130" s="31">
        <f>step3_validation[[#This Row],[Used_Seed]]</f>
        <v>2154</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175.65153653923511</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8</v>
      </c>
      <c r="R130" t="str">
        <f t="shared" si="27"/>
        <v>Support</v>
      </c>
      <c r="S130">
        <f>survey_responses[[#This Row],[Tôi tin rằng với các quy định quản lý thuế hiện nay, hành vi gian lận hoặc trốn thuế sẽ dễ dàng bị phát hiện và xử lý nghiêm. - HUMAN-ENF1]]</f>
        <v>6</v>
      </c>
      <c r="T130" t="str">
        <f t="shared" si="28"/>
        <v>Neutral</v>
      </c>
      <c r="U130" s="32">
        <f t="shared" si="29"/>
        <v>2</v>
      </c>
      <c r="V130">
        <f>step3_validation[[#This Row],[AI_ENF2]]</f>
        <v>9</v>
      </c>
      <c r="W130" t="str">
        <f t="shared" si="30"/>
        <v>Support</v>
      </c>
      <c r="X130">
        <f>survey_responses[[#This Row],[Tôi tin rằng Nhà nước, cơ quan thuế có đủ khả năng và công nghệ để phát hiện, xử lý nghiêm các hành vi trốn thuế. - HUMAN-ENF2]]</f>
        <v>6</v>
      </c>
      <c r="Y130" t="str">
        <f t="shared" si="31"/>
        <v>Neutral</v>
      </c>
      <c r="Z130" s="32">
        <f t="shared" si="32"/>
        <v>3</v>
      </c>
      <c r="AA130">
        <f>step3_validation[[#This Row],[AI_FAC1]]</f>
        <v>8</v>
      </c>
      <c r="AB130" t="str">
        <f t="shared" si="33"/>
        <v>Support</v>
      </c>
      <c r="AC130">
        <f>survey_responses[[#This Row],[Các thủ tục khai báo thuế VÀ/HOẶC quy trình làm việc với cơ quan thuế đơn giản, tiện lợi, nhanh chóng hơn so với trước đây. - HUMAN-FAC1]]</f>
        <v>4</v>
      </c>
      <c r="AD130" t="str">
        <f t="shared" si="34"/>
        <v>Oppose</v>
      </c>
      <c r="AE130" s="32">
        <f t="shared" si="35"/>
        <v>4</v>
      </c>
      <c r="AF130">
        <f>step3_validation[[#This Row],[AI_FAC2]]</f>
        <v>9</v>
      </c>
      <c r="AG130" t="str">
        <f t="shared" si="36"/>
        <v>Support</v>
      </c>
      <c r="AH130">
        <f>survey_responses[[#This Row],[So với trước đây, tôi thấy cách tính thuế và các bậc thuế trong phương án mới đơn giản, dễ hiểu và dễ thực hiện hơn. - HUMAN-FAC2]]</f>
        <v>5</v>
      </c>
      <c r="AI130" t="str">
        <f t="shared" si="37"/>
        <v>Neutral</v>
      </c>
      <c r="AJ130" s="32">
        <f t="shared" si="38"/>
        <v>4</v>
      </c>
      <c r="AK130">
        <f>step3_validation[[#This Row],[AI_TRU1]]</f>
        <v>8</v>
      </c>
      <c r="AL130" t="str">
        <f t="shared" si="39"/>
        <v>Support</v>
      </c>
      <c r="AM130">
        <f>survey_responses[[#This Row],[Tôi tin rằng Nhà nước, cơ quan thuế sẽ thực thi chính sách mới một cách khách quan, công tâm và đối xử bình đẳng với mọi người nộp thuế.  - HUMAN-TRU1]]</f>
        <v>5</v>
      </c>
      <c r="AN130" t="str">
        <f t="shared" si="40"/>
        <v>Neutral</v>
      </c>
      <c r="AO130" s="32">
        <f t="shared" si="41"/>
        <v>3</v>
      </c>
      <c r="AP130">
        <f>step3_validation[[#This Row],[AI_TRU2]]</f>
        <v>7</v>
      </c>
      <c r="AQ130" t="str">
        <f t="shared" si="42"/>
        <v>Neutral</v>
      </c>
      <c r="AR130">
        <f>survey_responses[[#This Row],[Tôi thấy mức thuế tôi phải đóng theo phương án mới là công bằng (người thu nhập như tôi đóng mức này là hợp lý). - HUMAN-TRU2]]</f>
        <v>1</v>
      </c>
      <c r="AS130" t="str">
        <f t="shared" si="43"/>
        <v>Oppose</v>
      </c>
      <c r="AT130" s="32">
        <f t="shared" si="44"/>
        <v>6</v>
      </c>
      <c r="AU130">
        <f>step3_validation[[#This Row],[AI_TRU3]]</f>
        <v>8</v>
      </c>
      <c r="AV130" t="str">
        <f t="shared" si="45"/>
        <v>Support</v>
      </c>
      <c r="AW130">
        <f>survey_responses[[#This Row],[Tôi tin tưởng số tiền thuế tôi đóng sẽ được Nhà nước sử dụng hiệu quả để cải thiện dịch vụ công (y tế, đường xá...). - HUMAN-TRU3]]</f>
        <v>5</v>
      </c>
      <c r="AX130" t="str">
        <f t="shared" si="46"/>
        <v>Neutral</v>
      </c>
      <c r="AY130" s="32">
        <f t="shared" si="47"/>
        <v>3</v>
      </c>
      <c r="AZ130">
        <f>step3_validation[[#This Row],[AI_TRU4]]</f>
        <v>7</v>
      </c>
      <c r="BA130" t="str">
        <f t="shared" si="48"/>
        <v>Neutral</v>
      </c>
      <c r="BB130">
        <f>survey_responses[[#This Row],[Tôi thấy Nhà nước đã giải thích rõ ràng, minh bạch về lý do và mục tiêu của việc sửa đổi thuế lần này. - HUMAN-TRU4]]</f>
        <v>4</v>
      </c>
      <c r="BC130" t="str">
        <f t="shared" si="49"/>
        <v>Oppose</v>
      </c>
      <c r="BD130" s="32">
        <f t="shared" si="50"/>
        <v>3</v>
      </c>
      <c r="BE130">
        <f>step3_validation[[#This Row],[AI_OUT1]]</f>
        <v>8</v>
      </c>
      <c r="BF130" t="str">
        <f t="shared" si="51"/>
        <v>Support</v>
      </c>
      <c r="BG130">
        <f>survey_responses[[#This Row],[Sau khi xem xét các quyền lợi và nghĩa vụ, bạn có ủng hộ và tuân thủ chính sách mới hiện nay? - HUMAN-OUT1]]</f>
        <v>5</v>
      </c>
      <c r="BH130" t="str">
        <f t="shared" si="52"/>
        <v>Neutral</v>
      </c>
      <c r="BI130" s="32">
        <f t="shared" si="53"/>
        <v>3</v>
      </c>
    </row>
    <row r="131" spans="1:61" x14ac:dyDescent="0.45">
      <c r="A131" s="30">
        <f>step3_validation[[#This Row],[Persona_ID]]</f>
        <v>130</v>
      </c>
      <c r="B131" s="31">
        <f>step3_validation[[#This Row],[Used_Seed]]</f>
        <v>2155</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75.896471922235506</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7</v>
      </c>
      <c r="R131" t="str">
        <f t="shared" ref="R131:R194" si="54">IF(AND(Q131&gt;=1,Q131&lt;5),"Oppose",IF(AND(Q131&gt;=5,Q131&lt;8),"Neutral",IF(AND(Q131&gt;=8,Q131&lt;=10),"Support","")))</f>
        <v>Neutral</v>
      </c>
      <c r="S131">
        <f>survey_responses[[#This Row],[Tôi tin rằng với các quy định quản lý thuế hiện nay, hành vi gian lận hoặc trốn thuế sẽ dễ dàng bị phát hiện và xử lý nghiêm. - HUMAN-ENF1]]</f>
        <v>5</v>
      </c>
      <c r="T131" t="str">
        <f t="shared" ref="T131:T194" si="55">IF(AND(S131&gt;=1,S131&lt;5),"Oppose",IF(AND(S131&gt;=5,S131&lt;8),"Neutral",IF(AND(S131&gt;=8,S131&lt;=10),"Support","")))</f>
        <v>Neutral</v>
      </c>
      <c r="U131" s="32">
        <f t="shared" ref="U131:U194" si="56">ABS(S131-Q131)</f>
        <v>2</v>
      </c>
      <c r="V131">
        <f>step3_validation[[#This Row],[AI_ENF2]]</f>
        <v>8</v>
      </c>
      <c r="W131" t="str">
        <f t="shared" ref="W131:W194" si="57">IF(AND(V131&gt;=1,V131&lt;5),"Oppose",IF(AND(V131&gt;=5,V131&lt;8),"Neutral",IF(AND(V131&gt;=8,V131&lt;=10),"Support","")))</f>
        <v>Support</v>
      </c>
      <c r="X131">
        <f>survey_responses[[#This Row],[Tôi tin rằng Nhà nước, cơ quan thuế có đủ khả năng và công nghệ để phát hiện, xử lý nghiêm các hành vi trốn thuế. - HUMAN-ENF2]]</f>
        <v>5</v>
      </c>
      <c r="Y131" t="str">
        <f t="shared" ref="Y131:Y194" si="58">IF(AND(X131&gt;=1,X131&lt;5),"Oppose",IF(AND(X131&gt;=5,X131&lt;8),"Neutral",IF(AND(X131&gt;=8,X131&lt;=10),"Support","")))</f>
        <v>Neutral</v>
      </c>
      <c r="Z131" s="32">
        <f t="shared" ref="Z131:Z194" si="59">ABS(X131-V131)</f>
        <v>3</v>
      </c>
      <c r="AA131">
        <f>step3_validation[[#This Row],[AI_FAC1]]</f>
        <v>9</v>
      </c>
      <c r="AB131" t="str">
        <f t="shared" ref="AB131:AB194" si="60">IF(AND(AA131&gt;=1,AA131&lt;5),"Oppose",IF(AND(AA131&gt;=5,AA131&lt;8),"Neutral",IF(AND(AA131&gt;=8,AA131&lt;=10),"Support","")))</f>
        <v>Support</v>
      </c>
      <c r="AC131">
        <f>survey_responses[[#This Row],[Các thủ tục khai báo thuế VÀ/HOẶC quy trình làm việc với cơ quan thuế đơn giản, tiện lợi, nhanh chóng hơn so với trước đây. - HUMAN-FAC1]]</f>
        <v>1</v>
      </c>
      <c r="AD131" t="str">
        <f t="shared" ref="AD131:AD194" si="61">IF(AND(AC131&gt;=1,AC131&lt;5),"Oppose",IF(AND(AC131&gt;=5,AC131&lt;8),"Neutral",IF(AND(AC131&gt;=8,AC131&lt;=10),"Support","")))</f>
        <v>Oppose</v>
      </c>
      <c r="AE131" s="32">
        <f t="shared" ref="AE131:AE194" si="62">ABS(AC131-AA131)</f>
        <v>8</v>
      </c>
      <c r="AF131">
        <f>step3_validation[[#This Row],[AI_FAC2]]</f>
        <v>9</v>
      </c>
      <c r="AG131" t="str">
        <f t="shared" ref="AG131:AG194" si="63">IF(AND(AF131&gt;=1,AF131&lt;5),"Oppose",IF(AND(AF131&gt;=5,AF131&lt;8),"Neutral",IF(AND(AF131&gt;=8,AF131&lt;=10),"Support","")))</f>
        <v>Support</v>
      </c>
      <c r="AH131">
        <f>survey_responses[[#This Row],[So với trước đây, tôi thấy cách tính thuế và các bậc thuế trong phương án mới đơn giản, dễ hiểu và dễ thực hiện hơn. - HUMAN-FAC2]]</f>
        <v>4</v>
      </c>
      <c r="AI131" t="str">
        <f t="shared" ref="AI131:AI194" si="64">IF(AND(AH131&gt;=1,AH131&lt;5),"Oppose",IF(AND(AH131&gt;=5,AH131&lt;8),"Neutral",IF(AND(AH131&gt;=8,AH131&lt;=10),"Support","")))</f>
        <v>Oppose</v>
      </c>
      <c r="AJ131" s="32">
        <f t="shared" ref="AJ131:AJ194" si="65">ABS(AH131-AF131)</f>
        <v>5</v>
      </c>
      <c r="AK131">
        <f>step3_validation[[#This Row],[AI_TRU1]]</f>
        <v>8</v>
      </c>
      <c r="AL131" t="str">
        <f t="shared" ref="AL131:AL194" si="66">IF(AND(AK131&gt;=1,AK131&lt;5),"Oppose",IF(AND(AK131&gt;=5,AK131&lt;8),"Neutral",IF(AND(AK131&gt;=8,AK131&lt;=10),"Support","")))</f>
        <v>Support</v>
      </c>
      <c r="AM131">
        <f>survey_responses[[#This Row],[Tôi tin rằng Nhà nước, cơ quan thuế sẽ thực thi chính sách mới một cách khách quan, công tâm và đối xử bình đẳng với mọi người nộp thuế.  - HUMAN-TRU1]]</f>
        <v>2</v>
      </c>
      <c r="AN131" t="str">
        <f t="shared" ref="AN131:AN194" si="67">IF(AND(AM131&gt;=1,AM131&lt;5),"Oppose",IF(AND(AM131&gt;=5,AM131&lt;8),"Neutral",IF(AND(AM131&gt;=8,AM131&lt;=10),"Support","")))</f>
        <v>Oppose</v>
      </c>
      <c r="AO131" s="32">
        <f t="shared" ref="AO131:AO194" si="68">ABS(AM131-AK131)</f>
        <v>6</v>
      </c>
      <c r="AP131">
        <f>step3_validation[[#This Row],[AI_TRU2]]</f>
        <v>9</v>
      </c>
      <c r="AQ131" t="str">
        <f t="shared" ref="AQ131:AQ194" si="69">IF(AND(AP131&gt;=1,AP131&lt;5),"Oppose",IF(AND(AP131&gt;=5,AP131&lt;8),"Neutral",IF(AND(AP131&gt;=8,AP131&lt;=10),"Support","")))</f>
        <v>Support</v>
      </c>
      <c r="AR131">
        <f>survey_responses[[#This Row],[Tôi thấy mức thuế tôi phải đóng theo phương án mới là công bằng (người thu nhập như tôi đóng mức này là hợp lý). - HUMAN-TRU2]]</f>
        <v>1</v>
      </c>
      <c r="AS131" t="str">
        <f t="shared" ref="AS131:AS194" si="70">IF(AND(AR131&gt;=1,AR131&lt;5),"Oppose",IF(AND(AR131&gt;=5,AR131&lt;8),"Neutral",IF(AND(AR131&gt;=8,AR131&lt;=10),"Support","")))</f>
        <v>Oppose</v>
      </c>
      <c r="AT131" s="32">
        <f t="shared" ref="AT131:AT194" si="71">ABS(AR131-AP131)</f>
        <v>8</v>
      </c>
      <c r="AU131">
        <f>step3_validation[[#This Row],[AI_TRU3]]</f>
        <v>8</v>
      </c>
      <c r="AV131" t="str">
        <f t="shared" ref="AV131:AV194" si="72">IF(AND(AU131&gt;=1,AU131&lt;5),"Oppose",IF(AND(AU131&gt;=5,AU131&lt;8),"Neutral",IF(AND(AU131&gt;=8,AU131&lt;=10),"Support","")))</f>
        <v>Support</v>
      </c>
      <c r="AW131">
        <f>survey_responses[[#This Row],[Tôi tin tưởng số tiền thuế tôi đóng sẽ được Nhà nước sử dụng hiệu quả để cải thiện dịch vụ công (y tế, đường xá...). - HUMAN-TRU3]]</f>
        <v>1</v>
      </c>
      <c r="AX131" t="str">
        <f t="shared" ref="AX131:AX194" si="73">IF(AND(AW131&gt;=1,AW131&lt;5),"Oppose",IF(AND(AW131&gt;=5,AW131&lt;8),"Neutral",IF(AND(AW131&gt;=8,AW131&lt;=10),"Support","")))</f>
        <v>Oppose</v>
      </c>
      <c r="AY131" s="32">
        <f t="shared" ref="AY131:AY194" si="74">ABS(AW131-AU131)</f>
        <v>7</v>
      </c>
      <c r="AZ131">
        <f>step3_validation[[#This Row],[AI_TRU4]]</f>
        <v>7</v>
      </c>
      <c r="BA131" t="str">
        <f t="shared" ref="BA131:BA194" si="75">IF(AND(AZ131&gt;=1,AZ131&lt;5),"Oppose",IF(AND(AZ131&gt;=5,AZ131&lt;8),"Neutral",IF(AND(AZ131&gt;=8,AZ131&lt;=10),"Support","")))</f>
        <v>Neutral</v>
      </c>
      <c r="BB131">
        <f>survey_responses[[#This Row],[Tôi thấy Nhà nước đã giải thích rõ ràng, minh bạch về lý do và mục tiêu của việc sửa đổi thuế lần này. - HUMAN-TRU4]]</f>
        <v>1</v>
      </c>
      <c r="BC131" t="str">
        <f t="shared" ref="BC131:BC194" si="76">IF(AND(BB131&gt;=1,BB131&lt;5),"Oppose",IF(AND(BB131&gt;=5,BB131&lt;8),"Neutral",IF(AND(BB131&gt;=8,BB131&lt;=10),"Support","")))</f>
        <v>Oppose</v>
      </c>
      <c r="BD131" s="32">
        <f t="shared" ref="BD131:BD194" si="77">ABS(BB131-AZ131)</f>
        <v>6</v>
      </c>
      <c r="BE131">
        <f>step3_validation[[#This Row],[AI_OUT1]]</f>
        <v>9</v>
      </c>
      <c r="BF131" t="str">
        <f t="shared" ref="BF131:BF194" si="78">IF(AND(BE131&gt;=1,BE131&lt;5),"Oppose",IF(AND(BE131&gt;=5,BE131&lt;8),"Neutral",IF(AND(BE131&gt;=8,BE131&lt;=10),"Support","")))</f>
        <v>Support</v>
      </c>
      <c r="BG131">
        <f>survey_responses[[#This Row],[Sau khi xem xét các quyền lợi và nghĩa vụ, bạn có ủng hộ và tuân thủ chính sách mới hiện nay? - HUMAN-OUT1]]</f>
        <v>5</v>
      </c>
      <c r="BH131" t="str">
        <f t="shared" ref="BH131:BH194" si="79">IF(AND(BG131&gt;=1,BG131&lt;5),"Oppose",IF(AND(BG131&gt;=5,BG131&lt;8),"Neutral",IF(AND(BG131&gt;=8,BG131&lt;=10),"Support","")))</f>
        <v>Neutral</v>
      </c>
      <c r="BI131" s="32">
        <f t="shared" ref="BI131:BI194" si="80">ABS(BG131-BE131)</f>
        <v>4</v>
      </c>
    </row>
    <row r="132" spans="1:61" x14ac:dyDescent="0.45">
      <c r="A132" s="30">
        <f>step3_validation[[#This Row],[Persona_ID]]</f>
        <v>131</v>
      </c>
      <c r="B132" s="31">
        <f>step3_validation[[#This Row],[Used_Seed]]</f>
        <v>2156</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93.372135894555768</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6</v>
      </c>
      <c r="R132" t="str">
        <f t="shared" si="54"/>
        <v>Neutral</v>
      </c>
      <c r="S132">
        <f>survey_responses[[#This Row],[Tôi tin rằng với các quy định quản lý thuế hiện nay, hành vi gian lận hoặc trốn thuế sẽ dễ dàng bị phát hiện và xử lý nghiêm. - HUMAN-ENF1]]</f>
        <v>8</v>
      </c>
      <c r="T132" t="str">
        <f t="shared" si="55"/>
        <v>Support</v>
      </c>
      <c r="U132" s="32">
        <f t="shared" si="56"/>
        <v>2</v>
      </c>
      <c r="V132">
        <f>step3_validation[[#This Row],[AI_ENF2]]</f>
        <v>7</v>
      </c>
      <c r="W132" t="str">
        <f t="shared" si="57"/>
        <v>Neutral</v>
      </c>
      <c r="X132">
        <f>survey_responses[[#This Row],[Tôi tin rằng Nhà nước, cơ quan thuế có đủ khả năng và công nghệ để phát hiện, xử lý nghiêm các hành vi trốn thuế. - HUMAN-ENF2]]</f>
        <v>9</v>
      </c>
      <c r="Y132" t="str">
        <f t="shared" si="58"/>
        <v>Support</v>
      </c>
      <c r="Z132" s="32">
        <f t="shared" si="59"/>
        <v>2</v>
      </c>
      <c r="AA132">
        <f>step3_validation[[#This Row],[AI_FAC1]]</f>
        <v>9</v>
      </c>
      <c r="AB132" t="str">
        <f t="shared" si="60"/>
        <v>Support</v>
      </c>
      <c r="AC132">
        <f>survey_responses[[#This Row],[Các thủ tục khai báo thuế VÀ/HOẶC quy trình làm việc với cơ quan thuế đơn giản, tiện lợi, nhanh chóng hơn so với trước đây. - HUMAN-FAC1]]</f>
        <v>5</v>
      </c>
      <c r="AD132" t="str">
        <f t="shared" si="61"/>
        <v>Neutral</v>
      </c>
      <c r="AE132" s="32">
        <f t="shared" si="62"/>
        <v>4</v>
      </c>
      <c r="AF132">
        <f>step3_validation[[#This Row],[AI_FAC2]]</f>
        <v>8</v>
      </c>
      <c r="AG132" t="str">
        <f t="shared" si="63"/>
        <v>Support</v>
      </c>
      <c r="AH132">
        <f>survey_responses[[#This Row],[So với trước đây, tôi thấy cách tính thuế và các bậc thuế trong phương án mới đơn giản, dễ hiểu và dễ thực hiện hơn. - HUMAN-FAC2]]</f>
        <v>5</v>
      </c>
      <c r="AI132" t="str">
        <f t="shared" si="64"/>
        <v>Neutral</v>
      </c>
      <c r="AJ132" s="32">
        <f t="shared" si="65"/>
        <v>3</v>
      </c>
      <c r="AK132">
        <f>step3_validation[[#This Row],[AI_TRU1]]</f>
        <v>9</v>
      </c>
      <c r="AL132" t="str">
        <f t="shared" si="66"/>
        <v>Support</v>
      </c>
      <c r="AM132">
        <f>survey_responses[[#This Row],[Tôi tin rằng Nhà nước, cơ quan thuế sẽ thực thi chính sách mới một cách khách quan, công tâm và đối xử bình đẳng với mọi người nộp thuế.  - HUMAN-TRU1]]</f>
        <v>5</v>
      </c>
      <c r="AN132" t="str">
        <f t="shared" si="67"/>
        <v>Neutral</v>
      </c>
      <c r="AO132" s="32">
        <f t="shared" si="68"/>
        <v>4</v>
      </c>
      <c r="AP132">
        <f>step3_validation[[#This Row],[AI_TRU2]]</f>
        <v>8</v>
      </c>
      <c r="AQ132" t="str">
        <f t="shared" si="69"/>
        <v>Support</v>
      </c>
      <c r="AR132">
        <f>survey_responses[[#This Row],[Tôi thấy mức thuế tôi phải đóng theo phương án mới là công bằng (người thu nhập như tôi đóng mức này là hợp lý). - HUMAN-TRU2]]</f>
        <v>4</v>
      </c>
      <c r="AS132" t="str">
        <f t="shared" si="70"/>
        <v>Oppose</v>
      </c>
      <c r="AT132" s="32">
        <f t="shared" si="71"/>
        <v>4</v>
      </c>
      <c r="AU132">
        <f>step3_validation[[#This Row],[AI_TRU3]]</f>
        <v>9</v>
      </c>
      <c r="AV132" t="str">
        <f t="shared" si="72"/>
        <v>Support</v>
      </c>
      <c r="AW132">
        <f>survey_responses[[#This Row],[Tôi tin tưởng số tiền thuế tôi đóng sẽ được Nhà nước sử dụng hiệu quả để cải thiện dịch vụ công (y tế, đường xá...). - HUMAN-TRU3]]</f>
        <v>5</v>
      </c>
      <c r="AX132" t="str">
        <f t="shared" si="73"/>
        <v>Neutral</v>
      </c>
      <c r="AY132" s="32">
        <f t="shared" si="74"/>
        <v>4</v>
      </c>
      <c r="AZ132">
        <f>step3_validation[[#This Row],[AI_TRU4]]</f>
        <v>8</v>
      </c>
      <c r="BA132" t="str">
        <f t="shared" si="75"/>
        <v>Support</v>
      </c>
      <c r="BB132">
        <f>survey_responses[[#This Row],[Tôi thấy Nhà nước đã giải thích rõ ràng, minh bạch về lý do và mục tiêu của việc sửa đổi thuế lần này. - HUMAN-TRU4]]</f>
        <v>5</v>
      </c>
      <c r="BC132" t="str">
        <f t="shared" si="76"/>
        <v>Neutral</v>
      </c>
      <c r="BD132" s="32">
        <f t="shared" si="77"/>
        <v>3</v>
      </c>
      <c r="BE132">
        <f>step3_validation[[#This Row],[AI_OUT1]]</f>
        <v>9</v>
      </c>
      <c r="BF132" t="str">
        <f t="shared" si="78"/>
        <v>Support</v>
      </c>
      <c r="BG132">
        <f>survey_responses[[#This Row],[Sau khi xem xét các quyền lợi và nghĩa vụ, bạn có ủng hộ và tuân thủ chính sách mới hiện nay? - HUMAN-OUT1]]</f>
        <v>5</v>
      </c>
      <c r="BH132" t="str">
        <f t="shared" si="79"/>
        <v>Neutral</v>
      </c>
      <c r="BI132" s="32">
        <f t="shared" si="80"/>
        <v>4</v>
      </c>
    </row>
    <row r="133" spans="1:61" x14ac:dyDescent="0.45">
      <c r="A133" s="30">
        <f>step3_validation[[#This Row],[Persona_ID]]</f>
        <v>132</v>
      </c>
      <c r="B133" s="31">
        <f>step3_validation[[#This Row],[Used_Seed]]</f>
        <v>2157</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14.897245347143553</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6</v>
      </c>
      <c r="R133" t="str">
        <f t="shared" si="54"/>
        <v>Neutral</v>
      </c>
      <c r="S133">
        <f>survey_responses[[#This Row],[Tôi tin rằng với các quy định quản lý thuế hiện nay, hành vi gian lận hoặc trốn thuế sẽ dễ dàng bị phát hiện và xử lý nghiêm. - HUMAN-ENF1]]</f>
        <v>9</v>
      </c>
      <c r="T133" t="str">
        <f t="shared" si="55"/>
        <v>Support</v>
      </c>
      <c r="U133" s="32">
        <f t="shared" si="56"/>
        <v>3</v>
      </c>
      <c r="V133">
        <f>step3_validation[[#This Row],[AI_ENF2]]</f>
        <v>7</v>
      </c>
      <c r="W133" t="str">
        <f t="shared" si="57"/>
        <v>Neutral</v>
      </c>
      <c r="X133">
        <f>survey_responses[[#This Row],[Tôi tin rằng Nhà nước, cơ quan thuế có đủ khả năng và công nghệ để phát hiện, xử lý nghiêm các hành vi trốn thuế. - HUMAN-ENF2]]</f>
        <v>9</v>
      </c>
      <c r="Y133" t="str">
        <f t="shared" si="58"/>
        <v>Support</v>
      </c>
      <c r="Z133" s="32">
        <f t="shared" si="59"/>
        <v>2</v>
      </c>
      <c r="AA133">
        <f>step3_validation[[#This Row],[AI_FAC1]]</f>
        <v>9</v>
      </c>
      <c r="AB133" t="str">
        <f t="shared" si="60"/>
        <v>Support</v>
      </c>
      <c r="AC133">
        <f>survey_responses[[#This Row],[Các thủ tục khai báo thuế VÀ/HOẶC quy trình làm việc với cơ quan thuế đơn giản, tiện lợi, nhanh chóng hơn so với trước đây. - HUMAN-FAC1]]</f>
        <v>9</v>
      </c>
      <c r="AD133" t="str">
        <f t="shared" si="61"/>
        <v>Support</v>
      </c>
      <c r="AE133" s="32">
        <f t="shared" si="62"/>
        <v>0</v>
      </c>
      <c r="AF133">
        <f>step3_validation[[#This Row],[AI_FAC2]]</f>
        <v>8</v>
      </c>
      <c r="AG133" t="str">
        <f t="shared" si="63"/>
        <v>Support</v>
      </c>
      <c r="AH133">
        <f>survey_responses[[#This Row],[So với trước đây, tôi thấy cách tính thuế và các bậc thuế trong phương án mới đơn giản, dễ hiểu và dễ thực hiện hơn. - HUMAN-FAC2]]</f>
        <v>9</v>
      </c>
      <c r="AI133" t="str">
        <f t="shared" si="64"/>
        <v>Support</v>
      </c>
      <c r="AJ133" s="32">
        <f t="shared" si="65"/>
        <v>1</v>
      </c>
      <c r="AK133">
        <f>step3_validation[[#This Row],[AI_TRU1]]</f>
        <v>9</v>
      </c>
      <c r="AL133" t="str">
        <f t="shared" si="66"/>
        <v>Support</v>
      </c>
      <c r="AM133">
        <f>survey_responses[[#This Row],[Tôi tin rằng Nhà nước, cơ quan thuế sẽ thực thi chính sách mới một cách khách quan, công tâm và đối xử bình đẳng với mọi người nộp thuế.  - HUMAN-TRU1]]</f>
        <v>7</v>
      </c>
      <c r="AN133" t="str">
        <f t="shared" si="67"/>
        <v>Neutral</v>
      </c>
      <c r="AO133" s="32">
        <f t="shared" si="68"/>
        <v>2</v>
      </c>
      <c r="AP133">
        <f>step3_validation[[#This Row],[AI_TRU2]]</f>
        <v>8</v>
      </c>
      <c r="AQ133" t="str">
        <f t="shared" si="69"/>
        <v>Support</v>
      </c>
      <c r="AR133">
        <f>survey_responses[[#This Row],[Tôi thấy mức thuế tôi phải đóng theo phương án mới là công bằng (người thu nhập như tôi đóng mức này là hợp lý). - HUMAN-TRU2]]</f>
        <v>10</v>
      </c>
      <c r="AS133" t="str">
        <f t="shared" si="70"/>
        <v>Support</v>
      </c>
      <c r="AT133" s="32">
        <f t="shared" si="71"/>
        <v>2</v>
      </c>
      <c r="AU133">
        <f>step3_validation[[#This Row],[AI_TRU3]]</f>
        <v>9</v>
      </c>
      <c r="AV133" t="str">
        <f t="shared" si="72"/>
        <v>Support</v>
      </c>
      <c r="AW133">
        <f>survey_responses[[#This Row],[Tôi tin tưởng số tiền thuế tôi đóng sẽ được Nhà nước sử dụng hiệu quả để cải thiện dịch vụ công (y tế, đường xá...). - HUMAN-TRU3]]</f>
        <v>5</v>
      </c>
      <c r="AX133" t="str">
        <f t="shared" si="73"/>
        <v>Neutral</v>
      </c>
      <c r="AY133" s="32">
        <f t="shared" si="74"/>
        <v>4</v>
      </c>
      <c r="AZ133">
        <f>step3_validation[[#This Row],[AI_TRU4]]</f>
        <v>8</v>
      </c>
      <c r="BA133" t="str">
        <f t="shared" si="75"/>
        <v>Support</v>
      </c>
      <c r="BB133">
        <f>survey_responses[[#This Row],[Tôi thấy Nhà nước đã giải thích rõ ràng, minh bạch về lý do và mục tiêu của việc sửa đổi thuế lần này. - HUMAN-TRU4]]</f>
        <v>5</v>
      </c>
      <c r="BC133" t="str">
        <f t="shared" si="76"/>
        <v>Neutral</v>
      </c>
      <c r="BD133" s="32">
        <f t="shared" si="77"/>
        <v>3</v>
      </c>
      <c r="BE133">
        <f>step3_validation[[#This Row],[AI_OUT1]]</f>
        <v>9</v>
      </c>
      <c r="BF133" t="str">
        <f t="shared" si="78"/>
        <v>Support</v>
      </c>
      <c r="BG133">
        <f>survey_responses[[#This Row],[Sau khi xem xét các quyền lợi và nghĩa vụ, bạn có ủng hộ và tuân thủ chính sách mới hiện nay? - HUMAN-OUT1]]</f>
        <v>9</v>
      </c>
      <c r="BH133" t="str">
        <f t="shared" si="79"/>
        <v>Support</v>
      </c>
      <c r="BI133" s="32">
        <f t="shared" si="80"/>
        <v>0</v>
      </c>
    </row>
    <row r="134" spans="1:61" x14ac:dyDescent="0.45">
      <c r="A134" s="30">
        <f>step3_validation[[#This Row],[Persona_ID]]</f>
        <v>133</v>
      </c>
      <c r="B134" s="31">
        <f>step3_validation[[#This Row],[Used_Seed]]</f>
        <v>2158</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44.908480033311399</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6</v>
      </c>
      <c r="R134" t="str">
        <f t="shared" si="54"/>
        <v>Neutral</v>
      </c>
      <c r="S134">
        <f>survey_responses[[#This Row],[Tôi tin rằng với các quy định quản lý thuế hiện nay, hành vi gian lận hoặc trốn thuế sẽ dễ dàng bị phát hiện và xử lý nghiêm. - HUMAN-ENF1]]</f>
        <v>5</v>
      </c>
      <c r="T134" t="str">
        <f t="shared" si="55"/>
        <v>Neutral</v>
      </c>
      <c r="U134" s="32">
        <f t="shared" si="56"/>
        <v>1</v>
      </c>
      <c r="V134">
        <f>step3_validation[[#This Row],[AI_ENF2]]</f>
        <v>6</v>
      </c>
      <c r="W134" t="str">
        <f t="shared" si="57"/>
        <v>Neutral</v>
      </c>
      <c r="X134">
        <f>survey_responses[[#This Row],[Tôi tin rằng Nhà nước, cơ quan thuế có đủ khả năng và công nghệ để phát hiện, xử lý nghiêm các hành vi trốn thuế. - HUMAN-ENF2]]</f>
        <v>5</v>
      </c>
      <c r="Y134" t="str">
        <f t="shared" si="58"/>
        <v>Neutral</v>
      </c>
      <c r="Z134" s="32">
        <f t="shared" si="59"/>
        <v>1</v>
      </c>
      <c r="AA134">
        <f>step3_validation[[#This Row],[AI_FAC1]]</f>
        <v>7</v>
      </c>
      <c r="AB134" t="str">
        <f t="shared" si="60"/>
        <v>Neutral</v>
      </c>
      <c r="AC134">
        <f>survey_responses[[#This Row],[Các thủ tục khai báo thuế VÀ/HOẶC quy trình làm việc với cơ quan thuế đơn giản, tiện lợi, nhanh chóng hơn so với trước đây. - HUMAN-FAC1]]</f>
        <v>5</v>
      </c>
      <c r="AD134" t="str">
        <f t="shared" si="61"/>
        <v>Neutral</v>
      </c>
      <c r="AE134" s="32">
        <f t="shared" si="62"/>
        <v>2</v>
      </c>
      <c r="AF134">
        <f>step3_validation[[#This Row],[AI_FAC2]]</f>
        <v>8</v>
      </c>
      <c r="AG134" t="str">
        <f t="shared" si="63"/>
        <v>Support</v>
      </c>
      <c r="AH134">
        <f>survey_responses[[#This Row],[So với trước đây, tôi thấy cách tính thuế và các bậc thuế trong phương án mới đơn giản, dễ hiểu và dễ thực hiện hơn. - HUMAN-FAC2]]</f>
        <v>5</v>
      </c>
      <c r="AI134" t="str">
        <f t="shared" si="64"/>
        <v>Neutral</v>
      </c>
      <c r="AJ134" s="32">
        <f t="shared" si="65"/>
        <v>3</v>
      </c>
      <c r="AK134">
        <f>step3_validation[[#This Row],[AI_TRU1]]</f>
        <v>7</v>
      </c>
      <c r="AL134" t="str">
        <f t="shared" si="66"/>
        <v>Neutral</v>
      </c>
      <c r="AM134">
        <f>survey_responses[[#This Row],[Tôi tin rằng Nhà nước, cơ quan thuế sẽ thực thi chính sách mới một cách khách quan, công tâm và đối xử bình đẳng với mọi người nộp thuế.  - HUMAN-TRU1]]</f>
        <v>5</v>
      </c>
      <c r="AN134" t="str">
        <f t="shared" si="67"/>
        <v>Neutral</v>
      </c>
      <c r="AO134" s="32">
        <f t="shared" si="68"/>
        <v>2</v>
      </c>
      <c r="AP134">
        <f>step3_validation[[#This Row],[AI_TRU2]]</f>
        <v>9</v>
      </c>
      <c r="AQ134" t="str">
        <f t="shared" si="69"/>
        <v>Support</v>
      </c>
      <c r="AR134">
        <f>survey_responses[[#This Row],[Tôi thấy mức thuế tôi phải đóng theo phương án mới là công bằng (người thu nhập như tôi đóng mức này là hợp lý). - HUMAN-TRU2]]</f>
        <v>5</v>
      </c>
      <c r="AS134" t="str">
        <f t="shared" si="70"/>
        <v>Neutral</v>
      </c>
      <c r="AT134" s="32">
        <f t="shared" si="71"/>
        <v>4</v>
      </c>
      <c r="AU134">
        <f>step3_validation[[#This Row],[AI_TRU3]]</f>
        <v>8</v>
      </c>
      <c r="AV134" t="str">
        <f t="shared" si="72"/>
        <v>Support</v>
      </c>
      <c r="AW134">
        <f>survey_responses[[#This Row],[Tôi tin tưởng số tiền thuế tôi đóng sẽ được Nhà nước sử dụng hiệu quả để cải thiện dịch vụ công (y tế, đường xá...). - HUMAN-TRU3]]</f>
        <v>5</v>
      </c>
      <c r="AX134" t="str">
        <f t="shared" si="73"/>
        <v>Neutral</v>
      </c>
      <c r="AY134" s="32">
        <f t="shared" si="74"/>
        <v>3</v>
      </c>
      <c r="AZ134">
        <f>step3_validation[[#This Row],[AI_TRU4]]</f>
        <v>7</v>
      </c>
      <c r="BA134" t="str">
        <f t="shared" si="75"/>
        <v>Neutral</v>
      </c>
      <c r="BB134">
        <f>survey_responses[[#This Row],[Tôi thấy Nhà nước đã giải thích rõ ràng, minh bạch về lý do và mục tiêu của việc sửa đổi thuế lần này. - HUMAN-TRU4]]</f>
        <v>5</v>
      </c>
      <c r="BC134" t="str">
        <f t="shared" si="76"/>
        <v>Neutral</v>
      </c>
      <c r="BD134" s="32">
        <f t="shared" si="77"/>
        <v>2</v>
      </c>
      <c r="BE134">
        <f>step3_validation[[#This Row],[AI_OUT1]]</f>
        <v>9</v>
      </c>
      <c r="BF134" t="str">
        <f t="shared" si="78"/>
        <v>Support</v>
      </c>
      <c r="BG134">
        <f>survey_responses[[#This Row],[Sau khi xem xét các quyền lợi và nghĩa vụ, bạn có ủng hộ và tuân thủ chính sách mới hiện nay? - HUMAN-OUT1]]</f>
        <v>5</v>
      </c>
      <c r="BH134" t="str">
        <f t="shared" si="79"/>
        <v>Neutral</v>
      </c>
      <c r="BI134" s="32">
        <f t="shared" si="80"/>
        <v>4</v>
      </c>
    </row>
    <row r="135" spans="1:61" x14ac:dyDescent="0.45">
      <c r="A135" s="30">
        <f>step3_validation[[#This Row],[Persona_ID]]</f>
        <v>134</v>
      </c>
      <c r="B135" s="31">
        <f>step3_validation[[#This Row],[Used_Seed]]</f>
        <v>2159</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19.155357302420796</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6</v>
      </c>
      <c r="R135" t="str">
        <f t="shared" si="54"/>
        <v>Neutral</v>
      </c>
      <c r="S135">
        <f>survey_responses[[#This Row],[Tôi tin rằng với các quy định quản lý thuế hiện nay, hành vi gian lận hoặc trốn thuế sẽ dễ dàng bị phát hiện và xử lý nghiêm. - HUMAN-ENF1]]</f>
        <v>9</v>
      </c>
      <c r="T135" t="str">
        <f t="shared" si="55"/>
        <v>Support</v>
      </c>
      <c r="U135" s="32">
        <f t="shared" si="56"/>
        <v>3</v>
      </c>
      <c r="V135">
        <f>step3_validation[[#This Row],[AI_ENF2]]</f>
        <v>7</v>
      </c>
      <c r="W135" t="str">
        <f t="shared" si="57"/>
        <v>Neutral</v>
      </c>
      <c r="X135">
        <f>survey_responses[[#This Row],[Tôi tin rằng Nhà nước, cơ quan thuế có đủ khả năng và công nghệ để phát hiện, xử lý nghiêm các hành vi trốn thuế. - HUMAN-ENF2]]</f>
        <v>9</v>
      </c>
      <c r="Y135" t="str">
        <f t="shared" si="58"/>
        <v>Support</v>
      </c>
      <c r="Z135" s="32">
        <f t="shared" si="59"/>
        <v>2</v>
      </c>
      <c r="AA135">
        <f>step3_validation[[#This Row],[AI_FAC1]]</f>
        <v>9</v>
      </c>
      <c r="AB135" t="str">
        <f t="shared" si="60"/>
        <v>Support</v>
      </c>
      <c r="AC135">
        <f>survey_responses[[#This Row],[Các thủ tục khai báo thuế VÀ/HOẶC quy trình làm việc với cơ quan thuế đơn giản, tiện lợi, nhanh chóng hơn so với trước đây. - HUMAN-FAC1]]</f>
        <v>5</v>
      </c>
      <c r="AD135" t="str">
        <f t="shared" si="61"/>
        <v>Neutral</v>
      </c>
      <c r="AE135" s="32">
        <f t="shared" si="62"/>
        <v>4</v>
      </c>
      <c r="AF135">
        <f>step3_validation[[#This Row],[AI_FAC2]]</f>
        <v>8</v>
      </c>
      <c r="AG135" t="str">
        <f t="shared" si="63"/>
        <v>Support</v>
      </c>
      <c r="AH135">
        <f>survey_responses[[#This Row],[So với trước đây, tôi thấy cách tính thuế và các bậc thuế trong phương án mới đơn giản, dễ hiểu và dễ thực hiện hơn. - HUMAN-FAC2]]</f>
        <v>9</v>
      </c>
      <c r="AI135" t="str">
        <f t="shared" si="64"/>
        <v>Support</v>
      </c>
      <c r="AJ135" s="32">
        <f t="shared" si="65"/>
        <v>1</v>
      </c>
      <c r="AK135">
        <f>step3_validation[[#This Row],[AI_TRU1]]</f>
        <v>6</v>
      </c>
      <c r="AL135" t="str">
        <f t="shared" si="66"/>
        <v>Neutral</v>
      </c>
      <c r="AM135">
        <f>survey_responses[[#This Row],[Tôi tin rằng Nhà nước, cơ quan thuế sẽ thực thi chính sách mới một cách khách quan, công tâm và đối xử bình đẳng với mọi người nộp thuế.  - HUMAN-TRU1]]</f>
        <v>8</v>
      </c>
      <c r="AN135" t="str">
        <f t="shared" si="67"/>
        <v>Support</v>
      </c>
      <c r="AO135" s="32">
        <f t="shared" si="68"/>
        <v>2</v>
      </c>
      <c r="AP135">
        <f>step3_validation[[#This Row],[AI_TRU2]]</f>
        <v>7</v>
      </c>
      <c r="AQ135" t="str">
        <f t="shared" si="69"/>
        <v>Neutral</v>
      </c>
      <c r="AR135">
        <f>survey_responses[[#This Row],[Tôi thấy mức thuế tôi phải đóng theo phương án mới là công bằng (người thu nhập như tôi đóng mức này là hợp lý). - HUMAN-TRU2]]</f>
        <v>10</v>
      </c>
      <c r="AS135" t="str">
        <f t="shared" si="70"/>
        <v>Support</v>
      </c>
      <c r="AT135" s="32">
        <f t="shared" si="71"/>
        <v>3</v>
      </c>
      <c r="AU135">
        <f>step3_validation[[#This Row],[AI_TRU3]]</f>
        <v>6</v>
      </c>
      <c r="AV135" t="str">
        <f t="shared" si="72"/>
        <v>Neutral</v>
      </c>
      <c r="AW135">
        <f>survey_responses[[#This Row],[Tôi tin tưởng số tiền thuế tôi đóng sẽ được Nhà nước sử dụng hiệu quả để cải thiện dịch vụ công (y tế, đường xá...). - HUMAN-TRU3]]</f>
        <v>5</v>
      </c>
      <c r="AX135" t="str">
        <f t="shared" si="73"/>
        <v>Neutral</v>
      </c>
      <c r="AY135" s="32">
        <f t="shared" si="74"/>
        <v>1</v>
      </c>
      <c r="AZ135">
        <f>step3_validation[[#This Row],[AI_TRU4]]</f>
        <v>7</v>
      </c>
      <c r="BA135" t="str">
        <f t="shared" si="75"/>
        <v>Neutral</v>
      </c>
      <c r="BB135">
        <f>survey_responses[[#This Row],[Tôi thấy Nhà nước đã giải thích rõ ràng, minh bạch về lý do và mục tiêu của việc sửa đổi thuế lần này. - HUMAN-TRU4]]</f>
        <v>5</v>
      </c>
      <c r="BC135" t="str">
        <f t="shared" si="76"/>
        <v>Neutral</v>
      </c>
      <c r="BD135" s="32">
        <f t="shared" si="77"/>
        <v>2</v>
      </c>
      <c r="BE135">
        <f>step3_validation[[#This Row],[AI_OUT1]]</f>
        <v>8</v>
      </c>
      <c r="BF135" t="str">
        <f t="shared" si="78"/>
        <v>Support</v>
      </c>
      <c r="BG135">
        <f>survey_responses[[#This Row],[Sau khi xem xét các quyền lợi và nghĩa vụ, bạn có ủng hộ và tuân thủ chính sách mới hiện nay? - HUMAN-OUT1]]</f>
        <v>7</v>
      </c>
      <c r="BH135" t="str">
        <f t="shared" si="79"/>
        <v>Neutral</v>
      </c>
      <c r="BI135" s="32">
        <f t="shared" si="80"/>
        <v>1</v>
      </c>
    </row>
    <row r="136" spans="1:61" x14ac:dyDescent="0.45">
      <c r="A136" s="30">
        <f>step3_validation[[#This Row],[Persona_ID]]</f>
        <v>135</v>
      </c>
      <c r="B136" s="31">
        <f>step3_validation[[#This Row],[Used_Seed]]</f>
        <v>2160</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14.7876944821538</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7</v>
      </c>
      <c r="R136" t="str">
        <f t="shared" si="54"/>
        <v>Neutral</v>
      </c>
      <c r="S136">
        <f>survey_responses[[#This Row],[Tôi tin rằng với các quy định quản lý thuế hiện nay, hành vi gian lận hoặc trốn thuế sẽ dễ dàng bị phát hiện và xử lý nghiêm. - HUMAN-ENF1]]</f>
        <v>5</v>
      </c>
      <c r="T136" t="str">
        <f t="shared" si="55"/>
        <v>Neutral</v>
      </c>
      <c r="U136" s="32">
        <f t="shared" si="56"/>
        <v>2</v>
      </c>
      <c r="V136">
        <f>step3_validation[[#This Row],[AI_ENF2]]</f>
        <v>7</v>
      </c>
      <c r="W136" t="str">
        <f t="shared" si="57"/>
        <v>Neutral</v>
      </c>
      <c r="X136">
        <f>survey_responses[[#This Row],[Tôi tin rằng Nhà nước, cơ quan thuế có đủ khả năng và công nghệ để phát hiện, xử lý nghiêm các hành vi trốn thuế. - HUMAN-ENF2]]</f>
        <v>5</v>
      </c>
      <c r="Y136" t="str">
        <f t="shared" si="58"/>
        <v>Neutral</v>
      </c>
      <c r="Z136" s="32">
        <f t="shared" si="59"/>
        <v>2</v>
      </c>
      <c r="AA136">
        <f>step3_validation[[#This Row],[AI_FAC1]]</f>
        <v>9</v>
      </c>
      <c r="AB136" t="str">
        <f t="shared" si="60"/>
        <v>Support</v>
      </c>
      <c r="AC136">
        <f>survey_responses[[#This Row],[Các thủ tục khai báo thuế VÀ/HOẶC quy trình làm việc với cơ quan thuế đơn giản, tiện lợi, nhanh chóng hơn so với trước đây. - HUMAN-FAC1]]</f>
        <v>5</v>
      </c>
      <c r="AD136" t="str">
        <f t="shared" si="61"/>
        <v>Neutral</v>
      </c>
      <c r="AE136" s="32">
        <f t="shared" si="62"/>
        <v>4</v>
      </c>
      <c r="AF136">
        <f>step3_validation[[#This Row],[AI_FAC2]]</f>
        <v>9</v>
      </c>
      <c r="AG136" t="str">
        <f t="shared" si="63"/>
        <v>Support</v>
      </c>
      <c r="AH136">
        <f>survey_responses[[#This Row],[So với trước đây, tôi thấy cách tính thuế và các bậc thuế trong phương án mới đơn giản, dễ hiểu và dễ thực hiện hơn. - HUMAN-FAC2]]</f>
        <v>6</v>
      </c>
      <c r="AI136" t="str">
        <f t="shared" si="64"/>
        <v>Neutral</v>
      </c>
      <c r="AJ136" s="32">
        <f t="shared" si="65"/>
        <v>3</v>
      </c>
      <c r="AK136">
        <f>step3_validation[[#This Row],[AI_TRU1]]</f>
        <v>6</v>
      </c>
      <c r="AL136" t="str">
        <f t="shared" si="66"/>
        <v>Neutral</v>
      </c>
      <c r="AM136">
        <f>survey_responses[[#This Row],[Tôi tin rằng Nhà nước, cơ quan thuế sẽ thực thi chính sách mới một cách khách quan, công tâm và đối xử bình đẳng với mọi người nộp thuế.  - HUMAN-TRU1]]</f>
        <v>6</v>
      </c>
      <c r="AN136" t="str">
        <f t="shared" si="67"/>
        <v>Neutral</v>
      </c>
      <c r="AO136" s="32">
        <f t="shared" si="68"/>
        <v>0</v>
      </c>
      <c r="AP136">
        <f>step3_validation[[#This Row],[AI_TRU2]]</f>
        <v>8</v>
      </c>
      <c r="AQ136" t="str">
        <f t="shared" si="69"/>
        <v>Support</v>
      </c>
      <c r="AR136">
        <f>survey_responses[[#This Row],[Tôi thấy mức thuế tôi phải đóng theo phương án mới là công bằng (người thu nhập như tôi đóng mức này là hợp lý). - HUMAN-TRU2]]</f>
        <v>6</v>
      </c>
      <c r="AS136" t="str">
        <f t="shared" si="70"/>
        <v>Neutral</v>
      </c>
      <c r="AT136" s="32">
        <f t="shared" si="71"/>
        <v>2</v>
      </c>
      <c r="AU136">
        <f>step3_validation[[#This Row],[AI_TRU3]]</f>
        <v>7</v>
      </c>
      <c r="AV136" t="str">
        <f t="shared" si="72"/>
        <v>Neutral</v>
      </c>
      <c r="AW136">
        <f>survey_responses[[#This Row],[Tôi tin tưởng số tiền thuế tôi đóng sẽ được Nhà nước sử dụng hiệu quả để cải thiện dịch vụ công (y tế, đường xá...). - HUMAN-TRU3]]</f>
        <v>6</v>
      </c>
      <c r="AX136" t="str">
        <f t="shared" si="73"/>
        <v>Neutral</v>
      </c>
      <c r="AY136" s="32">
        <f t="shared" si="74"/>
        <v>1</v>
      </c>
      <c r="AZ136">
        <f>step3_validation[[#This Row],[AI_TRU4]]</f>
        <v>8</v>
      </c>
      <c r="BA136" t="str">
        <f t="shared" si="75"/>
        <v>Support</v>
      </c>
      <c r="BB136">
        <f>survey_responses[[#This Row],[Tôi thấy Nhà nước đã giải thích rõ ràng, minh bạch về lý do và mục tiêu của việc sửa đổi thuế lần này. - HUMAN-TRU4]]</f>
        <v>6</v>
      </c>
      <c r="BC136" t="str">
        <f t="shared" si="76"/>
        <v>Neutral</v>
      </c>
      <c r="BD136" s="32">
        <f t="shared" si="77"/>
        <v>2</v>
      </c>
      <c r="BE136">
        <f>step3_validation[[#This Row],[AI_OUT1]]</f>
        <v>9</v>
      </c>
      <c r="BF136" t="str">
        <f t="shared" si="78"/>
        <v>Support</v>
      </c>
      <c r="BG136">
        <f>survey_responses[[#This Row],[Sau khi xem xét các quyền lợi và nghĩa vụ, bạn có ủng hộ và tuân thủ chính sách mới hiện nay? - HUMAN-OUT1]]</f>
        <v>6</v>
      </c>
      <c r="BH136" t="str">
        <f t="shared" si="79"/>
        <v>Neutral</v>
      </c>
      <c r="BI136" s="32">
        <f t="shared" si="80"/>
        <v>3</v>
      </c>
    </row>
    <row r="137" spans="1:61" x14ac:dyDescent="0.45">
      <c r="A137" s="30">
        <f>step3_validation[[#This Row],[Persona_ID]]</f>
        <v>136</v>
      </c>
      <c r="B137" s="31">
        <f>step3_validation[[#This Row],[Used_Seed]]</f>
        <v>2161</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6</v>
      </c>
      <c r="R137" t="str">
        <f t="shared" si="54"/>
        <v>Neutral</v>
      </c>
      <c r="S137">
        <f>survey_responses[[#This Row],[Tôi tin rằng với các quy định quản lý thuế hiện nay, hành vi gian lận hoặc trốn thuế sẽ dễ dàng bị phát hiện và xử lý nghiêm. - HUMAN-ENF1]]</f>
        <v>8</v>
      </c>
      <c r="T137" t="str">
        <f t="shared" si="55"/>
        <v>Support</v>
      </c>
      <c r="U137" s="32">
        <f t="shared" si="56"/>
        <v>2</v>
      </c>
      <c r="V137">
        <f>step3_validation[[#This Row],[AI_ENF2]]</f>
        <v>6</v>
      </c>
      <c r="W137" t="str">
        <f t="shared" si="57"/>
        <v>Neutral</v>
      </c>
      <c r="X137">
        <f>survey_responses[[#This Row],[Tôi tin rằng Nhà nước, cơ quan thuế có đủ khả năng và công nghệ để phát hiện, xử lý nghiêm các hành vi trốn thuế. - HUMAN-ENF2]]</f>
        <v>8</v>
      </c>
      <c r="Y137" t="str">
        <f t="shared" si="58"/>
        <v>Support</v>
      </c>
      <c r="Z137" s="32">
        <f t="shared" si="59"/>
        <v>2</v>
      </c>
      <c r="AA137">
        <f>step3_validation[[#This Row],[AI_FAC1]]</f>
        <v>8</v>
      </c>
      <c r="AB137" t="str">
        <f t="shared" si="60"/>
        <v>Support</v>
      </c>
      <c r="AC137">
        <f>survey_responses[[#This Row],[Các thủ tục khai báo thuế VÀ/HOẶC quy trình làm việc với cơ quan thuế đơn giản, tiện lợi, nhanh chóng hơn so với trước đây. - HUMAN-FAC1]]</f>
        <v>8</v>
      </c>
      <c r="AD137" t="str">
        <f t="shared" si="61"/>
        <v>Support</v>
      </c>
      <c r="AE137" s="32">
        <f t="shared" si="62"/>
        <v>0</v>
      </c>
      <c r="AF137">
        <f>step3_validation[[#This Row],[AI_FAC2]]</f>
        <v>9</v>
      </c>
      <c r="AG137" t="str">
        <f t="shared" si="63"/>
        <v>Support</v>
      </c>
      <c r="AH137">
        <f>survey_responses[[#This Row],[So với trước đây, tôi thấy cách tính thuế và các bậc thuế trong phương án mới đơn giản, dễ hiểu và dễ thực hiện hơn. - HUMAN-FAC2]]</f>
        <v>8</v>
      </c>
      <c r="AI137" t="str">
        <f t="shared" si="64"/>
        <v>Support</v>
      </c>
      <c r="AJ137" s="32">
        <f t="shared" si="65"/>
        <v>1</v>
      </c>
      <c r="AK137">
        <f>step3_validation[[#This Row],[AI_TRU1]]</f>
        <v>7</v>
      </c>
      <c r="AL137" t="str">
        <f t="shared" si="66"/>
        <v>Neutral</v>
      </c>
      <c r="AM137">
        <f>survey_responses[[#This Row],[Tôi tin rằng Nhà nước, cơ quan thuế sẽ thực thi chính sách mới một cách khách quan, công tâm và đối xử bình đẳng với mọi người nộp thuế.  - HUMAN-TRU1]]</f>
        <v>10</v>
      </c>
      <c r="AN137" t="str">
        <f t="shared" si="67"/>
        <v>Support</v>
      </c>
      <c r="AO137" s="32">
        <f t="shared" si="68"/>
        <v>3</v>
      </c>
      <c r="AP137">
        <f>step3_validation[[#This Row],[AI_TRU2]]</f>
        <v>8</v>
      </c>
      <c r="AQ137" t="str">
        <f t="shared" si="69"/>
        <v>Support</v>
      </c>
      <c r="AR137">
        <f>survey_responses[[#This Row],[Tôi thấy mức thuế tôi phải đóng theo phương án mới là công bằng (người thu nhập như tôi đóng mức này là hợp lý). - HUMAN-TRU2]]</f>
        <v>10</v>
      </c>
      <c r="AS137" t="str">
        <f t="shared" si="70"/>
        <v>Support</v>
      </c>
      <c r="AT137" s="32">
        <f t="shared" si="71"/>
        <v>2</v>
      </c>
      <c r="AU137">
        <f>step3_validation[[#This Row],[AI_TRU3]]</f>
        <v>7</v>
      </c>
      <c r="AV137" t="str">
        <f t="shared" si="72"/>
        <v>Neutral</v>
      </c>
      <c r="AW137">
        <f>survey_responses[[#This Row],[Tôi tin tưởng số tiền thuế tôi đóng sẽ được Nhà nước sử dụng hiệu quả để cải thiện dịch vụ công (y tế, đường xá...). - HUMAN-TRU3]]</f>
        <v>10</v>
      </c>
      <c r="AX137" t="str">
        <f t="shared" si="73"/>
        <v>Support</v>
      </c>
      <c r="AY137" s="32">
        <f t="shared" si="74"/>
        <v>3</v>
      </c>
      <c r="AZ137">
        <f>step3_validation[[#This Row],[AI_TRU4]]</f>
        <v>6</v>
      </c>
      <c r="BA137" t="str">
        <f t="shared" si="75"/>
        <v>Neutral</v>
      </c>
      <c r="BB137">
        <f>survey_responses[[#This Row],[Tôi thấy Nhà nước đã giải thích rõ ràng, minh bạch về lý do và mục tiêu của việc sửa đổi thuế lần này. - HUMAN-TRU4]]</f>
        <v>10</v>
      </c>
      <c r="BC137" t="str">
        <f t="shared" si="76"/>
        <v>Support</v>
      </c>
      <c r="BD137" s="32">
        <f t="shared" si="77"/>
        <v>4</v>
      </c>
      <c r="BE137">
        <f>step3_validation[[#This Row],[AI_OUT1]]</f>
        <v>7</v>
      </c>
      <c r="BF137" t="str">
        <f t="shared" si="78"/>
        <v>Neutral</v>
      </c>
      <c r="BG137">
        <f>survey_responses[[#This Row],[Sau khi xem xét các quyền lợi và nghĩa vụ, bạn có ủng hộ và tuân thủ chính sách mới hiện nay? - HUMAN-OUT1]]</f>
        <v>10</v>
      </c>
      <c r="BH137" t="str">
        <f t="shared" si="79"/>
        <v>Support</v>
      </c>
      <c r="BI137" s="32">
        <f t="shared" si="80"/>
        <v>3</v>
      </c>
    </row>
    <row r="138" spans="1:61" x14ac:dyDescent="0.45">
      <c r="A138" s="30">
        <f>step3_validation[[#This Row],[Persona_ID]]</f>
        <v>137</v>
      </c>
      <c r="B138" s="31">
        <f>step3_validation[[#This Row],[Used_Seed]]</f>
        <v>2162</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158.49332291542495</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7</v>
      </c>
      <c r="R138" t="str">
        <f t="shared" si="54"/>
        <v>Neutral</v>
      </c>
      <c r="S138">
        <f>survey_responses[[#This Row],[Tôi tin rằng với các quy định quản lý thuế hiện nay, hành vi gian lận hoặc trốn thuế sẽ dễ dàng bị phát hiện và xử lý nghiêm. - HUMAN-ENF1]]</f>
        <v>8</v>
      </c>
      <c r="T138" t="str">
        <f t="shared" si="55"/>
        <v>Support</v>
      </c>
      <c r="U138" s="32">
        <f t="shared" si="56"/>
        <v>1</v>
      </c>
      <c r="V138">
        <f>step3_validation[[#This Row],[AI_ENF2]]</f>
        <v>8</v>
      </c>
      <c r="W138" t="str">
        <f t="shared" si="57"/>
        <v>Support</v>
      </c>
      <c r="X138">
        <f>survey_responses[[#This Row],[Tôi tin rằng Nhà nước, cơ quan thuế có đủ khả năng và công nghệ để phát hiện, xử lý nghiêm các hành vi trốn thuế. - HUMAN-ENF2]]</f>
        <v>8</v>
      </c>
      <c r="Y138" t="str">
        <f t="shared" si="58"/>
        <v>Support</v>
      </c>
      <c r="Z138" s="32">
        <f t="shared" si="59"/>
        <v>0</v>
      </c>
      <c r="AA138">
        <f>step3_validation[[#This Row],[AI_FAC1]]</f>
        <v>9</v>
      </c>
      <c r="AB138" t="str">
        <f t="shared" si="60"/>
        <v>Support</v>
      </c>
      <c r="AC138">
        <f>survey_responses[[#This Row],[Các thủ tục khai báo thuế VÀ/HOẶC quy trình làm việc với cơ quan thuế đơn giản, tiện lợi, nhanh chóng hơn so với trước đây. - HUMAN-FAC1]]</f>
        <v>8</v>
      </c>
      <c r="AD138" t="str">
        <f t="shared" si="61"/>
        <v>Support</v>
      </c>
      <c r="AE138" s="32">
        <f t="shared" si="62"/>
        <v>1</v>
      </c>
      <c r="AF138">
        <f>step3_validation[[#This Row],[AI_FAC2]]</f>
        <v>8</v>
      </c>
      <c r="AG138" t="str">
        <f t="shared" si="63"/>
        <v>Support</v>
      </c>
      <c r="AH138">
        <f>survey_responses[[#This Row],[So với trước đây, tôi thấy cách tính thuế và các bậc thuế trong phương án mới đơn giản, dễ hiểu và dễ thực hiện hơn. - HUMAN-FAC2]]</f>
        <v>8</v>
      </c>
      <c r="AI138" t="str">
        <f t="shared" si="64"/>
        <v>Support</v>
      </c>
      <c r="AJ138" s="32">
        <f t="shared" si="65"/>
        <v>0</v>
      </c>
      <c r="AK138">
        <f>step3_validation[[#This Row],[AI_TRU1]]</f>
        <v>9</v>
      </c>
      <c r="AL138" t="str">
        <f t="shared" si="66"/>
        <v>Support</v>
      </c>
      <c r="AM138">
        <f>survey_responses[[#This Row],[Tôi tin rằng Nhà nước, cơ quan thuế sẽ thực thi chính sách mới một cách khách quan, công tâm và đối xử bình đẳng với mọi người nộp thuế.  - HUMAN-TRU1]]</f>
        <v>8</v>
      </c>
      <c r="AN138" t="str">
        <f t="shared" si="67"/>
        <v>Support</v>
      </c>
      <c r="AO138" s="32">
        <f t="shared" si="68"/>
        <v>1</v>
      </c>
      <c r="AP138">
        <f>step3_validation[[#This Row],[AI_TRU2]]</f>
        <v>8</v>
      </c>
      <c r="AQ138" t="str">
        <f t="shared" si="69"/>
        <v>Support</v>
      </c>
      <c r="AR138">
        <f>survey_responses[[#This Row],[Tôi thấy mức thuế tôi phải đóng theo phương án mới là công bằng (người thu nhập như tôi đóng mức này là hợp lý). - HUMAN-TRU2]]</f>
        <v>8</v>
      </c>
      <c r="AS138" t="str">
        <f t="shared" si="70"/>
        <v>Support</v>
      </c>
      <c r="AT138" s="32">
        <f t="shared" si="71"/>
        <v>0</v>
      </c>
      <c r="AU138">
        <f>step3_validation[[#This Row],[AI_TRU3]]</f>
        <v>9</v>
      </c>
      <c r="AV138" t="str">
        <f t="shared" si="72"/>
        <v>Support</v>
      </c>
      <c r="AW138">
        <f>survey_responses[[#This Row],[Tôi tin tưởng số tiền thuế tôi đóng sẽ được Nhà nước sử dụng hiệu quả để cải thiện dịch vụ công (y tế, đường xá...). - HUMAN-TRU3]]</f>
        <v>5</v>
      </c>
      <c r="AX138" t="str">
        <f t="shared" si="73"/>
        <v>Neutral</v>
      </c>
      <c r="AY138" s="32">
        <f t="shared" si="74"/>
        <v>4</v>
      </c>
      <c r="AZ138">
        <f>step3_validation[[#This Row],[AI_TRU4]]</f>
        <v>8</v>
      </c>
      <c r="BA138" t="str">
        <f t="shared" si="75"/>
        <v>Support</v>
      </c>
      <c r="BB138">
        <f>survey_responses[[#This Row],[Tôi thấy Nhà nước đã giải thích rõ ràng, minh bạch về lý do và mục tiêu của việc sửa đổi thuế lần này. - HUMAN-TRU4]]</f>
        <v>7</v>
      </c>
      <c r="BC138" t="str">
        <f t="shared" si="76"/>
        <v>Neutral</v>
      </c>
      <c r="BD138" s="32">
        <f t="shared" si="77"/>
        <v>1</v>
      </c>
      <c r="BE138">
        <f>step3_validation[[#This Row],[AI_OUT1]]</f>
        <v>9</v>
      </c>
      <c r="BF138" t="str">
        <f t="shared" si="78"/>
        <v>Support</v>
      </c>
      <c r="BG138">
        <f>survey_responses[[#This Row],[Sau khi xem xét các quyền lợi và nghĩa vụ, bạn có ủng hộ và tuân thủ chính sách mới hiện nay? - HUMAN-OUT1]]</f>
        <v>8</v>
      </c>
      <c r="BH138" t="str">
        <f t="shared" si="79"/>
        <v>Support</v>
      </c>
      <c r="BI138" s="32">
        <f t="shared" si="80"/>
        <v>1</v>
      </c>
    </row>
    <row r="139" spans="1:61" x14ac:dyDescent="0.45">
      <c r="A139" s="30">
        <f>step3_validation[[#This Row],[Persona_ID]]</f>
        <v>138</v>
      </c>
      <c r="B139" s="31">
        <f>step3_validation[[#This Row],[Used_Seed]]</f>
        <v>2163</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15.989699430852641</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8</v>
      </c>
      <c r="R139" t="str">
        <f t="shared" si="54"/>
        <v>Support</v>
      </c>
      <c r="S139">
        <f>survey_responses[[#This Row],[Tôi tin rằng với các quy định quản lý thuế hiện nay, hành vi gian lận hoặc trốn thuế sẽ dễ dàng bị phát hiện và xử lý nghiêm. - HUMAN-ENF1]]</f>
        <v>8</v>
      </c>
      <c r="T139" t="str">
        <f t="shared" si="55"/>
        <v>Support</v>
      </c>
      <c r="U139" s="32">
        <f t="shared" si="56"/>
        <v>0</v>
      </c>
      <c r="V139">
        <f>step3_validation[[#This Row],[AI_ENF2]]</f>
        <v>9</v>
      </c>
      <c r="W139" t="str">
        <f t="shared" si="57"/>
        <v>Support</v>
      </c>
      <c r="X139">
        <f>survey_responses[[#This Row],[Tôi tin rằng Nhà nước, cơ quan thuế có đủ khả năng và công nghệ để phát hiện, xử lý nghiêm các hành vi trốn thuế. - HUMAN-ENF2]]</f>
        <v>9</v>
      </c>
      <c r="Y139" t="str">
        <f t="shared" si="58"/>
        <v>Support</v>
      </c>
      <c r="Z139" s="32">
        <f t="shared" si="59"/>
        <v>0</v>
      </c>
      <c r="AA139">
        <f>step3_validation[[#This Row],[AI_FAC1]]</f>
        <v>10</v>
      </c>
      <c r="AB139" t="str">
        <f t="shared" si="60"/>
        <v>Support</v>
      </c>
      <c r="AC139">
        <f>survey_responses[[#This Row],[Các thủ tục khai báo thuế VÀ/HOẶC quy trình làm việc với cơ quan thuế đơn giản, tiện lợi, nhanh chóng hơn so với trước đây. - HUMAN-FAC1]]</f>
        <v>7</v>
      </c>
      <c r="AD139" t="str">
        <f t="shared" si="61"/>
        <v>Neutral</v>
      </c>
      <c r="AE139" s="32">
        <f t="shared" si="62"/>
        <v>3</v>
      </c>
      <c r="AF139">
        <f>step3_validation[[#This Row],[AI_FAC2]]</f>
        <v>9</v>
      </c>
      <c r="AG139" t="str">
        <f t="shared" si="63"/>
        <v>Support</v>
      </c>
      <c r="AH139">
        <f>survey_responses[[#This Row],[So với trước đây, tôi thấy cách tính thuế và các bậc thuế trong phương án mới đơn giản, dễ hiểu và dễ thực hiện hơn. - HUMAN-FAC2]]</f>
        <v>7</v>
      </c>
      <c r="AI139" t="str">
        <f t="shared" si="64"/>
        <v>Neutral</v>
      </c>
      <c r="AJ139" s="32">
        <f t="shared" si="65"/>
        <v>2</v>
      </c>
      <c r="AK139">
        <f>step3_validation[[#This Row],[AI_TRU1]]</f>
        <v>8</v>
      </c>
      <c r="AL139" t="str">
        <f t="shared" si="66"/>
        <v>Support</v>
      </c>
      <c r="AM139">
        <f>survey_responses[[#This Row],[Tôi tin rằng Nhà nước, cơ quan thuế sẽ thực thi chính sách mới một cách khách quan, công tâm và đối xử bình đẳng với mọi người nộp thuế.  - HUMAN-TRU1]]</f>
        <v>6</v>
      </c>
      <c r="AN139" t="str">
        <f t="shared" si="67"/>
        <v>Neutral</v>
      </c>
      <c r="AO139" s="32">
        <f t="shared" si="68"/>
        <v>2</v>
      </c>
      <c r="AP139">
        <f>step3_validation[[#This Row],[AI_TRU2]]</f>
        <v>9</v>
      </c>
      <c r="AQ139" t="str">
        <f t="shared" si="69"/>
        <v>Support</v>
      </c>
      <c r="AR139">
        <f>survey_responses[[#This Row],[Tôi thấy mức thuế tôi phải đóng theo phương án mới là công bằng (người thu nhập như tôi đóng mức này là hợp lý). - HUMAN-TRU2]]</f>
        <v>6</v>
      </c>
      <c r="AS139" t="str">
        <f t="shared" si="70"/>
        <v>Neutral</v>
      </c>
      <c r="AT139" s="32">
        <f t="shared" si="71"/>
        <v>3</v>
      </c>
      <c r="AU139">
        <f>step3_validation[[#This Row],[AI_TRU3]]</f>
        <v>8</v>
      </c>
      <c r="AV139" t="str">
        <f t="shared" si="72"/>
        <v>Support</v>
      </c>
      <c r="AW139">
        <f>survey_responses[[#This Row],[Tôi tin tưởng số tiền thuế tôi đóng sẽ được Nhà nước sử dụng hiệu quả để cải thiện dịch vụ công (y tế, đường xá...). - HUMAN-TRU3]]</f>
        <v>2</v>
      </c>
      <c r="AX139" t="str">
        <f t="shared" si="73"/>
        <v>Oppose</v>
      </c>
      <c r="AY139" s="32">
        <f t="shared" si="74"/>
        <v>6</v>
      </c>
      <c r="AZ139">
        <f>step3_validation[[#This Row],[AI_TRU4]]</f>
        <v>7</v>
      </c>
      <c r="BA139" t="str">
        <f t="shared" si="75"/>
        <v>Neutral</v>
      </c>
      <c r="BB139">
        <f>survey_responses[[#This Row],[Tôi thấy Nhà nước đã giải thích rõ ràng, minh bạch về lý do và mục tiêu của việc sửa đổi thuế lần này. - HUMAN-TRU4]]</f>
        <v>5</v>
      </c>
      <c r="BC139" t="str">
        <f t="shared" si="76"/>
        <v>Neutral</v>
      </c>
      <c r="BD139" s="32">
        <f t="shared" si="77"/>
        <v>2</v>
      </c>
      <c r="BE139">
        <f>step3_validation[[#This Row],[AI_OUT1]]</f>
        <v>8</v>
      </c>
      <c r="BF139" t="str">
        <f t="shared" si="78"/>
        <v>Support</v>
      </c>
      <c r="BG139">
        <f>survey_responses[[#This Row],[Sau khi xem xét các quyền lợi và nghĩa vụ, bạn có ủng hộ và tuân thủ chính sách mới hiện nay? - HUMAN-OUT1]]</f>
        <v>6</v>
      </c>
      <c r="BH139" t="str">
        <f t="shared" si="79"/>
        <v>Neutral</v>
      </c>
      <c r="BI139" s="32">
        <f t="shared" si="80"/>
        <v>2</v>
      </c>
    </row>
    <row r="140" spans="1:61" x14ac:dyDescent="0.45">
      <c r="A140" s="30">
        <f>step3_validation[[#This Row],[Persona_ID]]</f>
        <v>139</v>
      </c>
      <c r="B140" s="31">
        <f>step3_validation[[#This Row],[Used_Seed]]</f>
        <v>2164</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153.36402565950686</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7</v>
      </c>
      <c r="R140" t="str">
        <f t="shared" si="54"/>
        <v>Neutral</v>
      </c>
      <c r="S140">
        <f>survey_responses[[#This Row],[Tôi tin rằng với các quy định quản lý thuế hiện nay, hành vi gian lận hoặc trốn thuế sẽ dễ dàng bị phát hiện và xử lý nghiêm. - HUMAN-ENF1]]</f>
        <v>5</v>
      </c>
      <c r="T140" t="str">
        <f t="shared" si="55"/>
        <v>Neutral</v>
      </c>
      <c r="U140" s="32">
        <f t="shared" si="56"/>
        <v>2</v>
      </c>
      <c r="V140">
        <f>step3_validation[[#This Row],[AI_ENF2]]</f>
        <v>6</v>
      </c>
      <c r="W140" t="str">
        <f t="shared" si="57"/>
        <v>Neutral</v>
      </c>
      <c r="X140">
        <f>survey_responses[[#This Row],[Tôi tin rằng Nhà nước, cơ quan thuế có đủ khả năng và công nghệ để phát hiện, xử lý nghiêm các hành vi trốn thuế. - HUMAN-ENF2]]</f>
        <v>4</v>
      </c>
      <c r="Y140" t="str">
        <f t="shared" si="58"/>
        <v>Oppose</v>
      </c>
      <c r="Z140" s="32">
        <f t="shared" si="59"/>
        <v>2</v>
      </c>
      <c r="AA140">
        <f>step3_validation[[#This Row],[AI_FAC1]]</f>
        <v>8</v>
      </c>
      <c r="AB140" t="str">
        <f t="shared" si="60"/>
        <v>Support</v>
      </c>
      <c r="AC140">
        <f>survey_responses[[#This Row],[Các thủ tục khai báo thuế VÀ/HOẶC quy trình làm việc với cơ quan thuế đơn giản, tiện lợi, nhanh chóng hơn so với trước đây. - HUMAN-FAC1]]</f>
        <v>7</v>
      </c>
      <c r="AD140" t="str">
        <f t="shared" si="61"/>
        <v>Neutral</v>
      </c>
      <c r="AE140" s="32">
        <f t="shared" si="62"/>
        <v>1</v>
      </c>
      <c r="AF140">
        <f>step3_validation[[#This Row],[AI_FAC2]]</f>
        <v>9</v>
      </c>
      <c r="AG140" t="str">
        <f t="shared" si="63"/>
        <v>Support</v>
      </c>
      <c r="AH140">
        <f>survey_responses[[#This Row],[So với trước đây, tôi thấy cách tính thuế và các bậc thuế trong phương án mới đơn giản, dễ hiểu và dễ thực hiện hơn. - HUMAN-FAC2]]</f>
        <v>6</v>
      </c>
      <c r="AI140" t="str">
        <f t="shared" si="64"/>
        <v>Neutral</v>
      </c>
      <c r="AJ140" s="32">
        <f t="shared" si="65"/>
        <v>3</v>
      </c>
      <c r="AK140">
        <f>step3_validation[[#This Row],[AI_TRU1]]</f>
        <v>7</v>
      </c>
      <c r="AL140" t="str">
        <f t="shared" si="66"/>
        <v>Neutral</v>
      </c>
      <c r="AM140">
        <f>survey_responses[[#This Row],[Tôi tin rằng Nhà nước, cơ quan thuế sẽ thực thi chính sách mới một cách khách quan, công tâm và đối xử bình đẳng với mọi người nộp thuế.  - HUMAN-TRU1]]</f>
        <v>3</v>
      </c>
      <c r="AN140" t="str">
        <f t="shared" si="67"/>
        <v>Oppose</v>
      </c>
      <c r="AO140" s="32">
        <f t="shared" si="68"/>
        <v>4</v>
      </c>
      <c r="AP140">
        <f>step3_validation[[#This Row],[AI_TRU2]]</f>
        <v>8</v>
      </c>
      <c r="AQ140" t="str">
        <f t="shared" si="69"/>
        <v>Support</v>
      </c>
      <c r="AR140">
        <f>survey_responses[[#This Row],[Tôi thấy mức thuế tôi phải đóng theo phương án mới là công bằng (người thu nhập như tôi đóng mức này là hợp lý). - HUMAN-TRU2]]</f>
        <v>4</v>
      </c>
      <c r="AS140" t="str">
        <f t="shared" si="70"/>
        <v>Oppose</v>
      </c>
      <c r="AT140" s="32">
        <f t="shared" si="71"/>
        <v>4</v>
      </c>
      <c r="AU140">
        <f>step3_validation[[#This Row],[AI_TRU3]]</f>
        <v>6</v>
      </c>
      <c r="AV140" t="str">
        <f t="shared" si="72"/>
        <v>Neutral</v>
      </c>
      <c r="AW140">
        <f>survey_responses[[#This Row],[Tôi tin tưởng số tiền thuế tôi đóng sẽ được Nhà nước sử dụng hiệu quả để cải thiện dịch vụ công (y tế, đường xá...). - HUMAN-TRU3]]</f>
        <v>4</v>
      </c>
      <c r="AX140" t="str">
        <f t="shared" si="73"/>
        <v>Oppose</v>
      </c>
      <c r="AY140" s="32">
        <f t="shared" si="74"/>
        <v>2</v>
      </c>
      <c r="AZ140">
        <f>step3_validation[[#This Row],[AI_TRU4]]</f>
        <v>7</v>
      </c>
      <c r="BA140" t="str">
        <f t="shared" si="75"/>
        <v>Neutral</v>
      </c>
      <c r="BB140">
        <f>survey_responses[[#This Row],[Tôi thấy Nhà nước đã giải thích rõ ràng, minh bạch về lý do và mục tiêu của việc sửa đổi thuế lần này. - HUMAN-TRU4]]</f>
        <v>5</v>
      </c>
      <c r="BC140" t="str">
        <f t="shared" si="76"/>
        <v>Neutral</v>
      </c>
      <c r="BD140" s="32">
        <f t="shared" si="77"/>
        <v>2</v>
      </c>
      <c r="BE140">
        <f>step3_validation[[#This Row],[AI_OUT1]]</f>
        <v>9</v>
      </c>
      <c r="BF140" t="str">
        <f t="shared" si="78"/>
        <v>Support</v>
      </c>
      <c r="BG140">
        <f>survey_responses[[#This Row],[Sau khi xem xét các quyền lợi và nghĩa vụ, bạn có ủng hộ và tuân thủ chính sách mới hiện nay? - HUMAN-OUT1]]</f>
        <v>5</v>
      </c>
      <c r="BH140" t="str">
        <f t="shared" si="79"/>
        <v>Neutral</v>
      </c>
      <c r="BI140" s="32">
        <f t="shared" si="80"/>
        <v>4</v>
      </c>
    </row>
    <row r="141" spans="1:61" x14ac:dyDescent="0.45">
      <c r="A141" s="30">
        <f>step3_validation[[#This Row],[Persona_ID]]</f>
        <v>140</v>
      </c>
      <c r="B141" s="31">
        <f>step3_validation[[#This Row],[Used_Seed]]</f>
        <v>2165</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29.509981072435291</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5</v>
      </c>
      <c r="R141" t="str">
        <f t="shared" si="54"/>
        <v>Neutral</v>
      </c>
      <c r="S141">
        <f>survey_responses[[#This Row],[Tôi tin rằng với các quy định quản lý thuế hiện nay, hành vi gian lận hoặc trốn thuế sẽ dễ dàng bị phát hiện và xử lý nghiêm. - HUMAN-ENF1]]</f>
        <v>10</v>
      </c>
      <c r="T141" t="str">
        <f t="shared" si="55"/>
        <v>Support</v>
      </c>
      <c r="U141" s="32">
        <f t="shared" si="56"/>
        <v>5</v>
      </c>
      <c r="V141">
        <f>step3_validation[[#This Row],[AI_ENF2]]</f>
        <v>6</v>
      </c>
      <c r="W141" t="str">
        <f t="shared" si="57"/>
        <v>Neutral</v>
      </c>
      <c r="X141">
        <f>survey_responses[[#This Row],[Tôi tin rằng Nhà nước, cơ quan thuế có đủ khả năng và công nghệ để phát hiện, xử lý nghiêm các hành vi trốn thuế. - HUMAN-ENF2]]</f>
        <v>9</v>
      </c>
      <c r="Y141" t="str">
        <f t="shared" si="58"/>
        <v>Support</v>
      </c>
      <c r="Z141" s="32">
        <f t="shared" si="59"/>
        <v>3</v>
      </c>
      <c r="AA141">
        <f>step3_validation[[#This Row],[AI_FAC1]]</f>
        <v>8</v>
      </c>
      <c r="AB141" t="str">
        <f t="shared" si="60"/>
        <v>Support</v>
      </c>
      <c r="AC141">
        <f>survey_responses[[#This Row],[Các thủ tục khai báo thuế VÀ/HOẶC quy trình làm việc với cơ quan thuế đơn giản, tiện lợi, nhanh chóng hơn so với trước đây. - HUMAN-FAC1]]</f>
        <v>9</v>
      </c>
      <c r="AD141" t="str">
        <f t="shared" si="61"/>
        <v>Support</v>
      </c>
      <c r="AE141" s="32">
        <f t="shared" si="62"/>
        <v>1</v>
      </c>
      <c r="AF141">
        <f>step3_validation[[#This Row],[AI_FAC2]]</f>
        <v>9</v>
      </c>
      <c r="AG141" t="str">
        <f t="shared" si="63"/>
        <v>Support</v>
      </c>
      <c r="AH141">
        <f>survey_responses[[#This Row],[So với trước đây, tôi thấy cách tính thuế và các bậc thuế trong phương án mới đơn giản, dễ hiểu và dễ thực hiện hơn. - HUMAN-FAC2]]</f>
        <v>9</v>
      </c>
      <c r="AI141" t="str">
        <f t="shared" si="64"/>
        <v>Support</v>
      </c>
      <c r="AJ141" s="32">
        <f t="shared" si="65"/>
        <v>0</v>
      </c>
      <c r="AK141">
        <f>step3_validation[[#This Row],[AI_TRU1]]</f>
        <v>7</v>
      </c>
      <c r="AL141" t="str">
        <f t="shared" si="66"/>
        <v>Neutral</v>
      </c>
      <c r="AM141">
        <f>survey_responses[[#This Row],[Tôi tin rằng Nhà nước, cơ quan thuế sẽ thực thi chính sách mới một cách khách quan, công tâm và đối xử bình đẳng với mọi người nộp thuế.  - HUMAN-TRU1]]</f>
        <v>8</v>
      </c>
      <c r="AN141" t="str">
        <f t="shared" si="67"/>
        <v>Support</v>
      </c>
      <c r="AO141" s="32">
        <f t="shared" si="68"/>
        <v>1</v>
      </c>
      <c r="AP141">
        <f>step3_validation[[#This Row],[AI_TRU2]]</f>
        <v>8</v>
      </c>
      <c r="AQ141" t="str">
        <f t="shared" si="69"/>
        <v>Support</v>
      </c>
      <c r="AR141">
        <f>survey_responses[[#This Row],[Tôi thấy mức thuế tôi phải đóng theo phương án mới là công bằng (người thu nhập như tôi đóng mức này là hợp lý). - HUMAN-TRU2]]</f>
        <v>8</v>
      </c>
      <c r="AS141" t="str">
        <f t="shared" si="70"/>
        <v>Support</v>
      </c>
      <c r="AT141" s="32">
        <f t="shared" si="71"/>
        <v>0</v>
      </c>
      <c r="AU141">
        <f>step3_validation[[#This Row],[AI_TRU3]]</f>
        <v>6</v>
      </c>
      <c r="AV141" t="str">
        <f t="shared" si="72"/>
        <v>Neutral</v>
      </c>
      <c r="AW141">
        <f>survey_responses[[#This Row],[Tôi tin tưởng số tiền thuế tôi đóng sẽ được Nhà nước sử dụng hiệu quả để cải thiện dịch vụ công (y tế, đường xá...). - HUMAN-TRU3]]</f>
        <v>8</v>
      </c>
      <c r="AX141" t="str">
        <f t="shared" si="73"/>
        <v>Support</v>
      </c>
      <c r="AY141" s="32">
        <f t="shared" si="74"/>
        <v>2</v>
      </c>
      <c r="AZ141">
        <f>step3_validation[[#This Row],[AI_TRU4]]</f>
        <v>7</v>
      </c>
      <c r="BA141" t="str">
        <f t="shared" si="75"/>
        <v>Neutral</v>
      </c>
      <c r="BB141">
        <f>survey_responses[[#This Row],[Tôi thấy Nhà nước đã giải thích rõ ràng, minh bạch về lý do và mục tiêu của việc sửa đổi thuế lần này. - HUMAN-TRU4]]</f>
        <v>8</v>
      </c>
      <c r="BC141" t="str">
        <f t="shared" si="76"/>
        <v>Support</v>
      </c>
      <c r="BD141" s="32">
        <f t="shared" si="77"/>
        <v>1</v>
      </c>
      <c r="BE141">
        <f>step3_validation[[#This Row],[AI_OUT1]]</f>
        <v>9</v>
      </c>
      <c r="BF141" t="str">
        <f t="shared" si="78"/>
        <v>Support</v>
      </c>
      <c r="BG141">
        <f>survey_responses[[#This Row],[Sau khi xem xét các quyền lợi và nghĩa vụ, bạn có ủng hộ và tuân thủ chính sách mới hiện nay? - HUMAN-OUT1]]</f>
        <v>10</v>
      </c>
      <c r="BH141" t="str">
        <f t="shared" si="79"/>
        <v>Support</v>
      </c>
      <c r="BI141" s="32">
        <f t="shared" si="80"/>
        <v>1</v>
      </c>
    </row>
    <row r="142" spans="1:61" x14ac:dyDescent="0.45">
      <c r="A142" s="30">
        <f>step3_validation[[#This Row],[Persona_ID]]</f>
        <v>141</v>
      </c>
      <c r="B142" s="31">
        <f>step3_validation[[#This Row],[Used_Seed]]</f>
        <v>2166</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25.441347630755921</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7</v>
      </c>
      <c r="R142" t="str">
        <f t="shared" si="54"/>
        <v>Neutral</v>
      </c>
      <c r="S142">
        <f>survey_responses[[#This Row],[Tôi tin rằng với các quy định quản lý thuế hiện nay, hành vi gian lận hoặc trốn thuế sẽ dễ dàng bị phát hiện và xử lý nghiêm. - HUMAN-ENF1]]</f>
        <v>8</v>
      </c>
      <c r="T142" t="str">
        <f t="shared" si="55"/>
        <v>Support</v>
      </c>
      <c r="U142" s="32">
        <f t="shared" si="56"/>
        <v>1</v>
      </c>
      <c r="V142">
        <f>step3_validation[[#This Row],[AI_ENF2]]</f>
        <v>8</v>
      </c>
      <c r="W142" t="str">
        <f t="shared" si="57"/>
        <v>Support</v>
      </c>
      <c r="X142">
        <f>survey_responses[[#This Row],[Tôi tin rằng Nhà nước, cơ quan thuế có đủ khả năng và công nghệ để phát hiện, xử lý nghiêm các hành vi trốn thuế. - HUMAN-ENF2]]</f>
        <v>7</v>
      </c>
      <c r="Y142" t="str">
        <f t="shared" si="58"/>
        <v>Neutral</v>
      </c>
      <c r="Z142" s="32">
        <f t="shared" si="59"/>
        <v>1</v>
      </c>
      <c r="AA142">
        <f>step3_validation[[#This Row],[AI_FAC1]]</f>
        <v>9</v>
      </c>
      <c r="AB142" t="str">
        <f t="shared" si="60"/>
        <v>Support</v>
      </c>
      <c r="AC142">
        <f>survey_responses[[#This Row],[Các thủ tục khai báo thuế VÀ/HOẶC quy trình làm việc với cơ quan thuế đơn giản, tiện lợi, nhanh chóng hơn so với trước đây. - HUMAN-FAC1]]</f>
        <v>6</v>
      </c>
      <c r="AD142" t="str">
        <f t="shared" si="61"/>
        <v>Neutral</v>
      </c>
      <c r="AE142" s="32">
        <f t="shared" si="62"/>
        <v>3</v>
      </c>
      <c r="AF142">
        <f>step3_validation[[#This Row],[AI_FAC2]]</f>
        <v>10</v>
      </c>
      <c r="AG142" t="str">
        <f t="shared" si="63"/>
        <v>Support</v>
      </c>
      <c r="AH142">
        <f>survey_responses[[#This Row],[So với trước đây, tôi thấy cách tính thuế và các bậc thuế trong phương án mới đơn giản, dễ hiểu và dễ thực hiện hơn. - HUMAN-FAC2]]</f>
        <v>6</v>
      </c>
      <c r="AI142" t="str">
        <f t="shared" si="64"/>
        <v>Neutral</v>
      </c>
      <c r="AJ142" s="32">
        <f t="shared" si="65"/>
        <v>4</v>
      </c>
      <c r="AK142">
        <f>step3_validation[[#This Row],[AI_TRU1]]</f>
        <v>8</v>
      </c>
      <c r="AL142" t="str">
        <f t="shared" si="66"/>
        <v>Support</v>
      </c>
      <c r="AM142">
        <f>survey_responses[[#This Row],[Tôi tin rằng Nhà nước, cơ quan thuế sẽ thực thi chính sách mới một cách khách quan, công tâm và đối xử bình đẳng với mọi người nộp thuế.  - HUMAN-TRU1]]</f>
        <v>5</v>
      </c>
      <c r="AN142" t="str">
        <f t="shared" si="67"/>
        <v>Neutral</v>
      </c>
      <c r="AO142" s="32">
        <f t="shared" si="68"/>
        <v>3</v>
      </c>
      <c r="AP142">
        <f>step3_validation[[#This Row],[AI_TRU2]]</f>
        <v>9</v>
      </c>
      <c r="AQ142" t="str">
        <f t="shared" si="69"/>
        <v>Support</v>
      </c>
      <c r="AR142">
        <f>survey_responses[[#This Row],[Tôi thấy mức thuế tôi phải đóng theo phương án mới là công bằng (người thu nhập như tôi đóng mức này là hợp lý). - HUMAN-TRU2]]</f>
        <v>5</v>
      </c>
      <c r="AS142" t="str">
        <f t="shared" si="70"/>
        <v>Neutral</v>
      </c>
      <c r="AT142" s="32">
        <f t="shared" si="71"/>
        <v>4</v>
      </c>
      <c r="AU142">
        <f>step3_validation[[#This Row],[AI_TRU3]]</f>
        <v>8</v>
      </c>
      <c r="AV142" t="str">
        <f t="shared" si="72"/>
        <v>Support</v>
      </c>
      <c r="AW142">
        <f>survey_responses[[#This Row],[Tôi tin tưởng số tiền thuế tôi đóng sẽ được Nhà nước sử dụng hiệu quả để cải thiện dịch vụ công (y tế, đường xá...). - HUMAN-TRU3]]</f>
        <v>3</v>
      </c>
      <c r="AX142" t="str">
        <f t="shared" si="73"/>
        <v>Oppose</v>
      </c>
      <c r="AY142" s="32">
        <f t="shared" si="74"/>
        <v>5</v>
      </c>
      <c r="AZ142">
        <f>step3_validation[[#This Row],[AI_TRU4]]</f>
        <v>9</v>
      </c>
      <c r="BA142" t="str">
        <f t="shared" si="75"/>
        <v>Support</v>
      </c>
      <c r="BB142">
        <f>survey_responses[[#This Row],[Tôi thấy Nhà nước đã giải thích rõ ràng, minh bạch về lý do và mục tiêu của việc sửa đổi thuế lần này. - HUMAN-TRU4]]</f>
        <v>3</v>
      </c>
      <c r="BC142" t="str">
        <f t="shared" si="76"/>
        <v>Oppose</v>
      </c>
      <c r="BD142" s="32">
        <f t="shared" si="77"/>
        <v>6</v>
      </c>
      <c r="BE142">
        <f>step3_validation[[#This Row],[AI_OUT1]]</f>
        <v>10</v>
      </c>
      <c r="BF142" t="str">
        <f t="shared" si="78"/>
        <v>Support</v>
      </c>
      <c r="BG142">
        <f>survey_responses[[#This Row],[Sau khi xem xét các quyền lợi và nghĩa vụ, bạn có ủng hộ và tuân thủ chính sách mới hiện nay? - HUMAN-OUT1]]</f>
        <v>5</v>
      </c>
      <c r="BH142" t="str">
        <f t="shared" si="79"/>
        <v>Neutral</v>
      </c>
      <c r="BI142" s="32">
        <f t="shared" si="80"/>
        <v>5</v>
      </c>
    </row>
    <row r="143" spans="1:61" x14ac:dyDescent="0.45">
      <c r="A143" s="30">
        <f>step3_validation[[#This Row],[Persona_ID]]</f>
        <v>142</v>
      </c>
      <c r="B143" s="31">
        <f>step3_validation[[#This Row],[Used_Seed]]</f>
        <v>2167</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7</v>
      </c>
      <c r="R143" t="str">
        <f t="shared" si="54"/>
        <v>Neutral</v>
      </c>
      <c r="S143">
        <f>survey_responses[[#This Row],[Tôi tin rằng với các quy định quản lý thuế hiện nay, hành vi gian lận hoặc trốn thuế sẽ dễ dàng bị phát hiện và xử lý nghiêm. - HUMAN-ENF1]]</f>
        <v>5</v>
      </c>
      <c r="T143" t="str">
        <f t="shared" si="55"/>
        <v>Neutral</v>
      </c>
      <c r="U143" s="32">
        <f t="shared" si="56"/>
        <v>2</v>
      </c>
      <c r="V143">
        <f>step3_validation[[#This Row],[AI_ENF2]]</f>
        <v>6</v>
      </c>
      <c r="W143" t="str">
        <f t="shared" si="57"/>
        <v>Neutral</v>
      </c>
      <c r="X143">
        <f>survey_responses[[#This Row],[Tôi tin rằng Nhà nước, cơ quan thuế có đủ khả năng và công nghệ để phát hiện, xử lý nghiêm các hành vi trốn thuế. - HUMAN-ENF2]]</f>
        <v>6</v>
      </c>
      <c r="Y143" t="str">
        <f t="shared" si="58"/>
        <v>Neutral</v>
      </c>
      <c r="Z143" s="32">
        <f t="shared" si="59"/>
        <v>0</v>
      </c>
      <c r="AA143">
        <f>step3_validation[[#This Row],[AI_FAC1]]</f>
        <v>8</v>
      </c>
      <c r="AB143" t="str">
        <f t="shared" si="60"/>
        <v>Support</v>
      </c>
      <c r="AC143">
        <f>survey_responses[[#This Row],[Các thủ tục khai báo thuế VÀ/HOẶC quy trình làm việc với cơ quan thuế đơn giản, tiện lợi, nhanh chóng hơn so với trước đây. - HUMAN-FAC1]]</f>
        <v>5</v>
      </c>
      <c r="AD143" t="str">
        <f t="shared" si="61"/>
        <v>Neutral</v>
      </c>
      <c r="AE143" s="32">
        <f t="shared" si="62"/>
        <v>3</v>
      </c>
      <c r="AF143">
        <f>step3_validation[[#This Row],[AI_FAC2]]</f>
        <v>9</v>
      </c>
      <c r="AG143" t="str">
        <f t="shared" si="63"/>
        <v>Support</v>
      </c>
      <c r="AH143">
        <f>survey_responses[[#This Row],[So với trước đây, tôi thấy cách tính thuế và các bậc thuế trong phương án mới đơn giản, dễ hiểu và dễ thực hiện hơn. - HUMAN-FAC2]]</f>
        <v>7</v>
      </c>
      <c r="AI143" t="str">
        <f t="shared" si="64"/>
        <v>Neutral</v>
      </c>
      <c r="AJ143" s="32">
        <f t="shared" si="65"/>
        <v>2</v>
      </c>
      <c r="AK143">
        <f>step3_validation[[#This Row],[AI_TRU1]]</f>
        <v>7</v>
      </c>
      <c r="AL143" t="str">
        <f t="shared" si="66"/>
        <v>Neutral</v>
      </c>
      <c r="AM143">
        <f>survey_responses[[#This Row],[Tôi tin rằng Nhà nước, cơ quan thuế sẽ thực thi chính sách mới một cách khách quan, công tâm và đối xử bình đẳng với mọi người nộp thuế.  - HUMAN-TRU1]]</f>
        <v>6</v>
      </c>
      <c r="AN143" t="str">
        <f t="shared" si="67"/>
        <v>Neutral</v>
      </c>
      <c r="AO143" s="32">
        <f t="shared" si="68"/>
        <v>1</v>
      </c>
      <c r="AP143">
        <f>step3_validation[[#This Row],[AI_TRU2]]</f>
        <v>8</v>
      </c>
      <c r="AQ143" t="str">
        <f t="shared" si="69"/>
        <v>Support</v>
      </c>
      <c r="AR143">
        <f>survey_responses[[#This Row],[Tôi thấy mức thuế tôi phải đóng theo phương án mới là công bằng (người thu nhập như tôi đóng mức này là hợp lý). - HUMAN-TRU2]]</f>
        <v>6</v>
      </c>
      <c r="AS143" t="str">
        <f t="shared" si="70"/>
        <v>Neutral</v>
      </c>
      <c r="AT143" s="32">
        <f t="shared" si="71"/>
        <v>2</v>
      </c>
      <c r="AU143">
        <f>step3_validation[[#This Row],[AI_TRU3]]</f>
        <v>6</v>
      </c>
      <c r="AV143" t="str">
        <f t="shared" si="72"/>
        <v>Neutral</v>
      </c>
      <c r="AW143">
        <f>survey_responses[[#This Row],[Tôi tin tưởng số tiền thuế tôi đóng sẽ được Nhà nước sử dụng hiệu quả để cải thiện dịch vụ công (y tế, đường xá...). - HUMAN-TRU3]]</f>
        <v>6</v>
      </c>
      <c r="AX143" t="str">
        <f t="shared" si="73"/>
        <v>Neutral</v>
      </c>
      <c r="AY143" s="32">
        <f t="shared" si="74"/>
        <v>0</v>
      </c>
      <c r="AZ143">
        <f>step3_validation[[#This Row],[AI_TRU4]]</f>
        <v>9</v>
      </c>
      <c r="BA143" t="str">
        <f t="shared" si="75"/>
        <v>Support</v>
      </c>
      <c r="BB143">
        <f>survey_responses[[#This Row],[Tôi thấy Nhà nước đã giải thích rõ ràng, minh bạch về lý do và mục tiêu của việc sửa đổi thuế lần này. - HUMAN-TRU4]]</f>
        <v>7</v>
      </c>
      <c r="BC143" t="str">
        <f t="shared" si="76"/>
        <v>Neutral</v>
      </c>
      <c r="BD143" s="32">
        <f t="shared" si="77"/>
        <v>2</v>
      </c>
      <c r="BE143">
        <f>step3_validation[[#This Row],[AI_OUT1]]</f>
        <v>8</v>
      </c>
      <c r="BF143" t="str">
        <f t="shared" si="78"/>
        <v>Support</v>
      </c>
      <c r="BG143">
        <f>survey_responses[[#This Row],[Sau khi xem xét các quyền lợi và nghĩa vụ, bạn có ủng hộ và tuân thủ chính sách mới hiện nay? - HUMAN-OUT1]]</f>
        <v>7</v>
      </c>
      <c r="BH143" t="str">
        <f t="shared" si="79"/>
        <v>Neutral</v>
      </c>
      <c r="BI143" s="32">
        <f t="shared" si="80"/>
        <v>1</v>
      </c>
    </row>
    <row r="144" spans="1:61" x14ac:dyDescent="0.45">
      <c r="A144" s="30">
        <f>step3_validation[[#This Row],[Persona_ID]]</f>
        <v>143</v>
      </c>
      <c r="B144" s="31">
        <f>step3_validation[[#This Row],[Used_Seed]]</f>
        <v>2168</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178.2528981815465</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7</v>
      </c>
      <c r="R144" t="str">
        <f t="shared" si="54"/>
        <v>Neutral</v>
      </c>
      <c r="S144">
        <f>survey_responses[[#This Row],[Tôi tin rằng với các quy định quản lý thuế hiện nay, hành vi gian lận hoặc trốn thuế sẽ dễ dàng bị phát hiện và xử lý nghiêm. - HUMAN-ENF1]]</f>
        <v>1</v>
      </c>
      <c r="T144" t="str">
        <f t="shared" si="55"/>
        <v>Oppose</v>
      </c>
      <c r="U144" s="32">
        <f t="shared" si="56"/>
        <v>6</v>
      </c>
      <c r="V144">
        <f>step3_validation[[#This Row],[AI_ENF2]]</f>
        <v>8</v>
      </c>
      <c r="W144" t="str">
        <f t="shared" si="57"/>
        <v>Support</v>
      </c>
      <c r="X144">
        <f>survey_responses[[#This Row],[Tôi tin rằng Nhà nước, cơ quan thuế có đủ khả năng và công nghệ để phát hiện, xử lý nghiêm các hành vi trốn thuế. - HUMAN-ENF2]]</f>
        <v>1</v>
      </c>
      <c r="Y144" t="str">
        <f t="shared" si="58"/>
        <v>Oppose</v>
      </c>
      <c r="Z144" s="32">
        <f t="shared" si="59"/>
        <v>7</v>
      </c>
      <c r="AA144">
        <f>step3_validation[[#This Row],[AI_FAC1]]</f>
        <v>6</v>
      </c>
      <c r="AB144" t="str">
        <f t="shared" si="60"/>
        <v>Neutral</v>
      </c>
      <c r="AC144">
        <f>survey_responses[[#This Row],[Các thủ tục khai báo thuế VÀ/HOẶC quy trình làm việc với cơ quan thuế đơn giản, tiện lợi, nhanh chóng hơn so với trước đây. - HUMAN-FAC1]]</f>
        <v>8</v>
      </c>
      <c r="AD144" t="str">
        <f t="shared" si="61"/>
        <v>Support</v>
      </c>
      <c r="AE144" s="32">
        <f t="shared" si="62"/>
        <v>2</v>
      </c>
      <c r="AF144">
        <f>step3_validation[[#This Row],[AI_FAC2]]</f>
        <v>9</v>
      </c>
      <c r="AG144" t="str">
        <f t="shared" si="63"/>
        <v>Support</v>
      </c>
      <c r="AH144">
        <f>survey_responses[[#This Row],[So với trước đây, tôi thấy cách tính thuế và các bậc thuế trong phương án mới đơn giản, dễ hiểu và dễ thực hiện hơn. - HUMAN-FAC2]]</f>
        <v>8</v>
      </c>
      <c r="AI144" t="str">
        <f t="shared" si="64"/>
        <v>Support</v>
      </c>
      <c r="AJ144" s="32">
        <f t="shared" si="65"/>
        <v>1</v>
      </c>
      <c r="AK144">
        <f>step3_validation[[#This Row],[AI_TRU1]]</f>
        <v>7</v>
      </c>
      <c r="AL144" t="str">
        <f t="shared" si="66"/>
        <v>Neutral</v>
      </c>
      <c r="AM144">
        <f>survey_responses[[#This Row],[Tôi tin rằng Nhà nước, cơ quan thuế sẽ thực thi chính sách mới một cách khách quan, công tâm và đối xử bình đẳng với mọi người nộp thuế.  - HUMAN-TRU1]]</f>
        <v>8</v>
      </c>
      <c r="AN144" t="str">
        <f t="shared" si="67"/>
        <v>Support</v>
      </c>
      <c r="AO144" s="32">
        <f t="shared" si="68"/>
        <v>1</v>
      </c>
      <c r="AP144">
        <f>step3_validation[[#This Row],[AI_TRU2]]</f>
        <v>8</v>
      </c>
      <c r="AQ144" t="str">
        <f t="shared" si="69"/>
        <v>Support</v>
      </c>
      <c r="AR144">
        <f>survey_responses[[#This Row],[Tôi thấy mức thuế tôi phải đóng theo phương án mới là công bằng (người thu nhập như tôi đóng mức này là hợp lý). - HUMAN-TRU2]]</f>
        <v>8</v>
      </c>
      <c r="AS144" t="str">
        <f t="shared" si="70"/>
        <v>Support</v>
      </c>
      <c r="AT144" s="32">
        <f t="shared" si="71"/>
        <v>0</v>
      </c>
      <c r="AU144">
        <f>step3_validation[[#This Row],[AI_TRU3]]</f>
        <v>7</v>
      </c>
      <c r="AV144" t="str">
        <f t="shared" si="72"/>
        <v>Neutral</v>
      </c>
      <c r="AW144">
        <f>survey_responses[[#This Row],[Tôi tin tưởng số tiền thuế tôi đóng sẽ được Nhà nước sử dụng hiệu quả để cải thiện dịch vụ công (y tế, đường xá...). - HUMAN-TRU3]]</f>
        <v>8</v>
      </c>
      <c r="AX144" t="str">
        <f t="shared" si="73"/>
        <v>Support</v>
      </c>
      <c r="AY144" s="32">
        <f t="shared" si="74"/>
        <v>1</v>
      </c>
      <c r="AZ144">
        <f>step3_validation[[#This Row],[AI_TRU4]]</f>
        <v>6</v>
      </c>
      <c r="BA144" t="str">
        <f t="shared" si="75"/>
        <v>Neutral</v>
      </c>
      <c r="BB144">
        <f>survey_responses[[#This Row],[Tôi thấy Nhà nước đã giải thích rõ ràng, minh bạch về lý do và mục tiêu của việc sửa đổi thuế lần này. - HUMAN-TRU4]]</f>
        <v>8</v>
      </c>
      <c r="BC144" t="str">
        <f t="shared" si="76"/>
        <v>Support</v>
      </c>
      <c r="BD144" s="32">
        <f t="shared" si="77"/>
        <v>2</v>
      </c>
      <c r="BE144">
        <f>step3_validation[[#This Row],[AI_OUT1]]</f>
        <v>8</v>
      </c>
      <c r="BF144" t="str">
        <f t="shared" si="78"/>
        <v>Support</v>
      </c>
      <c r="BG144">
        <f>survey_responses[[#This Row],[Sau khi xem xét các quyền lợi và nghĩa vụ, bạn có ủng hộ và tuân thủ chính sách mới hiện nay? - HUMAN-OUT1]]</f>
        <v>8</v>
      </c>
      <c r="BH144" t="str">
        <f t="shared" si="79"/>
        <v>Support</v>
      </c>
      <c r="BI144" s="32">
        <f t="shared" si="80"/>
        <v>0</v>
      </c>
    </row>
    <row r="145" spans="1:61" x14ac:dyDescent="0.45">
      <c r="A145" s="30">
        <f>step3_validation[[#This Row],[Persona_ID]]</f>
        <v>144</v>
      </c>
      <c r="B145" s="31">
        <f>step3_validation[[#This Row],[Used_Seed]]</f>
        <v>2169</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65.292130954642033</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9</v>
      </c>
      <c r="R145" t="str">
        <f t="shared" si="54"/>
        <v>Support</v>
      </c>
      <c r="S145">
        <f>survey_responses[[#This Row],[Tôi tin rằng với các quy định quản lý thuế hiện nay, hành vi gian lận hoặc trốn thuế sẽ dễ dàng bị phát hiện và xử lý nghiêm. - HUMAN-ENF1]]</f>
        <v>9</v>
      </c>
      <c r="T145" t="str">
        <f t="shared" si="55"/>
        <v>Support</v>
      </c>
      <c r="U145" s="32">
        <f t="shared" si="56"/>
        <v>0</v>
      </c>
      <c r="V145">
        <f>step3_validation[[#This Row],[AI_ENF2]]</f>
        <v>8</v>
      </c>
      <c r="W145" t="str">
        <f t="shared" si="57"/>
        <v>Support</v>
      </c>
      <c r="X145">
        <f>survey_responses[[#This Row],[Tôi tin rằng Nhà nước, cơ quan thuế có đủ khả năng và công nghệ để phát hiện, xử lý nghiêm các hành vi trốn thuế. - HUMAN-ENF2]]</f>
        <v>9</v>
      </c>
      <c r="Y145" t="str">
        <f t="shared" si="58"/>
        <v>Support</v>
      </c>
      <c r="Z145" s="32">
        <f t="shared" si="59"/>
        <v>1</v>
      </c>
      <c r="AA145">
        <f>step3_validation[[#This Row],[AI_FAC1]]</f>
        <v>8</v>
      </c>
      <c r="AB145" t="str">
        <f t="shared" si="60"/>
        <v>Support</v>
      </c>
      <c r="AC145">
        <f>survey_responses[[#This Row],[Các thủ tục khai báo thuế VÀ/HOẶC quy trình làm việc với cơ quan thuế đơn giản, tiện lợi, nhanh chóng hơn so với trước đây. - HUMAN-FAC1]]</f>
        <v>9</v>
      </c>
      <c r="AD145" t="str">
        <f t="shared" si="61"/>
        <v>Support</v>
      </c>
      <c r="AE145" s="32">
        <f t="shared" si="62"/>
        <v>1</v>
      </c>
      <c r="AF145">
        <f>step3_validation[[#This Row],[AI_FAC2]]</f>
        <v>8</v>
      </c>
      <c r="AG145" t="str">
        <f t="shared" si="63"/>
        <v>Support</v>
      </c>
      <c r="AH145">
        <f>survey_responses[[#This Row],[So với trước đây, tôi thấy cách tính thuế và các bậc thuế trong phương án mới đơn giản, dễ hiểu và dễ thực hiện hơn. - HUMAN-FAC2]]</f>
        <v>9</v>
      </c>
      <c r="AI145" t="str">
        <f t="shared" si="64"/>
        <v>Support</v>
      </c>
      <c r="AJ145" s="32">
        <f t="shared" si="65"/>
        <v>1</v>
      </c>
      <c r="AK145">
        <f>step3_validation[[#This Row],[AI_TRU1]]</f>
        <v>9</v>
      </c>
      <c r="AL145" t="str">
        <f t="shared" si="66"/>
        <v>Support</v>
      </c>
      <c r="AM145">
        <f>survey_responses[[#This Row],[Tôi tin rằng Nhà nước, cơ quan thuế sẽ thực thi chính sách mới một cách khách quan, công tâm và đối xử bình đẳng với mọi người nộp thuế.  - HUMAN-TRU1]]</f>
        <v>10</v>
      </c>
      <c r="AN145" t="str">
        <f t="shared" si="67"/>
        <v>Support</v>
      </c>
      <c r="AO145" s="32">
        <f t="shared" si="68"/>
        <v>1</v>
      </c>
      <c r="AP145">
        <f>step3_validation[[#This Row],[AI_TRU2]]</f>
        <v>8</v>
      </c>
      <c r="AQ145" t="str">
        <f t="shared" si="69"/>
        <v>Support</v>
      </c>
      <c r="AR145">
        <f>survey_responses[[#This Row],[Tôi thấy mức thuế tôi phải đóng theo phương án mới là công bằng (người thu nhập như tôi đóng mức này là hợp lý). - HUMAN-TRU2]]</f>
        <v>5</v>
      </c>
      <c r="AS145" t="str">
        <f t="shared" si="70"/>
        <v>Neutral</v>
      </c>
      <c r="AT145" s="32">
        <f t="shared" si="71"/>
        <v>3</v>
      </c>
      <c r="AU145">
        <f>step3_validation[[#This Row],[AI_TRU3]]</f>
        <v>9</v>
      </c>
      <c r="AV145" t="str">
        <f t="shared" si="72"/>
        <v>Support</v>
      </c>
      <c r="AW145">
        <f>survey_responses[[#This Row],[Tôi tin tưởng số tiền thuế tôi đóng sẽ được Nhà nước sử dụng hiệu quả để cải thiện dịch vụ công (y tế, đường xá...). - HUMAN-TRU3]]</f>
        <v>9</v>
      </c>
      <c r="AX145" t="str">
        <f t="shared" si="73"/>
        <v>Support</v>
      </c>
      <c r="AY145" s="32">
        <f t="shared" si="74"/>
        <v>0</v>
      </c>
      <c r="AZ145">
        <f>step3_validation[[#This Row],[AI_TRU4]]</f>
        <v>8</v>
      </c>
      <c r="BA145" t="str">
        <f t="shared" si="75"/>
        <v>Support</v>
      </c>
      <c r="BB145">
        <f>survey_responses[[#This Row],[Tôi thấy Nhà nước đã giải thích rõ ràng, minh bạch về lý do và mục tiêu của việc sửa đổi thuế lần này. - HUMAN-TRU4]]</f>
        <v>9</v>
      </c>
      <c r="BC145" t="str">
        <f t="shared" si="76"/>
        <v>Support</v>
      </c>
      <c r="BD145" s="32">
        <f t="shared" si="77"/>
        <v>1</v>
      </c>
      <c r="BE145">
        <f>step3_validation[[#This Row],[AI_OUT1]]</f>
        <v>9</v>
      </c>
      <c r="BF145" t="str">
        <f t="shared" si="78"/>
        <v>Support</v>
      </c>
      <c r="BG145">
        <f>survey_responses[[#This Row],[Sau khi xem xét các quyền lợi và nghĩa vụ, bạn có ủng hộ và tuân thủ chính sách mới hiện nay? - HUMAN-OUT1]]</f>
        <v>10</v>
      </c>
      <c r="BH145" t="str">
        <f t="shared" si="79"/>
        <v>Support</v>
      </c>
      <c r="BI145" s="32">
        <f t="shared" si="80"/>
        <v>1</v>
      </c>
    </row>
    <row r="146" spans="1:61" x14ac:dyDescent="0.45">
      <c r="A146" s="30">
        <f>step3_validation[[#This Row],[Persona_ID]]</f>
        <v>145</v>
      </c>
      <c r="B146" s="31">
        <f>step3_validation[[#This Row],[Used_Seed]]</f>
        <v>2170</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57.142928137015538</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7</v>
      </c>
      <c r="R146" t="str">
        <f t="shared" si="54"/>
        <v>Neutral</v>
      </c>
      <c r="S146">
        <f>survey_responses[[#This Row],[Tôi tin rằng với các quy định quản lý thuế hiện nay, hành vi gian lận hoặc trốn thuế sẽ dễ dàng bị phát hiện và xử lý nghiêm. - HUMAN-ENF1]]</f>
        <v>10</v>
      </c>
      <c r="T146" t="str">
        <f t="shared" si="55"/>
        <v>Support</v>
      </c>
      <c r="U146" s="32">
        <f t="shared" si="56"/>
        <v>3</v>
      </c>
      <c r="V146">
        <f>step3_validation[[#This Row],[AI_ENF2]]</f>
        <v>8</v>
      </c>
      <c r="W146" t="str">
        <f t="shared" si="57"/>
        <v>Support</v>
      </c>
      <c r="X146">
        <f>survey_responses[[#This Row],[Tôi tin rằng Nhà nước, cơ quan thuế có đủ khả năng và công nghệ để phát hiện, xử lý nghiêm các hành vi trốn thuế. - HUMAN-ENF2]]</f>
        <v>10</v>
      </c>
      <c r="Y146" t="str">
        <f t="shared" si="58"/>
        <v>Support</v>
      </c>
      <c r="Z146" s="32">
        <f t="shared" si="59"/>
        <v>2</v>
      </c>
      <c r="AA146">
        <f>step3_validation[[#This Row],[AI_FAC1]]</f>
        <v>9</v>
      </c>
      <c r="AB146" t="str">
        <f t="shared" si="60"/>
        <v>Support</v>
      </c>
      <c r="AC146">
        <f>survey_responses[[#This Row],[Các thủ tục khai báo thuế VÀ/HOẶC quy trình làm việc với cơ quan thuế đơn giản, tiện lợi, nhanh chóng hơn so với trước đây. - HUMAN-FAC1]]</f>
        <v>9</v>
      </c>
      <c r="AD146" t="str">
        <f t="shared" si="61"/>
        <v>Support</v>
      </c>
      <c r="AE146" s="32">
        <f t="shared" si="62"/>
        <v>0</v>
      </c>
      <c r="AF146">
        <f>step3_validation[[#This Row],[AI_FAC2]]</f>
        <v>10</v>
      </c>
      <c r="AG146" t="str">
        <f t="shared" si="63"/>
        <v>Support</v>
      </c>
      <c r="AH146">
        <f>survey_responses[[#This Row],[So với trước đây, tôi thấy cách tính thuế và các bậc thuế trong phương án mới đơn giản, dễ hiểu và dễ thực hiện hơn. - HUMAN-FAC2]]</f>
        <v>6</v>
      </c>
      <c r="AI146" t="str">
        <f t="shared" si="64"/>
        <v>Neutral</v>
      </c>
      <c r="AJ146" s="32">
        <f t="shared" si="65"/>
        <v>4</v>
      </c>
      <c r="AK146">
        <f>step3_validation[[#This Row],[AI_TRU1]]</f>
        <v>8</v>
      </c>
      <c r="AL146" t="str">
        <f t="shared" si="66"/>
        <v>Support</v>
      </c>
      <c r="AM146">
        <f>survey_responses[[#This Row],[Tôi tin rằng Nhà nước, cơ quan thuế sẽ thực thi chính sách mới một cách khách quan, công tâm và đối xử bình đẳng với mọi người nộp thuế.  - HUMAN-TRU1]]</f>
        <v>6</v>
      </c>
      <c r="AN146" t="str">
        <f t="shared" si="67"/>
        <v>Neutral</v>
      </c>
      <c r="AO146" s="32">
        <f t="shared" si="68"/>
        <v>2</v>
      </c>
      <c r="AP146">
        <f>step3_validation[[#This Row],[AI_TRU2]]</f>
        <v>9</v>
      </c>
      <c r="AQ146" t="str">
        <f t="shared" si="69"/>
        <v>Support</v>
      </c>
      <c r="AR146">
        <f>survey_responses[[#This Row],[Tôi thấy mức thuế tôi phải đóng theo phương án mới là công bằng (người thu nhập như tôi đóng mức này là hợp lý). - HUMAN-TRU2]]</f>
        <v>3</v>
      </c>
      <c r="AS146" t="str">
        <f t="shared" si="70"/>
        <v>Oppose</v>
      </c>
      <c r="AT146" s="32">
        <f t="shared" si="71"/>
        <v>6</v>
      </c>
      <c r="AU146">
        <f>step3_validation[[#This Row],[AI_TRU3]]</f>
        <v>8</v>
      </c>
      <c r="AV146" t="str">
        <f t="shared" si="72"/>
        <v>Support</v>
      </c>
      <c r="AW146">
        <f>survey_responses[[#This Row],[Tôi tin tưởng số tiền thuế tôi đóng sẽ được Nhà nước sử dụng hiệu quả để cải thiện dịch vụ công (y tế, đường xá...). - HUMAN-TRU3]]</f>
        <v>5</v>
      </c>
      <c r="AX146" t="str">
        <f t="shared" si="73"/>
        <v>Neutral</v>
      </c>
      <c r="AY146" s="32">
        <f t="shared" si="74"/>
        <v>3</v>
      </c>
      <c r="AZ146">
        <f>step3_validation[[#This Row],[AI_TRU4]]</f>
        <v>7</v>
      </c>
      <c r="BA146" t="str">
        <f t="shared" si="75"/>
        <v>Neutral</v>
      </c>
      <c r="BB146">
        <f>survey_responses[[#This Row],[Tôi thấy Nhà nước đã giải thích rõ ràng, minh bạch về lý do và mục tiêu của việc sửa đổi thuế lần này. - HUMAN-TRU4]]</f>
        <v>5</v>
      </c>
      <c r="BC146" t="str">
        <f t="shared" si="76"/>
        <v>Neutral</v>
      </c>
      <c r="BD146" s="32">
        <f t="shared" si="77"/>
        <v>2</v>
      </c>
      <c r="BE146">
        <f>step3_validation[[#This Row],[AI_OUT1]]</f>
        <v>9</v>
      </c>
      <c r="BF146" t="str">
        <f t="shared" si="78"/>
        <v>Support</v>
      </c>
      <c r="BG146">
        <f>survey_responses[[#This Row],[Sau khi xem xét các quyền lợi và nghĩa vụ, bạn có ủng hộ và tuân thủ chính sách mới hiện nay? - HUMAN-OUT1]]</f>
        <v>1</v>
      </c>
      <c r="BH146" t="str">
        <f t="shared" si="79"/>
        <v>Oppose</v>
      </c>
      <c r="BI146" s="32">
        <f t="shared" si="80"/>
        <v>8</v>
      </c>
    </row>
    <row r="147" spans="1:61" x14ac:dyDescent="0.45">
      <c r="A147" s="30">
        <f>step3_validation[[#This Row],[Persona_ID]]</f>
        <v>146</v>
      </c>
      <c r="B147" s="31">
        <f>step3_validation[[#This Row],[Used_Seed]]</f>
        <v>2171</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87.067652463083746</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8</v>
      </c>
      <c r="R147" t="str">
        <f t="shared" si="54"/>
        <v>Support</v>
      </c>
      <c r="S147">
        <f>survey_responses[[#This Row],[Tôi tin rằng với các quy định quản lý thuế hiện nay, hành vi gian lận hoặc trốn thuế sẽ dễ dàng bị phát hiện và xử lý nghiêm. - HUMAN-ENF1]]</f>
        <v>8</v>
      </c>
      <c r="T147" t="str">
        <f t="shared" si="55"/>
        <v>Support</v>
      </c>
      <c r="U147" s="32">
        <f t="shared" si="56"/>
        <v>0</v>
      </c>
      <c r="V147">
        <f>step3_validation[[#This Row],[AI_ENF2]]</f>
        <v>9</v>
      </c>
      <c r="W147" t="str">
        <f t="shared" si="57"/>
        <v>Support</v>
      </c>
      <c r="X147">
        <f>survey_responses[[#This Row],[Tôi tin rằng Nhà nước, cơ quan thuế có đủ khả năng và công nghệ để phát hiện, xử lý nghiêm các hành vi trốn thuế. - HUMAN-ENF2]]</f>
        <v>8</v>
      </c>
      <c r="Y147" t="str">
        <f t="shared" si="58"/>
        <v>Support</v>
      </c>
      <c r="Z147" s="32">
        <f t="shared" si="59"/>
        <v>1</v>
      </c>
      <c r="AA147">
        <f>step3_validation[[#This Row],[AI_FAC1]]</f>
        <v>7</v>
      </c>
      <c r="AB147" t="str">
        <f t="shared" si="60"/>
        <v>Neutral</v>
      </c>
      <c r="AC147">
        <f>survey_responses[[#This Row],[Các thủ tục khai báo thuế VÀ/HOẶC quy trình làm việc với cơ quan thuế đơn giản, tiện lợi, nhanh chóng hơn so với trước đây. - HUMAN-FAC1]]</f>
        <v>5</v>
      </c>
      <c r="AD147" t="str">
        <f t="shared" si="61"/>
        <v>Neutral</v>
      </c>
      <c r="AE147" s="32">
        <f t="shared" si="62"/>
        <v>2</v>
      </c>
      <c r="AF147">
        <f>step3_validation[[#This Row],[AI_FAC2]]</f>
        <v>9</v>
      </c>
      <c r="AG147" t="str">
        <f t="shared" si="63"/>
        <v>Support</v>
      </c>
      <c r="AH147">
        <f>survey_responses[[#This Row],[So với trước đây, tôi thấy cách tính thuế và các bậc thuế trong phương án mới đơn giản, dễ hiểu và dễ thực hiện hơn. - HUMAN-FAC2]]</f>
        <v>5</v>
      </c>
      <c r="AI147" t="str">
        <f t="shared" si="64"/>
        <v>Neutral</v>
      </c>
      <c r="AJ147" s="32">
        <f t="shared" si="65"/>
        <v>4</v>
      </c>
      <c r="AK147">
        <f>step3_validation[[#This Row],[AI_TRU1]]</f>
        <v>8</v>
      </c>
      <c r="AL147" t="str">
        <f t="shared" si="66"/>
        <v>Support</v>
      </c>
      <c r="AM147">
        <f>survey_responses[[#This Row],[Tôi tin rằng Nhà nước, cơ quan thuế sẽ thực thi chính sách mới một cách khách quan, công tâm và đối xử bình đẳng với mọi người nộp thuế.  - HUMAN-TRU1]]</f>
        <v>5</v>
      </c>
      <c r="AN147" t="str">
        <f t="shared" si="67"/>
        <v>Neutral</v>
      </c>
      <c r="AO147" s="32">
        <f t="shared" si="68"/>
        <v>3</v>
      </c>
      <c r="AP147">
        <f>step3_validation[[#This Row],[AI_TRU2]]</f>
        <v>9</v>
      </c>
      <c r="AQ147" t="str">
        <f t="shared" si="69"/>
        <v>Support</v>
      </c>
      <c r="AR147">
        <f>survey_responses[[#This Row],[Tôi thấy mức thuế tôi phải đóng theo phương án mới là công bằng (người thu nhập như tôi đóng mức này là hợp lý). - HUMAN-TRU2]]</f>
        <v>3</v>
      </c>
      <c r="AS147" t="str">
        <f t="shared" si="70"/>
        <v>Oppose</v>
      </c>
      <c r="AT147" s="32">
        <f t="shared" si="71"/>
        <v>6</v>
      </c>
      <c r="AU147">
        <f>step3_validation[[#This Row],[AI_TRU3]]</f>
        <v>8</v>
      </c>
      <c r="AV147" t="str">
        <f t="shared" si="72"/>
        <v>Support</v>
      </c>
      <c r="AW147">
        <f>survey_responses[[#This Row],[Tôi tin tưởng số tiền thuế tôi đóng sẽ được Nhà nước sử dụng hiệu quả để cải thiện dịch vụ công (y tế, đường xá...). - HUMAN-TRU3]]</f>
        <v>5</v>
      </c>
      <c r="AX147" t="str">
        <f t="shared" si="73"/>
        <v>Neutral</v>
      </c>
      <c r="AY147" s="32">
        <f t="shared" si="74"/>
        <v>3</v>
      </c>
      <c r="AZ147">
        <f>step3_validation[[#This Row],[AI_TRU4]]</f>
        <v>7</v>
      </c>
      <c r="BA147" t="str">
        <f t="shared" si="75"/>
        <v>Neutral</v>
      </c>
      <c r="BB147">
        <f>survey_responses[[#This Row],[Tôi thấy Nhà nước đã giải thích rõ ràng, minh bạch về lý do và mục tiêu của việc sửa đổi thuế lần này. - HUMAN-TRU4]]</f>
        <v>5</v>
      </c>
      <c r="BC147" t="str">
        <f t="shared" si="76"/>
        <v>Neutral</v>
      </c>
      <c r="BD147" s="32">
        <f t="shared" si="77"/>
        <v>2</v>
      </c>
      <c r="BE147">
        <f>step3_validation[[#This Row],[AI_OUT1]]</f>
        <v>9</v>
      </c>
      <c r="BF147" t="str">
        <f t="shared" si="78"/>
        <v>Support</v>
      </c>
      <c r="BG147">
        <f>survey_responses[[#This Row],[Sau khi xem xét các quyền lợi và nghĩa vụ, bạn có ủng hộ và tuân thủ chính sách mới hiện nay? - HUMAN-OUT1]]</f>
        <v>5</v>
      </c>
      <c r="BH147" t="str">
        <f t="shared" si="79"/>
        <v>Neutral</v>
      </c>
      <c r="BI147" s="32">
        <f t="shared" si="80"/>
        <v>4</v>
      </c>
    </row>
    <row r="148" spans="1:61" x14ac:dyDescent="0.45">
      <c r="A148" s="30">
        <f>step3_validation[[#This Row],[Persona_ID]]</f>
        <v>147</v>
      </c>
      <c r="B148" s="31">
        <f>step3_validation[[#This Row],[Used_Seed]]</f>
        <v>2172</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161.6736632827685</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7</v>
      </c>
      <c r="R148" t="str">
        <f t="shared" si="54"/>
        <v>Neutral</v>
      </c>
      <c r="S148">
        <f>survey_responses[[#This Row],[Tôi tin rằng với các quy định quản lý thuế hiện nay, hành vi gian lận hoặc trốn thuế sẽ dễ dàng bị phát hiện và xử lý nghiêm. - HUMAN-ENF1]]</f>
        <v>7</v>
      </c>
      <c r="T148" t="str">
        <f t="shared" si="55"/>
        <v>Neutral</v>
      </c>
      <c r="U148" s="32">
        <f t="shared" si="56"/>
        <v>0</v>
      </c>
      <c r="V148">
        <f>step3_validation[[#This Row],[AI_ENF2]]</f>
        <v>8</v>
      </c>
      <c r="W148" t="str">
        <f t="shared" si="57"/>
        <v>Support</v>
      </c>
      <c r="X148">
        <f>survey_responses[[#This Row],[Tôi tin rằng Nhà nước, cơ quan thuế có đủ khả năng và công nghệ để phát hiện, xử lý nghiêm các hành vi trốn thuế. - HUMAN-ENF2]]</f>
        <v>7</v>
      </c>
      <c r="Y148" t="str">
        <f t="shared" si="58"/>
        <v>Neutral</v>
      </c>
      <c r="Z148" s="32">
        <f t="shared" si="59"/>
        <v>1</v>
      </c>
      <c r="AA148">
        <f>step3_validation[[#This Row],[AI_FAC1]]</f>
        <v>7</v>
      </c>
      <c r="AB148" t="str">
        <f t="shared" si="60"/>
        <v>Neutral</v>
      </c>
      <c r="AC148">
        <f>survey_responses[[#This Row],[Các thủ tục khai báo thuế VÀ/HOẶC quy trình làm việc với cơ quan thuế đơn giản, tiện lợi, nhanh chóng hơn so với trước đây. - HUMAN-FAC1]]</f>
        <v>1</v>
      </c>
      <c r="AD148" t="str">
        <f t="shared" si="61"/>
        <v>Oppose</v>
      </c>
      <c r="AE148" s="32">
        <f t="shared" si="62"/>
        <v>6</v>
      </c>
      <c r="AF148">
        <f>step3_validation[[#This Row],[AI_FAC2]]</f>
        <v>9</v>
      </c>
      <c r="AG148" t="str">
        <f t="shared" si="63"/>
        <v>Support</v>
      </c>
      <c r="AH148">
        <f>survey_responses[[#This Row],[So với trước đây, tôi thấy cách tính thuế và các bậc thuế trong phương án mới đơn giản, dễ hiểu và dễ thực hiện hơn. - HUMAN-FAC2]]</f>
        <v>6</v>
      </c>
      <c r="AI148" t="str">
        <f t="shared" si="64"/>
        <v>Neutral</v>
      </c>
      <c r="AJ148" s="32">
        <f t="shared" si="65"/>
        <v>3</v>
      </c>
      <c r="AK148">
        <f>step3_validation[[#This Row],[AI_TRU1]]</f>
        <v>6</v>
      </c>
      <c r="AL148" t="str">
        <f t="shared" si="66"/>
        <v>Neutral</v>
      </c>
      <c r="AM148">
        <f>survey_responses[[#This Row],[Tôi tin rằng Nhà nước, cơ quan thuế sẽ thực thi chính sách mới một cách khách quan, công tâm và đối xử bình đẳng với mọi người nộp thuế.  - HUMAN-TRU1]]</f>
        <v>3</v>
      </c>
      <c r="AN148" t="str">
        <f t="shared" si="67"/>
        <v>Oppose</v>
      </c>
      <c r="AO148" s="32">
        <f t="shared" si="68"/>
        <v>3</v>
      </c>
      <c r="AP148">
        <f>step3_validation[[#This Row],[AI_TRU2]]</f>
        <v>8</v>
      </c>
      <c r="AQ148" t="str">
        <f t="shared" si="69"/>
        <v>Support</v>
      </c>
      <c r="AR148">
        <f>survey_responses[[#This Row],[Tôi thấy mức thuế tôi phải đóng theo phương án mới là công bằng (người thu nhập như tôi đóng mức này là hợp lý). - HUMAN-TRU2]]</f>
        <v>5</v>
      </c>
      <c r="AS148" t="str">
        <f t="shared" si="70"/>
        <v>Neutral</v>
      </c>
      <c r="AT148" s="32">
        <f t="shared" si="71"/>
        <v>3</v>
      </c>
      <c r="AU148">
        <f>step3_validation[[#This Row],[AI_TRU3]]</f>
        <v>7</v>
      </c>
      <c r="AV148" t="str">
        <f t="shared" si="72"/>
        <v>Neutral</v>
      </c>
      <c r="AW148">
        <f>survey_responses[[#This Row],[Tôi tin tưởng số tiền thuế tôi đóng sẽ được Nhà nước sử dụng hiệu quả để cải thiện dịch vụ công (y tế, đường xá...). - HUMAN-TRU3]]</f>
        <v>1</v>
      </c>
      <c r="AX148" t="str">
        <f t="shared" si="73"/>
        <v>Oppose</v>
      </c>
      <c r="AY148" s="32">
        <f t="shared" si="74"/>
        <v>6</v>
      </c>
      <c r="AZ148">
        <f>step3_validation[[#This Row],[AI_TRU4]]</f>
        <v>6</v>
      </c>
      <c r="BA148" t="str">
        <f t="shared" si="75"/>
        <v>Neutral</v>
      </c>
      <c r="BB148">
        <f>survey_responses[[#This Row],[Tôi thấy Nhà nước đã giải thích rõ ràng, minh bạch về lý do và mục tiêu của việc sửa đổi thuế lần này. - HUMAN-TRU4]]</f>
        <v>4</v>
      </c>
      <c r="BC148" t="str">
        <f t="shared" si="76"/>
        <v>Oppose</v>
      </c>
      <c r="BD148" s="32">
        <f t="shared" si="77"/>
        <v>2</v>
      </c>
      <c r="BE148">
        <f>step3_validation[[#This Row],[AI_OUT1]]</f>
        <v>7</v>
      </c>
      <c r="BF148" t="str">
        <f t="shared" si="78"/>
        <v>Neutral</v>
      </c>
      <c r="BG148">
        <f>survey_responses[[#This Row],[Sau khi xem xét các quyền lợi và nghĩa vụ, bạn có ủng hộ và tuân thủ chính sách mới hiện nay? - HUMAN-OUT1]]</f>
        <v>5</v>
      </c>
      <c r="BH148" t="str">
        <f t="shared" si="79"/>
        <v>Neutral</v>
      </c>
      <c r="BI148" s="32">
        <f t="shared" si="80"/>
        <v>2</v>
      </c>
    </row>
    <row r="149" spans="1:61" x14ac:dyDescent="0.45">
      <c r="A149" s="30">
        <f>step3_validation[[#This Row],[Persona_ID]]</f>
        <v>148</v>
      </c>
      <c r="B149" s="31">
        <f>step3_validation[[#This Row],[Used_Seed]]</f>
        <v>2173</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20.765939402212396</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7</v>
      </c>
      <c r="R149" t="str">
        <f t="shared" si="54"/>
        <v>Neutral</v>
      </c>
      <c r="S149">
        <f>survey_responses[[#This Row],[Tôi tin rằng với các quy định quản lý thuế hiện nay, hành vi gian lận hoặc trốn thuế sẽ dễ dàng bị phát hiện và xử lý nghiêm. - HUMAN-ENF1]]</f>
        <v>6</v>
      </c>
      <c r="T149" t="str">
        <f t="shared" si="55"/>
        <v>Neutral</v>
      </c>
      <c r="U149" s="32">
        <f t="shared" si="56"/>
        <v>1</v>
      </c>
      <c r="V149">
        <f>step3_validation[[#This Row],[AI_ENF2]]</f>
        <v>6</v>
      </c>
      <c r="W149" t="str">
        <f t="shared" si="57"/>
        <v>Neutral</v>
      </c>
      <c r="X149">
        <f>survey_responses[[#This Row],[Tôi tin rằng Nhà nước, cơ quan thuế có đủ khả năng và công nghệ để phát hiện, xử lý nghiêm các hành vi trốn thuế. - HUMAN-ENF2]]</f>
        <v>6</v>
      </c>
      <c r="Y149" t="str">
        <f t="shared" si="58"/>
        <v>Neutral</v>
      </c>
      <c r="Z149" s="32">
        <f t="shared" si="59"/>
        <v>0</v>
      </c>
      <c r="AA149">
        <f>step3_validation[[#This Row],[AI_FAC1]]</f>
        <v>8</v>
      </c>
      <c r="AB149" t="str">
        <f t="shared" si="60"/>
        <v>Support</v>
      </c>
      <c r="AC149">
        <f>survey_responses[[#This Row],[Các thủ tục khai báo thuế VÀ/HOẶC quy trình làm việc với cơ quan thuế đơn giản, tiện lợi, nhanh chóng hơn so với trước đây. - HUMAN-FAC1]]</f>
        <v>5</v>
      </c>
      <c r="AD149" t="str">
        <f t="shared" si="61"/>
        <v>Neutral</v>
      </c>
      <c r="AE149" s="32">
        <f t="shared" si="62"/>
        <v>3</v>
      </c>
      <c r="AF149">
        <f>step3_validation[[#This Row],[AI_FAC2]]</f>
        <v>9</v>
      </c>
      <c r="AG149" t="str">
        <f t="shared" si="63"/>
        <v>Support</v>
      </c>
      <c r="AH149">
        <f>survey_responses[[#This Row],[So với trước đây, tôi thấy cách tính thuế và các bậc thuế trong phương án mới đơn giản, dễ hiểu và dễ thực hiện hơn. - HUMAN-FAC2]]</f>
        <v>7</v>
      </c>
      <c r="AI149" t="str">
        <f t="shared" si="64"/>
        <v>Neutral</v>
      </c>
      <c r="AJ149" s="32">
        <f t="shared" si="65"/>
        <v>2</v>
      </c>
      <c r="AK149">
        <f>step3_validation[[#This Row],[AI_TRU1]]</f>
        <v>7</v>
      </c>
      <c r="AL149" t="str">
        <f t="shared" si="66"/>
        <v>Neutral</v>
      </c>
      <c r="AM149">
        <f>survey_responses[[#This Row],[Tôi tin rằng Nhà nước, cơ quan thuế sẽ thực thi chính sách mới một cách khách quan, công tâm và đối xử bình đẳng với mọi người nộp thuế.  - HUMAN-TRU1]]</f>
        <v>5</v>
      </c>
      <c r="AN149" t="str">
        <f t="shared" si="67"/>
        <v>Neutral</v>
      </c>
      <c r="AO149" s="32">
        <f t="shared" si="68"/>
        <v>2</v>
      </c>
      <c r="AP149">
        <f>step3_validation[[#This Row],[AI_TRU2]]</f>
        <v>9</v>
      </c>
      <c r="AQ149" t="str">
        <f t="shared" si="69"/>
        <v>Support</v>
      </c>
      <c r="AR149">
        <f>survey_responses[[#This Row],[Tôi thấy mức thuế tôi phải đóng theo phương án mới là công bằng (người thu nhập như tôi đóng mức này là hợp lý). - HUMAN-TRU2]]</f>
        <v>7</v>
      </c>
      <c r="AS149" t="str">
        <f t="shared" si="70"/>
        <v>Neutral</v>
      </c>
      <c r="AT149" s="32">
        <f t="shared" si="71"/>
        <v>2</v>
      </c>
      <c r="AU149">
        <f>step3_validation[[#This Row],[AI_TRU3]]</f>
        <v>8</v>
      </c>
      <c r="AV149" t="str">
        <f t="shared" si="72"/>
        <v>Support</v>
      </c>
      <c r="AW149">
        <f>survey_responses[[#This Row],[Tôi tin tưởng số tiền thuế tôi đóng sẽ được Nhà nước sử dụng hiệu quả để cải thiện dịch vụ công (y tế, đường xá...). - HUMAN-TRU3]]</f>
        <v>5</v>
      </c>
      <c r="AX149" t="str">
        <f t="shared" si="73"/>
        <v>Neutral</v>
      </c>
      <c r="AY149" s="32">
        <f t="shared" si="74"/>
        <v>3</v>
      </c>
      <c r="AZ149">
        <f>step3_validation[[#This Row],[AI_TRU4]]</f>
        <v>7</v>
      </c>
      <c r="BA149" t="str">
        <f t="shared" si="75"/>
        <v>Neutral</v>
      </c>
      <c r="BB149">
        <f>survey_responses[[#This Row],[Tôi thấy Nhà nước đã giải thích rõ ràng, minh bạch về lý do và mục tiêu của việc sửa đổi thuế lần này. - HUMAN-TRU4]]</f>
        <v>6</v>
      </c>
      <c r="BC149" t="str">
        <f t="shared" si="76"/>
        <v>Neutral</v>
      </c>
      <c r="BD149" s="32">
        <f t="shared" si="77"/>
        <v>1</v>
      </c>
      <c r="BE149">
        <f>step3_validation[[#This Row],[AI_OUT1]]</f>
        <v>9</v>
      </c>
      <c r="BF149" t="str">
        <f t="shared" si="78"/>
        <v>Support</v>
      </c>
      <c r="BG149">
        <f>survey_responses[[#This Row],[Sau khi xem xét các quyền lợi và nghĩa vụ, bạn có ủng hộ và tuân thủ chính sách mới hiện nay? - HUMAN-OUT1]]</f>
        <v>7</v>
      </c>
      <c r="BH149" t="str">
        <f t="shared" si="79"/>
        <v>Neutral</v>
      </c>
      <c r="BI149" s="32">
        <f t="shared" si="80"/>
        <v>2</v>
      </c>
    </row>
    <row r="150" spans="1:61" x14ac:dyDescent="0.45">
      <c r="A150" s="30">
        <f>step3_validation[[#This Row],[Persona_ID]]</f>
        <v>149</v>
      </c>
      <c r="B150" s="31">
        <f>step3_validation[[#This Row],[Used_Seed]]</f>
        <v>2174</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239.95288139250445</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9</v>
      </c>
      <c r="R150" t="str">
        <f t="shared" si="54"/>
        <v>Support</v>
      </c>
      <c r="S150">
        <f>survey_responses[[#This Row],[Tôi tin rằng với các quy định quản lý thuế hiện nay, hành vi gian lận hoặc trốn thuế sẽ dễ dàng bị phát hiện và xử lý nghiêm. - HUMAN-ENF1]]</f>
        <v>10</v>
      </c>
      <c r="T150" t="str">
        <f t="shared" si="55"/>
        <v>Support</v>
      </c>
      <c r="U150" s="32">
        <f t="shared" si="56"/>
        <v>1</v>
      </c>
      <c r="V150">
        <f>step3_validation[[#This Row],[AI_ENF2]]</f>
        <v>9</v>
      </c>
      <c r="W150" t="str">
        <f t="shared" si="57"/>
        <v>Support</v>
      </c>
      <c r="X150">
        <f>survey_responses[[#This Row],[Tôi tin rằng Nhà nước, cơ quan thuế có đủ khả năng và công nghệ để phát hiện, xử lý nghiêm các hành vi trốn thuế. - HUMAN-ENF2]]</f>
        <v>10</v>
      </c>
      <c r="Y150" t="str">
        <f t="shared" si="58"/>
        <v>Support</v>
      </c>
      <c r="Z150" s="32">
        <f t="shared" si="59"/>
        <v>1</v>
      </c>
      <c r="AA150">
        <f>step3_validation[[#This Row],[AI_FAC1]]</f>
        <v>8</v>
      </c>
      <c r="AB150" t="str">
        <f t="shared" si="60"/>
        <v>Support</v>
      </c>
      <c r="AC150">
        <f>survey_responses[[#This Row],[Các thủ tục khai báo thuế VÀ/HOẶC quy trình làm việc với cơ quan thuế đơn giản, tiện lợi, nhanh chóng hơn so với trước đây. - HUMAN-FAC1]]</f>
        <v>7</v>
      </c>
      <c r="AD150" t="str">
        <f t="shared" si="61"/>
        <v>Neutral</v>
      </c>
      <c r="AE150" s="32">
        <f t="shared" si="62"/>
        <v>1</v>
      </c>
      <c r="AF150">
        <f>step3_validation[[#This Row],[AI_FAC2]]</f>
        <v>9</v>
      </c>
      <c r="AG150" t="str">
        <f t="shared" si="63"/>
        <v>Support</v>
      </c>
      <c r="AH150">
        <f>survey_responses[[#This Row],[So với trước đây, tôi thấy cách tính thuế và các bậc thuế trong phương án mới đơn giản, dễ hiểu và dễ thực hiện hơn. - HUMAN-FAC2]]</f>
        <v>8</v>
      </c>
      <c r="AI150" t="str">
        <f t="shared" si="64"/>
        <v>Support</v>
      </c>
      <c r="AJ150" s="32">
        <f t="shared" si="65"/>
        <v>1</v>
      </c>
      <c r="AK150">
        <f>step3_validation[[#This Row],[AI_TRU1]]</f>
        <v>8</v>
      </c>
      <c r="AL150" t="str">
        <f t="shared" si="66"/>
        <v>Support</v>
      </c>
      <c r="AM150">
        <f>survey_responses[[#This Row],[Tôi tin rằng Nhà nước, cơ quan thuế sẽ thực thi chính sách mới một cách khách quan, công tâm và đối xử bình đẳng với mọi người nộp thuế.  - HUMAN-TRU1]]</f>
        <v>8</v>
      </c>
      <c r="AN150" t="str">
        <f t="shared" si="67"/>
        <v>Support</v>
      </c>
      <c r="AO150" s="32">
        <f t="shared" si="68"/>
        <v>0</v>
      </c>
      <c r="AP150">
        <f>step3_validation[[#This Row],[AI_TRU2]]</f>
        <v>9</v>
      </c>
      <c r="AQ150" t="str">
        <f t="shared" si="69"/>
        <v>Support</v>
      </c>
      <c r="AR150">
        <f>survey_responses[[#This Row],[Tôi thấy mức thuế tôi phải đóng theo phương án mới là công bằng (người thu nhập như tôi đóng mức này là hợp lý). - HUMAN-TRU2]]</f>
        <v>4</v>
      </c>
      <c r="AS150" t="str">
        <f t="shared" si="70"/>
        <v>Oppose</v>
      </c>
      <c r="AT150" s="32">
        <f t="shared" si="71"/>
        <v>5</v>
      </c>
      <c r="AU150">
        <f>step3_validation[[#This Row],[AI_TRU3]]</f>
        <v>8</v>
      </c>
      <c r="AV150" t="str">
        <f t="shared" si="72"/>
        <v>Support</v>
      </c>
      <c r="AW150">
        <f>survey_responses[[#This Row],[Tôi tin tưởng số tiền thuế tôi đóng sẽ được Nhà nước sử dụng hiệu quả để cải thiện dịch vụ công (y tế, đường xá...). - HUMAN-TRU3]]</f>
        <v>1</v>
      </c>
      <c r="AX150" t="str">
        <f t="shared" si="73"/>
        <v>Oppose</v>
      </c>
      <c r="AY150" s="32">
        <f t="shared" si="74"/>
        <v>7</v>
      </c>
      <c r="AZ150">
        <f>step3_validation[[#This Row],[AI_TRU4]]</f>
        <v>7</v>
      </c>
      <c r="BA150" t="str">
        <f t="shared" si="75"/>
        <v>Neutral</v>
      </c>
      <c r="BB150">
        <f>survey_responses[[#This Row],[Tôi thấy Nhà nước đã giải thích rõ ràng, minh bạch về lý do và mục tiêu của việc sửa đổi thuế lần này. - HUMAN-TRU4]]</f>
        <v>3</v>
      </c>
      <c r="BC150" t="str">
        <f t="shared" si="76"/>
        <v>Oppose</v>
      </c>
      <c r="BD150" s="32">
        <f t="shared" si="77"/>
        <v>4</v>
      </c>
      <c r="BE150">
        <f>step3_validation[[#This Row],[AI_OUT1]]</f>
        <v>9</v>
      </c>
      <c r="BF150" t="str">
        <f t="shared" si="78"/>
        <v>Support</v>
      </c>
      <c r="BG150">
        <f>survey_responses[[#This Row],[Sau khi xem xét các quyền lợi và nghĩa vụ, bạn có ủng hộ và tuân thủ chính sách mới hiện nay? - HUMAN-OUT1]]</f>
        <v>6</v>
      </c>
      <c r="BH150" t="str">
        <f t="shared" si="79"/>
        <v>Neutral</v>
      </c>
      <c r="BI150" s="32">
        <f t="shared" si="80"/>
        <v>3</v>
      </c>
    </row>
    <row r="151" spans="1:61" x14ac:dyDescent="0.45">
      <c r="A151" s="30">
        <f>step3_validation[[#This Row],[Persona_ID]]</f>
        <v>150</v>
      </c>
      <c r="B151" s="31">
        <f>step3_validation[[#This Row],[Used_Seed]]</f>
        <v>2175</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54.88756858131746</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8</v>
      </c>
      <c r="R151" t="str">
        <f t="shared" si="54"/>
        <v>Support</v>
      </c>
      <c r="S151">
        <f>survey_responses[[#This Row],[Tôi tin rằng với các quy định quản lý thuế hiện nay, hành vi gian lận hoặc trốn thuế sẽ dễ dàng bị phát hiện và xử lý nghiêm. - HUMAN-ENF1]]</f>
        <v>7</v>
      </c>
      <c r="T151" t="str">
        <f t="shared" si="55"/>
        <v>Neutral</v>
      </c>
      <c r="U151" s="32">
        <f t="shared" si="56"/>
        <v>1</v>
      </c>
      <c r="V151">
        <f>step3_validation[[#This Row],[AI_ENF2]]</f>
        <v>7</v>
      </c>
      <c r="W151" t="str">
        <f t="shared" si="57"/>
        <v>Neutral</v>
      </c>
      <c r="X151">
        <f>survey_responses[[#This Row],[Tôi tin rằng Nhà nước, cơ quan thuế có đủ khả năng và công nghệ để phát hiện, xử lý nghiêm các hành vi trốn thuế. - HUMAN-ENF2]]</f>
        <v>10</v>
      </c>
      <c r="Y151" t="str">
        <f t="shared" si="58"/>
        <v>Support</v>
      </c>
      <c r="Z151" s="32">
        <f t="shared" si="59"/>
        <v>3</v>
      </c>
      <c r="AA151">
        <f>step3_validation[[#This Row],[AI_FAC1]]</f>
        <v>8</v>
      </c>
      <c r="AB151" t="str">
        <f t="shared" si="60"/>
        <v>Support</v>
      </c>
      <c r="AC151">
        <f>survey_responses[[#This Row],[Các thủ tục khai báo thuế VÀ/HOẶC quy trình làm việc với cơ quan thuế đơn giản, tiện lợi, nhanh chóng hơn so với trước đây. - HUMAN-FAC1]]</f>
        <v>5</v>
      </c>
      <c r="AD151" t="str">
        <f t="shared" si="61"/>
        <v>Neutral</v>
      </c>
      <c r="AE151" s="32">
        <f t="shared" si="62"/>
        <v>3</v>
      </c>
      <c r="AF151">
        <f>step3_validation[[#This Row],[AI_FAC2]]</f>
        <v>9</v>
      </c>
      <c r="AG151" t="str">
        <f t="shared" si="63"/>
        <v>Support</v>
      </c>
      <c r="AH151">
        <f>survey_responses[[#This Row],[So với trước đây, tôi thấy cách tính thuế và các bậc thuế trong phương án mới đơn giản, dễ hiểu và dễ thực hiện hơn. - HUMAN-FAC2]]</f>
        <v>7</v>
      </c>
      <c r="AI151" t="str">
        <f t="shared" si="64"/>
        <v>Neutral</v>
      </c>
      <c r="AJ151" s="32">
        <f t="shared" si="65"/>
        <v>2</v>
      </c>
      <c r="AK151">
        <f>step3_validation[[#This Row],[AI_TRU1]]</f>
        <v>7</v>
      </c>
      <c r="AL151" t="str">
        <f t="shared" si="66"/>
        <v>Neutral</v>
      </c>
      <c r="AM151">
        <f>survey_responses[[#This Row],[Tôi tin rằng Nhà nước, cơ quan thuế sẽ thực thi chính sách mới một cách khách quan, công tâm và đối xử bình đẳng với mọi người nộp thuế.  - HUMAN-TRU1]]</f>
        <v>7</v>
      </c>
      <c r="AN151" t="str">
        <f t="shared" si="67"/>
        <v>Neutral</v>
      </c>
      <c r="AO151" s="32">
        <f t="shared" si="68"/>
        <v>0</v>
      </c>
      <c r="AP151">
        <f>step3_validation[[#This Row],[AI_TRU2]]</f>
        <v>9</v>
      </c>
      <c r="AQ151" t="str">
        <f t="shared" si="69"/>
        <v>Support</v>
      </c>
      <c r="AR151">
        <f>survey_responses[[#This Row],[Tôi thấy mức thuế tôi phải đóng theo phương án mới là công bằng (người thu nhập như tôi đóng mức này là hợp lý). - HUMAN-TRU2]]</f>
        <v>7</v>
      </c>
      <c r="AS151" t="str">
        <f t="shared" si="70"/>
        <v>Neutral</v>
      </c>
      <c r="AT151" s="32">
        <f t="shared" si="71"/>
        <v>2</v>
      </c>
      <c r="AU151">
        <f>step3_validation[[#This Row],[AI_TRU3]]</f>
        <v>8</v>
      </c>
      <c r="AV151" t="str">
        <f t="shared" si="72"/>
        <v>Support</v>
      </c>
      <c r="AW151">
        <f>survey_responses[[#This Row],[Tôi tin tưởng số tiền thuế tôi đóng sẽ được Nhà nước sử dụng hiệu quả để cải thiện dịch vụ công (y tế, đường xá...). - HUMAN-TRU3]]</f>
        <v>7</v>
      </c>
      <c r="AX151" t="str">
        <f t="shared" si="73"/>
        <v>Neutral</v>
      </c>
      <c r="AY151" s="32">
        <f t="shared" si="74"/>
        <v>1</v>
      </c>
      <c r="AZ151">
        <f>step3_validation[[#This Row],[AI_TRU4]]</f>
        <v>7</v>
      </c>
      <c r="BA151" t="str">
        <f t="shared" si="75"/>
        <v>Neutral</v>
      </c>
      <c r="BB151">
        <f>survey_responses[[#This Row],[Tôi thấy Nhà nước đã giải thích rõ ràng, minh bạch về lý do và mục tiêu của việc sửa đổi thuế lần này. - HUMAN-TRU4]]</f>
        <v>7</v>
      </c>
      <c r="BC151" t="str">
        <f t="shared" si="76"/>
        <v>Neutral</v>
      </c>
      <c r="BD151" s="32">
        <f t="shared" si="77"/>
        <v>0</v>
      </c>
      <c r="BE151">
        <f>step3_validation[[#This Row],[AI_OUT1]]</f>
        <v>9</v>
      </c>
      <c r="BF151" t="str">
        <f t="shared" si="78"/>
        <v>Support</v>
      </c>
      <c r="BG151">
        <f>survey_responses[[#This Row],[Sau khi xem xét các quyền lợi và nghĩa vụ, bạn có ủng hộ và tuân thủ chính sách mới hiện nay? - HUMAN-OUT1]]</f>
        <v>10</v>
      </c>
      <c r="BH151" t="str">
        <f t="shared" si="79"/>
        <v>Support</v>
      </c>
      <c r="BI151" s="32">
        <f t="shared" si="80"/>
        <v>1</v>
      </c>
    </row>
    <row r="152" spans="1:61" x14ac:dyDescent="0.45">
      <c r="A152" s="30">
        <f>step3_validation[[#This Row],[Persona_ID]]</f>
        <v>151</v>
      </c>
      <c r="B152" s="31">
        <f>step3_validation[[#This Row],[Used_Seed]]</f>
        <v>2176</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83.098625344927342</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8</v>
      </c>
      <c r="R152" t="str">
        <f t="shared" si="54"/>
        <v>Support</v>
      </c>
      <c r="S152">
        <f>survey_responses[[#This Row],[Tôi tin rằng với các quy định quản lý thuế hiện nay, hành vi gian lận hoặc trốn thuế sẽ dễ dàng bị phát hiện và xử lý nghiêm. - HUMAN-ENF1]]</f>
        <v>8</v>
      </c>
      <c r="T152" t="str">
        <f t="shared" si="55"/>
        <v>Support</v>
      </c>
      <c r="U152" s="32">
        <f t="shared" si="56"/>
        <v>0</v>
      </c>
      <c r="V152">
        <f>step3_validation[[#This Row],[AI_ENF2]]</f>
        <v>8</v>
      </c>
      <c r="W152" t="str">
        <f t="shared" si="57"/>
        <v>Support</v>
      </c>
      <c r="X152">
        <f>survey_responses[[#This Row],[Tôi tin rằng Nhà nước, cơ quan thuế có đủ khả năng và công nghệ để phát hiện, xử lý nghiêm các hành vi trốn thuế. - HUMAN-ENF2]]</f>
        <v>8</v>
      </c>
      <c r="Y152" t="str">
        <f t="shared" si="58"/>
        <v>Support</v>
      </c>
      <c r="Z152" s="32">
        <f t="shared" si="59"/>
        <v>0</v>
      </c>
      <c r="AA152">
        <f>step3_validation[[#This Row],[AI_FAC1]]</f>
        <v>9</v>
      </c>
      <c r="AB152" t="str">
        <f t="shared" si="60"/>
        <v>Support</v>
      </c>
      <c r="AC152">
        <f>survey_responses[[#This Row],[Các thủ tục khai báo thuế VÀ/HOẶC quy trình làm việc với cơ quan thuế đơn giản, tiện lợi, nhanh chóng hơn so với trước đây. - HUMAN-FAC1]]</f>
        <v>8</v>
      </c>
      <c r="AD152" t="str">
        <f t="shared" si="61"/>
        <v>Support</v>
      </c>
      <c r="AE152" s="32">
        <f t="shared" si="62"/>
        <v>1</v>
      </c>
      <c r="AF152">
        <f>step3_validation[[#This Row],[AI_FAC2]]</f>
        <v>9</v>
      </c>
      <c r="AG152" t="str">
        <f t="shared" si="63"/>
        <v>Support</v>
      </c>
      <c r="AH152">
        <f>survey_responses[[#This Row],[So với trước đây, tôi thấy cách tính thuế và các bậc thuế trong phương án mới đơn giản, dễ hiểu và dễ thực hiện hơn. - HUMAN-FAC2]]</f>
        <v>8</v>
      </c>
      <c r="AI152" t="str">
        <f t="shared" si="64"/>
        <v>Support</v>
      </c>
      <c r="AJ152" s="32">
        <f t="shared" si="65"/>
        <v>1</v>
      </c>
      <c r="AK152">
        <f>step3_validation[[#This Row],[AI_TRU1]]</f>
        <v>8</v>
      </c>
      <c r="AL152" t="str">
        <f t="shared" si="66"/>
        <v>Support</v>
      </c>
      <c r="AM152">
        <f>survey_responses[[#This Row],[Tôi tin rằng Nhà nước, cơ quan thuế sẽ thực thi chính sách mới một cách khách quan, công tâm và đối xử bình đẳng với mọi người nộp thuế.  - HUMAN-TRU1]]</f>
        <v>8</v>
      </c>
      <c r="AN152" t="str">
        <f t="shared" si="67"/>
        <v>Support</v>
      </c>
      <c r="AO152" s="32">
        <f t="shared" si="68"/>
        <v>0</v>
      </c>
      <c r="AP152">
        <f>step3_validation[[#This Row],[AI_TRU2]]</f>
        <v>8</v>
      </c>
      <c r="AQ152" t="str">
        <f t="shared" si="69"/>
        <v>Support</v>
      </c>
      <c r="AR152">
        <f>survey_responses[[#This Row],[Tôi thấy mức thuế tôi phải đóng theo phương án mới là công bằng (người thu nhập như tôi đóng mức này là hợp lý). - HUMAN-TRU2]]</f>
        <v>8</v>
      </c>
      <c r="AS152" t="str">
        <f t="shared" si="70"/>
        <v>Support</v>
      </c>
      <c r="AT152" s="32">
        <f t="shared" si="71"/>
        <v>0</v>
      </c>
      <c r="AU152">
        <f>step3_validation[[#This Row],[AI_TRU3]]</f>
        <v>8</v>
      </c>
      <c r="AV152" t="str">
        <f t="shared" si="72"/>
        <v>Support</v>
      </c>
      <c r="AW152">
        <f>survey_responses[[#This Row],[Tôi tin tưởng số tiền thuế tôi đóng sẽ được Nhà nước sử dụng hiệu quả để cải thiện dịch vụ công (y tế, đường xá...). - HUMAN-TRU3]]</f>
        <v>8</v>
      </c>
      <c r="AX152" t="str">
        <f t="shared" si="73"/>
        <v>Support</v>
      </c>
      <c r="AY152" s="32">
        <f t="shared" si="74"/>
        <v>0</v>
      </c>
      <c r="AZ152">
        <f>step3_validation[[#This Row],[AI_TRU4]]</f>
        <v>8</v>
      </c>
      <c r="BA152" t="str">
        <f t="shared" si="75"/>
        <v>Support</v>
      </c>
      <c r="BB152">
        <f>survey_responses[[#This Row],[Tôi thấy Nhà nước đã giải thích rõ ràng, minh bạch về lý do và mục tiêu của việc sửa đổi thuế lần này. - HUMAN-TRU4]]</f>
        <v>8</v>
      </c>
      <c r="BC152" t="str">
        <f t="shared" si="76"/>
        <v>Support</v>
      </c>
      <c r="BD152" s="32">
        <f t="shared" si="77"/>
        <v>0</v>
      </c>
      <c r="BE152">
        <f>step3_validation[[#This Row],[AI_OUT1]]</f>
        <v>9</v>
      </c>
      <c r="BF152" t="str">
        <f t="shared" si="78"/>
        <v>Support</v>
      </c>
      <c r="BG152">
        <f>survey_responses[[#This Row],[Sau khi xem xét các quyền lợi và nghĩa vụ, bạn có ủng hộ và tuân thủ chính sách mới hiện nay? - HUMAN-OUT1]]</f>
        <v>8</v>
      </c>
      <c r="BH152" t="str">
        <f t="shared" si="79"/>
        <v>Support</v>
      </c>
      <c r="BI152" s="32">
        <f t="shared" si="80"/>
        <v>1</v>
      </c>
    </row>
    <row r="153" spans="1:61" x14ac:dyDescent="0.45">
      <c r="A153" s="30">
        <f>step3_validation[[#This Row],[Persona_ID]]</f>
        <v>152</v>
      </c>
      <c r="B153" s="31">
        <f>step3_validation[[#This Row],[Used_Seed]]</f>
        <v>2177</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75.455923341418085</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7</v>
      </c>
      <c r="R153" t="str">
        <f t="shared" si="54"/>
        <v>Neutral</v>
      </c>
      <c r="S153">
        <f>survey_responses[[#This Row],[Tôi tin rằng với các quy định quản lý thuế hiện nay, hành vi gian lận hoặc trốn thuế sẽ dễ dàng bị phát hiện và xử lý nghiêm. - HUMAN-ENF1]]</f>
        <v>10</v>
      </c>
      <c r="T153" t="str">
        <f t="shared" si="55"/>
        <v>Support</v>
      </c>
      <c r="U153" s="32">
        <f t="shared" si="56"/>
        <v>3</v>
      </c>
      <c r="V153">
        <f>step3_validation[[#This Row],[AI_ENF2]]</f>
        <v>6</v>
      </c>
      <c r="W153" t="str">
        <f t="shared" si="57"/>
        <v>Neutral</v>
      </c>
      <c r="X153">
        <f>survey_responses[[#This Row],[Tôi tin rằng Nhà nước, cơ quan thuế có đủ khả năng và công nghệ để phát hiện, xử lý nghiêm các hành vi trốn thuế. - HUMAN-ENF2]]</f>
        <v>10</v>
      </c>
      <c r="Y153" t="str">
        <f t="shared" si="58"/>
        <v>Support</v>
      </c>
      <c r="Z153" s="32">
        <f t="shared" si="59"/>
        <v>4</v>
      </c>
      <c r="AA153">
        <f>step3_validation[[#This Row],[AI_FAC1]]</f>
        <v>9</v>
      </c>
      <c r="AB153" t="str">
        <f t="shared" si="60"/>
        <v>Support</v>
      </c>
      <c r="AC153">
        <f>survey_responses[[#This Row],[Các thủ tục khai báo thuế VÀ/HOẶC quy trình làm việc với cơ quan thuế đơn giản, tiện lợi, nhanh chóng hơn so với trước đây. - HUMAN-FAC1]]</f>
        <v>10</v>
      </c>
      <c r="AD153" t="str">
        <f t="shared" si="61"/>
        <v>Support</v>
      </c>
      <c r="AE153" s="32">
        <f t="shared" si="62"/>
        <v>1</v>
      </c>
      <c r="AF153">
        <f>step3_validation[[#This Row],[AI_FAC2]]</f>
        <v>8</v>
      </c>
      <c r="AG153" t="str">
        <f t="shared" si="63"/>
        <v>Support</v>
      </c>
      <c r="AH153">
        <f>survey_responses[[#This Row],[So với trước đây, tôi thấy cách tính thuế và các bậc thuế trong phương án mới đơn giản, dễ hiểu và dễ thực hiện hơn. - HUMAN-FAC2]]</f>
        <v>10</v>
      </c>
      <c r="AI153" t="str">
        <f t="shared" si="64"/>
        <v>Support</v>
      </c>
      <c r="AJ153" s="32">
        <f t="shared" si="65"/>
        <v>2</v>
      </c>
      <c r="AK153">
        <f>step3_validation[[#This Row],[AI_TRU1]]</f>
        <v>7</v>
      </c>
      <c r="AL153" t="str">
        <f t="shared" si="66"/>
        <v>Neutral</v>
      </c>
      <c r="AM153">
        <f>survey_responses[[#This Row],[Tôi tin rằng Nhà nước, cơ quan thuế sẽ thực thi chính sách mới một cách khách quan, công tâm và đối xử bình đẳng với mọi người nộp thuế.  - HUMAN-TRU1]]</f>
        <v>10</v>
      </c>
      <c r="AN153" t="str">
        <f t="shared" si="67"/>
        <v>Support</v>
      </c>
      <c r="AO153" s="32">
        <f t="shared" si="68"/>
        <v>3</v>
      </c>
      <c r="AP153">
        <f>step3_validation[[#This Row],[AI_TRU2]]</f>
        <v>9</v>
      </c>
      <c r="AQ153" t="str">
        <f t="shared" si="69"/>
        <v>Support</v>
      </c>
      <c r="AR153">
        <f>survey_responses[[#This Row],[Tôi thấy mức thuế tôi phải đóng theo phương án mới là công bằng (người thu nhập như tôi đóng mức này là hợp lý). - HUMAN-TRU2]]</f>
        <v>10</v>
      </c>
      <c r="AS153" t="str">
        <f t="shared" si="70"/>
        <v>Support</v>
      </c>
      <c r="AT153" s="32">
        <f t="shared" si="71"/>
        <v>1</v>
      </c>
      <c r="AU153">
        <f>step3_validation[[#This Row],[AI_TRU3]]</f>
        <v>6</v>
      </c>
      <c r="AV153" t="str">
        <f t="shared" si="72"/>
        <v>Neutral</v>
      </c>
      <c r="AW153">
        <f>survey_responses[[#This Row],[Tôi tin tưởng số tiền thuế tôi đóng sẽ được Nhà nước sử dụng hiệu quả để cải thiện dịch vụ công (y tế, đường xá...). - HUMAN-TRU3]]</f>
        <v>10</v>
      </c>
      <c r="AX153" t="str">
        <f t="shared" si="73"/>
        <v>Support</v>
      </c>
      <c r="AY153" s="32">
        <f t="shared" si="74"/>
        <v>4</v>
      </c>
      <c r="AZ153">
        <f>step3_validation[[#This Row],[AI_TRU4]]</f>
        <v>5</v>
      </c>
      <c r="BA153" t="str">
        <f t="shared" si="75"/>
        <v>Neutral</v>
      </c>
      <c r="BB153">
        <f>survey_responses[[#This Row],[Tôi thấy Nhà nước đã giải thích rõ ràng, minh bạch về lý do và mục tiêu của việc sửa đổi thuế lần này. - HUMAN-TRU4]]</f>
        <v>10</v>
      </c>
      <c r="BC153" t="str">
        <f t="shared" si="76"/>
        <v>Support</v>
      </c>
      <c r="BD153" s="32">
        <f t="shared" si="77"/>
        <v>5</v>
      </c>
      <c r="BE153">
        <f>step3_validation[[#This Row],[AI_OUT1]]</f>
        <v>8</v>
      </c>
      <c r="BF153" t="str">
        <f t="shared" si="78"/>
        <v>Support</v>
      </c>
      <c r="BG153">
        <f>survey_responses[[#This Row],[Sau khi xem xét các quyền lợi và nghĩa vụ, bạn có ủng hộ và tuân thủ chính sách mới hiện nay? - HUMAN-OUT1]]</f>
        <v>10</v>
      </c>
      <c r="BH153" t="str">
        <f t="shared" si="79"/>
        <v>Support</v>
      </c>
      <c r="BI153" s="32">
        <f t="shared" si="80"/>
        <v>2</v>
      </c>
    </row>
    <row r="154" spans="1:61" x14ac:dyDescent="0.45">
      <c r="A154" s="30">
        <f>step3_validation[[#This Row],[Persona_ID]]</f>
        <v>153</v>
      </c>
      <c r="B154" s="31">
        <f>step3_validation[[#This Row],[Used_Seed]]</f>
        <v>2178</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5</v>
      </c>
      <c r="R154" t="str">
        <f t="shared" si="54"/>
        <v>Neutral</v>
      </c>
      <c r="S154">
        <f>survey_responses[[#This Row],[Tôi tin rằng với các quy định quản lý thuế hiện nay, hành vi gian lận hoặc trốn thuế sẽ dễ dàng bị phát hiện và xử lý nghiêm. - HUMAN-ENF1]]</f>
        <v>7</v>
      </c>
      <c r="T154" t="str">
        <f t="shared" si="55"/>
        <v>Neutral</v>
      </c>
      <c r="U154" s="32">
        <f t="shared" si="56"/>
        <v>2</v>
      </c>
      <c r="V154">
        <f>step3_validation[[#This Row],[AI_ENF2]]</f>
        <v>6</v>
      </c>
      <c r="W154" t="str">
        <f t="shared" si="57"/>
        <v>Neutral</v>
      </c>
      <c r="X154">
        <f>survey_responses[[#This Row],[Tôi tin rằng Nhà nước, cơ quan thuế có đủ khả năng và công nghệ để phát hiện, xử lý nghiêm các hành vi trốn thuế. - HUMAN-ENF2]]</f>
        <v>7</v>
      </c>
      <c r="Y154" t="str">
        <f t="shared" si="58"/>
        <v>Neutral</v>
      </c>
      <c r="Z154" s="32">
        <f t="shared" si="59"/>
        <v>1</v>
      </c>
      <c r="AA154">
        <f>step3_validation[[#This Row],[AI_FAC1]]</f>
        <v>8</v>
      </c>
      <c r="AB154" t="str">
        <f t="shared" si="60"/>
        <v>Support</v>
      </c>
      <c r="AC154">
        <f>survey_responses[[#This Row],[Các thủ tục khai báo thuế VÀ/HOẶC quy trình làm việc với cơ quan thuế đơn giản, tiện lợi, nhanh chóng hơn so với trước đây. - HUMAN-FAC1]]</f>
        <v>5</v>
      </c>
      <c r="AD154" t="str">
        <f t="shared" si="61"/>
        <v>Neutral</v>
      </c>
      <c r="AE154" s="32">
        <f t="shared" si="62"/>
        <v>3</v>
      </c>
      <c r="AF154">
        <f>step3_validation[[#This Row],[AI_FAC2]]</f>
        <v>9</v>
      </c>
      <c r="AG154" t="str">
        <f t="shared" si="63"/>
        <v>Support</v>
      </c>
      <c r="AH154">
        <f>survey_responses[[#This Row],[So với trước đây, tôi thấy cách tính thuế và các bậc thuế trong phương án mới đơn giản, dễ hiểu và dễ thực hiện hơn. - HUMAN-FAC2]]</f>
        <v>7</v>
      </c>
      <c r="AI154" t="str">
        <f t="shared" si="64"/>
        <v>Neutral</v>
      </c>
      <c r="AJ154" s="32">
        <f t="shared" si="65"/>
        <v>2</v>
      </c>
      <c r="AK154">
        <f>step3_validation[[#This Row],[AI_TRU1]]</f>
        <v>8</v>
      </c>
      <c r="AL154" t="str">
        <f t="shared" si="66"/>
        <v>Support</v>
      </c>
      <c r="AM154">
        <f>survey_responses[[#This Row],[Tôi tin rằng Nhà nước, cơ quan thuế sẽ thực thi chính sách mới một cách khách quan, công tâm và đối xử bình đẳng với mọi người nộp thuế.  - HUMAN-TRU1]]</f>
        <v>7</v>
      </c>
      <c r="AN154" t="str">
        <f t="shared" si="67"/>
        <v>Neutral</v>
      </c>
      <c r="AO154" s="32">
        <f t="shared" si="68"/>
        <v>1</v>
      </c>
      <c r="AP154">
        <f>step3_validation[[#This Row],[AI_TRU2]]</f>
        <v>7</v>
      </c>
      <c r="AQ154" t="str">
        <f t="shared" si="69"/>
        <v>Neutral</v>
      </c>
      <c r="AR154">
        <f>survey_responses[[#This Row],[Tôi thấy mức thuế tôi phải đóng theo phương án mới là công bằng (người thu nhập như tôi đóng mức này là hợp lý). - HUMAN-TRU2]]</f>
        <v>7</v>
      </c>
      <c r="AS154" t="str">
        <f t="shared" si="70"/>
        <v>Neutral</v>
      </c>
      <c r="AT154" s="32">
        <f t="shared" si="71"/>
        <v>0</v>
      </c>
      <c r="AU154">
        <f>step3_validation[[#This Row],[AI_TRU3]]</f>
        <v>6</v>
      </c>
      <c r="AV154" t="str">
        <f t="shared" si="72"/>
        <v>Neutral</v>
      </c>
      <c r="AW154">
        <f>survey_responses[[#This Row],[Tôi tin tưởng số tiền thuế tôi đóng sẽ được Nhà nước sử dụng hiệu quả để cải thiện dịch vụ công (y tế, đường xá...). - HUMAN-TRU3]]</f>
        <v>7</v>
      </c>
      <c r="AX154" t="str">
        <f t="shared" si="73"/>
        <v>Neutral</v>
      </c>
      <c r="AY154" s="32">
        <f t="shared" si="74"/>
        <v>1</v>
      </c>
      <c r="AZ154">
        <f>step3_validation[[#This Row],[AI_TRU4]]</f>
        <v>7</v>
      </c>
      <c r="BA154" t="str">
        <f t="shared" si="75"/>
        <v>Neutral</v>
      </c>
      <c r="BB154">
        <f>survey_responses[[#This Row],[Tôi thấy Nhà nước đã giải thích rõ ràng, minh bạch về lý do và mục tiêu của việc sửa đổi thuế lần này. - HUMAN-TRU4]]</f>
        <v>7</v>
      </c>
      <c r="BC154" t="str">
        <f t="shared" si="76"/>
        <v>Neutral</v>
      </c>
      <c r="BD154" s="32">
        <f t="shared" si="77"/>
        <v>0</v>
      </c>
      <c r="BE154">
        <f>step3_validation[[#This Row],[AI_OUT1]]</f>
        <v>8</v>
      </c>
      <c r="BF154" t="str">
        <f t="shared" si="78"/>
        <v>Support</v>
      </c>
      <c r="BG154">
        <f>survey_responses[[#This Row],[Sau khi xem xét các quyền lợi và nghĩa vụ, bạn có ủng hộ và tuân thủ chính sách mới hiện nay? - HUMAN-OUT1]]</f>
        <v>7</v>
      </c>
      <c r="BH154" t="str">
        <f t="shared" si="79"/>
        <v>Neutral</v>
      </c>
      <c r="BI154" s="32">
        <f t="shared" si="80"/>
        <v>1</v>
      </c>
    </row>
    <row r="155" spans="1:61" x14ac:dyDescent="0.45">
      <c r="A155" s="30">
        <f>step3_validation[[#This Row],[Persona_ID]]</f>
        <v>154</v>
      </c>
      <c r="B155" s="31">
        <f>step3_validation[[#This Row],[Used_Seed]]</f>
        <v>2179</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8</v>
      </c>
      <c r="R155" t="str">
        <f t="shared" si="54"/>
        <v>Support</v>
      </c>
      <c r="S155">
        <f>survey_responses[[#This Row],[Tôi tin rằng với các quy định quản lý thuế hiện nay, hành vi gian lận hoặc trốn thuế sẽ dễ dàng bị phát hiện và xử lý nghiêm. - HUMAN-ENF1]]</f>
        <v>7</v>
      </c>
      <c r="T155" t="str">
        <f t="shared" si="55"/>
        <v>Neutral</v>
      </c>
      <c r="U155" s="32">
        <f t="shared" si="56"/>
        <v>1</v>
      </c>
      <c r="V155">
        <f>step3_validation[[#This Row],[AI_ENF2]]</f>
        <v>9</v>
      </c>
      <c r="W155" t="str">
        <f t="shared" si="57"/>
        <v>Support</v>
      </c>
      <c r="X155">
        <f>survey_responses[[#This Row],[Tôi tin rằng Nhà nước, cơ quan thuế có đủ khả năng và công nghệ để phát hiện, xử lý nghiêm các hành vi trốn thuế. - HUMAN-ENF2]]</f>
        <v>8</v>
      </c>
      <c r="Y155" t="str">
        <f t="shared" si="58"/>
        <v>Support</v>
      </c>
      <c r="Z155" s="32">
        <f t="shared" si="59"/>
        <v>1</v>
      </c>
      <c r="AA155">
        <f>step3_validation[[#This Row],[AI_FAC1]]</f>
        <v>9</v>
      </c>
      <c r="AB155" t="str">
        <f t="shared" si="60"/>
        <v>Support</v>
      </c>
      <c r="AC155">
        <f>survey_responses[[#This Row],[Các thủ tục khai báo thuế VÀ/HOẶC quy trình làm việc với cơ quan thuế đơn giản, tiện lợi, nhanh chóng hơn so với trước đây. - HUMAN-FAC1]]</f>
        <v>8</v>
      </c>
      <c r="AD155" t="str">
        <f t="shared" si="61"/>
        <v>Support</v>
      </c>
      <c r="AE155" s="32">
        <f t="shared" si="62"/>
        <v>1</v>
      </c>
      <c r="AF155">
        <f>step3_validation[[#This Row],[AI_FAC2]]</f>
        <v>8</v>
      </c>
      <c r="AG155" t="str">
        <f t="shared" si="63"/>
        <v>Support</v>
      </c>
      <c r="AH155">
        <f>survey_responses[[#This Row],[So với trước đây, tôi thấy cách tính thuế và các bậc thuế trong phương án mới đơn giản, dễ hiểu và dễ thực hiện hơn. - HUMAN-FAC2]]</f>
        <v>8</v>
      </c>
      <c r="AI155" t="str">
        <f t="shared" si="64"/>
        <v>Support</v>
      </c>
      <c r="AJ155" s="32">
        <f t="shared" si="65"/>
        <v>0</v>
      </c>
      <c r="AK155">
        <f>step3_validation[[#This Row],[AI_TRU1]]</f>
        <v>7</v>
      </c>
      <c r="AL155" t="str">
        <f t="shared" si="66"/>
        <v>Neutral</v>
      </c>
      <c r="AM155">
        <f>survey_responses[[#This Row],[Tôi tin rằng Nhà nước, cơ quan thuế sẽ thực thi chính sách mới một cách khách quan, công tâm và đối xử bình đẳng với mọi người nộp thuế.  - HUMAN-TRU1]]</f>
        <v>6</v>
      </c>
      <c r="AN155" t="str">
        <f t="shared" si="67"/>
        <v>Neutral</v>
      </c>
      <c r="AO155" s="32">
        <f t="shared" si="68"/>
        <v>1</v>
      </c>
      <c r="AP155">
        <f>step3_validation[[#This Row],[AI_TRU2]]</f>
        <v>8</v>
      </c>
      <c r="AQ155" t="str">
        <f t="shared" si="69"/>
        <v>Support</v>
      </c>
      <c r="AR155">
        <f>survey_responses[[#This Row],[Tôi thấy mức thuế tôi phải đóng theo phương án mới là công bằng (người thu nhập như tôi đóng mức này là hợp lý). - HUMAN-TRU2]]</f>
        <v>8</v>
      </c>
      <c r="AS155" t="str">
        <f t="shared" si="70"/>
        <v>Support</v>
      </c>
      <c r="AT155" s="32">
        <f t="shared" si="71"/>
        <v>0</v>
      </c>
      <c r="AU155">
        <f>step3_validation[[#This Row],[AI_TRU3]]</f>
        <v>7</v>
      </c>
      <c r="AV155" t="str">
        <f t="shared" si="72"/>
        <v>Neutral</v>
      </c>
      <c r="AW155">
        <f>survey_responses[[#This Row],[Tôi tin tưởng số tiền thuế tôi đóng sẽ được Nhà nước sử dụng hiệu quả để cải thiện dịch vụ công (y tế, đường xá...). - HUMAN-TRU3]]</f>
        <v>5</v>
      </c>
      <c r="AX155" t="str">
        <f t="shared" si="73"/>
        <v>Neutral</v>
      </c>
      <c r="AY155" s="32">
        <f t="shared" si="74"/>
        <v>2</v>
      </c>
      <c r="AZ155">
        <f>step3_validation[[#This Row],[AI_TRU4]]</f>
        <v>8</v>
      </c>
      <c r="BA155" t="str">
        <f t="shared" si="75"/>
        <v>Support</v>
      </c>
      <c r="BB155">
        <f>survey_responses[[#This Row],[Tôi thấy Nhà nước đã giải thích rõ ràng, minh bạch về lý do và mục tiêu của việc sửa đổi thuế lần này. - HUMAN-TRU4]]</f>
        <v>8</v>
      </c>
      <c r="BC155" t="str">
        <f t="shared" si="76"/>
        <v>Support</v>
      </c>
      <c r="BD155" s="32">
        <f t="shared" si="77"/>
        <v>0</v>
      </c>
      <c r="BE155">
        <f>step3_validation[[#This Row],[AI_OUT1]]</f>
        <v>9</v>
      </c>
      <c r="BF155" t="str">
        <f t="shared" si="78"/>
        <v>Support</v>
      </c>
      <c r="BG155">
        <f>survey_responses[[#This Row],[Sau khi xem xét các quyền lợi và nghĩa vụ, bạn có ủng hộ và tuân thủ chính sách mới hiện nay? - HUMAN-OUT1]]</f>
        <v>8</v>
      </c>
      <c r="BH155" t="str">
        <f t="shared" si="79"/>
        <v>Support</v>
      </c>
      <c r="BI155" s="32">
        <f t="shared" si="80"/>
        <v>1</v>
      </c>
    </row>
    <row r="156" spans="1:61" x14ac:dyDescent="0.45">
      <c r="A156" s="30">
        <f>step3_validation[[#This Row],[Persona_ID]]</f>
        <v>155</v>
      </c>
      <c r="B156" s="31">
        <f>step3_validation[[#This Row],[Used_Seed]]</f>
        <v>2180</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52.748563270957902</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5</v>
      </c>
      <c r="R156" t="str">
        <f t="shared" si="54"/>
        <v>Neutral</v>
      </c>
      <c r="S156">
        <f>survey_responses[[#This Row],[Tôi tin rằng với các quy định quản lý thuế hiện nay, hành vi gian lận hoặc trốn thuế sẽ dễ dàng bị phát hiện và xử lý nghiêm. - HUMAN-ENF1]]</f>
        <v>10</v>
      </c>
      <c r="T156" t="str">
        <f t="shared" si="55"/>
        <v>Support</v>
      </c>
      <c r="U156" s="32">
        <f t="shared" si="56"/>
        <v>5</v>
      </c>
      <c r="V156">
        <f>step3_validation[[#This Row],[AI_ENF2]]</f>
        <v>6</v>
      </c>
      <c r="W156" t="str">
        <f t="shared" si="57"/>
        <v>Neutral</v>
      </c>
      <c r="X156">
        <f>survey_responses[[#This Row],[Tôi tin rằng Nhà nước, cơ quan thuế có đủ khả năng và công nghệ để phát hiện, xử lý nghiêm các hành vi trốn thuế. - HUMAN-ENF2]]</f>
        <v>10</v>
      </c>
      <c r="Y156" t="str">
        <f t="shared" si="58"/>
        <v>Support</v>
      </c>
      <c r="Z156" s="32">
        <f t="shared" si="59"/>
        <v>4</v>
      </c>
      <c r="AA156">
        <f>step3_validation[[#This Row],[AI_FAC1]]</f>
        <v>7</v>
      </c>
      <c r="AB156" t="str">
        <f t="shared" si="60"/>
        <v>Neutral</v>
      </c>
      <c r="AC156">
        <f>survey_responses[[#This Row],[Các thủ tục khai báo thuế VÀ/HOẶC quy trình làm việc với cơ quan thuế đơn giản, tiện lợi, nhanh chóng hơn so với trước đây. - HUMAN-FAC1]]</f>
        <v>10</v>
      </c>
      <c r="AD156" t="str">
        <f t="shared" si="61"/>
        <v>Support</v>
      </c>
      <c r="AE156" s="32">
        <f t="shared" si="62"/>
        <v>3</v>
      </c>
      <c r="AF156">
        <f>step3_validation[[#This Row],[AI_FAC2]]</f>
        <v>9</v>
      </c>
      <c r="AG156" t="str">
        <f t="shared" si="63"/>
        <v>Support</v>
      </c>
      <c r="AH156">
        <f>survey_responses[[#This Row],[So với trước đây, tôi thấy cách tính thuế và các bậc thuế trong phương án mới đơn giản, dễ hiểu và dễ thực hiện hơn. - HUMAN-FAC2]]</f>
        <v>10</v>
      </c>
      <c r="AI156" t="str">
        <f t="shared" si="64"/>
        <v>Support</v>
      </c>
      <c r="AJ156" s="32">
        <f t="shared" si="65"/>
        <v>1</v>
      </c>
      <c r="AK156">
        <f>step3_validation[[#This Row],[AI_TRU1]]</f>
        <v>7</v>
      </c>
      <c r="AL156" t="str">
        <f t="shared" si="66"/>
        <v>Neutral</v>
      </c>
      <c r="AM156">
        <f>survey_responses[[#This Row],[Tôi tin rằng Nhà nước, cơ quan thuế sẽ thực thi chính sách mới một cách khách quan, công tâm và đối xử bình đẳng với mọi người nộp thuế.  - HUMAN-TRU1]]</f>
        <v>10</v>
      </c>
      <c r="AN156" t="str">
        <f t="shared" si="67"/>
        <v>Support</v>
      </c>
      <c r="AO156" s="32">
        <f t="shared" si="68"/>
        <v>3</v>
      </c>
      <c r="AP156">
        <f>step3_validation[[#This Row],[AI_TRU2]]</f>
        <v>9</v>
      </c>
      <c r="AQ156" t="str">
        <f t="shared" si="69"/>
        <v>Support</v>
      </c>
      <c r="AR156">
        <f>survey_responses[[#This Row],[Tôi thấy mức thuế tôi phải đóng theo phương án mới là công bằng (người thu nhập như tôi đóng mức này là hợp lý). - HUMAN-TRU2]]</f>
        <v>10</v>
      </c>
      <c r="AS156" t="str">
        <f t="shared" si="70"/>
        <v>Support</v>
      </c>
      <c r="AT156" s="32">
        <f t="shared" si="71"/>
        <v>1</v>
      </c>
      <c r="AU156">
        <f>step3_validation[[#This Row],[AI_TRU3]]</f>
        <v>8</v>
      </c>
      <c r="AV156" t="str">
        <f t="shared" si="72"/>
        <v>Support</v>
      </c>
      <c r="AW156">
        <f>survey_responses[[#This Row],[Tôi tin tưởng số tiền thuế tôi đóng sẽ được Nhà nước sử dụng hiệu quả để cải thiện dịch vụ công (y tế, đường xá...). - HUMAN-TRU3]]</f>
        <v>10</v>
      </c>
      <c r="AX156" t="str">
        <f t="shared" si="73"/>
        <v>Support</v>
      </c>
      <c r="AY156" s="32">
        <f t="shared" si="74"/>
        <v>2</v>
      </c>
      <c r="AZ156">
        <f>step3_validation[[#This Row],[AI_TRU4]]</f>
        <v>7</v>
      </c>
      <c r="BA156" t="str">
        <f t="shared" si="75"/>
        <v>Neutral</v>
      </c>
      <c r="BB156">
        <f>survey_responses[[#This Row],[Tôi thấy Nhà nước đã giải thích rõ ràng, minh bạch về lý do và mục tiêu của việc sửa đổi thuế lần này. - HUMAN-TRU4]]</f>
        <v>10</v>
      </c>
      <c r="BC156" t="str">
        <f t="shared" si="76"/>
        <v>Support</v>
      </c>
      <c r="BD156" s="32">
        <f t="shared" si="77"/>
        <v>3</v>
      </c>
      <c r="BE156">
        <f>step3_validation[[#This Row],[AI_OUT1]]</f>
        <v>9</v>
      </c>
      <c r="BF156" t="str">
        <f t="shared" si="78"/>
        <v>Support</v>
      </c>
      <c r="BG156">
        <f>survey_responses[[#This Row],[Sau khi xem xét các quyền lợi và nghĩa vụ, bạn có ủng hộ và tuân thủ chính sách mới hiện nay? - HUMAN-OUT1]]</f>
        <v>10</v>
      </c>
      <c r="BH156" t="str">
        <f t="shared" si="79"/>
        <v>Support</v>
      </c>
      <c r="BI156" s="32">
        <f t="shared" si="80"/>
        <v>1</v>
      </c>
    </row>
    <row r="157" spans="1:61" x14ac:dyDescent="0.45">
      <c r="A157" s="30">
        <f>step3_validation[[#This Row],[Persona_ID]]</f>
        <v>156</v>
      </c>
      <c r="B157" s="31">
        <f>step3_validation[[#This Row],[Used_Seed]]</f>
        <v>2181</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26.050707377876122</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6</v>
      </c>
      <c r="R157" t="str">
        <f t="shared" si="54"/>
        <v>Neutral</v>
      </c>
      <c r="S157">
        <f>survey_responses[[#This Row],[Tôi tin rằng với các quy định quản lý thuế hiện nay, hành vi gian lận hoặc trốn thuế sẽ dễ dàng bị phát hiện và xử lý nghiêm. - HUMAN-ENF1]]</f>
        <v>10</v>
      </c>
      <c r="T157" t="str">
        <f t="shared" si="55"/>
        <v>Support</v>
      </c>
      <c r="U157" s="32">
        <f t="shared" si="56"/>
        <v>4</v>
      </c>
      <c r="V157">
        <f>step3_validation[[#This Row],[AI_ENF2]]</f>
        <v>7</v>
      </c>
      <c r="W157" t="str">
        <f t="shared" si="57"/>
        <v>Neutral</v>
      </c>
      <c r="X157">
        <f>survey_responses[[#This Row],[Tôi tin rằng Nhà nước, cơ quan thuế có đủ khả năng và công nghệ để phát hiện, xử lý nghiêm các hành vi trốn thuế. - HUMAN-ENF2]]</f>
        <v>10</v>
      </c>
      <c r="Y157" t="str">
        <f t="shared" si="58"/>
        <v>Support</v>
      </c>
      <c r="Z157" s="32">
        <f t="shared" si="59"/>
        <v>3</v>
      </c>
      <c r="AA157">
        <f>step3_validation[[#This Row],[AI_FAC1]]</f>
        <v>8</v>
      </c>
      <c r="AB157" t="str">
        <f t="shared" si="60"/>
        <v>Support</v>
      </c>
      <c r="AC157">
        <f>survey_responses[[#This Row],[Các thủ tục khai báo thuế VÀ/HOẶC quy trình làm việc với cơ quan thuế đơn giản, tiện lợi, nhanh chóng hơn so với trước đây. - HUMAN-FAC1]]</f>
        <v>10</v>
      </c>
      <c r="AD157" t="str">
        <f t="shared" si="61"/>
        <v>Support</v>
      </c>
      <c r="AE157" s="32">
        <f t="shared" si="62"/>
        <v>2</v>
      </c>
      <c r="AF157">
        <f>step3_validation[[#This Row],[AI_FAC2]]</f>
        <v>9</v>
      </c>
      <c r="AG157" t="str">
        <f t="shared" si="63"/>
        <v>Support</v>
      </c>
      <c r="AH157">
        <f>survey_responses[[#This Row],[So với trước đây, tôi thấy cách tính thuế và các bậc thuế trong phương án mới đơn giản, dễ hiểu và dễ thực hiện hơn. - HUMAN-FAC2]]</f>
        <v>10</v>
      </c>
      <c r="AI157" t="str">
        <f t="shared" si="64"/>
        <v>Support</v>
      </c>
      <c r="AJ157" s="32">
        <f t="shared" si="65"/>
        <v>1</v>
      </c>
      <c r="AK157">
        <f>step3_validation[[#This Row],[AI_TRU1]]</f>
        <v>8</v>
      </c>
      <c r="AL157" t="str">
        <f t="shared" si="66"/>
        <v>Support</v>
      </c>
      <c r="AM157">
        <f>survey_responses[[#This Row],[Tôi tin rằng Nhà nước, cơ quan thuế sẽ thực thi chính sách mới một cách khách quan, công tâm và đối xử bình đẳng với mọi người nộp thuế.  - HUMAN-TRU1]]</f>
        <v>10</v>
      </c>
      <c r="AN157" t="str">
        <f t="shared" si="67"/>
        <v>Support</v>
      </c>
      <c r="AO157" s="32">
        <f t="shared" si="68"/>
        <v>2</v>
      </c>
      <c r="AP157">
        <f>step3_validation[[#This Row],[AI_TRU2]]</f>
        <v>9</v>
      </c>
      <c r="AQ157" t="str">
        <f t="shared" si="69"/>
        <v>Support</v>
      </c>
      <c r="AR157">
        <f>survey_responses[[#This Row],[Tôi thấy mức thuế tôi phải đóng theo phương án mới là công bằng (người thu nhập như tôi đóng mức này là hợp lý). - HUMAN-TRU2]]</f>
        <v>10</v>
      </c>
      <c r="AS157" t="str">
        <f t="shared" si="70"/>
        <v>Support</v>
      </c>
      <c r="AT157" s="32">
        <f t="shared" si="71"/>
        <v>1</v>
      </c>
      <c r="AU157">
        <f>step3_validation[[#This Row],[AI_TRU3]]</f>
        <v>8</v>
      </c>
      <c r="AV157" t="str">
        <f t="shared" si="72"/>
        <v>Support</v>
      </c>
      <c r="AW157">
        <f>survey_responses[[#This Row],[Tôi tin tưởng số tiền thuế tôi đóng sẽ được Nhà nước sử dụng hiệu quả để cải thiện dịch vụ công (y tế, đường xá...). - HUMAN-TRU3]]</f>
        <v>10</v>
      </c>
      <c r="AX157" t="str">
        <f t="shared" si="73"/>
        <v>Support</v>
      </c>
      <c r="AY157" s="32">
        <f t="shared" si="74"/>
        <v>2</v>
      </c>
      <c r="AZ157">
        <f>step3_validation[[#This Row],[AI_TRU4]]</f>
        <v>7</v>
      </c>
      <c r="BA157" t="str">
        <f t="shared" si="75"/>
        <v>Neutral</v>
      </c>
      <c r="BB157">
        <f>survey_responses[[#This Row],[Tôi thấy Nhà nước đã giải thích rõ ràng, minh bạch về lý do và mục tiêu của việc sửa đổi thuế lần này. - HUMAN-TRU4]]</f>
        <v>10</v>
      </c>
      <c r="BC157" t="str">
        <f t="shared" si="76"/>
        <v>Support</v>
      </c>
      <c r="BD157" s="32">
        <f t="shared" si="77"/>
        <v>3</v>
      </c>
      <c r="BE157">
        <f>step3_validation[[#This Row],[AI_OUT1]]</f>
        <v>9</v>
      </c>
      <c r="BF157" t="str">
        <f t="shared" si="78"/>
        <v>Support</v>
      </c>
      <c r="BG157">
        <f>survey_responses[[#This Row],[Sau khi xem xét các quyền lợi và nghĩa vụ, bạn có ủng hộ và tuân thủ chính sách mới hiện nay? - HUMAN-OUT1]]</f>
        <v>10</v>
      </c>
      <c r="BH157" t="str">
        <f t="shared" si="79"/>
        <v>Support</v>
      </c>
      <c r="BI157" s="32">
        <f t="shared" si="80"/>
        <v>1</v>
      </c>
    </row>
    <row r="158" spans="1:61" x14ac:dyDescent="0.45">
      <c r="A158" s="30">
        <f>step3_validation[[#This Row],[Persona_ID]]</f>
        <v>157</v>
      </c>
      <c r="B158" s="31">
        <f>step3_validation[[#This Row],[Used_Seed]]</f>
        <v>2182</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93.297236366051052</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7</v>
      </c>
      <c r="R158" t="str">
        <f t="shared" si="54"/>
        <v>Neutral</v>
      </c>
      <c r="S158">
        <f>survey_responses[[#This Row],[Tôi tin rằng với các quy định quản lý thuế hiện nay, hành vi gian lận hoặc trốn thuế sẽ dễ dàng bị phát hiện và xử lý nghiêm. - HUMAN-ENF1]]</f>
        <v>10</v>
      </c>
      <c r="T158" t="str">
        <f t="shared" si="55"/>
        <v>Support</v>
      </c>
      <c r="U158" s="32">
        <f t="shared" si="56"/>
        <v>3</v>
      </c>
      <c r="V158">
        <f>step3_validation[[#This Row],[AI_ENF2]]</f>
        <v>8</v>
      </c>
      <c r="W158" t="str">
        <f t="shared" si="57"/>
        <v>Support</v>
      </c>
      <c r="X158">
        <f>survey_responses[[#This Row],[Tôi tin rằng Nhà nước, cơ quan thuế có đủ khả năng và công nghệ để phát hiện, xử lý nghiêm các hành vi trốn thuế. - HUMAN-ENF2]]</f>
        <v>10</v>
      </c>
      <c r="Y158" t="str">
        <f t="shared" si="58"/>
        <v>Support</v>
      </c>
      <c r="Z158" s="32">
        <f t="shared" si="59"/>
        <v>2</v>
      </c>
      <c r="AA158">
        <f>step3_validation[[#This Row],[AI_FAC1]]</f>
        <v>9</v>
      </c>
      <c r="AB158" t="str">
        <f t="shared" si="60"/>
        <v>Support</v>
      </c>
      <c r="AC158">
        <f>survey_responses[[#This Row],[Các thủ tục khai báo thuế VÀ/HOẶC quy trình làm việc với cơ quan thuế đơn giản, tiện lợi, nhanh chóng hơn so với trước đây. - HUMAN-FAC1]]</f>
        <v>1</v>
      </c>
      <c r="AD158" t="str">
        <f t="shared" si="61"/>
        <v>Oppose</v>
      </c>
      <c r="AE158" s="32">
        <f t="shared" si="62"/>
        <v>8</v>
      </c>
      <c r="AF158">
        <f>step3_validation[[#This Row],[AI_FAC2]]</f>
        <v>9</v>
      </c>
      <c r="AG158" t="str">
        <f t="shared" si="63"/>
        <v>Support</v>
      </c>
      <c r="AH158">
        <f>survey_responses[[#This Row],[So với trước đây, tôi thấy cách tính thuế và các bậc thuế trong phương án mới đơn giản, dễ hiểu và dễ thực hiện hơn. - HUMAN-FAC2]]</f>
        <v>10</v>
      </c>
      <c r="AI158" t="str">
        <f t="shared" si="64"/>
        <v>Support</v>
      </c>
      <c r="AJ158" s="32">
        <f t="shared" si="65"/>
        <v>1</v>
      </c>
      <c r="AK158">
        <f>step3_validation[[#This Row],[AI_TRU1]]</f>
        <v>7</v>
      </c>
      <c r="AL158" t="str">
        <f t="shared" si="66"/>
        <v>Neutral</v>
      </c>
      <c r="AM158">
        <f>survey_responses[[#This Row],[Tôi tin rằng Nhà nước, cơ quan thuế sẽ thực thi chính sách mới một cách khách quan, công tâm và đối xử bình đẳng với mọi người nộp thuế.  - HUMAN-TRU1]]</f>
        <v>1</v>
      </c>
      <c r="AN158" t="str">
        <f t="shared" si="67"/>
        <v>Oppose</v>
      </c>
      <c r="AO158" s="32">
        <f t="shared" si="68"/>
        <v>6</v>
      </c>
      <c r="AP158">
        <f>step3_validation[[#This Row],[AI_TRU2]]</f>
        <v>8</v>
      </c>
      <c r="AQ158" t="str">
        <f t="shared" si="69"/>
        <v>Support</v>
      </c>
      <c r="AR158">
        <f>survey_responses[[#This Row],[Tôi thấy mức thuế tôi phải đóng theo phương án mới là công bằng (người thu nhập như tôi đóng mức này là hợp lý). - HUMAN-TRU2]]</f>
        <v>1</v>
      </c>
      <c r="AS158" t="str">
        <f t="shared" si="70"/>
        <v>Oppose</v>
      </c>
      <c r="AT158" s="32">
        <f t="shared" si="71"/>
        <v>7</v>
      </c>
      <c r="AU158">
        <f>step3_validation[[#This Row],[AI_TRU3]]</f>
        <v>9</v>
      </c>
      <c r="AV158" t="str">
        <f t="shared" si="72"/>
        <v>Support</v>
      </c>
      <c r="AW158">
        <f>survey_responses[[#This Row],[Tôi tin tưởng số tiền thuế tôi đóng sẽ được Nhà nước sử dụng hiệu quả để cải thiện dịch vụ công (y tế, đường xá...). - HUMAN-TRU3]]</f>
        <v>1</v>
      </c>
      <c r="AX158" t="str">
        <f t="shared" si="73"/>
        <v>Oppose</v>
      </c>
      <c r="AY158" s="32">
        <f t="shared" si="74"/>
        <v>8</v>
      </c>
      <c r="AZ158">
        <f>step3_validation[[#This Row],[AI_TRU4]]</f>
        <v>7</v>
      </c>
      <c r="BA158" t="str">
        <f t="shared" si="75"/>
        <v>Neutral</v>
      </c>
      <c r="BB158">
        <f>survey_responses[[#This Row],[Tôi thấy Nhà nước đã giải thích rõ ràng, minh bạch về lý do và mục tiêu của việc sửa đổi thuế lần này. - HUMAN-TRU4]]</f>
        <v>1</v>
      </c>
      <c r="BC158" t="str">
        <f t="shared" si="76"/>
        <v>Oppose</v>
      </c>
      <c r="BD158" s="32">
        <f t="shared" si="77"/>
        <v>6</v>
      </c>
      <c r="BE158">
        <f>step3_validation[[#This Row],[AI_OUT1]]</f>
        <v>9</v>
      </c>
      <c r="BF158" t="str">
        <f t="shared" si="78"/>
        <v>Support</v>
      </c>
      <c r="BG158">
        <f>survey_responses[[#This Row],[Sau khi xem xét các quyền lợi và nghĩa vụ, bạn có ủng hộ và tuân thủ chính sách mới hiện nay? - HUMAN-OUT1]]</f>
        <v>6</v>
      </c>
      <c r="BH158" t="str">
        <f t="shared" si="79"/>
        <v>Neutral</v>
      </c>
      <c r="BI158" s="32">
        <f t="shared" si="80"/>
        <v>3</v>
      </c>
    </row>
    <row r="159" spans="1:61" x14ac:dyDescent="0.45">
      <c r="A159" s="30">
        <f>step3_validation[[#This Row],[Persona_ID]]</f>
        <v>158</v>
      </c>
      <c r="B159" s="31">
        <f>step3_validation[[#This Row],[Used_Seed]]</f>
        <v>2183</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74.740971459858514</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5</v>
      </c>
      <c r="R159" t="str">
        <f t="shared" si="54"/>
        <v>Neutral</v>
      </c>
      <c r="S159">
        <f>survey_responses[[#This Row],[Tôi tin rằng với các quy định quản lý thuế hiện nay, hành vi gian lận hoặc trốn thuế sẽ dễ dàng bị phát hiện và xử lý nghiêm. - HUMAN-ENF1]]</f>
        <v>7</v>
      </c>
      <c r="T159" t="str">
        <f t="shared" si="55"/>
        <v>Neutral</v>
      </c>
      <c r="U159" s="32">
        <f t="shared" si="56"/>
        <v>2</v>
      </c>
      <c r="V159">
        <f>step3_validation[[#This Row],[AI_ENF2]]</f>
        <v>6</v>
      </c>
      <c r="W159" t="str">
        <f t="shared" si="57"/>
        <v>Neutral</v>
      </c>
      <c r="X159">
        <f>survey_responses[[#This Row],[Tôi tin rằng Nhà nước, cơ quan thuế có đủ khả năng và công nghệ để phát hiện, xử lý nghiêm các hành vi trốn thuế. - HUMAN-ENF2]]</f>
        <v>8</v>
      </c>
      <c r="Y159" t="str">
        <f t="shared" si="58"/>
        <v>Support</v>
      </c>
      <c r="Z159" s="32">
        <f t="shared" si="59"/>
        <v>2</v>
      </c>
      <c r="AA159">
        <f>step3_validation[[#This Row],[AI_FAC1]]</f>
        <v>8</v>
      </c>
      <c r="AB159" t="str">
        <f t="shared" si="60"/>
        <v>Support</v>
      </c>
      <c r="AC159">
        <f>survey_responses[[#This Row],[Các thủ tục khai báo thuế VÀ/HOẶC quy trình làm việc với cơ quan thuế đơn giản, tiện lợi, nhanh chóng hơn so với trước đây. - HUMAN-FAC1]]</f>
        <v>6</v>
      </c>
      <c r="AD159" t="str">
        <f t="shared" si="61"/>
        <v>Neutral</v>
      </c>
      <c r="AE159" s="32">
        <f t="shared" si="62"/>
        <v>2</v>
      </c>
      <c r="AF159">
        <f>step3_validation[[#This Row],[AI_FAC2]]</f>
        <v>9</v>
      </c>
      <c r="AG159" t="str">
        <f t="shared" si="63"/>
        <v>Support</v>
      </c>
      <c r="AH159">
        <f>survey_responses[[#This Row],[So với trước đây, tôi thấy cách tính thuế và các bậc thuế trong phương án mới đơn giản, dễ hiểu và dễ thực hiện hơn. - HUMAN-FAC2]]</f>
        <v>6</v>
      </c>
      <c r="AI159" t="str">
        <f t="shared" si="64"/>
        <v>Neutral</v>
      </c>
      <c r="AJ159" s="32">
        <f t="shared" si="65"/>
        <v>3</v>
      </c>
      <c r="AK159">
        <f>step3_validation[[#This Row],[AI_TRU1]]</f>
        <v>7</v>
      </c>
      <c r="AL159" t="str">
        <f t="shared" si="66"/>
        <v>Neutral</v>
      </c>
      <c r="AM159">
        <f>survey_responses[[#This Row],[Tôi tin rằng Nhà nước, cơ quan thuế sẽ thực thi chính sách mới một cách khách quan, công tâm và đối xử bình đẳng với mọi người nộp thuế.  - HUMAN-TRU1]]</f>
        <v>7</v>
      </c>
      <c r="AN159" t="str">
        <f t="shared" si="67"/>
        <v>Neutral</v>
      </c>
      <c r="AO159" s="32">
        <f t="shared" si="68"/>
        <v>0</v>
      </c>
      <c r="AP159">
        <f>step3_validation[[#This Row],[AI_TRU2]]</f>
        <v>8</v>
      </c>
      <c r="AQ159" t="str">
        <f t="shared" si="69"/>
        <v>Support</v>
      </c>
      <c r="AR159">
        <f>survey_responses[[#This Row],[Tôi thấy mức thuế tôi phải đóng theo phương án mới là công bằng (người thu nhập như tôi đóng mức này là hợp lý). - HUMAN-TRU2]]</f>
        <v>5</v>
      </c>
      <c r="AS159" t="str">
        <f t="shared" si="70"/>
        <v>Neutral</v>
      </c>
      <c r="AT159" s="32">
        <f t="shared" si="71"/>
        <v>3</v>
      </c>
      <c r="AU159">
        <f>step3_validation[[#This Row],[AI_TRU3]]</f>
        <v>6</v>
      </c>
      <c r="AV159" t="str">
        <f t="shared" si="72"/>
        <v>Neutral</v>
      </c>
      <c r="AW159">
        <f>survey_responses[[#This Row],[Tôi tin tưởng số tiền thuế tôi đóng sẽ được Nhà nước sử dụng hiệu quả để cải thiện dịch vụ công (y tế, đường xá...). - HUMAN-TRU3]]</f>
        <v>6</v>
      </c>
      <c r="AX159" t="str">
        <f t="shared" si="73"/>
        <v>Neutral</v>
      </c>
      <c r="AY159" s="32">
        <f t="shared" si="74"/>
        <v>0</v>
      </c>
      <c r="AZ159">
        <f>step3_validation[[#This Row],[AI_TRU4]]</f>
        <v>8</v>
      </c>
      <c r="BA159" t="str">
        <f t="shared" si="75"/>
        <v>Support</v>
      </c>
      <c r="BB159">
        <f>survey_responses[[#This Row],[Tôi thấy Nhà nước đã giải thích rõ ràng, minh bạch về lý do và mục tiêu của việc sửa đổi thuế lần này. - HUMAN-TRU4]]</f>
        <v>7</v>
      </c>
      <c r="BC159" t="str">
        <f t="shared" si="76"/>
        <v>Neutral</v>
      </c>
      <c r="BD159" s="32">
        <f t="shared" si="77"/>
        <v>1</v>
      </c>
      <c r="BE159">
        <f>step3_validation[[#This Row],[AI_OUT1]]</f>
        <v>9</v>
      </c>
      <c r="BF159" t="str">
        <f t="shared" si="78"/>
        <v>Support</v>
      </c>
      <c r="BG159">
        <f>survey_responses[[#This Row],[Sau khi xem xét các quyền lợi và nghĩa vụ, bạn có ủng hộ và tuân thủ chính sách mới hiện nay? - HUMAN-OUT1]]</f>
        <v>7</v>
      </c>
      <c r="BH159" t="str">
        <f t="shared" si="79"/>
        <v>Neutral</v>
      </c>
      <c r="BI159" s="32">
        <f t="shared" si="80"/>
        <v>2</v>
      </c>
    </row>
    <row r="160" spans="1:61" x14ac:dyDescent="0.45">
      <c r="A160" s="30">
        <f>step3_validation[[#This Row],[Persona_ID]]</f>
        <v>159</v>
      </c>
      <c r="B160" s="31">
        <f>step3_validation[[#This Row],[Used_Seed]]</f>
        <v>2184</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36.948773906421572</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8</v>
      </c>
      <c r="R160" t="str">
        <f t="shared" si="54"/>
        <v>Support</v>
      </c>
      <c r="S160">
        <f>survey_responses[[#This Row],[Tôi tin rằng với các quy định quản lý thuế hiện nay, hành vi gian lận hoặc trốn thuế sẽ dễ dàng bị phát hiện và xử lý nghiêm. - HUMAN-ENF1]]</f>
        <v>2</v>
      </c>
      <c r="T160" t="str">
        <f t="shared" si="55"/>
        <v>Oppose</v>
      </c>
      <c r="U160" s="32">
        <f t="shared" si="56"/>
        <v>6</v>
      </c>
      <c r="V160">
        <f>step3_validation[[#This Row],[AI_ENF2]]</f>
        <v>9</v>
      </c>
      <c r="W160" t="str">
        <f t="shared" si="57"/>
        <v>Support</v>
      </c>
      <c r="X160">
        <f>survey_responses[[#This Row],[Tôi tin rằng Nhà nước, cơ quan thuế có đủ khả năng và công nghệ để phát hiện, xử lý nghiêm các hành vi trốn thuế. - HUMAN-ENF2]]</f>
        <v>7</v>
      </c>
      <c r="Y160" t="str">
        <f t="shared" si="58"/>
        <v>Neutral</v>
      </c>
      <c r="Z160" s="32">
        <f t="shared" si="59"/>
        <v>2</v>
      </c>
      <c r="AA160">
        <f>step3_validation[[#This Row],[AI_FAC1]]</f>
        <v>7</v>
      </c>
      <c r="AB160" t="str">
        <f t="shared" si="60"/>
        <v>Neutral</v>
      </c>
      <c r="AC160">
        <f>survey_responses[[#This Row],[Các thủ tục khai báo thuế VÀ/HOẶC quy trình làm việc với cơ quan thuế đơn giản, tiện lợi, nhanh chóng hơn so với trước đây. - HUMAN-FAC1]]</f>
        <v>10</v>
      </c>
      <c r="AD160" t="str">
        <f t="shared" si="61"/>
        <v>Support</v>
      </c>
      <c r="AE160" s="32">
        <f t="shared" si="62"/>
        <v>3</v>
      </c>
      <c r="AF160">
        <f>step3_validation[[#This Row],[AI_FAC2]]</f>
        <v>9</v>
      </c>
      <c r="AG160" t="str">
        <f t="shared" si="63"/>
        <v>Support</v>
      </c>
      <c r="AH160">
        <f>survey_responses[[#This Row],[So với trước đây, tôi thấy cách tính thuế và các bậc thuế trong phương án mới đơn giản, dễ hiểu và dễ thực hiện hơn. - HUMAN-FAC2]]</f>
        <v>2</v>
      </c>
      <c r="AI160" t="str">
        <f t="shared" si="64"/>
        <v>Oppose</v>
      </c>
      <c r="AJ160" s="32">
        <f t="shared" si="65"/>
        <v>7</v>
      </c>
      <c r="AK160">
        <f>step3_validation[[#This Row],[AI_TRU1]]</f>
        <v>8</v>
      </c>
      <c r="AL160" t="str">
        <f t="shared" si="66"/>
        <v>Support</v>
      </c>
      <c r="AM160">
        <f>survey_responses[[#This Row],[Tôi tin rằng Nhà nước, cơ quan thuế sẽ thực thi chính sách mới một cách khách quan, công tâm và đối xử bình đẳng với mọi người nộp thuế.  - HUMAN-TRU1]]</f>
        <v>10</v>
      </c>
      <c r="AN160" t="str">
        <f t="shared" si="67"/>
        <v>Support</v>
      </c>
      <c r="AO160" s="32">
        <f t="shared" si="68"/>
        <v>2</v>
      </c>
      <c r="AP160">
        <f>step3_validation[[#This Row],[AI_TRU2]]</f>
        <v>9</v>
      </c>
      <c r="AQ160" t="str">
        <f t="shared" si="69"/>
        <v>Support</v>
      </c>
      <c r="AR160">
        <f>survey_responses[[#This Row],[Tôi thấy mức thuế tôi phải đóng theo phương án mới là công bằng (người thu nhập như tôi đóng mức này là hợp lý). - HUMAN-TRU2]]</f>
        <v>5</v>
      </c>
      <c r="AS160" t="str">
        <f t="shared" si="70"/>
        <v>Neutral</v>
      </c>
      <c r="AT160" s="32">
        <f t="shared" si="71"/>
        <v>4</v>
      </c>
      <c r="AU160">
        <f>step3_validation[[#This Row],[AI_TRU3]]</f>
        <v>8</v>
      </c>
      <c r="AV160" t="str">
        <f t="shared" si="72"/>
        <v>Support</v>
      </c>
      <c r="AW160">
        <f>survey_responses[[#This Row],[Tôi tin tưởng số tiền thuế tôi đóng sẽ được Nhà nước sử dụng hiệu quả để cải thiện dịch vụ công (y tế, đường xá...). - HUMAN-TRU3]]</f>
        <v>10</v>
      </c>
      <c r="AX160" t="str">
        <f t="shared" si="73"/>
        <v>Support</v>
      </c>
      <c r="AY160" s="32">
        <f t="shared" si="74"/>
        <v>2</v>
      </c>
      <c r="AZ160">
        <f>step3_validation[[#This Row],[AI_TRU4]]</f>
        <v>9</v>
      </c>
      <c r="BA160" t="str">
        <f t="shared" si="75"/>
        <v>Support</v>
      </c>
      <c r="BB160">
        <f>survey_responses[[#This Row],[Tôi thấy Nhà nước đã giải thích rõ ràng, minh bạch về lý do và mục tiêu của việc sửa đổi thuế lần này. - HUMAN-TRU4]]</f>
        <v>3</v>
      </c>
      <c r="BC160" t="str">
        <f t="shared" si="76"/>
        <v>Oppose</v>
      </c>
      <c r="BD160" s="32">
        <f t="shared" si="77"/>
        <v>6</v>
      </c>
      <c r="BE160">
        <f>step3_validation[[#This Row],[AI_OUT1]]</f>
        <v>10</v>
      </c>
      <c r="BF160" t="str">
        <f t="shared" si="78"/>
        <v>Support</v>
      </c>
      <c r="BG160">
        <f>survey_responses[[#This Row],[Sau khi xem xét các quyền lợi và nghĩa vụ, bạn có ủng hộ và tuân thủ chính sách mới hiện nay? - HUMAN-OUT1]]</f>
        <v>3</v>
      </c>
      <c r="BH160" t="str">
        <f t="shared" si="79"/>
        <v>Oppose</v>
      </c>
      <c r="BI160" s="32">
        <f t="shared" si="80"/>
        <v>7</v>
      </c>
    </row>
    <row r="161" spans="1:61" x14ac:dyDescent="0.45">
      <c r="A161" s="30">
        <f>step3_validation[[#This Row],[Persona_ID]]</f>
        <v>160</v>
      </c>
      <c r="B161" s="31">
        <f>step3_validation[[#This Row],[Used_Seed]]</f>
        <v>2185</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43.747207744892705</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7</v>
      </c>
      <c r="R161" t="str">
        <f t="shared" si="54"/>
        <v>Neutral</v>
      </c>
      <c r="S161">
        <f>survey_responses[[#This Row],[Tôi tin rằng với các quy định quản lý thuế hiện nay, hành vi gian lận hoặc trốn thuế sẽ dễ dàng bị phát hiện và xử lý nghiêm. - HUMAN-ENF1]]</f>
        <v>9</v>
      </c>
      <c r="T161" t="str">
        <f t="shared" si="55"/>
        <v>Support</v>
      </c>
      <c r="U161" s="32">
        <f t="shared" si="56"/>
        <v>2</v>
      </c>
      <c r="V161">
        <f>step3_validation[[#This Row],[AI_ENF2]]</f>
        <v>8</v>
      </c>
      <c r="W161" t="str">
        <f t="shared" si="57"/>
        <v>Support</v>
      </c>
      <c r="X161">
        <f>survey_responses[[#This Row],[Tôi tin rằng Nhà nước, cơ quan thuế có đủ khả năng và công nghệ để phát hiện, xử lý nghiêm các hành vi trốn thuế. - HUMAN-ENF2]]</f>
        <v>9</v>
      </c>
      <c r="Y161" t="str">
        <f t="shared" si="58"/>
        <v>Support</v>
      </c>
      <c r="Z161" s="32">
        <f t="shared" si="59"/>
        <v>1</v>
      </c>
      <c r="AA161">
        <f>step3_validation[[#This Row],[AI_FAC1]]</f>
        <v>9</v>
      </c>
      <c r="AB161" t="str">
        <f t="shared" si="60"/>
        <v>Support</v>
      </c>
      <c r="AC161">
        <f>survey_responses[[#This Row],[Các thủ tục khai báo thuế VÀ/HOẶC quy trình làm việc với cơ quan thuế đơn giản, tiện lợi, nhanh chóng hơn so với trước đây. - HUMAN-FAC1]]</f>
        <v>10</v>
      </c>
      <c r="AD161" t="str">
        <f t="shared" si="61"/>
        <v>Support</v>
      </c>
      <c r="AE161" s="32">
        <f t="shared" si="62"/>
        <v>1</v>
      </c>
      <c r="AF161">
        <f>step3_validation[[#This Row],[AI_FAC2]]</f>
        <v>9</v>
      </c>
      <c r="AG161" t="str">
        <f t="shared" si="63"/>
        <v>Support</v>
      </c>
      <c r="AH161">
        <f>survey_responses[[#This Row],[So với trước đây, tôi thấy cách tính thuế và các bậc thuế trong phương án mới đơn giản, dễ hiểu và dễ thực hiện hơn. - HUMAN-FAC2]]</f>
        <v>2</v>
      </c>
      <c r="AI161" t="str">
        <f t="shared" si="64"/>
        <v>Oppose</v>
      </c>
      <c r="AJ161" s="32">
        <f t="shared" si="65"/>
        <v>7</v>
      </c>
      <c r="AK161">
        <f>step3_validation[[#This Row],[AI_TRU1]]</f>
        <v>8</v>
      </c>
      <c r="AL161" t="str">
        <f t="shared" si="66"/>
        <v>Support</v>
      </c>
      <c r="AM161">
        <f>survey_responses[[#This Row],[Tôi tin rằng Nhà nước, cơ quan thuế sẽ thực thi chính sách mới một cách khách quan, công tâm và đối xử bình đẳng với mọi người nộp thuế.  - HUMAN-TRU1]]</f>
        <v>9</v>
      </c>
      <c r="AN161" t="str">
        <f t="shared" si="67"/>
        <v>Support</v>
      </c>
      <c r="AO161" s="32">
        <f t="shared" si="68"/>
        <v>1</v>
      </c>
      <c r="AP161">
        <f>step3_validation[[#This Row],[AI_TRU2]]</f>
        <v>9</v>
      </c>
      <c r="AQ161" t="str">
        <f t="shared" si="69"/>
        <v>Support</v>
      </c>
      <c r="AR161">
        <f>survey_responses[[#This Row],[Tôi thấy mức thuế tôi phải đóng theo phương án mới là công bằng (người thu nhập như tôi đóng mức này là hợp lý). - HUMAN-TRU2]]</f>
        <v>9</v>
      </c>
      <c r="AS161" t="str">
        <f t="shared" si="70"/>
        <v>Support</v>
      </c>
      <c r="AT161" s="32">
        <f t="shared" si="71"/>
        <v>0</v>
      </c>
      <c r="AU161">
        <f>step3_validation[[#This Row],[AI_TRU3]]</f>
        <v>8</v>
      </c>
      <c r="AV161" t="str">
        <f t="shared" si="72"/>
        <v>Support</v>
      </c>
      <c r="AW161">
        <f>survey_responses[[#This Row],[Tôi tin tưởng số tiền thuế tôi đóng sẽ được Nhà nước sử dụng hiệu quả để cải thiện dịch vụ công (y tế, đường xá...). - HUMAN-TRU3]]</f>
        <v>6</v>
      </c>
      <c r="AX161" t="str">
        <f t="shared" si="73"/>
        <v>Neutral</v>
      </c>
      <c r="AY161" s="32">
        <f t="shared" si="74"/>
        <v>2</v>
      </c>
      <c r="AZ161">
        <f>step3_validation[[#This Row],[AI_TRU4]]</f>
        <v>7</v>
      </c>
      <c r="BA161" t="str">
        <f t="shared" si="75"/>
        <v>Neutral</v>
      </c>
      <c r="BB161">
        <f>survey_responses[[#This Row],[Tôi thấy Nhà nước đã giải thích rõ ràng, minh bạch về lý do và mục tiêu của việc sửa đổi thuế lần này. - HUMAN-TRU4]]</f>
        <v>8</v>
      </c>
      <c r="BC161" t="str">
        <f t="shared" si="76"/>
        <v>Support</v>
      </c>
      <c r="BD161" s="32">
        <f t="shared" si="77"/>
        <v>1</v>
      </c>
      <c r="BE161">
        <f>step3_validation[[#This Row],[AI_OUT1]]</f>
        <v>9</v>
      </c>
      <c r="BF161" t="str">
        <f t="shared" si="78"/>
        <v>Support</v>
      </c>
      <c r="BG161">
        <f>survey_responses[[#This Row],[Sau khi xem xét các quyền lợi và nghĩa vụ, bạn có ủng hộ và tuân thủ chính sách mới hiện nay? - HUMAN-OUT1]]</f>
        <v>10</v>
      </c>
      <c r="BH161" t="str">
        <f t="shared" si="79"/>
        <v>Support</v>
      </c>
      <c r="BI161" s="32">
        <f t="shared" si="80"/>
        <v>1</v>
      </c>
    </row>
    <row r="162" spans="1:61" x14ac:dyDescent="0.45">
      <c r="A162" s="30">
        <f>step3_validation[[#This Row],[Persona_ID]]</f>
        <v>161</v>
      </c>
      <c r="B162" s="31">
        <f>step3_validation[[#This Row],[Used_Seed]]</f>
        <v>2186</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13.836921905190801</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7</v>
      </c>
      <c r="R162" t="str">
        <f t="shared" si="54"/>
        <v>Neutral</v>
      </c>
      <c r="S162">
        <f>survey_responses[[#This Row],[Tôi tin rằng với các quy định quản lý thuế hiện nay, hành vi gian lận hoặc trốn thuế sẽ dễ dàng bị phát hiện và xử lý nghiêm. - HUMAN-ENF1]]</f>
        <v>7</v>
      </c>
      <c r="T162" t="str">
        <f t="shared" si="55"/>
        <v>Neutral</v>
      </c>
      <c r="U162" s="32">
        <f t="shared" si="56"/>
        <v>0</v>
      </c>
      <c r="V162">
        <f>step3_validation[[#This Row],[AI_ENF2]]</f>
        <v>8</v>
      </c>
      <c r="W162" t="str">
        <f t="shared" si="57"/>
        <v>Support</v>
      </c>
      <c r="X162">
        <f>survey_responses[[#This Row],[Tôi tin rằng Nhà nước, cơ quan thuế có đủ khả năng và công nghệ để phát hiện, xử lý nghiêm các hành vi trốn thuế. - HUMAN-ENF2]]</f>
        <v>5</v>
      </c>
      <c r="Y162" t="str">
        <f t="shared" si="58"/>
        <v>Neutral</v>
      </c>
      <c r="Z162" s="32">
        <f t="shared" si="59"/>
        <v>3</v>
      </c>
      <c r="AA162">
        <f>step3_validation[[#This Row],[AI_FAC1]]</f>
        <v>9</v>
      </c>
      <c r="AB162" t="str">
        <f t="shared" si="60"/>
        <v>Support</v>
      </c>
      <c r="AC162">
        <f>survey_responses[[#This Row],[Các thủ tục khai báo thuế VÀ/HOẶC quy trình làm việc với cơ quan thuế đơn giản, tiện lợi, nhanh chóng hơn so với trước đây. - HUMAN-FAC1]]</f>
        <v>7</v>
      </c>
      <c r="AD162" t="str">
        <f t="shared" si="61"/>
        <v>Neutral</v>
      </c>
      <c r="AE162" s="32">
        <f t="shared" si="62"/>
        <v>2</v>
      </c>
      <c r="AF162">
        <f>step3_validation[[#This Row],[AI_FAC2]]</f>
        <v>10</v>
      </c>
      <c r="AG162" t="str">
        <f t="shared" si="63"/>
        <v>Support</v>
      </c>
      <c r="AH162">
        <f>survey_responses[[#This Row],[So với trước đây, tôi thấy cách tính thuế và các bậc thuế trong phương án mới đơn giản, dễ hiểu và dễ thực hiện hơn. - HUMAN-FAC2]]</f>
        <v>5</v>
      </c>
      <c r="AI162" t="str">
        <f t="shared" si="64"/>
        <v>Neutral</v>
      </c>
      <c r="AJ162" s="32">
        <f t="shared" si="65"/>
        <v>5</v>
      </c>
      <c r="AK162">
        <f>step3_validation[[#This Row],[AI_TRU1]]</f>
        <v>7</v>
      </c>
      <c r="AL162" t="str">
        <f t="shared" si="66"/>
        <v>Neutral</v>
      </c>
      <c r="AM162">
        <f>survey_responses[[#This Row],[Tôi tin rằng Nhà nước, cơ quan thuế sẽ thực thi chính sách mới một cách khách quan, công tâm và đối xử bình đẳng với mọi người nộp thuế.  - HUMAN-TRU1]]</f>
        <v>3</v>
      </c>
      <c r="AN162" t="str">
        <f t="shared" si="67"/>
        <v>Oppose</v>
      </c>
      <c r="AO162" s="32">
        <f t="shared" si="68"/>
        <v>4</v>
      </c>
      <c r="AP162">
        <f>step3_validation[[#This Row],[AI_TRU2]]</f>
        <v>9</v>
      </c>
      <c r="AQ162" t="str">
        <f t="shared" si="69"/>
        <v>Support</v>
      </c>
      <c r="AR162">
        <f>survey_responses[[#This Row],[Tôi thấy mức thuế tôi phải đóng theo phương án mới là công bằng (người thu nhập như tôi đóng mức này là hợp lý). - HUMAN-TRU2]]</f>
        <v>4</v>
      </c>
      <c r="AS162" t="str">
        <f t="shared" si="70"/>
        <v>Oppose</v>
      </c>
      <c r="AT162" s="32">
        <f t="shared" si="71"/>
        <v>5</v>
      </c>
      <c r="AU162">
        <f>step3_validation[[#This Row],[AI_TRU3]]</f>
        <v>7</v>
      </c>
      <c r="AV162" t="str">
        <f t="shared" si="72"/>
        <v>Neutral</v>
      </c>
      <c r="AW162">
        <f>survey_responses[[#This Row],[Tôi tin tưởng số tiền thuế tôi đóng sẽ được Nhà nước sử dụng hiệu quả để cải thiện dịch vụ công (y tế, đường xá...). - HUMAN-TRU3]]</f>
        <v>1</v>
      </c>
      <c r="AX162" t="str">
        <f t="shared" si="73"/>
        <v>Oppose</v>
      </c>
      <c r="AY162" s="32">
        <f t="shared" si="74"/>
        <v>6</v>
      </c>
      <c r="AZ162">
        <f>step3_validation[[#This Row],[AI_TRU4]]</f>
        <v>8</v>
      </c>
      <c r="BA162" t="str">
        <f t="shared" si="75"/>
        <v>Support</v>
      </c>
      <c r="BB162">
        <f>survey_responses[[#This Row],[Tôi thấy Nhà nước đã giải thích rõ ràng, minh bạch về lý do và mục tiêu của việc sửa đổi thuế lần này. - HUMAN-TRU4]]</f>
        <v>5</v>
      </c>
      <c r="BC162" t="str">
        <f t="shared" si="76"/>
        <v>Neutral</v>
      </c>
      <c r="BD162" s="32">
        <f t="shared" si="77"/>
        <v>3</v>
      </c>
      <c r="BE162">
        <f>step3_validation[[#This Row],[AI_OUT1]]</f>
        <v>9</v>
      </c>
      <c r="BF162" t="str">
        <f t="shared" si="78"/>
        <v>Support</v>
      </c>
      <c r="BG162">
        <f>survey_responses[[#This Row],[Sau khi xem xét các quyền lợi và nghĩa vụ, bạn có ủng hộ và tuân thủ chính sách mới hiện nay? - HUMAN-OUT1]]</f>
        <v>5</v>
      </c>
      <c r="BH162" t="str">
        <f t="shared" si="79"/>
        <v>Neutral</v>
      </c>
      <c r="BI162" s="32">
        <f t="shared" si="80"/>
        <v>4</v>
      </c>
    </row>
    <row r="163" spans="1:61" x14ac:dyDescent="0.45">
      <c r="A163" s="30">
        <f>step3_validation[[#This Row],[Persona_ID]]</f>
        <v>162</v>
      </c>
      <c r="B163" s="31">
        <f>step3_validation[[#This Row],[Used_Seed]]</f>
        <v>2187</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6</v>
      </c>
      <c r="R163" t="str">
        <f t="shared" si="54"/>
        <v>Neutral</v>
      </c>
      <c r="S163">
        <f>survey_responses[[#This Row],[Tôi tin rằng với các quy định quản lý thuế hiện nay, hành vi gian lận hoặc trốn thuế sẽ dễ dàng bị phát hiện và xử lý nghiêm. - HUMAN-ENF1]]</f>
        <v>3</v>
      </c>
      <c r="T163" t="str">
        <f t="shared" si="55"/>
        <v>Oppose</v>
      </c>
      <c r="U163" s="32">
        <f t="shared" si="56"/>
        <v>3</v>
      </c>
      <c r="V163">
        <f>step3_validation[[#This Row],[AI_ENF2]]</f>
        <v>7</v>
      </c>
      <c r="W163" t="str">
        <f t="shared" si="57"/>
        <v>Neutral</v>
      </c>
      <c r="X163">
        <f>survey_responses[[#This Row],[Tôi tin rằng Nhà nước, cơ quan thuế có đủ khả năng và công nghệ để phát hiện, xử lý nghiêm các hành vi trốn thuế. - HUMAN-ENF2]]</f>
        <v>8</v>
      </c>
      <c r="Y163" t="str">
        <f t="shared" si="58"/>
        <v>Support</v>
      </c>
      <c r="Z163" s="32">
        <f t="shared" si="59"/>
        <v>1</v>
      </c>
      <c r="AA163">
        <f>step3_validation[[#This Row],[AI_FAC1]]</f>
        <v>9</v>
      </c>
      <c r="AB163" t="str">
        <f t="shared" si="60"/>
        <v>Support</v>
      </c>
      <c r="AC163">
        <f>survey_responses[[#This Row],[Các thủ tục khai báo thuế VÀ/HOẶC quy trình làm việc với cơ quan thuế đơn giản, tiện lợi, nhanh chóng hơn so với trước đây. - HUMAN-FAC1]]</f>
        <v>4</v>
      </c>
      <c r="AD163" t="str">
        <f t="shared" si="61"/>
        <v>Oppose</v>
      </c>
      <c r="AE163" s="32">
        <f t="shared" si="62"/>
        <v>5</v>
      </c>
      <c r="AF163">
        <f>step3_validation[[#This Row],[AI_FAC2]]</f>
        <v>10</v>
      </c>
      <c r="AG163" t="str">
        <f t="shared" si="63"/>
        <v>Support</v>
      </c>
      <c r="AH163">
        <f>survey_responses[[#This Row],[So với trước đây, tôi thấy cách tính thuế và các bậc thuế trong phương án mới đơn giản, dễ hiểu và dễ thực hiện hơn. - HUMAN-FAC2]]</f>
        <v>5</v>
      </c>
      <c r="AI163" t="str">
        <f t="shared" si="64"/>
        <v>Neutral</v>
      </c>
      <c r="AJ163" s="32">
        <f t="shared" si="65"/>
        <v>5</v>
      </c>
      <c r="AK163">
        <f>step3_validation[[#This Row],[AI_TRU1]]</f>
        <v>8</v>
      </c>
      <c r="AL163" t="str">
        <f t="shared" si="66"/>
        <v>Support</v>
      </c>
      <c r="AM163">
        <f>survey_responses[[#This Row],[Tôi tin rằng Nhà nước, cơ quan thuế sẽ thực thi chính sách mới một cách khách quan, công tâm và đối xử bình đẳng với mọi người nộp thuế.  - HUMAN-TRU1]]</f>
        <v>5</v>
      </c>
      <c r="AN163" t="str">
        <f t="shared" si="67"/>
        <v>Neutral</v>
      </c>
      <c r="AO163" s="32">
        <f t="shared" si="68"/>
        <v>3</v>
      </c>
      <c r="AP163">
        <f>step3_validation[[#This Row],[AI_TRU2]]</f>
        <v>9</v>
      </c>
      <c r="AQ163" t="str">
        <f t="shared" si="69"/>
        <v>Support</v>
      </c>
      <c r="AR163">
        <f>survey_responses[[#This Row],[Tôi thấy mức thuế tôi phải đóng theo phương án mới là công bằng (người thu nhập như tôi đóng mức này là hợp lý). - HUMAN-TRU2]]</f>
        <v>5</v>
      </c>
      <c r="AS163" t="str">
        <f t="shared" si="70"/>
        <v>Neutral</v>
      </c>
      <c r="AT163" s="32">
        <f t="shared" si="71"/>
        <v>4</v>
      </c>
      <c r="AU163">
        <f>step3_validation[[#This Row],[AI_TRU3]]</f>
        <v>8</v>
      </c>
      <c r="AV163" t="str">
        <f t="shared" si="72"/>
        <v>Support</v>
      </c>
      <c r="AW163">
        <f>survey_responses[[#This Row],[Tôi tin tưởng số tiền thuế tôi đóng sẽ được Nhà nước sử dụng hiệu quả để cải thiện dịch vụ công (y tế, đường xá...). - HUMAN-TRU3]]</f>
        <v>5</v>
      </c>
      <c r="AX163" t="str">
        <f t="shared" si="73"/>
        <v>Neutral</v>
      </c>
      <c r="AY163" s="32">
        <f t="shared" si="74"/>
        <v>3</v>
      </c>
      <c r="AZ163">
        <f>step3_validation[[#This Row],[AI_TRU4]]</f>
        <v>7</v>
      </c>
      <c r="BA163" t="str">
        <f t="shared" si="75"/>
        <v>Neutral</v>
      </c>
      <c r="BB163">
        <f>survey_responses[[#This Row],[Tôi thấy Nhà nước đã giải thích rõ ràng, minh bạch về lý do và mục tiêu của việc sửa đổi thuế lần này. - HUMAN-TRU4]]</f>
        <v>5</v>
      </c>
      <c r="BC163" t="str">
        <f t="shared" si="76"/>
        <v>Neutral</v>
      </c>
      <c r="BD163" s="32">
        <f t="shared" si="77"/>
        <v>2</v>
      </c>
      <c r="BE163">
        <f>step3_validation[[#This Row],[AI_OUT1]]</f>
        <v>9</v>
      </c>
      <c r="BF163" t="str">
        <f t="shared" si="78"/>
        <v>Support</v>
      </c>
      <c r="BG163">
        <f>survey_responses[[#This Row],[Sau khi xem xét các quyền lợi và nghĩa vụ, bạn có ủng hộ và tuân thủ chính sách mới hiện nay? - HUMAN-OUT1]]</f>
        <v>5</v>
      </c>
      <c r="BH163" t="str">
        <f t="shared" si="79"/>
        <v>Neutral</v>
      </c>
      <c r="BI163" s="32">
        <f t="shared" si="80"/>
        <v>4</v>
      </c>
    </row>
    <row r="164" spans="1:61" x14ac:dyDescent="0.45">
      <c r="A164" s="30">
        <f>step3_validation[[#This Row],[Persona_ID]]</f>
        <v>163</v>
      </c>
      <c r="B164" s="31">
        <f>step3_validation[[#This Row],[Used_Seed]]</f>
        <v>2188</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12.688219564202335</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9</v>
      </c>
      <c r="R164" t="str">
        <f t="shared" si="54"/>
        <v>Support</v>
      </c>
      <c r="S164">
        <f>survey_responses[[#This Row],[Tôi tin rằng với các quy định quản lý thuế hiện nay, hành vi gian lận hoặc trốn thuế sẽ dễ dàng bị phát hiện và xử lý nghiêm. - HUMAN-ENF1]]</f>
        <v>10</v>
      </c>
      <c r="T164" t="str">
        <f t="shared" si="55"/>
        <v>Support</v>
      </c>
      <c r="U164" s="32">
        <f t="shared" si="56"/>
        <v>1</v>
      </c>
      <c r="V164">
        <f>step3_validation[[#This Row],[AI_ENF2]]</f>
        <v>8</v>
      </c>
      <c r="W164" t="str">
        <f t="shared" si="57"/>
        <v>Support</v>
      </c>
      <c r="X164">
        <f>survey_responses[[#This Row],[Tôi tin rằng Nhà nước, cơ quan thuế có đủ khả năng và công nghệ để phát hiện, xử lý nghiêm các hành vi trốn thuế. - HUMAN-ENF2]]</f>
        <v>10</v>
      </c>
      <c r="Y164" t="str">
        <f t="shared" si="58"/>
        <v>Support</v>
      </c>
      <c r="Z164" s="32">
        <f t="shared" si="59"/>
        <v>2</v>
      </c>
      <c r="AA164">
        <f>step3_validation[[#This Row],[AI_FAC1]]</f>
        <v>9</v>
      </c>
      <c r="AB164" t="str">
        <f t="shared" si="60"/>
        <v>Support</v>
      </c>
      <c r="AC164">
        <f>survey_responses[[#This Row],[Các thủ tục khai báo thuế VÀ/HOẶC quy trình làm việc với cơ quan thuế đơn giản, tiện lợi, nhanh chóng hơn so với trước đây. - HUMAN-FAC1]]</f>
        <v>10</v>
      </c>
      <c r="AD164" t="str">
        <f t="shared" si="61"/>
        <v>Support</v>
      </c>
      <c r="AE164" s="32">
        <f t="shared" si="62"/>
        <v>1</v>
      </c>
      <c r="AF164">
        <f>step3_validation[[#This Row],[AI_FAC2]]</f>
        <v>8</v>
      </c>
      <c r="AG164" t="str">
        <f t="shared" si="63"/>
        <v>Support</v>
      </c>
      <c r="AH164">
        <f>survey_responses[[#This Row],[So với trước đây, tôi thấy cách tính thuế và các bậc thuế trong phương án mới đơn giản, dễ hiểu và dễ thực hiện hơn. - HUMAN-FAC2]]</f>
        <v>10</v>
      </c>
      <c r="AI164" t="str">
        <f t="shared" si="64"/>
        <v>Support</v>
      </c>
      <c r="AJ164" s="32">
        <f t="shared" si="65"/>
        <v>2</v>
      </c>
      <c r="AK164">
        <f>step3_validation[[#This Row],[AI_TRU1]]</f>
        <v>9</v>
      </c>
      <c r="AL164" t="str">
        <f t="shared" si="66"/>
        <v>Support</v>
      </c>
      <c r="AM164">
        <f>survey_responses[[#This Row],[Tôi tin rằng Nhà nước, cơ quan thuế sẽ thực thi chính sách mới một cách khách quan, công tâm và đối xử bình đẳng với mọi người nộp thuế.  - HUMAN-TRU1]]</f>
        <v>10</v>
      </c>
      <c r="AN164" t="str">
        <f t="shared" si="67"/>
        <v>Support</v>
      </c>
      <c r="AO164" s="32">
        <f t="shared" si="68"/>
        <v>1</v>
      </c>
      <c r="AP164">
        <f>step3_validation[[#This Row],[AI_TRU2]]</f>
        <v>8</v>
      </c>
      <c r="AQ164" t="str">
        <f t="shared" si="69"/>
        <v>Support</v>
      </c>
      <c r="AR164">
        <f>survey_responses[[#This Row],[Tôi thấy mức thuế tôi phải đóng theo phương án mới là công bằng (người thu nhập như tôi đóng mức này là hợp lý). - HUMAN-TRU2]]</f>
        <v>10</v>
      </c>
      <c r="AS164" t="str">
        <f t="shared" si="70"/>
        <v>Support</v>
      </c>
      <c r="AT164" s="32">
        <f t="shared" si="71"/>
        <v>2</v>
      </c>
      <c r="AU164">
        <f>step3_validation[[#This Row],[AI_TRU3]]</f>
        <v>9</v>
      </c>
      <c r="AV164" t="str">
        <f t="shared" si="72"/>
        <v>Support</v>
      </c>
      <c r="AW164">
        <f>survey_responses[[#This Row],[Tôi tin tưởng số tiền thuế tôi đóng sẽ được Nhà nước sử dụng hiệu quả để cải thiện dịch vụ công (y tế, đường xá...). - HUMAN-TRU3]]</f>
        <v>10</v>
      </c>
      <c r="AX164" t="str">
        <f t="shared" si="73"/>
        <v>Support</v>
      </c>
      <c r="AY164" s="32">
        <f t="shared" si="74"/>
        <v>1</v>
      </c>
      <c r="AZ164">
        <f>step3_validation[[#This Row],[AI_TRU4]]</f>
        <v>8</v>
      </c>
      <c r="BA164" t="str">
        <f t="shared" si="75"/>
        <v>Support</v>
      </c>
      <c r="BB164">
        <f>survey_responses[[#This Row],[Tôi thấy Nhà nước đã giải thích rõ ràng, minh bạch về lý do và mục tiêu của việc sửa đổi thuế lần này. - HUMAN-TRU4]]</f>
        <v>10</v>
      </c>
      <c r="BC164" t="str">
        <f t="shared" si="76"/>
        <v>Support</v>
      </c>
      <c r="BD164" s="32">
        <f t="shared" si="77"/>
        <v>2</v>
      </c>
      <c r="BE164">
        <f>step3_validation[[#This Row],[AI_OUT1]]</f>
        <v>9</v>
      </c>
      <c r="BF164" t="str">
        <f t="shared" si="78"/>
        <v>Support</v>
      </c>
      <c r="BG164">
        <f>survey_responses[[#This Row],[Sau khi xem xét các quyền lợi và nghĩa vụ, bạn có ủng hộ và tuân thủ chính sách mới hiện nay? - HUMAN-OUT1]]</f>
        <v>10</v>
      </c>
      <c r="BH164" t="str">
        <f t="shared" si="79"/>
        <v>Support</v>
      </c>
      <c r="BI164" s="32">
        <f t="shared" si="80"/>
        <v>1</v>
      </c>
    </row>
    <row r="165" spans="1:61" x14ac:dyDescent="0.45">
      <c r="A165" s="30">
        <f>step3_validation[[#This Row],[Persona_ID]]</f>
        <v>164</v>
      </c>
      <c r="B165" s="31">
        <f>step3_validation[[#This Row],[Used_Seed]]</f>
        <v>2189</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38.104304331939581</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5</v>
      </c>
      <c r="R165" t="str">
        <f t="shared" si="54"/>
        <v>Neutral</v>
      </c>
      <c r="S165">
        <f>survey_responses[[#This Row],[Tôi tin rằng với các quy định quản lý thuế hiện nay, hành vi gian lận hoặc trốn thuế sẽ dễ dàng bị phát hiện và xử lý nghiêm. - HUMAN-ENF1]]</f>
        <v>8</v>
      </c>
      <c r="T165" t="str">
        <f t="shared" si="55"/>
        <v>Support</v>
      </c>
      <c r="U165" s="32">
        <f t="shared" si="56"/>
        <v>3</v>
      </c>
      <c r="V165">
        <f>step3_validation[[#This Row],[AI_ENF2]]</f>
        <v>7</v>
      </c>
      <c r="W165" t="str">
        <f t="shared" si="57"/>
        <v>Neutral</v>
      </c>
      <c r="X165">
        <f>survey_responses[[#This Row],[Tôi tin rằng Nhà nước, cơ quan thuế có đủ khả năng và công nghệ để phát hiện, xử lý nghiêm các hành vi trốn thuế. - HUMAN-ENF2]]</f>
        <v>9</v>
      </c>
      <c r="Y165" t="str">
        <f t="shared" si="58"/>
        <v>Support</v>
      </c>
      <c r="Z165" s="32">
        <f t="shared" si="59"/>
        <v>2</v>
      </c>
      <c r="AA165">
        <f>step3_validation[[#This Row],[AI_FAC1]]</f>
        <v>9</v>
      </c>
      <c r="AB165" t="str">
        <f t="shared" si="60"/>
        <v>Support</v>
      </c>
      <c r="AC165">
        <f>survey_responses[[#This Row],[Các thủ tục khai báo thuế VÀ/HOẶC quy trình làm việc với cơ quan thuế đơn giản, tiện lợi, nhanh chóng hơn so với trước đây. - HUMAN-FAC1]]</f>
        <v>9</v>
      </c>
      <c r="AD165" t="str">
        <f t="shared" si="61"/>
        <v>Support</v>
      </c>
      <c r="AE165" s="32">
        <f t="shared" si="62"/>
        <v>0</v>
      </c>
      <c r="AF165">
        <f>step3_validation[[#This Row],[AI_FAC2]]</f>
        <v>8</v>
      </c>
      <c r="AG165" t="str">
        <f t="shared" si="63"/>
        <v>Support</v>
      </c>
      <c r="AH165">
        <f>survey_responses[[#This Row],[So với trước đây, tôi thấy cách tính thuế và các bậc thuế trong phương án mới đơn giản, dễ hiểu và dễ thực hiện hơn. - HUMAN-FAC2]]</f>
        <v>9</v>
      </c>
      <c r="AI165" t="str">
        <f t="shared" si="64"/>
        <v>Support</v>
      </c>
      <c r="AJ165" s="32">
        <f t="shared" si="65"/>
        <v>1</v>
      </c>
      <c r="AK165">
        <f>step3_validation[[#This Row],[AI_TRU1]]</f>
        <v>6</v>
      </c>
      <c r="AL165" t="str">
        <f t="shared" si="66"/>
        <v>Neutral</v>
      </c>
      <c r="AM165">
        <f>survey_responses[[#This Row],[Tôi tin rằng Nhà nước, cơ quan thuế sẽ thực thi chính sách mới một cách khách quan, công tâm và đối xử bình đẳng với mọi người nộp thuế.  - HUMAN-TRU1]]</f>
        <v>5</v>
      </c>
      <c r="AN165" t="str">
        <f t="shared" si="67"/>
        <v>Neutral</v>
      </c>
      <c r="AO165" s="32">
        <f t="shared" si="68"/>
        <v>1</v>
      </c>
      <c r="AP165">
        <f>step3_validation[[#This Row],[AI_TRU2]]</f>
        <v>9</v>
      </c>
      <c r="AQ165" t="str">
        <f t="shared" si="69"/>
        <v>Support</v>
      </c>
      <c r="AR165">
        <f>survey_responses[[#This Row],[Tôi thấy mức thuế tôi phải đóng theo phương án mới là công bằng (người thu nhập như tôi đóng mức này là hợp lý). - HUMAN-TRU2]]</f>
        <v>7</v>
      </c>
      <c r="AS165" t="str">
        <f t="shared" si="70"/>
        <v>Neutral</v>
      </c>
      <c r="AT165" s="32">
        <f t="shared" si="71"/>
        <v>2</v>
      </c>
      <c r="AU165">
        <f>step3_validation[[#This Row],[AI_TRU3]]</f>
        <v>8</v>
      </c>
      <c r="AV165" t="str">
        <f t="shared" si="72"/>
        <v>Support</v>
      </c>
      <c r="AW165">
        <f>survey_responses[[#This Row],[Tôi tin tưởng số tiền thuế tôi đóng sẽ được Nhà nước sử dụng hiệu quả để cải thiện dịch vụ công (y tế, đường xá...). - HUMAN-TRU3]]</f>
        <v>5</v>
      </c>
      <c r="AX165" t="str">
        <f t="shared" si="73"/>
        <v>Neutral</v>
      </c>
      <c r="AY165" s="32">
        <f t="shared" si="74"/>
        <v>3</v>
      </c>
      <c r="AZ165">
        <f>step3_validation[[#This Row],[AI_TRU4]]</f>
        <v>7</v>
      </c>
      <c r="BA165" t="str">
        <f t="shared" si="75"/>
        <v>Neutral</v>
      </c>
      <c r="BB165">
        <f>survey_responses[[#This Row],[Tôi thấy Nhà nước đã giải thích rõ ràng, minh bạch về lý do và mục tiêu của việc sửa đổi thuế lần này. - HUMAN-TRU4]]</f>
        <v>7</v>
      </c>
      <c r="BC165" t="str">
        <f t="shared" si="76"/>
        <v>Neutral</v>
      </c>
      <c r="BD165" s="32">
        <f t="shared" si="77"/>
        <v>0</v>
      </c>
      <c r="BE165">
        <f>step3_validation[[#This Row],[AI_OUT1]]</f>
        <v>8</v>
      </c>
      <c r="BF165" t="str">
        <f t="shared" si="78"/>
        <v>Support</v>
      </c>
      <c r="BG165">
        <f>survey_responses[[#This Row],[Sau khi xem xét các quyền lợi và nghĩa vụ, bạn có ủng hộ và tuân thủ chính sách mới hiện nay? - HUMAN-OUT1]]</f>
        <v>7</v>
      </c>
      <c r="BH165" t="str">
        <f t="shared" si="79"/>
        <v>Neutral</v>
      </c>
      <c r="BI165" s="32">
        <f t="shared" si="80"/>
        <v>1</v>
      </c>
    </row>
    <row r="166" spans="1:61" x14ac:dyDescent="0.45">
      <c r="A166" s="30">
        <f>step3_validation[[#This Row],[Persona_ID]]</f>
        <v>165</v>
      </c>
      <c r="B166" s="31">
        <f>step3_validation[[#This Row],[Used_Seed]]</f>
        <v>2190</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40.56640017996903</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7</v>
      </c>
      <c r="R166" t="str">
        <f t="shared" si="54"/>
        <v>Neutral</v>
      </c>
      <c r="S166">
        <f>survey_responses[[#This Row],[Tôi tin rằng với các quy định quản lý thuế hiện nay, hành vi gian lận hoặc trốn thuế sẽ dễ dàng bị phát hiện và xử lý nghiêm. - HUMAN-ENF1]]</f>
        <v>5</v>
      </c>
      <c r="T166" t="str">
        <f t="shared" si="55"/>
        <v>Neutral</v>
      </c>
      <c r="U166" s="32">
        <f t="shared" si="56"/>
        <v>2</v>
      </c>
      <c r="V166">
        <f>step3_validation[[#This Row],[AI_ENF2]]</f>
        <v>6</v>
      </c>
      <c r="W166" t="str">
        <f t="shared" si="57"/>
        <v>Neutral</v>
      </c>
      <c r="X166">
        <f>survey_responses[[#This Row],[Tôi tin rằng Nhà nước, cơ quan thuế có đủ khả năng và công nghệ để phát hiện, xử lý nghiêm các hành vi trốn thuế. - HUMAN-ENF2]]</f>
        <v>5</v>
      </c>
      <c r="Y166" t="str">
        <f t="shared" si="58"/>
        <v>Neutral</v>
      </c>
      <c r="Z166" s="32">
        <f t="shared" si="59"/>
        <v>1</v>
      </c>
      <c r="AA166">
        <f>step3_validation[[#This Row],[AI_FAC1]]</f>
        <v>9</v>
      </c>
      <c r="AB166" t="str">
        <f t="shared" si="60"/>
        <v>Support</v>
      </c>
      <c r="AC166">
        <f>survey_responses[[#This Row],[Các thủ tục khai báo thuế VÀ/HOẶC quy trình làm việc với cơ quan thuế đơn giản, tiện lợi, nhanh chóng hơn so với trước đây. - HUMAN-FAC1]]</f>
        <v>6</v>
      </c>
      <c r="AD166" t="str">
        <f t="shared" si="61"/>
        <v>Neutral</v>
      </c>
      <c r="AE166" s="32">
        <f t="shared" si="62"/>
        <v>3</v>
      </c>
      <c r="AF166">
        <f>step3_validation[[#This Row],[AI_FAC2]]</f>
        <v>8</v>
      </c>
      <c r="AG166" t="str">
        <f t="shared" si="63"/>
        <v>Support</v>
      </c>
      <c r="AH166">
        <f>survey_responses[[#This Row],[So với trước đây, tôi thấy cách tính thuế và các bậc thuế trong phương án mới đơn giản, dễ hiểu và dễ thực hiện hơn. - HUMAN-FAC2]]</f>
        <v>6</v>
      </c>
      <c r="AI166" t="str">
        <f t="shared" si="64"/>
        <v>Neutral</v>
      </c>
      <c r="AJ166" s="32">
        <f t="shared" si="65"/>
        <v>2</v>
      </c>
      <c r="AK166">
        <f>step3_validation[[#This Row],[AI_TRU1]]</f>
        <v>7</v>
      </c>
      <c r="AL166" t="str">
        <f t="shared" si="66"/>
        <v>Neutral</v>
      </c>
      <c r="AM166">
        <f>survey_responses[[#This Row],[Tôi tin rằng Nhà nước, cơ quan thuế sẽ thực thi chính sách mới một cách khách quan, công tâm và đối xử bình đẳng với mọi người nộp thuế.  - HUMAN-TRU1]]</f>
        <v>6</v>
      </c>
      <c r="AN166" t="str">
        <f t="shared" si="67"/>
        <v>Neutral</v>
      </c>
      <c r="AO166" s="32">
        <f t="shared" si="68"/>
        <v>1</v>
      </c>
      <c r="AP166">
        <f>step3_validation[[#This Row],[AI_TRU2]]</f>
        <v>9</v>
      </c>
      <c r="AQ166" t="str">
        <f t="shared" si="69"/>
        <v>Support</v>
      </c>
      <c r="AR166">
        <f>survey_responses[[#This Row],[Tôi thấy mức thuế tôi phải đóng theo phương án mới là công bằng (người thu nhập như tôi đóng mức này là hợp lý). - HUMAN-TRU2]]</f>
        <v>6</v>
      </c>
      <c r="AS166" t="str">
        <f t="shared" si="70"/>
        <v>Neutral</v>
      </c>
      <c r="AT166" s="32">
        <f t="shared" si="71"/>
        <v>3</v>
      </c>
      <c r="AU166">
        <f>step3_validation[[#This Row],[AI_TRU3]]</f>
        <v>7</v>
      </c>
      <c r="AV166" t="str">
        <f t="shared" si="72"/>
        <v>Neutral</v>
      </c>
      <c r="AW166">
        <f>survey_responses[[#This Row],[Tôi tin tưởng số tiền thuế tôi đóng sẽ được Nhà nước sử dụng hiệu quả để cải thiện dịch vụ công (y tế, đường xá...). - HUMAN-TRU3]]</f>
        <v>5</v>
      </c>
      <c r="AX166" t="str">
        <f t="shared" si="73"/>
        <v>Neutral</v>
      </c>
      <c r="AY166" s="32">
        <f t="shared" si="74"/>
        <v>2</v>
      </c>
      <c r="AZ166">
        <f>step3_validation[[#This Row],[AI_TRU4]]</f>
        <v>6</v>
      </c>
      <c r="BA166" t="str">
        <f t="shared" si="75"/>
        <v>Neutral</v>
      </c>
      <c r="BB166">
        <f>survey_responses[[#This Row],[Tôi thấy Nhà nước đã giải thích rõ ràng, minh bạch về lý do và mục tiêu của việc sửa đổi thuế lần này. - HUMAN-TRU4]]</f>
        <v>7</v>
      </c>
      <c r="BC166" t="str">
        <f t="shared" si="76"/>
        <v>Neutral</v>
      </c>
      <c r="BD166" s="32">
        <f t="shared" si="77"/>
        <v>1</v>
      </c>
      <c r="BE166">
        <f>step3_validation[[#This Row],[AI_OUT1]]</f>
        <v>8</v>
      </c>
      <c r="BF166" t="str">
        <f t="shared" si="78"/>
        <v>Support</v>
      </c>
      <c r="BG166">
        <f>survey_responses[[#This Row],[Sau khi xem xét các quyền lợi và nghĩa vụ, bạn có ủng hộ và tuân thủ chính sách mới hiện nay? - HUMAN-OUT1]]</f>
        <v>8</v>
      </c>
      <c r="BH166" t="str">
        <f t="shared" si="79"/>
        <v>Support</v>
      </c>
      <c r="BI166" s="32">
        <f t="shared" si="80"/>
        <v>0</v>
      </c>
    </row>
    <row r="167" spans="1:61" x14ac:dyDescent="0.45">
      <c r="A167" s="30">
        <f>step3_validation[[#This Row],[Persona_ID]]</f>
        <v>166</v>
      </c>
      <c r="B167" s="31">
        <f>step3_validation[[#This Row],[Used_Seed]]</f>
        <v>2191</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35.989241593571307</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8</v>
      </c>
      <c r="R167" t="str">
        <f t="shared" si="54"/>
        <v>Support</v>
      </c>
      <c r="S167">
        <f>survey_responses[[#This Row],[Tôi tin rằng với các quy định quản lý thuế hiện nay, hành vi gian lận hoặc trốn thuế sẽ dễ dàng bị phát hiện và xử lý nghiêm. - HUMAN-ENF1]]</f>
        <v>10</v>
      </c>
      <c r="T167" t="str">
        <f t="shared" si="55"/>
        <v>Support</v>
      </c>
      <c r="U167" s="32">
        <f t="shared" si="56"/>
        <v>2</v>
      </c>
      <c r="V167">
        <f>step3_validation[[#This Row],[AI_ENF2]]</f>
        <v>9</v>
      </c>
      <c r="W167" t="str">
        <f t="shared" si="57"/>
        <v>Support</v>
      </c>
      <c r="X167">
        <f>survey_responses[[#This Row],[Tôi tin rằng Nhà nước, cơ quan thuế có đủ khả năng và công nghệ để phát hiện, xử lý nghiêm các hành vi trốn thuế. - HUMAN-ENF2]]</f>
        <v>8</v>
      </c>
      <c r="Y167" t="str">
        <f t="shared" si="58"/>
        <v>Support</v>
      </c>
      <c r="Z167" s="32">
        <f t="shared" si="59"/>
        <v>1</v>
      </c>
      <c r="AA167">
        <f>step3_validation[[#This Row],[AI_FAC1]]</f>
        <v>9</v>
      </c>
      <c r="AB167" t="str">
        <f t="shared" si="60"/>
        <v>Support</v>
      </c>
      <c r="AC167">
        <f>survey_responses[[#This Row],[Các thủ tục khai báo thuế VÀ/HOẶC quy trình làm việc với cơ quan thuế đơn giản, tiện lợi, nhanh chóng hơn so với trước đây. - HUMAN-FAC1]]</f>
        <v>10</v>
      </c>
      <c r="AD167" t="str">
        <f t="shared" si="61"/>
        <v>Support</v>
      </c>
      <c r="AE167" s="32">
        <f t="shared" si="62"/>
        <v>1</v>
      </c>
      <c r="AF167">
        <f>step3_validation[[#This Row],[AI_FAC2]]</f>
        <v>9</v>
      </c>
      <c r="AG167" t="str">
        <f t="shared" si="63"/>
        <v>Support</v>
      </c>
      <c r="AH167">
        <f>survey_responses[[#This Row],[So với trước đây, tôi thấy cách tính thuế và các bậc thuế trong phương án mới đơn giản, dễ hiểu và dễ thực hiện hơn. - HUMAN-FAC2]]</f>
        <v>10</v>
      </c>
      <c r="AI167" t="str">
        <f t="shared" si="64"/>
        <v>Support</v>
      </c>
      <c r="AJ167" s="32">
        <f t="shared" si="65"/>
        <v>1</v>
      </c>
      <c r="AK167">
        <f>step3_validation[[#This Row],[AI_TRU1]]</f>
        <v>8</v>
      </c>
      <c r="AL167" t="str">
        <f t="shared" si="66"/>
        <v>Support</v>
      </c>
      <c r="AM167">
        <f>survey_responses[[#This Row],[Tôi tin rằng Nhà nước, cơ quan thuế sẽ thực thi chính sách mới một cách khách quan, công tâm và đối xử bình đẳng với mọi người nộp thuế.  - HUMAN-TRU1]]</f>
        <v>10</v>
      </c>
      <c r="AN167" t="str">
        <f t="shared" si="67"/>
        <v>Support</v>
      </c>
      <c r="AO167" s="32">
        <f t="shared" si="68"/>
        <v>2</v>
      </c>
      <c r="AP167">
        <f>step3_validation[[#This Row],[AI_TRU2]]</f>
        <v>9</v>
      </c>
      <c r="AQ167" t="str">
        <f t="shared" si="69"/>
        <v>Support</v>
      </c>
      <c r="AR167">
        <f>survey_responses[[#This Row],[Tôi thấy mức thuế tôi phải đóng theo phương án mới là công bằng (người thu nhập như tôi đóng mức này là hợp lý). - HUMAN-TRU2]]</f>
        <v>10</v>
      </c>
      <c r="AS167" t="str">
        <f t="shared" si="70"/>
        <v>Support</v>
      </c>
      <c r="AT167" s="32">
        <f t="shared" si="71"/>
        <v>1</v>
      </c>
      <c r="AU167">
        <f>step3_validation[[#This Row],[AI_TRU3]]</f>
        <v>8</v>
      </c>
      <c r="AV167" t="str">
        <f t="shared" si="72"/>
        <v>Support</v>
      </c>
      <c r="AW167">
        <f>survey_responses[[#This Row],[Tôi tin tưởng số tiền thuế tôi đóng sẽ được Nhà nước sử dụng hiệu quả để cải thiện dịch vụ công (y tế, đường xá...). - HUMAN-TRU3]]</f>
        <v>10</v>
      </c>
      <c r="AX167" t="str">
        <f t="shared" si="73"/>
        <v>Support</v>
      </c>
      <c r="AY167" s="32">
        <f t="shared" si="74"/>
        <v>2</v>
      </c>
      <c r="AZ167">
        <f>step3_validation[[#This Row],[AI_TRU4]]</f>
        <v>9</v>
      </c>
      <c r="BA167" t="str">
        <f t="shared" si="75"/>
        <v>Support</v>
      </c>
      <c r="BB167">
        <f>survey_responses[[#This Row],[Tôi thấy Nhà nước đã giải thích rõ ràng, minh bạch về lý do và mục tiêu của việc sửa đổi thuế lần này. - HUMAN-TRU4]]</f>
        <v>10</v>
      </c>
      <c r="BC167" t="str">
        <f t="shared" si="76"/>
        <v>Support</v>
      </c>
      <c r="BD167" s="32">
        <f t="shared" si="77"/>
        <v>1</v>
      </c>
      <c r="BE167">
        <f>step3_validation[[#This Row],[AI_OUT1]]</f>
        <v>8</v>
      </c>
      <c r="BF167" t="str">
        <f t="shared" si="78"/>
        <v>Support</v>
      </c>
      <c r="BG167">
        <f>survey_responses[[#This Row],[Sau khi xem xét các quyền lợi và nghĩa vụ, bạn có ủng hộ và tuân thủ chính sách mới hiện nay? - HUMAN-OUT1]]</f>
        <v>8</v>
      </c>
      <c r="BH167" t="str">
        <f t="shared" si="79"/>
        <v>Support</v>
      </c>
      <c r="BI167" s="32">
        <f t="shared" si="80"/>
        <v>0</v>
      </c>
    </row>
    <row r="168" spans="1:61" x14ac:dyDescent="0.45">
      <c r="A168" s="30">
        <f>step3_validation[[#This Row],[Persona_ID]]</f>
        <v>167</v>
      </c>
      <c r="B168" s="31">
        <f>step3_validation[[#This Row],[Used_Seed]]</f>
        <v>2192</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77.321595157775064</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8</v>
      </c>
      <c r="R168" t="str">
        <f t="shared" si="54"/>
        <v>Support</v>
      </c>
      <c r="S168">
        <f>survey_responses[[#This Row],[Tôi tin rằng với các quy định quản lý thuế hiện nay, hành vi gian lận hoặc trốn thuế sẽ dễ dàng bị phát hiện và xử lý nghiêm. - HUMAN-ENF1]]</f>
        <v>5</v>
      </c>
      <c r="T168" t="str">
        <f t="shared" si="55"/>
        <v>Neutral</v>
      </c>
      <c r="U168" s="32">
        <f t="shared" si="56"/>
        <v>3</v>
      </c>
      <c r="V168">
        <f>step3_validation[[#This Row],[AI_ENF2]]</f>
        <v>7</v>
      </c>
      <c r="W168" t="str">
        <f t="shared" si="57"/>
        <v>Neutral</v>
      </c>
      <c r="X168">
        <f>survey_responses[[#This Row],[Tôi tin rằng Nhà nước, cơ quan thuế có đủ khả năng và công nghệ để phát hiện, xử lý nghiêm các hành vi trốn thuế. - HUMAN-ENF2]]</f>
        <v>8</v>
      </c>
      <c r="Y168" t="str">
        <f t="shared" si="58"/>
        <v>Support</v>
      </c>
      <c r="Z168" s="32">
        <f t="shared" si="59"/>
        <v>1</v>
      </c>
      <c r="AA168">
        <f>step3_validation[[#This Row],[AI_FAC1]]</f>
        <v>9</v>
      </c>
      <c r="AB168" t="str">
        <f t="shared" si="60"/>
        <v>Support</v>
      </c>
      <c r="AC168">
        <f>survey_responses[[#This Row],[Các thủ tục khai báo thuế VÀ/HOẶC quy trình làm việc với cơ quan thuế đơn giản, tiện lợi, nhanh chóng hơn so với trước đây. - HUMAN-FAC1]]</f>
        <v>5</v>
      </c>
      <c r="AD168" t="str">
        <f t="shared" si="61"/>
        <v>Neutral</v>
      </c>
      <c r="AE168" s="32">
        <f t="shared" si="62"/>
        <v>4</v>
      </c>
      <c r="AF168">
        <f>step3_validation[[#This Row],[AI_FAC2]]</f>
        <v>8</v>
      </c>
      <c r="AG168" t="str">
        <f t="shared" si="63"/>
        <v>Support</v>
      </c>
      <c r="AH168">
        <f>survey_responses[[#This Row],[So với trước đây, tôi thấy cách tính thuế và các bậc thuế trong phương án mới đơn giản, dễ hiểu và dễ thực hiện hơn. - HUMAN-FAC2]]</f>
        <v>8</v>
      </c>
      <c r="AI168" t="str">
        <f t="shared" si="64"/>
        <v>Support</v>
      </c>
      <c r="AJ168" s="32">
        <f t="shared" si="65"/>
        <v>0</v>
      </c>
      <c r="AK168">
        <f>step3_validation[[#This Row],[AI_TRU1]]</f>
        <v>9</v>
      </c>
      <c r="AL168" t="str">
        <f t="shared" si="66"/>
        <v>Support</v>
      </c>
      <c r="AM168">
        <f>survey_responses[[#This Row],[Tôi tin rằng Nhà nước, cơ quan thuế sẽ thực thi chính sách mới một cách khách quan, công tâm và đối xử bình đẳng với mọi người nộp thuế.  - HUMAN-TRU1]]</f>
        <v>4</v>
      </c>
      <c r="AN168" t="str">
        <f t="shared" si="67"/>
        <v>Oppose</v>
      </c>
      <c r="AO168" s="32">
        <f t="shared" si="68"/>
        <v>5</v>
      </c>
      <c r="AP168">
        <f>step3_validation[[#This Row],[AI_TRU2]]</f>
        <v>8</v>
      </c>
      <c r="AQ168" t="str">
        <f t="shared" si="69"/>
        <v>Support</v>
      </c>
      <c r="AR168">
        <f>survey_responses[[#This Row],[Tôi thấy mức thuế tôi phải đóng theo phương án mới là công bằng (người thu nhập như tôi đóng mức này là hợp lý). - HUMAN-TRU2]]</f>
        <v>5</v>
      </c>
      <c r="AS168" t="str">
        <f t="shared" si="70"/>
        <v>Neutral</v>
      </c>
      <c r="AT168" s="32">
        <f t="shared" si="71"/>
        <v>3</v>
      </c>
      <c r="AU168">
        <f>step3_validation[[#This Row],[AI_TRU3]]</f>
        <v>9</v>
      </c>
      <c r="AV168" t="str">
        <f t="shared" si="72"/>
        <v>Support</v>
      </c>
      <c r="AW168">
        <f>survey_responses[[#This Row],[Tôi tin tưởng số tiền thuế tôi đóng sẽ được Nhà nước sử dụng hiệu quả để cải thiện dịch vụ công (y tế, đường xá...). - HUMAN-TRU3]]</f>
        <v>1</v>
      </c>
      <c r="AX168" t="str">
        <f t="shared" si="73"/>
        <v>Oppose</v>
      </c>
      <c r="AY168" s="32">
        <f t="shared" si="74"/>
        <v>8</v>
      </c>
      <c r="AZ168">
        <f>step3_validation[[#This Row],[AI_TRU4]]</f>
        <v>8</v>
      </c>
      <c r="BA168" t="str">
        <f t="shared" si="75"/>
        <v>Support</v>
      </c>
      <c r="BB168">
        <f>survey_responses[[#This Row],[Tôi thấy Nhà nước đã giải thích rõ ràng, minh bạch về lý do và mục tiêu của việc sửa đổi thuế lần này. - HUMAN-TRU4]]</f>
        <v>5</v>
      </c>
      <c r="BC168" t="str">
        <f t="shared" si="76"/>
        <v>Neutral</v>
      </c>
      <c r="BD168" s="32">
        <f t="shared" si="77"/>
        <v>3</v>
      </c>
      <c r="BE168">
        <f>step3_validation[[#This Row],[AI_OUT1]]</f>
        <v>9</v>
      </c>
      <c r="BF168" t="str">
        <f t="shared" si="78"/>
        <v>Support</v>
      </c>
      <c r="BG168">
        <f>survey_responses[[#This Row],[Sau khi xem xét các quyền lợi và nghĩa vụ, bạn có ủng hộ và tuân thủ chính sách mới hiện nay? - HUMAN-OUT1]]</f>
        <v>5</v>
      </c>
      <c r="BH168" t="str">
        <f t="shared" si="79"/>
        <v>Neutral</v>
      </c>
      <c r="BI168" s="32">
        <f t="shared" si="80"/>
        <v>4</v>
      </c>
    </row>
    <row r="169" spans="1:61" x14ac:dyDescent="0.45">
      <c r="A169" s="30">
        <f>step3_validation[[#This Row],[Persona_ID]]</f>
        <v>168</v>
      </c>
      <c r="B169" s="31">
        <f>step3_validation[[#This Row],[Used_Seed]]</f>
        <v>2193</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20.557301222785071</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7</v>
      </c>
      <c r="R169" t="str">
        <f t="shared" si="54"/>
        <v>Neutral</v>
      </c>
      <c r="S169">
        <f>survey_responses[[#This Row],[Tôi tin rằng với các quy định quản lý thuế hiện nay, hành vi gian lận hoặc trốn thuế sẽ dễ dàng bị phát hiện và xử lý nghiêm. - HUMAN-ENF1]]</f>
        <v>7</v>
      </c>
      <c r="T169" t="str">
        <f t="shared" si="55"/>
        <v>Neutral</v>
      </c>
      <c r="U169" s="32">
        <f t="shared" si="56"/>
        <v>0</v>
      </c>
      <c r="V169">
        <f>step3_validation[[#This Row],[AI_ENF2]]</f>
        <v>8</v>
      </c>
      <c r="W169" t="str">
        <f t="shared" si="57"/>
        <v>Support</v>
      </c>
      <c r="X169">
        <f>survey_responses[[#This Row],[Tôi tin rằng Nhà nước, cơ quan thuế có đủ khả năng và công nghệ để phát hiện, xử lý nghiêm các hành vi trốn thuế. - HUMAN-ENF2]]</f>
        <v>7</v>
      </c>
      <c r="Y169" t="str">
        <f t="shared" si="58"/>
        <v>Neutral</v>
      </c>
      <c r="Z169" s="32">
        <f t="shared" si="59"/>
        <v>1</v>
      </c>
      <c r="AA169">
        <f>step3_validation[[#This Row],[AI_FAC1]]</f>
        <v>6</v>
      </c>
      <c r="AB169" t="str">
        <f t="shared" si="60"/>
        <v>Neutral</v>
      </c>
      <c r="AC169">
        <f>survey_responses[[#This Row],[Các thủ tục khai báo thuế VÀ/HOẶC quy trình làm việc với cơ quan thuế đơn giản, tiện lợi, nhanh chóng hơn so với trước đây. - HUMAN-FAC1]]</f>
        <v>8</v>
      </c>
      <c r="AD169" t="str">
        <f t="shared" si="61"/>
        <v>Support</v>
      </c>
      <c r="AE169" s="32">
        <f t="shared" si="62"/>
        <v>2</v>
      </c>
      <c r="AF169">
        <f>step3_validation[[#This Row],[AI_FAC2]]</f>
        <v>9</v>
      </c>
      <c r="AG169" t="str">
        <f t="shared" si="63"/>
        <v>Support</v>
      </c>
      <c r="AH169">
        <f>survey_responses[[#This Row],[So với trước đây, tôi thấy cách tính thuế và các bậc thuế trong phương án mới đơn giản, dễ hiểu và dễ thực hiện hơn. - HUMAN-FAC2]]</f>
        <v>8</v>
      </c>
      <c r="AI169" t="str">
        <f t="shared" si="64"/>
        <v>Support</v>
      </c>
      <c r="AJ169" s="32">
        <f t="shared" si="65"/>
        <v>1</v>
      </c>
      <c r="AK169">
        <f>step3_validation[[#This Row],[AI_TRU1]]</f>
        <v>7</v>
      </c>
      <c r="AL169" t="str">
        <f t="shared" si="66"/>
        <v>Neutral</v>
      </c>
      <c r="AM169">
        <f>survey_responses[[#This Row],[Tôi tin rằng Nhà nước, cơ quan thuế sẽ thực thi chính sách mới một cách khách quan, công tâm và đối xử bình đẳng với mọi người nộp thuế.  - HUMAN-TRU1]]</f>
        <v>7</v>
      </c>
      <c r="AN169" t="str">
        <f t="shared" si="67"/>
        <v>Neutral</v>
      </c>
      <c r="AO169" s="32">
        <f t="shared" si="68"/>
        <v>0</v>
      </c>
      <c r="AP169">
        <f>step3_validation[[#This Row],[AI_TRU2]]</f>
        <v>8</v>
      </c>
      <c r="AQ169" t="str">
        <f t="shared" si="69"/>
        <v>Support</v>
      </c>
      <c r="AR169">
        <f>survey_responses[[#This Row],[Tôi thấy mức thuế tôi phải đóng theo phương án mới là công bằng (người thu nhập như tôi đóng mức này là hợp lý). - HUMAN-TRU2]]</f>
        <v>8</v>
      </c>
      <c r="AS169" t="str">
        <f t="shared" si="70"/>
        <v>Support</v>
      </c>
      <c r="AT169" s="32">
        <f t="shared" si="71"/>
        <v>0</v>
      </c>
      <c r="AU169">
        <f>step3_validation[[#This Row],[AI_TRU3]]</f>
        <v>7</v>
      </c>
      <c r="AV169" t="str">
        <f t="shared" si="72"/>
        <v>Neutral</v>
      </c>
      <c r="AW169">
        <f>survey_responses[[#This Row],[Tôi tin tưởng số tiền thuế tôi đóng sẽ được Nhà nước sử dụng hiệu quả để cải thiện dịch vụ công (y tế, đường xá...). - HUMAN-TRU3]]</f>
        <v>8</v>
      </c>
      <c r="AX169" t="str">
        <f t="shared" si="73"/>
        <v>Support</v>
      </c>
      <c r="AY169" s="32">
        <f t="shared" si="74"/>
        <v>1</v>
      </c>
      <c r="AZ169">
        <f>step3_validation[[#This Row],[AI_TRU4]]</f>
        <v>6</v>
      </c>
      <c r="BA169" t="str">
        <f t="shared" si="75"/>
        <v>Neutral</v>
      </c>
      <c r="BB169">
        <f>survey_responses[[#This Row],[Tôi thấy Nhà nước đã giải thích rõ ràng, minh bạch về lý do và mục tiêu của việc sửa đổi thuế lần này. - HUMAN-TRU4]]</f>
        <v>8</v>
      </c>
      <c r="BC169" t="str">
        <f t="shared" si="76"/>
        <v>Support</v>
      </c>
      <c r="BD169" s="32">
        <f t="shared" si="77"/>
        <v>2</v>
      </c>
      <c r="BE169">
        <f>step3_validation[[#This Row],[AI_OUT1]]</f>
        <v>8</v>
      </c>
      <c r="BF169" t="str">
        <f t="shared" si="78"/>
        <v>Support</v>
      </c>
      <c r="BG169">
        <f>survey_responses[[#This Row],[Sau khi xem xét các quyền lợi và nghĩa vụ, bạn có ủng hộ và tuân thủ chính sách mới hiện nay? - HUMAN-OUT1]]</f>
        <v>9</v>
      </c>
      <c r="BH169" t="str">
        <f t="shared" si="79"/>
        <v>Support</v>
      </c>
      <c r="BI169" s="32">
        <f t="shared" si="80"/>
        <v>1</v>
      </c>
    </row>
    <row r="170" spans="1:61" x14ac:dyDescent="0.45">
      <c r="A170" s="30">
        <f>step3_validation[[#This Row],[Persona_ID]]</f>
        <v>169</v>
      </c>
      <c r="B170" s="31">
        <f>step3_validation[[#This Row],[Used_Seed]]</f>
        <v>2194</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39.051620371938974</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8</v>
      </c>
      <c r="R170" t="str">
        <f t="shared" si="54"/>
        <v>Support</v>
      </c>
      <c r="S170">
        <f>survey_responses[[#This Row],[Tôi tin rằng với các quy định quản lý thuế hiện nay, hành vi gian lận hoặc trốn thuế sẽ dễ dàng bị phát hiện và xử lý nghiêm. - HUMAN-ENF1]]</f>
        <v>8</v>
      </c>
      <c r="T170" t="str">
        <f t="shared" si="55"/>
        <v>Support</v>
      </c>
      <c r="U170" s="32">
        <f t="shared" si="56"/>
        <v>0</v>
      </c>
      <c r="V170">
        <f>step3_validation[[#This Row],[AI_ENF2]]</f>
        <v>9</v>
      </c>
      <c r="W170" t="str">
        <f t="shared" si="57"/>
        <v>Support</v>
      </c>
      <c r="X170">
        <f>survey_responses[[#This Row],[Tôi tin rằng Nhà nước, cơ quan thuế có đủ khả năng và công nghệ để phát hiện, xử lý nghiêm các hành vi trốn thuế. - HUMAN-ENF2]]</f>
        <v>8</v>
      </c>
      <c r="Y170" t="str">
        <f t="shared" si="58"/>
        <v>Support</v>
      </c>
      <c r="Z170" s="32">
        <f t="shared" si="59"/>
        <v>1</v>
      </c>
      <c r="AA170">
        <f>step3_validation[[#This Row],[AI_FAC1]]</f>
        <v>9</v>
      </c>
      <c r="AB170" t="str">
        <f t="shared" si="60"/>
        <v>Support</v>
      </c>
      <c r="AC170">
        <f>survey_responses[[#This Row],[Các thủ tục khai báo thuế VÀ/HOẶC quy trình làm việc với cơ quan thuế đơn giản, tiện lợi, nhanh chóng hơn so với trước đây. - HUMAN-FAC1]]</f>
        <v>7</v>
      </c>
      <c r="AD170" t="str">
        <f t="shared" si="61"/>
        <v>Neutral</v>
      </c>
      <c r="AE170" s="32">
        <f t="shared" si="62"/>
        <v>2</v>
      </c>
      <c r="AF170">
        <f>step3_validation[[#This Row],[AI_FAC2]]</f>
        <v>8</v>
      </c>
      <c r="AG170" t="str">
        <f t="shared" si="63"/>
        <v>Support</v>
      </c>
      <c r="AH170">
        <f>survey_responses[[#This Row],[So với trước đây, tôi thấy cách tính thuế và các bậc thuế trong phương án mới đơn giản, dễ hiểu và dễ thực hiện hơn. - HUMAN-FAC2]]</f>
        <v>8</v>
      </c>
      <c r="AI170" t="str">
        <f t="shared" si="64"/>
        <v>Support</v>
      </c>
      <c r="AJ170" s="32">
        <f t="shared" si="65"/>
        <v>0</v>
      </c>
      <c r="AK170">
        <f>step3_validation[[#This Row],[AI_TRU1]]</f>
        <v>9</v>
      </c>
      <c r="AL170" t="str">
        <f t="shared" si="66"/>
        <v>Support</v>
      </c>
      <c r="AM170">
        <f>survey_responses[[#This Row],[Tôi tin rằng Nhà nước, cơ quan thuế sẽ thực thi chính sách mới một cách khách quan, công tâm và đối xử bình đẳng với mọi người nộp thuế.  - HUMAN-TRU1]]</f>
        <v>7</v>
      </c>
      <c r="AN170" t="str">
        <f t="shared" si="67"/>
        <v>Neutral</v>
      </c>
      <c r="AO170" s="32">
        <f t="shared" si="68"/>
        <v>2</v>
      </c>
      <c r="AP170">
        <f>step3_validation[[#This Row],[AI_TRU2]]</f>
        <v>8</v>
      </c>
      <c r="AQ170" t="str">
        <f t="shared" si="69"/>
        <v>Support</v>
      </c>
      <c r="AR170">
        <f>survey_responses[[#This Row],[Tôi thấy mức thuế tôi phải đóng theo phương án mới là công bằng (người thu nhập như tôi đóng mức này là hợp lý). - HUMAN-TRU2]]</f>
        <v>7</v>
      </c>
      <c r="AS170" t="str">
        <f t="shared" si="70"/>
        <v>Neutral</v>
      </c>
      <c r="AT170" s="32">
        <f t="shared" si="71"/>
        <v>1</v>
      </c>
      <c r="AU170">
        <f>step3_validation[[#This Row],[AI_TRU3]]</f>
        <v>9</v>
      </c>
      <c r="AV170" t="str">
        <f t="shared" si="72"/>
        <v>Support</v>
      </c>
      <c r="AW170">
        <f>survey_responses[[#This Row],[Tôi tin tưởng số tiền thuế tôi đóng sẽ được Nhà nước sử dụng hiệu quả để cải thiện dịch vụ công (y tế, đường xá...). - HUMAN-TRU3]]</f>
        <v>7</v>
      </c>
      <c r="AX170" t="str">
        <f t="shared" si="73"/>
        <v>Neutral</v>
      </c>
      <c r="AY170" s="32">
        <f t="shared" si="74"/>
        <v>2</v>
      </c>
      <c r="AZ170">
        <f>step3_validation[[#This Row],[AI_TRU4]]</f>
        <v>8</v>
      </c>
      <c r="BA170" t="str">
        <f t="shared" si="75"/>
        <v>Support</v>
      </c>
      <c r="BB170">
        <f>survey_responses[[#This Row],[Tôi thấy Nhà nước đã giải thích rõ ràng, minh bạch về lý do và mục tiêu của việc sửa đổi thuế lần này. - HUMAN-TRU4]]</f>
        <v>8</v>
      </c>
      <c r="BC170" t="str">
        <f t="shared" si="76"/>
        <v>Support</v>
      </c>
      <c r="BD170" s="32">
        <f t="shared" si="77"/>
        <v>0</v>
      </c>
      <c r="BE170">
        <f>step3_validation[[#This Row],[AI_OUT1]]</f>
        <v>9</v>
      </c>
      <c r="BF170" t="str">
        <f t="shared" si="78"/>
        <v>Support</v>
      </c>
      <c r="BG170">
        <f>survey_responses[[#This Row],[Sau khi xem xét các quyền lợi và nghĩa vụ, bạn có ủng hộ và tuân thủ chính sách mới hiện nay? - HUMAN-OUT1]]</f>
        <v>8</v>
      </c>
      <c r="BH170" t="str">
        <f t="shared" si="79"/>
        <v>Support</v>
      </c>
      <c r="BI170" s="32">
        <f t="shared" si="80"/>
        <v>1</v>
      </c>
    </row>
    <row r="171" spans="1:61" x14ac:dyDescent="0.45">
      <c r="A171" s="30">
        <f>step3_validation[[#This Row],[Persona_ID]]</f>
        <v>170</v>
      </c>
      <c r="B171" s="31">
        <f>step3_validation[[#This Row],[Used_Seed]]</f>
        <v>2195</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15.138012185357109</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6</v>
      </c>
      <c r="R171" t="str">
        <f t="shared" si="54"/>
        <v>Neutral</v>
      </c>
      <c r="S171">
        <f>survey_responses[[#This Row],[Tôi tin rằng với các quy định quản lý thuế hiện nay, hành vi gian lận hoặc trốn thuế sẽ dễ dàng bị phát hiện và xử lý nghiêm. - HUMAN-ENF1]]</f>
        <v>5</v>
      </c>
      <c r="T171" t="str">
        <f t="shared" si="55"/>
        <v>Neutral</v>
      </c>
      <c r="U171" s="32">
        <f t="shared" si="56"/>
        <v>1</v>
      </c>
      <c r="V171">
        <f>step3_validation[[#This Row],[AI_ENF2]]</f>
        <v>7</v>
      </c>
      <c r="W171" t="str">
        <f t="shared" si="57"/>
        <v>Neutral</v>
      </c>
      <c r="X171">
        <f>survey_responses[[#This Row],[Tôi tin rằng Nhà nước, cơ quan thuế có đủ khả năng và công nghệ để phát hiện, xử lý nghiêm các hành vi trốn thuế. - HUMAN-ENF2]]</f>
        <v>8</v>
      </c>
      <c r="Y171" t="str">
        <f t="shared" si="58"/>
        <v>Support</v>
      </c>
      <c r="Z171" s="32">
        <f t="shared" si="59"/>
        <v>1</v>
      </c>
      <c r="AA171">
        <f>step3_validation[[#This Row],[AI_FAC1]]</f>
        <v>8</v>
      </c>
      <c r="AB171" t="str">
        <f t="shared" si="60"/>
        <v>Support</v>
      </c>
      <c r="AC171">
        <f>survey_responses[[#This Row],[Các thủ tục khai báo thuế VÀ/HOẶC quy trình làm việc với cơ quan thuế đơn giản, tiện lợi, nhanh chóng hơn so với trước đây. - HUMAN-FAC1]]</f>
        <v>7</v>
      </c>
      <c r="AD171" t="str">
        <f t="shared" si="61"/>
        <v>Neutral</v>
      </c>
      <c r="AE171" s="32">
        <f t="shared" si="62"/>
        <v>1</v>
      </c>
      <c r="AF171">
        <f>step3_validation[[#This Row],[AI_FAC2]]</f>
        <v>9</v>
      </c>
      <c r="AG171" t="str">
        <f t="shared" si="63"/>
        <v>Support</v>
      </c>
      <c r="AH171">
        <f>survey_responses[[#This Row],[So với trước đây, tôi thấy cách tính thuế và các bậc thuế trong phương án mới đơn giản, dễ hiểu và dễ thực hiện hơn. - HUMAN-FAC2]]</f>
        <v>8</v>
      </c>
      <c r="AI171" t="str">
        <f t="shared" si="64"/>
        <v>Support</v>
      </c>
      <c r="AJ171" s="32">
        <f t="shared" si="65"/>
        <v>1</v>
      </c>
      <c r="AK171">
        <f>step3_validation[[#This Row],[AI_TRU1]]</f>
        <v>7</v>
      </c>
      <c r="AL171" t="str">
        <f t="shared" si="66"/>
        <v>Neutral</v>
      </c>
      <c r="AM171">
        <f>survey_responses[[#This Row],[Tôi tin rằng Nhà nước, cơ quan thuế sẽ thực thi chính sách mới một cách khách quan, công tâm và đối xử bình đẳng với mọi người nộp thuế.  - HUMAN-TRU1]]</f>
        <v>1</v>
      </c>
      <c r="AN171" t="str">
        <f t="shared" si="67"/>
        <v>Oppose</v>
      </c>
      <c r="AO171" s="32">
        <f t="shared" si="68"/>
        <v>6</v>
      </c>
      <c r="AP171">
        <f>step3_validation[[#This Row],[AI_TRU2]]</f>
        <v>8</v>
      </c>
      <c r="AQ171" t="str">
        <f t="shared" si="69"/>
        <v>Support</v>
      </c>
      <c r="AR171">
        <f>survey_responses[[#This Row],[Tôi thấy mức thuế tôi phải đóng theo phương án mới là công bằng (người thu nhập như tôi đóng mức này là hợp lý). - HUMAN-TRU2]]</f>
        <v>2</v>
      </c>
      <c r="AS171" t="str">
        <f t="shared" si="70"/>
        <v>Oppose</v>
      </c>
      <c r="AT171" s="32">
        <f t="shared" si="71"/>
        <v>6</v>
      </c>
      <c r="AU171">
        <f>step3_validation[[#This Row],[AI_TRU3]]</f>
        <v>7</v>
      </c>
      <c r="AV171" t="str">
        <f t="shared" si="72"/>
        <v>Neutral</v>
      </c>
      <c r="AW171">
        <f>survey_responses[[#This Row],[Tôi tin tưởng số tiền thuế tôi đóng sẽ được Nhà nước sử dụng hiệu quả để cải thiện dịch vụ công (y tế, đường xá...). - HUMAN-TRU3]]</f>
        <v>3</v>
      </c>
      <c r="AX171" t="str">
        <f t="shared" si="73"/>
        <v>Oppose</v>
      </c>
      <c r="AY171" s="32">
        <f t="shared" si="74"/>
        <v>4</v>
      </c>
      <c r="AZ171">
        <f>step3_validation[[#This Row],[AI_TRU4]]</f>
        <v>8</v>
      </c>
      <c r="BA171" t="str">
        <f t="shared" si="75"/>
        <v>Support</v>
      </c>
      <c r="BB171">
        <f>survey_responses[[#This Row],[Tôi thấy Nhà nước đã giải thích rõ ràng, minh bạch về lý do và mục tiêu của việc sửa đổi thuế lần này. - HUMAN-TRU4]]</f>
        <v>3</v>
      </c>
      <c r="BC171" t="str">
        <f t="shared" si="76"/>
        <v>Oppose</v>
      </c>
      <c r="BD171" s="32">
        <f t="shared" si="77"/>
        <v>5</v>
      </c>
      <c r="BE171">
        <f>step3_validation[[#This Row],[AI_OUT1]]</f>
        <v>9</v>
      </c>
      <c r="BF171" t="str">
        <f t="shared" si="78"/>
        <v>Support</v>
      </c>
      <c r="BG171">
        <f>survey_responses[[#This Row],[Sau khi xem xét các quyền lợi và nghĩa vụ, bạn có ủng hộ và tuân thủ chính sách mới hiện nay? - HUMAN-OUT1]]</f>
        <v>7</v>
      </c>
      <c r="BH171" t="str">
        <f t="shared" si="79"/>
        <v>Neutral</v>
      </c>
      <c r="BI171" s="32">
        <f t="shared" si="80"/>
        <v>2</v>
      </c>
    </row>
    <row r="172" spans="1:61" x14ac:dyDescent="0.45">
      <c r="A172" s="30">
        <f>step3_validation[[#This Row],[Persona_ID]]</f>
        <v>171</v>
      </c>
      <c r="B172" s="31">
        <f>step3_validation[[#This Row],[Used_Seed]]</f>
        <v>2196</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7</v>
      </c>
      <c r="R172" t="str">
        <f t="shared" si="54"/>
        <v>Neutral</v>
      </c>
      <c r="S172">
        <f>survey_responses[[#This Row],[Tôi tin rằng với các quy định quản lý thuế hiện nay, hành vi gian lận hoặc trốn thuế sẽ dễ dàng bị phát hiện và xử lý nghiêm. - HUMAN-ENF1]]</f>
        <v>6</v>
      </c>
      <c r="T172" t="str">
        <f t="shared" si="55"/>
        <v>Neutral</v>
      </c>
      <c r="U172" s="32">
        <f t="shared" si="56"/>
        <v>1</v>
      </c>
      <c r="V172">
        <f>step3_validation[[#This Row],[AI_ENF2]]</f>
        <v>8</v>
      </c>
      <c r="W172" t="str">
        <f t="shared" si="57"/>
        <v>Support</v>
      </c>
      <c r="X172">
        <f>survey_responses[[#This Row],[Tôi tin rằng Nhà nước, cơ quan thuế có đủ khả năng và công nghệ để phát hiện, xử lý nghiêm các hành vi trốn thuế. - HUMAN-ENF2]]</f>
        <v>7</v>
      </c>
      <c r="Y172" t="str">
        <f t="shared" si="58"/>
        <v>Neutral</v>
      </c>
      <c r="Z172" s="32">
        <f t="shared" si="59"/>
        <v>1</v>
      </c>
      <c r="AA172">
        <f>step3_validation[[#This Row],[AI_FAC1]]</f>
        <v>9</v>
      </c>
      <c r="AB172" t="str">
        <f t="shared" si="60"/>
        <v>Support</v>
      </c>
      <c r="AC172">
        <f>survey_responses[[#This Row],[Các thủ tục khai báo thuế VÀ/HOẶC quy trình làm việc với cơ quan thuế đơn giản, tiện lợi, nhanh chóng hơn so với trước đây. - HUMAN-FAC1]]</f>
        <v>5</v>
      </c>
      <c r="AD172" t="str">
        <f t="shared" si="61"/>
        <v>Neutral</v>
      </c>
      <c r="AE172" s="32">
        <f t="shared" si="62"/>
        <v>4</v>
      </c>
      <c r="AF172">
        <f>step3_validation[[#This Row],[AI_FAC2]]</f>
        <v>10</v>
      </c>
      <c r="AG172" t="str">
        <f t="shared" si="63"/>
        <v>Support</v>
      </c>
      <c r="AH172">
        <f>survey_responses[[#This Row],[So với trước đây, tôi thấy cách tính thuế và các bậc thuế trong phương án mới đơn giản, dễ hiểu và dễ thực hiện hơn. - HUMAN-FAC2]]</f>
        <v>7</v>
      </c>
      <c r="AI172" t="str">
        <f t="shared" si="64"/>
        <v>Neutral</v>
      </c>
      <c r="AJ172" s="32">
        <f t="shared" si="65"/>
        <v>3</v>
      </c>
      <c r="AK172">
        <f>step3_validation[[#This Row],[AI_TRU1]]</f>
        <v>7</v>
      </c>
      <c r="AL172" t="str">
        <f t="shared" si="66"/>
        <v>Neutral</v>
      </c>
      <c r="AM172">
        <f>survey_responses[[#This Row],[Tôi tin rằng Nhà nước, cơ quan thuế sẽ thực thi chính sách mới một cách khách quan, công tâm và đối xử bình đẳng với mọi người nộp thuế.  - HUMAN-TRU1]]</f>
        <v>7</v>
      </c>
      <c r="AN172" t="str">
        <f t="shared" si="67"/>
        <v>Neutral</v>
      </c>
      <c r="AO172" s="32">
        <f t="shared" si="68"/>
        <v>0</v>
      </c>
      <c r="AP172">
        <f>step3_validation[[#This Row],[AI_TRU2]]</f>
        <v>9</v>
      </c>
      <c r="AQ172" t="str">
        <f t="shared" si="69"/>
        <v>Support</v>
      </c>
      <c r="AR172">
        <f>survey_responses[[#This Row],[Tôi thấy mức thuế tôi phải đóng theo phương án mới là công bằng (người thu nhập như tôi đóng mức này là hợp lý). - HUMAN-TRU2]]</f>
        <v>7</v>
      </c>
      <c r="AS172" t="str">
        <f t="shared" si="70"/>
        <v>Neutral</v>
      </c>
      <c r="AT172" s="32">
        <f t="shared" si="71"/>
        <v>2</v>
      </c>
      <c r="AU172">
        <f>step3_validation[[#This Row],[AI_TRU3]]</f>
        <v>8</v>
      </c>
      <c r="AV172" t="str">
        <f t="shared" si="72"/>
        <v>Support</v>
      </c>
      <c r="AW172">
        <f>survey_responses[[#This Row],[Tôi tin tưởng số tiền thuế tôi đóng sẽ được Nhà nước sử dụng hiệu quả để cải thiện dịch vụ công (y tế, đường xá...). - HUMAN-TRU3]]</f>
        <v>5</v>
      </c>
      <c r="AX172" t="str">
        <f t="shared" si="73"/>
        <v>Neutral</v>
      </c>
      <c r="AY172" s="32">
        <f t="shared" si="74"/>
        <v>3</v>
      </c>
      <c r="AZ172">
        <f>step3_validation[[#This Row],[AI_TRU4]]</f>
        <v>9</v>
      </c>
      <c r="BA172" t="str">
        <f t="shared" si="75"/>
        <v>Support</v>
      </c>
      <c r="BB172">
        <f>survey_responses[[#This Row],[Tôi thấy Nhà nước đã giải thích rõ ràng, minh bạch về lý do và mục tiêu của việc sửa đổi thuế lần này. - HUMAN-TRU4]]</f>
        <v>7</v>
      </c>
      <c r="BC172" t="str">
        <f t="shared" si="76"/>
        <v>Neutral</v>
      </c>
      <c r="BD172" s="32">
        <f t="shared" si="77"/>
        <v>2</v>
      </c>
      <c r="BE172">
        <f>step3_validation[[#This Row],[AI_OUT1]]</f>
        <v>10</v>
      </c>
      <c r="BF172" t="str">
        <f t="shared" si="78"/>
        <v>Support</v>
      </c>
      <c r="BG172">
        <f>survey_responses[[#This Row],[Sau khi xem xét các quyền lợi và nghĩa vụ, bạn có ủng hộ và tuân thủ chính sách mới hiện nay? - HUMAN-OUT1]]</f>
        <v>7</v>
      </c>
      <c r="BH172" t="str">
        <f t="shared" si="79"/>
        <v>Neutral</v>
      </c>
      <c r="BI172" s="32">
        <f t="shared" si="80"/>
        <v>3</v>
      </c>
    </row>
    <row r="173" spans="1:61" x14ac:dyDescent="0.45">
      <c r="A173" s="30">
        <f>step3_validation[[#This Row],[Persona_ID]]</f>
        <v>172</v>
      </c>
      <c r="B173" s="31">
        <f>step3_validation[[#This Row],[Used_Seed]]</f>
        <v>2197</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188.41791865277463</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6</v>
      </c>
      <c r="R173" t="str">
        <f t="shared" si="54"/>
        <v>Neutral</v>
      </c>
      <c r="S173">
        <f>survey_responses[[#This Row],[Tôi tin rằng với các quy định quản lý thuế hiện nay, hành vi gian lận hoặc trốn thuế sẽ dễ dàng bị phát hiện và xử lý nghiêm. - HUMAN-ENF1]]</f>
        <v>8</v>
      </c>
      <c r="T173" t="str">
        <f t="shared" si="55"/>
        <v>Support</v>
      </c>
      <c r="U173" s="32">
        <f t="shared" si="56"/>
        <v>2</v>
      </c>
      <c r="V173">
        <f>step3_validation[[#This Row],[AI_ENF2]]</f>
        <v>8</v>
      </c>
      <c r="W173" t="str">
        <f t="shared" si="57"/>
        <v>Support</v>
      </c>
      <c r="X173">
        <f>survey_responses[[#This Row],[Tôi tin rằng Nhà nước, cơ quan thuế có đủ khả năng và công nghệ để phát hiện, xử lý nghiêm các hành vi trốn thuế. - HUMAN-ENF2]]</f>
        <v>8</v>
      </c>
      <c r="Y173" t="str">
        <f t="shared" si="58"/>
        <v>Support</v>
      </c>
      <c r="Z173" s="32">
        <f t="shared" si="59"/>
        <v>0</v>
      </c>
      <c r="AA173">
        <f>step3_validation[[#This Row],[AI_FAC1]]</f>
        <v>9</v>
      </c>
      <c r="AB173" t="str">
        <f t="shared" si="60"/>
        <v>Support</v>
      </c>
      <c r="AC173">
        <f>survey_responses[[#This Row],[Các thủ tục khai báo thuế VÀ/HOẶC quy trình làm việc với cơ quan thuế đơn giản, tiện lợi, nhanh chóng hơn so với trước đây. - HUMAN-FAC1]]</f>
        <v>8</v>
      </c>
      <c r="AD173" t="str">
        <f t="shared" si="61"/>
        <v>Support</v>
      </c>
      <c r="AE173" s="32">
        <f t="shared" si="62"/>
        <v>1</v>
      </c>
      <c r="AF173">
        <f>step3_validation[[#This Row],[AI_FAC2]]</f>
        <v>8</v>
      </c>
      <c r="AG173" t="str">
        <f t="shared" si="63"/>
        <v>Support</v>
      </c>
      <c r="AH173">
        <f>survey_responses[[#This Row],[So với trước đây, tôi thấy cách tính thuế và các bậc thuế trong phương án mới đơn giản, dễ hiểu và dễ thực hiện hơn. - HUMAN-FAC2]]</f>
        <v>9</v>
      </c>
      <c r="AI173" t="str">
        <f t="shared" si="64"/>
        <v>Support</v>
      </c>
      <c r="AJ173" s="32">
        <f t="shared" si="65"/>
        <v>1</v>
      </c>
      <c r="AK173">
        <f>step3_validation[[#This Row],[AI_TRU1]]</f>
        <v>7</v>
      </c>
      <c r="AL173" t="str">
        <f t="shared" si="66"/>
        <v>Neutral</v>
      </c>
      <c r="AM173">
        <f>survey_responses[[#This Row],[Tôi tin rằng Nhà nước, cơ quan thuế sẽ thực thi chính sách mới một cách khách quan, công tâm và đối xử bình đẳng với mọi người nộp thuế.  - HUMAN-TRU1]]</f>
        <v>9</v>
      </c>
      <c r="AN173" t="str">
        <f t="shared" si="67"/>
        <v>Support</v>
      </c>
      <c r="AO173" s="32">
        <f t="shared" si="68"/>
        <v>2</v>
      </c>
      <c r="AP173">
        <f>step3_validation[[#This Row],[AI_TRU2]]</f>
        <v>9</v>
      </c>
      <c r="AQ173" t="str">
        <f t="shared" si="69"/>
        <v>Support</v>
      </c>
      <c r="AR173">
        <f>survey_responses[[#This Row],[Tôi thấy mức thuế tôi phải đóng theo phương án mới là công bằng (người thu nhập như tôi đóng mức này là hợp lý). - HUMAN-TRU2]]</f>
        <v>5</v>
      </c>
      <c r="AS173" t="str">
        <f t="shared" si="70"/>
        <v>Neutral</v>
      </c>
      <c r="AT173" s="32">
        <f t="shared" si="71"/>
        <v>4</v>
      </c>
      <c r="AU173">
        <f>step3_validation[[#This Row],[AI_TRU3]]</f>
        <v>8</v>
      </c>
      <c r="AV173" t="str">
        <f t="shared" si="72"/>
        <v>Support</v>
      </c>
      <c r="AW173">
        <f>survey_responses[[#This Row],[Tôi tin tưởng số tiền thuế tôi đóng sẽ được Nhà nước sử dụng hiệu quả để cải thiện dịch vụ công (y tế, đường xá...). - HUMAN-TRU3]]</f>
        <v>5</v>
      </c>
      <c r="AX173" t="str">
        <f t="shared" si="73"/>
        <v>Neutral</v>
      </c>
      <c r="AY173" s="32">
        <f t="shared" si="74"/>
        <v>3</v>
      </c>
      <c r="AZ173">
        <f>step3_validation[[#This Row],[AI_TRU4]]</f>
        <v>7</v>
      </c>
      <c r="BA173" t="str">
        <f t="shared" si="75"/>
        <v>Neutral</v>
      </c>
      <c r="BB173">
        <f>survey_responses[[#This Row],[Tôi thấy Nhà nước đã giải thích rõ ràng, minh bạch về lý do và mục tiêu của việc sửa đổi thuế lần này. - HUMAN-TRU4]]</f>
        <v>8</v>
      </c>
      <c r="BC173" t="str">
        <f t="shared" si="76"/>
        <v>Support</v>
      </c>
      <c r="BD173" s="32">
        <f t="shared" si="77"/>
        <v>1</v>
      </c>
      <c r="BE173">
        <f>step3_validation[[#This Row],[AI_OUT1]]</f>
        <v>9</v>
      </c>
      <c r="BF173" t="str">
        <f t="shared" si="78"/>
        <v>Support</v>
      </c>
      <c r="BG173">
        <f>survey_responses[[#This Row],[Sau khi xem xét các quyền lợi và nghĩa vụ, bạn có ủng hộ và tuân thủ chính sách mới hiện nay? - HUMAN-OUT1]]</f>
        <v>6</v>
      </c>
      <c r="BH173" t="str">
        <f t="shared" si="79"/>
        <v>Neutral</v>
      </c>
      <c r="BI173" s="32">
        <f t="shared" si="80"/>
        <v>3</v>
      </c>
    </row>
    <row r="174" spans="1:61" x14ac:dyDescent="0.45">
      <c r="A174" s="30">
        <f>step3_validation[[#This Row],[Persona_ID]]</f>
        <v>173</v>
      </c>
      <c r="B174" s="31">
        <f>step3_validation[[#This Row],[Used_Seed]]</f>
        <v>2198</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100.48932860121602</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7</v>
      </c>
      <c r="R174" t="str">
        <f t="shared" si="54"/>
        <v>Neutral</v>
      </c>
      <c r="S174">
        <f>survey_responses[[#This Row],[Tôi tin rằng với các quy định quản lý thuế hiện nay, hành vi gian lận hoặc trốn thuế sẽ dễ dàng bị phát hiện và xử lý nghiêm. - HUMAN-ENF1]]</f>
        <v>5</v>
      </c>
      <c r="T174" t="str">
        <f t="shared" si="55"/>
        <v>Neutral</v>
      </c>
      <c r="U174" s="32">
        <f t="shared" si="56"/>
        <v>2</v>
      </c>
      <c r="V174">
        <f>step3_validation[[#This Row],[AI_ENF2]]</f>
        <v>8</v>
      </c>
      <c r="W174" t="str">
        <f t="shared" si="57"/>
        <v>Support</v>
      </c>
      <c r="X174">
        <f>survey_responses[[#This Row],[Tôi tin rằng Nhà nước, cơ quan thuế có đủ khả năng và công nghệ để phát hiện, xử lý nghiêm các hành vi trốn thuế. - HUMAN-ENF2]]</f>
        <v>5</v>
      </c>
      <c r="Y174" t="str">
        <f t="shared" si="58"/>
        <v>Neutral</v>
      </c>
      <c r="Z174" s="32">
        <f t="shared" si="59"/>
        <v>3</v>
      </c>
      <c r="AA174">
        <f>step3_validation[[#This Row],[AI_FAC1]]</f>
        <v>7</v>
      </c>
      <c r="AB174" t="str">
        <f t="shared" si="60"/>
        <v>Neutral</v>
      </c>
      <c r="AC174">
        <f>survey_responses[[#This Row],[Các thủ tục khai báo thuế VÀ/HOẶC quy trình làm việc với cơ quan thuế đơn giản, tiện lợi, nhanh chóng hơn so với trước đây. - HUMAN-FAC1]]</f>
        <v>4</v>
      </c>
      <c r="AD174" t="str">
        <f t="shared" si="61"/>
        <v>Oppose</v>
      </c>
      <c r="AE174" s="32">
        <f t="shared" si="62"/>
        <v>3</v>
      </c>
      <c r="AF174">
        <f>step3_validation[[#This Row],[AI_FAC2]]</f>
        <v>9</v>
      </c>
      <c r="AG174" t="str">
        <f t="shared" si="63"/>
        <v>Support</v>
      </c>
      <c r="AH174">
        <f>survey_responses[[#This Row],[So với trước đây, tôi thấy cách tính thuế và các bậc thuế trong phương án mới đơn giản, dễ hiểu và dễ thực hiện hơn. - HUMAN-FAC2]]</f>
        <v>6</v>
      </c>
      <c r="AI174" t="str">
        <f t="shared" si="64"/>
        <v>Neutral</v>
      </c>
      <c r="AJ174" s="32">
        <f t="shared" si="65"/>
        <v>3</v>
      </c>
      <c r="AK174">
        <f>step3_validation[[#This Row],[AI_TRU1]]</f>
        <v>8</v>
      </c>
      <c r="AL174" t="str">
        <f t="shared" si="66"/>
        <v>Support</v>
      </c>
      <c r="AM174">
        <f>survey_responses[[#This Row],[Tôi tin rằng Nhà nước, cơ quan thuế sẽ thực thi chính sách mới một cách khách quan, công tâm và đối xử bình đẳng với mọi người nộp thuế.  - HUMAN-TRU1]]</f>
        <v>5</v>
      </c>
      <c r="AN174" t="str">
        <f t="shared" si="67"/>
        <v>Neutral</v>
      </c>
      <c r="AO174" s="32">
        <f t="shared" si="68"/>
        <v>3</v>
      </c>
      <c r="AP174">
        <f>step3_validation[[#This Row],[AI_TRU2]]</f>
        <v>9</v>
      </c>
      <c r="AQ174" t="str">
        <f t="shared" si="69"/>
        <v>Support</v>
      </c>
      <c r="AR174">
        <f>survey_responses[[#This Row],[Tôi thấy mức thuế tôi phải đóng theo phương án mới là công bằng (người thu nhập như tôi đóng mức này là hợp lý). - HUMAN-TRU2]]</f>
        <v>4</v>
      </c>
      <c r="AS174" t="str">
        <f t="shared" si="70"/>
        <v>Oppose</v>
      </c>
      <c r="AT174" s="32">
        <f t="shared" si="71"/>
        <v>5</v>
      </c>
      <c r="AU174">
        <f>step3_validation[[#This Row],[AI_TRU3]]</f>
        <v>7</v>
      </c>
      <c r="AV174" t="str">
        <f t="shared" si="72"/>
        <v>Neutral</v>
      </c>
      <c r="AW174">
        <f>survey_responses[[#This Row],[Tôi tin tưởng số tiền thuế tôi đóng sẽ được Nhà nước sử dụng hiệu quả để cải thiện dịch vụ công (y tế, đường xá...). - HUMAN-TRU3]]</f>
        <v>4</v>
      </c>
      <c r="AX174" t="str">
        <f t="shared" si="73"/>
        <v>Oppose</v>
      </c>
      <c r="AY174" s="32">
        <f t="shared" si="74"/>
        <v>3</v>
      </c>
      <c r="AZ174">
        <f>step3_validation[[#This Row],[AI_TRU4]]</f>
        <v>8</v>
      </c>
      <c r="BA174" t="str">
        <f t="shared" si="75"/>
        <v>Support</v>
      </c>
      <c r="BB174">
        <f>survey_responses[[#This Row],[Tôi thấy Nhà nước đã giải thích rõ ràng, minh bạch về lý do và mục tiêu của việc sửa đổi thuế lần này. - HUMAN-TRU4]]</f>
        <v>5</v>
      </c>
      <c r="BC174" t="str">
        <f t="shared" si="76"/>
        <v>Neutral</v>
      </c>
      <c r="BD174" s="32">
        <f t="shared" si="77"/>
        <v>3</v>
      </c>
      <c r="BE174">
        <f>step3_validation[[#This Row],[AI_OUT1]]</f>
        <v>9</v>
      </c>
      <c r="BF174" t="str">
        <f t="shared" si="78"/>
        <v>Support</v>
      </c>
      <c r="BG174">
        <f>survey_responses[[#This Row],[Sau khi xem xét các quyền lợi và nghĩa vụ, bạn có ủng hộ và tuân thủ chính sách mới hiện nay? - HUMAN-OUT1]]</f>
        <v>5</v>
      </c>
      <c r="BH174" t="str">
        <f t="shared" si="79"/>
        <v>Neutral</v>
      </c>
      <c r="BI174" s="32">
        <f t="shared" si="80"/>
        <v>4</v>
      </c>
    </row>
    <row r="175" spans="1:61" x14ac:dyDescent="0.45">
      <c r="A175" s="30">
        <f>step3_validation[[#This Row],[Persona_ID]]</f>
        <v>174</v>
      </c>
      <c r="B175" s="31">
        <f>step3_validation[[#This Row],[Used_Seed]]</f>
        <v>2199</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43.547367865424363</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6</v>
      </c>
      <c r="R175" t="str">
        <f t="shared" si="54"/>
        <v>Neutral</v>
      </c>
      <c r="S175">
        <f>survey_responses[[#This Row],[Tôi tin rằng với các quy định quản lý thuế hiện nay, hành vi gian lận hoặc trốn thuế sẽ dễ dàng bị phát hiện và xử lý nghiêm. - HUMAN-ENF1]]</f>
        <v>6</v>
      </c>
      <c r="T175" t="str">
        <f t="shared" si="55"/>
        <v>Neutral</v>
      </c>
      <c r="U175" s="32">
        <f t="shared" si="56"/>
        <v>0</v>
      </c>
      <c r="V175">
        <f>step3_validation[[#This Row],[AI_ENF2]]</f>
        <v>7</v>
      </c>
      <c r="W175" t="str">
        <f t="shared" si="57"/>
        <v>Neutral</v>
      </c>
      <c r="X175">
        <f>survey_responses[[#This Row],[Tôi tin rằng Nhà nước, cơ quan thuế có đủ khả năng và công nghệ để phát hiện, xử lý nghiêm các hành vi trốn thuế. - HUMAN-ENF2]]</f>
        <v>6</v>
      </c>
      <c r="Y175" t="str">
        <f t="shared" si="58"/>
        <v>Neutral</v>
      </c>
      <c r="Z175" s="32">
        <f t="shared" si="59"/>
        <v>1</v>
      </c>
      <c r="AA175">
        <f>step3_validation[[#This Row],[AI_FAC1]]</f>
        <v>8</v>
      </c>
      <c r="AB175" t="str">
        <f t="shared" si="60"/>
        <v>Support</v>
      </c>
      <c r="AC175">
        <f>survey_responses[[#This Row],[Các thủ tục khai báo thuế VÀ/HOẶC quy trình làm việc với cơ quan thuế đơn giản, tiện lợi, nhanh chóng hơn so với trước đây. - HUMAN-FAC1]]</f>
        <v>6</v>
      </c>
      <c r="AD175" t="str">
        <f t="shared" si="61"/>
        <v>Neutral</v>
      </c>
      <c r="AE175" s="32">
        <f t="shared" si="62"/>
        <v>2</v>
      </c>
      <c r="AF175">
        <f>step3_validation[[#This Row],[AI_FAC2]]</f>
        <v>9</v>
      </c>
      <c r="AG175" t="str">
        <f t="shared" si="63"/>
        <v>Support</v>
      </c>
      <c r="AH175">
        <f>survey_responses[[#This Row],[So với trước đây, tôi thấy cách tính thuế và các bậc thuế trong phương án mới đơn giản, dễ hiểu và dễ thực hiện hơn. - HUMAN-FAC2]]</f>
        <v>6</v>
      </c>
      <c r="AI175" t="str">
        <f t="shared" si="64"/>
        <v>Neutral</v>
      </c>
      <c r="AJ175" s="32">
        <f t="shared" si="65"/>
        <v>3</v>
      </c>
      <c r="AK175">
        <f>step3_validation[[#This Row],[AI_TRU1]]</f>
        <v>7</v>
      </c>
      <c r="AL175" t="str">
        <f t="shared" si="66"/>
        <v>Neutral</v>
      </c>
      <c r="AM175">
        <f>survey_responses[[#This Row],[Tôi tin rằng Nhà nước, cơ quan thuế sẽ thực thi chính sách mới một cách khách quan, công tâm và đối xử bình đẳng với mọi người nộp thuế.  - HUMAN-TRU1]]</f>
        <v>7</v>
      </c>
      <c r="AN175" t="str">
        <f t="shared" si="67"/>
        <v>Neutral</v>
      </c>
      <c r="AO175" s="32">
        <f t="shared" si="68"/>
        <v>0</v>
      </c>
      <c r="AP175">
        <f>step3_validation[[#This Row],[AI_TRU2]]</f>
        <v>9</v>
      </c>
      <c r="AQ175" t="str">
        <f t="shared" si="69"/>
        <v>Support</v>
      </c>
      <c r="AR175">
        <f>survey_responses[[#This Row],[Tôi thấy mức thuế tôi phải đóng theo phương án mới là công bằng (người thu nhập như tôi đóng mức này là hợp lý). - HUMAN-TRU2]]</f>
        <v>7</v>
      </c>
      <c r="AS175" t="str">
        <f t="shared" si="70"/>
        <v>Neutral</v>
      </c>
      <c r="AT175" s="32">
        <f t="shared" si="71"/>
        <v>2</v>
      </c>
      <c r="AU175">
        <f>step3_validation[[#This Row],[AI_TRU3]]</f>
        <v>8</v>
      </c>
      <c r="AV175" t="str">
        <f t="shared" si="72"/>
        <v>Support</v>
      </c>
      <c r="AW175">
        <f>survey_responses[[#This Row],[Tôi tin tưởng số tiền thuế tôi đóng sẽ được Nhà nước sử dụng hiệu quả để cải thiện dịch vụ công (y tế, đường xá...). - HUMAN-TRU3]]</f>
        <v>5</v>
      </c>
      <c r="AX175" t="str">
        <f t="shared" si="73"/>
        <v>Neutral</v>
      </c>
      <c r="AY175" s="32">
        <f t="shared" si="74"/>
        <v>3</v>
      </c>
      <c r="AZ175">
        <f>step3_validation[[#This Row],[AI_TRU4]]</f>
        <v>7</v>
      </c>
      <c r="BA175" t="str">
        <f t="shared" si="75"/>
        <v>Neutral</v>
      </c>
      <c r="BB175">
        <f>survey_responses[[#This Row],[Tôi thấy Nhà nước đã giải thích rõ ràng, minh bạch về lý do và mục tiêu của việc sửa đổi thuế lần này. - HUMAN-TRU4]]</f>
        <v>7</v>
      </c>
      <c r="BC175" t="str">
        <f t="shared" si="76"/>
        <v>Neutral</v>
      </c>
      <c r="BD175" s="32">
        <f t="shared" si="77"/>
        <v>0</v>
      </c>
      <c r="BE175">
        <f>step3_validation[[#This Row],[AI_OUT1]]</f>
        <v>9</v>
      </c>
      <c r="BF175" t="str">
        <f t="shared" si="78"/>
        <v>Support</v>
      </c>
      <c r="BG175">
        <f>survey_responses[[#This Row],[Sau khi xem xét các quyền lợi và nghĩa vụ, bạn có ủng hộ và tuân thủ chính sách mới hiện nay? - HUMAN-OUT1]]</f>
        <v>6</v>
      </c>
      <c r="BH175" t="str">
        <f t="shared" si="79"/>
        <v>Neutral</v>
      </c>
      <c r="BI175" s="32">
        <f t="shared" si="80"/>
        <v>3</v>
      </c>
    </row>
    <row r="176" spans="1:61" x14ac:dyDescent="0.45">
      <c r="A176" s="30">
        <f>step3_validation[[#This Row],[Persona_ID]]</f>
        <v>175</v>
      </c>
      <c r="B176" s="31">
        <f>step3_validation[[#This Row],[Used_Seed]]</f>
        <v>2200</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204.86008664032727</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8</v>
      </c>
      <c r="R176" t="str">
        <f t="shared" si="54"/>
        <v>Support</v>
      </c>
      <c r="S176">
        <f>survey_responses[[#This Row],[Tôi tin rằng với các quy định quản lý thuế hiện nay, hành vi gian lận hoặc trốn thuế sẽ dễ dàng bị phát hiện và xử lý nghiêm. - HUMAN-ENF1]]</f>
        <v>4</v>
      </c>
      <c r="T176" t="str">
        <f t="shared" si="55"/>
        <v>Oppose</v>
      </c>
      <c r="U176" s="32">
        <f t="shared" si="56"/>
        <v>4</v>
      </c>
      <c r="V176">
        <f>step3_validation[[#This Row],[AI_ENF2]]</f>
        <v>10</v>
      </c>
      <c r="W176" t="str">
        <f t="shared" si="57"/>
        <v>Support</v>
      </c>
      <c r="X176">
        <f>survey_responses[[#This Row],[Tôi tin rằng Nhà nước, cơ quan thuế có đủ khả năng và công nghệ để phát hiện, xử lý nghiêm các hành vi trốn thuế. - HUMAN-ENF2]]</f>
        <v>5</v>
      </c>
      <c r="Y176" t="str">
        <f t="shared" si="58"/>
        <v>Neutral</v>
      </c>
      <c r="Z176" s="32">
        <f t="shared" si="59"/>
        <v>5</v>
      </c>
      <c r="AA176">
        <f>step3_validation[[#This Row],[AI_FAC1]]</f>
        <v>9</v>
      </c>
      <c r="AB176" t="str">
        <f t="shared" si="60"/>
        <v>Support</v>
      </c>
      <c r="AC176">
        <f>survey_responses[[#This Row],[Các thủ tục khai báo thuế VÀ/HOẶC quy trình làm việc với cơ quan thuế đơn giản, tiện lợi, nhanh chóng hơn so với trước đây. - HUMAN-FAC1]]</f>
        <v>4</v>
      </c>
      <c r="AD176" t="str">
        <f t="shared" si="61"/>
        <v>Oppose</v>
      </c>
      <c r="AE176" s="32">
        <f t="shared" si="62"/>
        <v>5</v>
      </c>
      <c r="AF176">
        <f>step3_validation[[#This Row],[AI_FAC2]]</f>
        <v>10</v>
      </c>
      <c r="AG176" t="str">
        <f t="shared" si="63"/>
        <v>Support</v>
      </c>
      <c r="AH176">
        <f>survey_responses[[#This Row],[So với trước đây, tôi thấy cách tính thuế và các bậc thuế trong phương án mới đơn giản, dễ hiểu và dễ thực hiện hơn. - HUMAN-FAC2]]</f>
        <v>6</v>
      </c>
      <c r="AI176" t="str">
        <f t="shared" si="64"/>
        <v>Neutral</v>
      </c>
      <c r="AJ176" s="32">
        <f t="shared" si="65"/>
        <v>4</v>
      </c>
      <c r="AK176">
        <f>step3_validation[[#This Row],[AI_TRU1]]</f>
        <v>9</v>
      </c>
      <c r="AL176" t="str">
        <f t="shared" si="66"/>
        <v>Support</v>
      </c>
      <c r="AM176">
        <f>survey_responses[[#This Row],[Tôi tin rằng Nhà nước, cơ quan thuế sẽ thực thi chính sách mới một cách khách quan, công tâm và đối xử bình đẳng với mọi người nộp thuế.  - HUMAN-TRU1]]</f>
        <v>4</v>
      </c>
      <c r="AN176" t="str">
        <f t="shared" si="67"/>
        <v>Oppose</v>
      </c>
      <c r="AO176" s="32">
        <f t="shared" si="68"/>
        <v>5</v>
      </c>
      <c r="AP176">
        <f>step3_validation[[#This Row],[AI_TRU2]]</f>
        <v>8</v>
      </c>
      <c r="AQ176" t="str">
        <f t="shared" si="69"/>
        <v>Support</v>
      </c>
      <c r="AR176">
        <f>survey_responses[[#This Row],[Tôi thấy mức thuế tôi phải đóng theo phương án mới là công bằng (người thu nhập như tôi đóng mức này là hợp lý). - HUMAN-TRU2]]</f>
        <v>4</v>
      </c>
      <c r="AS176" t="str">
        <f t="shared" si="70"/>
        <v>Oppose</v>
      </c>
      <c r="AT176" s="32">
        <f t="shared" si="71"/>
        <v>4</v>
      </c>
      <c r="AU176">
        <f>step3_validation[[#This Row],[AI_TRU3]]</f>
        <v>9</v>
      </c>
      <c r="AV176" t="str">
        <f t="shared" si="72"/>
        <v>Support</v>
      </c>
      <c r="AW176">
        <f>survey_responses[[#This Row],[Tôi tin tưởng số tiền thuế tôi đóng sẽ được Nhà nước sử dụng hiệu quả để cải thiện dịch vụ công (y tế, đường xá...). - HUMAN-TRU3]]</f>
        <v>4</v>
      </c>
      <c r="AX176" t="str">
        <f t="shared" si="73"/>
        <v>Oppose</v>
      </c>
      <c r="AY176" s="32">
        <f t="shared" si="74"/>
        <v>5</v>
      </c>
      <c r="AZ176">
        <f>step3_validation[[#This Row],[AI_TRU4]]</f>
        <v>8</v>
      </c>
      <c r="BA176" t="str">
        <f t="shared" si="75"/>
        <v>Support</v>
      </c>
      <c r="BB176">
        <f>survey_responses[[#This Row],[Tôi thấy Nhà nước đã giải thích rõ ràng, minh bạch về lý do và mục tiêu của việc sửa đổi thuế lần này. - HUMAN-TRU4]]</f>
        <v>5</v>
      </c>
      <c r="BC176" t="str">
        <f t="shared" si="76"/>
        <v>Neutral</v>
      </c>
      <c r="BD176" s="32">
        <f t="shared" si="77"/>
        <v>3</v>
      </c>
      <c r="BE176">
        <f>step3_validation[[#This Row],[AI_OUT1]]</f>
        <v>9</v>
      </c>
      <c r="BF176" t="str">
        <f t="shared" si="78"/>
        <v>Support</v>
      </c>
      <c r="BG176">
        <f>survey_responses[[#This Row],[Sau khi xem xét các quyền lợi và nghĩa vụ, bạn có ủng hộ và tuân thủ chính sách mới hiện nay? - HUMAN-OUT1]]</f>
        <v>4</v>
      </c>
      <c r="BH176" t="str">
        <f t="shared" si="79"/>
        <v>Oppose</v>
      </c>
      <c r="BI176" s="32">
        <f t="shared" si="80"/>
        <v>5</v>
      </c>
    </row>
    <row r="177" spans="1:61" x14ac:dyDescent="0.45">
      <c r="A177" s="30">
        <f>step3_validation[[#This Row],[Persona_ID]]</f>
        <v>176</v>
      </c>
      <c r="B177" s="31">
        <f>step3_validation[[#This Row],[Used_Seed]]</f>
        <v>2201</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210.65034564725966</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5</v>
      </c>
      <c r="R177" t="str">
        <f t="shared" si="54"/>
        <v>Neutral</v>
      </c>
      <c r="S177">
        <f>survey_responses[[#This Row],[Tôi tin rằng với các quy định quản lý thuế hiện nay, hành vi gian lận hoặc trốn thuế sẽ dễ dàng bị phát hiện và xử lý nghiêm. - HUMAN-ENF1]]</f>
        <v>2</v>
      </c>
      <c r="T177" t="str">
        <f t="shared" si="55"/>
        <v>Oppose</v>
      </c>
      <c r="U177" s="32">
        <f t="shared" si="56"/>
        <v>3</v>
      </c>
      <c r="V177">
        <f>step3_validation[[#This Row],[AI_ENF2]]</f>
        <v>4</v>
      </c>
      <c r="W177" t="str">
        <f t="shared" si="57"/>
        <v>Oppose</v>
      </c>
      <c r="X177">
        <f>survey_responses[[#This Row],[Tôi tin rằng Nhà nước, cơ quan thuế có đủ khả năng và công nghệ để phát hiện, xử lý nghiêm các hành vi trốn thuế. - HUMAN-ENF2]]</f>
        <v>4</v>
      </c>
      <c r="Y177" t="str">
        <f t="shared" si="58"/>
        <v>Oppose</v>
      </c>
      <c r="Z177" s="32">
        <f t="shared" si="59"/>
        <v>0</v>
      </c>
      <c r="AA177">
        <f>step3_validation[[#This Row],[AI_FAC1]]</f>
        <v>7</v>
      </c>
      <c r="AB177" t="str">
        <f t="shared" si="60"/>
        <v>Neutral</v>
      </c>
      <c r="AC177">
        <f>survey_responses[[#This Row],[Các thủ tục khai báo thuế VÀ/HOẶC quy trình làm việc với cơ quan thuế đơn giản, tiện lợi, nhanh chóng hơn so với trước đây. - HUMAN-FAC1]]</f>
        <v>3</v>
      </c>
      <c r="AD177" t="str">
        <f t="shared" si="61"/>
        <v>Oppose</v>
      </c>
      <c r="AE177" s="32">
        <f t="shared" si="62"/>
        <v>4</v>
      </c>
      <c r="AF177">
        <f>step3_validation[[#This Row],[AI_FAC2]]</f>
        <v>8</v>
      </c>
      <c r="AG177" t="str">
        <f t="shared" si="63"/>
        <v>Support</v>
      </c>
      <c r="AH177">
        <f>survey_responses[[#This Row],[So với trước đây, tôi thấy cách tính thuế và các bậc thuế trong phương án mới đơn giản, dễ hiểu và dễ thực hiện hơn. - HUMAN-FAC2]]</f>
        <v>5</v>
      </c>
      <c r="AI177" t="str">
        <f t="shared" si="64"/>
        <v>Neutral</v>
      </c>
      <c r="AJ177" s="32">
        <f t="shared" si="65"/>
        <v>3</v>
      </c>
      <c r="AK177">
        <f>step3_validation[[#This Row],[AI_TRU1]]</f>
        <v>6</v>
      </c>
      <c r="AL177" t="str">
        <f t="shared" si="66"/>
        <v>Neutral</v>
      </c>
      <c r="AM177">
        <f>survey_responses[[#This Row],[Tôi tin rằng Nhà nước, cơ quan thuế sẽ thực thi chính sách mới một cách khách quan, công tâm và đối xử bình đẳng với mọi người nộp thuế.  - HUMAN-TRU1]]</f>
        <v>4</v>
      </c>
      <c r="AN177" t="str">
        <f t="shared" si="67"/>
        <v>Oppose</v>
      </c>
      <c r="AO177" s="32">
        <f t="shared" si="68"/>
        <v>2</v>
      </c>
      <c r="AP177">
        <f>step3_validation[[#This Row],[AI_TRU2]]</f>
        <v>9</v>
      </c>
      <c r="AQ177" t="str">
        <f t="shared" si="69"/>
        <v>Support</v>
      </c>
      <c r="AR177">
        <f>survey_responses[[#This Row],[Tôi thấy mức thuế tôi phải đóng theo phương án mới là công bằng (người thu nhập như tôi đóng mức này là hợp lý). - HUMAN-TRU2]]</f>
        <v>1</v>
      </c>
      <c r="AS177" t="str">
        <f t="shared" si="70"/>
        <v>Oppose</v>
      </c>
      <c r="AT177" s="32">
        <f t="shared" si="71"/>
        <v>8</v>
      </c>
      <c r="AU177">
        <f>step3_validation[[#This Row],[AI_TRU3]]</f>
        <v>6</v>
      </c>
      <c r="AV177" t="str">
        <f t="shared" si="72"/>
        <v>Neutral</v>
      </c>
      <c r="AW177">
        <f>survey_responses[[#This Row],[Tôi tin tưởng số tiền thuế tôi đóng sẽ được Nhà nước sử dụng hiệu quả để cải thiện dịch vụ công (y tế, đường xá...). - HUMAN-TRU3]]</f>
        <v>1</v>
      </c>
      <c r="AX177" t="str">
        <f t="shared" si="73"/>
        <v>Oppose</v>
      </c>
      <c r="AY177" s="32">
        <f t="shared" si="74"/>
        <v>5</v>
      </c>
      <c r="AZ177">
        <f>step3_validation[[#This Row],[AI_TRU4]]</f>
        <v>8</v>
      </c>
      <c r="BA177" t="str">
        <f t="shared" si="75"/>
        <v>Support</v>
      </c>
      <c r="BB177">
        <f>survey_responses[[#This Row],[Tôi thấy Nhà nước đã giải thích rõ ràng, minh bạch về lý do và mục tiêu của việc sửa đổi thuế lần này. - HUMAN-TRU4]]</f>
        <v>4</v>
      </c>
      <c r="BC177" t="str">
        <f t="shared" si="76"/>
        <v>Oppose</v>
      </c>
      <c r="BD177" s="32">
        <f t="shared" si="77"/>
        <v>4</v>
      </c>
      <c r="BE177">
        <f>step3_validation[[#This Row],[AI_OUT1]]</f>
        <v>7</v>
      </c>
      <c r="BF177" t="str">
        <f t="shared" si="78"/>
        <v>Neutral</v>
      </c>
      <c r="BG177">
        <f>survey_responses[[#This Row],[Sau khi xem xét các quyền lợi và nghĩa vụ, bạn có ủng hộ và tuân thủ chính sách mới hiện nay? - HUMAN-OUT1]]</f>
        <v>4</v>
      </c>
      <c r="BH177" t="str">
        <f t="shared" si="79"/>
        <v>Oppose</v>
      </c>
      <c r="BI177" s="32">
        <f t="shared" si="80"/>
        <v>3</v>
      </c>
    </row>
    <row r="178" spans="1:61" x14ac:dyDescent="0.45">
      <c r="A178" s="30">
        <f>step3_validation[[#This Row],[Persona_ID]]</f>
        <v>177</v>
      </c>
      <c r="B178" s="31">
        <f>step3_validation[[#This Row],[Used_Seed]]</f>
        <v>2202</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91.932530903322956</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8</v>
      </c>
      <c r="R178" t="str">
        <f t="shared" si="54"/>
        <v>Support</v>
      </c>
      <c r="S178">
        <f>survey_responses[[#This Row],[Tôi tin rằng với các quy định quản lý thuế hiện nay, hành vi gian lận hoặc trốn thuế sẽ dễ dàng bị phát hiện và xử lý nghiêm. - HUMAN-ENF1]]</f>
        <v>4</v>
      </c>
      <c r="T178" t="str">
        <f t="shared" si="55"/>
        <v>Oppose</v>
      </c>
      <c r="U178" s="32">
        <f t="shared" si="56"/>
        <v>4</v>
      </c>
      <c r="V178">
        <f>step3_validation[[#This Row],[AI_ENF2]]</f>
        <v>7</v>
      </c>
      <c r="W178" t="str">
        <f t="shared" si="57"/>
        <v>Neutral</v>
      </c>
      <c r="X178">
        <f>survey_responses[[#This Row],[Tôi tin rằng Nhà nước, cơ quan thuế có đủ khả năng và công nghệ để phát hiện, xử lý nghiêm các hành vi trốn thuế. - HUMAN-ENF2]]</f>
        <v>4</v>
      </c>
      <c r="Y178" t="str">
        <f t="shared" si="58"/>
        <v>Oppose</v>
      </c>
      <c r="Z178" s="32">
        <f t="shared" si="59"/>
        <v>3</v>
      </c>
      <c r="AA178">
        <f>step3_validation[[#This Row],[AI_FAC1]]</f>
        <v>9</v>
      </c>
      <c r="AB178" t="str">
        <f t="shared" si="60"/>
        <v>Support</v>
      </c>
      <c r="AC178">
        <f>survey_responses[[#This Row],[Các thủ tục khai báo thuế VÀ/HOẶC quy trình làm việc với cơ quan thuế đơn giản, tiện lợi, nhanh chóng hơn so với trước đây. - HUMAN-FAC1]]</f>
        <v>3</v>
      </c>
      <c r="AD178" t="str">
        <f t="shared" si="61"/>
        <v>Oppose</v>
      </c>
      <c r="AE178" s="32">
        <f t="shared" si="62"/>
        <v>6</v>
      </c>
      <c r="AF178">
        <f>step3_validation[[#This Row],[AI_FAC2]]</f>
        <v>8</v>
      </c>
      <c r="AG178" t="str">
        <f t="shared" si="63"/>
        <v>Support</v>
      </c>
      <c r="AH178">
        <f>survey_responses[[#This Row],[So với trước đây, tôi thấy cách tính thuế và các bậc thuế trong phương án mới đơn giản, dễ hiểu và dễ thực hiện hơn. - HUMAN-FAC2]]</f>
        <v>5</v>
      </c>
      <c r="AI178" t="str">
        <f t="shared" si="64"/>
        <v>Neutral</v>
      </c>
      <c r="AJ178" s="32">
        <f t="shared" si="65"/>
        <v>3</v>
      </c>
      <c r="AK178">
        <f>step3_validation[[#This Row],[AI_TRU1]]</f>
        <v>9</v>
      </c>
      <c r="AL178" t="str">
        <f t="shared" si="66"/>
        <v>Support</v>
      </c>
      <c r="AM178">
        <f>survey_responses[[#This Row],[Tôi tin rằng Nhà nước, cơ quan thuế sẽ thực thi chính sách mới một cách khách quan, công tâm và đối xử bình đẳng với mọi người nộp thuế.  - HUMAN-TRU1]]</f>
        <v>3</v>
      </c>
      <c r="AN178" t="str">
        <f t="shared" si="67"/>
        <v>Oppose</v>
      </c>
      <c r="AO178" s="32">
        <f t="shared" si="68"/>
        <v>6</v>
      </c>
      <c r="AP178">
        <f>step3_validation[[#This Row],[AI_TRU2]]</f>
        <v>8</v>
      </c>
      <c r="AQ178" t="str">
        <f t="shared" si="69"/>
        <v>Support</v>
      </c>
      <c r="AR178">
        <f>survey_responses[[#This Row],[Tôi thấy mức thuế tôi phải đóng theo phương án mới là công bằng (người thu nhập như tôi đóng mức này là hợp lý). - HUMAN-TRU2]]</f>
        <v>2</v>
      </c>
      <c r="AS178" t="str">
        <f t="shared" si="70"/>
        <v>Oppose</v>
      </c>
      <c r="AT178" s="32">
        <f t="shared" si="71"/>
        <v>6</v>
      </c>
      <c r="AU178">
        <f>step3_validation[[#This Row],[AI_TRU3]]</f>
        <v>9</v>
      </c>
      <c r="AV178" t="str">
        <f t="shared" si="72"/>
        <v>Support</v>
      </c>
      <c r="AW178">
        <f>survey_responses[[#This Row],[Tôi tin tưởng số tiền thuế tôi đóng sẽ được Nhà nước sử dụng hiệu quả để cải thiện dịch vụ công (y tế, đường xá...). - HUMAN-TRU3]]</f>
        <v>1</v>
      </c>
      <c r="AX178" t="str">
        <f t="shared" si="73"/>
        <v>Oppose</v>
      </c>
      <c r="AY178" s="32">
        <f t="shared" si="74"/>
        <v>8</v>
      </c>
      <c r="AZ178">
        <f>step3_validation[[#This Row],[AI_TRU4]]</f>
        <v>8</v>
      </c>
      <c r="BA178" t="str">
        <f t="shared" si="75"/>
        <v>Support</v>
      </c>
      <c r="BB178">
        <f>survey_responses[[#This Row],[Tôi thấy Nhà nước đã giải thích rõ ràng, minh bạch về lý do và mục tiêu của việc sửa đổi thuế lần này. - HUMAN-TRU4]]</f>
        <v>1</v>
      </c>
      <c r="BC178" t="str">
        <f t="shared" si="76"/>
        <v>Oppose</v>
      </c>
      <c r="BD178" s="32">
        <f t="shared" si="77"/>
        <v>7</v>
      </c>
      <c r="BE178">
        <f>step3_validation[[#This Row],[AI_OUT1]]</f>
        <v>9</v>
      </c>
      <c r="BF178" t="str">
        <f t="shared" si="78"/>
        <v>Support</v>
      </c>
      <c r="BG178">
        <f>survey_responses[[#This Row],[Sau khi xem xét các quyền lợi và nghĩa vụ, bạn có ủng hộ và tuân thủ chính sách mới hiện nay? - HUMAN-OUT1]]</f>
        <v>1</v>
      </c>
      <c r="BH178" t="str">
        <f t="shared" si="79"/>
        <v>Oppose</v>
      </c>
      <c r="BI178" s="32">
        <f t="shared" si="80"/>
        <v>8</v>
      </c>
    </row>
    <row r="179" spans="1:61" x14ac:dyDescent="0.45">
      <c r="A179" s="30">
        <f>step3_validation[[#This Row],[Persona_ID]]</f>
        <v>178</v>
      </c>
      <c r="B179" s="31">
        <f>step3_validation[[#This Row],[Used_Seed]]</f>
        <v>2203</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36.618279209320391</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8</v>
      </c>
      <c r="R179" t="str">
        <f t="shared" si="54"/>
        <v>Support</v>
      </c>
      <c r="S179">
        <f>survey_responses[[#This Row],[Tôi tin rằng với các quy định quản lý thuế hiện nay, hành vi gian lận hoặc trốn thuế sẽ dễ dàng bị phát hiện và xử lý nghiêm. - HUMAN-ENF1]]</f>
        <v>6</v>
      </c>
      <c r="T179" t="str">
        <f t="shared" si="55"/>
        <v>Neutral</v>
      </c>
      <c r="U179" s="32">
        <f t="shared" si="56"/>
        <v>2</v>
      </c>
      <c r="V179">
        <f>step3_validation[[#This Row],[AI_ENF2]]</f>
        <v>7</v>
      </c>
      <c r="W179" t="str">
        <f t="shared" si="57"/>
        <v>Neutral</v>
      </c>
      <c r="X179">
        <f>survey_responses[[#This Row],[Tôi tin rằng Nhà nước, cơ quan thuế có đủ khả năng và công nghệ để phát hiện, xử lý nghiêm các hành vi trốn thuế. - HUMAN-ENF2]]</f>
        <v>7</v>
      </c>
      <c r="Y179" t="str">
        <f t="shared" si="58"/>
        <v>Neutral</v>
      </c>
      <c r="Z179" s="32">
        <f t="shared" si="59"/>
        <v>0</v>
      </c>
      <c r="AA179">
        <f>step3_validation[[#This Row],[AI_FAC1]]</f>
        <v>9</v>
      </c>
      <c r="AB179" t="str">
        <f t="shared" si="60"/>
        <v>Support</v>
      </c>
      <c r="AC179">
        <f>survey_responses[[#This Row],[Các thủ tục khai báo thuế VÀ/HOẶC quy trình làm việc với cơ quan thuế đơn giản, tiện lợi, nhanh chóng hơn so với trước đây. - HUMAN-FAC1]]</f>
        <v>6</v>
      </c>
      <c r="AD179" t="str">
        <f t="shared" si="61"/>
        <v>Neutral</v>
      </c>
      <c r="AE179" s="32">
        <f t="shared" si="62"/>
        <v>3</v>
      </c>
      <c r="AF179">
        <f>step3_validation[[#This Row],[AI_FAC2]]</f>
        <v>9</v>
      </c>
      <c r="AG179" t="str">
        <f t="shared" si="63"/>
        <v>Support</v>
      </c>
      <c r="AH179">
        <f>survey_responses[[#This Row],[So với trước đây, tôi thấy cách tính thuế và các bậc thuế trong phương án mới đơn giản, dễ hiểu và dễ thực hiện hơn. - HUMAN-FAC2]]</f>
        <v>6</v>
      </c>
      <c r="AI179" t="str">
        <f t="shared" si="64"/>
        <v>Neutral</v>
      </c>
      <c r="AJ179" s="32">
        <f t="shared" si="65"/>
        <v>3</v>
      </c>
      <c r="AK179">
        <f>step3_validation[[#This Row],[AI_TRU1]]</f>
        <v>8</v>
      </c>
      <c r="AL179" t="str">
        <f t="shared" si="66"/>
        <v>Support</v>
      </c>
      <c r="AM179">
        <f>survey_responses[[#This Row],[Tôi tin rằng Nhà nước, cơ quan thuế sẽ thực thi chính sách mới một cách khách quan, công tâm và đối xử bình đẳng với mọi người nộp thuế.  - HUMAN-TRU1]]</f>
        <v>6</v>
      </c>
      <c r="AN179" t="str">
        <f t="shared" si="67"/>
        <v>Neutral</v>
      </c>
      <c r="AO179" s="32">
        <f t="shared" si="68"/>
        <v>2</v>
      </c>
      <c r="AP179">
        <f>step3_validation[[#This Row],[AI_TRU2]]</f>
        <v>9</v>
      </c>
      <c r="AQ179" t="str">
        <f t="shared" si="69"/>
        <v>Support</v>
      </c>
      <c r="AR179">
        <f>survey_responses[[#This Row],[Tôi thấy mức thuế tôi phải đóng theo phương án mới là công bằng (người thu nhập như tôi đóng mức này là hợp lý). - HUMAN-TRU2]]</f>
        <v>7</v>
      </c>
      <c r="AS179" t="str">
        <f t="shared" si="70"/>
        <v>Neutral</v>
      </c>
      <c r="AT179" s="32">
        <f t="shared" si="71"/>
        <v>2</v>
      </c>
      <c r="AU179">
        <f>step3_validation[[#This Row],[AI_TRU3]]</f>
        <v>8</v>
      </c>
      <c r="AV179" t="str">
        <f t="shared" si="72"/>
        <v>Support</v>
      </c>
      <c r="AW179">
        <f>survey_responses[[#This Row],[Tôi tin tưởng số tiền thuế tôi đóng sẽ được Nhà nước sử dụng hiệu quả để cải thiện dịch vụ công (y tế, đường xá...). - HUMAN-TRU3]]</f>
        <v>5</v>
      </c>
      <c r="AX179" t="str">
        <f t="shared" si="73"/>
        <v>Neutral</v>
      </c>
      <c r="AY179" s="32">
        <f t="shared" si="74"/>
        <v>3</v>
      </c>
      <c r="AZ179">
        <f>step3_validation[[#This Row],[AI_TRU4]]</f>
        <v>7</v>
      </c>
      <c r="BA179" t="str">
        <f t="shared" si="75"/>
        <v>Neutral</v>
      </c>
      <c r="BB179">
        <f>survey_responses[[#This Row],[Tôi thấy Nhà nước đã giải thích rõ ràng, minh bạch về lý do và mục tiêu của việc sửa đổi thuế lần này. - HUMAN-TRU4]]</f>
        <v>6</v>
      </c>
      <c r="BC179" t="str">
        <f t="shared" si="76"/>
        <v>Neutral</v>
      </c>
      <c r="BD179" s="32">
        <f t="shared" si="77"/>
        <v>1</v>
      </c>
      <c r="BE179">
        <f>step3_validation[[#This Row],[AI_OUT1]]</f>
        <v>9</v>
      </c>
      <c r="BF179" t="str">
        <f t="shared" si="78"/>
        <v>Support</v>
      </c>
      <c r="BG179">
        <f>survey_responses[[#This Row],[Sau khi xem xét các quyền lợi và nghĩa vụ, bạn có ủng hộ và tuân thủ chính sách mới hiện nay? - HUMAN-OUT1]]</f>
        <v>7</v>
      </c>
      <c r="BH179" t="str">
        <f t="shared" si="79"/>
        <v>Neutral</v>
      </c>
      <c r="BI179" s="32">
        <f t="shared" si="80"/>
        <v>2</v>
      </c>
    </row>
    <row r="180" spans="1:61" x14ac:dyDescent="0.45">
      <c r="A180" s="30">
        <f>step3_validation[[#This Row],[Persona_ID]]</f>
        <v>179</v>
      </c>
      <c r="B180" s="31">
        <f>step3_validation[[#This Row],[Used_Seed]]</f>
        <v>2204</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29.4035575735934</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7</v>
      </c>
      <c r="R180" t="str">
        <f t="shared" si="54"/>
        <v>Neutral</v>
      </c>
      <c r="S180">
        <f>survey_responses[[#This Row],[Tôi tin rằng với các quy định quản lý thuế hiện nay, hành vi gian lận hoặc trốn thuế sẽ dễ dàng bị phát hiện và xử lý nghiêm. - HUMAN-ENF1]]</f>
        <v>7</v>
      </c>
      <c r="T180" t="str">
        <f t="shared" si="55"/>
        <v>Neutral</v>
      </c>
      <c r="U180" s="32">
        <f t="shared" si="56"/>
        <v>0</v>
      </c>
      <c r="V180">
        <f>step3_validation[[#This Row],[AI_ENF2]]</f>
        <v>6</v>
      </c>
      <c r="W180" t="str">
        <f t="shared" si="57"/>
        <v>Neutral</v>
      </c>
      <c r="X180">
        <f>survey_responses[[#This Row],[Tôi tin rằng Nhà nước, cơ quan thuế có đủ khả năng và công nghệ để phát hiện, xử lý nghiêm các hành vi trốn thuế. - HUMAN-ENF2]]</f>
        <v>7</v>
      </c>
      <c r="Y180" t="str">
        <f t="shared" si="58"/>
        <v>Neutral</v>
      </c>
      <c r="Z180" s="32">
        <f t="shared" si="59"/>
        <v>1</v>
      </c>
      <c r="AA180">
        <f>step3_validation[[#This Row],[AI_FAC1]]</f>
        <v>9</v>
      </c>
      <c r="AB180" t="str">
        <f t="shared" si="60"/>
        <v>Support</v>
      </c>
      <c r="AC180">
        <f>survey_responses[[#This Row],[Các thủ tục khai báo thuế VÀ/HOẶC quy trình làm việc với cơ quan thuế đơn giản, tiện lợi, nhanh chóng hơn so với trước đây. - HUMAN-FAC1]]</f>
        <v>7</v>
      </c>
      <c r="AD180" t="str">
        <f t="shared" si="61"/>
        <v>Neutral</v>
      </c>
      <c r="AE180" s="32">
        <f t="shared" si="62"/>
        <v>2</v>
      </c>
      <c r="AF180">
        <f>step3_validation[[#This Row],[AI_FAC2]]</f>
        <v>10</v>
      </c>
      <c r="AG180" t="str">
        <f t="shared" si="63"/>
        <v>Support</v>
      </c>
      <c r="AH180">
        <f>survey_responses[[#This Row],[So với trước đây, tôi thấy cách tính thuế và các bậc thuế trong phương án mới đơn giản, dễ hiểu và dễ thực hiện hơn. - HUMAN-FAC2]]</f>
        <v>8</v>
      </c>
      <c r="AI180" t="str">
        <f t="shared" si="64"/>
        <v>Support</v>
      </c>
      <c r="AJ180" s="32">
        <f t="shared" si="65"/>
        <v>2</v>
      </c>
      <c r="AK180">
        <f>step3_validation[[#This Row],[AI_TRU1]]</f>
        <v>8</v>
      </c>
      <c r="AL180" t="str">
        <f t="shared" si="66"/>
        <v>Support</v>
      </c>
      <c r="AM180">
        <f>survey_responses[[#This Row],[Tôi tin rằng Nhà nước, cơ quan thuế sẽ thực thi chính sách mới một cách khách quan, công tâm và đối xử bình đẳng với mọi người nộp thuế.  - HUMAN-TRU1]]</f>
        <v>7</v>
      </c>
      <c r="AN180" t="str">
        <f t="shared" si="67"/>
        <v>Neutral</v>
      </c>
      <c r="AO180" s="32">
        <f t="shared" si="68"/>
        <v>1</v>
      </c>
      <c r="AP180">
        <f>step3_validation[[#This Row],[AI_TRU2]]</f>
        <v>9</v>
      </c>
      <c r="AQ180" t="str">
        <f t="shared" si="69"/>
        <v>Support</v>
      </c>
      <c r="AR180">
        <f>survey_responses[[#This Row],[Tôi thấy mức thuế tôi phải đóng theo phương án mới là công bằng (người thu nhập như tôi đóng mức này là hợp lý). - HUMAN-TRU2]]</f>
        <v>8</v>
      </c>
      <c r="AS180" t="str">
        <f t="shared" si="70"/>
        <v>Support</v>
      </c>
      <c r="AT180" s="32">
        <f t="shared" si="71"/>
        <v>1</v>
      </c>
      <c r="AU180">
        <f>step3_validation[[#This Row],[AI_TRU3]]</f>
        <v>8</v>
      </c>
      <c r="AV180" t="str">
        <f t="shared" si="72"/>
        <v>Support</v>
      </c>
      <c r="AW180">
        <f>survey_responses[[#This Row],[Tôi tin tưởng số tiền thuế tôi đóng sẽ được Nhà nước sử dụng hiệu quả để cải thiện dịch vụ công (y tế, đường xá...). - HUMAN-TRU3]]</f>
        <v>7</v>
      </c>
      <c r="AX180" t="str">
        <f t="shared" si="73"/>
        <v>Neutral</v>
      </c>
      <c r="AY180" s="32">
        <f t="shared" si="74"/>
        <v>1</v>
      </c>
      <c r="AZ180">
        <f>step3_validation[[#This Row],[AI_TRU4]]</f>
        <v>9</v>
      </c>
      <c r="BA180" t="str">
        <f t="shared" si="75"/>
        <v>Support</v>
      </c>
      <c r="BB180">
        <f>survey_responses[[#This Row],[Tôi thấy Nhà nước đã giải thích rõ ràng, minh bạch về lý do và mục tiêu của việc sửa đổi thuế lần này. - HUMAN-TRU4]]</f>
        <v>7</v>
      </c>
      <c r="BC180" t="str">
        <f t="shared" si="76"/>
        <v>Neutral</v>
      </c>
      <c r="BD180" s="32">
        <f t="shared" si="77"/>
        <v>2</v>
      </c>
      <c r="BE180">
        <f>step3_validation[[#This Row],[AI_OUT1]]</f>
        <v>10</v>
      </c>
      <c r="BF180" t="str">
        <f t="shared" si="78"/>
        <v>Support</v>
      </c>
      <c r="BG180">
        <f>survey_responses[[#This Row],[Sau khi xem xét các quyền lợi và nghĩa vụ, bạn có ủng hộ và tuân thủ chính sách mới hiện nay? - HUMAN-OUT1]]</f>
        <v>8</v>
      </c>
      <c r="BH180" t="str">
        <f t="shared" si="79"/>
        <v>Support</v>
      </c>
      <c r="BI180" s="32">
        <f t="shared" si="80"/>
        <v>2</v>
      </c>
    </row>
    <row r="181" spans="1:61" x14ac:dyDescent="0.45">
      <c r="A181" s="30">
        <f>step3_validation[[#This Row],[Persona_ID]]</f>
        <v>180</v>
      </c>
      <c r="B181" s="31">
        <f>step3_validation[[#This Row],[Used_Seed]]</f>
        <v>2205</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57.563251372229828</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8</v>
      </c>
      <c r="R181" t="str">
        <f t="shared" si="54"/>
        <v>Support</v>
      </c>
      <c r="S181">
        <f>survey_responses[[#This Row],[Tôi tin rằng với các quy định quản lý thuế hiện nay, hành vi gian lận hoặc trốn thuế sẽ dễ dàng bị phát hiện và xử lý nghiêm. - HUMAN-ENF1]]</f>
        <v>5</v>
      </c>
      <c r="T181" t="str">
        <f t="shared" si="55"/>
        <v>Neutral</v>
      </c>
      <c r="U181" s="32">
        <f t="shared" si="56"/>
        <v>3</v>
      </c>
      <c r="V181">
        <f>step3_validation[[#This Row],[AI_ENF2]]</f>
        <v>9</v>
      </c>
      <c r="W181" t="str">
        <f t="shared" si="57"/>
        <v>Support</v>
      </c>
      <c r="X181">
        <f>survey_responses[[#This Row],[Tôi tin rằng Nhà nước, cơ quan thuế có đủ khả năng và công nghệ để phát hiện, xử lý nghiêm các hành vi trốn thuế. - HUMAN-ENF2]]</f>
        <v>5</v>
      </c>
      <c r="Y181" t="str">
        <f t="shared" si="58"/>
        <v>Neutral</v>
      </c>
      <c r="Z181" s="32">
        <f t="shared" si="59"/>
        <v>4</v>
      </c>
      <c r="AA181">
        <f>step3_validation[[#This Row],[AI_FAC1]]</f>
        <v>7</v>
      </c>
      <c r="AB181" t="str">
        <f t="shared" si="60"/>
        <v>Neutral</v>
      </c>
      <c r="AC181">
        <f>survey_responses[[#This Row],[Các thủ tục khai báo thuế VÀ/HOẶC quy trình làm việc với cơ quan thuế đơn giản, tiện lợi, nhanh chóng hơn so với trước đây. - HUMAN-FAC1]]</f>
        <v>5</v>
      </c>
      <c r="AD181" t="str">
        <f t="shared" si="61"/>
        <v>Neutral</v>
      </c>
      <c r="AE181" s="32">
        <f t="shared" si="62"/>
        <v>2</v>
      </c>
      <c r="AF181">
        <f>step3_validation[[#This Row],[AI_FAC2]]</f>
        <v>8</v>
      </c>
      <c r="AG181" t="str">
        <f t="shared" si="63"/>
        <v>Support</v>
      </c>
      <c r="AH181">
        <f>survey_responses[[#This Row],[So với trước đây, tôi thấy cách tính thuế và các bậc thuế trong phương án mới đơn giản, dễ hiểu và dễ thực hiện hơn. - HUMAN-FAC2]]</f>
        <v>7</v>
      </c>
      <c r="AI181" t="str">
        <f t="shared" si="64"/>
        <v>Neutral</v>
      </c>
      <c r="AJ181" s="32">
        <f t="shared" si="65"/>
        <v>1</v>
      </c>
      <c r="AK181">
        <f>step3_validation[[#This Row],[AI_TRU1]]</f>
        <v>9</v>
      </c>
      <c r="AL181" t="str">
        <f t="shared" si="66"/>
        <v>Support</v>
      </c>
      <c r="AM181">
        <f>survey_responses[[#This Row],[Tôi tin rằng Nhà nước, cơ quan thuế sẽ thực thi chính sách mới một cách khách quan, công tâm và đối xử bình đẳng với mọi người nộp thuế.  - HUMAN-TRU1]]</f>
        <v>5</v>
      </c>
      <c r="AN181" t="str">
        <f t="shared" si="67"/>
        <v>Neutral</v>
      </c>
      <c r="AO181" s="32">
        <f t="shared" si="68"/>
        <v>4</v>
      </c>
      <c r="AP181">
        <f>step3_validation[[#This Row],[AI_TRU2]]</f>
        <v>9</v>
      </c>
      <c r="AQ181" t="str">
        <f t="shared" si="69"/>
        <v>Support</v>
      </c>
      <c r="AR181">
        <f>survey_responses[[#This Row],[Tôi thấy mức thuế tôi phải đóng theo phương án mới là công bằng (người thu nhập như tôi đóng mức này là hợp lý). - HUMAN-TRU2]]</f>
        <v>6</v>
      </c>
      <c r="AS181" t="str">
        <f t="shared" si="70"/>
        <v>Neutral</v>
      </c>
      <c r="AT181" s="32">
        <f t="shared" si="71"/>
        <v>3</v>
      </c>
      <c r="AU181">
        <f>step3_validation[[#This Row],[AI_TRU3]]</f>
        <v>8</v>
      </c>
      <c r="AV181" t="str">
        <f t="shared" si="72"/>
        <v>Support</v>
      </c>
      <c r="AW181">
        <f>survey_responses[[#This Row],[Tôi tin tưởng số tiền thuế tôi đóng sẽ được Nhà nước sử dụng hiệu quả để cải thiện dịch vụ công (y tế, đường xá...). - HUMAN-TRU3]]</f>
        <v>5</v>
      </c>
      <c r="AX181" t="str">
        <f t="shared" si="73"/>
        <v>Neutral</v>
      </c>
      <c r="AY181" s="32">
        <f t="shared" si="74"/>
        <v>3</v>
      </c>
      <c r="AZ181">
        <f>step3_validation[[#This Row],[AI_TRU4]]</f>
        <v>9</v>
      </c>
      <c r="BA181" t="str">
        <f t="shared" si="75"/>
        <v>Support</v>
      </c>
      <c r="BB181">
        <f>survey_responses[[#This Row],[Tôi thấy Nhà nước đã giải thích rõ ràng, minh bạch về lý do và mục tiêu của việc sửa đổi thuế lần này. - HUMAN-TRU4]]</f>
        <v>7</v>
      </c>
      <c r="BC181" t="str">
        <f t="shared" si="76"/>
        <v>Neutral</v>
      </c>
      <c r="BD181" s="32">
        <f t="shared" si="77"/>
        <v>2</v>
      </c>
      <c r="BE181">
        <f>step3_validation[[#This Row],[AI_OUT1]]</f>
        <v>9</v>
      </c>
      <c r="BF181" t="str">
        <f t="shared" si="78"/>
        <v>Support</v>
      </c>
      <c r="BG181">
        <f>survey_responses[[#This Row],[Sau khi xem xét các quyền lợi và nghĩa vụ, bạn có ủng hộ và tuân thủ chính sách mới hiện nay? - HUMAN-OUT1]]</f>
        <v>7</v>
      </c>
      <c r="BH181" t="str">
        <f t="shared" si="79"/>
        <v>Neutral</v>
      </c>
      <c r="BI181" s="32">
        <f t="shared" si="80"/>
        <v>2</v>
      </c>
    </row>
    <row r="182" spans="1:61" x14ac:dyDescent="0.45">
      <c r="A182" s="30">
        <f>step3_validation[[#This Row],[Persona_ID]]</f>
        <v>181</v>
      </c>
      <c r="B182" s="31">
        <f>step3_validation[[#This Row],[Used_Seed]]</f>
        <v>2206</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61.161980058425847</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6</v>
      </c>
      <c r="R182" t="str">
        <f t="shared" si="54"/>
        <v>Neutral</v>
      </c>
      <c r="S182">
        <f>survey_responses[[#This Row],[Tôi tin rằng với các quy định quản lý thuế hiện nay, hành vi gian lận hoặc trốn thuế sẽ dễ dàng bị phát hiện và xử lý nghiêm. - HUMAN-ENF1]]</f>
        <v>6</v>
      </c>
      <c r="T182" t="str">
        <f t="shared" si="55"/>
        <v>Neutral</v>
      </c>
      <c r="U182" s="32">
        <f t="shared" si="56"/>
        <v>0</v>
      </c>
      <c r="V182">
        <f>step3_validation[[#This Row],[AI_ENF2]]</f>
        <v>6</v>
      </c>
      <c r="W182" t="str">
        <f t="shared" si="57"/>
        <v>Neutral</v>
      </c>
      <c r="X182">
        <f>survey_responses[[#This Row],[Tôi tin rằng Nhà nước, cơ quan thuế có đủ khả năng và công nghệ để phát hiện, xử lý nghiêm các hành vi trốn thuế. - HUMAN-ENF2]]</f>
        <v>7</v>
      </c>
      <c r="Y182" t="str">
        <f t="shared" si="58"/>
        <v>Neutral</v>
      </c>
      <c r="Z182" s="32">
        <f t="shared" si="59"/>
        <v>1</v>
      </c>
      <c r="AA182">
        <f>step3_validation[[#This Row],[AI_FAC1]]</f>
        <v>8</v>
      </c>
      <c r="AB182" t="str">
        <f t="shared" si="60"/>
        <v>Support</v>
      </c>
      <c r="AC182">
        <f>survey_responses[[#This Row],[Các thủ tục khai báo thuế VÀ/HOẶC quy trình làm việc với cơ quan thuế đơn giản, tiện lợi, nhanh chóng hơn so với trước đây. - HUMAN-FAC1]]</f>
        <v>7</v>
      </c>
      <c r="AD182" t="str">
        <f t="shared" si="61"/>
        <v>Neutral</v>
      </c>
      <c r="AE182" s="32">
        <f t="shared" si="62"/>
        <v>1</v>
      </c>
      <c r="AF182">
        <f>step3_validation[[#This Row],[AI_FAC2]]</f>
        <v>7</v>
      </c>
      <c r="AG182" t="str">
        <f t="shared" si="63"/>
        <v>Neutral</v>
      </c>
      <c r="AH182">
        <f>survey_responses[[#This Row],[So với trước đây, tôi thấy cách tính thuế và các bậc thuế trong phương án mới đơn giản, dễ hiểu và dễ thực hiện hơn. - HUMAN-FAC2]]</f>
        <v>8</v>
      </c>
      <c r="AI182" t="str">
        <f t="shared" si="64"/>
        <v>Support</v>
      </c>
      <c r="AJ182" s="32">
        <f t="shared" si="65"/>
        <v>1</v>
      </c>
      <c r="AK182">
        <f>step3_validation[[#This Row],[AI_TRU1]]</f>
        <v>7</v>
      </c>
      <c r="AL182" t="str">
        <f t="shared" si="66"/>
        <v>Neutral</v>
      </c>
      <c r="AM182">
        <f>survey_responses[[#This Row],[Tôi tin rằng Nhà nước, cơ quan thuế sẽ thực thi chính sách mới một cách khách quan, công tâm và đối xử bình đẳng với mọi người nộp thuế.  - HUMAN-TRU1]]</f>
        <v>8</v>
      </c>
      <c r="AN182" t="str">
        <f t="shared" si="67"/>
        <v>Support</v>
      </c>
      <c r="AO182" s="32">
        <f t="shared" si="68"/>
        <v>1</v>
      </c>
      <c r="AP182">
        <f>step3_validation[[#This Row],[AI_TRU2]]</f>
        <v>9</v>
      </c>
      <c r="AQ182" t="str">
        <f t="shared" si="69"/>
        <v>Support</v>
      </c>
      <c r="AR182">
        <f>survey_responses[[#This Row],[Tôi thấy mức thuế tôi phải đóng theo phương án mới là công bằng (người thu nhập như tôi đóng mức này là hợp lý). - HUMAN-TRU2]]</f>
        <v>7</v>
      </c>
      <c r="AS182" t="str">
        <f t="shared" si="70"/>
        <v>Neutral</v>
      </c>
      <c r="AT182" s="32">
        <f t="shared" si="71"/>
        <v>2</v>
      </c>
      <c r="AU182">
        <f>step3_validation[[#This Row],[AI_TRU3]]</f>
        <v>7</v>
      </c>
      <c r="AV182" t="str">
        <f t="shared" si="72"/>
        <v>Neutral</v>
      </c>
      <c r="AW182">
        <f>survey_responses[[#This Row],[Tôi tin tưởng số tiền thuế tôi đóng sẽ được Nhà nước sử dụng hiệu quả để cải thiện dịch vụ công (y tế, đường xá...). - HUMAN-TRU3]]</f>
        <v>5</v>
      </c>
      <c r="AX182" t="str">
        <f t="shared" si="73"/>
        <v>Neutral</v>
      </c>
      <c r="AY182" s="32">
        <f t="shared" si="74"/>
        <v>2</v>
      </c>
      <c r="AZ182">
        <f>step3_validation[[#This Row],[AI_TRU4]]</f>
        <v>8</v>
      </c>
      <c r="BA182" t="str">
        <f t="shared" si="75"/>
        <v>Support</v>
      </c>
      <c r="BB182">
        <f>survey_responses[[#This Row],[Tôi thấy Nhà nước đã giải thích rõ ràng, minh bạch về lý do và mục tiêu của việc sửa đổi thuế lần này. - HUMAN-TRU4]]</f>
        <v>7</v>
      </c>
      <c r="BC182" t="str">
        <f t="shared" si="76"/>
        <v>Neutral</v>
      </c>
      <c r="BD182" s="32">
        <f t="shared" si="77"/>
        <v>1</v>
      </c>
      <c r="BE182">
        <f>step3_validation[[#This Row],[AI_OUT1]]</f>
        <v>9</v>
      </c>
      <c r="BF182" t="str">
        <f t="shared" si="78"/>
        <v>Support</v>
      </c>
      <c r="BG182">
        <f>survey_responses[[#This Row],[Sau khi xem xét các quyền lợi và nghĩa vụ, bạn có ủng hộ và tuân thủ chính sách mới hiện nay? - HUMAN-OUT1]]</f>
        <v>7</v>
      </c>
      <c r="BH182" t="str">
        <f t="shared" si="79"/>
        <v>Neutral</v>
      </c>
      <c r="BI182" s="32">
        <f t="shared" si="80"/>
        <v>2</v>
      </c>
    </row>
    <row r="183" spans="1:61" x14ac:dyDescent="0.45">
      <c r="A183" s="30">
        <f>step3_validation[[#This Row],[Persona_ID]]</f>
        <v>182</v>
      </c>
      <c r="B183" s="31">
        <f>step3_validation[[#This Row],[Used_Seed]]</f>
        <v>2207</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28.244939358367787</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7</v>
      </c>
      <c r="R183" t="str">
        <f t="shared" si="54"/>
        <v>Neutral</v>
      </c>
      <c r="S183">
        <f>survey_responses[[#This Row],[Tôi tin rằng với các quy định quản lý thuế hiện nay, hành vi gian lận hoặc trốn thuế sẽ dễ dàng bị phát hiện và xử lý nghiêm. - HUMAN-ENF1]]</f>
        <v>8</v>
      </c>
      <c r="T183" t="str">
        <f t="shared" si="55"/>
        <v>Support</v>
      </c>
      <c r="U183" s="32">
        <f t="shared" si="56"/>
        <v>1</v>
      </c>
      <c r="V183">
        <f>step3_validation[[#This Row],[AI_ENF2]]</f>
        <v>8</v>
      </c>
      <c r="W183" t="str">
        <f t="shared" si="57"/>
        <v>Support</v>
      </c>
      <c r="X183">
        <f>survey_responses[[#This Row],[Tôi tin rằng Nhà nước, cơ quan thuế có đủ khả năng và công nghệ để phát hiện, xử lý nghiêm các hành vi trốn thuế. - HUMAN-ENF2]]</f>
        <v>8</v>
      </c>
      <c r="Y183" t="str">
        <f t="shared" si="58"/>
        <v>Support</v>
      </c>
      <c r="Z183" s="32">
        <f t="shared" si="59"/>
        <v>0</v>
      </c>
      <c r="AA183">
        <f>step3_validation[[#This Row],[AI_FAC1]]</f>
        <v>9</v>
      </c>
      <c r="AB183" t="str">
        <f t="shared" si="60"/>
        <v>Support</v>
      </c>
      <c r="AC183">
        <f>survey_responses[[#This Row],[Các thủ tục khai báo thuế VÀ/HOẶC quy trình làm việc với cơ quan thuế đơn giản, tiện lợi, nhanh chóng hơn so với trước đây. - HUMAN-FAC1]]</f>
        <v>5</v>
      </c>
      <c r="AD183" t="str">
        <f t="shared" si="61"/>
        <v>Neutral</v>
      </c>
      <c r="AE183" s="32">
        <f t="shared" si="62"/>
        <v>4</v>
      </c>
      <c r="AF183">
        <f>step3_validation[[#This Row],[AI_FAC2]]</f>
        <v>8</v>
      </c>
      <c r="AG183" t="str">
        <f t="shared" si="63"/>
        <v>Support</v>
      </c>
      <c r="AH183">
        <f>survey_responses[[#This Row],[So với trước đây, tôi thấy cách tính thuế và các bậc thuế trong phương án mới đơn giản, dễ hiểu và dễ thực hiện hơn. - HUMAN-FAC2]]</f>
        <v>8</v>
      </c>
      <c r="AI183" t="str">
        <f t="shared" si="64"/>
        <v>Support</v>
      </c>
      <c r="AJ183" s="32">
        <f t="shared" si="65"/>
        <v>0</v>
      </c>
      <c r="AK183">
        <f>step3_validation[[#This Row],[AI_TRU1]]</f>
        <v>7</v>
      </c>
      <c r="AL183" t="str">
        <f t="shared" si="66"/>
        <v>Neutral</v>
      </c>
      <c r="AM183">
        <f>survey_responses[[#This Row],[Tôi tin rằng Nhà nước, cơ quan thuế sẽ thực thi chính sách mới một cách khách quan, công tâm và đối xử bình đẳng với mọi người nộp thuế.  - HUMAN-TRU1]]</f>
        <v>6</v>
      </c>
      <c r="AN183" t="str">
        <f t="shared" si="67"/>
        <v>Neutral</v>
      </c>
      <c r="AO183" s="32">
        <f t="shared" si="68"/>
        <v>1</v>
      </c>
      <c r="AP183">
        <f>step3_validation[[#This Row],[AI_TRU2]]</f>
        <v>9</v>
      </c>
      <c r="AQ183" t="str">
        <f t="shared" si="69"/>
        <v>Support</v>
      </c>
      <c r="AR183">
        <f>survey_responses[[#This Row],[Tôi thấy mức thuế tôi phải đóng theo phương án mới là công bằng (người thu nhập như tôi đóng mức này là hợp lý). - HUMAN-TRU2]]</f>
        <v>8</v>
      </c>
      <c r="AS183" t="str">
        <f t="shared" si="70"/>
        <v>Support</v>
      </c>
      <c r="AT183" s="32">
        <f t="shared" si="71"/>
        <v>1</v>
      </c>
      <c r="AU183">
        <f>step3_validation[[#This Row],[AI_TRU3]]</f>
        <v>8</v>
      </c>
      <c r="AV183" t="str">
        <f t="shared" si="72"/>
        <v>Support</v>
      </c>
      <c r="AW183">
        <f>survey_responses[[#This Row],[Tôi tin tưởng số tiền thuế tôi đóng sẽ được Nhà nước sử dụng hiệu quả để cải thiện dịch vụ công (y tế, đường xá...). - HUMAN-TRU3]]</f>
        <v>6</v>
      </c>
      <c r="AX183" t="str">
        <f t="shared" si="73"/>
        <v>Neutral</v>
      </c>
      <c r="AY183" s="32">
        <f t="shared" si="74"/>
        <v>2</v>
      </c>
      <c r="AZ183">
        <f>step3_validation[[#This Row],[AI_TRU4]]</f>
        <v>9</v>
      </c>
      <c r="BA183" t="str">
        <f t="shared" si="75"/>
        <v>Support</v>
      </c>
      <c r="BB183">
        <f>survey_responses[[#This Row],[Tôi thấy Nhà nước đã giải thích rõ ràng, minh bạch về lý do và mục tiêu của việc sửa đổi thuế lần này. - HUMAN-TRU4]]</f>
        <v>7</v>
      </c>
      <c r="BC183" t="str">
        <f t="shared" si="76"/>
        <v>Neutral</v>
      </c>
      <c r="BD183" s="32">
        <f t="shared" si="77"/>
        <v>2</v>
      </c>
      <c r="BE183">
        <f>step3_validation[[#This Row],[AI_OUT1]]</f>
        <v>8</v>
      </c>
      <c r="BF183" t="str">
        <f t="shared" si="78"/>
        <v>Support</v>
      </c>
      <c r="BG183">
        <f>survey_responses[[#This Row],[Sau khi xem xét các quyền lợi và nghĩa vụ, bạn có ủng hộ và tuân thủ chính sách mới hiện nay? - HUMAN-OUT1]]</f>
        <v>7</v>
      </c>
      <c r="BH183" t="str">
        <f t="shared" si="79"/>
        <v>Neutral</v>
      </c>
      <c r="BI183" s="32">
        <f t="shared" si="80"/>
        <v>1</v>
      </c>
    </row>
    <row r="184" spans="1:61" x14ac:dyDescent="0.45">
      <c r="A184" s="30">
        <f>step3_validation[[#This Row],[Persona_ID]]</f>
        <v>183</v>
      </c>
      <c r="B184" s="31">
        <f>step3_validation[[#This Row],[Used_Seed]]</f>
        <v>2208</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223.60694142834305</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7</v>
      </c>
      <c r="R184" t="str">
        <f t="shared" si="54"/>
        <v>Neutral</v>
      </c>
      <c r="S184">
        <f>survey_responses[[#This Row],[Tôi tin rằng với các quy định quản lý thuế hiện nay, hành vi gian lận hoặc trốn thuế sẽ dễ dàng bị phát hiện và xử lý nghiêm. - HUMAN-ENF1]]</f>
        <v>2</v>
      </c>
      <c r="T184" t="str">
        <f t="shared" si="55"/>
        <v>Oppose</v>
      </c>
      <c r="U184" s="32">
        <f t="shared" si="56"/>
        <v>5</v>
      </c>
      <c r="V184">
        <f>step3_validation[[#This Row],[AI_ENF2]]</f>
        <v>7</v>
      </c>
      <c r="W184" t="str">
        <f t="shared" si="57"/>
        <v>Neutral</v>
      </c>
      <c r="X184">
        <f>survey_responses[[#This Row],[Tôi tin rằng Nhà nước, cơ quan thuế có đủ khả năng và công nghệ để phát hiện, xử lý nghiêm các hành vi trốn thuế. - HUMAN-ENF2]]</f>
        <v>5</v>
      </c>
      <c r="Y184" t="str">
        <f t="shared" si="58"/>
        <v>Neutral</v>
      </c>
      <c r="Z184" s="32">
        <f t="shared" si="59"/>
        <v>2</v>
      </c>
      <c r="AA184">
        <f>step3_validation[[#This Row],[AI_FAC1]]</f>
        <v>8</v>
      </c>
      <c r="AB184" t="str">
        <f t="shared" si="60"/>
        <v>Support</v>
      </c>
      <c r="AC184">
        <f>survey_responses[[#This Row],[Các thủ tục khai báo thuế VÀ/HOẶC quy trình làm việc với cơ quan thuế đơn giản, tiện lợi, nhanh chóng hơn so với trước đây. - HUMAN-FAC1]]</f>
        <v>3</v>
      </c>
      <c r="AD184" t="str">
        <f t="shared" si="61"/>
        <v>Oppose</v>
      </c>
      <c r="AE184" s="32">
        <f t="shared" si="62"/>
        <v>5</v>
      </c>
      <c r="AF184">
        <f>step3_validation[[#This Row],[AI_FAC2]]</f>
        <v>8</v>
      </c>
      <c r="AG184" t="str">
        <f t="shared" si="63"/>
        <v>Support</v>
      </c>
      <c r="AH184">
        <f>survey_responses[[#This Row],[So với trước đây, tôi thấy cách tính thuế và các bậc thuế trong phương án mới đơn giản, dễ hiểu và dễ thực hiện hơn. - HUMAN-FAC2]]</f>
        <v>5</v>
      </c>
      <c r="AI184" t="str">
        <f t="shared" si="64"/>
        <v>Neutral</v>
      </c>
      <c r="AJ184" s="32">
        <f t="shared" si="65"/>
        <v>3</v>
      </c>
      <c r="AK184">
        <f>step3_validation[[#This Row],[AI_TRU1]]</f>
        <v>7</v>
      </c>
      <c r="AL184" t="str">
        <f t="shared" si="66"/>
        <v>Neutral</v>
      </c>
      <c r="AM184">
        <f>survey_responses[[#This Row],[Tôi tin rằng Nhà nước, cơ quan thuế sẽ thực thi chính sách mới một cách khách quan, công tâm và đối xử bình đẳng với mọi người nộp thuế.  - HUMAN-TRU1]]</f>
        <v>3</v>
      </c>
      <c r="AN184" t="str">
        <f t="shared" si="67"/>
        <v>Oppose</v>
      </c>
      <c r="AO184" s="32">
        <f t="shared" si="68"/>
        <v>4</v>
      </c>
      <c r="AP184">
        <f>step3_validation[[#This Row],[AI_TRU2]]</f>
        <v>8</v>
      </c>
      <c r="AQ184" t="str">
        <f t="shared" si="69"/>
        <v>Support</v>
      </c>
      <c r="AR184">
        <f>survey_responses[[#This Row],[Tôi thấy mức thuế tôi phải đóng theo phương án mới là công bằng (người thu nhập như tôi đóng mức này là hợp lý). - HUMAN-TRU2]]</f>
        <v>2</v>
      </c>
      <c r="AS184" t="str">
        <f t="shared" si="70"/>
        <v>Oppose</v>
      </c>
      <c r="AT184" s="32">
        <f t="shared" si="71"/>
        <v>6</v>
      </c>
      <c r="AU184">
        <f>step3_validation[[#This Row],[AI_TRU3]]</f>
        <v>7</v>
      </c>
      <c r="AV184" t="str">
        <f t="shared" si="72"/>
        <v>Neutral</v>
      </c>
      <c r="AW184">
        <f>survey_responses[[#This Row],[Tôi tin tưởng số tiền thuế tôi đóng sẽ được Nhà nước sử dụng hiệu quả để cải thiện dịch vụ công (y tế, đường xá...). - HUMAN-TRU3]]</f>
        <v>1</v>
      </c>
      <c r="AX184" t="str">
        <f t="shared" si="73"/>
        <v>Oppose</v>
      </c>
      <c r="AY184" s="32">
        <f t="shared" si="74"/>
        <v>6</v>
      </c>
      <c r="AZ184">
        <f>step3_validation[[#This Row],[AI_TRU4]]</f>
        <v>8</v>
      </c>
      <c r="BA184" t="str">
        <f t="shared" si="75"/>
        <v>Support</v>
      </c>
      <c r="BB184">
        <f>survey_responses[[#This Row],[Tôi thấy Nhà nước đã giải thích rõ ràng, minh bạch về lý do và mục tiêu của việc sửa đổi thuế lần này. - HUMAN-TRU4]]</f>
        <v>5</v>
      </c>
      <c r="BC184" t="str">
        <f t="shared" si="76"/>
        <v>Neutral</v>
      </c>
      <c r="BD184" s="32">
        <f t="shared" si="77"/>
        <v>3</v>
      </c>
      <c r="BE184">
        <f>step3_validation[[#This Row],[AI_OUT1]]</f>
        <v>8</v>
      </c>
      <c r="BF184" t="str">
        <f t="shared" si="78"/>
        <v>Support</v>
      </c>
      <c r="BG184">
        <f>survey_responses[[#This Row],[Sau khi xem xét các quyền lợi và nghĩa vụ, bạn có ủng hộ và tuân thủ chính sách mới hiện nay? - HUMAN-OUT1]]</f>
        <v>5</v>
      </c>
      <c r="BH184" t="str">
        <f t="shared" si="79"/>
        <v>Neutral</v>
      </c>
      <c r="BI184" s="32">
        <f t="shared" si="80"/>
        <v>3</v>
      </c>
    </row>
    <row r="185" spans="1:61" x14ac:dyDescent="0.45">
      <c r="A185" s="30">
        <f>step3_validation[[#This Row],[Persona_ID]]</f>
        <v>184</v>
      </c>
      <c r="B185" s="31">
        <f>step3_validation[[#This Row],[Used_Seed]]</f>
        <v>2209</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13.590698473914165</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7</v>
      </c>
      <c r="R185" t="str">
        <f t="shared" si="54"/>
        <v>Neutral</v>
      </c>
      <c r="S185">
        <f>survey_responses[[#This Row],[Tôi tin rằng với các quy định quản lý thuế hiện nay, hành vi gian lận hoặc trốn thuế sẽ dễ dàng bị phát hiện và xử lý nghiêm. - HUMAN-ENF1]]</f>
        <v>6</v>
      </c>
      <c r="T185" t="str">
        <f t="shared" si="55"/>
        <v>Neutral</v>
      </c>
      <c r="U185" s="32">
        <f t="shared" si="56"/>
        <v>1</v>
      </c>
      <c r="V185">
        <f>step3_validation[[#This Row],[AI_ENF2]]</f>
        <v>6</v>
      </c>
      <c r="W185" t="str">
        <f t="shared" si="57"/>
        <v>Neutral</v>
      </c>
      <c r="X185">
        <f>survey_responses[[#This Row],[Tôi tin rằng Nhà nước, cơ quan thuế có đủ khả năng và công nghệ để phát hiện, xử lý nghiêm các hành vi trốn thuế. - HUMAN-ENF2]]</f>
        <v>6</v>
      </c>
      <c r="Y185" t="str">
        <f t="shared" si="58"/>
        <v>Neutral</v>
      </c>
      <c r="Z185" s="32">
        <f t="shared" si="59"/>
        <v>0</v>
      </c>
      <c r="AA185">
        <f>step3_validation[[#This Row],[AI_FAC1]]</f>
        <v>9</v>
      </c>
      <c r="AB185" t="str">
        <f t="shared" si="60"/>
        <v>Support</v>
      </c>
      <c r="AC185">
        <f>survey_responses[[#This Row],[Các thủ tục khai báo thuế VÀ/HOẶC quy trình làm việc với cơ quan thuế đơn giản, tiện lợi, nhanh chóng hơn so với trước đây. - HUMAN-FAC1]]</f>
        <v>5</v>
      </c>
      <c r="AD185" t="str">
        <f t="shared" si="61"/>
        <v>Neutral</v>
      </c>
      <c r="AE185" s="32">
        <f t="shared" si="62"/>
        <v>4</v>
      </c>
      <c r="AF185">
        <f>step3_validation[[#This Row],[AI_FAC2]]</f>
        <v>8</v>
      </c>
      <c r="AG185" t="str">
        <f t="shared" si="63"/>
        <v>Support</v>
      </c>
      <c r="AH185">
        <f>survey_responses[[#This Row],[So với trước đây, tôi thấy cách tính thuế và các bậc thuế trong phương án mới đơn giản, dễ hiểu và dễ thực hiện hơn. - HUMAN-FAC2]]</f>
        <v>9</v>
      </c>
      <c r="AI185" t="str">
        <f t="shared" si="64"/>
        <v>Support</v>
      </c>
      <c r="AJ185" s="32">
        <f t="shared" si="65"/>
        <v>1</v>
      </c>
      <c r="AK185">
        <f>step3_validation[[#This Row],[AI_TRU1]]</f>
        <v>9</v>
      </c>
      <c r="AL185" t="str">
        <f t="shared" si="66"/>
        <v>Support</v>
      </c>
      <c r="AM185">
        <f>survey_responses[[#This Row],[Tôi tin rằng Nhà nước, cơ quan thuế sẽ thực thi chính sách mới một cách khách quan, công tâm và đối xử bình đẳng với mọi người nộp thuế.  - HUMAN-TRU1]]</f>
        <v>7</v>
      </c>
      <c r="AN185" t="str">
        <f t="shared" si="67"/>
        <v>Neutral</v>
      </c>
      <c r="AO185" s="32">
        <f t="shared" si="68"/>
        <v>2</v>
      </c>
      <c r="AP185">
        <f>step3_validation[[#This Row],[AI_TRU2]]</f>
        <v>8</v>
      </c>
      <c r="AQ185" t="str">
        <f t="shared" si="69"/>
        <v>Support</v>
      </c>
      <c r="AR185">
        <f>survey_responses[[#This Row],[Tôi thấy mức thuế tôi phải đóng theo phương án mới là công bằng (người thu nhập như tôi đóng mức này là hợp lý). - HUMAN-TRU2]]</f>
        <v>8</v>
      </c>
      <c r="AS185" t="str">
        <f t="shared" si="70"/>
        <v>Support</v>
      </c>
      <c r="AT185" s="32">
        <f t="shared" si="71"/>
        <v>0</v>
      </c>
      <c r="AU185">
        <f>step3_validation[[#This Row],[AI_TRU3]]</f>
        <v>9</v>
      </c>
      <c r="AV185" t="str">
        <f t="shared" si="72"/>
        <v>Support</v>
      </c>
      <c r="AW185">
        <f>survey_responses[[#This Row],[Tôi tin tưởng số tiền thuế tôi đóng sẽ được Nhà nước sử dụng hiệu quả để cải thiện dịch vụ công (y tế, đường xá...). - HUMAN-TRU3]]</f>
        <v>5</v>
      </c>
      <c r="AX185" t="str">
        <f t="shared" si="73"/>
        <v>Neutral</v>
      </c>
      <c r="AY185" s="32">
        <f t="shared" si="74"/>
        <v>4</v>
      </c>
      <c r="AZ185">
        <f>step3_validation[[#This Row],[AI_TRU4]]</f>
        <v>7</v>
      </c>
      <c r="BA185" t="str">
        <f t="shared" si="75"/>
        <v>Neutral</v>
      </c>
      <c r="BB185">
        <f>survey_responses[[#This Row],[Tôi thấy Nhà nước đã giải thích rõ ràng, minh bạch về lý do và mục tiêu của việc sửa đổi thuế lần này. - HUMAN-TRU4]]</f>
        <v>7</v>
      </c>
      <c r="BC185" t="str">
        <f t="shared" si="76"/>
        <v>Neutral</v>
      </c>
      <c r="BD185" s="32">
        <f t="shared" si="77"/>
        <v>0</v>
      </c>
      <c r="BE185">
        <f>step3_validation[[#This Row],[AI_OUT1]]</f>
        <v>9</v>
      </c>
      <c r="BF185" t="str">
        <f t="shared" si="78"/>
        <v>Support</v>
      </c>
      <c r="BG185">
        <f>survey_responses[[#This Row],[Sau khi xem xét các quyền lợi và nghĩa vụ, bạn có ủng hộ và tuân thủ chính sách mới hiện nay? - HUMAN-OUT1]]</f>
        <v>7</v>
      </c>
      <c r="BH185" t="str">
        <f t="shared" si="79"/>
        <v>Neutral</v>
      </c>
      <c r="BI185" s="32">
        <f t="shared" si="80"/>
        <v>2</v>
      </c>
    </row>
    <row r="186" spans="1:61" x14ac:dyDescent="0.45">
      <c r="A186" s="30">
        <f>step3_validation[[#This Row],[Persona_ID]]</f>
        <v>185</v>
      </c>
      <c r="B186" s="31">
        <f>step3_validation[[#This Row],[Used_Seed]]</f>
        <v>2210</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43.499319405292795</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9</v>
      </c>
      <c r="R186" t="str">
        <f t="shared" si="54"/>
        <v>Support</v>
      </c>
      <c r="S186">
        <f>survey_responses[[#This Row],[Tôi tin rằng với các quy định quản lý thuế hiện nay, hành vi gian lận hoặc trốn thuế sẽ dễ dàng bị phát hiện và xử lý nghiêm. - HUMAN-ENF1]]</f>
        <v>7</v>
      </c>
      <c r="T186" t="str">
        <f t="shared" si="55"/>
        <v>Neutral</v>
      </c>
      <c r="U186" s="32">
        <f t="shared" si="56"/>
        <v>2</v>
      </c>
      <c r="V186">
        <f>step3_validation[[#This Row],[AI_ENF2]]</f>
        <v>9</v>
      </c>
      <c r="W186" t="str">
        <f t="shared" si="57"/>
        <v>Support</v>
      </c>
      <c r="X186">
        <f>survey_responses[[#This Row],[Tôi tin rằng Nhà nước, cơ quan thuế có đủ khả năng và công nghệ để phát hiện, xử lý nghiêm các hành vi trốn thuế. - HUMAN-ENF2]]</f>
        <v>7</v>
      </c>
      <c r="Y186" t="str">
        <f t="shared" si="58"/>
        <v>Neutral</v>
      </c>
      <c r="Z186" s="32">
        <f t="shared" si="59"/>
        <v>2</v>
      </c>
      <c r="AA186">
        <f>step3_validation[[#This Row],[AI_FAC1]]</f>
        <v>8</v>
      </c>
      <c r="AB186" t="str">
        <f t="shared" si="60"/>
        <v>Support</v>
      </c>
      <c r="AC186">
        <f>survey_responses[[#This Row],[Các thủ tục khai báo thuế VÀ/HOẶC quy trình làm việc với cơ quan thuế đơn giản, tiện lợi, nhanh chóng hơn so với trước đây. - HUMAN-FAC1]]</f>
        <v>6</v>
      </c>
      <c r="AD186" t="str">
        <f t="shared" si="61"/>
        <v>Neutral</v>
      </c>
      <c r="AE186" s="32">
        <f t="shared" si="62"/>
        <v>2</v>
      </c>
      <c r="AF186">
        <f>step3_validation[[#This Row],[AI_FAC2]]</f>
        <v>9</v>
      </c>
      <c r="AG186" t="str">
        <f t="shared" si="63"/>
        <v>Support</v>
      </c>
      <c r="AH186">
        <f>survey_responses[[#This Row],[So với trước đây, tôi thấy cách tính thuế và các bậc thuế trong phương án mới đơn giản, dễ hiểu và dễ thực hiện hơn. - HUMAN-FAC2]]</f>
        <v>8</v>
      </c>
      <c r="AI186" t="str">
        <f t="shared" si="64"/>
        <v>Support</v>
      </c>
      <c r="AJ186" s="32">
        <f t="shared" si="65"/>
        <v>1</v>
      </c>
      <c r="AK186">
        <f>step3_validation[[#This Row],[AI_TRU1]]</f>
        <v>8</v>
      </c>
      <c r="AL186" t="str">
        <f t="shared" si="66"/>
        <v>Support</v>
      </c>
      <c r="AM186">
        <f>survey_responses[[#This Row],[Tôi tin rằng Nhà nước, cơ quan thuế sẽ thực thi chính sách mới một cách khách quan, công tâm và đối xử bình đẳng với mọi người nộp thuế.  - HUMAN-TRU1]]</f>
        <v>5</v>
      </c>
      <c r="AN186" t="str">
        <f t="shared" si="67"/>
        <v>Neutral</v>
      </c>
      <c r="AO186" s="32">
        <f t="shared" si="68"/>
        <v>3</v>
      </c>
      <c r="AP186">
        <f>step3_validation[[#This Row],[AI_TRU2]]</f>
        <v>9</v>
      </c>
      <c r="AQ186" t="str">
        <f t="shared" si="69"/>
        <v>Support</v>
      </c>
      <c r="AR186">
        <f>survey_responses[[#This Row],[Tôi thấy mức thuế tôi phải đóng theo phương án mới là công bằng (người thu nhập như tôi đóng mức này là hợp lý). - HUMAN-TRU2]]</f>
        <v>5</v>
      </c>
      <c r="AS186" t="str">
        <f t="shared" si="70"/>
        <v>Neutral</v>
      </c>
      <c r="AT186" s="32">
        <f t="shared" si="71"/>
        <v>4</v>
      </c>
      <c r="AU186">
        <f>step3_validation[[#This Row],[AI_TRU3]]</f>
        <v>8</v>
      </c>
      <c r="AV186" t="str">
        <f t="shared" si="72"/>
        <v>Support</v>
      </c>
      <c r="AW186">
        <f>survey_responses[[#This Row],[Tôi tin tưởng số tiền thuế tôi đóng sẽ được Nhà nước sử dụng hiệu quả để cải thiện dịch vụ công (y tế, đường xá...). - HUMAN-TRU3]]</f>
        <v>5</v>
      </c>
      <c r="AX186" t="str">
        <f t="shared" si="73"/>
        <v>Neutral</v>
      </c>
      <c r="AY186" s="32">
        <f t="shared" si="74"/>
        <v>3</v>
      </c>
      <c r="AZ186">
        <f>step3_validation[[#This Row],[AI_TRU4]]</f>
        <v>9</v>
      </c>
      <c r="BA186" t="str">
        <f t="shared" si="75"/>
        <v>Support</v>
      </c>
      <c r="BB186">
        <f>survey_responses[[#This Row],[Tôi thấy Nhà nước đã giải thích rõ ràng, minh bạch về lý do và mục tiêu của việc sửa đổi thuế lần này. - HUMAN-TRU4]]</f>
        <v>6</v>
      </c>
      <c r="BC186" t="str">
        <f t="shared" si="76"/>
        <v>Neutral</v>
      </c>
      <c r="BD186" s="32">
        <f t="shared" si="77"/>
        <v>3</v>
      </c>
      <c r="BE186">
        <f>step3_validation[[#This Row],[AI_OUT1]]</f>
        <v>8</v>
      </c>
      <c r="BF186" t="str">
        <f t="shared" si="78"/>
        <v>Support</v>
      </c>
      <c r="BG186">
        <f>survey_responses[[#This Row],[Sau khi xem xét các quyền lợi và nghĩa vụ, bạn có ủng hộ và tuân thủ chính sách mới hiện nay? - HUMAN-OUT1]]</f>
        <v>5</v>
      </c>
      <c r="BH186" t="str">
        <f t="shared" si="79"/>
        <v>Neutral</v>
      </c>
      <c r="BI186" s="32">
        <f t="shared" si="80"/>
        <v>3</v>
      </c>
    </row>
    <row r="187" spans="1:61" x14ac:dyDescent="0.45">
      <c r="A187" s="30">
        <f>step3_validation[[#This Row],[Persona_ID]]</f>
        <v>186</v>
      </c>
      <c r="B187" s="31">
        <f>step3_validation[[#This Row],[Used_Seed]]</f>
        <v>2211</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15.882232999897195</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6</v>
      </c>
      <c r="R187" t="str">
        <f t="shared" si="54"/>
        <v>Neutral</v>
      </c>
      <c r="S187">
        <f>survey_responses[[#This Row],[Tôi tin rằng với các quy định quản lý thuế hiện nay, hành vi gian lận hoặc trốn thuế sẽ dễ dàng bị phát hiện và xử lý nghiêm. - HUMAN-ENF1]]</f>
        <v>7</v>
      </c>
      <c r="T187" t="str">
        <f t="shared" si="55"/>
        <v>Neutral</v>
      </c>
      <c r="U187" s="32">
        <f t="shared" si="56"/>
        <v>1</v>
      </c>
      <c r="V187">
        <f>step3_validation[[#This Row],[AI_ENF2]]</f>
        <v>6</v>
      </c>
      <c r="W187" t="str">
        <f t="shared" si="57"/>
        <v>Neutral</v>
      </c>
      <c r="X187">
        <f>survey_responses[[#This Row],[Tôi tin rằng Nhà nước, cơ quan thuế có đủ khả năng và công nghệ để phát hiện, xử lý nghiêm các hành vi trốn thuế. - HUMAN-ENF2]]</f>
        <v>7</v>
      </c>
      <c r="Y187" t="str">
        <f t="shared" si="58"/>
        <v>Neutral</v>
      </c>
      <c r="Z187" s="32">
        <f t="shared" si="59"/>
        <v>1</v>
      </c>
      <c r="AA187">
        <f>step3_validation[[#This Row],[AI_FAC1]]</f>
        <v>8</v>
      </c>
      <c r="AB187" t="str">
        <f t="shared" si="60"/>
        <v>Support</v>
      </c>
      <c r="AC187">
        <f>survey_responses[[#This Row],[Các thủ tục khai báo thuế VÀ/HOẶC quy trình làm việc với cơ quan thuế đơn giản, tiện lợi, nhanh chóng hơn so với trước đây. - HUMAN-FAC1]]</f>
        <v>5</v>
      </c>
      <c r="AD187" t="str">
        <f t="shared" si="61"/>
        <v>Neutral</v>
      </c>
      <c r="AE187" s="32">
        <f t="shared" si="62"/>
        <v>3</v>
      </c>
      <c r="AF187">
        <f>step3_validation[[#This Row],[AI_FAC2]]</f>
        <v>7</v>
      </c>
      <c r="AG187" t="str">
        <f t="shared" si="63"/>
        <v>Neutral</v>
      </c>
      <c r="AH187">
        <f>survey_responses[[#This Row],[So với trước đây, tôi thấy cách tính thuế và các bậc thuế trong phương án mới đơn giản, dễ hiểu và dễ thực hiện hơn. - HUMAN-FAC2]]</f>
        <v>7</v>
      </c>
      <c r="AI187" t="str">
        <f t="shared" si="64"/>
        <v>Neutral</v>
      </c>
      <c r="AJ187" s="32">
        <f t="shared" si="65"/>
        <v>0</v>
      </c>
      <c r="AK187">
        <f>step3_validation[[#This Row],[AI_TRU1]]</f>
        <v>5</v>
      </c>
      <c r="AL187" t="str">
        <f t="shared" si="66"/>
        <v>Neutral</v>
      </c>
      <c r="AM187">
        <f>survey_responses[[#This Row],[Tôi tin rằng Nhà nước, cơ quan thuế sẽ thực thi chính sách mới một cách khách quan, công tâm và đối xử bình đẳng với mọi người nộp thuế.  - HUMAN-TRU1]]</f>
        <v>5</v>
      </c>
      <c r="AN187" t="str">
        <f t="shared" si="67"/>
        <v>Neutral</v>
      </c>
      <c r="AO187" s="32">
        <f t="shared" si="68"/>
        <v>0</v>
      </c>
      <c r="AP187">
        <f>step3_validation[[#This Row],[AI_TRU2]]</f>
        <v>9</v>
      </c>
      <c r="AQ187" t="str">
        <f t="shared" si="69"/>
        <v>Support</v>
      </c>
      <c r="AR187">
        <f>survey_responses[[#This Row],[Tôi thấy mức thuế tôi phải đóng theo phương án mới là công bằng (người thu nhập như tôi đóng mức này là hợp lý). - HUMAN-TRU2]]</f>
        <v>5</v>
      </c>
      <c r="AS187" t="str">
        <f t="shared" si="70"/>
        <v>Neutral</v>
      </c>
      <c r="AT187" s="32">
        <f t="shared" si="71"/>
        <v>4</v>
      </c>
      <c r="AU187">
        <f>step3_validation[[#This Row],[AI_TRU3]]</f>
        <v>8</v>
      </c>
      <c r="AV187" t="str">
        <f t="shared" si="72"/>
        <v>Support</v>
      </c>
      <c r="AW187">
        <f>survey_responses[[#This Row],[Tôi tin tưởng số tiền thuế tôi đóng sẽ được Nhà nước sử dụng hiệu quả để cải thiện dịch vụ công (y tế, đường xá...). - HUMAN-TRU3]]</f>
        <v>5</v>
      </c>
      <c r="AX187" t="str">
        <f t="shared" si="73"/>
        <v>Neutral</v>
      </c>
      <c r="AY187" s="32">
        <f t="shared" si="74"/>
        <v>3</v>
      </c>
      <c r="AZ187">
        <f>step3_validation[[#This Row],[AI_TRU4]]</f>
        <v>6</v>
      </c>
      <c r="BA187" t="str">
        <f t="shared" si="75"/>
        <v>Neutral</v>
      </c>
      <c r="BB187">
        <f>survey_responses[[#This Row],[Tôi thấy Nhà nước đã giải thích rõ ràng, minh bạch về lý do và mục tiêu của việc sửa đổi thuế lần này. - HUMAN-TRU4]]</f>
        <v>5</v>
      </c>
      <c r="BC187" t="str">
        <f t="shared" si="76"/>
        <v>Neutral</v>
      </c>
      <c r="BD187" s="32">
        <f t="shared" si="77"/>
        <v>1</v>
      </c>
      <c r="BE187">
        <f>step3_validation[[#This Row],[AI_OUT1]]</f>
        <v>9</v>
      </c>
      <c r="BF187" t="str">
        <f t="shared" si="78"/>
        <v>Support</v>
      </c>
      <c r="BG187">
        <f>survey_responses[[#This Row],[Sau khi xem xét các quyền lợi và nghĩa vụ, bạn có ủng hộ và tuân thủ chính sách mới hiện nay? - HUMAN-OUT1]]</f>
        <v>6</v>
      </c>
      <c r="BH187" t="str">
        <f t="shared" si="79"/>
        <v>Neutral</v>
      </c>
      <c r="BI187" s="32">
        <f t="shared" si="80"/>
        <v>3</v>
      </c>
    </row>
    <row r="188" spans="1:61" x14ac:dyDescent="0.45">
      <c r="A188" s="30">
        <f>step3_validation[[#This Row],[Persona_ID]]</f>
        <v>187</v>
      </c>
      <c r="B188" s="31">
        <f>step3_validation[[#This Row],[Used_Seed]]</f>
        <v>2212</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44.141240573551528</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7</v>
      </c>
      <c r="R188" t="str">
        <f t="shared" si="54"/>
        <v>Neutral</v>
      </c>
      <c r="S188">
        <f>survey_responses[[#This Row],[Tôi tin rằng với các quy định quản lý thuế hiện nay, hành vi gian lận hoặc trốn thuế sẽ dễ dàng bị phát hiện và xử lý nghiêm. - HUMAN-ENF1]]</f>
        <v>6</v>
      </c>
      <c r="T188" t="str">
        <f t="shared" si="55"/>
        <v>Neutral</v>
      </c>
      <c r="U188" s="32">
        <f t="shared" si="56"/>
        <v>1</v>
      </c>
      <c r="V188">
        <f>step3_validation[[#This Row],[AI_ENF2]]</f>
        <v>8</v>
      </c>
      <c r="W188" t="str">
        <f t="shared" si="57"/>
        <v>Support</v>
      </c>
      <c r="X188">
        <f>survey_responses[[#This Row],[Tôi tin rằng Nhà nước, cơ quan thuế có đủ khả năng và công nghệ để phát hiện, xử lý nghiêm các hành vi trốn thuế. - HUMAN-ENF2]]</f>
        <v>7</v>
      </c>
      <c r="Y188" t="str">
        <f t="shared" si="58"/>
        <v>Neutral</v>
      </c>
      <c r="Z188" s="32">
        <f t="shared" si="59"/>
        <v>1</v>
      </c>
      <c r="AA188">
        <f>step3_validation[[#This Row],[AI_FAC1]]</f>
        <v>7</v>
      </c>
      <c r="AB188" t="str">
        <f t="shared" si="60"/>
        <v>Neutral</v>
      </c>
      <c r="AC188">
        <f>survey_responses[[#This Row],[Các thủ tục khai báo thuế VÀ/HOẶC quy trình làm việc với cơ quan thuế đơn giản, tiện lợi, nhanh chóng hơn so với trước đây. - HUMAN-FAC1]]</f>
        <v>6</v>
      </c>
      <c r="AD188" t="str">
        <f t="shared" si="61"/>
        <v>Neutral</v>
      </c>
      <c r="AE188" s="32">
        <f t="shared" si="62"/>
        <v>1</v>
      </c>
      <c r="AF188">
        <f>step3_validation[[#This Row],[AI_FAC2]]</f>
        <v>9</v>
      </c>
      <c r="AG188" t="str">
        <f t="shared" si="63"/>
        <v>Support</v>
      </c>
      <c r="AH188">
        <f>survey_responses[[#This Row],[So với trước đây, tôi thấy cách tính thuế và các bậc thuế trong phương án mới đơn giản, dễ hiểu và dễ thực hiện hơn. - HUMAN-FAC2]]</f>
        <v>7</v>
      </c>
      <c r="AI188" t="str">
        <f t="shared" si="64"/>
        <v>Neutral</v>
      </c>
      <c r="AJ188" s="32">
        <f t="shared" si="65"/>
        <v>2</v>
      </c>
      <c r="AK188">
        <f>step3_validation[[#This Row],[AI_TRU1]]</f>
        <v>6</v>
      </c>
      <c r="AL188" t="str">
        <f t="shared" si="66"/>
        <v>Neutral</v>
      </c>
      <c r="AM188">
        <f>survey_responses[[#This Row],[Tôi tin rằng Nhà nước, cơ quan thuế sẽ thực thi chính sách mới một cách khách quan, công tâm và đối xử bình đẳng với mọi người nộp thuế.  - HUMAN-TRU1]]</f>
        <v>6</v>
      </c>
      <c r="AN188" t="str">
        <f t="shared" si="67"/>
        <v>Neutral</v>
      </c>
      <c r="AO188" s="32">
        <f t="shared" si="68"/>
        <v>0</v>
      </c>
      <c r="AP188">
        <f>step3_validation[[#This Row],[AI_TRU2]]</f>
        <v>8</v>
      </c>
      <c r="AQ188" t="str">
        <f t="shared" si="69"/>
        <v>Support</v>
      </c>
      <c r="AR188">
        <f>survey_responses[[#This Row],[Tôi thấy mức thuế tôi phải đóng theo phương án mới là công bằng (người thu nhập như tôi đóng mức này là hợp lý). - HUMAN-TRU2]]</f>
        <v>6</v>
      </c>
      <c r="AS188" t="str">
        <f t="shared" si="70"/>
        <v>Neutral</v>
      </c>
      <c r="AT188" s="32">
        <f t="shared" si="71"/>
        <v>2</v>
      </c>
      <c r="AU188">
        <f>step3_validation[[#This Row],[AI_TRU3]]</f>
        <v>6</v>
      </c>
      <c r="AV188" t="str">
        <f t="shared" si="72"/>
        <v>Neutral</v>
      </c>
      <c r="AW188">
        <f>survey_responses[[#This Row],[Tôi tin tưởng số tiền thuế tôi đóng sẽ được Nhà nước sử dụng hiệu quả để cải thiện dịch vụ công (y tế, đường xá...). - HUMAN-TRU3]]</f>
        <v>5</v>
      </c>
      <c r="AX188" t="str">
        <f t="shared" si="73"/>
        <v>Neutral</v>
      </c>
      <c r="AY188" s="32">
        <f t="shared" si="74"/>
        <v>1</v>
      </c>
      <c r="AZ188">
        <f>step3_validation[[#This Row],[AI_TRU4]]</f>
        <v>7</v>
      </c>
      <c r="BA188" t="str">
        <f t="shared" si="75"/>
        <v>Neutral</v>
      </c>
      <c r="BB188">
        <f>survey_responses[[#This Row],[Tôi thấy Nhà nước đã giải thích rõ ràng, minh bạch về lý do và mục tiêu của việc sửa đổi thuế lần này. - HUMAN-TRU4]]</f>
        <v>5</v>
      </c>
      <c r="BC188" t="str">
        <f t="shared" si="76"/>
        <v>Neutral</v>
      </c>
      <c r="BD188" s="32">
        <f t="shared" si="77"/>
        <v>2</v>
      </c>
      <c r="BE188">
        <f>step3_validation[[#This Row],[AI_OUT1]]</f>
        <v>8</v>
      </c>
      <c r="BF188" t="str">
        <f t="shared" si="78"/>
        <v>Support</v>
      </c>
      <c r="BG188">
        <f>survey_responses[[#This Row],[Sau khi xem xét các quyền lợi và nghĩa vụ, bạn có ủng hộ và tuân thủ chính sách mới hiện nay? - HUMAN-OUT1]]</f>
        <v>6</v>
      </c>
      <c r="BH188" t="str">
        <f t="shared" si="79"/>
        <v>Neutral</v>
      </c>
      <c r="BI188" s="32">
        <f t="shared" si="80"/>
        <v>2</v>
      </c>
    </row>
    <row r="189" spans="1:61" x14ac:dyDescent="0.45">
      <c r="A189" s="30">
        <f>step3_validation[[#This Row],[Persona_ID]]</f>
        <v>188</v>
      </c>
      <c r="B189" s="31">
        <f>step3_validation[[#This Row],[Used_Seed]]</f>
        <v>2213</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29.826746547450107</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7</v>
      </c>
      <c r="R189" t="str">
        <f t="shared" si="54"/>
        <v>Neutral</v>
      </c>
      <c r="S189">
        <f>survey_responses[[#This Row],[Tôi tin rằng với các quy định quản lý thuế hiện nay, hành vi gian lận hoặc trốn thuế sẽ dễ dàng bị phát hiện và xử lý nghiêm. - HUMAN-ENF1]]</f>
        <v>5</v>
      </c>
      <c r="T189" t="str">
        <f t="shared" si="55"/>
        <v>Neutral</v>
      </c>
      <c r="U189" s="32">
        <f t="shared" si="56"/>
        <v>2</v>
      </c>
      <c r="V189">
        <f>step3_validation[[#This Row],[AI_ENF2]]</f>
        <v>6</v>
      </c>
      <c r="W189" t="str">
        <f t="shared" si="57"/>
        <v>Neutral</v>
      </c>
      <c r="X189">
        <f>survey_responses[[#This Row],[Tôi tin rằng Nhà nước, cơ quan thuế có đủ khả năng và công nghệ để phát hiện, xử lý nghiêm các hành vi trốn thuế. - HUMAN-ENF2]]</f>
        <v>5</v>
      </c>
      <c r="Y189" t="str">
        <f t="shared" si="58"/>
        <v>Neutral</v>
      </c>
      <c r="Z189" s="32">
        <f t="shared" si="59"/>
        <v>1</v>
      </c>
      <c r="AA189">
        <f>step3_validation[[#This Row],[AI_FAC1]]</f>
        <v>8</v>
      </c>
      <c r="AB189" t="str">
        <f t="shared" si="60"/>
        <v>Support</v>
      </c>
      <c r="AC189">
        <f>survey_responses[[#This Row],[Các thủ tục khai báo thuế VÀ/HOẶC quy trình làm việc với cơ quan thuế đơn giản, tiện lợi, nhanh chóng hơn so với trước đây. - HUMAN-FAC1]]</f>
        <v>4</v>
      </c>
      <c r="AD189" t="str">
        <f t="shared" si="61"/>
        <v>Oppose</v>
      </c>
      <c r="AE189" s="32">
        <f t="shared" si="62"/>
        <v>4</v>
      </c>
      <c r="AF189">
        <f>step3_validation[[#This Row],[AI_FAC2]]</f>
        <v>9</v>
      </c>
      <c r="AG189" t="str">
        <f t="shared" si="63"/>
        <v>Support</v>
      </c>
      <c r="AH189">
        <f>survey_responses[[#This Row],[So với trước đây, tôi thấy cách tính thuế và các bậc thuế trong phương án mới đơn giản, dễ hiểu và dễ thực hiện hơn. - HUMAN-FAC2]]</f>
        <v>6</v>
      </c>
      <c r="AI189" t="str">
        <f t="shared" si="64"/>
        <v>Neutral</v>
      </c>
      <c r="AJ189" s="32">
        <f t="shared" si="65"/>
        <v>3</v>
      </c>
      <c r="AK189">
        <f>step3_validation[[#This Row],[AI_TRU1]]</f>
        <v>6</v>
      </c>
      <c r="AL189" t="str">
        <f t="shared" si="66"/>
        <v>Neutral</v>
      </c>
      <c r="AM189">
        <f>survey_responses[[#This Row],[Tôi tin rằng Nhà nước, cơ quan thuế sẽ thực thi chính sách mới một cách khách quan, công tâm và đối xử bình đẳng với mọi người nộp thuế.  - HUMAN-TRU1]]</f>
        <v>5</v>
      </c>
      <c r="AN189" t="str">
        <f t="shared" si="67"/>
        <v>Neutral</v>
      </c>
      <c r="AO189" s="32">
        <f t="shared" si="68"/>
        <v>1</v>
      </c>
      <c r="AP189">
        <f>step3_validation[[#This Row],[AI_TRU2]]</f>
        <v>9</v>
      </c>
      <c r="AQ189" t="str">
        <f t="shared" si="69"/>
        <v>Support</v>
      </c>
      <c r="AR189">
        <f>survey_responses[[#This Row],[Tôi thấy mức thuế tôi phải đóng theo phương án mới là công bằng (người thu nhập như tôi đóng mức này là hợp lý). - HUMAN-TRU2]]</f>
        <v>5</v>
      </c>
      <c r="AS189" t="str">
        <f t="shared" si="70"/>
        <v>Neutral</v>
      </c>
      <c r="AT189" s="32">
        <f t="shared" si="71"/>
        <v>4</v>
      </c>
      <c r="AU189">
        <f>step3_validation[[#This Row],[AI_TRU3]]</f>
        <v>8</v>
      </c>
      <c r="AV189" t="str">
        <f t="shared" si="72"/>
        <v>Support</v>
      </c>
      <c r="AW189">
        <f>survey_responses[[#This Row],[Tôi tin tưởng số tiền thuế tôi đóng sẽ được Nhà nước sử dụng hiệu quả để cải thiện dịch vụ công (y tế, đường xá...). - HUMAN-TRU3]]</f>
        <v>5</v>
      </c>
      <c r="AX189" t="str">
        <f t="shared" si="73"/>
        <v>Neutral</v>
      </c>
      <c r="AY189" s="32">
        <f t="shared" si="74"/>
        <v>3</v>
      </c>
      <c r="AZ189">
        <f>step3_validation[[#This Row],[AI_TRU4]]</f>
        <v>7</v>
      </c>
      <c r="BA189" t="str">
        <f t="shared" si="75"/>
        <v>Neutral</v>
      </c>
      <c r="BB189">
        <f>survey_responses[[#This Row],[Tôi thấy Nhà nước đã giải thích rõ ràng, minh bạch về lý do và mục tiêu của việc sửa đổi thuế lần này. - HUMAN-TRU4]]</f>
        <v>5</v>
      </c>
      <c r="BC189" t="str">
        <f t="shared" si="76"/>
        <v>Neutral</v>
      </c>
      <c r="BD189" s="32">
        <f t="shared" si="77"/>
        <v>2</v>
      </c>
      <c r="BE189">
        <f>step3_validation[[#This Row],[AI_OUT1]]</f>
        <v>8</v>
      </c>
      <c r="BF189" t="str">
        <f t="shared" si="78"/>
        <v>Support</v>
      </c>
      <c r="BG189">
        <f>survey_responses[[#This Row],[Sau khi xem xét các quyền lợi và nghĩa vụ, bạn có ủng hộ và tuân thủ chính sách mới hiện nay? - HUMAN-OUT1]]</f>
        <v>5</v>
      </c>
      <c r="BH189" t="str">
        <f t="shared" si="79"/>
        <v>Neutral</v>
      </c>
      <c r="BI189" s="32">
        <f t="shared" si="80"/>
        <v>3</v>
      </c>
    </row>
    <row r="190" spans="1:61" x14ac:dyDescent="0.45">
      <c r="A190" s="30">
        <f>step3_validation[[#This Row],[Persona_ID]]</f>
        <v>189</v>
      </c>
      <c r="B190" s="31">
        <f>step3_validation[[#This Row],[Used_Seed]]</f>
        <v>2214</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54.0873404483496</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9</v>
      </c>
      <c r="R190" t="str">
        <f t="shared" si="54"/>
        <v>Support</v>
      </c>
      <c r="S190">
        <f>survey_responses[[#This Row],[Tôi tin rằng với các quy định quản lý thuế hiện nay, hành vi gian lận hoặc trốn thuế sẽ dễ dàng bị phát hiện và xử lý nghiêm. - HUMAN-ENF1]]</f>
        <v>8</v>
      </c>
      <c r="T190" t="str">
        <f t="shared" si="55"/>
        <v>Support</v>
      </c>
      <c r="U190" s="32">
        <f t="shared" si="56"/>
        <v>1</v>
      </c>
      <c r="V190">
        <f>step3_validation[[#This Row],[AI_ENF2]]</f>
        <v>8</v>
      </c>
      <c r="W190" t="str">
        <f t="shared" si="57"/>
        <v>Support</v>
      </c>
      <c r="X190">
        <f>survey_responses[[#This Row],[Tôi tin rằng Nhà nước, cơ quan thuế có đủ khả năng và công nghệ để phát hiện, xử lý nghiêm các hành vi trốn thuế. - HUMAN-ENF2]]</f>
        <v>8</v>
      </c>
      <c r="Y190" t="str">
        <f t="shared" si="58"/>
        <v>Support</v>
      </c>
      <c r="Z190" s="32">
        <f t="shared" si="59"/>
        <v>0</v>
      </c>
      <c r="AA190">
        <f>step3_validation[[#This Row],[AI_FAC1]]</f>
        <v>9</v>
      </c>
      <c r="AB190" t="str">
        <f t="shared" si="60"/>
        <v>Support</v>
      </c>
      <c r="AC190">
        <f>survey_responses[[#This Row],[Các thủ tục khai báo thuế VÀ/HOẶC quy trình làm việc với cơ quan thuế đơn giản, tiện lợi, nhanh chóng hơn so với trước đây. - HUMAN-FAC1]]</f>
        <v>5</v>
      </c>
      <c r="AD190" t="str">
        <f t="shared" si="61"/>
        <v>Neutral</v>
      </c>
      <c r="AE190" s="32">
        <f t="shared" si="62"/>
        <v>4</v>
      </c>
      <c r="AF190">
        <f>step3_validation[[#This Row],[AI_FAC2]]</f>
        <v>10</v>
      </c>
      <c r="AG190" t="str">
        <f t="shared" si="63"/>
        <v>Support</v>
      </c>
      <c r="AH190">
        <f>survey_responses[[#This Row],[So với trước đây, tôi thấy cách tính thuế và các bậc thuế trong phương án mới đơn giản, dễ hiểu và dễ thực hiện hơn. - HUMAN-FAC2]]</f>
        <v>7</v>
      </c>
      <c r="AI190" t="str">
        <f t="shared" si="64"/>
        <v>Neutral</v>
      </c>
      <c r="AJ190" s="32">
        <f t="shared" si="65"/>
        <v>3</v>
      </c>
      <c r="AK190">
        <f>step3_validation[[#This Row],[AI_TRU1]]</f>
        <v>9</v>
      </c>
      <c r="AL190" t="str">
        <f t="shared" si="66"/>
        <v>Support</v>
      </c>
      <c r="AM190">
        <f>survey_responses[[#This Row],[Tôi tin rằng Nhà nước, cơ quan thuế sẽ thực thi chính sách mới một cách khách quan, công tâm và đối xử bình đẳng với mọi người nộp thuế.  - HUMAN-TRU1]]</f>
        <v>6</v>
      </c>
      <c r="AN190" t="str">
        <f t="shared" si="67"/>
        <v>Neutral</v>
      </c>
      <c r="AO190" s="32">
        <f t="shared" si="68"/>
        <v>3</v>
      </c>
      <c r="AP190">
        <f>step3_validation[[#This Row],[AI_TRU2]]</f>
        <v>9</v>
      </c>
      <c r="AQ190" t="str">
        <f t="shared" si="69"/>
        <v>Support</v>
      </c>
      <c r="AR190">
        <f>survey_responses[[#This Row],[Tôi thấy mức thuế tôi phải đóng theo phương án mới là công bằng (người thu nhập như tôi đóng mức này là hợp lý). - HUMAN-TRU2]]</f>
        <v>8</v>
      </c>
      <c r="AS190" t="str">
        <f t="shared" si="70"/>
        <v>Support</v>
      </c>
      <c r="AT190" s="32">
        <f t="shared" si="71"/>
        <v>1</v>
      </c>
      <c r="AU190">
        <f>step3_validation[[#This Row],[AI_TRU3]]</f>
        <v>8</v>
      </c>
      <c r="AV190" t="str">
        <f t="shared" si="72"/>
        <v>Support</v>
      </c>
      <c r="AW190">
        <f>survey_responses[[#This Row],[Tôi tin tưởng số tiền thuế tôi đóng sẽ được Nhà nước sử dụng hiệu quả để cải thiện dịch vụ công (y tế, đường xá...). - HUMAN-TRU3]]</f>
        <v>5</v>
      </c>
      <c r="AX190" t="str">
        <f t="shared" si="73"/>
        <v>Neutral</v>
      </c>
      <c r="AY190" s="32">
        <f t="shared" si="74"/>
        <v>3</v>
      </c>
      <c r="AZ190">
        <f>step3_validation[[#This Row],[AI_TRU4]]</f>
        <v>9</v>
      </c>
      <c r="BA190" t="str">
        <f t="shared" si="75"/>
        <v>Support</v>
      </c>
      <c r="BB190">
        <f>survey_responses[[#This Row],[Tôi thấy Nhà nước đã giải thích rõ ràng, minh bạch về lý do và mục tiêu của việc sửa đổi thuế lần này. - HUMAN-TRU4]]</f>
        <v>7</v>
      </c>
      <c r="BC190" t="str">
        <f t="shared" si="76"/>
        <v>Neutral</v>
      </c>
      <c r="BD190" s="32">
        <f t="shared" si="77"/>
        <v>2</v>
      </c>
      <c r="BE190">
        <f>step3_validation[[#This Row],[AI_OUT1]]</f>
        <v>9</v>
      </c>
      <c r="BF190" t="str">
        <f t="shared" si="78"/>
        <v>Support</v>
      </c>
      <c r="BG190">
        <f>survey_responses[[#This Row],[Sau khi xem xét các quyền lợi và nghĩa vụ, bạn có ủng hộ và tuân thủ chính sách mới hiện nay? - HUMAN-OUT1]]</f>
        <v>8</v>
      </c>
      <c r="BH190" t="str">
        <f t="shared" si="79"/>
        <v>Support</v>
      </c>
      <c r="BI190" s="32">
        <f t="shared" si="80"/>
        <v>1</v>
      </c>
    </row>
    <row r="191" spans="1:61" x14ac:dyDescent="0.45">
      <c r="A191" s="30">
        <f>step3_validation[[#This Row],[Persona_ID]]</f>
        <v>190</v>
      </c>
      <c r="B191" s="31">
        <f>step3_validation[[#This Row],[Used_Seed]]</f>
        <v>2215</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29.08783472951399</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7</v>
      </c>
      <c r="R191" t="str">
        <f t="shared" si="54"/>
        <v>Neutral</v>
      </c>
      <c r="S191">
        <f>survey_responses[[#This Row],[Tôi tin rằng với các quy định quản lý thuế hiện nay, hành vi gian lận hoặc trốn thuế sẽ dễ dàng bị phát hiện và xử lý nghiêm. - HUMAN-ENF1]]</f>
        <v>7</v>
      </c>
      <c r="T191" t="str">
        <f t="shared" si="55"/>
        <v>Neutral</v>
      </c>
      <c r="U191" s="32">
        <f t="shared" si="56"/>
        <v>0</v>
      </c>
      <c r="V191">
        <f>step3_validation[[#This Row],[AI_ENF2]]</f>
        <v>6</v>
      </c>
      <c r="W191" t="str">
        <f t="shared" si="57"/>
        <v>Neutral</v>
      </c>
      <c r="X191">
        <f>survey_responses[[#This Row],[Tôi tin rằng Nhà nước, cơ quan thuế có đủ khả năng và công nghệ để phát hiện, xử lý nghiêm các hành vi trốn thuế. - HUMAN-ENF2]]</f>
        <v>7</v>
      </c>
      <c r="Y191" t="str">
        <f t="shared" si="58"/>
        <v>Neutral</v>
      </c>
      <c r="Z191" s="32">
        <f t="shared" si="59"/>
        <v>1</v>
      </c>
      <c r="AA191">
        <f>step3_validation[[#This Row],[AI_FAC1]]</f>
        <v>9</v>
      </c>
      <c r="AB191" t="str">
        <f t="shared" si="60"/>
        <v>Support</v>
      </c>
      <c r="AC191">
        <f>survey_responses[[#This Row],[Các thủ tục khai báo thuế VÀ/HOẶC quy trình làm việc với cơ quan thuế đơn giản, tiện lợi, nhanh chóng hơn so với trước đây. - HUMAN-FAC1]]</f>
        <v>7</v>
      </c>
      <c r="AD191" t="str">
        <f t="shared" si="61"/>
        <v>Neutral</v>
      </c>
      <c r="AE191" s="32">
        <f t="shared" si="62"/>
        <v>2</v>
      </c>
      <c r="AF191">
        <f>step3_validation[[#This Row],[AI_FAC2]]</f>
        <v>8</v>
      </c>
      <c r="AG191" t="str">
        <f t="shared" si="63"/>
        <v>Support</v>
      </c>
      <c r="AH191">
        <f>survey_responses[[#This Row],[So với trước đây, tôi thấy cách tính thuế và các bậc thuế trong phương án mới đơn giản, dễ hiểu và dễ thực hiện hơn. - HUMAN-FAC2]]</f>
        <v>8</v>
      </c>
      <c r="AI191" t="str">
        <f t="shared" si="64"/>
        <v>Support</v>
      </c>
      <c r="AJ191" s="32">
        <f t="shared" si="65"/>
        <v>0</v>
      </c>
      <c r="AK191">
        <f>step3_validation[[#This Row],[AI_TRU1]]</f>
        <v>9</v>
      </c>
      <c r="AL191" t="str">
        <f t="shared" si="66"/>
        <v>Support</v>
      </c>
      <c r="AM191">
        <f>survey_responses[[#This Row],[Tôi tin rằng Nhà nước, cơ quan thuế sẽ thực thi chính sách mới một cách khách quan, công tâm và đối xử bình đẳng với mọi người nộp thuế.  - HUMAN-TRU1]]</f>
        <v>3</v>
      </c>
      <c r="AN191" t="str">
        <f t="shared" si="67"/>
        <v>Oppose</v>
      </c>
      <c r="AO191" s="32">
        <f t="shared" si="68"/>
        <v>6</v>
      </c>
      <c r="AP191">
        <f>step3_validation[[#This Row],[AI_TRU2]]</f>
        <v>8</v>
      </c>
      <c r="AQ191" t="str">
        <f t="shared" si="69"/>
        <v>Support</v>
      </c>
      <c r="AR191">
        <f>survey_responses[[#This Row],[Tôi thấy mức thuế tôi phải đóng theo phương án mới là công bằng (người thu nhập như tôi đóng mức này là hợp lý). - HUMAN-TRU2]]</f>
        <v>3</v>
      </c>
      <c r="AS191" t="str">
        <f t="shared" si="70"/>
        <v>Oppose</v>
      </c>
      <c r="AT191" s="32">
        <f t="shared" si="71"/>
        <v>5</v>
      </c>
      <c r="AU191">
        <f>step3_validation[[#This Row],[AI_TRU3]]</f>
        <v>9</v>
      </c>
      <c r="AV191" t="str">
        <f t="shared" si="72"/>
        <v>Support</v>
      </c>
      <c r="AW191">
        <f>survey_responses[[#This Row],[Tôi tin tưởng số tiền thuế tôi đóng sẽ được Nhà nước sử dụng hiệu quả để cải thiện dịch vụ công (y tế, đường xá...). - HUMAN-TRU3]]</f>
        <v>2</v>
      </c>
      <c r="AX191" t="str">
        <f t="shared" si="73"/>
        <v>Oppose</v>
      </c>
      <c r="AY191" s="32">
        <f t="shared" si="74"/>
        <v>7</v>
      </c>
      <c r="AZ191">
        <f>step3_validation[[#This Row],[AI_TRU4]]</f>
        <v>7</v>
      </c>
      <c r="BA191" t="str">
        <f t="shared" si="75"/>
        <v>Neutral</v>
      </c>
      <c r="BB191">
        <f>survey_responses[[#This Row],[Tôi thấy Nhà nước đã giải thích rõ ràng, minh bạch về lý do và mục tiêu của việc sửa đổi thuế lần này. - HUMAN-TRU4]]</f>
        <v>3</v>
      </c>
      <c r="BC191" t="str">
        <f t="shared" si="76"/>
        <v>Oppose</v>
      </c>
      <c r="BD191" s="32">
        <f t="shared" si="77"/>
        <v>4</v>
      </c>
      <c r="BE191">
        <f>step3_validation[[#This Row],[AI_OUT1]]</f>
        <v>9</v>
      </c>
      <c r="BF191" t="str">
        <f t="shared" si="78"/>
        <v>Support</v>
      </c>
      <c r="BG191">
        <f>survey_responses[[#This Row],[Sau khi xem xét các quyền lợi và nghĩa vụ, bạn có ủng hộ và tuân thủ chính sách mới hiện nay? - HUMAN-OUT1]]</f>
        <v>8</v>
      </c>
      <c r="BH191" t="str">
        <f t="shared" si="79"/>
        <v>Support</v>
      </c>
      <c r="BI191" s="32">
        <f t="shared" si="80"/>
        <v>1</v>
      </c>
    </row>
    <row r="192" spans="1:61" x14ac:dyDescent="0.45">
      <c r="A192" s="30">
        <f>step3_validation[[#This Row],[Persona_ID]]</f>
        <v>191</v>
      </c>
      <c r="B192" s="31">
        <f>step3_validation[[#This Row],[Used_Seed]]</f>
        <v>2216</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57.534023892659114</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9</v>
      </c>
      <c r="R192" t="str">
        <f t="shared" si="54"/>
        <v>Support</v>
      </c>
      <c r="S192">
        <f>survey_responses[[#This Row],[Tôi tin rằng với các quy định quản lý thuế hiện nay, hành vi gian lận hoặc trốn thuế sẽ dễ dàng bị phát hiện và xử lý nghiêm. - HUMAN-ENF1]]</f>
        <v>7</v>
      </c>
      <c r="T192" t="str">
        <f t="shared" si="55"/>
        <v>Neutral</v>
      </c>
      <c r="U192" s="32">
        <f t="shared" si="56"/>
        <v>2</v>
      </c>
      <c r="V192">
        <f>step3_validation[[#This Row],[AI_ENF2]]</f>
        <v>8</v>
      </c>
      <c r="W192" t="str">
        <f t="shared" si="57"/>
        <v>Support</v>
      </c>
      <c r="X192">
        <f>survey_responses[[#This Row],[Tôi tin rằng Nhà nước, cơ quan thuế có đủ khả năng và công nghệ để phát hiện, xử lý nghiêm các hành vi trốn thuế. - HUMAN-ENF2]]</f>
        <v>7</v>
      </c>
      <c r="Y192" t="str">
        <f t="shared" si="58"/>
        <v>Neutral</v>
      </c>
      <c r="Z192" s="32">
        <f t="shared" si="59"/>
        <v>1</v>
      </c>
      <c r="AA192">
        <f>step3_validation[[#This Row],[AI_FAC1]]</f>
        <v>9</v>
      </c>
      <c r="AB192" t="str">
        <f t="shared" si="60"/>
        <v>Support</v>
      </c>
      <c r="AC192">
        <f>survey_responses[[#This Row],[Các thủ tục khai báo thuế VÀ/HOẶC quy trình làm việc với cơ quan thuế đơn giản, tiện lợi, nhanh chóng hơn so với trước đây. - HUMAN-FAC1]]</f>
        <v>6</v>
      </c>
      <c r="AD192" t="str">
        <f t="shared" si="61"/>
        <v>Neutral</v>
      </c>
      <c r="AE192" s="32">
        <f t="shared" si="62"/>
        <v>3</v>
      </c>
      <c r="AF192">
        <f>step3_validation[[#This Row],[AI_FAC2]]</f>
        <v>8</v>
      </c>
      <c r="AG192" t="str">
        <f t="shared" si="63"/>
        <v>Support</v>
      </c>
      <c r="AH192">
        <f>survey_responses[[#This Row],[So với trước đây, tôi thấy cách tính thuế và các bậc thuế trong phương án mới đơn giản, dễ hiểu và dễ thực hiện hơn. - HUMAN-FAC2]]</f>
        <v>8</v>
      </c>
      <c r="AI192" t="str">
        <f t="shared" si="64"/>
        <v>Support</v>
      </c>
      <c r="AJ192" s="32">
        <f t="shared" si="65"/>
        <v>0</v>
      </c>
      <c r="AK192">
        <f>step3_validation[[#This Row],[AI_TRU1]]</f>
        <v>7</v>
      </c>
      <c r="AL192" t="str">
        <f t="shared" si="66"/>
        <v>Neutral</v>
      </c>
      <c r="AM192">
        <f>survey_responses[[#This Row],[Tôi tin rằng Nhà nước, cơ quan thuế sẽ thực thi chính sách mới một cách khách quan, công tâm và đối xử bình đẳng với mọi người nộp thuế.  - HUMAN-TRU1]]</f>
        <v>7</v>
      </c>
      <c r="AN192" t="str">
        <f t="shared" si="67"/>
        <v>Neutral</v>
      </c>
      <c r="AO192" s="32">
        <f t="shared" si="68"/>
        <v>0</v>
      </c>
      <c r="AP192">
        <f>step3_validation[[#This Row],[AI_TRU2]]</f>
        <v>8</v>
      </c>
      <c r="AQ192" t="str">
        <f t="shared" si="69"/>
        <v>Support</v>
      </c>
      <c r="AR192">
        <f>survey_responses[[#This Row],[Tôi thấy mức thuế tôi phải đóng theo phương án mới là công bằng (người thu nhập như tôi đóng mức này là hợp lý). - HUMAN-TRU2]]</f>
        <v>8</v>
      </c>
      <c r="AS192" t="str">
        <f t="shared" si="70"/>
        <v>Support</v>
      </c>
      <c r="AT192" s="32">
        <f t="shared" si="71"/>
        <v>0</v>
      </c>
      <c r="AU192">
        <f>step3_validation[[#This Row],[AI_TRU3]]</f>
        <v>7</v>
      </c>
      <c r="AV192" t="str">
        <f t="shared" si="72"/>
        <v>Neutral</v>
      </c>
      <c r="AW192">
        <f>survey_responses[[#This Row],[Tôi tin tưởng số tiền thuế tôi đóng sẽ được Nhà nước sử dụng hiệu quả để cải thiện dịch vụ công (y tế, đường xá...). - HUMAN-TRU3]]</f>
        <v>7</v>
      </c>
      <c r="AX192" t="str">
        <f t="shared" si="73"/>
        <v>Neutral</v>
      </c>
      <c r="AY192" s="32">
        <f t="shared" si="74"/>
        <v>0</v>
      </c>
      <c r="AZ192">
        <f>step3_validation[[#This Row],[AI_TRU4]]</f>
        <v>8</v>
      </c>
      <c r="BA192" t="str">
        <f t="shared" si="75"/>
        <v>Support</v>
      </c>
      <c r="BB192">
        <f>survey_responses[[#This Row],[Tôi thấy Nhà nước đã giải thích rõ ràng, minh bạch về lý do và mục tiêu của việc sửa đổi thuế lần này. - HUMAN-TRU4]]</f>
        <v>7</v>
      </c>
      <c r="BC192" t="str">
        <f t="shared" si="76"/>
        <v>Neutral</v>
      </c>
      <c r="BD192" s="32">
        <f t="shared" si="77"/>
        <v>1</v>
      </c>
      <c r="BE192">
        <f>step3_validation[[#This Row],[AI_OUT1]]</f>
        <v>9</v>
      </c>
      <c r="BF192" t="str">
        <f t="shared" si="78"/>
        <v>Support</v>
      </c>
      <c r="BG192">
        <f>survey_responses[[#This Row],[Sau khi xem xét các quyền lợi và nghĩa vụ, bạn có ủng hộ và tuân thủ chính sách mới hiện nay? - HUMAN-OUT1]]</f>
        <v>7</v>
      </c>
      <c r="BH192" t="str">
        <f t="shared" si="79"/>
        <v>Neutral</v>
      </c>
      <c r="BI192" s="32">
        <f t="shared" si="80"/>
        <v>2</v>
      </c>
    </row>
    <row r="193" spans="1:61" x14ac:dyDescent="0.45">
      <c r="A193" s="30">
        <f>step3_validation[[#This Row],[Persona_ID]]</f>
        <v>192</v>
      </c>
      <c r="B193" s="31">
        <f>step3_validation[[#This Row],[Used_Seed]]</f>
        <v>2217</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19.777293062118758</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7</v>
      </c>
      <c r="R193" t="str">
        <f t="shared" si="54"/>
        <v>Neutral</v>
      </c>
      <c r="S193">
        <f>survey_responses[[#This Row],[Tôi tin rằng với các quy định quản lý thuế hiện nay, hành vi gian lận hoặc trốn thuế sẽ dễ dàng bị phát hiện và xử lý nghiêm. - HUMAN-ENF1]]</f>
        <v>8</v>
      </c>
      <c r="T193" t="str">
        <f t="shared" si="55"/>
        <v>Support</v>
      </c>
      <c r="U193" s="32">
        <f t="shared" si="56"/>
        <v>1</v>
      </c>
      <c r="V193">
        <f>step3_validation[[#This Row],[AI_ENF2]]</f>
        <v>8</v>
      </c>
      <c r="W193" t="str">
        <f t="shared" si="57"/>
        <v>Support</v>
      </c>
      <c r="X193">
        <f>survey_responses[[#This Row],[Tôi tin rằng Nhà nước, cơ quan thuế có đủ khả năng và công nghệ để phát hiện, xử lý nghiêm các hành vi trốn thuế. - HUMAN-ENF2]]</f>
        <v>8</v>
      </c>
      <c r="Y193" t="str">
        <f t="shared" si="58"/>
        <v>Support</v>
      </c>
      <c r="Z193" s="32">
        <f t="shared" si="59"/>
        <v>0</v>
      </c>
      <c r="AA193">
        <f>step3_validation[[#This Row],[AI_FAC1]]</f>
        <v>6</v>
      </c>
      <c r="AB193" t="str">
        <f t="shared" si="60"/>
        <v>Neutral</v>
      </c>
      <c r="AC193">
        <f>survey_responses[[#This Row],[Các thủ tục khai báo thuế VÀ/HOẶC quy trình làm việc với cơ quan thuế đơn giản, tiện lợi, nhanh chóng hơn so với trước đây. - HUMAN-FAC1]]</f>
        <v>9</v>
      </c>
      <c r="AD193" t="str">
        <f t="shared" si="61"/>
        <v>Support</v>
      </c>
      <c r="AE193" s="32">
        <f t="shared" si="62"/>
        <v>3</v>
      </c>
      <c r="AF193">
        <f>step3_validation[[#This Row],[AI_FAC2]]</f>
        <v>5</v>
      </c>
      <c r="AG193" t="str">
        <f t="shared" si="63"/>
        <v>Neutral</v>
      </c>
      <c r="AH193">
        <f>survey_responses[[#This Row],[So với trước đây, tôi thấy cách tính thuế và các bậc thuế trong phương án mới đơn giản, dễ hiểu và dễ thực hiện hơn. - HUMAN-FAC2]]</f>
        <v>9</v>
      </c>
      <c r="AI193" t="str">
        <f t="shared" si="64"/>
        <v>Support</v>
      </c>
      <c r="AJ193" s="32">
        <f t="shared" si="65"/>
        <v>4</v>
      </c>
      <c r="AK193">
        <f>step3_validation[[#This Row],[AI_TRU1]]</f>
        <v>7</v>
      </c>
      <c r="AL193" t="str">
        <f t="shared" si="66"/>
        <v>Neutral</v>
      </c>
      <c r="AM193">
        <f>survey_responses[[#This Row],[Tôi tin rằng Nhà nước, cơ quan thuế sẽ thực thi chính sách mới một cách khách quan, công tâm và đối xử bình đẳng với mọi người nộp thuế.  - HUMAN-TRU1]]</f>
        <v>9</v>
      </c>
      <c r="AN193" t="str">
        <f t="shared" si="67"/>
        <v>Support</v>
      </c>
      <c r="AO193" s="32">
        <f t="shared" si="68"/>
        <v>2</v>
      </c>
      <c r="AP193">
        <f>step3_validation[[#This Row],[AI_TRU2]]</f>
        <v>6</v>
      </c>
      <c r="AQ193" t="str">
        <f t="shared" si="69"/>
        <v>Neutral</v>
      </c>
      <c r="AR193">
        <f>survey_responses[[#This Row],[Tôi thấy mức thuế tôi phải đóng theo phương án mới là công bằng (người thu nhập như tôi đóng mức này là hợp lý). - HUMAN-TRU2]]</f>
        <v>9</v>
      </c>
      <c r="AS193" t="str">
        <f t="shared" si="70"/>
        <v>Support</v>
      </c>
      <c r="AT193" s="32">
        <f t="shared" si="71"/>
        <v>3</v>
      </c>
      <c r="AU193">
        <f>step3_validation[[#This Row],[AI_TRU3]]</f>
        <v>7</v>
      </c>
      <c r="AV193" t="str">
        <f t="shared" si="72"/>
        <v>Neutral</v>
      </c>
      <c r="AW193">
        <f>survey_responses[[#This Row],[Tôi tin tưởng số tiền thuế tôi đóng sẽ được Nhà nước sử dụng hiệu quả để cải thiện dịch vụ công (y tế, đường xá...). - HUMAN-TRU3]]</f>
        <v>8</v>
      </c>
      <c r="AX193" t="str">
        <f t="shared" si="73"/>
        <v>Support</v>
      </c>
      <c r="AY193" s="32">
        <f t="shared" si="74"/>
        <v>1</v>
      </c>
      <c r="AZ193">
        <f>step3_validation[[#This Row],[AI_TRU4]]</f>
        <v>8</v>
      </c>
      <c r="BA193" t="str">
        <f t="shared" si="75"/>
        <v>Support</v>
      </c>
      <c r="BB193">
        <f>survey_responses[[#This Row],[Tôi thấy Nhà nước đã giải thích rõ ràng, minh bạch về lý do và mục tiêu của việc sửa đổi thuế lần này. - HUMAN-TRU4]]</f>
        <v>8</v>
      </c>
      <c r="BC193" t="str">
        <f t="shared" si="76"/>
        <v>Support</v>
      </c>
      <c r="BD193" s="32">
        <f t="shared" si="77"/>
        <v>0</v>
      </c>
      <c r="BE193">
        <f>step3_validation[[#This Row],[AI_OUT1]]</f>
        <v>7</v>
      </c>
      <c r="BF193" t="str">
        <f t="shared" si="78"/>
        <v>Neutral</v>
      </c>
      <c r="BG193">
        <f>survey_responses[[#This Row],[Sau khi xem xét các quyền lợi và nghĩa vụ, bạn có ủng hộ và tuân thủ chính sách mới hiện nay? - HUMAN-OUT1]]</f>
        <v>9</v>
      </c>
      <c r="BH193" t="str">
        <f t="shared" si="79"/>
        <v>Support</v>
      </c>
      <c r="BI193" s="32">
        <f t="shared" si="80"/>
        <v>2</v>
      </c>
    </row>
    <row r="194" spans="1:61" x14ac:dyDescent="0.45">
      <c r="A194" s="30">
        <f>step3_validation[[#This Row],[Persona_ID]]</f>
        <v>193</v>
      </c>
      <c r="B194" s="31">
        <f>step3_validation[[#This Row],[Used_Seed]]</f>
        <v>2218</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24.943350167528614</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6</v>
      </c>
      <c r="R194" t="str">
        <f t="shared" si="54"/>
        <v>Neutral</v>
      </c>
      <c r="S194">
        <f>survey_responses[[#This Row],[Tôi tin rằng với các quy định quản lý thuế hiện nay, hành vi gian lận hoặc trốn thuế sẽ dễ dàng bị phát hiện và xử lý nghiêm. - HUMAN-ENF1]]</f>
        <v>1</v>
      </c>
      <c r="T194" t="str">
        <f t="shared" si="55"/>
        <v>Oppose</v>
      </c>
      <c r="U194" s="32">
        <f t="shared" si="56"/>
        <v>5</v>
      </c>
      <c r="V194">
        <f>step3_validation[[#This Row],[AI_ENF2]]</f>
        <v>7</v>
      </c>
      <c r="W194" t="str">
        <f t="shared" si="57"/>
        <v>Neutral</v>
      </c>
      <c r="X194">
        <f>survey_responses[[#This Row],[Tôi tin rằng Nhà nước, cơ quan thuế có đủ khả năng và công nghệ để phát hiện, xử lý nghiêm các hành vi trốn thuế. - HUMAN-ENF2]]</f>
        <v>1</v>
      </c>
      <c r="Y194" t="str">
        <f t="shared" si="58"/>
        <v>Oppose</v>
      </c>
      <c r="Z194" s="32">
        <f t="shared" si="59"/>
        <v>6</v>
      </c>
      <c r="AA194">
        <f>step3_validation[[#This Row],[AI_FAC1]]</f>
        <v>8</v>
      </c>
      <c r="AB194" t="str">
        <f t="shared" si="60"/>
        <v>Support</v>
      </c>
      <c r="AC194">
        <f>survey_responses[[#This Row],[Các thủ tục khai báo thuế VÀ/HOẶC quy trình làm việc với cơ quan thuế đơn giản, tiện lợi, nhanh chóng hơn so với trước đây. - HUMAN-FAC1]]</f>
        <v>7</v>
      </c>
      <c r="AD194" t="str">
        <f t="shared" si="61"/>
        <v>Neutral</v>
      </c>
      <c r="AE194" s="32">
        <f t="shared" si="62"/>
        <v>1</v>
      </c>
      <c r="AF194">
        <f>step3_validation[[#This Row],[AI_FAC2]]</f>
        <v>9</v>
      </c>
      <c r="AG194" t="str">
        <f t="shared" si="63"/>
        <v>Support</v>
      </c>
      <c r="AH194">
        <f>survey_responses[[#This Row],[So với trước đây, tôi thấy cách tính thuế và các bậc thuế trong phương án mới đơn giản, dễ hiểu và dễ thực hiện hơn. - HUMAN-FAC2]]</f>
        <v>5</v>
      </c>
      <c r="AI194" t="str">
        <f t="shared" si="64"/>
        <v>Neutral</v>
      </c>
      <c r="AJ194" s="32">
        <f t="shared" si="65"/>
        <v>4</v>
      </c>
      <c r="AK194">
        <f>step3_validation[[#This Row],[AI_TRU1]]</f>
        <v>7</v>
      </c>
      <c r="AL194" t="str">
        <f t="shared" si="66"/>
        <v>Neutral</v>
      </c>
      <c r="AM194">
        <f>survey_responses[[#This Row],[Tôi tin rằng Nhà nước, cơ quan thuế sẽ thực thi chính sách mới một cách khách quan, công tâm và đối xử bình đẳng với mọi người nộp thuế.  - HUMAN-TRU1]]</f>
        <v>5</v>
      </c>
      <c r="AN194" t="str">
        <f t="shared" si="67"/>
        <v>Neutral</v>
      </c>
      <c r="AO194" s="32">
        <f t="shared" si="68"/>
        <v>2</v>
      </c>
      <c r="AP194">
        <f>step3_validation[[#This Row],[AI_TRU2]]</f>
        <v>8</v>
      </c>
      <c r="AQ194" t="str">
        <f t="shared" si="69"/>
        <v>Support</v>
      </c>
      <c r="AR194">
        <f>survey_responses[[#This Row],[Tôi thấy mức thuế tôi phải đóng theo phương án mới là công bằng (người thu nhập như tôi đóng mức này là hợp lý). - HUMAN-TRU2]]</f>
        <v>7</v>
      </c>
      <c r="AS194" t="str">
        <f t="shared" si="70"/>
        <v>Neutral</v>
      </c>
      <c r="AT194" s="32">
        <f t="shared" si="71"/>
        <v>1</v>
      </c>
      <c r="AU194">
        <f>step3_validation[[#This Row],[AI_TRU3]]</f>
        <v>7</v>
      </c>
      <c r="AV194" t="str">
        <f t="shared" si="72"/>
        <v>Neutral</v>
      </c>
      <c r="AW194">
        <f>survey_responses[[#This Row],[Tôi tin tưởng số tiền thuế tôi đóng sẽ được Nhà nước sử dụng hiệu quả để cải thiện dịch vụ công (y tế, đường xá...). - HUMAN-TRU3]]</f>
        <v>2</v>
      </c>
      <c r="AX194" t="str">
        <f t="shared" si="73"/>
        <v>Oppose</v>
      </c>
      <c r="AY194" s="32">
        <f t="shared" si="74"/>
        <v>5</v>
      </c>
      <c r="AZ194">
        <f>step3_validation[[#This Row],[AI_TRU4]]</f>
        <v>8</v>
      </c>
      <c r="BA194" t="str">
        <f t="shared" si="75"/>
        <v>Support</v>
      </c>
      <c r="BB194">
        <f>survey_responses[[#This Row],[Tôi thấy Nhà nước đã giải thích rõ ràng, minh bạch về lý do và mục tiêu của việc sửa đổi thuế lần này. - HUMAN-TRU4]]</f>
        <v>5</v>
      </c>
      <c r="BC194" t="str">
        <f t="shared" si="76"/>
        <v>Neutral</v>
      </c>
      <c r="BD194" s="32">
        <f t="shared" si="77"/>
        <v>3</v>
      </c>
      <c r="BE194">
        <f>step3_validation[[#This Row],[AI_OUT1]]</f>
        <v>9</v>
      </c>
      <c r="BF194" t="str">
        <f t="shared" si="78"/>
        <v>Support</v>
      </c>
      <c r="BG194">
        <f>survey_responses[[#This Row],[Sau khi xem xét các quyền lợi và nghĩa vụ, bạn có ủng hộ và tuân thủ chính sách mới hiện nay? - HUMAN-OUT1]]</f>
        <v>5</v>
      </c>
      <c r="BH194" t="str">
        <f t="shared" si="79"/>
        <v>Neutral</v>
      </c>
      <c r="BI194" s="32">
        <f t="shared" si="80"/>
        <v>4</v>
      </c>
    </row>
    <row r="195" spans="1:61" x14ac:dyDescent="0.45">
      <c r="A195" s="30">
        <f>step3_validation[[#This Row],[Persona_ID]]</f>
        <v>194</v>
      </c>
      <c r="B195" s="31">
        <f>step3_validation[[#This Row],[Used_Seed]]</f>
        <v>2219</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20.784714665914258</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5</v>
      </c>
      <c r="R195" t="str">
        <f t="shared" ref="R195:R258" si="81">IF(AND(Q195&gt;=1,Q195&lt;5),"Oppose",IF(AND(Q195&gt;=5,Q195&lt;8),"Neutral",IF(AND(Q195&gt;=8,Q195&lt;=10),"Support","")))</f>
        <v>Neutral</v>
      </c>
      <c r="S195">
        <f>survey_responses[[#This Row],[Tôi tin rằng với các quy định quản lý thuế hiện nay, hành vi gian lận hoặc trốn thuế sẽ dễ dàng bị phát hiện và xử lý nghiêm. - HUMAN-ENF1]]</f>
        <v>10</v>
      </c>
      <c r="T195" t="str">
        <f t="shared" ref="T195:T258" si="82">IF(AND(S195&gt;=1,S195&lt;5),"Oppose",IF(AND(S195&gt;=5,S195&lt;8),"Neutral",IF(AND(S195&gt;=8,S195&lt;=10),"Support","")))</f>
        <v>Support</v>
      </c>
      <c r="U195" s="32">
        <f t="shared" ref="U195:U258" si="83">ABS(S195-Q195)</f>
        <v>5</v>
      </c>
      <c r="V195">
        <f>step3_validation[[#This Row],[AI_ENF2]]</f>
        <v>6</v>
      </c>
      <c r="W195" t="str">
        <f t="shared" ref="W195:W258" si="84">IF(AND(V195&gt;=1,V195&lt;5),"Oppose",IF(AND(V195&gt;=5,V195&lt;8),"Neutral",IF(AND(V195&gt;=8,V195&lt;=10),"Support","")))</f>
        <v>Neutral</v>
      </c>
      <c r="X195">
        <f>survey_responses[[#This Row],[Tôi tin rằng Nhà nước, cơ quan thuế có đủ khả năng và công nghệ để phát hiện, xử lý nghiêm các hành vi trốn thuế. - HUMAN-ENF2]]</f>
        <v>10</v>
      </c>
      <c r="Y195" t="str">
        <f t="shared" ref="Y195:Y258" si="85">IF(AND(X195&gt;=1,X195&lt;5),"Oppose",IF(AND(X195&gt;=5,X195&lt;8),"Neutral",IF(AND(X195&gt;=8,X195&lt;=10),"Support","")))</f>
        <v>Support</v>
      </c>
      <c r="Z195" s="32">
        <f t="shared" ref="Z195:Z258" si="86">ABS(X195-V195)</f>
        <v>4</v>
      </c>
      <c r="AA195">
        <f>step3_validation[[#This Row],[AI_FAC1]]</f>
        <v>9</v>
      </c>
      <c r="AB195" t="str">
        <f t="shared" ref="AB195:AB258" si="87">IF(AND(AA195&gt;=1,AA195&lt;5),"Oppose",IF(AND(AA195&gt;=5,AA195&lt;8),"Neutral",IF(AND(AA195&gt;=8,AA195&lt;=10),"Support","")))</f>
        <v>Support</v>
      </c>
      <c r="AC195">
        <f>survey_responses[[#This Row],[Các thủ tục khai báo thuế VÀ/HOẶC quy trình làm việc với cơ quan thuế đơn giản, tiện lợi, nhanh chóng hơn so với trước đây. - HUMAN-FAC1]]</f>
        <v>6</v>
      </c>
      <c r="AD195" t="str">
        <f t="shared" ref="AD195:AD258" si="88">IF(AND(AC195&gt;=1,AC195&lt;5),"Oppose",IF(AND(AC195&gt;=5,AC195&lt;8),"Neutral",IF(AND(AC195&gt;=8,AC195&lt;=10),"Support","")))</f>
        <v>Neutral</v>
      </c>
      <c r="AE195" s="32">
        <f t="shared" ref="AE195:AE258" si="89">ABS(AC195-AA195)</f>
        <v>3</v>
      </c>
      <c r="AF195">
        <f>step3_validation[[#This Row],[AI_FAC2]]</f>
        <v>10</v>
      </c>
      <c r="AG195" t="str">
        <f t="shared" ref="AG195:AG258" si="90">IF(AND(AF195&gt;=1,AF195&lt;5),"Oppose",IF(AND(AF195&gt;=5,AF195&lt;8),"Neutral",IF(AND(AF195&gt;=8,AF195&lt;=10),"Support","")))</f>
        <v>Support</v>
      </c>
      <c r="AH195">
        <f>survey_responses[[#This Row],[So với trước đây, tôi thấy cách tính thuế và các bậc thuế trong phương án mới đơn giản, dễ hiểu và dễ thực hiện hơn. - HUMAN-FAC2]]</f>
        <v>4</v>
      </c>
      <c r="AI195" t="str">
        <f t="shared" ref="AI195:AI258" si="91">IF(AND(AH195&gt;=1,AH195&lt;5),"Oppose",IF(AND(AH195&gt;=5,AH195&lt;8),"Neutral",IF(AND(AH195&gt;=8,AH195&lt;=10),"Support","")))</f>
        <v>Oppose</v>
      </c>
      <c r="AJ195" s="32">
        <f t="shared" ref="AJ195:AJ258" si="92">ABS(AH195-AF195)</f>
        <v>6</v>
      </c>
      <c r="AK195">
        <f>step3_validation[[#This Row],[AI_TRU1]]</f>
        <v>7</v>
      </c>
      <c r="AL195" t="str">
        <f t="shared" ref="AL195:AL258" si="93">IF(AND(AK195&gt;=1,AK195&lt;5),"Oppose",IF(AND(AK195&gt;=5,AK195&lt;8),"Neutral",IF(AND(AK195&gt;=8,AK195&lt;=10),"Support","")))</f>
        <v>Neutral</v>
      </c>
      <c r="AM195">
        <f>survey_responses[[#This Row],[Tôi tin rằng Nhà nước, cơ quan thuế sẽ thực thi chính sách mới một cách khách quan, công tâm và đối xử bình đẳng với mọi người nộp thuế.  - HUMAN-TRU1]]</f>
        <v>8</v>
      </c>
      <c r="AN195" t="str">
        <f t="shared" ref="AN195:AN258" si="94">IF(AND(AM195&gt;=1,AM195&lt;5),"Oppose",IF(AND(AM195&gt;=5,AM195&lt;8),"Neutral",IF(AND(AM195&gt;=8,AM195&lt;=10),"Support","")))</f>
        <v>Support</v>
      </c>
      <c r="AO195" s="32">
        <f t="shared" ref="AO195:AO258" si="95">ABS(AM195-AK195)</f>
        <v>1</v>
      </c>
      <c r="AP195">
        <f>step3_validation[[#This Row],[AI_TRU2]]</f>
        <v>9</v>
      </c>
      <c r="AQ195" t="str">
        <f t="shared" ref="AQ195:AQ258" si="96">IF(AND(AP195&gt;=1,AP195&lt;5),"Oppose",IF(AND(AP195&gt;=5,AP195&lt;8),"Neutral",IF(AND(AP195&gt;=8,AP195&lt;=10),"Support","")))</f>
        <v>Support</v>
      </c>
      <c r="AR195">
        <f>survey_responses[[#This Row],[Tôi thấy mức thuế tôi phải đóng theo phương án mới là công bằng (người thu nhập như tôi đóng mức này là hợp lý). - HUMAN-TRU2]]</f>
        <v>3</v>
      </c>
      <c r="AS195" t="str">
        <f t="shared" ref="AS195:AS258" si="97">IF(AND(AR195&gt;=1,AR195&lt;5),"Oppose",IF(AND(AR195&gt;=5,AR195&lt;8),"Neutral",IF(AND(AR195&gt;=8,AR195&lt;=10),"Support","")))</f>
        <v>Oppose</v>
      </c>
      <c r="AT195" s="32">
        <f t="shared" ref="AT195:AT258" si="98">ABS(AR195-AP195)</f>
        <v>6</v>
      </c>
      <c r="AU195">
        <f>step3_validation[[#This Row],[AI_TRU3]]</f>
        <v>8</v>
      </c>
      <c r="AV195" t="str">
        <f t="shared" ref="AV195:AV258" si="99">IF(AND(AU195&gt;=1,AU195&lt;5),"Oppose",IF(AND(AU195&gt;=5,AU195&lt;8),"Neutral",IF(AND(AU195&gt;=8,AU195&lt;=10),"Support","")))</f>
        <v>Support</v>
      </c>
      <c r="AW195">
        <f>survey_responses[[#This Row],[Tôi tin tưởng số tiền thuế tôi đóng sẽ được Nhà nước sử dụng hiệu quả để cải thiện dịch vụ công (y tế, đường xá...). - HUMAN-TRU3]]</f>
        <v>10</v>
      </c>
      <c r="AX195" t="str">
        <f t="shared" ref="AX195:AX258" si="100">IF(AND(AW195&gt;=1,AW195&lt;5),"Oppose",IF(AND(AW195&gt;=5,AW195&lt;8),"Neutral",IF(AND(AW195&gt;=8,AW195&lt;=10),"Support","")))</f>
        <v>Support</v>
      </c>
      <c r="AY195" s="32">
        <f t="shared" ref="AY195:AY258" si="101">ABS(AW195-AU195)</f>
        <v>2</v>
      </c>
      <c r="AZ195">
        <f>step3_validation[[#This Row],[AI_TRU4]]</f>
        <v>6</v>
      </c>
      <c r="BA195" t="str">
        <f t="shared" ref="BA195:BA258" si="102">IF(AND(AZ195&gt;=1,AZ195&lt;5),"Oppose",IF(AND(AZ195&gt;=5,AZ195&lt;8),"Neutral",IF(AND(AZ195&gt;=8,AZ195&lt;=10),"Support","")))</f>
        <v>Neutral</v>
      </c>
      <c r="BB195">
        <f>survey_responses[[#This Row],[Tôi thấy Nhà nước đã giải thích rõ ràng, minh bạch về lý do và mục tiêu của việc sửa đổi thuế lần này. - HUMAN-TRU4]]</f>
        <v>10</v>
      </c>
      <c r="BC195" t="str">
        <f t="shared" ref="BC195:BC258" si="103">IF(AND(BB195&gt;=1,BB195&lt;5),"Oppose",IF(AND(BB195&gt;=5,BB195&lt;8),"Neutral",IF(AND(BB195&gt;=8,BB195&lt;=10),"Support","")))</f>
        <v>Support</v>
      </c>
      <c r="BD195" s="32">
        <f t="shared" ref="BD195:BD258" si="104">ABS(BB195-AZ195)</f>
        <v>4</v>
      </c>
      <c r="BE195">
        <f>step3_validation[[#This Row],[AI_OUT1]]</f>
        <v>9</v>
      </c>
      <c r="BF195" t="str">
        <f t="shared" ref="BF195:BF258" si="105">IF(AND(BE195&gt;=1,BE195&lt;5),"Oppose",IF(AND(BE195&gt;=5,BE195&lt;8),"Neutral",IF(AND(BE195&gt;=8,BE195&lt;=10),"Support","")))</f>
        <v>Support</v>
      </c>
      <c r="BG195">
        <f>survey_responses[[#This Row],[Sau khi xem xét các quyền lợi và nghĩa vụ, bạn có ủng hộ và tuân thủ chính sách mới hiện nay? - HUMAN-OUT1]]</f>
        <v>10</v>
      </c>
      <c r="BH195" t="str">
        <f t="shared" ref="BH195:BH258" si="106">IF(AND(BG195&gt;=1,BG195&lt;5),"Oppose",IF(AND(BG195&gt;=5,BG195&lt;8),"Neutral",IF(AND(BG195&gt;=8,BG195&lt;=10),"Support","")))</f>
        <v>Support</v>
      </c>
      <c r="BI195" s="32">
        <f t="shared" ref="BI195:BI258" si="107">ABS(BG195-BE195)</f>
        <v>1</v>
      </c>
    </row>
    <row r="196" spans="1:61" x14ac:dyDescent="0.45">
      <c r="A196" s="30">
        <f>step3_validation[[#This Row],[Persona_ID]]</f>
        <v>195</v>
      </c>
      <c r="B196" s="31">
        <f>step3_validation[[#This Row],[Used_Seed]]</f>
        <v>2220</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16.041100748087107</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7</v>
      </c>
      <c r="R196" t="str">
        <f t="shared" si="81"/>
        <v>Neutral</v>
      </c>
      <c r="S196">
        <f>survey_responses[[#This Row],[Tôi tin rằng với các quy định quản lý thuế hiện nay, hành vi gian lận hoặc trốn thuế sẽ dễ dàng bị phát hiện và xử lý nghiêm. - HUMAN-ENF1]]</f>
        <v>9</v>
      </c>
      <c r="T196" t="str">
        <f t="shared" si="82"/>
        <v>Support</v>
      </c>
      <c r="U196" s="32">
        <f t="shared" si="83"/>
        <v>2</v>
      </c>
      <c r="V196">
        <f>step3_validation[[#This Row],[AI_ENF2]]</f>
        <v>6</v>
      </c>
      <c r="W196" t="str">
        <f t="shared" si="84"/>
        <v>Neutral</v>
      </c>
      <c r="X196">
        <f>survey_responses[[#This Row],[Tôi tin rằng Nhà nước, cơ quan thuế có đủ khả năng và công nghệ để phát hiện, xử lý nghiêm các hành vi trốn thuế. - HUMAN-ENF2]]</f>
        <v>9</v>
      </c>
      <c r="Y196" t="str">
        <f t="shared" si="85"/>
        <v>Support</v>
      </c>
      <c r="Z196" s="32">
        <f t="shared" si="86"/>
        <v>3</v>
      </c>
      <c r="AA196">
        <f>step3_validation[[#This Row],[AI_FAC1]]</f>
        <v>9</v>
      </c>
      <c r="AB196" t="str">
        <f t="shared" si="87"/>
        <v>Support</v>
      </c>
      <c r="AC196">
        <f>survey_responses[[#This Row],[Các thủ tục khai báo thuế VÀ/HOẶC quy trình làm việc với cơ quan thuế đơn giản, tiện lợi, nhanh chóng hơn so với trước đây. - HUMAN-FAC1]]</f>
        <v>5</v>
      </c>
      <c r="AD196" t="str">
        <f t="shared" si="88"/>
        <v>Neutral</v>
      </c>
      <c r="AE196" s="32">
        <f t="shared" si="89"/>
        <v>4</v>
      </c>
      <c r="AF196">
        <f>step3_validation[[#This Row],[AI_FAC2]]</f>
        <v>8</v>
      </c>
      <c r="AG196" t="str">
        <f t="shared" si="90"/>
        <v>Support</v>
      </c>
      <c r="AH196">
        <f>survey_responses[[#This Row],[So với trước đây, tôi thấy cách tính thuế và các bậc thuế trong phương án mới đơn giản, dễ hiểu và dễ thực hiện hơn. - HUMAN-FAC2]]</f>
        <v>5</v>
      </c>
      <c r="AI196" t="str">
        <f t="shared" si="91"/>
        <v>Neutral</v>
      </c>
      <c r="AJ196" s="32">
        <f t="shared" si="92"/>
        <v>3</v>
      </c>
      <c r="AK196">
        <f>step3_validation[[#This Row],[AI_TRU1]]</f>
        <v>7</v>
      </c>
      <c r="AL196" t="str">
        <f t="shared" si="93"/>
        <v>Neutral</v>
      </c>
      <c r="AM196">
        <f>survey_responses[[#This Row],[Tôi tin rằng Nhà nước, cơ quan thuế sẽ thực thi chính sách mới một cách khách quan, công tâm và đối xử bình đẳng với mọi người nộp thuế.  - HUMAN-TRU1]]</f>
        <v>7</v>
      </c>
      <c r="AN196" t="str">
        <f t="shared" si="94"/>
        <v>Neutral</v>
      </c>
      <c r="AO196" s="32">
        <f t="shared" si="95"/>
        <v>0</v>
      </c>
      <c r="AP196">
        <f>step3_validation[[#This Row],[AI_TRU2]]</f>
        <v>9</v>
      </c>
      <c r="AQ196" t="str">
        <f t="shared" si="96"/>
        <v>Support</v>
      </c>
      <c r="AR196">
        <f>survey_responses[[#This Row],[Tôi thấy mức thuế tôi phải đóng theo phương án mới là công bằng (người thu nhập như tôi đóng mức này là hợp lý). - HUMAN-TRU2]]</f>
        <v>7</v>
      </c>
      <c r="AS196" t="str">
        <f t="shared" si="97"/>
        <v>Neutral</v>
      </c>
      <c r="AT196" s="32">
        <f t="shared" si="98"/>
        <v>2</v>
      </c>
      <c r="AU196">
        <f>step3_validation[[#This Row],[AI_TRU3]]</f>
        <v>8</v>
      </c>
      <c r="AV196" t="str">
        <f t="shared" si="99"/>
        <v>Support</v>
      </c>
      <c r="AW196">
        <f>survey_responses[[#This Row],[Tôi tin tưởng số tiền thuế tôi đóng sẽ được Nhà nước sử dụng hiệu quả để cải thiện dịch vụ công (y tế, đường xá...). - HUMAN-TRU3]]</f>
        <v>8</v>
      </c>
      <c r="AX196" t="str">
        <f t="shared" si="100"/>
        <v>Support</v>
      </c>
      <c r="AY196" s="32">
        <f t="shared" si="101"/>
        <v>0</v>
      </c>
      <c r="AZ196">
        <f>step3_validation[[#This Row],[AI_TRU4]]</f>
        <v>7</v>
      </c>
      <c r="BA196" t="str">
        <f t="shared" si="102"/>
        <v>Neutral</v>
      </c>
      <c r="BB196">
        <f>survey_responses[[#This Row],[Tôi thấy Nhà nước đã giải thích rõ ràng, minh bạch về lý do và mục tiêu của việc sửa đổi thuế lần này. - HUMAN-TRU4]]</f>
        <v>8</v>
      </c>
      <c r="BC196" t="str">
        <f t="shared" si="103"/>
        <v>Support</v>
      </c>
      <c r="BD196" s="32">
        <f t="shared" si="104"/>
        <v>1</v>
      </c>
      <c r="BE196">
        <f>step3_validation[[#This Row],[AI_OUT1]]</f>
        <v>9</v>
      </c>
      <c r="BF196" t="str">
        <f t="shared" si="105"/>
        <v>Support</v>
      </c>
      <c r="BG196">
        <f>survey_responses[[#This Row],[Sau khi xem xét các quyền lợi và nghĩa vụ, bạn có ủng hộ và tuân thủ chính sách mới hiện nay? - HUMAN-OUT1]]</f>
        <v>8</v>
      </c>
      <c r="BH196" t="str">
        <f t="shared" si="106"/>
        <v>Support</v>
      </c>
      <c r="BI196" s="32">
        <f t="shared" si="107"/>
        <v>1</v>
      </c>
    </row>
    <row r="197" spans="1:61" x14ac:dyDescent="0.45">
      <c r="A197" s="30">
        <f>step3_validation[[#This Row],[Persona_ID]]</f>
        <v>196</v>
      </c>
      <c r="B197" s="31">
        <f>step3_validation[[#This Row],[Used_Seed]]</f>
        <v>2221</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14.852598890685107</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7</v>
      </c>
      <c r="R197" t="str">
        <f t="shared" si="81"/>
        <v>Neutral</v>
      </c>
      <c r="S197">
        <f>survey_responses[[#This Row],[Tôi tin rằng với các quy định quản lý thuế hiện nay, hành vi gian lận hoặc trốn thuế sẽ dễ dàng bị phát hiện và xử lý nghiêm. - HUMAN-ENF1]]</f>
        <v>9</v>
      </c>
      <c r="T197" t="str">
        <f t="shared" si="82"/>
        <v>Support</v>
      </c>
      <c r="U197" s="32">
        <f t="shared" si="83"/>
        <v>2</v>
      </c>
      <c r="V197">
        <f>step3_validation[[#This Row],[AI_ENF2]]</f>
        <v>6</v>
      </c>
      <c r="W197" t="str">
        <f t="shared" si="84"/>
        <v>Neutral</v>
      </c>
      <c r="X197">
        <f>survey_responses[[#This Row],[Tôi tin rằng Nhà nước, cơ quan thuế có đủ khả năng và công nghệ để phát hiện, xử lý nghiêm các hành vi trốn thuế. - HUMAN-ENF2]]</f>
        <v>9</v>
      </c>
      <c r="Y197" t="str">
        <f t="shared" si="85"/>
        <v>Support</v>
      </c>
      <c r="Z197" s="32">
        <f t="shared" si="86"/>
        <v>3</v>
      </c>
      <c r="AA197">
        <f>step3_validation[[#This Row],[AI_FAC1]]</f>
        <v>9</v>
      </c>
      <c r="AB197" t="str">
        <f t="shared" si="87"/>
        <v>Support</v>
      </c>
      <c r="AC197">
        <f>survey_responses[[#This Row],[Các thủ tục khai báo thuế VÀ/HOẶC quy trình làm việc với cơ quan thuế đơn giản, tiện lợi, nhanh chóng hơn so với trước đây. - HUMAN-FAC1]]</f>
        <v>9</v>
      </c>
      <c r="AD197" t="str">
        <f t="shared" si="88"/>
        <v>Support</v>
      </c>
      <c r="AE197" s="32">
        <f t="shared" si="89"/>
        <v>0</v>
      </c>
      <c r="AF197">
        <f>step3_validation[[#This Row],[AI_FAC2]]</f>
        <v>8</v>
      </c>
      <c r="AG197" t="str">
        <f t="shared" si="90"/>
        <v>Support</v>
      </c>
      <c r="AH197">
        <f>survey_responses[[#This Row],[So với trước đây, tôi thấy cách tính thuế và các bậc thuế trong phương án mới đơn giản, dễ hiểu và dễ thực hiện hơn. - HUMAN-FAC2]]</f>
        <v>9</v>
      </c>
      <c r="AI197" t="str">
        <f t="shared" si="91"/>
        <v>Support</v>
      </c>
      <c r="AJ197" s="32">
        <f t="shared" si="92"/>
        <v>1</v>
      </c>
      <c r="AK197">
        <f>step3_validation[[#This Row],[AI_TRU1]]</f>
        <v>9</v>
      </c>
      <c r="AL197" t="str">
        <f t="shared" si="93"/>
        <v>Support</v>
      </c>
      <c r="AM197">
        <f>survey_responses[[#This Row],[Tôi tin rằng Nhà nước, cơ quan thuế sẽ thực thi chính sách mới một cách khách quan, công tâm và đối xử bình đẳng với mọi người nộp thuế.  - HUMAN-TRU1]]</f>
        <v>9</v>
      </c>
      <c r="AN197" t="str">
        <f t="shared" si="94"/>
        <v>Support</v>
      </c>
      <c r="AO197" s="32">
        <f t="shared" si="95"/>
        <v>0</v>
      </c>
      <c r="AP197">
        <f>step3_validation[[#This Row],[AI_TRU2]]</f>
        <v>8</v>
      </c>
      <c r="AQ197" t="str">
        <f t="shared" si="96"/>
        <v>Support</v>
      </c>
      <c r="AR197">
        <f>survey_responses[[#This Row],[Tôi thấy mức thuế tôi phải đóng theo phương án mới là công bằng (người thu nhập như tôi đóng mức này là hợp lý). - HUMAN-TRU2]]</f>
        <v>9</v>
      </c>
      <c r="AS197" t="str">
        <f t="shared" si="97"/>
        <v>Support</v>
      </c>
      <c r="AT197" s="32">
        <f t="shared" si="98"/>
        <v>1</v>
      </c>
      <c r="AU197">
        <f>step3_validation[[#This Row],[AI_TRU3]]</f>
        <v>9</v>
      </c>
      <c r="AV197" t="str">
        <f t="shared" si="99"/>
        <v>Support</v>
      </c>
      <c r="AW197">
        <f>survey_responses[[#This Row],[Tôi tin tưởng số tiền thuế tôi đóng sẽ được Nhà nước sử dụng hiệu quả để cải thiện dịch vụ công (y tế, đường xá...). - HUMAN-TRU3]]</f>
        <v>9</v>
      </c>
      <c r="AX197" t="str">
        <f t="shared" si="100"/>
        <v>Support</v>
      </c>
      <c r="AY197" s="32">
        <f t="shared" si="101"/>
        <v>0</v>
      </c>
      <c r="AZ197">
        <f>step3_validation[[#This Row],[AI_TRU4]]</f>
        <v>8</v>
      </c>
      <c r="BA197" t="str">
        <f t="shared" si="102"/>
        <v>Support</v>
      </c>
      <c r="BB197">
        <f>survey_responses[[#This Row],[Tôi thấy Nhà nước đã giải thích rõ ràng, minh bạch về lý do và mục tiêu của việc sửa đổi thuế lần này. - HUMAN-TRU4]]</f>
        <v>9</v>
      </c>
      <c r="BC197" t="str">
        <f t="shared" si="103"/>
        <v>Support</v>
      </c>
      <c r="BD197" s="32">
        <f t="shared" si="104"/>
        <v>1</v>
      </c>
      <c r="BE197">
        <f>step3_validation[[#This Row],[AI_OUT1]]</f>
        <v>9</v>
      </c>
      <c r="BF197" t="str">
        <f t="shared" si="105"/>
        <v>Support</v>
      </c>
      <c r="BG197">
        <f>survey_responses[[#This Row],[Sau khi xem xét các quyền lợi và nghĩa vụ, bạn có ủng hộ và tuân thủ chính sách mới hiện nay? - HUMAN-OUT1]]</f>
        <v>9</v>
      </c>
      <c r="BH197" t="str">
        <f t="shared" si="106"/>
        <v>Support</v>
      </c>
      <c r="BI197" s="32">
        <f t="shared" si="107"/>
        <v>0</v>
      </c>
    </row>
    <row r="198" spans="1:61" x14ac:dyDescent="0.45">
      <c r="A198" s="30">
        <f>step3_validation[[#This Row],[Persona_ID]]</f>
        <v>197</v>
      </c>
      <c r="B198" s="31">
        <f>step3_validation[[#This Row],[Used_Seed]]</f>
        <v>2222</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13.589778063185207</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9</v>
      </c>
      <c r="R198" t="str">
        <f t="shared" si="81"/>
        <v>Support</v>
      </c>
      <c r="S198">
        <f>survey_responses[[#This Row],[Tôi tin rằng với các quy định quản lý thuế hiện nay, hành vi gian lận hoặc trốn thuế sẽ dễ dàng bị phát hiện và xử lý nghiêm. - HUMAN-ENF1]]</f>
        <v>9</v>
      </c>
      <c r="T198" t="str">
        <f t="shared" si="82"/>
        <v>Support</v>
      </c>
      <c r="U198" s="32">
        <f t="shared" si="83"/>
        <v>0</v>
      </c>
      <c r="V198">
        <f>step3_validation[[#This Row],[AI_ENF2]]</f>
        <v>9</v>
      </c>
      <c r="W198" t="str">
        <f t="shared" si="84"/>
        <v>Support</v>
      </c>
      <c r="X198">
        <f>survey_responses[[#This Row],[Tôi tin rằng Nhà nước, cơ quan thuế có đủ khả năng và công nghệ để phát hiện, xử lý nghiêm các hành vi trốn thuế. - HUMAN-ENF2]]</f>
        <v>10</v>
      </c>
      <c r="Y198" t="str">
        <f t="shared" si="85"/>
        <v>Support</v>
      </c>
      <c r="Z198" s="32">
        <f t="shared" si="86"/>
        <v>1</v>
      </c>
      <c r="AA198">
        <f>step3_validation[[#This Row],[AI_FAC1]]</f>
        <v>8</v>
      </c>
      <c r="AB198" t="str">
        <f t="shared" si="87"/>
        <v>Support</v>
      </c>
      <c r="AC198">
        <f>survey_responses[[#This Row],[Các thủ tục khai báo thuế VÀ/HOẶC quy trình làm việc với cơ quan thuế đơn giản, tiện lợi, nhanh chóng hơn so với trước đây. - HUMAN-FAC1]]</f>
        <v>10</v>
      </c>
      <c r="AD198" t="str">
        <f t="shared" si="88"/>
        <v>Support</v>
      </c>
      <c r="AE198" s="32">
        <f t="shared" si="89"/>
        <v>2</v>
      </c>
      <c r="AF198">
        <f>step3_validation[[#This Row],[AI_FAC2]]</f>
        <v>8</v>
      </c>
      <c r="AG198" t="str">
        <f t="shared" si="90"/>
        <v>Support</v>
      </c>
      <c r="AH198">
        <f>survey_responses[[#This Row],[So với trước đây, tôi thấy cách tính thuế và các bậc thuế trong phương án mới đơn giản, dễ hiểu và dễ thực hiện hơn. - HUMAN-FAC2]]</f>
        <v>9</v>
      </c>
      <c r="AI198" t="str">
        <f t="shared" si="91"/>
        <v>Support</v>
      </c>
      <c r="AJ198" s="32">
        <f t="shared" si="92"/>
        <v>1</v>
      </c>
      <c r="AK198">
        <f>step3_validation[[#This Row],[AI_TRU1]]</f>
        <v>9</v>
      </c>
      <c r="AL198" t="str">
        <f t="shared" si="93"/>
        <v>Support</v>
      </c>
      <c r="AM198">
        <f>survey_responses[[#This Row],[Tôi tin rằng Nhà nước, cơ quan thuế sẽ thực thi chính sách mới một cách khách quan, công tâm và đối xử bình đẳng với mọi người nộp thuế.  - HUMAN-TRU1]]</f>
        <v>10</v>
      </c>
      <c r="AN198" t="str">
        <f t="shared" si="94"/>
        <v>Support</v>
      </c>
      <c r="AO198" s="32">
        <f t="shared" si="95"/>
        <v>1</v>
      </c>
      <c r="AP198">
        <f>step3_validation[[#This Row],[AI_TRU2]]</f>
        <v>8</v>
      </c>
      <c r="AQ198" t="str">
        <f t="shared" si="96"/>
        <v>Support</v>
      </c>
      <c r="AR198">
        <f>survey_responses[[#This Row],[Tôi thấy mức thuế tôi phải đóng theo phương án mới là công bằng (người thu nhập như tôi đóng mức này là hợp lý). - HUMAN-TRU2]]</f>
        <v>10</v>
      </c>
      <c r="AS198" t="str">
        <f t="shared" si="97"/>
        <v>Support</v>
      </c>
      <c r="AT198" s="32">
        <f t="shared" si="98"/>
        <v>2</v>
      </c>
      <c r="AU198">
        <f>step3_validation[[#This Row],[AI_TRU3]]</f>
        <v>9</v>
      </c>
      <c r="AV198" t="str">
        <f t="shared" si="99"/>
        <v>Support</v>
      </c>
      <c r="AW198">
        <f>survey_responses[[#This Row],[Tôi tin tưởng số tiền thuế tôi đóng sẽ được Nhà nước sử dụng hiệu quả để cải thiện dịch vụ công (y tế, đường xá...). - HUMAN-TRU3]]</f>
        <v>10</v>
      </c>
      <c r="AX198" t="str">
        <f t="shared" si="100"/>
        <v>Support</v>
      </c>
      <c r="AY198" s="32">
        <f t="shared" si="101"/>
        <v>1</v>
      </c>
      <c r="AZ198">
        <f>step3_validation[[#This Row],[AI_TRU4]]</f>
        <v>9</v>
      </c>
      <c r="BA198" t="str">
        <f t="shared" si="102"/>
        <v>Support</v>
      </c>
      <c r="BB198">
        <f>survey_responses[[#This Row],[Tôi thấy Nhà nước đã giải thích rõ ràng, minh bạch về lý do và mục tiêu của việc sửa đổi thuế lần này. - HUMAN-TRU4]]</f>
        <v>9</v>
      </c>
      <c r="BC198" t="str">
        <f t="shared" si="103"/>
        <v>Support</v>
      </c>
      <c r="BD198" s="32">
        <f t="shared" si="104"/>
        <v>0</v>
      </c>
      <c r="BE198">
        <f>step3_validation[[#This Row],[AI_OUT1]]</f>
        <v>9</v>
      </c>
      <c r="BF198" t="str">
        <f t="shared" si="105"/>
        <v>Support</v>
      </c>
      <c r="BG198">
        <f>survey_responses[[#This Row],[Sau khi xem xét các quyền lợi và nghĩa vụ, bạn có ủng hộ và tuân thủ chính sách mới hiện nay? - HUMAN-OUT1]]</f>
        <v>10</v>
      </c>
      <c r="BH198" t="str">
        <f t="shared" si="106"/>
        <v>Support</v>
      </c>
      <c r="BI198" s="32">
        <f t="shared" si="107"/>
        <v>1</v>
      </c>
    </row>
    <row r="199" spans="1:61" x14ac:dyDescent="0.45">
      <c r="A199" s="30">
        <f>step3_validation[[#This Row],[Persona_ID]]</f>
        <v>198</v>
      </c>
      <c r="B199" s="31">
        <f>step3_validation[[#This Row],[Used_Seed]]</f>
        <v>2223</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13.101521068160853</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8</v>
      </c>
      <c r="R199" t="str">
        <f t="shared" si="81"/>
        <v>Support</v>
      </c>
      <c r="S199">
        <f>survey_responses[[#This Row],[Tôi tin rằng với các quy định quản lý thuế hiện nay, hành vi gian lận hoặc trốn thuế sẽ dễ dàng bị phát hiện và xử lý nghiêm. - HUMAN-ENF1]]</f>
        <v>5</v>
      </c>
      <c r="T199" t="str">
        <f t="shared" si="82"/>
        <v>Neutral</v>
      </c>
      <c r="U199" s="32">
        <f t="shared" si="83"/>
        <v>3</v>
      </c>
      <c r="V199">
        <f>step3_validation[[#This Row],[AI_ENF2]]</f>
        <v>7</v>
      </c>
      <c r="W199" t="str">
        <f t="shared" si="84"/>
        <v>Neutral</v>
      </c>
      <c r="X199">
        <f>survey_responses[[#This Row],[Tôi tin rằng Nhà nước, cơ quan thuế có đủ khả năng và công nghệ để phát hiện, xử lý nghiêm các hành vi trốn thuế. - HUMAN-ENF2]]</f>
        <v>5</v>
      </c>
      <c r="Y199" t="str">
        <f t="shared" si="85"/>
        <v>Neutral</v>
      </c>
      <c r="Z199" s="32">
        <f t="shared" si="86"/>
        <v>2</v>
      </c>
      <c r="AA199">
        <f>step3_validation[[#This Row],[AI_FAC1]]</f>
        <v>5</v>
      </c>
      <c r="AB199" t="str">
        <f t="shared" si="87"/>
        <v>Neutral</v>
      </c>
      <c r="AC199">
        <f>survey_responses[[#This Row],[Các thủ tục khai báo thuế VÀ/HOẶC quy trình làm việc với cơ quan thuế đơn giản, tiện lợi, nhanh chóng hơn so với trước đây. - HUMAN-FAC1]]</f>
        <v>5</v>
      </c>
      <c r="AD199" t="str">
        <f t="shared" si="88"/>
        <v>Neutral</v>
      </c>
      <c r="AE199" s="32">
        <f t="shared" si="89"/>
        <v>0</v>
      </c>
      <c r="AF199">
        <f>step3_validation[[#This Row],[AI_FAC2]]</f>
        <v>6</v>
      </c>
      <c r="AG199" t="str">
        <f t="shared" si="90"/>
        <v>Neutral</v>
      </c>
      <c r="AH199">
        <f>survey_responses[[#This Row],[So với trước đây, tôi thấy cách tính thuế và các bậc thuế trong phương án mới đơn giản, dễ hiểu và dễ thực hiện hơn. - HUMAN-FAC2]]</f>
        <v>5</v>
      </c>
      <c r="AI199" t="str">
        <f t="shared" si="91"/>
        <v>Neutral</v>
      </c>
      <c r="AJ199" s="32">
        <f t="shared" si="92"/>
        <v>1</v>
      </c>
      <c r="AK199">
        <f>step3_validation[[#This Row],[AI_TRU1]]</f>
        <v>7</v>
      </c>
      <c r="AL199" t="str">
        <f t="shared" si="93"/>
        <v>Neutral</v>
      </c>
      <c r="AM199">
        <f>survey_responses[[#This Row],[Tôi tin rằng Nhà nước, cơ quan thuế sẽ thực thi chính sách mới một cách khách quan, công tâm và đối xử bình đẳng với mọi người nộp thuế.  - HUMAN-TRU1]]</f>
        <v>5</v>
      </c>
      <c r="AN199" t="str">
        <f t="shared" si="94"/>
        <v>Neutral</v>
      </c>
      <c r="AO199" s="32">
        <f t="shared" si="95"/>
        <v>2</v>
      </c>
      <c r="AP199">
        <f>step3_validation[[#This Row],[AI_TRU2]]</f>
        <v>9</v>
      </c>
      <c r="AQ199" t="str">
        <f t="shared" si="96"/>
        <v>Support</v>
      </c>
      <c r="AR199">
        <f>survey_responses[[#This Row],[Tôi thấy mức thuế tôi phải đóng theo phương án mới là công bằng (người thu nhập như tôi đóng mức này là hợp lý). - HUMAN-TRU2]]</f>
        <v>5</v>
      </c>
      <c r="AS199" t="str">
        <f t="shared" si="97"/>
        <v>Neutral</v>
      </c>
      <c r="AT199" s="32">
        <f t="shared" si="98"/>
        <v>4</v>
      </c>
      <c r="AU199">
        <f>step3_validation[[#This Row],[AI_TRU3]]</f>
        <v>5</v>
      </c>
      <c r="AV199" t="str">
        <f t="shared" si="99"/>
        <v>Neutral</v>
      </c>
      <c r="AW199">
        <f>survey_responses[[#This Row],[Tôi tin tưởng số tiền thuế tôi đóng sẽ được Nhà nước sử dụng hiệu quả để cải thiện dịch vụ công (y tế, đường xá...). - HUMAN-TRU3]]</f>
        <v>5</v>
      </c>
      <c r="AX199" t="str">
        <f t="shared" si="100"/>
        <v>Neutral</v>
      </c>
      <c r="AY199" s="32">
        <f t="shared" si="101"/>
        <v>0</v>
      </c>
      <c r="AZ199">
        <f>step3_validation[[#This Row],[AI_TRU4]]</f>
        <v>7</v>
      </c>
      <c r="BA199" t="str">
        <f t="shared" si="102"/>
        <v>Neutral</v>
      </c>
      <c r="BB199">
        <f>survey_responses[[#This Row],[Tôi thấy Nhà nước đã giải thích rõ ràng, minh bạch về lý do và mục tiêu của việc sửa đổi thuế lần này. - HUMAN-TRU4]]</f>
        <v>4</v>
      </c>
      <c r="BC199" t="str">
        <f t="shared" si="103"/>
        <v>Oppose</v>
      </c>
      <c r="BD199" s="32">
        <f t="shared" si="104"/>
        <v>3</v>
      </c>
      <c r="BE199">
        <f>step3_validation[[#This Row],[AI_OUT1]]</f>
        <v>3</v>
      </c>
      <c r="BF199" t="str">
        <f t="shared" si="105"/>
        <v>Oppose</v>
      </c>
      <c r="BG199">
        <f>survey_responses[[#This Row],[Sau khi xem xét các quyền lợi và nghĩa vụ, bạn có ủng hộ và tuân thủ chính sách mới hiện nay? - HUMAN-OUT1]]</f>
        <v>5</v>
      </c>
      <c r="BH199" t="str">
        <f t="shared" si="106"/>
        <v>Neutral</v>
      </c>
      <c r="BI199" s="32">
        <f t="shared" si="107"/>
        <v>2</v>
      </c>
    </row>
    <row r="200" spans="1:61" x14ac:dyDescent="0.45">
      <c r="A200" s="30">
        <f>step3_validation[[#This Row],[Persona_ID]]</f>
        <v>199</v>
      </c>
      <c r="B200" s="31">
        <f>step3_validation[[#This Row],[Used_Seed]]</f>
        <v>2224</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7</v>
      </c>
      <c r="R200" t="str">
        <f t="shared" si="81"/>
        <v>Neutral</v>
      </c>
      <c r="S200">
        <f>survey_responses[[#This Row],[Tôi tin rằng với các quy định quản lý thuế hiện nay, hành vi gian lận hoặc trốn thuế sẽ dễ dàng bị phát hiện và xử lý nghiêm. - HUMAN-ENF1]]</f>
        <v>9</v>
      </c>
      <c r="T200" t="str">
        <f t="shared" si="82"/>
        <v>Support</v>
      </c>
      <c r="U200" s="32">
        <f t="shared" si="83"/>
        <v>2</v>
      </c>
      <c r="V200">
        <f>step3_validation[[#This Row],[AI_ENF2]]</f>
        <v>6</v>
      </c>
      <c r="W200" t="str">
        <f t="shared" si="84"/>
        <v>Neutral</v>
      </c>
      <c r="X200">
        <f>survey_responses[[#This Row],[Tôi tin rằng Nhà nước, cơ quan thuế có đủ khả năng và công nghệ để phát hiện, xử lý nghiêm các hành vi trốn thuế. - HUMAN-ENF2]]</f>
        <v>8</v>
      </c>
      <c r="Y200" t="str">
        <f t="shared" si="85"/>
        <v>Support</v>
      </c>
      <c r="Z200" s="32">
        <f t="shared" si="86"/>
        <v>2</v>
      </c>
      <c r="AA200">
        <f>step3_validation[[#This Row],[AI_FAC1]]</f>
        <v>5</v>
      </c>
      <c r="AB200" t="str">
        <f t="shared" si="87"/>
        <v>Neutral</v>
      </c>
      <c r="AC200">
        <f>survey_responses[[#This Row],[Các thủ tục khai báo thuế VÀ/HOẶC quy trình làm việc với cơ quan thuế đơn giản, tiện lợi, nhanh chóng hơn so với trước đây. - HUMAN-FAC1]]</f>
        <v>9</v>
      </c>
      <c r="AD200" t="str">
        <f t="shared" si="88"/>
        <v>Support</v>
      </c>
      <c r="AE200" s="32">
        <f t="shared" si="89"/>
        <v>4</v>
      </c>
      <c r="AF200">
        <f>step3_validation[[#This Row],[AI_FAC2]]</f>
        <v>8</v>
      </c>
      <c r="AG200" t="str">
        <f t="shared" si="90"/>
        <v>Support</v>
      </c>
      <c r="AH200">
        <f>survey_responses[[#This Row],[So với trước đây, tôi thấy cách tính thuế và các bậc thuế trong phương án mới đơn giản, dễ hiểu và dễ thực hiện hơn. - HUMAN-FAC2]]</f>
        <v>9</v>
      </c>
      <c r="AI200" t="str">
        <f t="shared" si="91"/>
        <v>Support</v>
      </c>
      <c r="AJ200" s="32">
        <f t="shared" si="92"/>
        <v>1</v>
      </c>
      <c r="AK200">
        <f>step3_validation[[#This Row],[AI_TRU1]]</f>
        <v>7</v>
      </c>
      <c r="AL200" t="str">
        <f t="shared" si="93"/>
        <v>Neutral</v>
      </c>
      <c r="AM200">
        <f>survey_responses[[#This Row],[Tôi tin rằng Nhà nước, cơ quan thuế sẽ thực thi chính sách mới một cách khách quan, công tâm và đối xử bình đẳng với mọi người nộp thuế.  - HUMAN-TRU1]]</f>
        <v>8</v>
      </c>
      <c r="AN200" t="str">
        <f t="shared" si="94"/>
        <v>Support</v>
      </c>
      <c r="AO200" s="32">
        <f t="shared" si="95"/>
        <v>1</v>
      </c>
      <c r="AP200">
        <f>step3_validation[[#This Row],[AI_TRU2]]</f>
        <v>8</v>
      </c>
      <c r="AQ200" t="str">
        <f t="shared" si="96"/>
        <v>Support</v>
      </c>
      <c r="AR200">
        <f>survey_responses[[#This Row],[Tôi thấy mức thuế tôi phải đóng theo phương án mới là công bằng (người thu nhập như tôi đóng mức này là hợp lý). - HUMAN-TRU2]]</f>
        <v>9</v>
      </c>
      <c r="AS200" t="str">
        <f t="shared" si="97"/>
        <v>Support</v>
      </c>
      <c r="AT200" s="32">
        <f t="shared" si="98"/>
        <v>1</v>
      </c>
      <c r="AU200">
        <f>step3_validation[[#This Row],[AI_TRU3]]</f>
        <v>6</v>
      </c>
      <c r="AV200" t="str">
        <f t="shared" si="99"/>
        <v>Neutral</v>
      </c>
      <c r="AW200">
        <f>survey_responses[[#This Row],[Tôi tin tưởng số tiền thuế tôi đóng sẽ được Nhà nước sử dụng hiệu quả để cải thiện dịch vụ công (y tế, đường xá...). - HUMAN-TRU3]]</f>
        <v>10</v>
      </c>
      <c r="AX200" t="str">
        <f t="shared" si="100"/>
        <v>Support</v>
      </c>
      <c r="AY200" s="32">
        <f t="shared" si="101"/>
        <v>4</v>
      </c>
      <c r="AZ200">
        <f>step3_validation[[#This Row],[AI_TRU4]]</f>
        <v>9</v>
      </c>
      <c r="BA200" t="str">
        <f t="shared" si="102"/>
        <v>Support</v>
      </c>
      <c r="BB200">
        <f>survey_responses[[#This Row],[Tôi thấy Nhà nước đã giải thích rõ ràng, minh bạch về lý do và mục tiêu của việc sửa đổi thuế lần này. - HUMAN-TRU4]]</f>
        <v>9</v>
      </c>
      <c r="BC200" t="str">
        <f t="shared" si="103"/>
        <v>Support</v>
      </c>
      <c r="BD200" s="32">
        <f t="shared" si="104"/>
        <v>0</v>
      </c>
      <c r="BE200">
        <f>step3_validation[[#This Row],[AI_OUT1]]</f>
        <v>8</v>
      </c>
      <c r="BF200" t="str">
        <f t="shared" si="105"/>
        <v>Support</v>
      </c>
      <c r="BG200">
        <f>survey_responses[[#This Row],[Sau khi xem xét các quyền lợi và nghĩa vụ, bạn có ủng hộ và tuân thủ chính sách mới hiện nay? - HUMAN-OUT1]]</f>
        <v>10</v>
      </c>
      <c r="BH200" t="str">
        <f t="shared" si="106"/>
        <v>Support</v>
      </c>
      <c r="BI200" s="32">
        <f t="shared" si="107"/>
        <v>2</v>
      </c>
    </row>
    <row r="201" spans="1:61" x14ac:dyDescent="0.45">
      <c r="A201" s="30">
        <f>step3_validation[[#This Row],[Persona_ID]]</f>
        <v>200</v>
      </c>
      <c r="B201" s="31">
        <f>step3_validation[[#This Row],[Used_Seed]]</f>
        <v>2225</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77.671959396393106</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7</v>
      </c>
      <c r="R201" t="str">
        <f t="shared" si="81"/>
        <v>Neutral</v>
      </c>
      <c r="S201">
        <f>survey_responses[[#This Row],[Tôi tin rằng với các quy định quản lý thuế hiện nay, hành vi gian lận hoặc trốn thuế sẽ dễ dàng bị phát hiện và xử lý nghiêm. - HUMAN-ENF1]]</f>
        <v>4</v>
      </c>
      <c r="T201" t="str">
        <f t="shared" si="82"/>
        <v>Oppose</v>
      </c>
      <c r="U201" s="32">
        <f t="shared" si="83"/>
        <v>3</v>
      </c>
      <c r="V201">
        <f>step3_validation[[#This Row],[AI_ENF2]]</f>
        <v>8</v>
      </c>
      <c r="W201" t="str">
        <f t="shared" si="84"/>
        <v>Support</v>
      </c>
      <c r="X201">
        <f>survey_responses[[#This Row],[Tôi tin rằng Nhà nước, cơ quan thuế có đủ khả năng và công nghệ để phát hiện, xử lý nghiêm các hành vi trốn thuế. - HUMAN-ENF2]]</f>
        <v>4</v>
      </c>
      <c r="Y201" t="str">
        <f t="shared" si="85"/>
        <v>Oppose</v>
      </c>
      <c r="Z201" s="32">
        <f t="shared" si="86"/>
        <v>4</v>
      </c>
      <c r="AA201">
        <f>step3_validation[[#This Row],[AI_FAC1]]</f>
        <v>9</v>
      </c>
      <c r="AB201" t="str">
        <f t="shared" si="87"/>
        <v>Support</v>
      </c>
      <c r="AC201">
        <f>survey_responses[[#This Row],[Các thủ tục khai báo thuế VÀ/HOẶC quy trình làm việc với cơ quan thuế đơn giản, tiện lợi, nhanh chóng hơn so với trước đây. - HUMAN-FAC1]]</f>
        <v>3</v>
      </c>
      <c r="AD201" t="str">
        <f t="shared" si="88"/>
        <v>Oppose</v>
      </c>
      <c r="AE201" s="32">
        <f t="shared" si="89"/>
        <v>6</v>
      </c>
      <c r="AF201">
        <f>step3_validation[[#This Row],[AI_FAC2]]</f>
        <v>9</v>
      </c>
      <c r="AG201" t="str">
        <f t="shared" si="90"/>
        <v>Support</v>
      </c>
      <c r="AH201">
        <f>survey_responses[[#This Row],[So với trước đây, tôi thấy cách tính thuế và các bậc thuế trong phương án mới đơn giản, dễ hiểu và dễ thực hiện hơn. - HUMAN-FAC2]]</f>
        <v>5</v>
      </c>
      <c r="AI201" t="str">
        <f t="shared" si="91"/>
        <v>Neutral</v>
      </c>
      <c r="AJ201" s="32">
        <f t="shared" si="92"/>
        <v>4</v>
      </c>
      <c r="AK201">
        <f>step3_validation[[#This Row],[AI_TRU1]]</f>
        <v>6</v>
      </c>
      <c r="AL201" t="str">
        <f t="shared" si="93"/>
        <v>Neutral</v>
      </c>
      <c r="AM201">
        <f>survey_responses[[#This Row],[Tôi tin rằng Nhà nước, cơ quan thuế sẽ thực thi chính sách mới một cách khách quan, công tâm và đối xử bình đẳng với mọi người nộp thuế.  - HUMAN-TRU1]]</f>
        <v>4</v>
      </c>
      <c r="AN201" t="str">
        <f t="shared" si="94"/>
        <v>Oppose</v>
      </c>
      <c r="AO201" s="32">
        <f t="shared" si="95"/>
        <v>2</v>
      </c>
      <c r="AP201">
        <f>step3_validation[[#This Row],[AI_TRU2]]</f>
        <v>8</v>
      </c>
      <c r="AQ201" t="str">
        <f t="shared" si="96"/>
        <v>Support</v>
      </c>
      <c r="AR201">
        <f>survey_responses[[#This Row],[Tôi thấy mức thuế tôi phải đóng theo phương án mới là công bằng (người thu nhập như tôi đóng mức này là hợp lý). - HUMAN-TRU2]]</f>
        <v>5</v>
      </c>
      <c r="AS201" t="str">
        <f t="shared" si="97"/>
        <v>Neutral</v>
      </c>
      <c r="AT201" s="32">
        <f t="shared" si="98"/>
        <v>3</v>
      </c>
      <c r="AU201">
        <f>step3_validation[[#This Row],[AI_TRU3]]</f>
        <v>7</v>
      </c>
      <c r="AV201" t="str">
        <f t="shared" si="99"/>
        <v>Neutral</v>
      </c>
      <c r="AW201">
        <f>survey_responses[[#This Row],[Tôi tin tưởng số tiền thuế tôi đóng sẽ được Nhà nước sử dụng hiệu quả để cải thiện dịch vụ công (y tế, đường xá...). - HUMAN-TRU3]]</f>
        <v>1</v>
      </c>
      <c r="AX201" t="str">
        <f t="shared" si="100"/>
        <v>Oppose</v>
      </c>
      <c r="AY201" s="32">
        <f t="shared" si="101"/>
        <v>6</v>
      </c>
      <c r="AZ201">
        <f>step3_validation[[#This Row],[AI_TRU4]]</f>
        <v>6</v>
      </c>
      <c r="BA201" t="str">
        <f t="shared" si="102"/>
        <v>Neutral</v>
      </c>
      <c r="BB201">
        <f>survey_responses[[#This Row],[Tôi thấy Nhà nước đã giải thích rõ ràng, minh bạch về lý do và mục tiêu của việc sửa đổi thuế lần này. - HUMAN-TRU4]]</f>
        <v>5</v>
      </c>
      <c r="BC201" t="str">
        <f t="shared" si="103"/>
        <v>Neutral</v>
      </c>
      <c r="BD201" s="32">
        <f t="shared" si="104"/>
        <v>1</v>
      </c>
      <c r="BE201">
        <f>step3_validation[[#This Row],[AI_OUT1]]</f>
        <v>9</v>
      </c>
      <c r="BF201" t="str">
        <f t="shared" si="105"/>
        <v>Support</v>
      </c>
      <c r="BG201">
        <f>survey_responses[[#This Row],[Sau khi xem xét các quyền lợi và nghĩa vụ, bạn có ủng hộ và tuân thủ chính sách mới hiện nay? - HUMAN-OUT1]]</f>
        <v>5</v>
      </c>
      <c r="BH201" t="str">
        <f t="shared" si="106"/>
        <v>Neutral</v>
      </c>
      <c r="BI201" s="32">
        <f t="shared" si="107"/>
        <v>4</v>
      </c>
    </row>
    <row r="202" spans="1:61" x14ac:dyDescent="0.45">
      <c r="A202" s="30">
        <f>step3_validation[[#This Row],[Persona_ID]]</f>
        <v>201</v>
      </c>
      <c r="B202" s="31">
        <f>step3_validation[[#This Row],[Used_Seed]]</f>
        <v>2226</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58.668880008919636</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8</v>
      </c>
      <c r="R202" t="str">
        <f t="shared" si="81"/>
        <v>Support</v>
      </c>
      <c r="S202">
        <f>survey_responses[[#This Row],[Tôi tin rằng với các quy định quản lý thuế hiện nay, hành vi gian lận hoặc trốn thuế sẽ dễ dàng bị phát hiện và xử lý nghiêm. - HUMAN-ENF1]]</f>
        <v>5</v>
      </c>
      <c r="T202" t="str">
        <f t="shared" si="82"/>
        <v>Neutral</v>
      </c>
      <c r="U202" s="32">
        <f t="shared" si="83"/>
        <v>3</v>
      </c>
      <c r="V202">
        <f>step3_validation[[#This Row],[AI_ENF2]]</f>
        <v>9</v>
      </c>
      <c r="W202" t="str">
        <f t="shared" si="84"/>
        <v>Support</v>
      </c>
      <c r="X202">
        <f>survey_responses[[#This Row],[Tôi tin rằng Nhà nước, cơ quan thuế có đủ khả năng và công nghệ để phát hiện, xử lý nghiêm các hành vi trốn thuế. - HUMAN-ENF2]]</f>
        <v>5</v>
      </c>
      <c r="Y202" t="str">
        <f t="shared" si="85"/>
        <v>Neutral</v>
      </c>
      <c r="Z202" s="32">
        <f t="shared" si="86"/>
        <v>4</v>
      </c>
      <c r="AA202">
        <f>step3_validation[[#This Row],[AI_FAC1]]</f>
        <v>9</v>
      </c>
      <c r="AB202" t="str">
        <f t="shared" si="87"/>
        <v>Support</v>
      </c>
      <c r="AC202">
        <f>survey_responses[[#This Row],[Các thủ tục khai báo thuế VÀ/HOẶC quy trình làm việc với cơ quan thuế đơn giản, tiện lợi, nhanh chóng hơn so với trước đây. - HUMAN-FAC1]]</f>
        <v>1</v>
      </c>
      <c r="AD202" t="str">
        <f t="shared" si="88"/>
        <v>Oppose</v>
      </c>
      <c r="AE202" s="32">
        <f t="shared" si="89"/>
        <v>8</v>
      </c>
      <c r="AF202">
        <f>step3_validation[[#This Row],[AI_FAC2]]</f>
        <v>9</v>
      </c>
      <c r="AG202" t="str">
        <f t="shared" si="90"/>
        <v>Support</v>
      </c>
      <c r="AH202">
        <f>survey_responses[[#This Row],[So với trước đây, tôi thấy cách tính thuế và các bậc thuế trong phương án mới đơn giản, dễ hiểu và dễ thực hiện hơn. - HUMAN-FAC2]]</f>
        <v>5</v>
      </c>
      <c r="AI202" t="str">
        <f t="shared" si="91"/>
        <v>Neutral</v>
      </c>
      <c r="AJ202" s="32">
        <f t="shared" si="92"/>
        <v>4</v>
      </c>
      <c r="AK202">
        <f>step3_validation[[#This Row],[AI_TRU1]]</f>
        <v>8</v>
      </c>
      <c r="AL202" t="str">
        <f t="shared" si="93"/>
        <v>Support</v>
      </c>
      <c r="AM202">
        <f>survey_responses[[#This Row],[Tôi tin rằng Nhà nước, cơ quan thuế sẽ thực thi chính sách mới một cách khách quan, công tâm và đối xử bình đẳng với mọi người nộp thuế.  - HUMAN-TRU1]]</f>
        <v>4</v>
      </c>
      <c r="AN202" t="str">
        <f t="shared" si="94"/>
        <v>Oppose</v>
      </c>
      <c r="AO202" s="32">
        <f t="shared" si="95"/>
        <v>4</v>
      </c>
      <c r="AP202">
        <f>step3_validation[[#This Row],[AI_TRU2]]</f>
        <v>9</v>
      </c>
      <c r="AQ202" t="str">
        <f t="shared" si="96"/>
        <v>Support</v>
      </c>
      <c r="AR202">
        <f>survey_responses[[#This Row],[Tôi thấy mức thuế tôi phải đóng theo phương án mới là công bằng (người thu nhập như tôi đóng mức này là hợp lý). - HUMAN-TRU2]]</f>
        <v>2</v>
      </c>
      <c r="AS202" t="str">
        <f t="shared" si="97"/>
        <v>Oppose</v>
      </c>
      <c r="AT202" s="32">
        <f t="shared" si="98"/>
        <v>7</v>
      </c>
      <c r="AU202">
        <f>step3_validation[[#This Row],[AI_TRU3]]</f>
        <v>8</v>
      </c>
      <c r="AV202" t="str">
        <f t="shared" si="99"/>
        <v>Support</v>
      </c>
      <c r="AW202">
        <f>survey_responses[[#This Row],[Tôi tin tưởng số tiền thuế tôi đóng sẽ được Nhà nước sử dụng hiệu quả để cải thiện dịch vụ công (y tế, đường xá...). - HUMAN-TRU3]]</f>
        <v>2</v>
      </c>
      <c r="AX202" t="str">
        <f t="shared" si="100"/>
        <v>Oppose</v>
      </c>
      <c r="AY202" s="32">
        <f t="shared" si="101"/>
        <v>6</v>
      </c>
      <c r="AZ202">
        <f>step3_validation[[#This Row],[AI_TRU4]]</f>
        <v>8</v>
      </c>
      <c r="BA202" t="str">
        <f t="shared" si="102"/>
        <v>Support</v>
      </c>
      <c r="BB202">
        <f>survey_responses[[#This Row],[Tôi thấy Nhà nước đã giải thích rõ ràng, minh bạch về lý do và mục tiêu của việc sửa đổi thuế lần này. - HUMAN-TRU4]]</f>
        <v>5</v>
      </c>
      <c r="BC202" t="str">
        <f t="shared" si="103"/>
        <v>Neutral</v>
      </c>
      <c r="BD202" s="32">
        <f t="shared" si="104"/>
        <v>3</v>
      </c>
      <c r="BE202">
        <f>step3_validation[[#This Row],[AI_OUT1]]</f>
        <v>9</v>
      </c>
      <c r="BF202" t="str">
        <f t="shared" si="105"/>
        <v>Support</v>
      </c>
      <c r="BG202">
        <f>survey_responses[[#This Row],[Sau khi xem xét các quyền lợi và nghĩa vụ, bạn có ủng hộ và tuân thủ chính sách mới hiện nay? - HUMAN-OUT1]]</f>
        <v>4</v>
      </c>
      <c r="BH202" t="str">
        <f t="shared" si="106"/>
        <v>Oppose</v>
      </c>
      <c r="BI202" s="32">
        <f t="shared" si="107"/>
        <v>5</v>
      </c>
    </row>
    <row r="203" spans="1:61" x14ac:dyDescent="0.45">
      <c r="A203" s="30">
        <f>step3_validation[[#This Row],[Persona_ID]]</f>
        <v>202</v>
      </c>
      <c r="B203" s="31">
        <f>step3_validation[[#This Row],[Used_Seed]]</f>
        <v>2227</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93.417320678687318</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5</v>
      </c>
      <c r="R203" t="str">
        <f t="shared" si="81"/>
        <v>Neutral</v>
      </c>
      <c r="S203">
        <f>survey_responses[[#This Row],[Tôi tin rằng với các quy định quản lý thuế hiện nay, hành vi gian lận hoặc trốn thuế sẽ dễ dàng bị phát hiện và xử lý nghiêm. - HUMAN-ENF1]]</f>
        <v>6</v>
      </c>
      <c r="T203" t="str">
        <f t="shared" si="82"/>
        <v>Neutral</v>
      </c>
      <c r="U203" s="32">
        <f t="shared" si="83"/>
        <v>1</v>
      </c>
      <c r="V203">
        <f>step3_validation[[#This Row],[AI_ENF2]]</f>
        <v>5</v>
      </c>
      <c r="W203" t="str">
        <f t="shared" si="84"/>
        <v>Neutral</v>
      </c>
      <c r="X203">
        <f>survey_responses[[#This Row],[Tôi tin rằng Nhà nước, cơ quan thuế có đủ khả năng và công nghệ để phát hiện, xử lý nghiêm các hành vi trốn thuế. - HUMAN-ENF2]]</f>
        <v>8</v>
      </c>
      <c r="Y203" t="str">
        <f t="shared" si="85"/>
        <v>Support</v>
      </c>
      <c r="Z203" s="32">
        <f t="shared" si="86"/>
        <v>3</v>
      </c>
      <c r="AA203">
        <f>step3_validation[[#This Row],[AI_FAC1]]</f>
        <v>7</v>
      </c>
      <c r="AB203" t="str">
        <f t="shared" si="87"/>
        <v>Neutral</v>
      </c>
      <c r="AC203">
        <f>survey_responses[[#This Row],[Các thủ tục khai báo thuế VÀ/HOẶC quy trình làm việc với cơ quan thuế đơn giản, tiện lợi, nhanh chóng hơn so với trước đây. - HUMAN-FAC1]]</f>
        <v>8</v>
      </c>
      <c r="AD203" t="str">
        <f t="shared" si="88"/>
        <v>Support</v>
      </c>
      <c r="AE203" s="32">
        <f t="shared" si="89"/>
        <v>1</v>
      </c>
      <c r="AF203">
        <f>step3_validation[[#This Row],[AI_FAC2]]</f>
        <v>8</v>
      </c>
      <c r="AG203" t="str">
        <f t="shared" si="90"/>
        <v>Support</v>
      </c>
      <c r="AH203">
        <f>survey_responses[[#This Row],[So với trước đây, tôi thấy cách tính thuế và các bậc thuế trong phương án mới đơn giản, dễ hiểu và dễ thực hiện hơn. - HUMAN-FAC2]]</f>
        <v>9</v>
      </c>
      <c r="AI203" t="str">
        <f t="shared" si="91"/>
        <v>Support</v>
      </c>
      <c r="AJ203" s="32">
        <f t="shared" si="92"/>
        <v>1</v>
      </c>
      <c r="AK203">
        <f>step3_validation[[#This Row],[AI_TRU1]]</f>
        <v>7</v>
      </c>
      <c r="AL203" t="str">
        <f t="shared" si="93"/>
        <v>Neutral</v>
      </c>
      <c r="AM203">
        <f>survey_responses[[#This Row],[Tôi tin rằng Nhà nước, cơ quan thuế sẽ thực thi chính sách mới một cách khách quan, công tâm và đối xử bình đẳng với mọi người nộp thuế.  - HUMAN-TRU1]]</f>
        <v>7</v>
      </c>
      <c r="AN203" t="str">
        <f t="shared" si="94"/>
        <v>Neutral</v>
      </c>
      <c r="AO203" s="32">
        <f t="shared" si="95"/>
        <v>0</v>
      </c>
      <c r="AP203">
        <f>step3_validation[[#This Row],[AI_TRU2]]</f>
        <v>9</v>
      </c>
      <c r="AQ203" t="str">
        <f t="shared" si="96"/>
        <v>Support</v>
      </c>
      <c r="AR203">
        <f>survey_responses[[#This Row],[Tôi thấy mức thuế tôi phải đóng theo phương án mới là công bằng (người thu nhập như tôi đóng mức này là hợp lý). - HUMAN-TRU2]]</f>
        <v>7</v>
      </c>
      <c r="AS203" t="str">
        <f t="shared" si="97"/>
        <v>Neutral</v>
      </c>
      <c r="AT203" s="32">
        <f t="shared" si="98"/>
        <v>2</v>
      </c>
      <c r="AU203">
        <f>step3_validation[[#This Row],[AI_TRU3]]</f>
        <v>7</v>
      </c>
      <c r="AV203" t="str">
        <f t="shared" si="99"/>
        <v>Neutral</v>
      </c>
      <c r="AW203">
        <f>survey_responses[[#This Row],[Tôi tin tưởng số tiền thuế tôi đóng sẽ được Nhà nước sử dụng hiệu quả để cải thiện dịch vụ công (y tế, đường xá...). - HUMAN-TRU3]]</f>
        <v>7</v>
      </c>
      <c r="AX203" t="str">
        <f t="shared" si="100"/>
        <v>Neutral</v>
      </c>
      <c r="AY203" s="32">
        <f t="shared" si="101"/>
        <v>0</v>
      </c>
      <c r="AZ203">
        <f>step3_validation[[#This Row],[AI_TRU4]]</f>
        <v>9</v>
      </c>
      <c r="BA203" t="str">
        <f t="shared" si="102"/>
        <v>Support</v>
      </c>
      <c r="BB203">
        <f>survey_responses[[#This Row],[Tôi thấy Nhà nước đã giải thích rõ ràng, minh bạch về lý do và mục tiêu của việc sửa đổi thuế lần này. - HUMAN-TRU4]]</f>
        <v>8</v>
      </c>
      <c r="BC203" t="str">
        <f t="shared" si="103"/>
        <v>Support</v>
      </c>
      <c r="BD203" s="32">
        <f t="shared" si="104"/>
        <v>1</v>
      </c>
      <c r="BE203">
        <f>step3_validation[[#This Row],[AI_OUT1]]</f>
        <v>8</v>
      </c>
      <c r="BF203" t="str">
        <f t="shared" si="105"/>
        <v>Support</v>
      </c>
      <c r="BG203">
        <f>survey_responses[[#This Row],[Sau khi xem xét các quyền lợi và nghĩa vụ, bạn có ủng hộ và tuân thủ chính sách mới hiện nay? - HUMAN-OUT1]]</f>
        <v>8</v>
      </c>
      <c r="BH203" t="str">
        <f t="shared" si="106"/>
        <v>Support</v>
      </c>
      <c r="BI203" s="32">
        <f t="shared" si="107"/>
        <v>0</v>
      </c>
    </row>
    <row r="204" spans="1:61" x14ac:dyDescent="0.45">
      <c r="A204" s="30">
        <f>step3_validation[[#This Row],[Persona_ID]]</f>
        <v>203</v>
      </c>
      <c r="B204" s="31">
        <f>step3_validation[[#This Row],[Used_Seed]]</f>
        <v>2228</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206.81017455348751</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9</v>
      </c>
      <c r="R204" t="str">
        <f t="shared" si="81"/>
        <v>Support</v>
      </c>
      <c r="S204">
        <f>survey_responses[[#This Row],[Tôi tin rằng với các quy định quản lý thuế hiện nay, hành vi gian lận hoặc trốn thuế sẽ dễ dàng bị phát hiện và xử lý nghiêm. - HUMAN-ENF1]]</f>
        <v>5</v>
      </c>
      <c r="T204" t="str">
        <f t="shared" si="82"/>
        <v>Neutral</v>
      </c>
      <c r="U204" s="32">
        <f t="shared" si="83"/>
        <v>4</v>
      </c>
      <c r="V204">
        <f>step3_validation[[#This Row],[AI_ENF2]]</f>
        <v>8</v>
      </c>
      <c r="W204" t="str">
        <f t="shared" si="84"/>
        <v>Support</v>
      </c>
      <c r="X204">
        <f>survey_responses[[#This Row],[Tôi tin rằng Nhà nước, cơ quan thuế có đủ khả năng và công nghệ để phát hiện, xử lý nghiêm các hành vi trốn thuế. - HUMAN-ENF2]]</f>
        <v>5</v>
      </c>
      <c r="Y204" t="str">
        <f t="shared" si="85"/>
        <v>Neutral</v>
      </c>
      <c r="Z204" s="32">
        <f t="shared" si="86"/>
        <v>3</v>
      </c>
      <c r="AA204">
        <f>step3_validation[[#This Row],[AI_FAC1]]</f>
        <v>9</v>
      </c>
      <c r="AB204" t="str">
        <f t="shared" si="87"/>
        <v>Support</v>
      </c>
      <c r="AC204">
        <f>survey_responses[[#This Row],[Các thủ tục khai báo thuế VÀ/HOẶC quy trình làm việc với cơ quan thuế đơn giản, tiện lợi, nhanh chóng hơn so với trước đây. - HUMAN-FAC1]]</f>
        <v>5</v>
      </c>
      <c r="AD204" t="str">
        <f t="shared" si="88"/>
        <v>Neutral</v>
      </c>
      <c r="AE204" s="32">
        <f t="shared" si="89"/>
        <v>4</v>
      </c>
      <c r="AF204">
        <f>step3_validation[[#This Row],[AI_FAC2]]</f>
        <v>8</v>
      </c>
      <c r="AG204" t="str">
        <f t="shared" si="90"/>
        <v>Support</v>
      </c>
      <c r="AH204">
        <f>survey_responses[[#This Row],[So với trước đây, tôi thấy cách tính thuế và các bậc thuế trong phương án mới đơn giản, dễ hiểu và dễ thực hiện hơn. - HUMAN-FAC2]]</f>
        <v>5</v>
      </c>
      <c r="AI204" t="str">
        <f t="shared" si="91"/>
        <v>Neutral</v>
      </c>
      <c r="AJ204" s="32">
        <f t="shared" si="92"/>
        <v>3</v>
      </c>
      <c r="AK204">
        <f>step3_validation[[#This Row],[AI_TRU1]]</f>
        <v>9</v>
      </c>
      <c r="AL204" t="str">
        <f t="shared" si="93"/>
        <v>Support</v>
      </c>
      <c r="AM204">
        <f>survey_responses[[#This Row],[Tôi tin rằng Nhà nước, cơ quan thuế sẽ thực thi chính sách mới một cách khách quan, công tâm và đối xử bình đẳng với mọi người nộp thuế.  - HUMAN-TRU1]]</f>
        <v>5</v>
      </c>
      <c r="AN204" t="str">
        <f t="shared" si="94"/>
        <v>Neutral</v>
      </c>
      <c r="AO204" s="32">
        <f t="shared" si="95"/>
        <v>4</v>
      </c>
      <c r="AP204">
        <f>step3_validation[[#This Row],[AI_TRU2]]</f>
        <v>8</v>
      </c>
      <c r="AQ204" t="str">
        <f t="shared" si="96"/>
        <v>Support</v>
      </c>
      <c r="AR204">
        <f>survey_responses[[#This Row],[Tôi thấy mức thuế tôi phải đóng theo phương án mới là công bằng (người thu nhập như tôi đóng mức này là hợp lý). - HUMAN-TRU2]]</f>
        <v>5</v>
      </c>
      <c r="AS204" t="str">
        <f t="shared" si="97"/>
        <v>Neutral</v>
      </c>
      <c r="AT204" s="32">
        <f t="shared" si="98"/>
        <v>3</v>
      </c>
      <c r="AU204">
        <f>step3_validation[[#This Row],[AI_TRU3]]</f>
        <v>9</v>
      </c>
      <c r="AV204" t="str">
        <f t="shared" si="99"/>
        <v>Support</v>
      </c>
      <c r="AW204">
        <f>survey_responses[[#This Row],[Tôi tin tưởng số tiền thuế tôi đóng sẽ được Nhà nước sử dụng hiệu quả để cải thiện dịch vụ công (y tế, đường xá...). - HUMAN-TRU3]]</f>
        <v>5</v>
      </c>
      <c r="AX204" t="str">
        <f t="shared" si="100"/>
        <v>Neutral</v>
      </c>
      <c r="AY204" s="32">
        <f t="shared" si="101"/>
        <v>4</v>
      </c>
      <c r="AZ204">
        <f>step3_validation[[#This Row],[AI_TRU4]]</f>
        <v>8</v>
      </c>
      <c r="BA204" t="str">
        <f t="shared" si="102"/>
        <v>Support</v>
      </c>
      <c r="BB204">
        <f>survey_responses[[#This Row],[Tôi thấy Nhà nước đã giải thích rõ ràng, minh bạch về lý do và mục tiêu của việc sửa đổi thuế lần này. - HUMAN-TRU4]]</f>
        <v>5</v>
      </c>
      <c r="BC204" t="str">
        <f t="shared" si="103"/>
        <v>Neutral</v>
      </c>
      <c r="BD204" s="32">
        <f t="shared" si="104"/>
        <v>3</v>
      </c>
      <c r="BE204">
        <f>step3_validation[[#This Row],[AI_OUT1]]</f>
        <v>9</v>
      </c>
      <c r="BF204" t="str">
        <f t="shared" si="105"/>
        <v>Support</v>
      </c>
      <c r="BG204">
        <f>survey_responses[[#This Row],[Sau khi xem xét các quyền lợi và nghĩa vụ, bạn có ủng hộ và tuân thủ chính sách mới hiện nay? - HUMAN-OUT1]]</f>
        <v>5</v>
      </c>
      <c r="BH204" t="str">
        <f t="shared" si="106"/>
        <v>Neutral</v>
      </c>
      <c r="BI204" s="32">
        <f t="shared" si="107"/>
        <v>4</v>
      </c>
    </row>
    <row r="205" spans="1:61" x14ac:dyDescent="0.45">
      <c r="A205" s="30">
        <f>step3_validation[[#This Row],[Persona_ID]]</f>
        <v>204</v>
      </c>
      <c r="B205" s="31">
        <f>step3_validation[[#This Row],[Used_Seed]]</f>
        <v>2229</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32.306418821954402</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7</v>
      </c>
      <c r="R205" t="str">
        <f t="shared" si="81"/>
        <v>Neutral</v>
      </c>
      <c r="S205">
        <f>survey_responses[[#This Row],[Tôi tin rằng với các quy định quản lý thuế hiện nay, hành vi gian lận hoặc trốn thuế sẽ dễ dàng bị phát hiện và xử lý nghiêm. - HUMAN-ENF1]]</f>
        <v>7</v>
      </c>
      <c r="T205" t="str">
        <f t="shared" si="82"/>
        <v>Neutral</v>
      </c>
      <c r="U205" s="32">
        <f t="shared" si="83"/>
        <v>0</v>
      </c>
      <c r="V205">
        <f>step3_validation[[#This Row],[AI_ENF2]]</f>
        <v>8</v>
      </c>
      <c r="W205" t="str">
        <f t="shared" si="84"/>
        <v>Support</v>
      </c>
      <c r="X205">
        <f>survey_responses[[#This Row],[Tôi tin rằng Nhà nước, cơ quan thuế có đủ khả năng và công nghệ để phát hiện, xử lý nghiêm các hành vi trốn thuế. - HUMAN-ENF2]]</f>
        <v>7</v>
      </c>
      <c r="Y205" t="str">
        <f t="shared" si="85"/>
        <v>Neutral</v>
      </c>
      <c r="Z205" s="32">
        <f t="shared" si="86"/>
        <v>1</v>
      </c>
      <c r="AA205">
        <f>step3_validation[[#This Row],[AI_FAC1]]</f>
        <v>9</v>
      </c>
      <c r="AB205" t="str">
        <f t="shared" si="87"/>
        <v>Support</v>
      </c>
      <c r="AC205">
        <f>survey_responses[[#This Row],[Các thủ tục khai báo thuế VÀ/HOẶC quy trình làm việc với cơ quan thuế đơn giản, tiện lợi, nhanh chóng hơn so với trước đây. - HUMAN-FAC1]]</f>
        <v>7</v>
      </c>
      <c r="AD205" t="str">
        <f t="shared" si="88"/>
        <v>Neutral</v>
      </c>
      <c r="AE205" s="32">
        <f t="shared" si="89"/>
        <v>2</v>
      </c>
      <c r="AF205">
        <f>step3_validation[[#This Row],[AI_FAC2]]</f>
        <v>9</v>
      </c>
      <c r="AG205" t="str">
        <f t="shared" si="90"/>
        <v>Support</v>
      </c>
      <c r="AH205">
        <f>survey_responses[[#This Row],[So với trước đây, tôi thấy cách tính thuế và các bậc thuế trong phương án mới đơn giản, dễ hiểu và dễ thực hiện hơn. - HUMAN-FAC2]]</f>
        <v>8</v>
      </c>
      <c r="AI205" t="str">
        <f t="shared" si="91"/>
        <v>Support</v>
      </c>
      <c r="AJ205" s="32">
        <f t="shared" si="92"/>
        <v>1</v>
      </c>
      <c r="AK205">
        <f>step3_validation[[#This Row],[AI_TRU1]]</f>
        <v>6</v>
      </c>
      <c r="AL205" t="str">
        <f t="shared" si="93"/>
        <v>Neutral</v>
      </c>
      <c r="AM205">
        <f>survey_responses[[#This Row],[Tôi tin rằng Nhà nước, cơ quan thuế sẽ thực thi chính sách mới một cách khách quan, công tâm và đối xử bình đẳng với mọi người nộp thuế.  - HUMAN-TRU1]]</f>
        <v>7</v>
      </c>
      <c r="AN205" t="str">
        <f t="shared" si="94"/>
        <v>Neutral</v>
      </c>
      <c r="AO205" s="32">
        <f t="shared" si="95"/>
        <v>1</v>
      </c>
      <c r="AP205">
        <f>step3_validation[[#This Row],[AI_TRU2]]</f>
        <v>8</v>
      </c>
      <c r="AQ205" t="str">
        <f t="shared" si="96"/>
        <v>Support</v>
      </c>
      <c r="AR205">
        <f>survey_responses[[#This Row],[Tôi thấy mức thuế tôi phải đóng theo phương án mới là công bằng (người thu nhập như tôi đóng mức này là hợp lý). - HUMAN-TRU2]]</f>
        <v>7</v>
      </c>
      <c r="AS205" t="str">
        <f t="shared" si="97"/>
        <v>Neutral</v>
      </c>
      <c r="AT205" s="32">
        <f t="shared" si="98"/>
        <v>1</v>
      </c>
      <c r="AU205">
        <f>step3_validation[[#This Row],[AI_TRU3]]</f>
        <v>7</v>
      </c>
      <c r="AV205" t="str">
        <f t="shared" si="99"/>
        <v>Neutral</v>
      </c>
      <c r="AW205">
        <f>survey_responses[[#This Row],[Tôi tin tưởng số tiền thuế tôi đóng sẽ được Nhà nước sử dụng hiệu quả để cải thiện dịch vụ công (y tế, đường xá...). - HUMAN-TRU3]]</f>
        <v>7</v>
      </c>
      <c r="AX205" t="str">
        <f t="shared" si="100"/>
        <v>Neutral</v>
      </c>
      <c r="AY205" s="32">
        <f t="shared" si="101"/>
        <v>0</v>
      </c>
      <c r="AZ205">
        <f>step3_validation[[#This Row],[AI_TRU4]]</f>
        <v>8</v>
      </c>
      <c r="BA205" t="str">
        <f t="shared" si="102"/>
        <v>Support</v>
      </c>
      <c r="BB205">
        <f>survey_responses[[#This Row],[Tôi thấy Nhà nước đã giải thích rõ ràng, minh bạch về lý do và mục tiêu của việc sửa đổi thuế lần này. - HUMAN-TRU4]]</f>
        <v>7</v>
      </c>
      <c r="BC205" t="str">
        <f t="shared" si="103"/>
        <v>Neutral</v>
      </c>
      <c r="BD205" s="32">
        <f t="shared" si="104"/>
        <v>1</v>
      </c>
      <c r="BE205">
        <f>step3_validation[[#This Row],[AI_OUT1]]</f>
        <v>9</v>
      </c>
      <c r="BF205" t="str">
        <f t="shared" si="105"/>
        <v>Support</v>
      </c>
      <c r="BG205">
        <f>survey_responses[[#This Row],[Sau khi xem xét các quyền lợi và nghĩa vụ, bạn có ủng hộ và tuân thủ chính sách mới hiện nay? - HUMAN-OUT1]]</f>
        <v>7</v>
      </c>
      <c r="BH205" t="str">
        <f t="shared" si="106"/>
        <v>Neutral</v>
      </c>
      <c r="BI205" s="32">
        <f t="shared" si="107"/>
        <v>2</v>
      </c>
    </row>
    <row r="206" spans="1:61" x14ac:dyDescent="0.45">
      <c r="A206" s="30">
        <f>step3_validation[[#This Row],[Persona_ID]]</f>
        <v>205</v>
      </c>
      <c r="B206" s="31">
        <f>step3_validation[[#This Row],[Used_Seed]]</f>
        <v>2230</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30.62342370542337</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7</v>
      </c>
      <c r="R206" t="str">
        <f t="shared" si="81"/>
        <v>Neutral</v>
      </c>
      <c r="S206">
        <f>survey_responses[[#This Row],[Tôi tin rằng với các quy định quản lý thuế hiện nay, hành vi gian lận hoặc trốn thuế sẽ dễ dàng bị phát hiện và xử lý nghiêm. - HUMAN-ENF1]]</f>
        <v>3</v>
      </c>
      <c r="T206" t="str">
        <f t="shared" si="82"/>
        <v>Oppose</v>
      </c>
      <c r="U206" s="32">
        <f t="shared" si="83"/>
        <v>4</v>
      </c>
      <c r="V206">
        <f>step3_validation[[#This Row],[AI_ENF2]]</f>
        <v>6</v>
      </c>
      <c r="W206" t="str">
        <f t="shared" si="84"/>
        <v>Neutral</v>
      </c>
      <c r="X206">
        <f>survey_responses[[#This Row],[Tôi tin rằng Nhà nước, cơ quan thuế có đủ khả năng và công nghệ để phát hiện, xử lý nghiêm các hành vi trốn thuế. - HUMAN-ENF2]]</f>
        <v>1</v>
      </c>
      <c r="Y206" t="str">
        <f t="shared" si="85"/>
        <v>Oppose</v>
      </c>
      <c r="Z206" s="32">
        <f t="shared" si="86"/>
        <v>5</v>
      </c>
      <c r="AA206">
        <f>step3_validation[[#This Row],[AI_FAC1]]</f>
        <v>8</v>
      </c>
      <c r="AB206" t="str">
        <f t="shared" si="87"/>
        <v>Support</v>
      </c>
      <c r="AC206">
        <f>survey_responses[[#This Row],[Các thủ tục khai báo thuế VÀ/HOẶC quy trình làm việc với cơ quan thuế đơn giản, tiện lợi, nhanh chóng hơn so với trước đây. - HUMAN-FAC1]]</f>
        <v>1</v>
      </c>
      <c r="AD206" t="str">
        <f t="shared" si="88"/>
        <v>Oppose</v>
      </c>
      <c r="AE206" s="32">
        <f t="shared" si="89"/>
        <v>7</v>
      </c>
      <c r="AF206">
        <f>step3_validation[[#This Row],[AI_FAC2]]</f>
        <v>9</v>
      </c>
      <c r="AG206" t="str">
        <f t="shared" si="90"/>
        <v>Support</v>
      </c>
      <c r="AH206">
        <f>survey_responses[[#This Row],[So với trước đây, tôi thấy cách tính thuế và các bậc thuế trong phương án mới đơn giản, dễ hiểu và dễ thực hiện hơn. - HUMAN-FAC2]]</f>
        <v>5</v>
      </c>
      <c r="AI206" t="str">
        <f t="shared" si="91"/>
        <v>Neutral</v>
      </c>
      <c r="AJ206" s="32">
        <f t="shared" si="92"/>
        <v>4</v>
      </c>
      <c r="AK206">
        <f>step3_validation[[#This Row],[AI_TRU1]]</f>
        <v>7</v>
      </c>
      <c r="AL206" t="str">
        <f t="shared" si="93"/>
        <v>Neutral</v>
      </c>
      <c r="AM206">
        <f>survey_responses[[#This Row],[Tôi tin rằng Nhà nước, cơ quan thuế sẽ thực thi chính sách mới một cách khách quan, công tâm và đối xử bình đẳng với mọi người nộp thuế.  - HUMAN-TRU1]]</f>
        <v>1</v>
      </c>
      <c r="AN206" t="str">
        <f t="shared" si="94"/>
        <v>Oppose</v>
      </c>
      <c r="AO206" s="32">
        <f t="shared" si="95"/>
        <v>6</v>
      </c>
      <c r="AP206">
        <f>step3_validation[[#This Row],[AI_TRU2]]</f>
        <v>9</v>
      </c>
      <c r="AQ206" t="str">
        <f t="shared" si="96"/>
        <v>Support</v>
      </c>
      <c r="AR206">
        <f>survey_responses[[#This Row],[Tôi thấy mức thuế tôi phải đóng theo phương án mới là công bằng (người thu nhập như tôi đóng mức này là hợp lý). - HUMAN-TRU2]]</f>
        <v>1</v>
      </c>
      <c r="AS206" t="str">
        <f t="shared" si="97"/>
        <v>Oppose</v>
      </c>
      <c r="AT206" s="32">
        <f t="shared" si="98"/>
        <v>8</v>
      </c>
      <c r="AU206">
        <f>step3_validation[[#This Row],[AI_TRU3]]</f>
        <v>7</v>
      </c>
      <c r="AV206" t="str">
        <f t="shared" si="99"/>
        <v>Neutral</v>
      </c>
      <c r="AW206">
        <f>survey_responses[[#This Row],[Tôi tin tưởng số tiền thuế tôi đóng sẽ được Nhà nước sử dụng hiệu quả để cải thiện dịch vụ công (y tế, đường xá...). - HUMAN-TRU3]]</f>
        <v>1</v>
      </c>
      <c r="AX206" t="str">
        <f t="shared" si="100"/>
        <v>Oppose</v>
      </c>
      <c r="AY206" s="32">
        <f t="shared" si="101"/>
        <v>6</v>
      </c>
      <c r="AZ206">
        <f>step3_validation[[#This Row],[AI_TRU4]]</f>
        <v>6</v>
      </c>
      <c r="BA206" t="str">
        <f t="shared" si="102"/>
        <v>Neutral</v>
      </c>
      <c r="BB206">
        <f>survey_responses[[#This Row],[Tôi thấy Nhà nước đã giải thích rõ ràng, minh bạch về lý do và mục tiêu của việc sửa đổi thuế lần này. - HUMAN-TRU4]]</f>
        <v>4</v>
      </c>
      <c r="BC206" t="str">
        <f t="shared" si="103"/>
        <v>Oppose</v>
      </c>
      <c r="BD206" s="32">
        <f t="shared" si="104"/>
        <v>2</v>
      </c>
      <c r="BE206">
        <f>step3_validation[[#This Row],[AI_OUT1]]</f>
        <v>9</v>
      </c>
      <c r="BF206" t="str">
        <f t="shared" si="105"/>
        <v>Support</v>
      </c>
      <c r="BG206">
        <f>survey_responses[[#This Row],[Sau khi xem xét các quyền lợi và nghĩa vụ, bạn có ủng hộ và tuân thủ chính sách mới hiện nay? - HUMAN-OUT1]]</f>
        <v>5</v>
      </c>
      <c r="BH206" t="str">
        <f t="shared" si="106"/>
        <v>Neutral</v>
      </c>
      <c r="BI206" s="32">
        <f t="shared" si="107"/>
        <v>4</v>
      </c>
    </row>
    <row r="207" spans="1:61" x14ac:dyDescent="0.45">
      <c r="A207" s="30">
        <f>step3_validation[[#This Row],[Persona_ID]]</f>
        <v>206</v>
      </c>
      <c r="B207" s="31">
        <f>step3_validation[[#This Row],[Used_Seed]]</f>
        <v>2231</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66.754555655497384</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7</v>
      </c>
      <c r="R207" t="str">
        <f t="shared" si="81"/>
        <v>Neutral</v>
      </c>
      <c r="S207">
        <f>survey_responses[[#This Row],[Tôi tin rằng với các quy định quản lý thuế hiện nay, hành vi gian lận hoặc trốn thuế sẽ dễ dàng bị phát hiện và xử lý nghiêm. - HUMAN-ENF1]]</f>
        <v>8</v>
      </c>
      <c r="T207" t="str">
        <f t="shared" si="82"/>
        <v>Support</v>
      </c>
      <c r="U207" s="32">
        <f t="shared" si="83"/>
        <v>1</v>
      </c>
      <c r="V207">
        <f>step3_validation[[#This Row],[AI_ENF2]]</f>
        <v>6</v>
      </c>
      <c r="W207" t="str">
        <f t="shared" si="84"/>
        <v>Neutral</v>
      </c>
      <c r="X207">
        <f>survey_responses[[#This Row],[Tôi tin rằng Nhà nước, cơ quan thuế có đủ khả năng và công nghệ để phát hiện, xử lý nghiêm các hành vi trốn thuế. - HUMAN-ENF2]]</f>
        <v>8</v>
      </c>
      <c r="Y207" t="str">
        <f t="shared" si="85"/>
        <v>Support</v>
      </c>
      <c r="Z207" s="32">
        <f t="shared" si="86"/>
        <v>2</v>
      </c>
      <c r="AA207">
        <f>step3_validation[[#This Row],[AI_FAC1]]</f>
        <v>8</v>
      </c>
      <c r="AB207" t="str">
        <f t="shared" si="87"/>
        <v>Support</v>
      </c>
      <c r="AC207">
        <f>survey_responses[[#This Row],[Các thủ tục khai báo thuế VÀ/HOẶC quy trình làm việc với cơ quan thuế đơn giản, tiện lợi, nhanh chóng hơn so với trước đây. - HUMAN-FAC1]]</f>
        <v>5</v>
      </c>
      <c r="AD207" t="str">
        <f t="shared" si="88"/>
        <v>Neutral</v>
      </c>
      <c r="AE207" s="32">
        <f t="shared" si="89"/>
        <v>3</v>
      </c>
      <c r="AF207">
        <f>step3_validation[[#This Row],[AI_FAC2]]</f>
        <v>9</v>
      </c>
      <c r="AG207" t="str">
        <f t="shared" si="90"/>
        <v>Support</v>
      </c>
      <c r="AH207">
        <f>survey_responses[[#This Row],[So với trước đây, tôi thấy cách tính thuế và các bậc thuế trong phương án mới đơn giản, dễ hiểu và dễ thực hiện hơn. - HUMAN-FAC2]]</f>
        <v>7</v>
      </c>
      <c r="AI207" t="str">
        <f t="shared" si="91"/>
        <v>Neutral</v>
      </c>
      <c r="AJ207" s="32">
        <f t="shared" si="92"/>
        <v>2</v>
      </c>
      <c r="AK207">
        <f>step3_validation[[#This Row],[AI_TRU1]]</f>
        <v>8</v>
      </c>
      <c r="AL207" t="str">
        <f t="shared" si="93"/>
        <v>Support</v>
      </c>
      <c r="AM207">
        <f>survey_responses[[#This Row],[Tôi tin rằng Nhà nước, cơ quan thuế sẽ thực thi chính sách mới một cách khách quan, công tâm và đối xử bình đẳng với mọi người nộp thuế.  - HUMAN-TRU1]]</f>
        <v>7</v>
      </c>
      <c r="AN207" t="str">
        <f t="shared" si="94"/>
        <v>Neutral</v>
      </c>
      <c r="AO207" s="32">
        <f t="shared" si="95"/>
        <v>1</v>
      </c>
      <c r="AP207">
        <f>step3_validation[[#This Row],[AI_TRU2]]</f>
        <v>9</v>
      </c>
      <c r="AQ207" t="str">
        <f t="shared" si="96"/>
        <v>Support</v>
      </c>
      <c r="AR207">
        <f>survey_responses[[#This Row],[Tôi thấy mức thuế tôi phải đóng theo phương án mới là công bằng (người thu nhập như tôi đóng mức này là hợp lý). - HUMAN-TRU2]]</f>
        <v>6</v>
      </c>
      <c r="AS207" t="str">
        <f t="shared" si="97"/>
        <v>Neutral</v>
      </c>
      <c r="AT207" s="32">
        <f t="shared" si="98"/>
        <v>3</v>
      </c>
      <c r="AU207">
        <f>step3_validation[[#This Row],[AI_TRU3]]</f>
        <v>8</v>
      </c>
      <c r="AV207" t="str">
        <f t="shared" si="99"/>
        <v>Support</v>
      </c>
      <c r="AW207">
        <f>survey_responses[[#This Row],[Tôi tin tưởng số tiền thuế tôi đóng sẽ được Nhà nước sử dụng hiệu quả để cải thiện dịch vụ công (y tế, đường xá...). - HUMAN-TRU3]]</f>
        <v>6</v>
      </c>
      <c r="AX207" t="str">
        <f t="shared" si="100"/>
        <v>Neutral</v>
      </c>
      <c r="AY207" s="32">
        <f t="shared" si="101"/>
        <v>2</v>
      </c>
      <c r="AZ207">
        <f>step3_validation[[#This Row],[AI_TRU4]]</f>
        <v>7</v>
      </c>
      <c r="BA207" t="str">
        <f t="shared" si="102"/>
        <v>Neutral</v>
      </c>
      <c r="BB207">
        <f>survey_responses[[#This Row],[Tôi thấy Nhà nước đã giải thích rõ ràng, minh bạch về lý do và mục tiêu của việc sửa đổi thuế lần này. - HUMAN-TRU4]]</f>
        <v>7</v>
      </c>
      <c r="BC207" t="str">
        <f t="shared" si="103"/>
        <v>Neutral</v>
      </c>
      <c r="BD207" s="32">
        <f t="shared" si="104"/>
        <v>0</v>
      </c>
      <c r="BE207">
        <f>step3_validation[[#This Row],[AI_OUT1]]</f>
        <v>9</v>
      </c>
      <c r="BF207" t="str">
        <f t="shared" si="105"/>
        <v>Support</v>
      </c>
      <c r="BG207">
        <f>survey_responses[[#This Row],[Sau khi xem xét các quyền lợi và nghĩa vụ, bạn có ủng hộ và tuân thủ chính sách mới hiện nay? - HUMAN-OUT1]]</f>
        <v>7</v>
      </c>
      <c r="BH207" t="str">
        <f t="shared" si="106"/>
        <v>Neutral</v>
      </c>
      <c r="BI207" s="32">
        <f t="shared" si="107"/>
        <v>2</v>
      </c>
    </row>
    <row r="208" spans="1:61" x14ac:dyDescent="0.45">
      <c r="A208" s="30">
        <f>step3_validation[[#This Row],[Persona_ID]]</f>
        <v>207</v>
      </c>
      <c r="B208" s="31">
        <f>step3_validation[[#This Row],[Used_Seed]]</f>
        <v>2232</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48.582354279252861</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9</v>
      </c>
      <c r="R208" t="str">
        <f t="shared" si="81"/>
        <v>Support</v>
      </c>
      <c r="S208">
        <f>survey_responses[[#This Row],[Tôi tin rằng với các quy định quản lý thuế hiện nay, hành vi gian lận hoặc trốn thuế sẽ dễ dàng bị phát hiện và xử lý nghiêm. - HUMAN-ENF1]]</f>
        <v>4</v>
      </c>
      <c r="T208" t="str">
        <f t="shared" si="82"/>
        <v>Oppose</v>
      </c>
      <c r="U208" s="32">
        <f t="shared" si="83"/>
        <v>5</v>
      </c>
      <c r="V208">
        <f>step3_validation[[#This Row],[AI_ENF2]]</f>
        <v>8</v>
      </c>
      <c r="W208" t="str">
        <f t="shared" si="84"/>
        <v>Support</v>
      </c>
      <c r="X208">
        <f>survey_responses[[#This Row],[Tôi tin rằng Nhà nước, cơ quan thuế có đủ khả năng và công nghệ để phát hiện, xử lý nghiêm các hành vi trốn thuế. - HUMAN-ENF2]]</f>
        <v>3</v>
      </c>
      <c r="Y208" t="str">
        <f t="shared" si="85"/>
        <v>Oppose</v>
      </c>
      <c r="Z208" s="32">
        <f t="shared" si="86"/>
        <v>5</v>
      </c>
      <c r="AA208">
        <f>step3_validation[[#This Row],[AI_FAC1]]</f>
        <v>7</v>
      </c>
      <c r="AB208" t="str">
        <f t="shared" si="87"/>
        <v>Neutral</v>
      </c>
      <c r="AC208">
        <f>survey_responses[[#This Row],[Các thủ tục khai báo thuế VÀ/HOẶC quy trình làm việc với cơ quan thuế đơn giản, tiện lợi, nhanh chóng hơn so với trước đây. - HUMAN-FAC1]]</f>
        <v>1</v>
      </c>
      <c r="AD208" t="str">
        <f t="shared" si="88"/>
        <v>Oppose</v>
      </c>
      <c r="AE208" s="32">
        <f t="shared" si="89"/>
        <v>6</v>
      </c>
      <c r="AF208">
        <f>step3_validation[[#This Row],[AI_FAC2]]</f>
        <v>8</v>
      </c>
      <c r="AG208" t="str">
        <f t="shared" si="90"/>
        <v>Support</v>
      </c>
      <c r="AH208">
        <f>survey_responses[[#This Row],[So với trước đây, tôi thấy cách tính thuế và các bậc thuế trong phương án mới đơn giản, dễ hiểu và dễ thực hiện hơn. - HUMAN-FAC2]]</f>
        <v>2</v>
      </c>
      <c r="AI208" t="str">
        <f t="shared" si="91"/>
        <v>Oppose</v>
      </c>
      <c r="AJ208" s="32">
        <f t="shared" si="92"/>
        <v>6</v>
      </c>
      <c r="AK208">
        <f>step3_validation[[#This Row],[AI_TRU1]]</f>
        <v>9</v>
      </c>
      <c r="AL208" t="str">
        <f t="shared" si="93"/>
        <v>Support</v>
      </c>
      <c r="AM208">
        <f>survey_responses[[#This Row],[Tôi tin rằng Nhà nước, cơ quan thuế sẽ thực thi chính sách mới một cách khách quan, công tâm và đối xử bình đẳng với mọi người nộp thuế.  - HUMAN-TRU1]]</f>
        <v>1</v>
      </c>
      <c r="AN208" t="str">
        <f t="shared" si="94"/>
        <v>Oppose</v>
      </c>
      <c r="AO208" s="32">
        <f t="shared" si="95"/>
        <v>8</v>
      </c>
      <c r="AP208">
        <f>step3_validation[[#This Row],[AI_TRU2]]</f>
        <v>9</v>
      </c>
      <c r="AQ208" t="str">
        <f t="shared" si="96"/>
        <v>Support</v>
      </c>
      <c r="AR208">
        <f>survey_responses[[#This Row],[Tôi thấy mức thuế tôi phải đóng theo phương án mới là công bằng (người thu nhập như tôi đóng mức này là hợp lý). - HUMAN-TRU2]]</f>
        <v>1</v>
      </c>
      <c r="AS208" t="str">
        <f t="shared" si="97"/>
        <v>Oppose</v>
      </c>
      <c r="AT208" s="32">
        <f t="shared" si="98"/>
        <v>8</v>
      </c>
      <c r="AU208">
        <f>step3_validation[[#This Row],[AI_TRU3]]</f>
        <v>8</v>
      </c>
      <c r="AV208" t="str">
        <f t="shared" si="99"/>
        <v>Support</v>
      </c>
      <c r="AW208">
        <f>survey_responses[[#This Row],[Tôi tin tưởng số tiền thuế tôi đóng sẽ được Nhà nước sử dụng hiệu quả để cải thiện dịch vụ công (y tế, đường xá...). - HUMAN-TRU3]]</f>
        <v>1</v>
      </c>
      <c r="AX208" t="str">
        <f t="shared" si="100"/>
        <v>Oppose</v>
      </c>
      <c r="AY208" s="32">
        <f t="shared" si="101"/>
        <v>7</v>
      </c>
      <c r="AZ208">
        <f>step3_validation[[#This Row],[AI_TRU4]]</f>
        <v>9</v>
      </c>
      <c r="BA208" t="str">
        <f t="shared" si="102"/>
        <v>Support</v>
      </c>
      <c r="BB208">
        <f>survey_responses[[#This Row],[Tôi thấy Nhà nước đã giải thích rõ ràng, minh bạch về lý do và mục tiêu của việc sửa đổi thuế lần này. - HUMAN-TRU4]]</f>
        <v>4</v>
      </c>
      <c r="BC208" t="str">
        <f t="shared" si="103"/>
        <v>Oppose</v>
      </c>
      <c r="BD208" s="32">
        <f t="shared" si="104"/>
        <v>5</v>
      </c>
      <c r="BE208">
        <f>step3_validation[[#This Row],[AI_OUT1]]</f>
        <v>9</v>
      </c>
      <c r="BF208" t="str">
        <f t="shared" si="105"/>
        <v>Support</v>
      </c>
      <c r="BG208">
        <f>survey_responses[[#This Row],[Sau khi xem xét các quyền lợi và nghĩa vụ, bạn có ủng hộ và tuân thủ chính sách mới hiện nay? - HUMAN-OUT1]]</f>
        <v>2</v>
      </c>
      <c r="BH208" t="str">
        <f t="shared" si="106"/>
        <v>Oppose</v>
      </c>
      <c r="BI208" s="32">
        <f t="shared" si="107"/>
        <v>7</v>
      </c>
    </row>
    <row r="209" spans="1:61" x14ac:dyDescent="0.45">
      <c r="A209" s="30">
        <f>step3_validation[[#This Row],[Persona_ID]]</f>
        <v>208</v>
      </c>
      <c r="B209" s="31">
        <f>step3_validation[[#This Row],[Used_Seed]]</f>
        <v>2233</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36.61376532837847</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5</v>
      </c>
      <c r="R209" t="str">
        <f t="shared" si="81"/>
        <v>Neutral</v>
      </c>
      <c r="S209">
        <f>survey_responses[[#This Row],[Tôi tin rằng với các quy định quản lý thuế hiện nay, hành vi gian lận hoặc trốn thuế sẽ dễ dàng bị phát hiện và xử lý nghiêm. - HUMAN-ENF1]]</f>
        <v>7</v>
      </c>
      <c r="T209" t="str">
        <f t="shared" si="82"/>
        <v>Neutral</v>
      </c>
      <c r="U209" s="32">
        <f t="shared" si="83"/>
        <v>2</v>
      </c>
      <c r="V209">
        <f>step3_validation[[#This Row],[AI_ENF2]]</f>
        <v>6</v>
      </c>
      <c r="W209" t="str">
        <f t="shared" si="84"/>
        <v>Neutral</v>
      </c>
      <c r="X209">
        <f>survey_responses[[#This Row],[Tôi tin rằng Nhà nước, cơ quan thuế có đủ khả năng và công nghệ để phát hiện, xử lý nghiêm các hành vi trốn thuế. - HUMAN-ENF2]]</f>
        <v>8</v>
      </c>
      <c r="Y209" t="str">
        <f t="shared" si="85"/>
        <v>Support</v>
      </c>
      <c r="Z209" s="32">
        <f t="shared" si="86"/>
        <v>2</v>
      </c>
      <c r="AA209">
        <f>step3_validation[[#This Row],[AI_FAC1]]</f>
        <v>7</v>
      </c>
      <c r="AB209" t="str">
        <f t="shared" si="87"/>
        <v>Neutral</v>
      </c>
      <c r="AC209">
        <f>survey_responses[[#This Row],[Các thủ tục khai báo thuế VÀ/HOẶC quy trình làm việc với cơ quan thuế đơn giản, tiện lợi, nhanh chóng hơn so với trước đây. - HUMAN-FAC1]]</f>
        <v>6</v>
      </c>
      <c r="AD209" t="str">
        <f t="shared" si="88"/>
        <v>Neutral</v>
      </c>
      <c r="AE209" s="32">
        <f t="shared" si="89"/>
        <v>1</v>
      </c>
      <c r="AF209">
        <f>step3_validation[[#This Row],[AI_FAC2]]</f>
        <v>9</v>
      </c>
      <c r="AG209" t="str">
        <f t="shared" si="90"/>
        <v>Support</v>
      </c>
      <c r="AH209">
        <f>survey_responses[[#This Row],[So với trước đây, tôi thấy cách tính thuế và các bậc thuế trong phương án mới đơn giản, dễ hiểu và dễ thực hiện hơn. - HUMAN-FAC2]]</f>
        <v>7</v>
      </c>
      <c r="AI209" t="str">
        <f t="shared" si="91"/>
        <v>Neutral</v>
      </c>
      <c r="AJ209" s="32">
        <f t="shared" si="92"/>
        <v>2</v>
      </c>
      <c r="AK209">
        <f>step3_validation[[#This Row],[AI_TRU1]]</f>
        <v>4</v>
      </c>
      <c r="AL209" t="str">
        <f t="shared" si="93"/>
        <v>Oppose</v>
      </c>
      <c r="AM209">
        <f>survey_responses[[#This Row],[Tôi tin rằng Nhà nước, cơ quan thuế sẽ thực thi chính sách mới một cách khách quan, công tâm và đối xử bình đẳng với mọi người nộp thuế.  - HUMAN-TRU1]]</f>
        <v>6</v>
      </c>
      <c r="AN209" t="str">
        <f t="shared" si="94"/>
        <v>Neutral</v>
      </c>
      <c r="AO209" s="32">
        <f t="shared" si="95"/>
        <v>2</v>
      </c>
      <c r="AP209">
        <f>step3_validation[[#This Row],[AI_TRU2]]</f>
        <v>8</v>
      </c>
      <c r="AQ209" t="str">
        <f t="shared" si="96"/>
        <v>Support</v>
      </c>
      <c r="AR209">
        <f>survey_responses[[#This Row],[Tôi thấy mức thuế tôi phải đóng theo phương án mới là công bằng (người thu nhập như tôi đóng mức này là hợp lý). - HUMAN-TRU2]]</f>
        <v>7</v>
      </c>
      <c r="AS209" t="str">
        <f t="shared" si="97"/>
        <v>Neutral</v>
      </c>
      <c r="AT209" s="32">
        <f t="shared" si="98"/>
        <v>1</v>
      </c>
      <c r="AU209">
        <f>step3_validation[[#This Row],[AI_TRU3]]</f>
        <v>6</v>
      </c>
      <c r="AV209" t="str">
        <f t="shared" si="99"/>
        <v>Neutral</v>
      </c>
      <c r="AW209">
        <f>survey_responses[[#This Row],[Tôi tin tưởng số tiền thuế tôi đóng sẽ được Nhà nước sử dụng hiệu quả để cải thiện dịch vụ công (y tế, đường xá...). - HUMAN-TRU3]]</f>
        <v>6</v>
      </c>
      <c r="AX209" t="str">
        <f t="shared" si="100"/>
        <v>Neutral</v>
      </c>
      <c r="AY209" s="32">
        <f t="shared" si="101"/>
        <v>0</v>
      </c>
      <c r="AZ209">
        <f>step3_validation[[#This Row],[AI_TRU4]]</f>
        <v>7</v>
      </c>
      <c r="BA209" t="str">
        <f t="shared" si="102"/>
        <v>Neutral</v>
      </c>
      <c r="BB209">
        <f>survey_responses[[#This Row],[Tôi thấy Nhà nước đã giải thích rõ ràng, minh bạch về lý do và mục tiêu của việc sửa đổi thuế lần này. - HUMAN-TRU4]]</f>
        <v>6</v>
      </c>
      <c r="BC209" t="str">
        <f t="shared" si="103"/>
        <v>Neutral</v>
      </c>
      <c r="BD209" s="32">
        <f t="shared" si="104"/>
        <v>1</v>
      </c>
      <c r="BE209">
        <f>step3_validation[[#This Row],[AI_OUT1]]</f>
        <v>6</v>
      </c>
      <c r="BF209" t="str">
        <f t="shared" si="105"/>
        <v>Neutral</v>
      </c>
      <c r="BG209">
        <f>survey_responses[[#This Row],[Sau khi xem xét các quyền lợi và nghĩa vụ, bạn có ủng hộ và tuân thủ chính sách mới hiện nay? - HUMAN-OUT1]]</f>
        <v>6</v>
      </c>
      <c r="BH209" t="str">
        <f t="shared" si="106"/>
        <v>Neutral</v>
      </c>
      <c r="BI209" s="32">
        <f t="shared" si="107"/>
        <v>0</v>
      </c>
    </row>
    <row r="210" spans="1:61" x14ac:dyDescent="0.45">
      <c r="A210" s="30">
        <f>step3_validation[[#This Row],[Persona_ID]]</f>
        <v>209</v>
      </c>
      <c r="B210" s="31">
        <f>step3_validation[[#This Row],[Used_Seed]]</f>
        <v>2234</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37.444890378158497</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7</v>
      </c>
      <c r="R210" t="str">
        <f t="shared" si="81"/>
        <v>Neutral</v>
      </c>
      <c r="S210">
        <f>survey_responses[[#This Row],[Tôi tin rằng với các quy định quản lý thuế hiện nay, hành vi gian lận hoặc trốn thuế sẽ dễ dàng bị phát hiện và xử lý nghiêm. - HUMAN-ENF1]]</f>
        <v>6</v>
      </c>
      <c r="T210" t="str">
        <f t="shared" si="82"/>
        <v>Neutral</v>
      </c>
      <c r="U210" s="32">
        <f t="shared" si="83"/>
        <v>1</v>
      </c>
      <c r="V210">
        <f>step3_validation[[#This Row],[AI_ENF2]]</f>
        <v>8</v>
      </c>
      <c r="W210" t="str">
        <f t="shared" si="84"/>
        <v>Support</v>
      </c>
      <c r="X210">
        <f>survey_responses[[#This Row],[Tôi tin rằng Nhà nước, cơ quan thuế có đủ khả năng và công nghệ để phát hiện, xử lý nghiêm các hành vi trốn thuế. - HUMAN-ENF2]]</f>
        <v>6</v>
      </c>
      <c r="Y210" t="str">
        <f t="shared" si="85"/>
        <v>Neutral</v>
      </c>
      <c r="Z210" s="32">
        <f t="shared" si="86"/>
        <v>2</v>
      </c>
      <c r="AA210">
        <f>step3_validation[[#This Row],[AI_FAC1]]</f>
        <v>9</v>
      </c>
      <c r="AB210" t="str">
        <f t="shared" si="87"/>
        <v>Support</v>
      </c>
      <c r="AC210">
        <f>survey_responses[[#This Row],[Các thủ tục khai báo thuế VÀ/HOẶC quy trình làm việc với cơ quan thuế đơn giản, tiện lợi, nhanh chóng hơn so với trước đây. - HUMAN-FAC1]]</f>
        <v>6</v>
      </c>
      <c r="AD210" t="str">
        <f t="shared" si="88"/>
        <v>Neutral</v>
      </c>
      <c r="AE210" s="32">
        <f t="shared" si="89"/>
        <v>3</v>
      </c>
      <c r="AF210">
        <f>step3_validation[[#This Row],[AI_FAC2]]</f>
        <v>8</v>
      </c>
      <c r="AG210" t="str">
        <f t="shared" si="90"/>
        <v>Support</v>
      </c>
      <c r="AH210">
        <f>survey_responses[[#This Row],[So với trước đây, tôi thấy cách tính thuế và các bậc thuế trong phương án mới đơn giản, dễ hiểu và dễ thực hiện hơn. - HUMAN-FAC2]]</f>
        <v>6</v>
      </c>
      <c r="AI210" t="str">
        <f t="shared" si="91"/>
        <v>Neutral</v>
      </c>
      <c r="AJ210" s="32">
        <f t="shared" si="92"/>
        <v>2</v>
      </c>
      <c r="AK210">
        <f>step3_validation[[#This Row],[AI_TRU1]]</f>
        <v>9</v>
      </c>
      <c r="AL210" t="str">
        <f t="shared" si="93"/>
        <v>Support</v>
      </c>
      <c r="AM210">
        <f>survey_responses[[#This Row],[Tôi tin rằng Nhà nước, cơ quan thuế sẽ thực thi chính sách mới một cách khách quan, công tâm và đối xử bình đẳng với mọi người nộp thuế.  - HUMAN-TRU1]]</f>
        <v>6</v>
      </c>
      <c r="AN210" t="str">
        <f t="shared" si="94"/>
        <v>Neutral</v>
      </c>
      <c r="AO210" s="32">
        <f t="shared" si="95"/>
        <v>3</v>
      </c>
      <c r="AP210">
        <f>step3_validation[[#This Row],[AI_TRU2]]</f>
        <v>8</v>
      </c>
      <c r="AQ210" t="str">
        <f t="shared" si="96"/>
        <v>Support</v>
      </c>
      <c r="AR210">
        <f>survey_responses[[#This Row],[Tôi thấy mức thuế tôi phải đóng theo phương án mới là công bằng (người thu nhập như tôi đóng mức này là hợp lý). - HUMAN-TRU2]]</f>
        <v>5</v>
      </c>
      <c r="AS210" t="str">
        <f t="shared" si="97"/>
        <v>Neutral</v>
      </c>
      <c r="AT210" s="32">
        <f t="shared" si="98"/>
        <v>3</v>
      </c>
      <c r="AU210">
        <f>step3_validation[[#This Row],[AI_TRU3]]</f>
        <v>9</v>
      </c>
      <c r="AV210" t="str">
        <f t="shared" si="99"/>
        <v>Support</v>
      </c>
      <c r="AW210">
        <f>survey_responses[[#This Row],[Tôi tin tưởng số tiền thuế tôi đóng sẽ được Nhà nước sử dụng hiệu quả để cải thiện dịch vụ công (y tế, đường xá...). - HUMAN-TRU3]]</f>
        <v>6</v>
      </c>
      <c r="AX210" t="str">
        <f t="shared" si="100"/>
        <v>Neutral</v>
      </c>
      <c r="AY210" s="32">
        <f t="shared" si="101"/>
        <v>3</v>
      </c>
      <c r="AZ210">
        <f>step3_validation[[#This Row],[AI_TRU4]]</f>
        <v>8</v>
      </c>
      <c r="BA210" t="str">
        <f t="shared" si="102"/>
        <v>Support</v>
      </c>
      <c r="BB210">
        <f>survey_responses[[#This Row],[Tôi thấy Nhà nước đã giải thích rõ ràng, minh bạch về lý do và mục tiêu của việc sửa đổi thuế lần này. - HUMAN-TRU4]]</f>
        <v>6</v>
      </c>
      <c r="BC210" t="str">
        <f t="shared" si="103"/>
        <v>Neutral</v>
      </c>
      <c r="BD210" s="32">
        <f t="shared" si="104"/>
        <v>2</v>
      </c>
      <c r="BE210">
        <f>step3_validation[[#This Row],[AI_OUT1]]</f>
        <v>9</v>
      </c>
      <c r="BF210" t="str">
        <f t="shared" si="105"/>
        <v>Support</v>
      </c>
      <c r="BG210">
        <f>survey_responses[[#This Row],[Sau khi xem xét các quyền lợi và nghĩa vụ, bạn có ủng hộ và tuân thủ chính sách mới hiện nay? - HUMAN-OUT1]]</f>
        <v>6</v>
      </c>
      <c r="BH210" t="str">
        <f t="shared" si="106"/>
        <v>Neutral</v>
      </c>
      <c r="BI210" s="32">
        <f t="shared" si="107"/>
        <v>3</v>
      </c>
    </row>
    <row r="211" spans="1:61" x14ac:dyDescent="0.45">
      <c r="A211" s="30">
        <f>step3_validation[[#This Row],[Persona_ID]]</f>
        <v>210</v>
      </c>
      <c r="B211" s="31">
        <f>step3_validation[[#This Row],[Used_Seed]]</f>
        <v>2235</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26.478413865656933</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8</v>
      </c>
      <c r="R211" t="str">
        <f t="shared" si="81"/>
        <v>Support</v>
      </c>
      <c r="S211">
        <f>survey_responses[[#This Row],[Tôi tin rằng với các quy định quản lý thuế hiện nay, hành vi gian lận hoặc trốn thuế sẽ dễ dàng bị phát hiện và xử lý nghiêm. - HUMAN-ENF1]]</f>
        <v>7</v>
      </c>
      <c r="T211" t="str">
        <f t="shared" si="82"/>
        <v>Neutral</v>
      </c>
      <c r="U211" s="32">
        <f t="shared" si="83"/>
        <v>1</v>
      </c>
      <c r="V211">
        <f>step3_validation[[#This Row],[AI_ENF2]]</f>
        <v>9</v>
      </c>
      <c r="W211" t="str">
        <f t="shared" si="84"/>
        <v>Support</v>
      </c>
      <c r="X211">
        <f>survey_responses[[#This Row],[Tôi tin rằng Nhà nước, cơ quan thuế có đủ khả năng và công nghệ để phát hiện, xử lý nghiêm các hành vi trốn thuế. - HUMAN-ENF2]]</f>
        <v>7</v>
      </c>
      <c r="Y211" t="str">
        <f t="shared" si="85"/>
        <v>Neutral</v>
      </c>
      <c r="Z211" s="32">
        <f t="shared" si="86"/>
        <v>2</v>
      </c>
      <c r="AA211">
        <f>step3_validation[[#This Row],[AI_FAC1]]</f>
        <v>8</v>
      </c>
      <c r="AB211" t="str">
        <f t="shared" si="87"/>
        <v>Support</v>
      </c>
      <c r="AC211">
        <f>survey_responses[[#This Row],[Các thủ tục khai báo thuế VÀ/HOẶC quy trình làm việc với cơ quan thuế đơn giản, tiện lợi, nhanh chóng hơn so với trước đây. - HUMAN-FAC1]]</f>
        <v>8</v>
      </c>
      <c r="AD211" t="str">
        <f t="shared" si="88"/>
        <v>Support</v>
      </c>
      <c r="AE211" s="32">
        <f t="shared" si="89"/>
        <v>0</v>
      </c>
      <c r="AF211">
        <f>step3_validation[[#This Row],[AI_FAC2]]</f>
        <v>9</v>
      </c>
      <c r="AG211" t="str">
        <f t="shared" si="90"/>
        <v>Support</v>
      </c>
      <c r="AH211">
        <f>survey_responses[[#This Row],[So với trước đây, tôi thấy cách tính thuế và các bậc thuế trong phương án mới đơn giản, dễ hiểu và dễ thực hiện hơn. - HUMAN-FAC2]]</f>
        <v>8</v>
      </c>
      <c r="AI211" t="str">
        <f t="shared" si="91"/>
        <v>Support</v>
      </c>
      <c r="AJ211" s="32">
        <f t="shared" si="92"/>
        <v>1</v>
      </c>
      <c r="AK211">
        <f>step3_validation[[#This Row],[AI_TRU1]]</f>
        <v>8</v>
      </c>
      <c r="AL211" t="str">
        <f t="shared" si="93"/>
        <v>Support</v>
      </c>
      <c r="AM211">
        <f>survey_responses[[#This Row],[Tôi tin rằng Nhà nước, cơ quan thuế sẽ thực thi chính sách mới một cách khách quan, công tâm và đối xử bình đẳng với mọi người nộp thuế.  - HUMAN-TRU1]]</f>
        <v>8</v>
      </c>
      <c r="AN211" t="str">
        <f t="shared" si="94"/>
        <v>Support</v>
      </c>
      <c r="AO211" s="32">
        <f t="shared" si="95"/>
        <v>0</v>
      </c>
      <c r="AP211">
        <f>step3_validation[[#This Row],[AI_TRU2]]</f>
        <v>9</v>
      </c>
      <c r="AQ211" t="str">
        <f t="shared" si="96"/>
        <v>Support</v>
      </c>
      <c r="AR211">
        <f>survey_responses[[#This Row],[Tôi thấy mức thuế tôi phải đóng theo phương án mới là công bằng (người thu nhập như tôi đóng mức này là hợp lý). - HUMAN-TRU2]]</f>
        <v>9</v>
      </c>
      <c r="AS211" t="str">
        <f t="shared" si="97"/>
        <v>Support</v>
      </c>
      <c r="AT211" s="32">
        <f t="shared" si="98"/>
        <v>0</v>
      </c>
      <c r="AU211">
        <f>step3_validation[[#This Row],[AI_TRU3]]</f>
        <v>8</v>
      </c>
      <c r="AV211" t="str">
        <f t="shared" si="99"/>
        <v>Support</v>
      </c>
      <c r="AW211">
        <f>survey_responses[[#This Row],[Tôi tin tưởng số tiền thuế tôi đóng sẽ được Nhà nước sử dụng hiệu quả để cải thiện dịch vụ công (y tế, đường xá...). - HUMAN-TRU3]]</f>
        <v>8</v>
      </c>
      <c r="AX211" t="str">
        <f t="shared" si="100"/>
        <v>Support</v>
      </c>
      <c r="AY211" s="32">
        <f t="shared" si="101"/>
        <v>0</v>
      </c>
      <c r="AZ211">
        <f>step3_validation[[#This Row],[AI_TRU4]]</f>
        <v>9</v>
      </c>
      <c r="BA211" t="str">
        <f t="shared" si="102"/>
        <v>Support</v>
      </c>
      <c r="BB211">
        <f>survey_responses[[#This Row],[Tôi thấy Nhà nước đã giải thích rõ ràng, minh bạch về lý do và mục tiêu của việc sửa đổi thuế lần này. - HUMAN-TRU4]]</f>
        <v>8</v>
      </c>
      <c r="BC211" t="str">
        <f t="shared" si="103"/>
        <v>Support</v>
      </c>
      <c r="BD211" s="32">
        <f t="shared" si="104"/>
        <v>1</v>
      </c>
      <c r="BE211">
        <f>step3_validation[[#This Row],[AI_OUT1]]</f>
        <v>8</v>
      </c>
      <c r="BF211" t="str">
        <f t="shared" si="105"/>
        <v>Support</v>
      </c>
      <c r="BG211">
        <f>survey_responses[[#This Row],[Sau khi xem xét các quyền lợi và nghĩa vụ, bạn có ủng hộ và tuân thủ chính sách mới hiện nay? - HUMAN-OUT1]]</f>
        <v>8</v>
      </c>
      <c r="BH211" t="str">
        <f t="shared" si="106"/>
        <v>Support</v>
      </c>
      <c r="BI211" s="32">
        <f t="shared" si="107"/>
        <v>0</v>
      </c>
    </row>
    <row r="212" spans="1:61" x14ac:dyDescent="0.45">
      <c r="A212" s="30">
        <f>step3_validation[[#This Row],[Persona_ID]]</f>
        <v>211</v>
      </c>
      <c r="B212" s="31">
        <f>step3_validation[[#This Row],[Used_Seed]]</f>
        <v>2236</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56.273450871487782</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7</v>
      </c>
      <c r="R212" t="str">
        <f t="shared" si="81"/>
        <v>Neutral</v>
      </c>
      <c r="S212">
        <f>survey_responses[[#This Row],[Tôi tin rằng với các quy định quản lý thuế hiện nay, hành vi gian lận hoặc trốn thuế sẽ dễ dàng bị phát hiện và xử lý nghiêm. - HUMAN-ENF1]]</f>
        <v>7</v>
      </c>
      <c r="T212" t="str">
        <f t="shared" si="82"/>
        <v>Neutral</v>
      </c>
      <c r="U212" s="32">
        <f t="shared" si="83"/>
        <v>0</v>
      </c>
      <c r="V212">
        <f>step3_validation[[#This Row],[AI_ENF2]]</f>
        <v>6</v>
      </c>
      <c r="W212" t="str">
        <f t="shared" si="84"/>
        <v>Neutral</v>
      </c>
      <c r="X212">
        <f>survey_responses[[#This Row],[Tôi tin rằng Nhà nước, cơ quan thuế có đủ khả năng và công nghệ để phát hiện, xử lý nghiêm các hành vi trốn thuế. - HUMAN-ENF2]]</f>
        <v>7</v>
      </c>
      <c r="Y212" t="str">
        <f t="shared" si="85"/>
        <v>Neutral</v>
      </c>
      <c r="Z212" s="32">
        <f t="shared" si="86"/>
        <v>1</v>
      </c>
      <c r="AA212">
        <f>step3_validation[[#This Row],[AI_FAC1]]</f>
        <v>8</v>
      </c>
      <c r="AB212" t="str">
        <f t="shared" si="87"/>
        <v>Support</v>
      </c>
      <c r="AC212">
        <f>survey_responses[[#This Row],[Các thủ tục khai báo thuế VÀ/HOẶC quy trình làm việc với cơ quan thuế đơn giản, tiện lợi, nhanh chóng hơn so với trước đây. - HUMAN-FAC1]]</f>
        <v>7</v>
      </c>
      <c r="AD212" t="str">
        <f t="shared" si="88"/>
        <v>Neutral</v>
      </c>
      <c r="AE212" s="32">
        <f t="shared" si="89"/>
        <v>1</v>
      </c>
      <c r="AF212">
        <f>step3_validation[[#This Row],[AI_FAC2]]</f>
        <v>9</v>
      </c>
      <c r="AG212" t="str">
        <f t="shared" si="90"/>
        <v>Support</v>
      </c>
      <c r="AH212">
        <f>survey_responses[[#This Row],[So với trước đây, tôi thấy cách tính thuế và các bậc thuế trong phương án mới đơn giản, dễ hiểu và dễ thực hiện hơn. - HUMAN-FAC2]]</f>
        <v>7</v>
      </c>
      <c r="AI212" t="str">
        <f t="shared" si="91"/>
        <v>Neutral</v>
      </c>
      <c r="AJ212" s="32">
        <f t="shared" si="92"/>
        <v>2</v>
      </c>
      <c r="AK212">
        <f>step3_validation[[#This Row],[AI_TRU1]]</f>
        <v>7</v>
      </c>
      <c r="AL212" t="str">
        <f t="shared" si="93"/>
        <v>Neutral</v>
      </c>
      <c r="AM212">
        <f>survey_responses[[#This Row],[Tôi tin rằng Nhà nước, cơ quan thuế sẽ thực thi chính sách mới một cách khách quan, công tâm và đối xử bình đẳng với mọi người nộp thuế.  - HUMAN-TRU1]]</f>
        <v>7</v>
      </c>
      <c r="AN212" t="str">
        <f t="shared" si="94"/>
        <v>Neutral</v>
      </c>
      <c r="AO212" s="32">
        <f t="shared" si="95"/>
        <v>0</v>
      </c>
      <c r="AP212">
        <f>step3_validation[[#This Row],[AI_TRU2]]</f>
        <v>8</v>
      </c>
      <c r="AQ212" t="str">
        <f t="shared" si="96"/>
        <v>Support</v>
      </c>
      <c r="AR212">
        <f>survey_responses[[#This Row],[Tôi thấy mức thuế tôi phải đóng theo phương án mới là công bằng (người thu nhập như tôi đóng mức này là hợp lý). - HUMAN-TRU2]]</f>
        <v>7</v>
      </c>
      <c r="AS212" t="str">
        <f t="shared" si="97"/>
        <v>Neutral</v>
      </c>
      <c r="AT212" s="32">
        <f t="shared" si="98"/>
        <v>1</v>
      </c>
      <c r="AU212">
        <f>step3_validation[[#This Row],[AI_TRU3]]</f>
        <v>7</v>
      </c>
      <c r="AV212" t="str">
        <f t="shared" si="99"/>
        <v>Neutral</v>
      </c>
      <c r="AW212">
        <f>survey_responses[[#This Row],[Tôi tin tưởng số tiền thuế tôi đóng sẽ được Nhà nước sử dụng hiệu quả để cải thiện dịch vụ công (y tế, đường xá...). - HUMAN-TRU3]]</f>
        <v>7</v>
      </c>
      <c r="AX212" t="str">
        <f t="shared" si="100"/>
        <v>Neutral</v>
      </c>
      <c r="AY212" s="32">
        <f t="shared" si="101"/>
        <v>0</v>
      </c>
      <c r="AZ212">
        <f>step3_validation[[#This Row],[AI_TRU4]]</f>
        <v>6</v>
      </c>
      <c r="BA212" t="str">
        <f t="shared" si="102"/>
        <v>Neutral</v>
      </c>
      <c r="BB212">
        <f>survey_responses[[#This Row],[Tôi thấy Nhà nước đã giải thích rõ ràng, minh bạch về lý do và mục tiêu của việc sửa đổi thuế lần này. - HUMAN-TRU4]]</f>
        <v>7</v>
      </c>
      <c r="BC212" t="str">
        <f t="shared" si="103"/>
        <v>Neutral</v>
      </c>
      <c r="BD212" s="32">
        <f t="shared" si="104"/>
        <v>1</v>
      </c>
      <c r="BE212">
        <f>step3_validation[[#This Row],[AI_OUT1]]</f>
        <v>9</v>
      </c>
      <c r="BF212" t="str">
        <f t="shared" si="105"/>
        <v>Support</v>
      </c>
      <c r="BG212">
        <f>survey_responses[[#This Row],[Sau khi xem xét các quyền lợi và nghĩa vụ, bạn có ủng hộ và tuân thủ chính sách mới hiện nay? - HUMAN-OUT1]]</f>
        <v>7</v>
      </c>
      <c r="BH212" t="str">
        <f t="shared" si="106"/>
        <v>Neutral</v>
      </c>
      <c r="BI212" s="32">
        <f t="shared" si="107"/>
        <v>2</v>
      </c>
    </row>
    <row r="213" spans="1:61" x14ac:dyDescent="0.45">
      <c r="A213" s="30">
        <f>step3_validation[[#This Row],[Persona_ID]]</f>
        <v>212</v>
      </c>
      <c r="B213" s="31">
        <f>step3_validation[[#This Row],[Used_Seed]]</f>
        <v>2237</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64.505820703954043</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6</v>
      </c>
      <c r="R213" t="str">
        <f t="shared" si="81"/>
        <v>Neutral</v>
      </c>
      <c r="S213">
        <f>survey_responses[[#This Row],[Tôi tin rằng với các quy định quản lý thuế hiện nay, hành vi gian lận hoặc trốn thuế sẽ dễ dàng bị phát hiện và xử lý nghiêm. - HUMAN-ENF1]]</f>
        <v>5</v>
      </c>
      <c r="T213" t="str">
        <f t="shared" si="82"/>
        <v>Neutral</v>
      </c>
      <c r="U213" s="32">
        <f t="shared" si="83"/>
        <v>1</v>
      </c>
      <c r="V213">
        <f>step3_validation[[#This Row],[AI_ENF2]]</f>
        <v>5</v>
      </c>
      <c r="W213" t="str">
        <f t="shared" si="84"/>
        <v>Neutral</v>
      </c>
      <c r="X213">
        <f>survey_responses[[#This Row],[Tôi tin rằng Nhà nước, cơ quan thuế có đủ khả năng và công nghệ để phát hiện, xử lý nghiêm các hành vi trốn thuế. - HUMAN-ENF2]]</f>
        <v>5</v>
      </c>
      <c r="Y213" t="str">
        <f t="shared" si="85"/>
        <v>Neutral</v>
      </c>
      <c r="Z213" s="32">
        <f t="shared" si="86"/>
        <v>0</v>
      </c>
      <c r="AA213">
        <f>step3_validation[[#This Row],[AI_FAC1]]</f>
        <v>7</v>
      </c>
      <c r="AB213" t="str">
        <f t="shared" si="87"/>
        <v>Neutral</v>
      </c>
      <c r="AC213">
        <f>survey_responses[[#This Row],[Các thủ tục khai báo thuế VÀ/HOẶC quy trình làm việc với cơ quan thuế đơn giản, tiện lợi, nhanh chóng hơn so với trước đây. - HUMAN-FAC1]]</f>
        <v>1</v>
      </c>
      <c r="AD213" t="str">
        <f t="shared" si="88"/>
        <v>Oppose</v>
      </c>
      <c r="AE213" s="32">
        <f t="shared" si="89"/>
        <v>6</v>
      </c>
      <c r="AF213">
        <f>step3_validation[[#This Row],[AI_FAC2]]</f>
        <v>8</v>
      </c>
      <c r="AG213" t="str">
        <f t="shared" si="90"/>
        <v>Support</v>
      </c>
      <c r="AH213">
        <f>survey_responses[[#This Row],[So với trước đây, tôi thấy cách tính thuế và các bậc thuế trong phương án mới đơn giản, dễ hiểu và dễ thực hiện hơn. - HUMAN-FAC2]]</f>
        <v>5</v>
      </c>
      <c r="AI213" t="str">
        <f t="shared" si="91"/>
        <v>Neutral</v>
      </c>
      <c r="AJ213" s="32">
        <f t="shared" si="92"/>
        <v>3</v>
      </c>
      <c r="AK213">
        <f>step3_validation[[#This Row],[AI_TRU1]]</f>
        <v>6</v>
      </c>
      <c r="AL213" t="str">
        <f t="shared" si="93"/>
        <v>Neutral</v>
      </c>
      <c r="AM213">
        <f>survey_responses[[#This Row],[Tôi tin rằng Nhà nước, cơ quan thuế sẽ thực thi chính sách mới một cách khách quan, công tâm và đối xử bình đẳng với mọi người nộp thuế.  - HUMAN-TRU1]]</f>
        <v>5</v>
      </c>
      <c r="AN213" t="str">
        <f t="shared" si="94"/>
        <v>Neutral</v>
      </c>
      <c r="AO213" s="32">
        <f t="shared" si="95"/>
        <v>1</v>
      </c>
      <c r="AP213">
        <f>step3_validation[[#This Row],[AI_TRU2]]</f>
        <v>9</v>
      </c>
      <c r="AQ213" t="str">
        <f t="shared" si="96"/>
        <v>Support</v>
      </c>
      <c r="AR213">
        <f>survey_responses[[#This Row],[Tôi thấy mức thuế tôi phải đóng theo phương án mới là công bằng (người thu nhập như tôi đóng mức này là hợp lý). - HUMAN-TRU2]]</f>
        <v>5</v>
      </c>
      <c r="AS213" t="str">
        <f t="shared" si="97"/>
        <v>Neutral</v>
      </c>
      <c r="AT213" s="32">
        <f t="shared" si="98"/>
        <v>4</v>
      </c>
      <c r="AU213">
        <f>step3_validation[[#This Row],[AI_TRU3]]</f>
        <v>7</v>
      </c>
      <c r="AV213" t="str">
        <f t="shared" si="99"/>
        <v>Neutral</v>
      </c>
      <c r="AW213">
        <f>survey_responses[[#This Row],[Tôi tin tưởng số tiền thuế tôi đóng sẽ được Nhà nước sử dụng hiệu quả để cải thiện dịch vụ công (y tế, đường xá...). - HUMAN-TRU3]]</f>
        <v>4</v>
      </c>
      <c r="AX213" t="str">
        <f t="shared" si="100"/>
        <v>Oppose</v>
      </c>
      <c r="AY213" s="32">
        <f t="shared" si="101"/>
        <v>3</v>
      </c>
      <c r="AZ213">
        <f>step3_validation[[#This Row],[AI_TRU4]]</f>
        <v>8</v>
      </c>
      <c r="BA213" t="str">
        <f t="shared" si="102"/>
        <v>Support</v>
      </c>
      <c r="BB213">
        <f>survey_responses[[#This Row],[Tôi thấy Nhà nước đã giải thích rõ ràng, minh bạch về lý do và mục tiêu của việc sửa đổi thuế lần này. - HUMAN-TRU4]]</f>
        <v>5</v>
      </c>
      <c r="BC213" t="str">
        <f t="shared" si="103"/>
        <v>Neutral</v>
      </c>
      <c r="BD213" s="32">
        <f t="shared" si="104"/>
        <v>3</v>
      </c>
      <c r="BE213">
        <f>step3_validation[[#This Row],[AI_OUT1]]</f>
        <v>9</v>
      </c>
      <c r="BF213" t="str">
        <f t="shared" si="105"/>
        <v>Support</v>
      </c>
      <c r="BG213">
        <f>survey_responses[[#This Row],[Sau khi xem xét các quyền lợi và nghĩa vụ, bạn có ủng hộ và tuân thủ chính sách mới hiện nay? - HUMAN-OUT1]]</f>
        <v>5</v>
      </c>
      <c r="BH213" t="str">
        <f t="shared" si="106"/>
        <v>Neutral</v>
      </c>
      <c r="BI213" s="32">
        <f t="shared" si="107"/>
        <v>4</v>
      </c>
    </row>
    <row r="214" spans="1:61" x14ac:dyDescent="0.45">
      <c r="A214" s="30">
        <f>step3_validation[[#This Row],[Persona_ID]]</f>
        <v>213</v>
      </c>
      <c r="B214" s="31">
        <f>step3_validation[[#This Row],[Used_Seed]]</f>
        <v>2238</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56.55646127419498</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7</v>
      </c>
      <c r="R214" t="str">
        <f t="shared" si="81"/>
        <v>Neutral</v>
      </c>
      <c r="S214">
        <f>survey_responses[[#This Row],[Tôi tin rằng với các quy định quản lý thuế hiện nay, hành vi gian lận hoặc trốn thuế sẽ dễ dàng bị phát hiện và xử lý nghiêm. - HUMAN-ENF1]]</f>
        <v>7</v>
      </c>
      <c r="T214" t="str">
        <f t="shared" si="82"/>
        <v>Neutral</v>
      </c>
      <c r="U214" s="32">
        <f t="shared" si="83"/>
        <v>0</v>
      </c>
      <c r="V214">
        <f>step3_validation[[#This Row],[AI_ENF2]]</f>
        <v>6</v>
      </c>
      <c r="W214" t="str">
        <f t="shared" si="84"/>
        <v>Neutral</v>
      </c>
      <c r="X214">
        <f>survey_responses[[#This Row],[Tôi tin rằng Nhà nước, cơ quan thuế có đủ khả năng và công nghệ để phát hiện, xử lý nghiêm các hành vi trốn thuế. - HUMAN-ENF2]]</f>
        <v>8</v>
      </c>
      <c r="Y214" t="str">
        <f t="shared" si="85"/>
        <v>Support</v>
      </c>
      <c r="Z214" s="32">
        <f t="shared" si="86"/>
        <v>2</v>
      </c>
      <c r="AA214">
        <f>step3_validation[[#This Row],[AI_FAC1]]</f>
        <v>8</v>
      </c>
      <c r="AB214" t="str">
        <f t="shared" si="87"/>
        <v>Support</v>
      </c>
      <c r="AC214">
        <f>survey_responses[[#This Row],[Các thủ tục khai báo thuế VÀ/HOẶC quy trình làm việc với cơ quan thuế đơn giản, tiện lợi, nhanh chóng hơn so với trước đây. - HUMAN-FAC1]]</f>
        <v>8</v>
      </c>
      <c r="AD214" t="str">
        <f t="shared" si="88"/>
        <v>Support</v>
      </c>
      <c r="AE214" s="32">
        <f t="shared" si="89"/>
        <v>0</v>
      </c>
      <c r="AF214">
        <f>step3_validation[[#This Row],[AI_FAC2]]</f>
        <v>9</v>
      </c>
      <c r="AG214" t="str">
        <f t="shared" si="90"/>
        <v>Support</v>
      </c>
      <c r="AH214">
        <f>survey_responses[[#This Row],[So với trước đây, tôi thấy cách tính thuế và các bậc thuế trong phương án mới đơn giản, dễ hiểu và dễ thực hiện hơn. - HUMAN-FAC2]]</f>
        <v>8</v>
      </c>
      <c r="AI214" t="str">
        <f t="shared" si="91"/>
        <v>Support</v>
      </c>
      <c r="AJ214" s="32">
        <f t="shared" si="92"/>
        <v>1</v>
      </c>
      <c r="AK214">
        <f>step3_validation[[#This Row],[AI_TRU1]]</f>
        <v>7</v>
      </c>
      <c r="AL214" t="str">
        <f t="shared" si="93"/>
        <v>Neutral</v>
      </c>
      <c r="AM214">
        <f>survey_responses[[#This Row],[Tôi tin rằng Nhà nước, cơ quan thuế sẽ thực thi chính sách mới một cách khách quan, công tâm và đối xử bình đẳng với mọi người nộp thuế.  - HUMAN-TRU1]]</f>
        <v>8</v>
      </c>
      <c r="AN214" t="str">
        <f t="shared" si="94"/>
        <v>Support</v>
      </c>
      <c r="AO214" s="32">
        <f t="shared" si="95"/>
        <v>1</v>
      </c>
      <c r="AP214">
        <f>step3_validation[[#This Row],[AI_TRU2]]</f>
        <v>9</v>
      </c>
      <c r="AQ214" t="str">
        <f t="shared" si="96"/>
        <v>Support</v>
      </c>
      <c r="AR214">
        <f>survey_responses[[#This Row],[Tôi thấy mức thuế tôi phải đóng theo phương án mới là công bằng (người thu nhập như tôi đóng mức này là hợp lý). - HUMAN-TRU2]]</f>
        <v>8</v>
      </c>
      <c r="AS214" t="str">
        <f t="shared" si="97"/>
        <v>Support</v>
      </c>
      <c r="AT214" s="32">
        <f t="shared" si="98"/>
        <v>1</v>
      </c>
      <c r="AU214">
        <f>step3_validation[[#This Row],[AI_TRU3]]</f>
        <v>7</v>
      </c>
      <c r="AV214" t="str">
        <f t="shared" si="99"/>
        <v>Neutral</v>
      </c>
      <c r="AW214">
        <f>survey_responses[[#This Row],[Tôi tin tưởng số tiền thuế tôi đóng sẽ được Nhà nước sử dụng hiệu quả để cải thiện dịch vụ công (y tế, đường xá...). - HUMAN-TRU3]]</f>
        <v>8</v>
      </c>
      <c r="AX214" t="str">
        <f t="shared" si="100"/>
        <v>Support</v>
      </c>
      <c r="AY214" s="32">
        <f t="shared" si="101"/>
        <v>1</v>
      </c>
      <c r="AZ214">
        <f>step3_validation[[#This Row],[AI_TRU4]]</f>
        <v>8</v>
      </c>
      <c r="BA214" t="str">
        <f t="shared" si="102"/>
        <v>Support</v>
      </c>
      <c r="BB214">
        <f>survey_responses[[#This Row],[Tôi thấy Nhà nước đã giải thích rõ ràng, minh bạch về lý do và mục tiêu của việc sửa đổi thuế lần này. - HUMAN-TRU4]]</f>
        <v>8</v>
      </c>
      <c r="BC214" t="str">
        <f t="shared" si="103"/>
        <v>Support</v>
      </c>
      <c r="BD214" s="32">
        <f t="shared" si="104"/>
        <v>0</v>
      </c>
      <c r="BE214">
        <f>step3_validation[[#This Row],[AI_OUT1]]</f>
        <v>9</v>
      </c>
      <c r="BF214" t="str">
        <f t="shared" si="105"/>
        <v>Support</v>
      </c>
      <c r="BG214">
        <f>survey_responses[[#This Row],[Sau khi xem xét các quyền lợi và nghĩa vụ, bạn có ủng hộ và tuân thủ chính sách mới hiện nay? - HUMAN-OUT1]]</f>
        <v>8</v>
      </c>
      <c r="BH214" t="str">
        <f t="shared" si="106"/>
        <v>Support</v>
      </c>
      <c r="BI214" s="32">
        <f t="shared" si="107"/>
        <v>1</v>
      </c>
    </row>
    <row r="215" spans="1:61" x14ac:dyDescent="0.45">
      <c r="A215" s="30">
        <f>step3_validation[[#This Row],[Persona_ID]]</f>
        <v>214</v>
      </c>
      <c r="B215" s="31">
        <f>step3_validation[[#This Row],[Used_Seed]]</f>
        <v>2239</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62.367035847502066</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6</v>
      </c>
      <c r="R215" t="str">
        <f t="shared" si="81"/>
        <v>Neutral</v>
      </c>
      <c r="S215">
        <f>survey_responses[[#This Row],[Tôi tin rằng với các quy định quản lý thuế hiện nay, hành vi gian lận hoặc trốn thuế sẽ dễ dàng bị phát hiện và xử lý nghiêm. - HUMAN-ENF1]]</f>
        <v>9</v>
      </c>
      <c r="T215" t="str">
        <f t="shared" si="82"/>
        <v>Support</v>
      </c>
      <c r="U215" s="32">
        <f t="shared" si="83"/>
        <v>3</v>
      </c>
      <c r="V215">
        <f>step3_validation[[#This Row],[AI_ENF2]]</f>
        <v>7</v>
      </c>
      <c r="W215" t="str">
        <f t="shared" si="84"/>
        <v>Neutral</v>
      </c>
      <c r="X215">
        <f>survey_responses[[#This Row],[Tôi tin rằng Nhà nước, cơ quan thuế có đủ khả năng và công nghệ để phát hiện, xử lý nghiêm các hành vi trốn thuế. - HUMAN-ENF2]]</f>
        <v>9</v>
      </c>
      <c r="Y215" t="str">
        <f t="shared" si="85"/>
        <v>Support</v>
      </c>
      <c r="Z215" s="32">
        <f t="shared" si="86"/>
        <v>2</v>
      </c>
      <c r="AA215">
        <f>step3_validation[[#This Row],[AI_FAC1]]</f>
        <v>8</v>
      </c>
      <c r="AB215" t="str">
        <f t="shared" si="87"/>
        <v>Support</v>
      </c>
      <c r="AC215">
        <f>survey_responses[[#This Row],[Các thủ tục khai báo thuế VÀ/HOẶC quy trình làm việc với cơ quan thuế đơn giản, tiện lợi, nhanh chóng hơn so với trước đây. - HUMAN-FAC1]]</f>
        <v>9</v>
      </c>
      <c r="AD215" t="str">
        <f t="shared" si="88"/>
        <v>Support</v>
      </c>
      <c r="AE215" s="32">
        <f t="shared" si="89"/>
        <v>1</v>
      </c>
      <c r="AF215">
        <f>step3_validation[[#This Row],[AI_FAC2]]</f>
        <v>9</v>
      </c>
      <c r="AG215" t="str">
        <f t="shared" si="90"/>
        <v>Support</v>
      </c>
      <c r="AH215">
        <f>survey_responses[[#This Row],[So với trước đây, tôi thấy cách tính thuế và các bậc thuế trong phương án mới đơn giản, dễ hiểu và dễ thực hiện hơn. - HUMAN-FAC2]]</f>
        <v>9</v>
      </c>
      <c r="AI215" t="str">
        <f t="shared" si="91"/>
        <v>Support</v>
      </c>
      <c r="AJ215" s="32">
        <f t="shared" si="92"/>
        <v>0</v>
      </c>
      <c r="AK215">
        <f>step3_validation[[#This Row],[AI_TRU1]]</f>
        <v>7</v>
      </c>
      <c r="AL215" t="str">
        <f t="shared" si="93"/>
        <v>Neutral</v>
      </c>
      <c r="AM215">
        <f>survey_responses[[#This Row],[Tôi tin rằng Nhà nước, cơ quan thuế sẽ thực thi chính sách mới một cách khách quan, công tâm và đối xử bình đẳng với mọi người nộp thuế.  - HUMAN-TRU1]]</f>
        <v>9</v>
      </c>
      <c r="AN215" t="str">
        <f t="shared" si="94"/>
        <v>Support</v>
      </c>
      <c r="AO215" s="32">
        <f t="shared" si="95"/>
        <v>2</v>
      </c>
      <c r="AP215">
        <f>step3_validation[[#This Row],[AI_TRU2]]</f>
        <v>9</v>
      </c>
      <c r="AQ215" t="str">
        <f t="shared" si="96"/>
        <v>Support</v>
      </c>
      <c r="AR215">
        <f>survey_responses[[#This Row],[Tôi thấy mức thuế tôi phải đóng theo phương án mới là công bằng (người thu nhập như tôi đóng mức này là hợp lý). - HUMAN-TRU2]]</f>
        <v>9</v>
      </c>
      <c r="AS215" t="str">
        <f t="shared" si="97"/>
        <v>Support</v>
      </c>
      <c r="AT215" s="32">
        <f t="shared" si="98"/>
        <v>0</v>
      </c>
      <c r="AU215">
        <f>step3_validation[[#This Row],[AI_TRU3]]</f>
        <v>7</v>
      </c>
      <c r="AV215" t="str">
        <f t="shared" si="99"/>
        <v>Neutral</v>
      </c>
      <c r="AW215">
        <f>survey_responses[[#This Row],[Tôi tin tưởng số tiền thuế tôi đóng sẽ được Nhà nước sử dụng hiệu quả để cải thiện dịch vụ công (y tế, đường xá...). - HUMAN-TRU3]]</f>
        <v>9</v>
      </c>
      <c r="AX215" t="str">
        <f t="shared" si="100"/>
        <v>Support</v>
      </c>
      <c r="AY215" s="32">
        <f t="shared" si="101"/>
        <v>2</v>
      </c>
      <c r="AZ215">
        <f>step3_validation[[#This Row],[AI_TRU4]]</f>
        <v>6</v>
      </c>
      <c r="BA215" t="str">
        <f t="shared" si="102"/>
        <v>Neutral</v>
      </c>
      <c r="BB215">
        <f>survey_responses[[#This Row],[Tôi thấy Nhà nước đã giải thích rõ ràng, minh bạch về lý do và mục tiêu của việc sửa đổi thuế lần này. - HUMAN-TRU4]]</f>
        <v>9</v>
      </c>
      <c r="BC215" t="str">
        <f t="shared" si="103"/>
        <v>Support</v>
      </c>
      <c r="BD215" s="32">
        <f t="shared" si="104"/>
        <v>3</v>
      </c>
      <c r="BE215">
        <f>step3_validation[[#This Row],[AI_OUT1]]</f>
        <v>8</v>
      </c>
      <c r="BF215" t="str">
        <f t="shared" si="105"/>
        <v>Support</v>
      </c>
      <c r="BG215">
        <f>survey_responses[[#This Row],[Sau khi xem xét các quyền lợi và nghĩa vụ, bạn có ủng hộ và tuân thủ chính sách mới hiện nay? - HUMAN-OUT1]]</f>
        <v>9</v>
      </c>
      <c r="BH215" t="str">
        <f t="shared" si="106"/>
        <v>Support</v>
      </c>
      <c r="BI215" s="32">
        <f t="shared" si="107"/>
        <v>1</v>
      </c>
    </row>
    <row r="216" spans="1:61" x14ac:dyDescent="0.45">
      <c r="A216" s="30">
        <f>step3_validation[[#This Row],[Persona_ID]]</f>
        <v>215</v>
      </c>
      <c r="B216" s="31">
        <f>step3_validation[[#This Row],[Used_Seed]]</f>
        <v>2240</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21.156921352696777</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8</v>
      </c>
      <c r="R216" t="str">
        <f t="shared" si="81"/>
        <v>Support</v>
      </c>
      <c r="S216">
        <f>survey_responses[[#This Row],[Tôi tin rằng với các quy định quản lý thuế hiện nay, hành vi gian lận hoặc trốn thuế sẽ dễ dàng bị phát hiện và xử lý nghiêm. - HUMAN-ENF1]]</f>
        <v>5</v>
      </c>
      <c r="T216" t="str">
        <f t="shared" si="82"/>
        <v>Neutral</v>
      </c>
      <c r="U216" s="32">
        <f t="shared" si="83"/>
        <v>3</v>
      </c>
      <c r="V216">
        <f>step3_validation[[#This Row],[AI_ENF2]]</f>
        <v>7</v>
      </c>
      <c r="W216" t="str">
        <f t="shared" si="84"/>
        <v>Neutral</v>
      </c>
      <c r="X216">
        <f>survey_responses[[#This Row],[Tôi tin rằng Nhà nước, cơ quan thuế có đủ khả năng và công nghệ để phát hiện, xử lý nghiêm các hành vi trốn thuế. - HUMAN-ENF2]]</f>
        <v>5</v>
      </c>
      <c r="Y216" t="str">
        <f t="shared" si="85"/>
        <v>Neutral</v>
      </c>
      <c r="Z216" s="32">
        <f t="shared" si="86"/>
        <v>2</v>
      </c>
      <c r="AA216">
        <f>step3_validation[[#This Row],[AI_FAC1]]</f>
        <v>9</v>
      </c>
      <c r="AB216" t="str">
        <f t="shared" si="87"/>
        <v>Support</v>
      </c>
      <c r="AC216">
        <f>survey_responses[[#This Row],[Các thủ tục khai báo thuế VÀ/HOẶC quy trình làm việc với cơ quan thuế đơn giản, tiện lợi, nhanh chóng hơn so với trước đây. - HUMAN-FAC1]]</f>
        <v>5</v>
      </c>
      <c r="AD216" t="str">
        <f t="shared" si="88"/>
        <v>Neutral</v>
      </c>
      <c r="AE216" s="32">
        <f t="shared" si="89"/>
        <v>4</v>
      </c>
      <c r="AF216">
        <f>step3_validation[[#This Row],[AI_FAC2]]</f>
        <v>8</v>
      </c>
      <c r="AG216" t="str">
        <f t="shared" si="90"/>
        <v>Support</v>
      </c>
      <c r="AH216">
        <f>survey_responses[[#This Row],[So với trước đây, tôi thấy cách tính thuế và các bậc thuế trong phương án mới đơn giản, dễ hiểu và dễ thực hiện hơn. - HUMAN-FAC2]]</f>
        <v>5</v>
      </c>
      <c r="AI216" t="str">
        <f t="shared" si="91"/>
        <v>Neutral</v>
      </c>
      <c r="AJ216" s="32">
        <f t="shared" si="92"/>
        <v>3</v>
      </c>
      <c r="AK216">
        <f>step3_validation[[#This Row],[AI_TRU1]]</f>
        <v>9</v>
      </c>
      <c r="AL216" t="str">
        <f t="shared" si="93"/>
        <v>Support</v>
      </c>
      <c r="AM216">
        <f>survey_responses[[#This Row],[Tôi tin rằng Nhà nước, cơ quan thuế sẽ thực thi chính sách mới một cách khách quan, công tâm và đối xử bình đẳng với mọi người nộp thuế.  - HUMAN-TRU1]]</f>
        <v>5</v>
      </c>
      <c r="AN216" t="str">
        <f t="shared" si="94"/>
        <v>Neutral</v>
      </c>
      <c r="AO216" s="32">
        <f t="shared" si="95"/>
        <v>4</v>
      </c>
      <c r="AP216">
        <f>step3_validation[[#This Row],[AI_TRU2]]</f>
        <v>8</v>
      </c>
      <c r="AQ216" t="str">
        <f t="shared" si="96"/>
        <v>Support</v>
      </c>
      <c r="AR216">
        <f>survey_responses[[#This Row],[Tôi thấy mức thuế tôi phải đóng theo phương án mới là công bằng (người thu nhập như tôi đóng mức này là hợp lý). - HUMAN-TRU2]]</f>
        <v>5</v>
      </c>
      <c r="AS216" t="str">
        <f t="shared" si="97"/>
        <v>Neutral</v>
      </c>
      <c r="AT216" s="32">
        <f t="shared" si="98"/>
        <v>3</v>
      </c>
      <c r="AU216">
        <f>step3_validation[[#This Row],[AI_TRU3]]</f>
        <v>9</v>
      </c>
      <c r="AV216" t="str">
        <f t="shared" si="99"/>
        <v>Support</v>
      </c>
      <c r="AW216">
        <f>survey_responses[[#This Row],[Tôi tin tưởng số tiền thuế tôi đóng sẽ được Nhà nước sử dụng hiệu quả để cải thiện dịch vụ công (y tế, đường xá...). - HUMAN-TRU3]]</f>
        <v>5</v>
      </c>
      <c r="AX216" t="str">
        <f t="shared" si="100"/>
        <v>Neutral</v>
      </c>
      <c r="AY216" s="32">
        <f t="shared" si="101"/>
        <v>4</v>
      </c>
      <c r="AZ216">
        <f>step3_validation[[#This Row],[AI_TRU4]]</f>
        <v>8</v>
      </c>
      <c r="BA216" t="str">
        <f t="shared" si="102"/>
        <v>Support</v>
      </c>
      <c r="BB216">
        <f>survey_responses[[#This Row],[Tôi thấy Nhà nước đã giải thích rõ ràng, minh bạch về lý do và mục tiêu của việc sửa đổi thuế lần này. - HUMAN-TRU4]]</f>
        <v>5</v>
      </c>
      <c r="BC216" t="str">
        <f t="shared" si="103"/>
        <v>Neutral</v>
      </c>
      <c r="BD216" s="32">
        <f t="shared" si="104"/>
        <v>3</v>
      </c>
      <c r="BE216">
        <f>step3_validation[[#This Row],[AI_OUT1]]</f>
        <v>9</v>
      </c>
      <c r="BF216" t="str">
        <f t="shared" si="105"/>
        <v>Support</v>
      </c>
      <c r="BG216">
        <f>survey_responses[[#This Row],[Sau khi xem xét các quyền lợi và nghĩa vụ, bạn có ủng hộ và tuân thủ chính sách mới hiện nay? - HUMAN-OUT1]]</f>
        <v>5</v>
      </c>
      <c r="BH216" t="str">
        <f t="shared" si="106"/>
        <v>Neutral</v>
      </c>
      <c r="BI216" s="32">
        <f t="shared" si="107"/>
        <v>4</v>
      </c>
    </row>
    <row r="217" spans="1:61" x14ac:dyDescent="0.45">
      <c r="A217" s="30">
        <f>step3_validation[[#This Row],[Persona_ID]]</f>
        <v>216</v>
      </c>
      <c r="B217" s="31">
        <f>step3_validation[[#This Row],[Used_Seed]]</f>
        <v>2241</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46.732707487689403</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6</v>
      </c>
      <c r="R217" t="str">
        <f t="shared" si="81"/>
        <v>Neutral</v>
      </c>
      <c r="S217">
        <f>survey_responses[[#This Row],[Tôi tin rằng với các quy định quản lý thuế hiện nay, hành vi gian lận hoặc trốn thuế sẽ dễ dàng bị phát hiện và xử lý nghiêm. - HUMAN-ENF1]]</f>
        <v>6</v>
      </c>
      <c r="T217" t="str">
        <f t="shared" si="82"/>
        <v>Neutral</v>
      </c>
      <c r="U217" s="32">
        <f t="shared" si="83"/>
        <v>0</v>
      </c>
      <c r="V217">
        <f>step3_validation[[#This Row],[AI_ENF2]]</f>
        <v>6</v>
      </c>
      <c r="W217" t="str">
        <f t="shared" si="84"/>
        <v>Neutral</v>
      </c>
      <c r="X217">
        <f>survey_responses[[#This Row],[Tôi tin rằng Nhà nước, cơ quan thuế có đủ khả năng và công nghệ để phát hiện, xử lý nghiêm các hành vi trốn thuế. - HUMAN-ENF2]]</f>
        <v>7</v>
      </c>
      <c r="Y217" t="str">
        <f t="shared" si="85"/>
        <v>Neutral</v>
      </c>
      <c r="Z217" s="32">
        <f t="shared" si="86"/>
        <v>1</v>
      </c>
      <c r="AA217">
        <f>step3_validation[[#This Row],[AI_FAC1]]</f>
        <v>9</v>
      </c>
      <c r="AB217" t="str">
        <f t="shared" si="87"/>
        <v>Support</v>
      </c>
      <c r="AC217">
        <f>survey_responses[[#This Row],[Các thủ tục khai báo thuế VÀ/HOẶC quy trình làm việc với cơ quan thuế đơn giản, tiện lợi, nhanh chóng hơn so với trước đây. - HUMAN-FAC1]]</f>
        <v>7</v>
      </c>
      <c r="AD217" t="str">
        <f t="shared" si="88"/>
        <v>Neutral</v>
      </c>
      <c r="AE217" s="32">
        <f t="shared" si="89"/>
        <v>2</v>
      </c>
      <c r="AF217">
        <f>step3_validation[[#This Row],[AI_FAC2]]</f>
        <v>9</v>
      </c>
      <c r="AG217" t="str">
        <f t="shared" si="90"/>
        <v>Support</v>
      </c>
      <c r="AH217">
        <f>survey_responses[[#This Row],[So với trước đây, tôi thấy cách tính thuế và các bậc thuế trong phương án mới đơn giản, dễ hiểu và dễ thực hiện hơn. - HUMAN-FAC2]]</f>
        <v>7</v>
      </c>
      <c r="AI217" t="str">
        <f t="shared" si="91"/>
        <v>Neutral</v>
      </c>
      <c r="AJ217" s="32">
        <f t="shared" si="92"/>
        <v>2</v>
      </c>
      <c r="AK217">
        <f>step3_validation[[#This Row],[AI_TRU1]]</f>
        <v>8</v>
      </c>
      <c r="AL217" t="str">
        <f t="shared" si="93"/>
        <v>Support</v>
      </c>
      <c r="AM217">
        <f>survey_responses[[#This Row],[Tôi tin rằng Nhà nước, cơ quan thuế sẽ thực thi chính sách mới một cách khách quan, công tâm và đối xử bình đẳng với mọi người nộp thuế.  - HUMAN-TRU1]]</f>
        <v>6</v>
      </c>
      <c r="AN217" t="str">
        <f t="shared" si="94"/>
        <v>Neutral</v>
      </c>
      <c r="AO217" s="32">
        <f t="shared" si="95"/>
        <v>2</v>
      </c>
      <c r="AP217">
        <f>step3_validation[[#This Row],[AI_TRU2]]</f>
        <v>8</v>
      </c>
      <c r="AQ217" t="str">
        <f t="shared" si="96"/>
        <v>Support</v>
      </c>
      <c r="AR217">
        <f>survey_responses[[#This Row],[Tôi thấy mức thuế tôi phải đóng theo phương án mới là công bằng (người thu nhập như tôi đóng mức này là hợp lý). - HUMAN-TRU2]]</f>
        <v>7</v>
      </c>
      <c r="AS217" t="str">
        <f t="shared" si="97"/>
        <v>Neutral</v>
      </c>
      <c r="AT217" s="32">
        <f t="shared" si="98"/>
        <v>1</v>
      </c>
      <c r="AU217">
        <f>step3_validation[[#This Row],[AI_TRU3]]</f>
        <v>7</v>
      </c>
      <c r="AV217" t="str">
        <f t="shared" si="99"/>
        <v>Neutral</v>
      </c>
      <c r="AW217">
        <f>survey_responses[[#This Row],[Tôi tin tưởng số tiền thuế tôi đóng sẽ được Nhà nước sử dụng hiệu quả để cải thiện dịch vụ công (y tế, đường xá...). - HUMAN-TRU3]]</f>
        <v>7</v>
      </c>
      <c r="AX217" t="str">
        <f t="shared" si="100"/>
        <v>Neutral</v>
      </c>
      <c r="AY217" s="32">
        <f t="shared" si="101"/>
        <v>0</v>
      </c>
      <c r="AZ217">
        <f>step3_validation[[#This Row],[AI_TRU4]]</f>
        <v>8</v>
      </c>
      <c r="BA217" t="str">
        <f t="shared" si="102"/>
        <v>Support</v>
      </c>
      <c r="BB217">
        <f>survey_responses[[#This Row],[Tôi thấy Nhà nước đã giải thích rõ ràng, minh bạch về lý do và mục tiêu của việc sửa đổi thuế lần này. - HUMAN-TRU4]]</f>
        <v>7</v>
      </c>
      <c r="BC217" t="str">
        <f t="shared" si="103"/>
        <v>Neutral</v>
      </c>
      <c r="BD217" s="32">
        <f t="shared" si="104"/>
        <v>1</v>
      </c>
      <c r="BE217">
        <f>step3_validation[[#This Row],[AI_OUT1]]</f>
        <v>7</v>
      </c>
      <c r="BF217" t="str">
        <f t="shared" si="105"/>
        <v>Neutral</v>
      </c>
      <c r="BG217">
        <f>survey_responses[[#This Row],[Sau khi xem xét các quyền lợi và nghĩa vụ, bạn có ủng hộ và tuân thủ chính sách mới hiện nay? - HUMAN-OUT1]]</f>
        <v>7</v>
      </c>
      <c r="BH217" t="str">
        <f t="shared" si="106"/>
        <v>Neutral</v>
      </c>
      <c r="BI217" s="32">
        <f t="shared" si="107"/>
        <v>0</v>
      </c>
    </row>
    <row r="218" spans="1:61" x14ac:dyDescent="0.45">
      <c r="A218" s="30">
        <f>step3_validation[[#This Row],[Persona_ID]]</f>
        <v>217</v>
      </c>
      <c r="B218" s="31">
        <f>step3_validation[[#This Row],[Used_Seed]]</f>
        <v>2242</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44.52353099344927</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7</v>
      </c>
      <c r="R218" t="str">
        <f t="shared" si="81"/>
        <v>Neutral</v>
      </c>
      <c r="S218">
        <f>survey_responses[[#This Row],[Tôi tin rằng với các quy định quản lý thuế hiện nay, hành vi gian lận hoặc trốn thuế sẽ dễ dàng bị phát hiện và xử lý nghiêm. - HUMAN-ENF1]]</f>
        <v>5</v>
      </c>
      <c r="T218" t="str">
        <f t="shared" si="82"/>
        <v>Neutral</v>
      </c>
      <c r="U218" s="32">
        <f t="shared" si="83"/>
        <v>2</v>
      </c>
      <c r="V218">
        <f>step3_validation[[#This Row],[AI_ENF2]]</f>
        <v>8</v>
      </c>
      <c r="W218" t="str">
        <f t="shared" si="84"/>
        <v>Support</v>
      </c>
      <c r="X218">
        <f>survey_responses[[#This Row],[Tôi tin rằng Nhà nước, cơ quan thuế có đủ khả năng và công nghệ để phát hiện, xử lý nghiêm các hành vi trốn thuế. - HUMAN-ENF2]]</f>
        <v>5</v>
      </c>
      <c r="Y218" t="str">
        <f t="shared" si="85"/>
        <v>Neutral</v>
      </c>
      <c r="Z218" s="32">
        <f t="shared" si="86"/>
        <v>3</v>
      </c>
      <c r="AA218">
        <f>step3_validation[[#This Row],[AI_FAC1]]</f>
        <v>9</v>
      </c>
      <c r="AB218" t="str">
        <f t="shared" si="87"/>
        <v>Support</v>
      </c>
      <c r="AC218">
        <f>survey_responses[[#This Row],[Các thủ tục khai báo thuế VÀ/HOẶC quy trình làm việc với cơ quan thuế đơn giản, tiện lợi, nhanh chóng hơn so với trước đây. - HUMAN-FAC1]]</f>
        <v>5</v>
      </c>
      <c r="AD218" t="str">
        <f t="shared" si="88"/>
        <v>Neutral</v>
      </c>
      <c r="AE218" s="32">
        <f t="shared" si="89"/>
        <v>4</v>
      </c>
      <c r="AF218">
        <f>step3_validation[[#This Row],[AI_FAC2]]</f>
        <v>10</v>
      </c>
      <c r="AG218" t="str">
        <f t="shared" si="90"/>
        <v>Support</v>
      </c>
      <c r="AH218">
        <f>survey_responses[[#This Row],[So với trước đây, tôi thấy cách tính thuế và các bậc thuế trong phương án mới đơn giản, dễ hiểu và dễ thực hiện hơn. - HUMAN-FAC2]]</f>
        <v>6</v>
      </c>
      <c r="AI218" t="str">
        <f t="shared" si="91"/>
        <v>Neutral</v>
      </c>
      <c r="AJ218" s="32">
        <f t="shared" si="92"/>
        <v>4</v>
      </c>
      <c r="AK218">
        <f>step3_validation[[#This Row],[AI_TRU1]]</f>
        <v>7</v>
      </c>
      <c r="AL218" t="str">
        <f t="shared" si="93"/>
        <v>Neutral</v>
      </c>
      <c r="AM218">
        <f>survey_responses[[#This Row],[Tôi tin rằng Nhà nước, cơ quan thuế sẽ thực thi chính sách mới một cách khách quan, công tâm và đối xử bình đẳng với mọi người nộp thuế.  - HUMAN-TRU1]]</f>
        <v>5</v>
      </c>
      <c r="AN218" t="str">
        <f t="shared" si="94"/>
        <v>Neutral</v>
      </c>
      <c r="AO218" s="32">
        <f t="shared" si="95"/>
        <v>2</v>
      </c>
      <c r="AP218">
        <f>step3_validation[[#This Row],[AI_TRU2]]</f>
        <v>9</v>
      </c>
      <c r="AQ218" t="str">
        <f t="shared" si="96"/>
        <v>Support</v>
      </c>
      <c r="AR218">
        <f>survey_responses[[#This Row],[Tôi thấy mức thuế tôi phải đóng theo phương án mới là công bằng (người thu nhập như tôi đóng mức này là hợp lý). - HUMAN-TRU2]]</f>
        <v>5</v>
      </c>
      <c r="AS218" t="str">
        <f t="shared" si="97"/>
        <v>Neutral</v>
      </c>
      <c r="AT218" s="32">
        <f t="shared" si="98"/>
        <v>4</v>
      </c>
      <c r="AU218">
        <f>step3_validation[[#This Row],[AI_TRU3]]</f>
        <v>8</v>
      </c>
      <c r="AV218" t="str">
        <f t="shared" si="99"/>
        <v>Support</v>
      </c>
      <c r="AW218">
        <f>survey_responses[[#This Row],[Tôi tin tưởng số tiền thuế tôi đóng sẽ được Nhà nước sử dụng hiệu quả để cải thiện dịch vụ công (y tế, đường xá...). - HUMAN-TRU3]]</f>
        <v>5</v>
      </c>
      <c r="AX218" t="str">
        <f t="shared" si="100"/>
        <v>Neutral</v>
      </c>
      <c r="AY218" s="32">
        <f t="shared" si="101"/>
        <v>3</v>
      </c>
      <c r="AZ218">
        <f>step3_validation[[#This Row],[AI_TRU4]]</f>
        <v>9</v>
      </c>
      <c r="BA218" t="str">
        <f t="shared" si="102"/>
        <v>Support</v>
      </c>
      <c r="BB218">
        <f>survey_responses[[#This Row],[Tôi thấy Nhà nước đã giải thích rõ ràng, minh bạch về lý do và mục tiêu của việc sửa đổi thuế lần này. - HUMAN-TRU4]]</f>
        <v>5</v>
      </c>
      <c r="BC218" t="str">
        <f t="shared" si="103"/>
        <v>Neutral</v>
      </c>
      <c r="BD218" s="32">
        <f t="shared" si="104"/>
        <v>4</v>
      </c>
      <c r="BE218">
        <f>step3_validation[[#This Row],[AI_OUT1]]</f>
        <v>10</v>
      </c>
      <c r="BF218" t="str">
        <f t="shared" si="105"/>
        <v>Support</v>
      </c>
      <c r="BG218">
        <f>survey_responses[[#This Row],[Sau khi xem xét các quyền lợi và nghĩa vụ, bạn có ủng hộ và tuân thủ chính sách mới hiện nay? - HUMAN-OUT1]]</f>
        <v>5</v>
      </c>
      <c r="BH218" t="str">
        <f t="shared" si="106"/>
        <v>Neutral</v>
      </c>
      <c r="BI218" s="32">
        <f t="shared" si="107"/>
        <v>5</v>
      </c>
    </row>
    <row r="219" spans="1:61" x14ac:dyDescent="0.45">
      <c r="A219" s="30">
        <f>step3_validation[[#This Row],[Persona_ID]]</f>
        <v>218</v>
      </c>
      <c r="B219" s="31">
        <f>step3_validation[[#This Row],[Used_Seed]]</f>
        <v>2243</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56.230318205755836</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7</v>
      </c>
      <c r="R219" t="str">
        <f t="shared" si="81"/>
        <v>Neutral</v>
      </c>
      <c r="S219">
        <f>survey_responses[[#This Row],[Tôi tin rằng với các quy định quản lý thuế hiện nay, hành vi gian lận hoặc trốn thuế sẽ dễ dàng bị phát hiện và xử lý nghiêm. - HUMAN-ENF1]]</f>
        <v>6</v>
      </c>
      <c r="T219" t="str">
        <f t="shared" si="82"/>
        <v>Neutral</v>
      </c>
      <c r="U219" s="32">
        <f t="shared" si="83"/>
        <v>1</v>
      </c>
      <c r="V219">
        <f>step3_validation[[#This Row],[AI_ENF2]]</f>
        <v>8</v>
      </c>
      <c r="W219" t="str">
        <f t="shared" si="84"/>
        <v>Support</v>
      </c>
      <c r="X219">
        <f>survey_responses[[#This Row],[Tôi tin rằng Nhà nước, cơ quan thuế có đủ khả năng và công nghệ để phát hiện, xử lý nghiêm các hành vi trốn thuế. - HUMAN-ENF2]]</f>
        <v>7</v>
      </c>
      <c r="Y219" t="str">
        <f t="shared" si="85"/>
        <v>Neutral</v>
      </c>
      <c r="Z219" s="32">
        <f t="shared" si="86"/>
        <v>1</v>
      </c>
      <c r="AA219">
        <f>step3_validation[[#This Row],[AI_FAC1]]</f>
        <v>9</v>
      </c>
      <c r="AB219" t="str">
        <f t="shared" si="87"/>
        <v>Support</v>
      </c>
      <c r="AC219">
        <f>survey_responses[[#This Row],[Các thủ tục khai báo thuế VÀ/HOẶC quy trình làm việc với cơ quan thuế đơn giản, tiện lợi, nhanh chóng hơn so với trước đây. - HUMAN-FAC1]]</f>
        <v>7</v>
      </c>
      <c r="AD219" t="str">
        <f t="shared" si="88"/>
        <v>Neutral</v>
      </c>
      <c r="AE219" s="32">
        <f t="shared" si="89"/>
        <v>2</v>
      </c>
      <c r="AF219">
        <f>step3_validation[[#This Row],[AI_FAC2]]</f>
        <v>9</v>
      </c>
      <c r="AG219" t="str">
        <f t="shared" si="90"/>
        <v>Support</v>
      </c>
      <c r="AH219">
        <f>survey_responses[[#This Row],[So với trước đây, tôi thấy cách tính thuế và các bậc thuế trong phương án mới đơn giản, dễ hiểu và dễ thực hiện hơn. - HUMAN-FAC2]]</f>
        <v>7</v>
      </c>
      <c r="AI219" t="str">
        <f t="shared" si="91"/>
        <v>Neutral</v>
      </c>
      <c r="AJ219" s="32">
        <f t="shared" si="92"/>
        <v>2</v>
      </c>
      <c r="AK219">
        <f>step3_validation[[#This Row],[AI_TRU1]]</f>
        <v>8</v>
      </c>
      <c r="AL219" t="str">
        <f t="shared" si="93"/>
        <v>Support</v>
      </c>
      <c r="AM219">
        <f>survey_responses[[#This Row],[Tôi tin rằng Nhà nước, cơ quan thuế sẽ thực thi chính sách mới một cách khách quan, công tâm và đối xử bình đẳng với mọi người nộp thuế.  - HUMAN-TRU1]]</f>
        <v>7</v>
      </c>
      <c r="AN219" t="str">
        <f t="shared" si="94"/>
        <v>Neutral</v>
      </c>
      <c r="AO219" s="32">
        <f t="shared" si="95"/>
        <v>1</v>
      </c>
      <c r="AP219">
        <f>step3_validation[[#This Row],[AI_TRU2]]</f>
        <v>8</v>
      </c>
      <c r="AQ219" t="str">
        <f t="shared" si="96"/>
        <v>Support</v>
      </c>
      <c r="AR219">
        <f>survey_responses[[#This Row],[Tôi thấy mức thuế tôi phải đóng theo phương án mới là công bằng (người thu nhập như tôi đóng mức này là hợp lý). - HUMAN-TRU2]]</f>
        <v>7</v>
      </c>
      <c r="AS219" t="str">
        <f t="shared" si="97"/>
        <v>Neutral</v>
      </c>
      <c r="AT219" s="32">
        <f t="shared" si="98"/>
        <v>1</v>
      </c>
      <c r="AU219">
        <f>step3_validation[[#This Row],[AI_TRU3]]</f>
        <v>7</v>
      </c>
      <c r="AV219" t="str">
        <f t="shared" si="99"/>
        <v>Neutral</v>
      </c>
      <c r="AW219">
        <f>survey_responses[[#This Row],[Tôi tin tưởng số tiền thuế tôi đóng sẽ được Nhà nước sử dụng hiệu quả để cải thiện dịch vụ công (y tế, đường xá...). - HUMAN-TRU3]]</f>
        <v>7</v>
      </c>
      <c r="AX219" t="str">
        <f t="shared" si="100"/>
        <v>Neutral</v>
      </c>
      <c r="AY219" s="32">
        <f t="shared" si="101"/>
        <v>0</v>
      </c>
      <c r="AZ219">
        <f>step3_validation[[#This Row],[AI_TRU4]]</f>
        <v>8</v>
      </c>
      <c r="BA219" t="str">
        <f t="shared" si="102"/>
        <v>Support</v>
      </c>
      <c r="BB219">
        <f>survey_responses[[#This Row],[Tôi thấy Nhà nước đã giải thích rõ ràng, minh bạch về lý do và mục tiêu của việc sửa đổi thuế lần này. - HUMAN-TRU4]]</f>
        <v>7</v>
      </c>
      <c r="BC219" t="str">
        <f t="shared" si="103"/>
        <v>Neutral</v>
      </c>
      <c r="BD219" s="32">
        <f t="shared" si="104"/>
        <v>1</v>
      </c>
      <c r="BE219">
        <f>step3_validation[[#This Row],[AI_OUT1]]</f>
        <v>9</v>
      </c>
      <c r="BF219" t="str">
        <f t="shared" si="105"/>
        <v>Support</v>
      </c>
      <c r="BG219">
        <f>survey_responses[[#This Row],[Sau khi xem xét các quyền lợi và nghĩa vụ, bạn có ủng hộ và tuân thủ chính sách mới hiện nay? - HUMAN-OUT1]]</f>
        <v>7</v>
      </c>
      <c r="BH219" t="str">
        <f t="shared" si="106"/>
        <v>Neutral</v>
      </c>
      <c r="BI219" s="32">
        <f t="shared" si="107"/>
        <v>2</v>
      </c>
    </row>
    <row r="220" spans="1:61" x14ac:dyDescent="0.45">
      <c r="A220" s="30">
        <f>step3_validation[[#This Row],[Persona_ID]]</f>
        <v>219</v>
      </c>
      <c r="B220" s="31">
        <f>step3_validation[[#This Row],[Used_Seed]]</f>
        <v>2244</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182.44724905347212</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8</v>
      </c>
      <c r="R220" t="str">
        <f t="shared" si="81"/>
        <v>Support</v>
      </c>
      <c r="S220">
        <f>survey_responses[[#This Row],[Tôi tin rằng với các quy định quản lý thuế hiện nay, hành vi gian lận hoặc trốn thuế sẽ dễ dàng bị phát hiện và xử lý nghiêm. - HUMAN-ENF1]]</f>
        <v>7</v>
      </c>
      <c r="T220" t="str">
        <f t="shared" si="82"/>
        <v>Neutral</v>
      </c>
      <c r="U220" s="32">
        <f t="shared" si="83"/>
        <v>1</v>
      </c>
      <c r="V220">
        <f>step3_validation[[#This Row],[AI_ENF2]]</f>
        <v>9</v>
      </c>
      <c r="W220" t="str">
        <f t="shared" si="84"/>
        <v>Support</v>
      </c>
      <c r="X220">
        <f>survey_responses[[#This Row],[Tôi tin rằng Nhà nước, cơ quan thuế có đủ khả năng và công nghệ để phát hiện, xử lý nghiêm các hành vi trốn thuế. - HUMAN-ENF2]]</f>
        <v>8</v>
      </c>
      <c r="Y220" t="str">
        <f t="shared" si="85"/>
        <v>Support</v>
      </c>
      <c r="Z220" s="32">
        <f t="shared" si="86"/>
        <v>1</v>
      </c>
      <c r="AA220">
        <f>step3_validation[[#This Row],[AI_FAC1]]</f>
        <v>8</v>
      </c>
      <c r="AB220" t="str">
        <f t="shared" si="87"/>
        <v>Support</v>
      </c>
      <c r="AC220">
        <f>survey_responses[[#This Row],[Các thủ tục khai báo thuế VÀ/HOẶC quy trình làm việc với cơ quan thuế đơn giản, tiện lợi, nhanh chóng hơn so với trước đây. - HUMAN-FAC1]]</f>
        <v>8</v>
      </c>
      <c r="AD220" t="str">
        <f t="shared" si="88"/>
        <v>Support</v>
      </c>
      <c r="AE220" s="32">
        <f t="shared" si="89"/>
        <v>0</v>
      </c>
      <c r="AF220">
        <f>step3_validation[[#This Row],[AI_FAC2]]</f>
        <v>9</v>
      </c>
      <c r="AG220" t="str">
        <f t="shared" si="90"/>
        <v>Support</v>
      </c>
      <c r="AH220">
        <f>survey_responses[[#This Row],[So với trước đây, tôi thấy cách tính thuế và các bậc thuế trong phương án mới đơn giản, dễ hiểu và dễ thực hiện hơn. - HUMAN-FAC2]]</f>
        <v>8</v>
      </c>
      <c r="AI220" t="str">
        <f t="shared" si="91"/>
        <v>Support</v>
      </c>
      <c r="AJ220" s="32">
        <f t="shared" si="92"/>
        <v>1</v>
      </c>
      <c r="AK220">
        <f>step3_validation[[#This Row],[AI_TRU1]]</f>
        <v>8</v>
      </c>
      <c r="AL220" t="str">
        <f t="shared" si="93"/>
        <v>Support</v>
      </c>
      <c r="AM220">
        <f>survey_responses[[#This Row],[Tôi tin rằng Nhà nước, cơ quan thuế sẽ thực thi chính sách mới một cách khách quan, công tâm và đối xử bình đẳng với mọi người nộp thuế.  - HUMAN-TRU1]]</f>
        <v>8</v>
      </c>
      <c r="AN220" t="str">
        <f t="shared" si="94"/>
        <v>Support</v>
      </c>
      <c r="AO220" s="32">
        <f t="shared" si="95"/>
        <v>0</v>
      </c>
      <c r="AP220">
        <f>step3_validation[[#This Row],[AI_TRU2]]</f>
        <v>9</v>
      </c>
      <c r="AQ220" t="str">
        <f t="shared" si="96"/>
        <v>Support</v>
      </c>
      <c r="AR220">
        <f>survey_responses[[#This Row],[Tôi thấy mức thuế tôi phải đóng theo phương án mới là công bằng (người thu nhập như tôi đóng mức này là hợp lý). - HUMAN-TRU2]]</f>
        <v>5</v>
      </c>
      <c r="AS220" t="str">
        <f t="shared" si="97"/>
        <v>Neutral</v>
      </c>
      <c r="AT220" s="32">
        <f t="shared" si="98"/>
        <v>4</v>
      </c>
      <c r="AU220">
        <f>step3_validation[[#This Row],[AI_TRU3]]</f>
        <v>8</v>
      </c>
      <c r="AV220" t="str">
        <f t="shared" si="99"/>
        <v>Support</v>
      </c>
      <c r="AW220">
        <f>survey_responses[[#This Row],[Tôi tin tưởng số tiền thuế tôi đóng sẽ được Nhà nước sử dụng hiệu quả để cải thiện dịch vụ công (y tế, đường xá...). - HUMAN-TRU3]]</f>
        <v>5</v>
      </c>
      <c r="AX220" t="str">
        <f t="shared" si="100"/>
        <v>Neutral</v>
      </c>
      <c r="AY220" s="32">
        <f t="shared" si="101"/>
        <v>3</v>
      </c>
      <c r="AZ220">
        <f>step3_validation[[#This Row],[AI_TRU4]]</f>
        <v>9</v>
      </c>
      <c r="BA220" t="str">
        <f t="shared" si="102"/>
        <v>Support</v>
      </c>
      <c r="BB220">
        <f>survey_responses[[#This Row],[Tôi thấy Nhà nước đã giải thích rõ ràng, minh bạch về lý do và mục tiêu của việc sửa đổi thuế lần này. - HUMAN-TRU4]]</f>
        <v>7</v>
      </c>
      <c r="BC220" t="str">
        <f t="shared" si="103"/>
        <v>Neutral</v>
      </c>
      <c r="BD220" s="32">
        <f t="shared" si="104"/>
        <v>2</v>
      </c>
      <c r="BE220">
        <f>step3_validation[[#This Row],[AI_OUT1]]</f>
        <v>8</v>
      </c>
      <c r="BF220" t="str">
        <f t="shared" si="105"/>
        <v>Support</v>
      </c>
      <c r="BG220">
        <f>survey_responses[[#This Row],[Sau khi xem xét các quyền lợi và nghĩa vụ, bạn có ủng hộ và tuân thủ chính sách mới hiện nay? - HUMAN-OUT1]]</f>
        <v>6</v>
      </c>
      <c r="BH220" t="str">
        <f t="shared" si="106"/>
        <v>Neutral</v>
      </c>
      <c r="BI220" s="32">
        <f t="shared" si="107"/>
        <v>2</v>
      </c>
    </row>
    <row r="221" spans="1:61" x14ac:dyDescent="0.45">
      <c r="A221" s="30">
        <f>step3_validation[[#This Row],[Persona_ID]]</f>
        <v>220</v>
      </c>
      <c r="B221" s="31">
        <f>step3_validation[[#This Row],[Used_Seed]]</f>
        <v>2245</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196.9270448940442</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6</v>
      </c>
      <c r="R221" t="str">
        <f t="shared" si="81"/>
        <v>Neutral</v>
      </c>
      <c r="S221">
        <f>survey_responses[[#This Row],[Tôi tin rằng với các quy định quản lý thuế hiện nay, hành vi gian lận hoặc trốn thuế sẽ dễ dàng bị phát hiện và xử lý nghiêm. - HUMAN-ENF1]]</f>
        <v>10</v>
      </c>
      <c r="T221" t="str">
        <f t="shared" si="82"/>
        <v>Support</v>
      </c>
      <c r="U221" s="32">
        <f t="shared" si="83"/>
        <v>4</v>
      </c>
      <c r="V221">
        <f>step3_validation[[#This Row],[AI_ENF2]]</f>
        <v>6</v>
      </c>
      <c r="W221" t="str">
        <f t="shared" si="84"/>
        <v>Neutral</v>
      </c>
      <c r="X221">
        <f>survey_responses[[#This Row],[Tôi tin rằng Nhà nước, cơ quan thuế có đủ khả năng và công nghệ để phát hiện, xử lý nghiêm các hành vi trốn thuế. - HUMAN-ENF2]]</f>
        <v>10</v>
      </c>
      <c r="Y221" t="str">
        <f t="shared" si="85"/>
        <v>Support</v>
      </c>
      <c r="Z221" s="32">
        <f t="shared" si="86"/>
        <v>4</v>
      </c>
      <c r="AA221">
        <f>step3_validation[[#This Row],[AI_FAC1]]</f>
        <v>8</v>
      </c>
      <c r="AB221" t="str">
        <f t="shared" si="87"/>
        <v>Support</v>
      </c>
      <c r="AC221">
        <f>survey_responses[[#This Row],[Các thủ tục khai báo thuế VÀ/HOẶC quy trình làm việc với cơ quan thuế đơn giản, tiện lợi, nhanh chóng hơn so với trước đây. - HUMAN-FAC1]]</f>
        <v>6</v>
      </c>
      <c r="AD221" t="str">
        <f t="shared" si="88"/>
        <v>Neutral</v>
      </c>
      <c r="AE221" s="32">
        <f t="shared" si="89"/>
        <v>2</v>
      </c>
      <c r="AF221">
        <f>step3_validation[[#This Row],[AI_FAC2]]</f>
        <v>9</v>
      </c>
      <c r="AG221" t="str">
        <f t="shared" si="90"/>
        <v>Support</v>
      </c>
      <c r="AH221">
        <f>survey_responses[[#This Row],[So với trước đây, tôi thấy cách tính thuế và các bậc thuế trong phương án mới đơn giản, dễ hiểu và dễ thực hiện hơn. - HUMAN-FAC2]]</f>
        <v>9</v>
      </c>
      <c r="AI221" t="str">
        <f t="shared" si="91"/>
        <v>Support</v>
      </c>
      <c r="AJ221" s="32">
        <f t="shared" si="92"/>
        <v>0</v>
      </c>
      <c r="AK221">
        <f>step3_validation[[#This Row],[AI_TRU1]]</f>
        <v>7</v>
      </c>
      <c r="AL221" t="str">
        <f t="shared" si="93"/>
        <v>Neutral</v>
      </c>
      <c r="AM221">
        <f>survey_responses[[#This Row],[Tôi tin rằng Nhà nước, cơ quan thuế sẽ thực thi chính sách mới một cách khách quan, công tâm và đối xử bình đẳng với mọi người nộp thuế.  - HUMAN-TRU1]]</f>
        <v>9</v>
      </c>
      <c r="AN221" t="str">
        <f t="shared" si="94"/>
        <v>Support</v>
      </c>
      <c r="AO221" s="32">
        <f t="shared" si="95"/>
        <v>2</v>
      </c>
      <c r="AP221">
        <f>step3_validation[[#This Row],[AI_TRU2]]</f>
        <v>9</v>
      </c>
      <c r="AQ221" t="str">
        <f t="shared" si="96"/>
        <v>Support</v>
      </c>
      <c r="AR221">
        <f>survey_responses[[#This Row],[Tôi thấy mức thuế tôi phải đóng theo phương án mới là công bằng (người thu nhập như tôi đóng mức này là hợp lý). - HUMAN-TRU2]]</f>
        <v>9</v>
      </c>
      <c r="AS221" t="str">
        <f t="shared" si="97"/>
        <v>Support</v>
      </c>
      <c r="AT221" s="32">
        <f t="shared" si="98"/>
        <v>0</v>
      </c>
      <c r="AU221">
        <f>step3_validation[[#This Row],[AI_TRU3]]</f>
        <v>8</v>
      </c>
      <c r="AV221" t="str">
        <f t="shared" si="99"/>
        <v>Support</v>
      </c>
      <c r="AW221">
        <f>survey_responses[[#This Row],[Tôi tin tưởng số tiền thuế tôi đóng sẽ được Nhà nước sử dụng hiệu quả để cải thiện dịch vụ công (y tế, đường xá...). - HUMAN-TRU3]]</f>
        <v>9</v>
      </c>
      <c r="AX221" t="str">
        <f t="shared" si="100"/>
        <v>Support</v>
      </c>
      <c r="AY221" s="32">
        <f t="shared" si="101"/>
        <v>1</v>
      </c>
      <c r="AZ221">
        <f>step3_validation[[#This Row],[AI_TRU4]]</f>
        <v>7</v>
      </c>
      <c r="BA221" t="str">
        <f t="shared" si="102"/>
        <v>Neutral</v>
      </c>
      <c r="BB221">
        <f>survey_responses[[#This Row],[Tôi thấy Nhà nước đã giải thích rõ ràng, minh bạch về lý do và mục tiêu của việc sửa đổi thuế lần này. - HUMAN-TRU4]]</f>
        <v>8</v>
      </c>
      <c r="BC221" t="str">
        <f t="shared" si="103"/>
        <v>Support</v>
      </c>
      <c r="BD221" s="32">
        <f t="shared" si="104"/>
        <v>1</v>
      </c>
      <c r="BE221">
        <f>step3_validation[[#This Row],[AI_OUT1]]</f>
        <v>9</v>
      </c>
      <c r="BF221" t="str">
        <f t="shared" si="105"/>
        <v>Support</v>
      </c>
      <c r="BG221">
        <f>survey_responses[[#This Row],[Sau khi xem xét các quyền lợi và nghĩa vụ, bạn có ủng hộ và tuân thủ chính sách mới hiện nay? - HUMAN-OUT1]]</f>
        <v>8</v>
      </c>
      <c r="BH221" t="str">
        <f t="shared" si="106"/>
        <v>Support</v>
      </c>
      <c r="BI221" s="32">
        <f t="shared" si="107"/>
        <v>1</v>
      </c>
    </row>
    <row r="222" spans="1:61" x14ac:dyDescent="0.45">
      <c r="A222" s="30">
        <f>step3_validation[[#This Row],[Persona_ID]]</f>
        <v>221</v>
      </c>
      <c r="B222" s="31">
        <f>step3_validation[[#This Row],[Used_Seed]]</f>
        <v>2246</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55.586348861787485</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7</v>
      </c>
      <c r="R222" t="str">
        <f t="shared" si="81"/>
        <v>Neutral</v>
      </c>
      <c r="S222">
        <f>survey_responses[[#This Row],[Tôi tin rằng với các quy định quản lý thuế hiện nay, hành vi gian lận hoặc trốn thuế sẽ dễ dàng bị phát hiện và xử lý nghiêm. - HUMAN-ENF1]]</f>
        <v>4</v>
      </c>
      <c r="T222" t="str">
        <f t="shared" si="82"/>
        <v>Oppose</v>
      </c>
      <c r="U222" s="32">
        <f t="shared" si="83"/>
        <v>3</v>
      </c>
      <c r="V222">
        <f>step3_validation[[#This Row],[AI_ENF2]]</f>
        <v>6</v>
      </c>
      <c r="W222" t="str">
        <f t="shared" si="84"/>
        <v>Neutral</v>
      </c>
      <c r="X222">
        <f>survey_responses[[#This Row],[Tôi tin rằng Nhà nước, cơ quan thuế có đủ khả năng và công nghệ để phát hiện, xử lý nghiêm các hành vi trốn thuế. - HUMAN-ENF2]]</f>
        <v>4</v>
      </c>
      <c r="Y222" t="str">
        <f t="shared" si="85"/>
        <v>Oppose</v>
      </c>
      <c r="Z222" s="32">
        <f t="shared" si="86"/>
        <v>2</v>
      </c>
      <c r="AA222">
        <f>step3_validation[[#This Row],[AI_FAC1]]</f>
        <v>9</v>
      </c>
      <c r="AB222" t="str">
        <f t="shared" si="87"/>
        <v>Support</v>
      </c>
      <c r="AC222">
        <f>survey_responses[[#This Row],[Các thủ tục khai báo thuế VÀ/HOẶC quy trình làm việc với cơ quan thuế đơn giản, tiện lợi, nhanh chóng hơn so với trước đây. - HUMAN-FAC1]]</f>
        <v>4</v>
      </c>
      <c r="AD222" t="str">
        <f t="shared" si="88"/>
        <v>Oppose</v>
      </c>
      <c r="AE222" s="32">
        <f t="shared" si="89"/>
        <v>5</v>
      </c>
      <c r="AF222">
        <f>step3_validation[[#This Row],[AI_FAC2]]</f>
        <v>8</v>
      </c>
      <c r="AG222" t="str">
        <f t="shared" si="90"/>
        <v>Support</v>
      </c>
      <c r="AH222">
        <f>survey_responses[[#This Row],[So với trước đây, tôi thấy cách tính thuế và các bậc thuế trong phương án mới đơn giản, dễ hiểu và dễ thực hiện hơn. - HUMAN-FAC2]]</f>
        <v>6</v>
      </c>
      <c r="AI222" t="str">
        <f t="shared" si="91"/>
        <v>Neutral</v>
      </c>
      <c r="AJ222" s="32">
        <f t="shared" si="92"/>
        <v>2</v>
      </c>
      <c r="AK222">
        <f>step3_validation[[#This Row],[AI_TRU1]]</f>
        <v>7</v>
      </c>
      <c r="AL222" t="str">
        <f t="shared" si="93"/>
        <v>Neutral</v>
      </c>
      <c r="AM222">
        <f>survey_responses[[#This Row],[Tôi tin rằng Nhà nước, cơ quan thuế sẽ thực thi chính sách mới một cách khách quan, công tâm và đối xử bình đẳng với mọi người nộp thuế.  - HUMAN-TRU1]]</f>
        <v>5</v>
      </c>
      <c r="AN222" t="str">
        <f t="shared" si="94"/>
        <v>Neutral</v>
      </c>
      <c r="AO222" s="32">
        <f t="shared" si="95"/>
        <v>2</v>
      </c>
      <c r="AP222">
        <f>step3_validation[[#This Row],[AI_TRU2]]</f>
        <v>9</v>
      </c>
      <c r="AQ222" t="str">
        <f t="shared" si="96"/>
        <v>Support</v>
      </c>
      <c r="AR222">
        <f>survey_responses[[#This Row],[Tôi thấy mức thuế tôi phải đóng theo phương án mới là công bằng (người thu nhập như tôi đóng mức này là hợp lý). - HUMAN-TRU2]]</f>
        <v>6</v>
      </c>
      <c r="AS222" t="str">
        <f t="shared" si="97"/>
        <v>Neutral</v>
      </c>
      <c r="AT222" s="32">
        <f t="shared" si="98"/>
        <v>3</v>
      </c>
      <c r="AU222">
        <f>step3_validation[[#This Row],[AI_TRU3]]</f>
        <v>8</v>
      </c>
      <c r="AV222" t="str">
        <f t="shared" si="99"/>
        <v>Support</v>
      </c>
      <c r="AW222">
        <f>survey_responses[[#This Row],[Tôi tin tưởng số tiền thuế tôi đóng sẽ được Nhà nước sử dụng hiệu quả để cải thiện dịch vụ công (y tế, đường xá...). - HUMAN-TRU3]]</f>
        <v>5</v>
      </c>
      <c r="AX222" t="str">
        <f t="shared" si="100"/>
        <v>Neutral</v>
      </c>
      <c r="AY222" s="32">
        <f t="shared" si="101"/>
        <v>3</v>
      </c>
      <c r="AZ222">
        <f>step3_validation[[#This Row],[AI_TRU4]]</f>
        <v>7</v>
      </c>
      <c r="BA222" t="str">
        <f t="shared" si="102"/>
        <v>Neutral</v>
      </c>
      <c r="BB222">
        <f>survey_responses[[#This Row],[Tôi thấy Nhà nước đã giải thích rõ ràng, minh bạch về lý do và mục tiêu của việc sửa đổi thuế lần này. - HUMAN-TRU4]]</f>
        <v>6</v>
      </c>
      <c r="BC222" t="str">
        <f t="shared" si="103"/>
        <v>Neutral</v>
      </c>
      <c r="BD222" s="32">
        <f t="shared" si="104"/>
        <v>1</v>
      </c>
      <c r="BE222">
        <f>step3_validation[[#This Row],[AI_OUT1]]</f>
        <v>8</v>
      </c>
      <c r="BF222" t="str">
        <f t="shared" si="105"/>
        <v>Support</v>
      </c>
      <c r="BG222">
        <f>survey_responses[[#This Row],[Sau khi xem xét các quyền lợi và nghĩa vụ, bạn có ủng hộ và tuân thủ chính sách mới hiện nay? - HUMAN-OUT1]]</f>
        <v>5</v>
      </c>
      <c r="BH222" t="str">
        <f t="shared" si="106"/>
        <v>Neutral</v>
      </c>
      <c r="BI222" s="32">
        <f t="shared" si="107"/>
        <v>3</v>
      </c>
    </row>
    <row r="223" spans="1:61" x14ac:dyDescent="0.45">
      <c r="A223" s="30">
        <f>step3_validation[[#This Row],[Persona_ID]]</f>
        <v>222</v>
      </c>
      <c r="B223" s="31">
        <f>step3_validation[[#This Row],[Used_Seed]]</f>
        <v>2247</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49.179815053040443</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6</v>
      </c>
      <c r="R223" t="str">
        <f t="shared" si="81"/>
        <v>Neutral</v>
      </c>
      <c r="S223">
        <f>survey_responses[[#This Row],[Tôi tin rằng với các quy định quản lý thuế hiện nay, hành vi gian lận hoặc trốn thuế sẽ dễ dàng bị phát hiện và xử lý nghiêm. - HUMAN-ENF1]]</f>
        <v>4</v>
      </c>
      <c r="T223" t="str">
        <f t="shared" si="82"/>
        <v>Oppose</v>
      </c>
      <c r="U223" s="32">
        <f t="shared" si="83"/>
        <v>2</v>
      </c>
      <c r="V223">
        <f>step3_validation[[#This Row],[AI_ENF2]]</f>
        <v>5</v>
      </c>
      <c r="W223" t="str">
        <f t="shared" si="84"/>
        <v>Neutral</v>
      </c>
      <c r="X223">
        <f>survey_responses[[#This Row],[Tôi tin rằng Nhà nước, cơ quan thuế có đủ khả năng và công nghệ để phát hiện, xử lý nghiêm các hành vi trốn thuế. - HUMAN-ENF2]]</f>
        <v>5</v>
      </c>
      <c r="Y223" t="str">
        <f t="shared" si="85"/>
        <v>Neutral</v>
      </c>
      <c r="Z223" s="32">
        <f t="shared" si="86"/>
        <v>0</v>
      </c>
      <c r="AA223">
        <f>step3_validation[[#This Row],[AI_FAC1]]</f>
        <v>8</v>
      </c>
      <c r="AB223" t="str">
        <f t="shared" si="87"/>
        <v>Support</v>
      </c>
      <c r="AC223">
        <f>survey_responses[[#This Row],[Các thủ tục khai báo thuế VÀ/HOẶC quy trình làm việc với cơ quan thuế đơn giản, tiện lợi, nhanh chóng hơn so với trước đây. - HUMAN-FAC1]]</f>
        <v>4</v>
      </c>
      <c r="AD223" t="str">
        <f t="shared" si="88"/>
        <v>Oppose</v>
      </c>
      <c r="AE223" s="32">
        <f t="shared" si="89"/>
        <v>4</v>
      </c>
      <c r="AF223">
        <f>step3_validation[[#This Row],[AI_FAC2]]</f>
        <v>9</v>
      </c>
      <c r="AG223" t="str">
        <f t="shared" si="90"/>
        <v>Support</v>
      </c>
      <c r="AH223">
        <f>survey_responses[[#This Row],[So với trước đây, tôi thấy cách tính thuế và các bậc thuế trong phương án mới đơn giản, dễ hiểu và dễ thực hiện hơn. - HUMAN-FAC2]]</f>
        <v>5</v>
      </c>
      <c r="AI223" t="str">
        <f t="shared" si="91"/>
        <v>Neutral</v>
      </c>
      <c r="AJ223" s="32">
        <f t="shared" si="92"/>
        <v>4</v>
      </c>
      <c r="AK223">
        <f>step3_validation[[#This Row],[AI_TRU1]]</f>
        <v>7</v>
      </c>
      <c r="AL223" t="str">
        <f t="shared" si="93"/>
        <v>Neutral</v>
      </c>
      <c r="AM223">
        <f>survey_responses[[#This Row],[Tôi tin rằng Nhà nước, cơ quan thuế sẽ thực thi chính sách mới một cách khách quan, công tâm và đối xử bình đẳng với mọi người nộp thuế.  - HUMAN-TRU1]]</f>
        <v>5</v>
      </c>
      <c r="AN223" t="str">
        <f t="shared" si="94"/>
        <v>Neutral</v>
      </c>
      <c r="AO223" s="32">
        <f t="shared" si="95"/>
        <v>2</v>
      </c>
      <c r="AP223">
        <f>step3_validation[[#This Row],[AI_TRU2]]</f>
        <v>8</v>
      </c>
      <c r="AQ223" t="str">
        <f t="shared" si="96"/>
        <v>Support</v>
      </c>
      <c r="AR223">
        <f>survey_responses[[#This Row],[Tôi thấy mức thuế tôi phải đóng theo phương án mới là công bằng (người thu nhập như tôi đóng mức này là hợp lý). - HUMAN-TRU2]]</f>
        <v>5</v>
      </c>
      <c r="AS223" t="str">
        <f t="shared" si="97"/>
        <v>Neutral</v>
      </c>
      <c r="AT223" s="32">
        <f t="shared" si="98"/>
        <v>3</v>
      </c>
      <c r="AU223">
        <f>step3_validation[[#This Row],[AI_TRU3]]</f>
        <v>7</v>
      </c>
      <c r="AV223" t="str">
        <f t="shared" si="99"/>
        <v>Neutral</v>
      </c>
      <c r="AW223">
        <f>survey_responses[[#This Row],[Tôi tin tưởng số tiền thuế tôi đóng sẽ được Nhà nước sử dụng hiệu quả để cải thiện dịch vụ công (y tế, đường xá...). - HUMAN-TRU3]]</f>
        <v>5</v>
      </c>
      <c r="AX223" t="str">
        <f t="shared" si="100"/>
        <v>Neutral</v>
      </c>
      <c r="AY223" s="32">
        <f t="shared" si="101"/>
        <v>2</v>
      </c>
      <c r="AZ223">
        <f>step3_validation[[#This Row],[AI_TRU4]]</f>
        <v>8</v>
      </c>
      <c r="BA223" t="str">
        <f t="shared" si="102"/>
        <v>Support</v>
      </c>
      <c r="BB223">
        <f>survey_responses[[#This Row],[Tôi thấy Nhà nước đã giải thích rõ ràng, minh bạch về lý do và mục tiêu của việc sửa đổi thuế lần này. - HUMAN-TRU4]]</f>
        <v>5</v>
      </c>
      <c r="BC223" t="str">
        <f t="shared" si="103"/>
        <v>Neutral</v>
      </c>
      <c r="BD223" s="32">
        <f t="shared" si="104"/>
        <v>3</v>
      </c>
      <c r="BE223">
        <f>step3_validation[[#This Row],[AI_OUT1]]</f>
        <v>7</v>
      </c>
      <c r="BF223" t="str">
        <f t="shared" si="105"/>
        <v>Neutral</v>
      </c>
      <c r="BG223">
        <f>survey_responses[[#This Row],[Sau khi xem xét các quyền lợi và nghĩa vụ, bạn có ủng hộ và tuân thủ chính sách mới hiện nay? - HUMAN-OUT1]]</f>
        <v>5</v>
      </c>
      <c r="BH223" t="str">
        <f t="shared" si="106"/>
        <v>Neutral</v>
      </c>
      <c r="BI223" s="32">
        <f t="shared" si="107"/>
        <v>2</v>
      </c>
    </row>
    <row r="224" spans="1:61" x14ac:dyDescent="0.45">
      <c r="A224" s="30">
        <f>step3_validation[[#This Row],[Persona_ID]]</f>
        <v>223</v>
      </c>
      <c r="B224" s="31">
        <f>step3_validation[[#This Row],[Used_Seed]]</f>
        <v>2248</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68.345061331934133</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8</v>
      </c>
      <c r="R224" t="str">
        <f t="shared" si="81"/>
        <v>Support</v>
      </c>
      <c r="S224">
        <f>survey_responses[[#This Row],[Tôi tin rằng với các quy định quản lý thuế hiện nay, hành vi gian lận hoặc trốn thuế sẽ dễ dàng bị phát hiện và xử lý nghiêm. - HUMAN-ENF1]]</f>
        <v>6</v>
      </c>
      <c r="T224" t="str">
        <f t="shared" si="82"/>
        <v>Neutral</v>
      </c>
      <c r="U224" s="32">
        <f t="shared" si="83"/>
        <v>2</v>
      </c>
      <c r="V224">
        <f>step3_validation[[#This Row],[AI_ENF2]]</f>
        <v>8</v>
      </c>
      <c r="W224" t="str">
        <f t="shared" si="84"/>
        <v>Support</v>
      </c>
      <c r="X224">
        <f>survey_responses[[#This Row],[Tôi tin rằng Nhà nước, cơ quan thuế có đủ khả năng và công nghệ để phát hiện, xử lý nghiêm các hành vi trốn thuế. - HUMAN-ENF2]]</f>
        <v>6</v>
      </c>
      <c r="Y224" t="str">
        <f t="shared" si="85"/>
        <v>Neutral</v>
      </c>
      <c r="Z224" s="32">
        <f t="shared" si="86"/>
        <v>2</v>
      </c>
      <c r="AA224">
        <f>step3_validation[[#This Row],[AI_FAC1]]</f>
        <v>9</v>
      </c>
      <c r="AB224" t="str">
        <f t="shared" si="87"/>
        <v>Support</v>
      </c>
      <c r="AC224">
        <f>survey_responses[[#This Row],[Các thủ tục khai báo thuế VÀ/HOẶC quy trình làm việc với cơ quan thuế đơn giản, tiện lợi, nhanh chóng hơn so với trước đây. - HUMAN-FAC1]]</f>
        <v>7</v>
      </c>
      <c r="AD224" t="str">
        <f t="shared" si="88"/>
        <v>Neutral</v>
      </c>
      <c r="AE224" s="32">
        <f t="shared" si="89"/>
        <v>2</v>
      </c>
      <c r="AF224">
        <f>step3_validation[[#This Row],[AI_FAC2]]</f>
        <v>8</v>
      </c>
      <c r="AG224" t="str">
        <f t="shared" si="90"/>
        <v>Support</v>
      </c>
      <c r="AH224">
        <f>survey_responses[[#This Row],[So với trước đây, tôi thấy cách tính thuế và các bậc thuế trong phương án mới đơn giản, dễ hiểu và dễ thực hiện hơn. - HUMAN-FAC2]]</f>
        <v>7</v>
      </c>
      <c r="AI224" t="str">
        <f t="shared" si="91"/>
        <v>Neutral</v>
      </c>
      <c r="AJ224" s="32">
        <f t="shared" si="92"/>
        <v>1</v>
      </c>
      <c r="AK224">
        <f>step3_validation[[#This Row],[AI_TRU1]]</f>
        <v>8</v>
      </c>
      <c r="AL224" t="str">
        <f t="shared" si="93"/>
        <v>Support</v>
      </c>
      <c r="AM224">
        <f>survey_responses[[#This Row],[Tôi tin rằng Nhà nước, cơ quan thuế sẽ thực thi chính sách mới một cách khách quan, công tâm và đối xử bình đẳng với mọi người nộp thuế.  - HUMAN-TRU1]]</f>
        <v>6</v>
      </c>
      <c r="AN224" t="str">
        <f t="shared" si="94"/>
        <v>Neutral</v>
      </c>
      <c r="AO224" s="32">
        <f t="shared" si="95"/>
        <v>2</v>
      </c>
      <c r="AP224">
        <f>step3_validation[[#This Row],[AI_TRU2]]</f>
        <v>9</v>
      </c>
      <c r="AQ224" t="str">
        <f t="shared" si="96"/>
        <v>Support</v>
      </c>
      <c r="AR224">
        <f>survey_responses[[#This Row],[Tôi thấy mức thuế tôi phải đóng theo phương án mới là công bằng (người thu nhập như tôi đóng mức này là hợp lý). - HUMAN-TRU2]]</f>
        <v>6</v>
      </c>
      <c r="AS224" t="str">
        <f t="shared" si="97"/>
        <v>Neutral</v>
      </c>
      <c r="AT224" s="32">
        <f t="shared" si="98"/>
        <v>3</v>
      </c>
      <c r="AU224">
        <f>step3_validation[[#This Row],[AI_TRU3]]</f>
        <v>8</v>
      </c>
      <c r="AV224" t="str">
        <f t="shared" si="99"/>
        <v>Support</v>
      </c>
      <c r="AW224">
        <f>survey_responses[[#This Row],[Tôi tin tưởng số tiền thuế tôi đóng sẽ được Nhà nước sử dụng hiệu quả để cải thiện dịch vụ công (y tế, đường xá...). - HUMAN-TRU3]]</f>
        <v>8</v>
      </c>
      <c r="AX224" t="str">
        <f t="shared" si="100"/>
        <v>Support</v>
      </c>
      <c r="AY224" s="32">
        <f t="shared" si="101"/>
        <v>0</v>
      </c>
      <c r="AZ224">
        <f>step3_validation[[#This Row],[AI_TRU4]]</f>
        <v>8</v>
      </c>
      <c r="BA224" t="str">
        <f t="shared" si="102"/>
        <v>Support</v>
      </c>
      <c r="BB224">
        <f>survey_responses[[#This Row],[Tôi thấy Nhà nước đã giải thích rõ ràng, minh bạch về lý do và mục tiêu của việc sửa đổi thuế lần này. - HUMAN-TRU4]]</f>
        <v>8</v>
      </c>
      <c r="BC224" t="str">
        <f t="shared" si="103"/>
        <v>Support</v>
      </c>
      <c r="BD224" s="32">
        <f t="shared" si="104"/>
        <v>0</v>
      </c>
      <c r="BE224">
        <f>step3_validation[[#This Row],[AI_OUT1]]</f>
        <v>9</v>
      </c>
      <c r="BF224" t="str">
        <f t="shared" si="105"/>
        <v>Support</v>
      </c>
      <c r="BG224">
        <f>survey_responses[[#This Row],[Sau khi xem xét các quyền lợi và nghĩa vụ, bạn có ủng hộ và tuân thủ chính sách mới hiện nay? - HUMAN-OUT1]]</f>
        <v>7</v>
      </c>
      <c r="BH224" t="str">
        <f t="shared" si="106"/>
        <v>Neutral</v>
      </c>
      <c r="BI224" s="32">
        <f t="shared" si="107"/>
        <v>2</v>
      </c>
    </row>
    <row r="225" spans="1:61" x14ac:dyDescent="0.45">
      <c r="A225" s="30">
        <f>step3_validation[[#This Row],[Persona_ID]]</f>
        <v>224</v>
      </c>
      <c r="B225" s="31">
        <f>step3_validation[[#This Row],[Used_Seed]]</f>
        <v>2249</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60.750625424014274</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6</v>
      </c>
      <c r="R225" t="str">
        <f t="shared" si="81"/>
        <v>Neutral</v>
      </c>
      <c r="S225">
        <f>survey_responses[[#This Row],[Tôi tin rằng với các quy định quản lý thuế hiện nay, hành vi gian lận hoặc trốn thuế sẽ dễ dàng bị phát hiện và xử lý nghiêm. - HUMAN-ENF1]]</f>
        <v>7</v>
      </c>
      <c r="T225" t="str">
        <f t="shared" si="82"/>
        <v>Neutral</v>
      </c>
      <c r="U225" s="32">
        <f t="shared" si="83"/>
        <v>1</v>
      </c>
      <c r="V225">
        <f>step3_validation[[#This Row],[AI_ENF2]]</f>
        <v>7</v>
      </c>
      <c r="W225" t="str">
        <f t="shared" si="84"/>
        <v>Neutral</v>
      </c>
      <c r="X225">
        <f>survey_responses[[#This Row],[Tôi tin rằng Nhà nước, cơ quan thuế có đủ khả năng và công nghệ để phát hiện, xử lý nghiêm các hành vi trốn thuế. - HUMAN-ENF2]]</f>
        <v>7</v>
      </c>
      <c r="Y225" t="str">
        <f t="shared" si="85"/>
        <v>Neutral</v>
      </c>
      <c r="Z225" s="32">
        <f t="shared" si="86"/>
        <v>0</v>
      </c>
      <c r="AA225">
        <f>step3_validation[[#This Row],[AI_FAC1]]</f>
        <v>5</v>
      </c>
      <c r="AB225" t="str">
        <f t="shared" si="87"/>
        <v>Neutral</v>
      </c>
      <c r="AC225">
        <f>survey_responses[[#This Row],[Các thủ tục khai báo thuế VÀ/HOẶC quy trình làm việc với cơ quan thuế đơn giản, tiện lợi, nhanh chóng hơn so với trước đây. - HUMAN-FAC1]]</f>
        <v>7</v>
      </c>
      <c r="AD225" t="str">
        <f t="shared" si="88"/>
        <v>Neutral</v>
      </c>
      <c r="AE225" s="32">
        <f t="shared" si="89"/>
        <v>2</v>
      </c>
      <c r="AF225">
        <f>step3_validation[[#This Row],[AI_FAC2]]</f>
        <v>8</v>
      </c>
      <c r="AG225" t="str">
        <f t="shared" si="90"/>
        <v>Support</v>
      </c>
      <c r="AH225">
        <f>survey_responses[[#This Row],[So với trước đây, tôi thấy cách tính thuế và các bậc thuế trong phương án mới đơn giản, dễ hiểu và dễ thực hiện hơn. - HUMAN-FAC2]]</f>
        <v>7</v>
      </c>
      <c r="AI225" t="str">
        <f t="shared" si="91"/>
        <v>Neutral</v>
      </c>
      <c r="AJ225" s="32">
        <f t="shared" si="92"/>
        <v>1</v>
      </c>
      <c r="AK225">
        <f>step3_validation[[#This Row],[AI_TRU1]]</f>
        <v>6</v>
      </c>
      <c r="AL225" t="str">
        <f t="shared" si="93"/>
        <v>Neutral</v>
      </c>
      <c r="AM225">
        <f>survey_responses[[#This Row],[Tôi tin rằng Nhà nước, cơ quan thuế sẽ thực thi chính sách mới một cách khách quan, công tâm và đối xử bình đẳng với mọi người nộp thuế.  - HUMAN-TRU1]]</f>
        <v>7</v>
      </c>
      <c r="AN225" t="str">
        <f t="shared" si="94"/>
        <v>Neutral</v>
      </c>
      <c r="AO225" s="32">
        <f t="shared" si="95"/>
        <v>1</v>
      </c>
      <c r="AP225">
        <f>step3_validation[[#This Row],[AI_TRU2]]</f>
        <v>7</v>
      </c>
      <c r="AQ225" t="str">
        <f t="shared" si="96"/>
        <v>Neutral</v>
      </c>
      <c r="AR225">
        <f>survey_responses[[#This Row],[Tôi thấy mức thuế tôi phải đóng theo phương án mới là công bằng (người thu nhập như tôi đóng mức này là hợp lý). - HUMAN-TRU2]]</f>
        <v>7</v>
      </c>
      <c r="AS225" t="str">
        <f t="shared" si="97"/>
        <v>Neutral</v>
      </c>
      <c r="AT225" s="32">
        <f t="shared" si="98"/>
        <v>0</v>
      </c>
      <c r="AU225">
        <f>step3_validation[[#This Row],[AI_TRU3]]</f>
        <v>6</v>
      </c>
      <c r="AV225" t="str">
        <f t="shared" si="99"/>
        <v>Neutral</v>
      </c>
      <c r="AW225">
        <f>survey_responses[[#This Row],[Tôi tin tưởng số tiền thuế tôi đóng sẽ được Nhà nước sử dụng hiệu quả để cải thiện dịch vụ công (y tế, đường xá...). - HUMAN-TRU3]]</f>
        <v>7</v>
      </c>
      <c r="AX225" t="str">
        <f t="shared" si="100"/>
        <v>Neutral</v>
      </c>
      <c r="AY225" s="32">
        <f t="shared" si="101"/>
        <v>1</v>
      </c>
      <c r="AZ225">
        <f>step3_validation[[#This Row],[AI_TRU4]]</f>
        <v>7</v>
      </c>
      <c r="BA225" t="str">
        <f t="shared" si="102"/>
        <v>Neutral</v>
      </c>
      <c r="BB225">
        <f>survey_responses[[#This Row],[Tôi thấy Nhà nước đã giải thích rõ ràng, minh bạch về lý do và mục tiêu của việc sửa đổi thuế lần này. - HUMAN-TRU4]]</f>
        <v>7</v>
      </c>
      <c r="BC225" t="str">
        <f t="shared" si="103"/>
        <v>Neutral</v>
      </c>
      <c r="BD225" s="32">
        <f t="shared" si="104"/>
        <v>0</v>
      </c>
      <c r="BE225">
        <f>step3_validation[[#This Row],[AI_OUT1]]</f>
        <v>9</v>
      </c>
      <c r="BF225" t="str">
        <f t="shared" si="105"/>
        <v>Support</v>
      </c>
      <c r="BG225">
        <f>survey_responses[[#This Row],[Sau khi xem xét các quyền lợi và nghĩa vụ, bạn có ủng hộ và tuân thủ chính sách mới hiện nay? - HUMAN-OUT1]]</f>
        <v>7</v>
      </c>
      <c r="BH225" t="str">
        <f t="shared" si="106"/>
        <v>Neutral</v>
      </c>
      <c r="BI225" s="32">
        <f t="shared" si="107"/>
        <v>2</v>
      </c>
    </row>
    <row r="226" spans="1:61" x14ac:dyDescent="0.45">
      <c r="A226" s="30">
        <f>step3_validation[[#This Row],[Persona_ID]]</f>
        <v>225</v>
      </c>
      <c r="B226" s="31">
        <f>step3_validation[[#This Row],[Used_Seed]]</f>
        <v>2250</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37.838960492696707</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7</v>
      </c>
      <c r="R226" t="str">
        <f t="shared" si="81"/>
        <v>Neutral</v>
      </c>
      <c r="S226">
        <f>survey_responses[[#This Row],[Tôi tin rằng với các quy định quản lý thuế hiện nay, hành vi gian lận hoặc trốn thuế sẽ dễ dàng bị phát hiện và xử lý nghiêm. - HUMAN-ENF1]]</f>
        <v>6</v>
      </c>
      <c r="T226" t="str">
        <f t="shared" si="82"/>
        <v>Neutral</v>
      </c>
      <c r="U226" s="32">
        <f t="shared" si="83"/>
        <v>1</v>
      </c>
      <c r="V226">
        <f>step3_validation[[#This Row],[AI_ENF2]]</f>
        <v>8</v>
      </c>
      <c r="W226" t="str">
        <f t="shared" si="84"/>
        <v>Support</v>
      </c>
      <c r="X226">
        <f>survey_responses[[#This Row],[Tôi tin rằng Nhà nước, cơ quan thuế có đủ khả năng và công nghệ để phát hiện, xử lý nghiêm các hành vi trốn thuế. - HUMAN-ENF2]]</f>
        <v>6</v>
      </c>
      <c r="Y226" t="str">
        <f t="shared" si="85"/>
        <v>Neutral</v>
      </c>
      <c r="Z226" s="32">
        <f t="shared" si="86"/>
        <v>2</v>
      </c>
      <c r="AA226">
        <f>step3_validation[[#This Row],[AI_FAC1]]</f>
        <v>6</v>
      </c>
      <c r="AB226" t="str">
        <f t="shared" si="87"/>
        <v>Neutral</v>
      </c>
      <c r="AC226">
        <f>survey_responses[[#This Row],[Các thủ tục khai báo thuế VÀ/HOẶC quy trình làm việc với cơ quan thuế đơn giản, tiện lợi, nhanh chóng hơn so với trước đây. - HUMAN-FAC1]]</f>
        <v>7</v>
      </c>
      <c r="AD226" t="str">
        <f t="shared" si="88"/>
        <v>Neutral</v>
      </c>
      <c r="AE226" s="32">
        <f t="shared" si="89"/>
        <v>1</v>
      </c>
      <c r="AF226">
        <f>step3_validation[[#This Row],[AI_FAC2]]</f>
        <v>9</v>
      </c>
      <c r="AG226" t="str">
        <f t="shared" si="90"/>
        <v>Support</v>
      </c>
      <c r="AH226">
        <f>survey_responses[[#This Row],[So với trước đây, tôi thấy cách tính thuế và các bậc thuế trong phương án mới đơn giản, dễ hiểu và dễ thực hiện hơn. - HUMAN-FAC2]]</f>
        <v>7</v>
      </c>
      <c r="AI226" t="str">
        <f t="shared" si="91"/>
        <v>Neutral</v>
      </c>
      <c r="AJ226" s="32">
        <f t="shared" si="92"/>
        <v>2</v>
      </c>
      <c r="AK226">
        <f>step3_validation[[#This Row],[AI_TRU1]]</f>
        <v>7</v>
      </c>
      <c r="AL226" t="str">
        <f t="shared" si="93"/>
        <v>Neutral</v>
      </c>
      <c r="AM226">
        <f>survey_responses[[#This Row],[Tôi tin rằng Nhà nước, cơ quan thuế sẽ thực thi chính sách mới một cách khách quan, công tâm và đối xử bình đẳng với mọi người nộp thuế.  - HUMAN-TRU1]]</f>
        <v>5</v>
      </c>
      <c r="AN226" t="str">
        <f t="shared" si="94"/>
        <v>Neutral</v>
      </c>
      <c r="AO226" s="32">
        <f t="shared" si="95"/>
        <v>2</v>
      </c>
      <c r="AP226">
        <f>step3_validation[[#This Row],[AI_TRU2]]</f>
        <v>9</v>
      </c>
      <c r="AQ226" t="str">
        <f t="shared" si="96"/>
        <v>Support</v>
      </c>
      <c r="AR226">
        <f>survey_responses[[#This Row],[Tôi thấy mức thuế tôi phải đóng theo phương án mới là công bằng (người thu nhập như tôi đóng mức này là hợp lý). - HUMAN-TRU2]]</f>
        <v>6</v>
      </c>
      <c r="AS226" t="str">
        <f t="shared" si="97"/>
        <v>Neutral</v>
      </c>
      <c r="AT226" s="32">
        <f t="shared" si="98"/>
        <v>3</v>
      </c>
      <c r="AU226">
        <f>step3_validation[[#This Row],[AI_TRU3]]</f>
        <v>7</v>
      </c>
      <c r="AV226" t="str">
        <f t="shared" si="99"/>
        <v>Neutral</v>
      </c>
      <c r="AW226">
        <f>survey_responses[[#This Row],[Tôi tin tưởng số tiền thuế tôi đóng sẽ được Nhà nước sử dụng hiệu quả để cải thiện dịch vụ công (y tế, đường xá...). - HUMAN-TRU3]]</f>
        <v>6</v>
      </c>
      <c r="AX226" t="str">
        <f t="shared" si="100"/>
        <v>Neutral</v>
      </c>
      <c r="AY226" s="32">
        <f t="shared" si="101"/>
        <v>1</v>
      </c>
      <c r="AZ226">
        <f>step3_validation[[#This Row],[AI_TRU4]]</f>
        <v>6</v>
      </c>
      <c r="BA226" t="str">
        <f t="shared" si="102"/>
        <v>Neutral</v>
      </c>
      <c r="BB226">
        <f>survey_responses[[#This Row],[Tôi thấy Nhà nước đã giải thích rõ ràng, minh bạch về lý do và mục tiêu của việc sửa đổi thuế lần này. - HUMAN-TRU4]]</f>
        <v>6</v>
      </c>
      <c r="BC226" t="str">
        <f t="shared" si="103"/>
        <v>Neutral</v>
      </c>
      <c r="BD226" s="32">
        <f t="shared" si="104"/>
        <v>0</v>
      </c>
      <c r="BE226">
        <f>step3_validation[[#This Row],[AI_OUT1]]</f>
        <v>9</v>
      </c>
      <c r="BF226" t="str">
        <f t="shared" si="105"/>
        <v>Support</v>
      </c>
      <c r="BG226">
        <f>survey_responses[[#This Row],[Sau khi xem xét các quyền lợi và nghĩa vụ, bạn có ủng hộ và tuân thủ chính sách mới hiện nay? - HUMAN-OUT1]]</f>
        <v>7</v>
      </c>
      <c r="BH226" t="str">
        <f t="shared" si="106"/>
        <v>Neutral</v>
      </c>
      <c r="BI226" s="32">
        <f t="shared" si="107"/>
        <v>2</v>
      </c>
    </row>
    <row r="227" spans="1:61" x14ac:dyDescent="0.45">
      <c r="A227" s="30">
        <f>step3_validation[[#This Row],[Persona_ID]]</f>
        <v>226</v>
      </c>
      <c r="B227" s="31">
        <f>step3_validation[[#This Row],[Used_Seed]]</f>
        <v>2251</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96.15980918559913</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6</v>
      </c>
      <c r="R227" t="str">
        <f t="shared" si="81"/>
        <v>Neutral</v>
      </c>
      <c r="S227">
        <f>survey_responses[[#This Row],[Tôi tin rằng với các quy định quản lý thuế hiện nay, hành vi gian lận hoặc trốn thuế sẽ dễ dàng bị phát hiện và xử lý nghiêm. - HUMAN-ENF1]]</f>
        <v>7</v>
      </c>
      <c r="T227" t="str">
        <f t="shared" si="82"/>
        <v>Neutral</v>
      </c>
      <c r="U227" s="32">
        <f t="shared" si="83"/>
        <v>1</v>
      </c>
      <c r="V227">
        <f>step3_validation[[#This Row],[AI_ENF2]]</f>
        <v>5</v>
      </c>
      <c r="W227" t="str">
        <f t="shared" si="84"/>
        <v>Neutral</v>
      </c>
      <c r="X227">
        <f>survey_responses[[#This Row],[Tôi tin rằng Nhà nước, cơ quan thuế có đủ khả năng và công nghệ để phát hiện, xử lý nghiêm các hành vi trốn thuế. - HUMAN-ENF2]]</f>
        <v>7</v>
      </c>
      <c r="Y227" t="str">
        <f t="shared" si="85"/>
        <v>Neutral</v>
      </c>
      <c r="Z227" s="32">
        <f t="shared" si="86"/>
        <v>2</v>
      </c>
      <c r="AA227">
        <f>step3_validation[[#This Row],[AI_FAC1]]</f>
        <v>8</v>
      </c>
      <c r="AB227" t="str">
        <f t="shared" si="87"/>
        <v>Support</v>
      </c>
      <c r="AC227">
        <f>survey_responses[[#This Row],[Các thủ tục khai báo thuế VÀ/HOẶC quy trình làm việc với cơ quan thuế đơn giản, tiện lợi, nhanh chóng hơn so với trước đây. - HUMAN-FAC1]]</f>
        <v>6</v>
      </c>
      <c r="AD227" t="str">
        <f t="shared" si="88"/>
        <v>Neutral</v>
      </c>
      <c r="AE227" s="32">
        <f t="shared" si="89"/>
        <v>2</v>
      </c>
      <c r="AF227">
        <f>step3_validation[[#This Row],[AI_FAC2]]</f>
        <v>9</v>
      </c>
      <c r="AG227" t="str">
        <f t="shared" si="90"/>
        <v>Support</v>
      </c>
      <c r="AH227">
        <f>survey_responses[[#This Row],[So với trước đây, tôi thấy cách tính thuế và các bậc thuế trong phương án mới đơn giản, dễ hiểu và dễ thực hiện hơn. - HUMAN-FAC2]]</f>
        <v>7</v>
      </c>
      <c r="AI227" t="str">
        <f t="shared" si="91"/>
        <v>Neutral</v>
      </c>
      <c r="AJ227" s="32">
        <f t="shared" si="92"/>
        <v>2</v>
      </c>
      <c r="AK227">
        <f>step3_validation[[#This Row],[AI_TRU1]]</f>
        <v>7</v>
      </c>
      <c r="AL227" t="str">
        <f t="shared" si="93"/>
        <v>Neutral</v>
      </c>
      <c r="AM227">
        <f>survey_responses[[#This Row],[Tôi tin rằng Nhà nước, cơ quan thuế sẽ thực thi chính sách mới một cách khách quan, công tâm và đối xử bình đẳng với mọi người nộp thuế.  - HUMAN-TRU1]]</f>
        <v>7</v>
      </c>
      <c r="AN227" t="str">
        <f t="shared" si="94"/>
        <v>Neutral</v>
      </c>
      <c r="AO227" s="32">
        <f t="shared" si="95"/>
        <v>0</v>
      </c>
      <c r="AP227">
        <f>step3_validation[[#This Row],[AI_TRU2]]</f>
        <v>8</v>
      </c>
      <c r="AQ227" t="str">
        <f t="shared" si="96"/>
        <v>Support</v>
      </c>
      <c r="AR227">
        <f>survey_responses[[#This Row],[Tôi thấy mức thuế tôi phải đóng theo phương án mới là công bằng (người thu nhập như tôi đóng mức này là hợp lý). - HUMAN-TRU2]]</f>
        <v>7</v>
      </c>
      <c r="AS227" t="str">
        <f t="shared" si="97"/>
        <v>Neutral</v>
      </c>
      <c r="AT227" s="32">
        <f t="shared" si="98"/>
        <v>1</v>
      </c>
      <c r="AU227">
        <f>step3_validation[[#This Row],[AI_TRU3]]</f>
        <v>6</v>
      </c>
      <c r="AV227" t="str">
        <f t="shared" si="99"/>
        <v>Neutral</v>
      </c>
      <c r="AW227">
        <f>survey_responses[[#This Row],[Tôi tin tưởng số tiền thuế tôi đóng sẽ được Nhà nước sử dụng hiệu quả để cải thiện dịch vụ công (y tế, đường xá...). - HUMAN-TRU3]]</f>
        <v>7</v>
      </c>
      <c r="AX227" t="str">
        <f t="shared" si="100"/>
        <v>Neutral</v>
      </c>
      <c r="AY227" s="32">
        <f t="shared" si="101"/>
        <v>1</v>
      </c>
      <c r="AZ227">
        <f>step3_validation[[#This Row],[AI_TRU4]]</f>
        <v>7</v>
      </c>
      <c r="BA227" t="str">
        <f t="shared" si="102"/>
        <v>Neutral</v>
      </c>
      <c r="BB227">
        <f>survey_responses[[#This Row],[Tôi thấy Nhà nước đã giải thích rõ ràng, minh bạch về lý do và mục tiêu của việc sửa đổi thuế lần này. - HUMAN-TRU4]]</f>
        <v>7</v>
      </c>
      <c r="BC227" t="str">
        <f t="shared" si="103"/>
        <v>Neutral</v>
      </c>
      <c r="BD227" s="32">
        <f t="shared" si="104"/>
        <v>0</v>
      </c>
      <c r="BE227">
        <f>step3_validation[[#This Row],[AI_OUT1]]</f>
        <v>9</v>
      </c>
      <c r="BF227" t="str">
        <f t="shared" si="105"/>
        <v>Support</v>
      </c>
      <c r="BG227">
        <f>survey_responses[[#This Row],[Sau khi xem xét các quyền lợi và nghĩa vụ, bạn có ủng hộ và tuân thủ chính sách mới hiện nay? - HUMAN-OUT1]]</f>
        <v>7</v>
      </c>
      <c r="BH227" t="str">
        <f t="shared" si="106"/>
        <v>Neutral</v>
      </c>
      <c r="BI227" s="32">
        <f t="shared" si="107"/>
        <v>2</v>
      </c>
    </row>
    <row r="228" spans="1:61" x14ac:dyDescent="0.45">
      <c r="A228" s="30">
        <f>step3_validation[[#This Row],[Persona_ID]]</f>
        <v>227</v>
      </c>
      <c r="B228" s="31">
        <f>step3_validation[[#This Row],[Used_Seed]]</f>
        <v>2252</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24.711511458319233</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7</v>
      </c>
      <c r="R228" t="str">
        <f t="shared" si="81"/>
        <v>Neutral</v>
      </c>
      <c r="S228">
        <f>survey_responses[[#This Row],[Tôi tin rằng với các quy định quản lý thuế hiện nay, hành vi gian lận hoặc trốn thuế sẽ dễ dàng bị phát hiện và xử lý nghiêm. - HUMAN-ENF1]]</f>
        <v>6</v>
      </c>
      <c r="T228" t="str">
        <f t="shared" si="82"/>
        <v>Neutral</v>
      </c>
      <c r="U228" s="32">
        <f t="shared" si="83"/>
        <v>1</v>
      </c>
      <c r="V228">
        <f>step3_validation[[#This Row],[AI_ENF2]]</f>
        <v>8</v>
      </c>
      <c r="W228" t="str">
        <f t="shared" si="84"/>
        <v>Support</v>
      </c>
      <c r="X228">
        <f>survey_responses[[#This Row],[Tôi tin rằng Nhà nước, cơ quan thuế có đủ khả năng và công nghệ để phát hiện, xử lý nghiêm các hành vi trốn thuế. - HUMAN-ENF2]]</f>
        <v>6</v>
      </c>
      <c r="Y228" t="str">
        <f t="shared" si="85"/>
        <v>Neutral</v>
      </c>
      <c r="Z228" s="32">
        <f t="shared" si="86"/>
        <v>2</v>
      </c>
      <c r="AA228">
        <f>step3_validation[[#This Row],[AI_FAC1]]</f>
        <v>9</v>
      </c>
      <c r="AB228" t="str">
        <f t="shared" si="87"/>
        <v>Support</v>
      </c>
      <c r="AC228">
        <f>survey_responses[[#This Row],[Các thủ tục khai báo thuế VÀ/HOẶC quy trình làm việc với cơ quan thuế đơn giản, tiện lợi, nhanh chóng hơn so với trước đây. - HUMAN-FAC1]]</f>
        <v>6</v>
      </c>
      <c r="AD228" t="str">
        <f t="shared" si="88"/>
        <v>Neutral</v>
      </c>
      <c r="AE228" s="32">
        <f t="shared" si="89"/>
        <v>3</v>
      </c>
      <c r="AF228">
        <f>step3_validation[[#This Row],[AI_FAC2]]</f>
        <v>10</v>
      </c>
      <c r="AG228" t="str">
        <f t="shared" si="90"/>
        <v>Support</v>
      </c>
      <c r="AH228">
        <f>survey_responses[[#This Row],[So với trước đây, tôi thấy cách tính thuế và các bậc thuế trong phương án mới đơn giản, dễ hiểu và dễ thực hiện hơn. - HUMAN-FAC2]]</f>
        <v>6</v>
      </c>
      <c r="AI228" t="str">
        <f t="shared" si="91"/>
        <v>Neutral</v>
      </c>
      <c r="AJ228" s="32">
        <f t="shared" si="92"/>
        <v>4</v>
      </c>
      <c r="AK228">
        <f>step3_validation[[#This Row],[AI_TRU1]]</f>
        <v>8</v>
      </c>
      <c r="AL228" t="str">
        <f t="shared" si="93"/>
        <v>Support</v>
      </c>
      <c r="AM228">
        <f>survey_responses[[#This Row],[Tôi tin rằng Nhà nước, cơ quan thuế sẽ thực thi chính sách mới một cách khách quan, công tâm và đối xử bình đẳng với mọi người nộp thuế.  - HUMAN-TRU1]]</f>
        <v>6</v>
      </c>
      <c r="AN228" t="str">
        <f t="shared" si="94"/>
        <v>Neutral</v>
      </c>
      <c r="AO228" s="32">
        <f t="shared" si="95"/>
        <v>2</v>
      </c>
      <c r="AP228">
        <f>step3_validation[[#This Row],[AI_TRU2]]</f>
        <v>9</v>
      </c>
      <c r="AQ228" t="str">
        <f t="shared" si="96"/>
        <v>Support</v>
      </c>
      <c r="AR228">
        <f>survey_responses[[#This Row],[Tôi thấy mức thuế tôi phải đóng theo phương án mới là công bằng (người thu nhập như tôi đóng mức này là hợp lý). - HUMAN-TRU2]]</f>
        <v>6</v>
      </c>
      <c r="AS228" t="str">
        <f t="shared" si="97"/>
        <v>Neutral</v>
      </c>
      <c r="AT228" s="32">
        <f t="shared" si="98"/>
        <v>3</v>
      </c>
      <c r="AU228">
        <f>step3_validation[[#This Row],[AI_TRU3]]</f>
        <v>8</v>
      </c>
      <c r="AV228" t="str">
        <f t="shared" si="99"/>
        <v>Support</v>
      </c>
      <c r="AW228">
        <f>survey_responses[[#This Row],[Tôi tin tưởng số tiền thuế tôi đóng sẽ được Nhà nước sử dụng hiệu quả để cải thiện dịch vụ công (y tế, đường xá...). - HUMAN-TRU3]]</f>
        <v>6</v>
      </c>
      <c r="AX228" t="str">
        <f t="shared" si="100"/>
        <v>Neutral</v>
      </c>
      <c r="AY228" s="32">
        <f t="shared" si="101"/>
        <v>2</v>
      </c>
      <c r="AZ228">
        <f>step3_validation[[#This Row],[AI_TRU4]]</f>
        <v>9</v>
      </c>
      <c r="BA228" t="str">
        <f t="shared" si="102"/>
        <v>Support</v>
      </c>
      <c r="BB228">
        <f>survey_responses[[#This Row],[Tôi thấy Nhà nước đã giải thích rõ ràng, minh bạch về lý do và mục tiêu của việc sửa đổi thuế lần này. - HUMAN-TRU4]]</f>
        <v>6</v>
      </c>
      <c r="BC228" t="str">
        <f t="shared" si="103"/>
        <v>Neutral</v>
      </c>
      <c r="BD228" s="32">
        <f t="shared" si="104"/>
        <v>3</v>
      </c>
      <c r="BE228">
        <f>step3_validation[[#This Row],[AI_OUT1]]</f>
        <v>9</v>
      </c>
      <c r="BF228" t="str">
        <f t="shared" si="105"/>
        <v>Support</v>
      </c>
      <c r="BG228">
        <f>survey_responses[[#This Row],[Sau khi xem xét các quyền lợi và nghĩa vụ, bạn có ủng hộ và tuân thủ chính sách mới hiện nay? - HUMAN-OUT1]]</f>
        <v>6</v>
      </c>
      <c r="BH228" t="str">
        <f t="shared" si="106"/>
        <v>Neutral</v>
      </c>
      <c r="BI228" s="32">
        <f t="shared" si="107"/>
        <v>3</v>
      </c>
    </row>
    <row r="229" spans="1:61" x14ac:dyDescent="0.45">
      <c r="A229" s="30">
        <f>step3_validation[[#This Row],[Persona_ID]]</f>
        <v>228</v>
      </c>
      <c r="B229" s="31">
        <f>step3_validation[[#This Row],[Used_Seed]]</f>
        <v>2253</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18.526748555527661</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7</v>
      </c>
      <c r="R229" t="str">
        <f t="shared" si="81"/>
        <v>Neutral</v>
      </c>
      <c r="S229">
        <f>survey_responses[[#This Row],[Tôi tin rằng với các quy định quản lý thuế hiện nay, hành vi gian lận hoặc trốn thuế sẽ dễ dàng bị phát hiện và xử lý nghiêm. - HUMAN-ENF1]]</f>
        <v>8</v>
      </c>
      <c r="T229" t="str">
        <f t="shared" si="82"/>
        <v>Support</v>
      </c>
      <c r="U229" s="32">
        <f t="shared" si="83"/>
        <v>1</v>
      </c>
      <c r="V229">
        <f>step3_validation[[#This Row],[AI_ENF2]]</f>
        <v>8</v>
      </c>
      <c r="W229" t="str">
        <f t="shared" si="84"/>
        <v>Support</v>
      </c>
      <c r="X229">
        <f>survey_responses[[#This Row],[Tôi tin rằng Nhà nước, cơ quan thuế có đủ khả năng và công nghệ để phát hiện, xử lý nghiêm các hành vi trốn thuế. - HUMAN-ENF2]]</f>
        <v>9</v>
      </c>
      <c r="Y229" t="str">
        <f t="shared" si="85"/>
        <v>Support</v>
      </c>
      <c r="Z229" s="32">
        <f t="shared" si="86"/>
        <v>1</v>
      </c>
      <c r="AA229">
        <f>step3_validation[[#This Row],[AI_FAC1]]</f>
        <v>9</v>
      </c>
      <c r="AB229" t="str">
        <f t="shared" si="87"/>
        <v>Support</v>
      </c>
      <c r="AC229">
        <f>survey_responses[[#This Row],[Các thủ tục khai báo thuế VÀ/HOẶC quy trình làm việc với cơ quan thuế đơn giản, tiện lợi, nhanh chóng hơn so với trước đây. - HUMAN-FAC1]]</f>
        <v>7</v>
      </c>
      <c r="AD229" t="str">
        <f t="shared" si="88"/>
        <v>Neutral</v>
      </c>
      <c r="AE229" s="32">
        <f t="shared" si="89"/>
        <v>2</v>
      </c>
      <c r="AF229">
        <f>step3_validation[[#This Row],[AI_FAC2]]</f>
        <v>9</v>
      </c>
      <c r="AG229" t="str">
        <f t="shared" si="90"/>
        <v>Support</v>
      </c>
      <c r="AH229">
        <f>survey_responses[[#This Row],[So với trước đây, tôi thấy cách tính thuế và các bậc thuế trong phương án mới đơn giản, dễ hiểu và dễ thực hiện hơn. - HUMAN-FAC2]]</f>
        <v>8</v>
      </c>
      <c r="AI229" t="str">
        <f t="shared" si="91"/>
        <v>Support</v>
      </c>
      <c r="AJ229" s="32">
        <f t="shared" si="92"/>
        <v>1</v>
      </c>
      <c r="AK229">
        <f>step3_validation[[#This Row],[AI_TRU1]]</f>
        <v>8</v>
      </c>
      <c r="AL229" t="str">
        <f t="shared" si="93"/>
        <v>Support</v>
      </c>
      <c r="AM229">
        <f>survey_responses[[#This Row],[Tôi tin rằng Nhà nước, cơ quan thuế sẽ thực thi chính sách mới một cách khách quan, công tâm và đối xử bình đẳng với mọi người nộp thuế.  - HUMAN-TRU1]]</f>
        <v>9</v>
      </c>
      <c r="AN229" t="str">
        <f t="shared" si="94"/>
        <v>Support</v>
      </c>
      <c r="AO229" s="32">
        <f t="shared" si="95"/>
        <v>1</v>
      </c>
      <c r="AP229">
        <f>step3_validation[[#This Row],[AI_TRU2]]</f>
        <v>9</v>
      </c>
      <c r="AQ229" t="str">
        <f t="shared" si="96"/>
        <v>Support</v>
      </c>
      <c r="AR229">
        <f>survey_responses[[#This Row],[Tôi thấy mức thuế tôi phải đóng theo phương án mới là công bằng (người thu nhập như tôi đóng mức này là hợp lý). - HUMAN-TRU2]]</f>
        <v>8</v>
      </c>
      <c r="AS229" t="str">
        <f t="shared" si="97"/>
        <v>Support</v>
      </c>
      <c r="AT229" s="32">
        <f t="shared" si="98"/>
        <v>1</v>
      </c>
      <c r="AU229">
        <f>step3_validation[[#This Row],[AI_TRU3]]</f>
        <v>8</v>
      </c>
      <c r="AV229" t="str">
        <f t="shared" si="99"/>
        <v>Support</v>
      </c>
      <c r="AW229">
        <f>survey_responses[[#This Row],[Tôi tin tưởng số tiền thuế tôi đóng sẽ được Nhà nước sử dụng hiệu quả để cải thiện dịch vụ công (y tế, đường xá...). - HUMAN-TRU3]]</f>
        <v>8</v>
      </c>
      <c r="AX229" t="str">
        <f t="shared" si="100"/>
        <v>Support</v>
      </c>
      <c r="AY229" s="32">
        <f t="shared" si="101"/>
        <v>0</v>
      </c>
      <c r="AZ229">
        <f>step3_validation[[#This Row],[AI_TRU4]]</f>
        <v>9</v>
      </c>
      <c r="BA229" t="str">
        <f t="shared" si="102"/>
        <v>Support</v>
      </c>
      <c r="BB229">
        <f>survey_responses[[#This Row],[Tôi thấy Nhà nước đã giải thích rõ ràng, minh bạch về lý do và mục tiêu của việc sửa đổi thuế lần này. - HUMAN-TRU4]]</f>
        <v>8</v>
      </c>
      <c r="BC229" t="str">
        <f t="shared" si="103"/>
        <v>Support</v>
      </c>
      <c r="BD229" s="32">
        <f t="shared" si="104"/>
        <v>1</v>
      </c>
      <c r="BE229">
        <f>step3_validation[[#This Row],[AI_OUT1]]</f>
        <v>8</v>
      </c>
      <c r="BF229" t="str">
        <f t="shared" si="105"/>
        <v>Support</v>
      </c>
      <c r="BG229">
        <f>survey_responses[[#This Row],[Sau khi xem xét các quyền lợi và nghĩa vụ, bạn có ủng hộ và tuân thủ chính sách mới hiện nay? - HUMAN-OUT1]]</f>
        <v>8</v>
      </c>
      <c r="BH229" t="str">
        <f t="shared" si="106"/>
        <v>Support</v>
      </c>
      <c r="BI229" s="32">
        <f t="shared" si="107"/>
        <v>0</v>
      </c>
    </row>
    <row r="230" spans="1:61" x14ac:dyDescent="0.45">
      <c r="A230" s="30">
        <f>step3_validation[[#This Row],[Persona_ID]]</f>
        <v>229</v>
      </c>
      <c r="B230" s="31">
        <f>step3_validation[[#This Row],[Used_Seed]]</f>
        <v>2254</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53.322674605307988</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8</v>
      </c>
      <c r="R230" t="str">
        <f t="shared" si="81"/>
        <v>Support</v>
      </c>
      <c r="S230">
        <f>survey_responses[[#This Row],[Tôi tin rằng với các quy định quản lý thuế hiện nay, hành vi gian lận hoặc trốn thuế sẽ dễ dàng bị phát hiện và xử lý nghiêm. - HUMAN-ENF1]]</f>
        <v>6</v>
      </c>
      <c r="T230" t="str">
        <f t="shared" si="82"/>
        <v>Neutral</v>
      </c>
      <c r="U230" s="32">
        <f t="shared" si="83"/>
        <v>2</v>
      </c>
      <c r="V230">
        <f>step3_validation[[#This Row],[AI_ENF2]]</f>
        <v>9</v>
      </c>
      <c r="W230" t="str">
        <f t="shared" si="84"/>
        <v>Support</v>
      </c>
      <c r="X230">
        <f>survey_responses[[#This Row],[Tôi tin rằng Nhà nước, cơ quan thuế có đủ khả năng và công nghệ để phát hiện, xử lý nghiêm các hành vi trốn thuế. - HUMAN-ENF2]]</f>
        <v>6</v>
      </c>
      <c r="Y230" t="str">
        <f t="shared" si="85"/>
        <v>Neutral</v>
      </c>
      <c r="Z230" s="32">
        <f t="shared" si="86"/>
        <v>3</v>
      </c>
      <c r="AA230">
        <f>step3_validation[[#This Row],[AI_FAC1]]</f>
        <v>8</v>
      </c>
      <c r="AB230" t="str">
        <f t="shared" si="87"/>
        <v>Support</v>
      </c>
      <c r="AC230">
        <f>survey_responses[[#This Row],[Các thủ tục khai báo thuế VÀ/HOẶC quy trình làm việc với cơ quan thuế đơn giản, tiện lợi, nhanh chóng hơn so với trước đây. - HUMAN-FAC1]]</f>
        <v>6</v>
      </c>
      <c r="AD230" t="str">
        <f t="shared" si="88"/>
        <v>Neutral</v>
      </c>
      <c r="AE230" s="32">
        <f t="shared" si="89"/>
        <v>2</v>
      </c>
      <c r="AF230">
        <f>step3_validation[[#This Row],[AI_FAC2]]</f>
        <v>9</v>
      </c>
      <c r="AG230" t="str">
        <f t="shared" si="90"/>
        <v>Support</v>
      </c>
      <c r="AH230">
        <f>survey_responses[[#This Row],[So với trước đây, tôi thấy cách tính thuế và các bậc thuế trong phương án mới đơn giản, dễ hiểu và dễ thực hiện hơn. - HUMAN-FAC2]]</f>
        <v>6</v>
      </c>
      <c r="AI230" t="str">
        <f t="shared" si="91"/>
        <v>Neutral</v>
      </c>
      <c r="AJ230" s="32">
        <f t="shared" si="92"/>
        <v>3</v>
      </c>
      <c r="AK230">
        <f>step3_validation[[#This Row],[AI_TRU1]]</f>
        <v>8</v>
      </c>
      <c r="AL230" t="str">
        <f t="shared" si="93"/>
        <v>Support</v>
      </c>
      <c r="AM230">
        <f>survey_responses[[#This Row],[Tôi tin rằng Nhà nước, cơ quan thuế sẽ thực thi chính sách mới một cách khách quan, công tâm và đối xử bình đẳng với mọi người nộp thuế.  - HUMAN-TRU1]]</f>
        <v>6</v>
      </c>
      <c r="AN230" t="str">
        <f t="shared" si="94"/>
        <v>Neutral</v>
      </c>
      <c r="AO230" s="32">
        <f t="shared" si="95"/>
        <v>2</v>
      </c>
      <c r="AP230">
        <f>step3_validation[[#This Row],[AI_TRU2]]</f>
        <v>9</v>
      </c>
      <c r="AQ230" t="str">
        <f t="shared" si="96"/>
        <v>Support</v>
      </c>
      <c r="AR230">
        <f>survey_responses[[#This Row],[Tôi thấy mức thuế tôi phải đóng theo phương án mới là công bằng (người thu nhập như tôi đóng mức này là hợp lý). - HUMAN-TRU2]]</f>
        <v>7</v>
      </c>
      <c r="AS230" t="str">
        <f t="shared" si="97"/>
        <v>Neutral</v>
      </c>
      <c r="AT230" s="32">
        <f t="shared" si="98"/>
        <v>2</v>
      </c>
      <c r="AU230">
        <f>step3_validation[[#This Row],[AI_TRU3]]</f>
        <v>8</v>
      </c>
      <c r="AV230" t="str">
        <f t="shared" si="99"/>
        <v>Support</v>
      </c>
      <c r="AW230">
        <f>survey_responses[[#This Row],[Tôi tin tưởng số tiền thuế tôi đóng sẽ được Nhà nước sử dụng hiệu quả để cải thiện dịch vụ công (y tế, đường xá...). - HUMAN-TRU3]]</f>
        <v>6</v>
      </c>
      <c r="AX230" t="str">
        <f t="shared" si="100"/>
        <v>Neutral</v>
      </c>
      <c r="AY230" s="32">
        <f t="shared" si="101"/>
        <v>2</v>
      </c>
      <c r="AZ230">
        <f>step3_validation[[#This Row],[AI_TRU4]]</f>
        <v>9</v>
      </c>
      <c r="BA230" t="str">
        <f t="shared" si="102"/>
        <v>Support</v>
      </c>
      <c r="BB230">
        <f>survey_responses[[#This Row],[Tôi thấy Nhà nước đã giải thích rõ ràng, minh bạch về lý do và mục tiêu của việc sửa đổi thuế lần này. - HUMAN-TRU4]]</f>
        <v>6</v>
      </c>
      <c r="BC230" t="str">
        <f t="shared" si="103"/>
        <v>Neutral</v>
      </c>
      <c r="BD230" s="32">
        <f t="shared" si="104"/>
        <v>3</v>
      </c>
      <c r="BE230">
        <f>step3_validation[[#This Row],[AI_OUT1]]</f>
        <v>8</v>
      </c>
      <c r="BF230" t="str">
        <f t="shared" si="105"/>
        <v>Support</v>
      </c>
      <c r="BG230">
        <f>survey_responses[[#This Row],[Sau khi xem xét các quyền lợi và nghĩa vụ, bạn có ủng hộ và tuân thủ chính sách mới hiện nay? - HUMAN-OUT1]]</f>
        <v>7</v>
      </c>
      <c r="BH230" t="str">
        <f t="shared" si="106"/>
        <v>Neutral</v>
      </c>
      <c r="BI230" s="32">
        <f t="shared" si="107"/>
        <v>1</v>
      </c>
    </row>
    <row r="231" spans="1:61" x14ac:dyDescent="0.45">
      <c r="A231" s="30">
        <f>step3_validation[[#This Row],[Persona_ID]]</f>
        <v>230</v>
      </c>
      <c r="B231" s="31">
        <f>step3_validation[[#This Row],[Used_Seed]]</f>
        <v>2255</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71.793361494037015</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6</v>
      </c>
      <c r="R231" t="str">
        <f t="shared" si="81"/>
        <v>Neutral</v>
      </c>
      <c r="S231">
        <f>survey_responses[[#This Row],[Tôi tin rằng với các quy định quản lý thuế hiện nay, hành vi gian lận hoặc trốn thuế sẽ dễ dàng bị phát hiện và xử lý nghiêm. - HUMAN-ENF1]]</f>
        <v>4</v>
      </c>
      <c r="T231" t="str">
        <f t="shared" si="82"/>
        <v>Oppose</v>
      </c>
      <c r="U231" s="32">
        <f t="shared" si="83"/>
        <v>2</v>
      </c>
      <c r="V231">
        <f>step3_validation[[#This Row],[AI_ENF2]]</f>
        <v>7</v>
      </c>
      <c r="W231" t="str">
        <f t="shared" si="84"/>
        <v>Neutral</v>
      </c>
      <c r="X231">
        <f>survey_responses[[#This Row],[Tôi tin rằng Nhà nước, cơ quan thuế có đủ khả năng và công nghệ để phát hiện, xử lý nghiêm các hành vi trốn thuế. - HUMAN-ENF2]]</f>
        <v>5</v>
      </c>
      <c r="Y231" t="str">
        <f t="shared" si="85"/>
        <v>Neutral</v>
      </c>
      <c r="Z231" s="32">
        <f t="shared" si="86"/>
        <v>2</v>
      </c>
      <c r="AA231">
        <f>step3_validation[[#This Row],[AI_FAC1]]</f>
        <v>8</v>
      </c>
      <c r="AB231" t="str">
        <f t="shared" si="87"/>
        <v>Support</v>
      </c>
      <c r="AC231">
        <f>survey_responses[[#This Row],[Các thủ tục khai báo thuế VÀ/HOẶC quy trình làm việc với cơ quan thuế đơn giản, tiện lợi, nhanh chóng hơn so với trước đây. - HUMAN-FAC1]]</f>
        <v>1</v>
      </c>
      <c r="AD231" t="str">
        <f t="shared" si="88"/>
        <v>Oppose</v>
      </c>
      <c r="AE231" s="32">
        <f t="shared" si="89"/>
        <v>7</v>
      </c>
      <c r="AF231">
        <f>step3_validation[[#This Row],[AI_FAC2]]</f>
        <v>9</v>
      </c>
      <c r="AG231" t="str">
        <f t="shared" si="90"/>
        <v>Support</v>
      </c>
      <c r="AH231">
        <f>survey_responses[[#This Row],[So với trước đây, tôi thấy cách tính thuế và các bậc thuế trong phương án mới đơn giản, dễ hiểu và dễ thực hiện hơn. - HUMAN-FAC2]]</f>
        <v>6</v>
      </c>
      <c r="AI231" t="str">
        <f t="shared" si="91"/>
        <v>Neutral</v>
      </c>
      <c r="AJ231" s="32">
        <f t="shared" si="92"/>
        <v>3</v>
      </c>
      <c r="AK231">
        <f>step3_validation[[#This Row],[AI_TRU1]]</f>
        <v>7</v>
      </c>
      <c r="AL231" t="str">
        <f t="shared" si="93"/>
        <v>Neutral</v>
      </c>
      <c r="AM231">
        <f>survey_responses[[#This Row],[Tôi tin rằng Nhà nước, cơ quan thuế sẽ thực thi chính sách mới một cách khách quan, công tâm và đối xử bình đẳng với mọi người nộp thuế.  - HUMAN-TRU1]]</f>
        <v>4</v>
      </c>
      <c r="AN231" t="str">
        <f t="shared" si="94"/>
        <v>Oppose</v>
      </c>
      <c r="AO231" s="32">
        <f t="shared" si="95"/>
        <v>3</v>
      </c>
      <c r="AP231">
        <f>step3_validation[[#This Row],[AI_TRU2]]</f>
        <v>9</v>
      </c>
      <c r="AQ231" t="str">
        <f t="shared" si="96"/>
        <v>Support</v>
      </c>
      <c r="AR231">
        <f>survey_responses[[#This Row],[Tôi thấy mức thuế tôi phải đóng theo phương án mới là công bằng (người thu nhập như tôi đóng mức này là hợp lý). - HUMAN-TRU2]]</f>
        <v>4</v>
      </c>
      <c r="AS231" t="str">
        <f t="shared" si="97"/>
        <v>Oppose</v>
      </c>
      <c r="AT231" s="32">
        <f t="shared" si="98"/>
        <v>5</v>
      </c>
      <c r="AU231">
        <f>step3_validation[[#This Row],[AI_TRU3]]</f>
        <v>7</v>
      </c>
      <c r="AV231" t="str">
        <f t="shared" si="99"/>
        <v>Neutral</v>
      </c>
      <c r="AW231">
        <f>survey_responses[[#This Row],[Tôi tin tưởng số tiền thuế tôi đóng sẽ được Nhà nước sử dụng hiệu quả để cải thiện dịch vụ công (y tế, đường xá...). - HUMAN-TRU3]]</f>
        <v>5</v>
      </c>
      <c r="AX231" t="str">
        <f t="shared" si="100"/>
        <v>Neutral</v>
      </c>
      <c r="AY231" s="32">
        <f t="shared" si="101"/>
        <v>2</v>
      </c>
      <c r="AZ231">
        <f>step3_validation[[#This Row],[AI_TRU4]]</f>
        <v>8</v>
      </c>
      <c r="BA231" t="str">
        <f t="shared" si="102"/>
        <v>Support</v>
      </c>
      <c r="BB231">
        <f>survey_responses[[#This Row],[Tôi thấy Nhà nước đã giải thích rõ ràng, minh bạch về lý do và mục tiêu của việc sửa đổi thuế lần này. - HUMAN-TRU4]]</f>
        <v>5</v>
      </c>
      <c r="BC231" t="str">
        <f t="shared" si="103"/>
        <v>Neutral</v>
      </c>
      <c r="BD231" s="32">
        <f t="shared" si="104"/>
        <v>3</v>
      </c>
      <c r="BE231">
        <f>step3_validation[[#This Row],[AI_OUT1]]</f>
        <v>6</v>
      </c>
      <c r="BF231" t="str">
        <f t="shared" si="105"/>
        <v>Neutral</v>
      </c>
      <c r="BG231">
        <f>survey_responses[[#This Row],[Sau khi xem xét các quyền lợi và nghĩa vụ, bạn có ủng hộ và tuân thủ chính sách mới hiện nay? - HUMAN-OUT1]]</f>
        <v>5</v>
      </c>
      <c r="BH231" t="str">
        <f t="shared" si="106"/>
        <v>Neutral</v>
      </c>
      <c r="BI231" s="32">
        <f t="shared" si="107"/>
        <v>1</v>
      </c>
    </row>
    <row r="232" spans="1:61" x14ac:dyDescent="0.45">
      <c r="A232" s="30">
        <f>step3_validation[[#This Row],[Persona_ID]]</f>
        <v>231</v>
      </c>
      <c r="B232" s="31">
        <f>step3_validation[[#This Row],[Used_Seed]]</f>
        <v>2256</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202.49652860808334</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8</v>
      </c>
      <c r="R232" t="str">
        <f t="shared" si="81"/>
        <v>Support</v>
      </c>
      <c r="S232">
        <f>survey_responses[[#This Row],[Tôi tin rằng với các quy định quản lý thuế hiện nay, hành vi gian lận hoặc trốn thuế sẽ dễ dàng bị phát hiện và xử lý nghiêm. - HUMAN-ENF1]]</f>
        <v>8</v>
      </c>
      <c r="T232" t="str">
        <f t="shared" si="82"/>
        <v>Support</v>
      </c>
      <c r="U232" s="32">
        <f t="shared" si="83"/>
        <v>0</v>
      </c>
      <c r="V232">
        <f>step3_validation[[#This Row],[AI_ENF2]]</f>
        <v>9</v>
      </c>
      <c r="W232" t="str">
        <f t="shared" si="84"/>
        <v>Support</v>
      </c>
      <c r="X232">
        <f>survey_responses[[#This Row],[Tôi tin rằng Nhà nước, cơ quan thuế có đủ khả năng và công nghệ để phát hiện, xử lý nghiêm các hành vi trốn thuế. - HUMAN-ENF2]]</f>
        <v>8</v>
      </c>
      <c r="Y232" t="str">
        <f t="shared" si="85"/>
        <v>Support</v>
      </c>
      <c r="Z232" s="32">
        <f t="shared" si="86"/>
        <v>1</v>
      </c>
      <c r="AA232">
        <f>step3_validation[[#This Row],[AI_FAC1]]</f>
        <v>6</v>
      </c>
      <c r="AB232" t="str">
        <f t="shared" si="87"/>
        <v>Neutral</v>
      </c>
      <c r="AC232">
        <f>survey_responses[[#This Row],[Các thủ tục khai báo thuế VÀ/HOẶC quy trình làm việc với cơ quan thuế đơn giản, tiện lợi, nhanh chóng hơn so với trước đây. - HUMAN-FAC1]]</f>
        <v>8</v>
      </c>
      <c r="AD232" t="str">
        <f t="shared" si="88"/>
        <v>Support</v>
      </c>
      <c r="AE232" s="32">
        <f t="shared" si="89"/>
        <v>2</v>
      </c>
      <c r="AF232">
        <f>step3_validation[[#This Row],[AI_FAC2]]</f>
        <v>8</v>
      </c>
      <c r="AG232" t="str">
        <f t="shared" si="90"/>
        <v>Support</v>
      </c>
      <c r="AH232">
        <f>survey_responses[[#This Row],[So với trước đây, tôi thấy cách tính thuế và các bậc thuế trong phương án mới đơn giản, dễ hiểu và dễ thực hiện hơn. - HUMAN-FAC2]]</f>
        <v>8</v>
      </c>
      <c r="AI232" t="str">
        <f t="shared" si="91"/>
        <v>Support</v>
      </c>
      <c r="AJ232" s="32">
        <f t="shared" si="92"/>
        <v>0</v>
      </c>
      <c r="AK232">
        <f>step3_validation[[#This Row],[AI_TRU1]]</f>
        <v>7</v>
      </c>
      <c r="AL232" t="str">
        <f t="shared" si="93"/>
        <v>Neutral</v>
      </c>
      <c r="AM232">
        <f>survey_responses[[#This Row],[Tôi tin rằng Nhà nước, cơ quan thuế sẽ thực thi chính sách mới một cách khách quan, công tâm và đối xử bình đẳng với mọi người nộp thuế.  - HUMAN-TRU1]]</f>
        <v>7</v>
      </c>
      <c r="AN232" t="str">
        <f t="shared" si="94"/>
        <v>Neutral</v>
      </c>
      <c r="AO232" s="32">
        <f t="shared" si="95"/>
        <v>0</v>
      </c>
      <c r="AP232">
        <f>step3_validation[[#This Row],[AI_TRU2]]</f>
        <v>9</v>
      </c>
      <c r="AQ232" t="str">
        <f t="shared" si="96"/>
        <v>Support</v>
      </c>
      <c r="AR232">
        <f>survey_responses[[#This Row],[Tôi thấy mức thuế tôi phải đóng theo phương án mới là công bằng (người thu nhập như tôi đóng mức này là hợp lý). - HUMAN-TRU2]]</f>
        <v>7</v>
      </c>
      <c r="AS232" t="str">
        <f t="shared" si="97"/>
        <v>Neutral</v>
      </c>
      <c r="AT232" s="32">
        <f t="shared" si="98"/>
        <v>2</v>
      </c>
      <c r="AU232">
        <f>step3_validation[[#This Row],[AI_TRU3]]</f>
        <v>7</v>
      </c>
      <c r="AV232" t="str">
        <f t="shared" si="99"/>
        <v>Neutral</v>
      </c>
      <c r="AW232">
        <f>survey_responses[[#This Row],[Tôi tin tưởng số tiền thuế tôi đóng sẽ được Nhà nước sử dụng hiệu quả để cải thiện dịch vụ công (y tế, đường xá...). - HUMAN-TRU3]]</f>
        <v>8</v>
      </c>
      <c r="AX232" t="str">
        <f t="shared" si="100"/>
        <v>Support</v>
      </c>
      <c r="AY232" s="32">
        <f t="shared" si="101"/>
        <v>1</v>
      </c>
      <c r="AZ232">
        <f>step3_validation[[#This Row],[AI_TRU4]]</f>
        <v>8</v>
      </c>
      <c r="BA232" t="str">
        <f t="shared" si="102"/>
        <v>Support</v>
      </c>
      <c r="BB232">
        <f>survey_responses[[#This Row],[Tôi thấy Nhà nước đã giải thích rõ ràng, minh bạch về lý do và mục tiêu của việc sửa đổi thuế lần này. - HUMAN-TRU4]]</f>
        <v>7</v>
      </c>
      <c r="BC232" t="str">
        <f t="shared" si="103"/>
        <v>Neutral</v>
      </c>
      <c r="BD232" s="32">
        <f t="shared" si="104"/>
        <v>1</v>
      </c>
      <c r="BE232">
        <f>step3_validation[[#This Row],[AI_OUT1]]</f>
        <v>9</v>
      </c>
      <c r="BF232" t="str">
        <f t="shared" si="105"/>
        <v>Support</v>
      </c>
      <c r="BG232">
        <f>survey_responses[[#This Row],[Sau khi xem xét các quyền lợi và nghĩa vụ, bạn có ủng hộ và tuân thủ chính sách mới hiện nay? - HUMAN-OUT1]]</f>
        <v>8</v>
      </c>
      <c r="BH232" t="str">
        <f t="shared" si="106"/>
        <v>Support</v>
      </c>
      <c r="BI232" s="32">
        <f t="shared" si="107"/>
        <v>1</v>
      </c>
    </row>
    <row r="233" spans="1:61" x14ac:dyDescent="0.45">
      <c r="A233" s="30">
        <f>step3_validation[[#This Row],[Persona_ID]]</f>
        <v>232</v>
      </c>
      <c r="B233" s="31">
        <f>step3_validation[[#This Row],[Used_Seed]]</f>
        <v>2257</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60.808420867312741</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7</v>
      </c>
      <c r="R233" t="str">
        <f t="shared" si="81"/>
        <v>Neutral</v>
      </c>
      <c r="S233">
        <f>survey_responses[[#This Row],[Tôi tin rằng với các quy định quản lý thuế hiện nay, hành vi gian lận hoặc trốn thuế sẽ dễ dàng bị phát hiện và xử lý nghiêm. - HUMAN-ENF1]]</f>
        <v>6</v>
      </c>
      <c r="T233" t="str">
        <f t="shared" si="82"/>
        <v>Neutral</v>
      </c>
      <c r="U233" s="32">
        <f t="shared" si="83"/>
        <v>1</v>
      </c>
      <c r="V233">
        <f>step3_validation[[#This Row],[AI_ENF2]]</f>
        <v>8</v>
      </c>
      <c r="W233" t="str">
        <f t="shared" si="84"/>
        <v>Support</v>
      </c>
      <c r="X233">
        <f>survey_responses[[#This Row],[Tôi tin rằng Nhà nước, cơ quan thuế có đủ khả năng và công nghệ để phát hiện, xử lý nghiêm các hành vi trốn thuế. - HUMAN-ENF2]]</f>
        <v>6</v>
      </c>
      <c r="Y233" t="str">
        <f t="shared" si="85"/>
        <v>Neutral</v>
      </c>
      <c r="Z233" s="32">
        <f t="shared" si="86"/>
        <v>2</v>
      </c>
      <c r="AA233">
        <f>step3_validation[[#This Row],[AI_FAC1]]</f>
        <v>9</v>
      </c>
      <c r="AB233" t="str">
        <f t="shared" si="87"/>
        <v>Support</v>
      </c>
      <c r="AC233">
        <f>survey_responses[[#This Row],[Các thủ tục khai báo thuế VÀ/HOẶC quy trình làm việc với cơ quan thuế đơn giản, tiện lợi, nhanh chóng hơn so với trước đây. - HUMAN-FAC1]]</f>
        <v>6</v>
      </c>
      <c r="AD233" t="str">
        <f t="shared" si="88"/>
        <v>Neutral</v>
      </c>
      <c r="AE233" s="32">
        <f t="shared" si="89"/>
        <v>3</v>
      </c>
      <c r="AF233">
        <f>step3_validation[[#This Row],[AI_FAC2]]</f>
        <v>10</v>
      </c>
      <c r="AG233" t="str">
        <f t="shared" si="90"/>
        <v>Support</v>
      </c>
      <c r="AH233">
        <f>survey_responses[[#This Row],[So với trước đây, tôi thấy cách tính thuế và các bậc thuế trong phương án mới đơn giản, dễ hiểu và dễ thực hiện hơn. - HUMAN-FAC2]]</f>
        <v>6</v>
      </c>
      <c r="AI233" t="str">
        <f t="shared" si="91"/>
        <v>Neutral</v>
      </c>
      <c r="AJ233" s="32">
        <f t="shared" si="92"/>
        <v>4</v>
      </c>
      <c r="AK233">
        <f>step3_validation[[#This Row],[AI_TRU1]]</f>
        <v>7</v>
      </c>
      <c r="AL233" t="str">
        <f t="shared" si="93"/>
        <v>Neutral</v>
      </c>
      <c r="AM233">
        <f>survey_responses[[#This Row],[Tôi tin rằng Nhà nước, cơ quan thuế sẽ thực thi chính sách mới một cách khách quan, công tâm và đối xử bình đẳng với mọi người nộp thuế.  - HUMAN-TRU1]]</f>
        <v>6</v>
      </c>
      <c r="AN233" t="str">
        <f t="shared" si="94"/>
        <v>Neutral</v>
      </c>
      <c r="AO233" s="32">
        <f t="shared" si="95"/>
        <v>1</v>
      </c>
      <c r="AP233">
        <f>step3_validation[[#This Row],[AI_TRU2]]</f>
        <v>9</v>
      </c>
      <c r="AQ233" t="str">
        <f t="shared" si="96"/>
        <v>Support</v>
      </c>
      <c r="AR233">
        <f>survey_responses[[#This Row],[Tôi thấy mức thuế tôi phải đóng theo phương án mới là công bằng (người thu nhập như tôi đóng mức này là hợp lý). - HUMAN-TRU2]]</f>
        <v>6</v>
      </c>
      <c r="AS233" t="str">
        <f t="shared" si="97"/>
        <v>Neutral</v>
      </c>
      <c r="AT233" s="32">
        <f t="shared" si="98"/>
        <v>3</v>
      </c>
      <c r="AU233">
        <f>step3_validation[[#This Row],[AI_TRU3]]</f>
        <v>8</v>
      </c>
      <c r="AV233" t="str">
        <f t="shared" si="99"/>
        <v>Support</v>
      </c>
      <c r="AW233">
        <f>survey_responses[[#This Row],[Tôi tin tưởng số tiền thuế tôi đóng sẽ được Nhà nước sử dụng hiệu quả để cải thiện dịch vụ công (y tế, đường xá...). - HUMAN-TRU3]]</f>
        <v>6</v>
      </c>
      <c r="AX233" t="str">
        <f t="shared" si="100"/>
        <v>Neutral</v>
      </c>
      <c r="AY233" s="32">
        <f t="shared" si="101"/>
        <v>2</v>
      </c>
      <c r="AZ233">
        <f>step3_validation[[#This Row],[AI_TRU4]]</f>
        <v>7</v>
      </c>
      <c r="BA233" t="str">
        <f t="shared" si="102"/>
        <v>Neutral</v>
      </c>
      <c r="BB233">
        <f>survey_responses[[#This Row],[Tôi thấy Nhà nước đã giải thích rõ ràng, minh bạch về lý do và mục tiêu của việc sửa đổi thuế lần này. - HUMAN-TRU4]]</f>
        <v>6</v>
      </c>
      <c r="BC233" t="str">
        <f t="shared" si="103"/>
        <v>Neutral</v>
      </c>
      <c r="BD233" s="32">
        <f t="shared" si="104"/>
        <v>1</v>
      </c>
      <c r="BE233">
        <f>step3_validation[[#This Row],[AI_OUT1]]</f>
        <v>9</v>
      </c>
      <c r="BF233" t="str">
        <f t="shared" si="105"/>
        <v>Support</v>
      </c>
      <c r="BG233">
        <f>survey_responses[[#This Row],[Sau khi xem xét các quyền lợi và nghĩa vụ, bạn có ủng hộ và tuân thủ chính sách mới hiện nay? - HUMAN-OUT1]]</f>
        <v>6</v>
      </c>
      <c r="BH233" t="str">
        <f t="shared" si="106"/>
        <v>Neutral</v>
      </c>
      <c r="BI233" s="32">
        <f t="shared" si="107"/>
        <v>3</v>
      </c>
    </row>
    <row r="234" spans="1:61" x14ac:dyDescent="0.45">
      <c r="A234" s="30">
        <f>step3_validation[[#This Row],[Persona_ID]]</f>
        <v>233</v>
      </c>
      <c r="B234" s="31">
        <f>step3_validation[[#This Row],[Used_Seed]]</f>
        <v>2258</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12.648962453409608</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8</v>
      </c>
      <c r="R234" t="str">
        <f t="shared" si="81"/>
        <v>Support</v>
      </c>
      <c r="S234">
        <f>survey_responses[[#This Row],[Tôi tin rằng với các quy định quản lý thuế hiện nay, hành vi gian lận hoặc trốn thuế sẽ dễ dàng bị phát hiện và xử lý nghiêm. - HUMAN-ENF1]]</f>
        <v>8</v>
      </c>
      <c r="T234" t="str">
        <f t="shared" si="82"/>
        <v>Support</v>
      </c>
      <c r="U234" s="32">
        <f t="shared" si="83"/>
        <v>0</v>
      </c>
      <c r="V234">
        <f>step3_validation[[#This Row],[AI_ENF2]]</f>
        <v>9</v>
      </c>
      <c r="W234" t="str">
        <f t="shared" si="84"/>
        <v>Support</v>
      </c>
      <c r="X234">
        <f>survey_responses[[#This Row],[Tôi tin rằng Nhà nước, cơ quan thuế có đủ khả năng và công nghệ để phát hiện, xử lý nghiêm các hành vi trốn thuế. - HUMAN-ENF2]]</f>
        <v>8</v>
      </c>
      <c r="Y234" t="str">
        <f t="shared" si="85"/>
        <v>Support</v>
      </c>
      <c r="Z234" s="32">
        <f t="shared" si="86"/>
        <v>1</v>
      </c>
      <c r="AA234">
        <f>step3_validation[[#This Row],[AI_FAC1]]</f>
        <v>8</v>
      </c>
      <c r="AB234" t="str">
        <f t="shared" si="87"/>
        <v>Support</v>
      </c>
      <c r="AC234">
        <f>survey_responses[[#This Row],[Các thủ tục khai báo thuế VÀ/HOẶC quy trình làm việc với cơ quan thuế đơn giản, tiện lợi, nhanh chóng hơn so với trước đây. - HUMAN-FAC1]]</f>
        <v>8</v>
      </c>
      <c r="AD234" t="str">
        <f t="shared" si="88"/>
        <v>Support</v>
      </c>
      <c r="AE234" s="32">
        <f t="shared" si="89"/>
        <v>0</v>
      </c>
      <c r="AF234">
        <f>step3_validation[[#This Row],[AI_FAC2]]</f>
        <v>9</v>
      </c>
      <c r="AG234" t="str">
        <f t="shared" si="90"/>
        <v>Support</v>
      </c>
      <c r="AH234">
        <f>survey_responses[[#This Row],[So với trước đây, tôi thấy cách tính thuế và các bậc thuế trong phương án mới đơn giản, dễ hiểu và dễ thực hiện hơn. - HUMAN-FAC2]]</f>
        <v>8</v>
      </c>
      <c r="AI234" t="str">
        <f t="shared" si="91"/>
        <v>Support</v>
      </c>
      <c r="AJ234" s="32">
        <f t="shared" si="92"/>
        <v>1</v>
      </c>
      <c r="AK234">
        <f>step3_validation[[#This Row],[AI_TRU1]]</f>
        <v>8</v>
      </c>
      <c r="AL234" t="str">
        <f t="shared" si="93"/>
        <v>Support</v>
      </c>
      <c r="AM234">
        <f>survey_responses[[#This Row],[Tôi tin rằng Nhà nước, cơ quan thuế sẽ thực thi chính sách mới một cách khách quan, công tâm và đối xử bình đẳng với mọi người nộp thuế.  - HUMAN-TRU1]]</f>
        <v>9</v>
      </c>
      <c r="AN234" t="str">
        <f t="shared" si="94"/>
        <v>Support</v>
      </c>
      <c r="AO234" s="32">
        <f t="shared" si="95"/>
        <v>1</v>
      </c>
      <c r="AP234">
        <f>step3_validation[[#This Row],[AI_TRU2]]</f>
        <v>9</v>
      </c>
      <c r="AQ234" t="str">
        <f t="shared" si="96"/>
        <v>Support</v>
      </c>
      <c r="AR234">
        <f>survey_responses[[#This Row],[Tôi thấy mức thuế tôi phải đóng theo phương án mới là công bằng (người thu nhập như tôi đóng mức này là hợp lý). - HUMAN-TRU2]]</f>
        <v>8</v>
      </c>
      <c r="AS234" t="str">
        <f t="shared" si="97"/>
        <v>Support</v>
      </c>
      <c r="AT234" s="32">
        <f t="shared" si="98"/>
        <v>1</v>
      </c>
      <c r="AU234">
        <f>step3_validation[[#This Row],[AI_TRU3]]</f>
        <v>8</v>
      </c>
      <c r="AV234" t="str">
        <f t="shared" si="99"/>
        <v>Support</v>
      </c>
      <c r="AW234">
        <f>survey_responses[[#This Row],[Tôi tin tưởng số tiền thuế tôi đóng sẽ được Nhà nước sử dụng hiệu quả để cải thiện dịch vụ công (y tế, đường xá...). - HUMAN-TRU3]]</f>
        <v>8</v>
      </c>
      <c r="AX234" t="str">
        <f t="shared" si="100"/>
        <v>Support</v>
      </c>
      <c r="AY234" s="32">
        <f t="shared" si="101"/>
        <v>0</v>
      </c>
      <c r="AZ234">
        <f>step3_validation[[#This Row],[AI_TRU4]]</f>
        <v>7</v>
      </c>
      <c r="BA234" t="str">
        <f t="shared" si="102"/>
        <v>Neutral</v>
      </c>
      <c r="BB234">
        <f>survey_responses[[#This Row],[Tôi thấy Nhà nước đã giải thích rõ ràng, minh bạch về lý do và mục tiêu của việc sửa đổi thuế lần này. - HUMAN-TRU4]]</f>
        <v>8</v>
      </c>
      <c r="BC234" t="str">
        <f t="shared" si="103"/>
        <v>Support</v>
      </c>
      <c r="BD234" s="32">
        <f t="shared" si="104"/>
        <v>1</v>
      </c>
      <c r="BE234">
        <f>step3_validation[[#This Row],[AI_OUT1]]</f>
        <v>8</v>
      </c>
      <c r="BF234" t="str">
        <f t="shared" si="105"/>
        <v>Support</v>
      </c>
      <c r="BG234">
        <f>survey_responses[[#This Row],[Sau khi xem xét các quyền lợi và nghĩa vụ, bạn có ủng hộ và tuân thủ chính sách mới hiện nay? - HUMAN-OUT1]]</f>
        <v>10</v>
      </c>
      <c r="BH234" t="str">
        <f t="shared" si="106"/>
        <v>Support</v>
      </c>
      <c r="BI234" s="32">
        <f t="shared" si="107"/>
        <v>2</v>
      </c>
    </row>
    <row r="235" spans="1:61" x14ac:dyDescent="0.45">
      <c r="A235" s="30">
        <f>step3_validation[[#This Row],[Persona_ID]]</f>
        <v>234</v>
      </c>
      <c r="B235" s="31">
        <f>step3_validation[[#This Row],[Used_Seed]]</f>
        <v>2259</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88.673723159444748</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7</v>
      </c>
      <c r="R235" t="str">
        <f t="shared" si="81"/>
        <v>Neutral</v>
      </c>
      <c r="S235">
        <f>survey_responses[[#This Row],[Tôi tin rằng với các quy định quản lý thuế hiện nay, hành vi gian lận hoặc trốn thuế sẽ dễ dàng bị phát hiện và xử lý nghiêm. - HUMAN-ENF1]]</f>
        <v>4</v>
      </c>
      <c r="T235" t="str">
        <f t="shared" si="82"/>
        <v>Oppose</v>
      </c>
      <c r="U235" s="32">
        <f t="shared" si="83"/>
        <v>3</v>
      </c>
      <c r="V235">
        <f>step3_validation[[#This Row],[AI_ENF2]]</f>
        <v>8</v>
      </c>
      <c r="W235" t="str">
        <f t="shared" si="84"/>
        <v>Support</v>
      </c>
      <c r="X235">
        <f>survey_responses[[#This Row],[Tôi tin rằng Nhà nước, cơ quan thuế có đủ khả năng và công nghệ để phát hiện, xử lý nghiêm các hành vi trốn thuế. - HUMAN-ENF2]]</f>
        <v>4</v>
      </c>
      <c r="Y235" t="str">
        <f t="shared" si="85"/>
        <v>Oppose</v>
      </c>
      <c r="Z235" s="32">
        <f t="shared" si="86"/>
        <v>4</v>
      </c>
      <c r="AA235">
        <f>step3_validation[[#This Row],[AI_FAC1]]</f>
        <v>6</v>
      </c>
      <c r="AB235" t="str">
        <f t="shared" si="87"/>
        <v>Neutral</v>
      </c>
      <c r="AC235">
        <f>survey_responses[[#This Row],[Các thủ tục khai báo thuế VÀ/HOẶC quy trình làm việc với cơ quan thuế đơn giản, tiện lợi, nhanh chóng hơn so với trước đây. - HUMAN-FAC1]]</f>
        <v>4</v>
      </c>
      <c r="AD235" t="str">
        <f t="shared" si="88"/>
        <v>Oppose</v>
      </c>
      <c r="AE235" s="32">
        <f t="shared" si="89"/>
        <v>2</v>
      </c>
      <c r="AF235">
        <f>step3_validation[[#This Row],[AI_FAC2]]</f>
        <v>9</v>
      </c>
      <c r="AG235" t="str">
        <f t="shared" si="90"/>
        <v>Support</v>
      </c>
      <c r="AH235">
        <f>survey_responses[[#This Row],[So với trước đây, tôi thấy cách tính thuế và các bậc thuế trong phương án mới đơn giản, dễ hiểu và dễ thực hiện hơn. - HUMAN-FAC2]]</f>
        <v>4</v>
      </c>
      <c r="AI235" t="str">
        <f t="shared" si="91"/>
        <v>Oppose</v>
      </c>
      <c r="AJ235" s="32">
        <f t="shared" si="92"/>
        <v>5</v>
      </c>
      <c r="AK235">
        <f>step3_validation[[#This Row],[AI_TRU1]]</f>
        <v>7</v>
      </c>
      <c r="AL235" t="str">
        <f t="shared" si="93"/>
        <v>Neutral</v>
      </c>
      <c r="AM235">
        <f>survey_responses[[#This Row],[Tôi tin rằng Nhà nước, cơ quan thuế sẽ thực thi chính sách mới một cách khách quan, công tâm và đối xử bình đẳng với mọi người nộp thuế.  - HUMAN-TRU1]]</f>
        <v>1</v>
      </c>
      <c r="AN235" t="str">
        <f t="shared" si="94"/>
        <v>Oppose</v>
      </c>
      <c r="AO235" s="32">
        <f t="shared" si="95"/>
        <v>6</v>
      </c>
      <c r="AP235">
        <f>step3_validation[[#This Row],[AI_TRU2]]</f>
        <v>9</v>
      </c>
      <c r="AQ235" t="str">
        <f t="shared" si="96"/>
        <v>Support</v>
      </c>
      <c r="AR235">
        <f>survey_responses[[#This Row],[Tôi thấy mức thuế tôi phải đóng theo phương án mới là công bằng (người thu nhập như tôi đóng mức này là hợp lý). - HUMAN-TRU2]]</f>
        <v>3</v>
      </c>
      <c r="AS235" t="str">
        <f t="shared" si="97"/>
        <v>Oppose</v>
      </c>
      <c r="AT235" s="32">
        <f t="shared" si="98"/>
        <v>6</v>
      </c>
      <c r="AU235">
        <f>step3_validation[[#This Row],[AI_TRU3]]</f>
        <v>7</v>
      </c>
      <c r="AV235" t="str">
        <f t="shared" si="99"/>
        <v>Neutral</v>
      </c>
      <c r="AW235">
        <f>survey_responses[[#This Row],[Tôi tin tưởng số tiền thuế tôi đóng sẽ được Nhà nước sử dụng hiệu quả để cải thiện dịch vụ công (y tế, đường xá...). - HUMAN-TRU3]]</f>
        <v>1</v>
      </c>
      <c r="AX235" t="str">
        <f t="shared" si="100"/>
        <v>Oppose</v>
      </c>
      <c r="AY235" s="32">
        <f t="shared" si="101"/>
        <v>6</v>
      </c>
      <c r="AZ235">
        <f>step3_validation[[#This Row],[AI_TRU4]]</f>
        <v>8</v>
      </c>
      <c r="BA235" t="str">
        <f t="shared" si="102"/>
        <v>Support</v>
      </c>
      <c r="BB235">
        <f>survey_responses[[#This Row],[Tôi thấy Nhà nước đã giải thích rõ ràng, minh bạch về lý do và mục tiêu của việc sửa đổi thuế lần này. - HUMAN-TRU4]]</f>
        <v>1</v>
      </c>
      <c r="BC235" t="str">
        <f t="shared" si="103"/>
        <v>Oppose</v>
      </c>
      <c r="BD235" s="32">
        <f t="shared" si="104"/>
        <v>7</v>
      </c>
      <c r="BE235">
        <f>step3_validation[[#This Row],[AI_OUT1]]</f>
        <v>9</v>
      </c>
      <c r="BF235" t="str">
        <f t="shared" si="105"/>
        <v>Support</v>
      </c>
      <c r="BG235">
        <f>survey_responses[[#This Row],[Sau khi xem xét các quyền lợi và nghĩa vụ, bạn có ủng hộ và tuân thủ chính sách mới hiện nay? - HUMAN-OUT1]]</f>
        <v>1</v>
      </c>
      <c r="BH235" t="str">
        <f t="shared" si="106"/>
        <v>Oppose</v>
      </c>
      <c r="BI235" s="32">
        <f t="shared" si="107"/>
        <v>8</v>
      </c>
    </row>
    <row r="236" spans="1:61" x14ac:dyDescent="0.45">
      <c r="A236" s="30">
        <f>step3_validation[[#This Row],[Persona_ID]]</f>
        <v>235</v>
      </c>
      <c r="B236" s="31">
        <f>step3_validation[[#This Row],[Used_Seed]]</f>
        <v>2260</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32.902722301167124</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7</v>
      </c>
      <c r="R236" t="str">
        <f t="shared" si="81"/>
        <v>Neutral</v>
      </c>
      <c r="S236">
        <f>survey_responses[[#This Row],[Tôi tin rằng với các quy định quản lý thuế hiện nay, hành vi gian lận hoặc trốn thuế sẽ dễ dàng bị phát hiện và xử lý nghiêm. - HUMAN-ENF1]]</f>
        <v>6</v>
      </c>
      <c r="T236" t="str">
        <f t="shared" si="82"/>
        <v>Neutral</v>
      </c>
      <c r="U236" s="32">
        <f t="shared" si="83"/>
        <v>1</v>
      </c>
      <c r="V236">
        <f>step3_validation[[#This Row],[AI_ENF2]]</f>
        <v>8</v>
      </c>
      <c r="W236" t="str">
        <f t="shared" si="84"/>
        <v>Support</v>
      </c>
      <c r="X236">
        <f>survey_responses[[#This Row],[Tôi tin rằng Nhà nước, cơ quan thuế có đủ khả năng và công nghệ để phát hiện, xử lý nghiêm các hành vi trốn thuế. - HUMAN-ENF2]]</f>
        <v>6</v>
      </c>
      <c r="Y236" t="str">
        <f t="shared" si="85"/>
        <v>Neutral</v>
      </c>
      <c r="Z236" s="32">
        <f t="shared" si="86"/>
        <v>2</v>
      </c>
      <c r="AA236">
        <f>step3_validation[[#This Row],[AI_FAC1]]</f>
        <v>6</v>
      </c>
      <c r="AB236" t="str">
        <f t="shared" si="87"/>
        <v>Neutral</v>
      </c>
      <c r="AC236">
        <f>survey_responses[[#This Row],[Các thủ tục khai báo thuế VÀ/HOẶC quy trình làm việc với cơ quan thuế đơn giản, tiện lợi, nhanh chóng hơn so với trước đây. - HUMAN-FAC1]]</f>
        <v>1</v>
      </c>
      <c r="AD236" t="str">
        <f t="shared" si="88"/>
        <v>Oppose</v>
      </c>
      <c r="AE236" s="32">
        <f t="shared" si="89"/>
        <v>5</v>
      </c>
      <c r="AF236">
        <f>step3_validation[[#This Row],[AI_FAC2]]</f>
        <v>7</v>
      </c>
      <c r="AG236" t="str">
        <f t="shared" si="90"/>
        <v>Neutral</v>
      </c>
      <c r="AH236">
        <f>survey_responses[[#This Row],[So với trước đây, tôi thấy cách tính thuế và các bậc thuế trong phương án mới đơn giản, dễ hiểu và dễ thực hiện hơn. - HUMAN-FAC2]]</f>
        <v>6</v>
      </c>
      <c r="AI236" t="str">
        <f t="shared" si="91"/>
        <v>Neutral</v>
      </c>
      <c r="AJ236" s="32">
        <f t="shared" si="92"/>
        <v>1</v>
      </c>
      <c r="AK236">
        <f>step3_validation[[#This Row],[AI_TRU1]]</f>
        <v>9</v>
      </c>
      <c r="AL236" t="str">
        <f t="shared" si="93"/>
        <v>Support</v>
      </c>
      <c r="AM236">
        <f>survey_responses[[#This Row],[Tôi tin rằng Nhà nước, cơ quan thuế sẽ thực thi chính sách mới một cách khách quan, công tâm và đối xử bình đẳng với mọi người nộp thuế.  - HUMAN-TRU1]]</f>
        <v>5</v>
      </c>
      <c r="AN236" t="str">
        <f t="shared" si="94"/>
        <v>Neutral</v>
      </c>
      <c r="AO236" s="32">
        <f t="shared" si="95"/>
        <v>4</v>
      </c>
      <c r="AP236">
        <f>step3_validation[[#This Row],[AI_TRU2]]</f>
        <v>8</v>
      </c>
      <c r="AQ236" t="str">
        <f t="shared" si="96"/>
        <v>Support</v>
      </c>
      <c r="AR236">
        <f>survey_responses[[#This Row],[Tôi thấy mức thuế tôi phải đóng theo phương án mới là công bằng (người thu nhập như tôi đóng mức này là hợp lý). - HUMAN-TRU2]]</f>
        <v>6</v>
      </c>
      <c r="AS236" t="str">
        <f t="shared" si="97"/>
        <v>Neutral</v>
      </c>
      <c r="AT236" s="32">
        <f t="shared" si="98"/>
        <v>2</v>
      </c>
      <c r="AU236">
        <f>step3_validation[[#This Row],[AI_TRU3]]</f>
        <v>9</v>
      </c>
      <c r="AV236" t="str">
        <f t="shared" si="99"/>
        <v>Support</v>
      </c>
      <c r="AW236">
        <f>survey_responses[[#This Row],[Tôi tin tưởng số tiền thuế tôi đóng sẽ được Nhà nước sử dụng hiệu quả để cải thiện dịch vụ công (y tế, đường xá...). - HUMAN-TRU3]]</f>
        <v>5</v>
      </c>
      <c r="AX236" t="str">
        <f t="shared" si="100"/>
        <v>Neutral</v>
      </c>
      <c r="AY236" s="32">
        <f t="shared" si="101"/>
        <v>4</v>
      </c>
      <c r="AZ236">
        <f>step3_validation[[#This Row],[AI_TRU4]]</f>
        <v>8</v>
      </c>
      <c r="BA236" t="str">
        <f t="shared" si="102"/>
        <v>Support</v>
      </c>
      <c r="BB236">
        <f>survey_responses[[#This Row],[Tôi thấy Nhà nước đã giải thích rõ ràng, minh bạch về lý do và mục tiêu của việc sửa đổi thuế lần này. - HUMAN-TRU4]]</f>
        <v>6</v>
      </c>
      <c r="BC236" t="str">
        <f t="shared" si="103"/>
        <v>Neutral</v>
      </c>
      <c r="BD236" s="32">
        <f t="shared" si="104"/>
        <v>2</v>
      </c>
      <c r="BE236">
        <f>step3_validation[[#This Row],[AI_OUT1]]</f>
        <v>9</v>
      </c>
      <c r="BF236" t="str">
        <f t="shared" si="105"/>
        <v>Support</v>
      </c>
      <c r="BG236">
        <f>survey_responses[[#This Row],[Sau khi xem xét các quyền lợi và nghĩa vụ, bạn có ủng hộ và tuân thủ chính sách mới hiện nay? - HUMAN-OUT1]]</f>
        <v>6</v>
      </c>
      <c r="BH236" t="str">
        <f t="shared" si="106"/>
        <v>Neutral</v>
      </c>
      <c r="BI236" s="32">
        <f t="shared" si="107"/>
        <v>3</v>
      </c>
    </row>
    <row r="237" spans="1:61" x14ac:dyDescent="0.45">
      <c r="A237" s="30">
        <f>step3_validation[[#This Row],[Persona_ID]]</f>
        <v>236</v>
      </c>
      <c r="B237" s="31">
        <f>step3_validation[[#This Row],[Used_Seed]]</f>
        <v>2261</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61.79431873802563</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6</v>
      </c>
      <c r="R237" t="str">
        <f t="shared" si="81"/>
        <v>Neutral</v>
      </c>
      <c r="S237">
        <f>survey_responses[[#This Row],[Tôi tin rằng với các quy định quản lý thuế hiện nay, hành vi gian lận hoặc trốn thuế sẽ dễ dàng bị phát hiện và xử lý nghiêm. - HUMAN-ENF1]]</f>
        <v>7</v>
      </c>
      <c r="T237" t="str">
        <f t="shared" si="82"/>
        <v>Neutral</v>
      </c>
      <c r="U237" s="32">
        <f t="shared" si="83"/>
        <v>1</v>
      </c>
      <c r="V237">
        <f>step3_validation[[#This Row],[AI_ENF2]]</f>
        <v>7</v>
      </c>
      <c r="W237" t="str">
        <f t="shared" si="84"/>
        <v>Neutral</v>
      </c>
      <c r="X237">
        <f>survey_responses[[#This Row],[Tôi tin rằng Nhà nước, cơ quan thuế có đủ khả năng và công nghệ để phát hiện, xử lý nghiêm các hành vi trốn thuế. - HUMAN-ENF2]]</f>
        <v>7</v>
      </c>
      <c r="Y237" t="str">
        <f t="shared" si="85"/>
        <v>Neutral</v>
      </c>
      <c r="Z237" s="32">
        <f t="shared" si="86"/>
        <v>0</v>
      </c>
      <c r="AA237">
        <f>step3_validation[[#This Row],[AI_FAC1]]</f>
        <v>8</v>
      </c>
      <c r="AB237" t="str">
        <f t="shared" si="87"/>
        <v>Support</v>
      </c>
      <c r="AC237">
        <f>survey_responses[[#This Row],[Các thủ tục khai báo thuế VÀ/HOẶC quy trình làm việc với cơ quan thuế đơn giản, tiện lợi, nhanh chóng hơn so với trước đây. - HUMAN-FAC1]]</f>
        <v>7</v>
      </c>
      <c r="AD237" t="str">
        <f t="shared" si="88"/>
        <v>Neutral</v>
      </c>
      <c r="AE237" s="32">
        <f t="shared" si="89"/>
        <v>1</v>
      </c>
      <c r="AF237">
        <f>step3_validation[[#This Row],[AI_FAC2]]</f>
        <v>9</v>
      </c>
      <c r="AG237" t="str">
        <f t="shared" si="90"/>
        <v>Support</v>
      </c>
      <c r="AH237">
        <f>survey_responses[[#This Row],[So với trước đây, tôi thấy cách tính thuế và các bậc thuế trong phương án mới đơn giản, dễ hiểu và dễ thực hiện hơn. - HUMAN-FAC2]]</f>
        <v>7</v>
      </c>
      <c r="AI237" t="str">
        <f t="shared" si="91"/>
        <v>Neutral</v>
      </c>
      <c r="AJ237" s="32">
        <f t="shared" si="92"/>
        <v>2</v>
      </c>
      <c r="AK237">
        <f>step3_validation[[#This Row],[AI_TRU1]]</f>
        <v>7</v>
      </c>
      <c r="AL237" t="str">
        <f t="shared" si="93"/>
        <v>Neutral</v>
      </c>
      <c r="AM237">
        <f>survey_responses[[#This Row],[Tôi tin rằng Nhà nước, cơ quan thuế sẽ thực thi chính sách mới một cách khách quan, công tâm và đối xử bình đẳng với mọi người nộp thuế.  - HUMAN-TRU1]]</f>
        <v>7</v>
      </c>
      <c r="AN237" t="str">
        <f t="shared" si="94"/>
        <v>Neutral</v>
      </c>
      <c r="AO237" s="32">
        <f t="shared" si="95"/>
        <v>0</v>
      </c>
      <c r="AP237">
        <f>step3_validation[[#This Row],[AI_TRU2]]</f>
        <v>9</v>
      </c>
      <c r="AQ237" t="str">
        <f t="shared" si="96"/>
        <v>Support</v>
      </c>
      <c r="AR237">
        <f>survey_responses[[#This Row],[Tôi thấy mức thuế tôi phải đóng theo phương án mới là công bằng (người thu nhập như tôi đóng mức này là hợp lý). - HUMAN-TRU2]]</f>
        <v>7</v>
      </c>
      <c r="AS237" t="str">
        <f t="shared" si="97"/>
        <v>Neutral</v>
      </c>
      <c r="AT237" s="32">
        <f t="shared" si="98"/>
        <v>2</v>
      </c>
      <c r="AU237">
        <f>step3_validation[[#This Row],[AI_TRU3]]</f>
        <v>8</v>
      </c>
      <c r="AV237" t="str">
        <f t="shared" si="99"/>
        <v>Support</v>
      </c>
      <c r="AW237">
        <f>survey_responses[[#This Row],[Tôi tin tưởng số tiền thuế tôi đóng sẽ được Nhà nước sử dụng hiệu quả để cải thiện dịch vụ công (y tế, đường xá...). - HUMAN-TRU3]]</f>
        <v>7</v>
      </c>
      <c r="AX237" t="str">
        <f t="shared" si="100"/>
        <v>Neutral</v>
      </c>
      <c r="AY237" s="32">
        <f t="shared" si="101"/>
        <v>1</v>
      </c>
      <c r="AZ237">
        <f>step3_validation[[#This Row],[AI_TRU4]]</f>
        <v>7</v>
      </c>
      <c r="BA237" t="str">
        <f t="shared" si="102"/>
        <v>Neutral</v>
      </c>
      <c r="BB237">
        <f>survey_responses[[#This Row],[Tôi thấy Nhà nước đã giải thích rõ ràng, minh bạch về lý do và mục tiêu của việc sửa đổi thuế lần này. - HUMAN-TRU4]]</f>
        <v>7</v>
      </c>
      <c r="BC237" t="str">
        <f t="shared" si="103"/>
        <v>Neutral</v>
      </c>
      <c r="BD237" s="32">
        <f t="shared" si="104"/>
        <v>0</v>
      </c>
      <c r="BE237">
        <f>step3_validation[[#This Row],[AI_OUT1]]</f>
        <v>9</v>
      </c>
      <c r="BF237" t="str">
        <f t="shared" si="105"/>
        <v>Support</v>
      </c>
      <c r="BG237">
        <f>survey_responses[[#This Row],[Sau khi xem xét các quyền lợi và nghĩa vụ, bạn có ủng hộ và tuân thủ chính sách mới hiện nay? - HUMAN-OUT1]]</f>
        <v>7</v>
      </c>
      <c r="BH237" t="str">
        <f t="shared" si="106"/>
        <v>Neutral</v>
      </c>
      <c r="BI237" s="32">
        <f t="shared" si="107"/>
        <v>2</v>
      </c>
    </row>
    <row r="238" spans="1:61" x14ac:dyDescent="0.45">
      <c r="A238" s="30">
        <f>step3_validation[[#This Row],[Persona_ID]]</f>
        <v>237</v>
      </c>
      <c r="B238" s="31">
        <f>step3_validation[[#This Row],[Used_Seed]]</f>
        <v>2262</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15.736009406673354</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8</v>
      </c>
      <c r="R238" t="str">
        <f t="shared" si="81"/>
        <v>Support</v>
      </c>
      <c r="S238">
        <f>survey_responses[[#This Row],[Tôi tin rằng với các quy định quản lý thuế hiện nay, hành vi gian lận hoặc trốn thuế sẽ dễ dàng bị phát hiện và xử lý nghiêm. - HUMAN-ENF1]]</f>
        <v>10</v>
      </c>
      <c r="T238" t="str">
        <f t="shared" si="82"/>
        <v>Support</v>
      </c>
      <c r="U238" s="32">
        <f t="shared" si="83"/>
        <v>2</v>
      </c>
      <c r="V238">
        <f>step3_validation[[#This Row],[AI_ENF2]]</f>
        <v>7</v>
      </c>
      <c r="W238" t="str">
        <f t="shared" si="84"/>
        <v>Neutral</v>
      </c>
      <c r="X238">
        <f>survey_responses[[#This Row],[Tôi tin rằng Nhà nước, cơ quan thuế có đủ khả năng và công nghệ để phát hiện, xử lý nghiêm các hành vi trốn thuế. - HUMAN-ENF2]]</f>
        <v>10</v>
      </c>
      <c r="Y238" t="str">
        <f t="shared" si="85"/>
        <v>Support</v>
      </c>
      <c r="Z238" s="32">
        <f t="shared" si="86"/>
        <v>3</v>
      </c>
      <c r="AA238">
        <f>step3_validation[[#This Row],[AI_FAC1]]</f>
        <v>6</v>
      </c>
      <c r="AB238" t="str">
        <f t="shared" si="87"/>
        <v>Neutral</v>
      </c>
      <c r="AC238">
        <f>survey_responses[[#This Row],[Các thủ tục khai báo thuế VÀ/HOẶC quy trình làm việc với cơ quan thuế đơn giản, tiện lợi, nhanh chóng hơn so với trước đây. - HUMAN-FAC1]]</f>
        <v>4</v>
      </c>
      <c r="AD238" t="str">
        <f t="shared" si="88"/>
        <v>Oppose</v>
      </c>
      <c r="AE238" s="32">
        <f t="shared" si="89"/>
        <v>2</v>
      </c>
      <c r="AF238">
        <f>step3_validation[[#This Row],[AI_FAC2]]</f>
        <v>9</v>
      </c>
      <c r="AG238" t="str">
        <f t="shared" si="90"/>
        <v>Support</v>
      </c>
      <c r="AH238">
        <f>survey_responses[[#This Row],[So với trước đây, tôi thấy cách tính thuế và các bậc thuế trong phương án mới đơn giản, dễ hiểu và dễ thực hiện hơn. - HUMAN-FAC2]]</f>
        <v>6</v>
      </c>
      <c r="AI238" t="str">
        <f t="shared" si="91"/>
        <v>Neutral</v>
      </c>
      <c r="AJ238" s="32">
        <f t="shared" si="92"/>
        <v>3</v>
      </c>
      <c r="AK238">
        <f>step3_validation[[#This Row],[AI_TRU1]]</f>
        <v>7</v>
      </c>
      <c r="AL238" t="str">
        <f t="shared" si="93"/>
        <v>Neutral</v>
      </c>
      <c r="AM238">
        <f>survey_responses[[#This Row],[Tôi tin rằng Nhà nước, cơ quan thuế sẽ thực thi chính sách mới một cách khách quan, công tâm và đối xử bình đẳng với mọi người nộp thuế.  - HUMAN-TRU1]]</f>
        <v>3</v>
      </c>
      <c r="AN238" t="str">
        <f t="shared" si="94"/>
        <v>Oppose</v>
      </c>
      <c r="AO238" s="32">
        <f t="shared" si="95"/>
        <v>4</v>
      </c>
      <c r="AP238">
        <f>step3_validation[[#This Row],[AI_TRU2]]</f>
        <v>9</v>
      </c>
      <c r="AQ238" t="str">
        <f t="shared" si="96"/>
        <v>Support</v>
      </c>
      <c r="AR238">
        <f>survey_responses[[#This Row],[Tôi thấy mức thuế tôi phải đóng theo phương án mới là công bằng (người thu nhập như tôi đóng mức này là hợp lý). - HUMAN-TRU2]]</f>
        <v>1</v>
      </c>
      <c r="AS238" t="str">
        <f t="shared" si="97"/>
        <v>Oppose</v>
      </c>
      <c r="AT238" s="32">
        <f t="shared" si="98"/>
        <v>8</v>
      </c>
      <c r="AU238">
        <f>step3_validation[[#This Row],[AI_TRU3]]</f>
        <v>8</v>
      </c>
      <c r="AV238" t="str">
        <f t="shared" si="99"/>
        <v>Support</v>
      </c>
      <c r="AW238">
        <f>survey_responses[[#This Row],[Tôi tin tưởng số tiền thuế tôi đóng sẽ được Nhà nước sử dụng hiệu quả để cải thiện dịch vụ công (y tế, đường xá...). - HUMAN-TRU3]]</f>
        <v>1</v>
      </c>
      <c r="AX238" t="str">
        <f t="shared" si="100"/>
        <v>Oppose</v>
      </c>
      <c r="AY238" s="32">
        <f t="shared" si="101"/>
        <v>7</v>
      </c>
      <c r="AZ238">
        <f>step3_validation[[#This Row],[AI_TRU4]]</f>
        <v>7</v>
      </c>
      <c r="BA238" t="str">
        <f t="shared" si="102"/>
        <v>Neutral</v>
      </c>
      <c r="BB238">
        <f>survey_responses[[#This Row],[Tôi thấy Nhà nước đã giải thích rõ ràng, minh bạch về lý do và mục tiêu của việc sửa đổi thuế lần này. - HUMAN-TRU4]]</f>
        <v>3</v>
      </c>
      <c r="BC238" t="str">
        <f t="shared" si="103"/>
        <v>Oppose</v>
      </c>
      <c r="BD238" s="32">
        <f t="shared" si="104"/>
        <v>4</v>
      </c>
      <c r="BE238">
        <f>step3_validation[[#This Row],[AI_OUT1]]</f>
        <v>9</v>
      </c>
      <c r="BF238" t="str">
        <f t="shared" si="105"/>
        <v>Support</v>
      </c>
      <c r="BG238">
        <f>survey_responses[[#This Row],[Sau khi xem xét các quyền lợi và nghĩa vụ, bạn có ủng hộ và tuân thủ chính sách mới hiện nay? - HUMAN-OUT1]]</f>
        <v>1</v>
      </c>
      <c r="BH238" t="str">
        <f t="shared" si="106"/>
        <v>Oppose</v>
      </c>
      <c r="BI238" s="32">
        <f t="shared" si="107"/>
        <v>8</v>
      </c>
    </row>
    <row r="239" spans="1:61" x14ac:dyDescent="0.45">
      <c r="A239" s="30">
        <f>step3_validation[[#This Row],[Persona_ID]]</f>
        <v>238</v>
      </c>
      <c r="B239" s="31">
        <f>step3_validation[[#This Row],[Used_Seed]]</f>
        <v>2263</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26.40450771697769</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9</v>
      </c>
      <c r="R239" t="str">
        <f t="shared" si="81"/>
        <v>Support</v>
      </c>
      <c r="S239">
        <f>survey_responses[[#This Row],[Tôi tin rằng với các quy định quản lý thuế hiện nay, hành vi gian lận hoặc trốn thuế sẽ dễ dàng bị phát hiện và xử lý nghiêm. - HUMAN-ENF1]]</f>
        <v>8</v>
      </c>
      <c r="T239" t="str">
        <f t="shared" si="82"/>
        <v>Support</v>
      </c>
      <c r="U239" s="32">
        <f t="shared" si="83"/>
        <v>1</v>
      </c>
      <c r="V239">
        <f>step3_validation[[#This Row],[AI_ENF2]]</f>
        <v>9</v>
      </c>
      <c r="W239" t="str">
        <f t="shared" si="84"/>
        <v>Support</v>
      </c>
      <c r="X239">
        <f>survey_responses[[#This Row],[Tôi tin rằng Nhà nước, cơ quan thuế có đủ khả năng và công nghệ để phát hiện, xử lý nghiêm các hành vi trốn thuế. - HUMAN-ENF2]]</f>
        <v>10</v>
      </c>
      <c r="Y239" t="str">
        <f t="shared" si="85"/>
        <v>Support</v>
      </c>
      <c r="Z239" s="32">
        <f t="shared" si="86"/>
        <v>1</v>
      </c>
      <c r="AA239">
        <f>step3_validation[[#This Row],[AI_FAC1]]</f>
        <v>8</v>
      </c>
      <c r="AB239" t="str">
        <f t="shared" si="87"/>
        <v>Support</v>
      </c>
      <c r="AC239">
        <f>survey_responses[[#This Row],[Các thủ tục khai báo thuế VÀ/HOẶC quy trình làm việc với cơ quan thuế đơn giản, tiện lợi, nhanh chóng hơn so với trước đây. - HUMAN-FAC1]]</f>
        <v>8</v>
      </c>
      <c r="AD239" t="str">
        <f t="shared" si="88"/>
        <v>Support</v>
      </c>
      <c r="AE239" s="32">
        <f t="shared" si="89"/>
        <v>0</v>
      </c>
      <c r="AF239">
        <f>step3_validation[[#This Row],[AI_FAC2]]</f>
        <v>9</v>
      </c>
      <c r="AG239" t="str">
        <f t="shared" si="90"/>
        <v>Support</v>
      </c>
      <c r="AH239">
        <f>survey_responses[[#This Row],[So với trước đây, tôi thấy cách tính thuế và các bậc thuế trong phương án mới đơn giản, dễ hiểu và dễ thực hiện hơn. - HUMAN-FAC2]]</f>
        <v>10</v>
      </c>
      <c r="AI239" t="str">
        <f t="shared" si="91"/>
        <v>Support</v>
      </c>
      <c r="AJ239" s="32">
        <f t="shared" si="92"/>
        <v>1</v>
      </c>
      <c r="AK239">
        <f>step3_validation[[#This Row],[AI_TRU1]]</f>
        <v>9</v>
      </c>
      <c r="AL239" t="str">
        <f t="shared" si="93"/>
        <v>Support</v>
      </c>
      <c r="AM239">
        <f>survey_responses[[#This Row],[Tôi tin rằng Nhà nước, cơ quan thuế sẽ thực thi chính sách mới một cách khách quan, công tâm và đối xử bình đẳng với mọi người nộp thuế.  - HUMAN-TRU1]]</f>
        <v>9</v>
      </c>
      <c r="AN239" t="str">
        <f t="shared" si="94"/>
        <v>Support</v>
      </c>
      <c r="AO239" s="32">
        <f t="shared" si="95"/>
        <v>0</v>
      </c>
      <c r="AP239">
        <f>step3_validation[[#This Row],[AI_TRU2]]</f>
        <v>9</v>
      </c>
      <c r="AQ239" t="str">
        <f t="shared" si="96"/>
        <v>Support</v>
      </c>
      <c r="AR239">
        <f>survey_responses[[#This Row],[Tôi thấy mức thuế tôi phải đóng theo phương án mới là công bằng (người thu nhập như tôi đóng mức này là hợp lý). - HUMAN-TRU2]]</f>
        <v>8</v>
      </c>
      <c r="AS239" t="str">
        <f t="shared" si="97"/>
        <v>Support</v>
      </c>
      <c r="AT239" s="32">
        <f t="shared" si="98"/>
        <v>1</v>
      </c>
      <c r="AU239">
        <f>step3_validation[[#This Row],[AI_TRU3]]</f>
        <v>9</v>
      </c>
      <c r="AV239" t="str">
        <f t="shared" si="99"/>
        <v>Support</v>
      </c>
      <c r="AW239">
        <f>survey_responses[[#This Row],[Tôi tin tưởng số tiền thuế tôi đóng sẽ được Nhà nước sử dụng hiệu quả để cải thiện dịch vụ công (y tế, đường xá...). - HUMAN-TRU3]]</f>
        <v>7</v>
      </c>
      <c r="AX239" t="str">
        <f t="shared" si="100"/>
        <v>Neutral</v>
      </c>
      <c r="AY239" s="32">
        <f t="shared" si="101"/>
        <v>2</v>
      </c>
      <c r="AZ239">
        <f>step3_validation[[#This Row],[AI_TRU4]]</f>
        <v>9</v>
      </c>
      <c r="BA239" t="str">
        <f t="shared" si="102"/>
        <v>Support</v>
      </c>
      <c r="BB239">
        <f>survey_responses[[#This Row],[Tôi thấy Nhà nước đã giải thích rõ ràng, minh bạch về lý do và mục tiêu của việc sửa đổi thuế lần này. - HUMAN-TRU4]]</f>
        <v>9</v>
      </c>
      <c r="BC239" t="str">
        <f t="shared" si="103"/>
        <v>Support</v>
      </c>
      <c r="BD239" s="32">
        <f t="shared" si="104"/>
        <v>0</v>
      </c>
      <c r="BE239">
        <f>step3_validation[[#This Row],[AI_OUT1]]</f>
        <v>9</v>
      </c>
      <c r="BF239" t="str">
        <f t="shared" si="105"/>
        <v>Support</v>
      </c>
      <c r="BG239">
        <f>survey_responses[[#This Row],[Sau khi xem xét các quyền lợi và nghĩa vụ, bạn có ủng hộ và tuân thủ chính sách mới hiện nay? - HUMAN-OUT1]]</f>
        <v>9</v>
      </c>
      <c r="BH239" t="str">
        <f t="shared" si="106"/>
        <v>Support</v>
      </c>
      <c r="BI239" s="32">
        <f t="shared" si="107"/>
        <v>0</v>
      </c>
    </row>
    <row r="240" spans="1:61" x14ac:dyDescent="0.45">
      <c r="A240" s="30">
        <f>step3_validation[[#This Row],[Persona_ID]]</f>
        <v>239</v>
      </c>
      <c r="B240" s="31">
        <f>step3_validation[[#This Row],[Used_Seed]]</f>
        <v>2264</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94.086136189230544</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6</v>
      </c>
      <c r="R240" t="str">
        <f t="shared" si="81"/>
        <v>Neutral</v>
      </c>
      <c r="S240">
        <f>survey_responses[[#This Row],[Tôi tin rằng với các quy định quản lý thuế hiện nay, hành vi gian lận hoặc trốn thuế sẽ dễ dàng bị phát hiện và xử lý nghiêm. - HUMAN-ENF1]]</f>
        <v>6</v>
      </c>
      <c r="T240" t="str">
        <f t="shared" si="82"/>
        <v>Neutral</v>
      </c>
      <c r="U240" s="32">
        <f t="shared" si="83"/>
        <v>0</v>
      </c>
      <c r="V240">
        <f>step3_validation[[#This Row],[AI_ENF2]]</f>
        <v>8</v>
      </c>
      <c r="W240" t="str">
        <f t="shared" si="84"/>
        <v>Support</v>
      </c>
      <c r="X240">
        <f>survey_responses[[#This Row],[Tôi tin rằng Nhà nước, cơ quan thuế có đủ khả năng và công nghệ để phát hiện, xử lý nghiêm các hành vi trốn thuế. - HUMAN-ENF2]]</f>
        <v>6</v>
      </c>
      <c r="Y240" t="str">
        <f t="shared" si="85"/>
        <v>Neutral</v>
      </c>
      <c r="Z240" s="32">
        <f t="shared" si="86"/>
        <v>2</v>
      </c>
      <c r="AA240">
        <f>step3_validation[[#This Row],[AI_FAC1]]</f>
        <v>7</v>
      </c>
      <c r="AB240" t="str">
        <f t="shared" si="87"/>
        <v>Neutral</v>
      </c>
      <c r="AC240">
        <f>survey_responses[[#This Row],[Các thủ tục khai báo thuế VÀ/HOẶC quy trình làm việc với cơ quan thuế đơn giản, tiện lợi, nhanh chóng hơn so với trước đây. - HUMAN-FAC1]]</f>
        <v>6</v>
      </c>
      <c r="AD240" t="str">
        <f t="shared" si="88"/>
        <v>Neutral</v>
      </c>
      <c r="AE240" s="32">
        <f t="shared" si="89"/>
        <v>1</v>
      </c>
      <c r="AF240">
        <f>step3_validation[[#This Row],[AI_FAC2]]</f>
        <v>9</v>
      </c>
      <c r="AG240" t="str">
        <f t="shared" si="90"/>
        <v>Support</v>
      </c>
      <c r="AH240">
        <f>survey_responses[[#This Row],[So với trước đây, tôi thấy cách tính thuế và các bậc thuế trong phương án mới đơn giản, dễ hiểu và dễ thực hiện hơn. - HUMAN-FAC2]]</f>
        <v>6</v>
      </c>
      <c r="AI240" t="str">
        <f t="shared" si="91"/>
        <v>Neutral</v>
      </c>
      <c r="AJ240" s="32">
        <f t="shared" si="92"/>
        <v>3</v>
      </c>
      <c r="AK240">
        <f>step3_validation[[#This Row],[AI_TRU1]]</f>
        <v>7</v>
      </c>
      <c r="AL240" t="str">
        <f t="shared" si="93"/>
        <v>Neutral</v>
      </c>
      <c r="AM240">
        <f>survey_responses[[#This Row],[Tôi tin rằng Nhà nước, cơ quan thuế sẽ thực thi chính sách mới một cách khách quan, công tâm và đối xử bình đẳng với mọi người nộp thuế.  - HUMAN-TRU1]]</f>
        <v>6</v>
      </c>
      <c r="AN240" t="str">
        <f t="shared" si="94"/>
        <v>Neutral</v>
      </c>
      <c r="AO240" s="32">
        <f t="shared" si="95"/>
        <v>1</v>
      </c>
      <c r="AP240">
        <f>step3_validation[[#This Row],[AI_TRU2]]</f>
        <v>9</v>
      </c>
      <c r="AQ240" t="str">
        <f t="shared" si="96"/>
        <v>Support</v>
      </c>
      <c r="AR240">
        <f>survey_responses[[#This Row],[Tôi thấy mức thuế tôi phải đóng theo phương án mới là công bằng (người thu nhập như tôi đóng mức này là hợp lý). - HUMAN-TRU2]]</f>
        <v>6</v>
      </c>
      <c r="AS240" t="str">
        <f t="shared" si="97"/>
        <v>Neutral</v>
      </c>
      <c r="AT240" s="32">
        <f t="shared" si="98"/>
        <v>3</v>
      </c>
      <c r="AU240">
        <f>step3_validation[[#This Row],[AI_TRU3]]</f>
        <v>8</v>
      </c>
      <c r="AV240" t="str">
        <f t="shared" si="99"/>
        <v>Support</v>
      </c>
      <c r="AW240">
        <f>survey_responses[[#This Row],[Tôi tin tưởng số tiền thuế tôi đóng sẽ được Nhà nước sử dụng hiệu quả để cải thiện dịch vụ công (y tế, đường xá...). - HUMAN-TRU3]]</f>
        <v>6</v>
      </c>
      <c r="AX240" t="str">
        <f t="shared" si="100"/>
        <v>Neutral</v>
      </c>
      <c r="AY240" s="32">
        <f t="shared" si="101"/>
        <v>2</v>
      </c>
      <c r="AZ240">
        <f>step3_validation[[#This Row],[AI_TRU4]]</f>
        <v>7</v>
      </c>
      <c r="BA240" t="str">
        <f t="shared" si="102"/>
        <v>Neutral</v>
      </c>
      <c r="BB240">
        <f>survey_responses[[#This Row],[Tôi thấy Nhà nước đã giải thích rõ ràng, minh bạch về lý do và mục tiêu của việc sửa đổi thuế lần này. - HUMAN-TRU4]]</f>
        <v>7</v>
      </c>
      <c r="BC240" t="str">
        <f t="shared" si="103"/>
        <v>Neutral</v>
      </c>
      <c r="BD240" s="32">
        <f t="shared" si="104"/>
        <v>0</v>
      </c>
      <c r="BE240">
        <f>step3_validation[[#This Row],[AI_OUT1]]</f>
        <v>8</v>
      </c>
      <c r="BF240" t="str">
        <f t="shared" si="105"/>
        <v>Support</v>
      </c>
      <c r="BG240">
        <f>survey_responses[[#This Row],[Sau khi xem xét các quyền lợi và nghĩa vụ, bạn có ủng hộ và tuân thủ chính sách mới hiện nay? - HUMAN-OUT1]]</f>
        <v>6</v>
      </c>
      <c r="BH240" t="str">
        <f t="shared" si="106"/>
        <v>Neutral</v>
      </c>
      <c r="BI240" s="32">
        <f t="shared" si="107"/>
        <v>2</v>
      </c>
    </row>
    <row r="241" spans="1:61" x14ac:dyDescent="0.45">
      <c r="A241" s="30">
        <f>step3_validation[[#This Row],[Persona_ID]]</f>
        <v>240</v>
      </c>
      <c r="B241" s="31">
        <f>step3_validation[[#This Row],[Used_Seed]]</f>
        <v>2265</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56.468503536521119</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8</v>
      </c>
      <c r="R241" t="str">
        <f t="shared" si="81"/>
        <v>Support</v>
      </c>
      <c r="S241">
        <f>survey_responses[[#This Row],[Tôi tin rằng với các quy định quản lý thuế hiện nay, hành vi gian lận hoặc trốn thuế sẽ dễ dàng bị phát hiện và xử lý nghiêm. - HUMAN-ENF1]]</f>
        <v>8</v>
      </c>
      <c r="T241" t="str">
        <f t="shared" si="82"/>
        <v>Support</v>
      </c>
      <c r="U241" s="32">
        <f t="shared" si="83"/>
        <v>0</v>
      </c>
      <c r="V241">
        <f>step3_validation[[#This Row],[AI_ENF2]]</f>
        <v>8</v>
      </c>
      <c r="W241" t="str">
        <f t="shared" si="84"/>
        <v>Support</v>
      </c>
      <c r="X241">
        <f>survey_responses[[#This Row],[Tôi tin rằng Nhà nước, cơ quan thuế có đủ khả năng và công nghệ để phát hiện, xử lý nghiêm các hành vi trốn thuế. - HUMAN-ENF2]]</f>
        <v>8</v>
      </c>
      <c r="Y241" t="str">
        <f t="shared" si="85"/>
        <v>Support</v>
      </c>
      <c r="Z241" s="32">
        <f t="shared" si="86"/>
        <v>0</v>
      </c>
      <c r="AA241">
        <f>step3_validation[[#This Row],[AI_FAC1]]</f>
        <v>9</v>
      </c>
      <c r="AB241" t="str">
        <f t="shared" si="87"/>
        <v>Support</v>
      </c>
      <c r="AC241">
        <f>survey_responses[[#This Row],[Các thủ tục khai báo thuế VÀ/HOẶC quy trình làm việc với cơ quan thuế đơn giản, tiện lợi, nhanh chóng hơn so với trước đây. - HUMAN-FAC1]]</f>
        <v>8</v>
      </c>
      <c r="AD241" t="str">
        <f t="shared" si="88"/>
        <v>Support</v>
      </c>
      <c r="AE241" s="32">
        <f t="shared" si="89"/>
        <v>1</v>
      </c>
      <c r="AF241">
        <f>step3_validation[[#This Row],[AI_FAC2]]</f>
        <v>9</v>
      </c>
      <c r="AG241" t="str">
        <f t="shared" si="90"/>
        <v>Support</v>
      </c>
      <c r="AH241">
        <f>survey_responses[[#This Row],[So với trước đây, tôi thấy cách tính thuế và các bậc thuế trong phương án mới đơn giản, dễ hiểu và dễ thực hiện hơn. - HUMAN-FAC2]]</f>
        <v>8</v>
      </c>
      <c r="AI241" t="str">
        <f t="shared" si="91"/>
        <v>Support</v>
      </c>
      <c r="AJ241" s="32">
        <f t="shared" si="92"/>
        <v>1</v>
      </c>
      <c r="AK241">
        <f>step3_validation[[#This Row],[AI_TRU1]]</f>
        <v>8</v>
      </c>
      <c r="AL241" t="str">
        <f t="shared" si="93"/>
        <v>Support</v>
      </c>
      <c r="AM241">
        <f>survey_responses[[#This Row],[Tôi tin rằng Nhà nước, cơ quan thuế sẽ thực thi chính sách mới một cách khách quan, công tâm và đối xử bình đẳng với mọi người nộp thuế.  - HUMAN-TRU1]]</f>
        <v>8</v>
      </c>
      <c r="AN241" t="str">
        <f t="shared" si="94"/>
        <v>Support</v>
      </c>
      <c r="AO241" s="32">
        <f t="shared" si="95"/>
        <v>0</v>
      </c>
      <c r="AP241">
        <f>step3_validation[[#This Row],[AI_TRU2]]</f>
        <v>9</v>
      </c>
      <c r="AQ241" t="str">
        <f t="shared" si="96"/>
        <v>Support</v>
      </c>
      <c r="AR241">
        <f>survey_responses[[#This Row],[Tôi thấy mức thuế tôi phải đóng theo phương án mới là công bằng (người thu nhập như tôi đóng mức này là hợp lý). - HUMAN-TRU2]]</f>
        <v>8</v>
      </c>
      <c r="AS241" t="str">
        <f t="shared" si="97"/>
        <v>Support</v>
      </c>
      <c r="AT241" s="32">
        <f t="shared" si="98"/>
        <v>1</v>
      </c>
      <c r="AU241">
        <f>step3_validation[[#This Row],[AI_TRU3]]</f>
        <v>8</v>
      </c>
      <c r="AV241" t="str">
        <f t="shared" si="99"/>
        <v>Support</v>
      </c>
      <c r="AW241">
        <f>survey_responses[[#This Row],[Tôi tin tưởng số tiền thuế tôi đóng sẽ được Nhà nước sử dụng hiệu quả để cải thiện dịch vụ công (y tế, đường xá...). - HUMAN-TRU3]]</f>
        <v>8</v>
      </c>
      <c r="AX241" t="str">
        <f t="shared" si="100"/>
        <v>Support</v>
      </c>
      <c r="AY241" s="32">
        <f t="shared" si="101"/>
        <v>0</v>
      </c>
      <c r="AZ241">
        <f>step3_validation[[#This Row],[AI_TRU4]]</f>
        <v>9</v>
      </c>
      <c r="BA241" t="str">
        <f t="shared" si="102"/>
        <v>Support</v>
      </c>
      <c r="BB241">
        <f>survey_responses[[#This Row],[Tôi thấy Nhà nước đã giải thích rõ ràng, minh bạch về lý do và mục tiêu của việc sửa đổi thuế lần này. - HUMAN-TRU4]]</f>
        <v>8</v>
      </c>
      <c r="BC241" t="str">
        <f t="shared" si="103"/>
        <v>Support</v>
      </c>
      <c r="BD241" s="32">
        <f t="shared" si="104"/>
        <v>1</v>
      </c>
      <c r="BE241">
        <f>step3_validation[[#This Row],[AI_OUT1]]</f>
        <v>8</v>
      </c>
      <c r="BF241" t="str">
        <f t="shared" si="105"/>
        <v>Support</v>
      </c>
      <c r="BG241">
        <f>survey_responses[[#This Row],[Sau khi xem xét các quyền lợi và nghĩa vụ, bạn có ủng hộ và tuân thủ chính sách mới hiện nay? - HUMAN-OUT1]]</f>
        <v>8</v>
      </c>
      <c r="BH241" t="str">
        <f t="shared" si="106"/>
        <v>Support</v>
      </c>
      <c r="BI241" s="32">
        <f t="shared" si="107"/>
        <v>0</v>
      </c>
    </row>
    <row r="242" spans="1:61" x14ac:dyDescent="0.45">
      <c r="A242" s="30">
        <f>step3_validation[[#This Row],[Persona_ID]]</f>
        <v>241</v>
      </c>
      <c r="B242" s="31">
        <f>step3_validation[[#This Row],[Used_Seed]]</f>
        <v>2266</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65.234155035261509</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7</v>
      </c>
      <c r="R242" t="str">
        <f t="shared" si="81"/>
        <v>Neutral</v>
      </c>
      <c r="S242">
        <f>survey_responses[[#This Row],[Tôi tin rằng với các quy định quản lý thuế hiện nay, hành vi gian lận hoặc trốn thuế sẽ dễ dàng bị phát hiện và xử lý nghiêm. - HUMAN-ENF1]]</f>
        <v>7</v>
      </c>
      <c r="T242" t="str">
        <f t="shared" si="82"/>
        <v>Neutral</v>
      </c>
      <c r="U242" s="32">
        <f t="shared" si="83"/>
        <v>0</v>
      </c>
      <c r="V242">
        <f>step3_validation[[#This Row],[AI_ENF2]]</f>
        <v>6</v>
      </c>
      <c r="W242" t="str">
        <f t="shared" si="84"/>
        <v>Neutral</v>
      </c>
      <c r="X242">
        <f>survey_responses[[#This Row],[Tôi tin rằng Nhà nước, cơ quan thuế có đủ khả năng và công nghệ để phát hiện, xử lý nghiêm các hành vi trốn thuế. - HUMAN-ENF2]]</f>
        <v>6</v>
      </c>
      <c r="Y242" t="str">
        <f t="shared" si="85"/>
        <v>Neutral</v>
      </c>
      <c r="Z242" s="32">
        <f t="shared" si="86"/>
        <v>0</v>
      </c>
      <c r="AA242">
        <f>step3_validation[[#This Row],[AI_FAC1]]</f>
        <v>8</v>
      </c>
      <c r="AB242" t="str">
        <f t="shared" si="87"/>
        <v>Support</v>
      </c>
      <c r="AC242">
        <f>survey_responses[[#This Row],[Các thủ tục khai báo thuế VÀ/HOẶC quy trình làm việc với cơ quan thuế đơn giản, tiện lợi, nhanh chóng hơn so với trước đây. - HUMAN-FAC1]]</f>
        <v>7</v>
      </c>
      <c r="AD242" t="str">
        <f t="shared" si="88"/>
        <v>Neutral</v>
      </c>
      <c r="AE242" s="32">
        <f t="shared" si="89"/>
        <v>1</v>
      </c>
      <c r="AF242">
        <f>step3_validation[[#This Row],[AI_FAC2]]</f>
        <v>9</v>
      </c>
      <c r="AG242" t="str">
        <f t="shared" si="90"/>
        <v>Support</v>
      </c>
      <c r="AH242">
        <f>survey_responses[[#This Row],[So với trước đây, tôi thấy cách tính thuế và các bậc thuế trong phương án mới đơn giản, dễ hiểu và dễ thực hiện hơn. - HUMAN-FAC2]]</f>
        <v>7</v>
      </c>
      <c r="AI242" t="str">
        <f t="shared" si="91"/>
        <v>Neutral</v>
      </c>
      <c r="AJ242" s="32">
        <f t="shared" si="92"/>
        <v>2</v>
      </c>
      <c r="AK242">
        <f>step3_validation[[#This Row],[AI_TRU1]]</f>
        <v>9</v>
      </c>
      <c r="AL242" t="str">
        <f t="shared" si="93"/>
        <v>Support</v>
      </c>
      <c r="AM242">
        <f>survey_responses[[#This Row],[Tôi tin rằng Nhà nước, cơ quan thuế sẽ thực thi chính sách mới một cách khách quan, công tâm và đối xử bình đẳng với mọi người nộp thuế.  - HUMAN-TRU1]]</f>
        <v>8</v>
      </c>
      <c r="AN242" t="str">
        <f t="shared" si="94"/>
        <v>Support</v>
      </c>
      <c r="AO242" s="32">
        <f t="shared" si="95"/>
        <v>1</v>
      </c>
      <c r="AP242">
        <f>step3_validation[[#This Row],[AI_TRU2]]</f>
        <v>8</v>
      </c>
      <c r="AQ242" t="str">
        <f t="shared" si="96"/>
        <v>Support</v>
      </c>
      <c r="AR242">
        <f>survey_responses[[#This Row],[Tôi thấy mức thuế tôi phải đóng theo phương án mới là công bằng (người thu nhập như tôi đóng mức này là hợp lý). - HUMAN-TRU2]]</f>
        <v>8</v>
      </c>
      <c r="AS242" t="str">
        <f t="shared" si="97"/>
        <v>Support</v>
      </c>
      <c r="AT242" s="32">
        <f t="shared" si="98"/>
        <v>0</v>
      </c>
      <c r="AU242">
        <f>step3_validation[[#This Row],[AI_TRU3]]</f>
        <v>9</v>
      </c>
      <c r="AV242" t="str">
        <f t="shared" si="99"/>
        <v>Support</v>
      </c>
      <c r="AW242">
        <f>survey_responses[[#This Row],[Tôi tin tưởng số tiền thuế tôi đóng sẽ được Nhà nước sử dụng hiệu quả để cải thiện dịch vụ công (y tế, đường xá...). - HUMAN-TRU3]]</f>
        <v>8</v>
      </c>
      <c r="AX242" t="str">
        <f t="shared" si="100"/>
        <v>Support</v>
      </c>
      <c r="AY242" s="32">
        <f t="shared" si="101"/>
        <v>1</v>
      </c>
      <c r="AZ242">
        <f>step3_validation[[#This Row],[AI_TRU4]]</f>
        <v>7</v>
      </c>
      <c r="BA242" t="str">
        <f t="shared" si="102"/>
        <v>Neutral</v>
      </c>
      <c r="BB242">
        <f>survey_responses[[#This Row],[Tôi thấy Nhà nước đã giải thích rõ ràng, minh bạch về lý do và mục tiêu của việc sửa đổi thuế lần này. - HUMAN-TRU4]]</f>
        <v>8</v>
      </c>
      <c r="BC242" t="str">
        <f t="shared" si="103"/>
        <v>Support</v>
      </c>
      <c r="BD242" s="32">
        <f t="shared" si="104"/>
        <v>1</v>
      </c>
      <c r="BE242">
        <f>step3_validation[[#This Row],[AI_OUT1]]</f>
        <v>9</v>
      </c>
      <c r="BF242" t="str">
        <f t="shared" si="105"/>
        <v>Support</v>
      </c>
      <c r="BG242">
        <f>survey_responses[[#This Row],[Sau khi xem xét các quyền lợi và nghĩa vụ, bạn có ủng hộ và tuân thủ chính sách mới hiện nay? - HUMAN-OUT1]]</f>
        <v>8</v>
      </c>
      <c r="BH242" t="str">
        <f t="shared" si="106"/>
        <v>Support</v>
      </c>
      <c r="BI242" s="32">
        <f t="shared" si="107"/>
        <v>1</v>
      </c>
    </row>
    <row r="243" spans="1:61" x14ac:dyDescent="0.45">
      <c r="A243" s="30">
        <f>step3_validation[[#This Row],[Persona_ID]]</f>
        <v>242</v>
      </c>
      <c r="B243" s="31">
        <f>step3_validation[[#This Row],[Used_Seed]]</f>
        <v>2267</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61.291200347062542</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7</v>
      </c>
      <c r="R243" t="str">
        <f t="shared" si="81"/>
        <v>Neutral</v>
      </c>
      <c r="S243">
        <f>survey_responses[[#This Row],[Tôi tin rằng với các quy định quản lý thuế hiện nay, hành vi gian lận hoặc trốn thuế sẽ dễ dàng bị phát hiện và xử lý nghiêm. - HUMAN-ENF1]]</f>
        <v>6</v>
      </c>
      <c r="T243" t="str">
        <f t="shared" si="82"/>
        <v>Neutral</v>
      </c>
      <c r="U243" s="32">
        <f t="shared" si="83"/>
        <v>1</v>
      </c>
      <c r="V243">
        <f>step3_validation[[#This Row],[AI_ENF2]]</f>
        <v>6</v>
      </c>
      <c r="W243" t="str">
        <f t="shared" si="84"/>
        <v>Neutral</v>
      </c>
      <c r="X243">
        <f>survey_responses[[#This Row],[Tôi tin rằng Nhà nước, cơ quan thuế có đủ khả năng và công nghệ để phát hiện, xử lý nghiêm các hành vi trốn thuế. - HUMAN-ENF2]]</f>
        <v>5</v>
      </c>
      <c r="Y243" t="str">
        <f t="shared" si="85"/>
        <v>Neutral</v>
      </c>
      <c r="Z243" s="32">
        <f t="shared" si="86"/>
        <v>1</v>
      </c>
      <c r="AA243">
        <f>step3_validation[[#This Row],[AI_FAC1]]</f>
        <v>8</v>
      </c>
      <c r="AB243" t="str">
        <f t="shared" si="87"/>
        <v>Support</v>
      </c>
      <c r="AC243">
        <f>survey_responses[[#This Row],[Các thủ tục khai báo thuế VÀ/HOẶC quy trình làm việc với cơ quan thuế đơn giản, tiện lợi, nhanh chóng hơn so với trước đây. - HUMAN-FAC1]]</f>
        <v>5</v>
      </c>
      <c r="AD243" t="str">
        <f t="shared" si="88"/>
        <v>Neutral</v>
      </c>
      <c r="AE243" s="32">
        <f t="shared" si="89"/>
        <v>3</v>
      </c>
      <c r="AF243">
        <f>step3_validation[[#This Row],[AI_FAC2]]</f>
        <v>9</v>
      </c>
      <c r="AG243" t="str">
        <f t="shared" si="90"/>
        <v>Support</v>
      </c>
      <c r="AH243">
        <f>survey_responses[[#This Row],[So với trước đây, tôi thấy cách tính thuế và các bậc thuế trong phương án mới đơn giản, dễ hiểu và dễ thực hiện hơn. - HUMAN-FAC2]]</f>
        <v>7</v>
      </c>
      <c r="AI243" t="str">
        <f t="shared" si="91"/>
        <v>Neutral</v>
      </c>
      <c r="AJ243" s="32">
        <f t="shared" si="92"/>
        <v>2</v>
      </c>
      <c r="AK243">
        <f>step3_validation[[#This Row],[AI_TRU1]]</f>
        <v>7</v>
      </c>
      <c r="AL243" t="str">
        <f t="shared" si="93"/>
        <v>Neutral</v>
      </c>
      <c r="AM243">
        <f>survey_responses[[#This Row],[Tôi tin rằng Nhà nước, cơ quan thuế sẽ thực thi chính sách mới một cách khách quan, công tâm và đối xử bình đẳng với mọi người nộp thuế.  - HUMAN-TRU1]]</f>
        <v>7</v>
      </c>
      <c r="AN243" t="str">
        <f t="shared" si="94"/>
        <v>Neutral</v>
      </c>
      <c r="AO243" s="32">
        <f t="shared" si="95"/>
        <v>0</v>
      </c>
      <c r="AP243">
        <f>step3_validation[[#This Row],[AI_TRU2]]</f>
        <v>8</v>
      </c>
      <c r="AQ243" t="str">
        <f t="shared" si="96"/>
        <v>Support</v>
      </c>
      <c r="AR243">
        <f>survey_responses[[#This Row],[Tôi thấy mức thuế tôi phải đóng theo phương án mới là công bằng (người thu nhập như tôi đóng mức này là hợp lý). - HUMAN-TRU2]]</f>
        <v>7</v>
      </c>
      <c r="AS243" t="str">
        <f t="shared" si="97"/>
        <v>Neutral</v>
      </c>
      <c r="AT243" s="32">
        <f t="shared" si="98"/>
        <v>1</v>
      </c>
      <c r="AU243">
        <f>step3_validation[[#This Row],[AI_TRU3]]</f>
        <v>9</v>
      </c>
      <c r="AV243" t="str">
        <f t="shared" si="99"/>
        <v>Support</v>
      </c>
      <c r="AW243">
        <f>survey_responses[[#This Row],[Tôi tin tưởng số tiền thuế tôi đóng sẽ được Nhà nước sử dụng hiệu quả để cải thiện dịch vụ công (y tế, đường xá...). - HUMAN-TRU3]]</f>
        <v>7</v>
      </c>
      <c r="AX243" t="str">
        <f t="shared" si="100"/>
        <v>Neutral</v>
      </c>
      <c r="AY243" s="32">
        <f t="shared" si="101"/>
        <v>2</v>
      </c>
      <c r="AZ243">
        <f>step3_validation[[#This Row],[AI_TRU4]]</f>
        <v>7</v>
      </c>
      <c r="BA243" t="str">
        <f t="shared" si="102"/>
        <v>Neutral</v>
      </c>
      <c r="BB243">
        <f>survey_responses[[#This Row],[Tôi thấy Nhà nước đã giải thích rõ ràng, minh bạch về lý do và mục tiêu của việc sửa đổi thuế lần này. - HUMAN-TRU4]]</f>
        <v>8</v>
      </c>
      <c r="BC243" t="str">
        <f t="shared" si="103"/>
        <v>Support</v>
      </c>
      <c r="BD243" s="32">
        <f t="shared" si="104"/>
        <v>1</v>
      </c>
      <c r="BE243">
        <f>step3_validation[[#This Row],[AI_OUT1]]</f>
        <v>9</v>
      </c>
      <c r="BF243" t="str">
        <f t="shared" si="105"/>
        <v>Support</v>
      </c>
      <c r="BG243">
        <f>survey_responses[[#This Row],[Sau khi xem xét các quyền lợi và nghĩa vụ, bạn có ủng hộ và tuân thủ chính sách mới hiện nay? - HUMAN-OUT1]]</f>
        <v>8</v>
      </c>
      <c r="BH243" t="str">
        <f t="shared" si="106"/>
        <v>Support</v>
      </c>
      <c r="BI243" s="32">
        <f t="shared" si="107"/>
        <v>1</v>
      </c>
    </row>
    <row r="244" spans="1:61" x14ac:dyDescent="0.45">
      <c r="A244" s="30">
        <f>step3_validation[[#This Row],[Persona_ID]]</f>
        <v>243</v>
      </c>
      <c r="B244" s="31">
        <f>step3_validation[[#This Row],[Used_Seed]]</f>
        <v>2268</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92.427218596042579</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8</v>
      </c>
      <c r="R244" t="str">
        <f t="shared" si="81"/>
        <v>Support</v>
      </c>
      <c r="S244">
        <f>survey_responses[[#This Row],[Tôi tin rằng với các quy định quản lý thuế hiện nay, hành vi gian lận hoặc trốn thuế sẽ dễ dàng bị phát hiện và xử lý nghiêm. - HUMAN-ENF1]]</f>
        <v>6</v>
      </c>
      <c r="T244" t="str">
        <f t="shared" si="82"/>
        <v>Neutral</v>
      </c>
      <c r="U244" s="32">
        <f t="shared" si="83"/>
        <v>2</v>
      </c>
      <c r="V244">
        <f>step3_validation[[#This Row],[AI_ENF2]]</f>
        <v>9</v>
      </c>
      <c r="W244" t="str">
        <f t="shared" si="84"/>
        <v>Support</v>
      </c>
      <c r="X244">
        <f>survey_responses[[#This Row],[Tôi tin rằng Nhà nước, cơ quan thuế có đủ khả năng và công nghệ để phát hiện, xử lý nghiêm các hành vi trốn thuế. - HUMAN-ENF2]]</f>
        <v>6</v>
      </c>
      <c r="Y244" t="str">
        <f t="shared" si="85"/>
        <v>Neutral</v>
      </c>
      <c r="Z244" s="32">
        <f t="shared" si="86"/>
        <v>3</v>
      </c>
      <c r="AA244">
        <f>step3_validation[[#This Row],[AI_FAC1]]</f>
        <v>9</v>
      </c>
      <c r="AB244" t="str">
        <f t="shared" si="87"/>
        <v>Support</v>
      </c>
      <c r="AC244">
        <f>survey_responses[[#This Row],[Các thủ tục khai báo thuế VÀ/HOẶC quy trình làm việc với cơ quan thuế đơn giản, tiện lợi, nhanh chóng hơn so với trước đây. - HUMAN-FAC1]]</f>
        <v>6</v>
      </c>
      <c r="AD244" t="str">
        <f t="shared" si="88"/>
        <v>Neutral</v>
      </c>
      <c r="AE244" s="32">
        <f t="shared" si="89"/>
        <v>3</v>
      </c>
      <c r="AF244">
        <f>step3_validation[[#This Row],[AI_FAC2]]</f>
        <v>8</v>
      </c>
      <c r="AG244" t="str">
        <f t="shared" si="90"/>
        <v>Support</v>
      </c>
      <c r="AH244">
        <f>survey_responses[[#This Row],[So với trước đây, tôi thấy cách tính thuế và các bậc thuế trong phương án mới đơn giản, dễ hiểu và dễ thực hiện hơn. - HUMAN-FAC2]]</f>
        <v>6</v>
      </c>
      <c r="AI244" t="str">
        <f t="shared" si="91"/>
        <v>Neutral</v>
      </c>
      <c r="AJ244" s="32">
        <f t="shared" si="92"/>
        <v>2</v>
      </c>
      <c r="AK244">
        <f>step3_validation[[#This Row],[AI_TRU1]]</f>
        <v>9</v>
      </c>
      <c r="AL244" t="str">
        <f t="shared" si="93"/>
        <v>Support</v>
      </c>
      <c r="AM244">
        <f>survey_responses[[#This Row],[Tôi tin rằng Nhà nước, cơ quan thuế sẽ thực thi chính sách mới một cách khách quan, công tâm và đối xử bình đẳng với mọi người nộp thuế.  - HUMAN-TRU1]]</f>
        <v>6</v>
      </c>
      <c r="AN244" t="str">
        <f t="shared" si="94"/>
        <v>Neutral</v>
      </c>
      <c r="AO244" s="32">
        <f t="shared" si="95"/>
        <v>3</v>
      </c>
      <c r="AP244">
        <f>step3_validation[[#This Row],[AI_TRU2]]</f>
        <v>9</v>
      </c>
      <c r="AQ244" t="str">
        <f t="shared" si="96"/>
        <v>Support</v>
      </c>
      <c r="AR244">
        <f>survey_responses[[#This Row],[Tôi thấy mức thuế tôi phải đóng theo phương án mới là công bằng (người thu nhập như tôi đóng mức này là hợp lý). - HUMAN-TRU2]]</f>
        <v>6</v>
      </c>
      <c r="AS244" t="str">
        <f t="shared" si="97"/>
        <v>Neutral</v>
      </c>
      <c r="AT244" s="32">
        <f t="shared" si="98"/>
        <v>3</v>
      </c>
      <c r="AU244">
        <f>step3_validation[[#This Row],[AI_TRU3]]</f>
        <v>8</v>
      </c>
      <c r="AV244" t="str">
        <f t="shared" si="99"/>
        <v>Support</v>
      </c>
      <c r="AW244">
        <f>survey_responses[[#This Row],[Tôi tin tưởng số tiền thuế tôi đóng sẽ được Nhà nước sử dụng hiệu quả để cải thiện dịch vụ công (y tế, đường xá...). - HUMAN-TRU3]]</f>
        <v>6</v>
      </c>
      <c r="AX244" t="str">
        <f t="shared" si="100"/>
        <v>Neutral</v>
      </c>
      <c r="AY244" s="32">
        <f t="shared" si="101"/>
        <v>2</v>
      </c>
      <c r="AZ244">
        <f>step3_validation[[#This Row],[AI_TRU4]]</f>
        <v>9</v>
      </c>
      <c r="BA244" t="str">
        <f t="shared" si="102"/>
        <v>Support</v>
      </c>
      <c r="BB244">
        <f>survey_responses[[#This Row],[Tôi thấy Nhà nước đã giải thích rõ ràng, minh bạch về lý do và mục tiêu của việc sửa đổi thuế lần này. - HUMAN-TRU4]]</f>
        <v>6</v>
      </c>
      <c r="BC244" t="str">
        <f t="shared" si="103"/>
        <v>Neutral</v>
      </c>
      <c r="BD244" s="32">
        <f t="shared" si="104"/>
        <v>3</v>
      </c>
      <c r="BE244">
        <f>step3_validation[[#This Row],[AI_OUT1]]</f>
        <v>10</v>
      </c>
      <c r="BF244" t="str">
        <f t="shared" si="105"/>
        <v>Support</v>
      </c>
      <c r="BG244">
        <f>survey_responses[[#This Row],[Sau khi xem xét các quyền lợi và nghĩa vụ, bạn có ủng hộ và tuân thủ chính sách mới hiện nay? - HUMAN-OUT1]]</f>
        <v>6</v>
      </c>
      <c r="BH244" t="str">
        <f t="shared" si="106"/>
        <v>Neutral</v>
      </c>
      <c r="BI244" s="32">
        <f t="shared" si="107"/>
        <v>4</v>
      </c>
    </row>
    <row r="245" spans="1:61" x14ac:dyDescent="0.45">
      <c r="A245" s="30">
        <f>step3_validation[[#This Row],[Persona_ID]]</f>
        <v>244</v>
      </c>
      <c r="B245" s="31">
        <f>step3_validation[[#This Row],[Used_Seed]]</f>
        <v>2269</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52.483739341609798</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8</v>
      </c>
      <c r="R245" t="str">
        <f t="shared" si="81"/>
        <v>Support</v>
      </c>
      <c r="S245">
        <f>survey_responses[[#This Row],[Tôi tin rằng với các quy định quản lý thuế hiện nay, hành vi gian lận hoặc trốn thuế sẽ dễ dàng bị phát hiện và xử lý nghiêm. - HUMAN-ENF1]]</f>
        <v>7</v>
      </c>
      <c r="T245" t="str">
        <f t="shared" si="82"/>
        <v>Neutral</v>
      </c>
      <c r="U245" s="32">
        <f t="shared" si="83"/>
        <v>1</v>
      </c>
      <c r="V245">
        <f>step3_validation[[#This Row],[AI_ENF2]]</f>
        <v>7</v>
      </c>
      <c r="W245" t="str">
        <f t="shared" si="84"/>
        <v>Neutral</v>
      </c>
      <c r="X245">
        <f>survey_responses[[#This Row],[Tôi tin rằng Nhà nước, cơ quan thuế có đủ khả năng và công nghệ để phát hiện, xử lý nghiêm các hành vi trốn thuế. - HUMAN-ENF2]]</f>
        <v>6</v>
      </c>
      <c r="Y245" t="str">
        <f t="shared" si="85"/>
        <v>Neutral</v>
      </c>
      <c r="Z245" s="32">
        <f t="shared" si="86"/>
        <v>1</v>
      </c>
      <c r="AA245">
        <f>step3_validation[[#This Row],[AI_FAC1]]</f>
        <v>6</v>
      </c>
      <c r="AB245" t="str">
        <f t="shared" si="87"/>
        <v>Neutral</v>
      </c>
      <c r="AC245">
        <f>survey_responses[[#This Row],[Các thủ tục khai báo thuế VÀ/HOẶC quy trình làm việc với cơ quan thuế đơn giản, tiện lợi, nhanh chóng hơn so với trước đây. - HUMAN-FAC1]]</f>
        <v>6</v>
      </c>
      <c r="AD245" t="str">
        <f t="shared" si="88"/>
        <v>Neutral</v>
      </c>
      <c r="AE245" s="32">
        <f t="shared" si="89"/>
        <v>0</v>
      </c>
      <c r="AF245">
        <f>step3_validation[[#This Row],[AI_FAC2]]</f>
        <v>9</v>
      </c>
      <c r="AG245" t="str">
        <f t="shared" si="90"/>
        <v>Support</v>
      </c>
      <c r="AH245">
        <f>survey_responses[[#This Row],[So với trước đây, tôi thấy cách tính thuế và các bậc thuế trong phương án mới đơn giản, dễ hiểu và dễ thực hiện hơn. - HUMAN-FAC2]]</f>
        <v>8</v>
      </c>
      <c r="AI245" t="str">
        <f t="shared" si="91"/>
        <v>Support</v>
      </c>
      <c r="AJ245" s="32">
        <f t="shared" si="92"/>
        <v>1</v>
      </c>
      <c r="AK245">
        <f>step3_validation[[#This Row],[AI_TRU1]]</f>
        <v>8</v>
      </c>
      <c r="AL245" t="str">
        <f t="shared" si="93"/>
        <v>Support</v>
      </c>
      <c r="AM245">
        <f>survey_responses[[#This Row],[Tôi tin rằng Nhà nước, cơ quan thuế sẽ thực thi chính sách mới một cách khách quan, công tâm và đối xử bình đẳng với mọi người nộp thuế.  - HUMAN-TRU1]]</f>
        <v>6</v>
      </c>
      <c r="AN245" t="str">
        <f t="shared" si="94"/>
        <v>Neutral</v>
      </c>
      <c r="AO245" s="32">
        <f t="shared" si="95"/>
        <v>2</v>
      </c>
      <c r="AP245">
        <f>step3_validation[[#This Row],[AI_TRU2]]</f>
        <v>9</v>
      </c>
      <c r="AQ245" t="str">
        <f t="shared" si="96"/>
        <v>Support</v>
      </c>
      <c r="AR245">
        <f>survey_responses[[#This Row],[Tôi thấy mức thuế tôi phải đóng theo phương án mới là công bằng (người thu nhập như tôi đóng mức này là hợp lý). - HUMAN-TRU2]]</f>
        <v>6</v>
      </c>
      <c r="AS245" t="str">
        <f t="shared" si="97"/>
        <v>Neutral</v>
      </c>
      <c r="AT245" s="32">
        <f t="shared" si="98"/>
        <v>3</v>
      </c>
      <c r="AU245">
        <f>step3_validation[[#This Row],[AI_TRU3]]</f>
        <v>8</v>
      </c>
      <c r="AV245" t="str">
        <f t="shared" si="99"/>
        <v>Support</v>
      </c>
      <c r="AW245">
        <f>survey_responses[[#This Row],[Tôi tin tưởng số tiền thuế tôi đóng sẽ được Nhà nước sử dụng hiệu quả để cải thiện dịch vụ công (y tế, đường xá...). - HUMAN-TRU3]]</f>
        <v>6</v>
      </c>
      <c r="AX245" t="str">
        <f t="shared" si="100"/>
        <v>Neutral</v>
      </c>
      <c r="AY245" s="32">
        <f t="shared" si="101"/>
        <v>2</v>
      </c>
      <c r="AZ245">
        <f>step3_validation[[#This Row],[AI_TRU4]]</f>
        <v>9</v>
      </c>
      <c r="BA245" t="str">
        <f t="shared" si="102"/>
        <v>Support</v>
      </c>
      <c r="BB245">
        <f>survey_responses[[#This Row],[Tôi thấy Nhà nước đã giải thích rõ ràng, minh bạch về lý do và mục tiêu của việc sửa đổi thuế lần này. - HUMAN-TRU4]]</f>
        <v>6</v>
      </c>
      <c r="BC245" t="str">
        <f t="shared" si="103"/>
        <v>Neutral</v>
      </c>
      <c r="BD245" s="32">
        <f t="shared" si="104"/>
        <v>3</v>
      </c>
      <c r="BE245">
        <f>step3_validation[[#This Row],[AI_OUT1]]</f>
        <v>8</v>
      </c>
      <c r="BF245" t="str">
        <f t="shared" si="105"/>
        <v>Support</v>
      </c>
      <c r="BG245">
        <f>survey_responses[[#This Row],[Sau khi xem xét các quyền lợi và nghĩa vụ, bạn có ủng hộ và tuân thủ chính sách mới hiện nay? - HUMAN-OUT1]]</f>
        <v>6</v>
      </c>
      <c r="BH245" t="str">
        <f t="shared" si="106"/>
        <v>Neutral</v>
      </c>
      <c r="BI245" s="32">
        <f t="shared" si="107"/>
        <v>2</v>
      </c>
    </row>
    <row r="246" spans="1:61" x14ac:dyDescent="0.45">
      <c r="A246" s="30">
        <f>step3_validation[[#This Row],[Persona_ID]]</f>
        <v>245</v>
      </c>
      <c r="B246" s="31">
        <f>step3_validation[[#This Row],[Used_Seed]]</f>
        <v>2270</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107.4817735908309</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7</v>
      </c>
      <c r="R246" t="str">
        <f t="shared" si="81"/>
        <v>Neutral</v>
      </c>
      <c r="S246">
        <f>survey_responses[[#This Row],[Tôi tin rằng với các quy định quản lý thuế hiện nay, hành vi gian lận hoặc trốn thuế sẽ dễ dàng bị phát hiện và xử lý nghiêm. - HUMAN-ENF1]]</f>
        <v>4</v>
      </c>
      <c r="T246" t="str">
        <f t="shared" si="82"/>
        <v>Oppose</v>
      </c>
      <c r="U246" s="32">
        <f t="shared" si="83"/>
        <v>3</v>
      </c>
      <c r="V246">
        <f>step3_validation[[#This Row],[AI_ENF2]]</f>
        <v>8</v>
      </c>
      <c r="W246" t="str">
        <f t="shared" si="84"/>
        <v>Support</v>
      </c>
      <c r="X246">
        <f>survey_responses[[#This Row],[Tôi tin rằng Nhà nước, cơ quan thuế có đủ khả năng và công nghệ để phát hiện, xử lý nghiêm các hành vi trốn thuế. - HUMAN-ENF2]]</f>
        <v>4</v>
      </c>
      <c r="Y246" t="str">
        <f t="shared" si="85"/>
        <v>Oppose</v>
      </c>
      <c r="Z246" s="32">
        <f t="shared" si="86"/>
        <v>4</v>
      </c>
      <c r="AA246">
        <f>step3_validation[[#This Row],[AI_FAC1]]</f>
        <v>9</v>
      </c>
      <c r="AB246" t="str">
        <f t="shared" si="87"/>
        <v>Support</v>
      </c>
      <c r="AC246">
        <f>survey_responses[[#This Row],[Các thủ tục khai báo thuế VÀ/HOẶC quy trình làm việc với cơ quan thuế đơn giản, tiện lợi, nhanh chóng hơn so với trước đây. - HUMAN-FAC1]]</f>
        <v>1</v>
      </c>
      <c r="AD246" t="str">
        <f t="shared" si="88"/>
        <v>Oppose</v>
      </c>
      <c r="AE246" s="32">
        <f t="shared" si="89"/>
        <v>8</v>
      </c>
      <c r="AF246">
        <f>step3_validation[[#This Row],[AI_FAC2]]</f>
        <v>8</v>
      </c>
      <c r="AG246" t="str">
        <f t="shared" si="90"/>
        <v>Support</v>
      </c>
      <c r="AH246">
        <f>survey_responses[[#This Row],[So với trước đây, tôi thấy cách tính thuế và các bậc thuế trong phương án mới đơn giản, dễ hiểu và dễ thực hiện hơn. - HUMAN-FAC2]]</f>
        <v>4</v>
      </c>
      <c r="AI246" t="str">
        <f t="shared" si="91"/>
        <v>Oppose</v>
      </c>
      <c r="AJ246" s="32">
        <f t="shared" si="92"/>
        <v>4</v>
      </c>
      <c r="AK246">
        <f>step3_validation[[#This Row],[AI_TRU1]]</f>
        <v>9</v>
      </c>
      <c r="AL246" t="str">
        <f t="shared" si="93"/>
        <v>Support</v>
      </c>
      <c r="AM246">
        <f>survey_responses[[#This Row],[Tôi tin rằng Nhà nước, cơ quan thuế sẽ thực thi chính sách mới một cách khách quan, công tâm và đối xử bình đẳng với mọi người nộp thuế.  - HUMAN-TRU1]]</f>
        <v>4</v>
      </c>
      <c r="AN246" t="str">
        <f t="shared" si="94"/>
        <v>Oppose</v>
      </c>
      <c r="AO246" s="32">
        <f t="shared" si="95"/>
        <v>5</v>
      </c>
      <c r="AP246">
        <f>step3_validation[[#This Row],[AI_TRU2]]</f>
        <v>9</v>
      </c>
      <c r="AQ246" t="str">
        <f t="shared" si="96"/>
        <v>Support</v>
      </c>
      <c r="AR246">
        <f>survey_responses[[#This Row],[Tôi thấy mức thuế tôi phải đóng theo phương án mới là công bằng (người thu nhập như tôi đóng mức này là hợp lý). - HUMAN-TRU2]]</f>
        <v>4</v>
      </c>
      <c r="AS246" t="str">
        <f t="shared" si="97"/>
        <v>Oppose</v>
      </c>
      <c r="AT246" s="32">
        <f t="shared" si="98"/>
        <v>5</v>
      </c>
      <c r="AU246">
        <f>step3_validation[[#This Row],[AI_TRU3]]</f>
        <v>8</v>
      </c>
      <c r="AV246" t="str">
        <f t="shared" si="99"/>
        <v>Support</v>
      </c>
      <c r="AW246">
        <f>survey_responses[[#This Row],[Tôi tin tưởng số tiền thuế tôi đóng sẽ được Nhà nước sử dụng hiệu quả để cải thiện dịch vụ công (y tế, đường xá...). - HUMAN-TRU3]]</f>
        <v>5</v>
      </c>
      <c r="AX246" t="str">
        <f t="shared" si="100"/>
        <v>Neutral</v>
      </c>
      <c r="AY246" s="32">
        <f t="shared" si="101"/>
        <v>3</v>
      </c>
      <c r="AZ246">
        <f>step3_validation[[#This Row],[AI_TRU4]]</f>
        <v>7</v>
      </c>
      <c r="BA246" t="str">
        <f t="shared" si="102"/>
        <v>Neutral</v>
      </c>
      <c r="BB246">
        <f>survey_responses[[#This Row],[Tôi thấy Nhà nước đã giải thích rõ ràng, minh bạch về lý do và mục tiêu của việc sửa đổi thuế lần này. - HUMAN-TRU4]]</f>
        <v>5</v>
      </c>
      <c r="BC246" t="str">
        <f t="shared" si="103"/>
        <v>Neutral</v>
      </c>
      <c r="BD246" s="32">
        <f t="shared" si="104"/>
        <v>2</v>
      </c>
      <c r="BE246">
        <f>step3_validation[[#This Row],[AI_OUT1]]</f>
        <v>9</v>
      </c>
      <c r="BF246" t="str">
        <f t="shared" si="105"/>
        <v>Support</v>
      </c>
      <c r="BG246">
        <f>survey_responses[[#This Row],[Sau khi xem xét các quyền lợi và nghĩa vụ, bạn có ủng hộ và tuân thủ chính sách mới hiện nay? - HUMAN-OUT1]]</f>
        <v>5</v>
      </c>
      <c r="BH246" t="str">
        <f t="shared" si="106"/>
        <v>Neutral</v>
      </c>
      <c r="BI246" s="32">
        <f t="shared" si="107"/>
        <v>4</v>
      </c>
    </row>
    <row r="247" spans="1:61" x14ac:dyDescent="0.45">
      <c r="A247" s="30">
        <f>step3_validation[[#This Row],[Persona_ID]]</f>
        <v>246</v>
      </c>
      <c r="B247" s="31">
        <f>step3_validation[[#This Row],[Used_Seed]]</f>
        <v>2271</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28.258216592770246</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8</v>
      </c>
      <c r="R247" t="str">
        <f t="shared" si="81"/>
        <v>Support</v>
      </c>
      <c r="S247">
        <f>survey_responses[[#This Row],[Tôi tin rằng với các quy định quản lý thuế hiện nay, hành vi gian lận hoặc trốn thuế sẽ dễ dàng bị phát hiện và xử lý nghiêm. - HUMAN-ENF1]]</f>
        <v>6</v>
      </c>
      <c r="T247" t="str">
        <f t="shared" si="82"/>
        <v>Neutral</v>
      </c>
      <c r="U247" s="32">
        <f t="shared" si="83"/>
        <v>2</v>
      </c>
      <c r="V247">
        <f>step3_validation[[#This Row],[AI_ENF2]]</f>
        <v>7</v>
      </c>
      <c r="W247" t="str">
        <f t="shared" si="84"/>
        <v>Neutral</v>
      </c>
      <c r="X247">
        <f>survey_responses[[#This Row],[Tôi tin rằng Nhà nước, cơ quan thuế có đủ khả năng và công nghệ để phát hiện, xử lý nghiêm các hành vi trốn thuế. - HUMAN-ENF2]]</f>
        <v>7</v>
      </c>
      <c r="Y247" t="str">
        <f t="shared" si="85"/>
        <v>Neutral</v>
      </c>
      <c r="Z247" s="32">
        <f t="shared" si="86"/>
        <v>0</v>
      </c>
      <c r="AA247">
        <f>step3_validation[[#This Row],[AI_FAC1]]</f>
        <v>9</v>
      </c>
      <c r="AB247" t="str">
        <f t="shared" si="87"/>
        <v>Support</v>
      </c>
      <c r="AC247">
        <f>survey_responses[[#This Row],[Các thủ tục khai báo thuế VÀ/HOẶC quy trình làm việc với cơ quan thuế đơn giản, tiện lợi, nhanh chóng hơn so với trước đây. - HUMAN-FAC1]]</f>
        <v>7</v>
      </c>
      <c r="AD247" t="str">
        <f t="shared" si="88"/>
        <v>Neutral</v>
      </c>
      <c r="AE247" s="32">
        <f t="shared" si="89"/>
        <v>2</v>
      </c>
      <c r="AF247">
        <f>step3_validation[[#This Row],[AI_FAC2]]</f>
        <v>8</v>
      </c>
      <c r="AG247" t="str">
        <f t="shared" si="90"/>
        <v>Support</v>
      </c>
      <c r="AH247">
        <f>survey_responses[[#This Row],[So với trước đây, tôi thấy cách tính thuế và các bậc thuế trong phương án mới đơn giản, dễ hiểu và dễ thực hiện hơn. - HUMAN-FAC2]]</f>
        <v>7</v>
      </c>
      <c r="AI247" t="str">
        <f t="shared" si="91"/>
        <v>Neutral</v>
      </c>
      <c r="AJ247" s="32">
        <f t="shared" si="92"/>
        <v>1</v>
      </c>
      <c r="AK247">
        <f>step3_validation[[#This Row],[AI_TRU1]]</f>
        <v>9</v>
      </c>
      <c r="AL247" t="str">
        <f t="shared" si="93"/>
        <v>Support</v>
      </c>
      <c r="AM247">
        <f>survey_responses[[#This Row],[Tôi tin rằng Nhà nước, cơ quan thuế sẽ thực thi chính sách mới một cách khách quan, công tâm và đối xử bình đẳng với mọi người nộp thuế.  - HUMAN-TRU1]]</f>
        <v>7</v>
      </c>
      <c r="AN247" t="str">
        <f t="shared" si="94"/>
        <v>Neutral</v>
      </c>
      <c r="AO247" s="32">
        <f t="shared" si="95"/>
        <v>2</v>
      </c>
      <c r="AP247">
        <f>step3_validation[[#This Row],[AI_TRU2]]</f>
        <v>8</v>
      </c>
      <c r="AQ247" t="str">
        <f t="shared" si="96"/>
        <v>Support</v>
      </c>
      <c r="AR247">
        <f>survey_responses[[#This Row],[Tôi thấy mức thuế tôi phải đóng theo phương án mới là công bằng (người thu nhập như tôi đóng mức này là hợp lý). - HUMAN-TRU2]]</f>
        <v>7</v>
      </c>
      <c r="AS247" t="str">
        <f t="shared" si="97"/>
        <v>Neutral</v>
      </c>
      <c r="AT247" s="32">
        <f t="shared" si="98"/>
        <v>1</v>
      </c>
      <c r="AU247">
        <f>step3_validation[[#This Row],[AI_TRU3]]</f>
        <v>9</v>
      </c>
      <c r="AV247" t="str">
        <f t="shared" si="99"/>
        <v>Support</v>
      </c>
      <c r="AW247">
        <f>survey_responses[[#This Row],[Tôi tin tưởng số tiền thuế tôi đóng sẽ được Nhà nước sử dụng hiệu quả để cải thiện dịch vụ công (y tế, đường xá...). - HUMAN-TRU3]]</f>
        <v>7</v>
      </c>
      <c r="AX247" t="str">
        <f t="shared" si="100"/>
        <v>Neutral</v>
      </c>
      <c r="AY247" s="32">
        <f t="shared" si="101"/>
        <v>2</v>
      </c>
      <c r="AZ247">
        <f>step3_validation[[#This Row],[AI_TRU4]]</f>
        <v>8</v>
      </c>
      <c r="BA247" t="str">
        <f t="shared" si="102"/>
        <v>Support</v>
      </c>
      <c r="BB247">
        <f>survey_responses[[#This Row],[Tôi thấy Nhà nước đã giải thích rõ ràng, minh bạch về lý do và mục tiêu của việc sửa đổi thuế lần này. - HUMAN-TRU4]]</f>
        <v>7</v>
      </c>
      <c r="BC247" t="str">
        <f t="shared" si="103"/>
        <v>Neutral</v>
      </c>
      <c r="BD247" s="32">
        <f t="shared" si="104"/>
        <v>1</v>
      </c>
      <c r="BE247">
        <f>step3_validation[[#This Row],[AI_OUT1]]</f>
        <v>9</v>
      </c>
      <c r="BF247" t="str">
        <f t="shared" si="105"/>
        <v>Support</v>
      </c>
      <c r="BG247">
        <f>survey_responses[[#This Row],[Sau khi xem xét các quyền lợi và nghĩa vụ, bạn có ủng hộ và tuân thủ chính sách mới hiện nay? - HUMAN-OUT1]]</f>
        <v>7</v>
      </c>
      <c r="BH247" t="str">
        <f t="shared" si="106"/>
        <v>Neutral</v>
      </c>
      <c r="BI247" s="32">
        <f t="shared" si="107"/>
        <v>2</v>
      </c>
    </row>
    <row r="248" spans="1:61" x14ac:dyDescent="0.45">
      <c r="A248" s="30">
        <f>step3_validation[[#This Row],[Persona_ID]]</f>
        <v>247</v>
      </c>
      <c r="B248" s="31">
        <f>step3_validation[[#This Row],[Used_Seed]]</f>
        <v>2272</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63.194104882923128</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6</v>
      </c>
      <c r="R248" t="str">
        <f t="shared" si="81"/>
        <v>Neutral</v>
      </c>
      <c r="S248">
        <f>survey_responses[[#This Row],[Tôi tin rằng với các quy định quản lý thuế hiện nay, hành vi gian lận hoặc trốn thuế sẽ dễ dàng bị phát hiện và xử lý nghiêm. - HUMAN-ENF1]]</f>
        <v>8</v>
      </c>
      <c r="T248" t="str">
        <f t="shared" si="82"/>
        <v>Support</v>
      </c>
      <c r="U248" s="32">
        <f t="shared" si="83"/>
        <v>2</v>
      </c>
      <c r="V248">
        <f>step3_validation[[#This Row],[AI_ENF2]]</f>
        <v>7</v>
      </c>
      <c r="W248" t="str">
        <f t="shared" si="84"/>
        <v>Neutral</v>
      </c>
      <c r="X248">
        <f>survey_responses[[#This Row],[Tôi tin rằng Nhà nước, cơ quan thuế có đủ khả năng và công nghệ để phát hiện, xử lý nghiêm các hành vi trốn thuế. - HUMAN-ENF2]]</f>
        <v>8</v>
      </c>
      <c r="Y248" t="str">
        <f t="shared" si="85"/>
        <v>Support</v>
      </c>
      <c r="Z248" s="32">
        <f t="shared" si="86"/>
        <v>1</v>
      </c>
      <c r="AA248">
        <f>step3_validation[[#This Row],[AI_FAC1]]</f>
        <v>8</v>
      </c>
      <c r="AB248" t="str">
        <f t="shared" si="87"/>
        <v>Support</v>
      </c>
      <c r="AC248">
        <f>survey_responses[[#This Row],[Các thủ tục khai báo thuế VÀ/HOẶC quy trình làm việc với cơ quan thuế đơn giản, tiện lợi, nhanh chóng hơn so với trước đây. - HUMAN-FAC1]]</f>
        <v>8</v>
      </c>
      <c r="AD248" t="str">
        <f t="shared" si="88"/>
        <v>Support</v>
      </c>
      <c r="AE248" s="32">
        <f t="shared" si="89"/>
        <v>0</v>
      </c>
      <c r="AF248">
        <f>step3_validation[[#This Row],[AI_FAC2]]</f>
        <v>9</v>
      </c>
      <c r="AG248" t="str">
        <f t="shared" si="90"/>
        <v>Support</v>
      </c>
      <c r="AH248">
        <f>survey_responses[[#This Row],[So với trước đây, tôi thấy cách tính thuế và các bậc thuế trong phương án mới đơn giản, dễ hiểu và dễ thực hiện hơn. - HUMAN-FAC2]]</f>
        <v>8</v>
      </c>
      <c r="AI248" t="str">
        <f t="shared" si="91"/>
        <v>Support</v>
      </c>
      <c r="AJ248" s="32">
        <f t="shared" si="92"/>
        <v>1</v>
      </c>
      <c r="AK248">
        <f>step3_validation[[#This Row],[AI_TRU1]]</f>
        <v>7</v>
      </c>
      <c r="AL248" t="str">
        <f t="shared" si="93"/>
        <v>Neutral</v>
      </c>
      <c r="AM248">
        <f>survey_responses[[#This Row],[Tôi tin rằng Nhà nước, cơ quan thuế sẽ thực thi chính sách mới một cách khách quan, công tâm và đối xử bình đẳng với mọi người nộp thuế.  - HUMAN-TRU1]]</f>
        <v>8</v>
      </c>
      <c r="AN248" t="str">
        <f t="shared" si="94"/>
        <v>Support</v>
      </c>
      <c r="AO248" s="32">
        <f t="shared" si="95"/>
        <v>1</v>
      </c>
      <c r="AP248">
        <f>step3_validation[[#This Row],[AI_TRU2]]</f>
        <v>8</v>
      </c>
      <c r="AQ248" t="str">
        <f t="shared" si="96"/>
        <v>Support</v>
      </c>
      <c r="AR248">
        <f>survey_responses[[#This Row],[Tôi thấy mức thuế tôi phải đóng theo phương án mới là công bằng (người thu nhập như tôi đóng mức này là hợp lý). - HUMAN-TRU2]]</f>
        <v>8</v>
      </c>
      <c r="AS248" t="str">
        <f t="shared" si="97"/>
        <v>Support</v>
      </c>
      <c r="AT248" s="32">
        <f t="shared" si="98"/>
        <v>0</v>
      </c>
      <c r="AU248">
        <f>step3_validation[[#This Row],[AI_TRU3]]</f>
        <v>7</v>
      </c>
      <c r="AV248" t="str">
        <f t="shared" si="99"/>
        <v>Neutral</v>
      </c>
      <c r="AW248">
        <f>survey_responses[[#This Row],[Tôi tin tưởng số tiền thuế tôi đóng sẽ được Nhà nước sử dụng hiệu quả để cải thiện dịch vụ công (y tế, đường xá...). - HUMAN-TRU3]]</f>
        <v>8</v>
      </c>
      <c r="AX248" t="str">
        <f t="shared" si="100"/>
        <v>Support</v>
      </c>
      <c r="AY248" s="32">
        <f t="shared" si="101"/>
        <v>1</v>
      </c>
      <c r="AZ248">
        <f>step3_validation[[#This Row],[AI_TRU4]]</f>
        <v>6</v>
      </c>
      <c r="BA248" t="str">
        <f t="shared" si="102"/>
        <v>Neutral</v>
      </c>
      <c r="BB248">
        <f>survey_responses[[#This Row],[Tôi thấy Nhà nước đã giải thích rõ ràng, minh bạch về lý do và mục tiêu của việc sửa đổi thuế lần này. - HUMAN-TRU4]]</f>
        <v>8</v>
      </c>
      <c r="BC248" t="str">
        <f t="shared" si="103"/>
        <v>Support</v>
      </c>
      <c r="BD248" s="32">
        <f t="shared" si="104"/>
        <v>2</v>
      </c>
      <c r="BE248">
        <f>step3_validation[[#This Row],[AI_OUT1]]</f>
        <v>9</v>
      </c>
      <c r="BF248" t="str">
        <f t="shared" si="105"/>
        <v>Support</v>
      </c>
      <c r="BG248">
        <f>survey_responses[[#This Row],[Sau khi xem xét các quyền lợi và nghĩa vụ, bạn có ủng hộ và tuân thủ chính sách mới hiện nay? - HUMAN-OUT1]]</f>
        <v>8</v>
      </c>
      <c r="BH248" t="str">
        <f t="shared" si="106"/>
        <v>Support</v>
      </c>
      <c r="BI248" s="32">
        <f t="shared" si="107"/>
        <v>1</v>
      </c>
    </row>
    <row r="249" spans="1:61" x14ac:dyDescent="0.45">
      <c r="A249" s="30">
        <f>step3_validation[[#This Row],[Persona_ID]]</f>
        <v>248</v>
      </c>
      <c r="B249" s="31">
        <f>step3_validation[[#This Row],[Used_Seed]]</f>
        <v>2273</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38.630349952692882</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7</v>
      </c>
      <c r="R249" t="str">
        <f t="shared" si="81"/>
        <v>Neutral</v>
      </c>
      <c r="S249">
        <f>survey_responses[[#This Row],[Tôi tin rằng với các quy định quản lý thuế hiện nay, hành vi gian lận hoặc trốn thuế sẽ dễ dàng bị phát hiện và xử lý nghiêm. - HUMAN-ENF1]]</f>
        <v>7</v>
      </c>
      <c r="T249" t="str">
        <f t="shared" si="82"/>
        <v>Neutral</v>
      </c>
      <c r="U249" s="32">
        <f t="shared" si="83"/>
        <v>0</v>
      </c>
      <c r="V249">
        <f>step3_validation[[#This Row],[AI_ENF2]]</f>
        <v>8</v>
      </c>
      <c r="W249" t="str">
        <f t="shared" si="84"/>
        <v>Support</v>
      </c>
      <c r="X249">
        <f>survey_responses[[#This Row],[Tôi tin rằng Nhà nước, cơ quan thuế có đủ khả năng và công nghệ để phát hiện, xử lý nghiêm các hành vi trốn thuế. - HUMAN-ENF2]]</f>
        <v>7</v>
      </c>
      <c r="Y249" t="str">
        <f t="shared" si="85"/>
        <v>Neutral</v>
      </c>
      <c r="Z249" s="32">
        <f t="shared" si="86"/>
        <v>1</v>
      </c>
      <c r="AA249">
        <f>step3_validation[[#This Row],[AI_FAC1]]</f>
        <v>9</v>
      </c>
      <c r="AB249" t="str">
        <f t="shared" si="87"/>
        <v>Support</v>
      </c>
      <c r="AC249">
        <f>survey_responses[[#This Row],[Các thủ tục khai báo thuế VÀ/HOẶC quy trình làm việc với cơ quan thuế đơn giản, tiện lợi, nhanh chóng hơn so với trước đây. - HUMAN-FAC1]]</f>
        <v>7</v>
      </c>
      <c r="AD249" t="str">
        <f t="shared" si="88"/>
        <v>Neutral</v>
      </c>
      <c r="AE249" s="32">
        <f t="shared" si="89"/>
        <v>2</v>
      </c>
      <c r="AF249">
        <f>step3_validation[[#This Row],[AI_FAC2]]</f>
        <v>9</v>
      </c>
      <c r="AG249" t="str">
        <f t="shared" si="90"/>
        <v>Support</v>
      </c>
      <c r="AH249">
        <f>survey_responses[[#This Row],[So với trước đây, tôi thấy cách tính thuế và các bậc thuế trong phương án mới đơn giản, dễ hiểu và dễ thực hiện hơn. - HUMAN-FAC2]]</f>
        <v>7</v>
      </c>
      <c r="AI249" t="str">
        <f t="shared" si="91"/>
        <v>Neutral</v>
      </c>
      <c r="AJ249" s="32">
        <f t="shared" si="92"/>
        <v>2</v>
      </c>
      <c r="AK249">
        <f>step3_validation[[#This Row],[AI_TRU1]]</f>
        <v>8</v>
      </c>
      <c r="AL249" t="str">
        <f t="shared" si="93"/>
        <v>Support</v>
      </c>
      <c r="AM249">
        <f>survey_responses[[#This Row],[Tôi tin rằng Nhà nước, cơ quan thuế sẽ thực thi chính sách mới một cách khách quan, công tâm và đối xử bình đẳng với mọi người nộp thuế.  - HUMAN-TRU1]]</f>
        <v>7</v>
      </c>
      <c r="AN249" t="str">
        <f t="shared" si="94"/>
        <v>Neutral</v>
      </c>
      <c r="AO249" s="32">
        <f t="shared" si="95"/>
        <v>1</v>
      </c>
      <c r="AP249">
        <f>step3_validation[[#This Row],[AI_TRU2]]</f>
        <v>9</v>
      </c>
      <c r="AQ249" t="str">
        <f t="shared" si="96"/>
        <v>Support</v>
      </c>
      <c r="AR249">
        <f>survey_responses[[#This Row],[Tôi thấy mức thuế tôi phải đóng theo phương án mới là công bằng (người thu nhập như tôi đóng mức này là hợp lý). - HUMAN-TRU2]]</f>
        <v>7</v>
      </c>
      <c r="AS249" t="str">
        <f t="shared" si="97"/>
        <v>Neutral</v>
      </c>
      <c r="AT249" s="32">
        <f t="shared" si="98"/>
        <v>2</v>
      </c>
      <c r="AU249">
        <f>step3_validation[[#This Row],[AI_TRU3]]</f>
        <v>8</v>
      </c>
      <c r="AV249" t="str">
        <f t="shared" si="99"/>
        <v>Support</v>
      </c>
      <c r="AW249">
        <f>survey_responses[[#This Row],[Tôi tin tưởng số tiền thuế tôi đóng sẽ được Nhà nước sử dụng hiệu quả để cải thiện dịch vụ công (y tế, đường xá...). - HUMAN-TRU3]]</f>
        <v>7</v>
      </c>
      <c r="AX249" t="str">
        <f t="shared" si="100"/>
        <v>Neutral</v>
      </c>
      <c r="AY249" s="32">
        <f t="shared" si="101"/>
        <v>1</v>
      </c>
      <c r="AZ249">
        <f>step3_validation[[#This Row],[AI_TRU4]]</f>
        <v>7</v>
      </c>
      <c r="BA249" t="str">
        <f t="shared" si="102"/>
        <v>Neutral</v>
      </c>
      <c r="BB249">
        <f>survey_responses[[#This Row],[Tôi thấy Nhà nước đã giải thích rõ ràng, minh bạch về lý do và mục tiêu của việc sửa đổi thuế lần này. - HUMAN-TRU4]]</f>
        <v>7</v>
      </c>
      <c r="BC249" t="str">
        <f t="shared" si="103"/>
        <v>Neutral</v>
      </c>
      <c r="BD249" s="32">
        <f t="shared" si="104"/>
        <v>0</v>
      </c>
      <c r="BE249">
        <f>step3_validation[[#This Row],[AI_OUT1]]</f>
        <v>9</v>
      </c>
      <c r="BF249" t="str">
        <f t="shared" si="105"/>
        <v>Support</v>
      </c>
      <c r="BG249">
        <f>survey_responses[[#This Row],[Sau khi xem xét các quyền lợi và nghĩa vụ, bạn có ủng hộ và tuân thủ chính sách mới hiện nay? - HUMAN-OUT1]]</f>
        <v>7</v>
      </c>
      <c r="BH249" t="str">
        <f t="shared" si="106"/>
        <v>Neutral</v>
      </c>
      <c r="BI249" s="32">
        <f t="shared" si="107"/>
        <v>2</v>
      </c>
    </row>
    <row r="250" spans="1:61" x14ac:dyDescent="0.45">
      <c r="A250" s="30">
        <f>step3_validation[[#This Row],[Persona_ID]]</f>
        <v>249</v>
      </c>
      <c r="B250" s="31">
        <f>step3_validation[[#This Row],[Used_Seed]]</f>
        <v>2274</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92.724372049302261</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9</v>
      </c>
      <c r="R250" t="str">
        <f t="shared" si="81"/>
        <v>Support</v>
      </c>
      <c r="S250">
        <f>survey_responses[[#This Row],[Tôi tin rằng với các quy định quản lý thuế hiện nay, hành vi gian lận hoặc trốn thuế sẽ dễ dàng bị phát hiện và xử lý nghiêm. - HUMAN-ENF1]]</f>
        <v>9</v>
      </c>
      <c r="T250" t="str">
        <f t="shared" si="82"/>
        <v>Support</v>
      </c>
      <c r="U250" s="32">
        <f t="shared" si="83"/>
        <v>0</v>
      </c>
      <c r="V250">
        <f>step3_validation[[#This Row],[AI_ENF2]]</f>
        <v>8</v>
      </c>
      <c r="W250" t="str">
        <f t="shared" si="84"/>
        <v>Support</v>
      </c>
      <c r="X250">
        <f>survey_responses[[#This Row],[Tôi tin rằng Nhà nước, cơ quan thuế có đủ khả năng và công nghệ để phát hiện, xử lý nghiêm các hành vi trốn thuế. - HUMAN-ENF2]]</f>
        <v>9</v>
      </c>
      <c r="Y250" t="str">
        <f t="shared" si="85"/>
        <v>Support</v>
      </c>
      <c r="Z250" s="32">
        <f t="shared" si="86"/>
        <v>1</v>
      </c>
      <c r="AA250">
        <f>step3_validation[[#This Row],[AI_FAC1]]</f>
        <v>9</v>
      </c>
      <c r="AB250" t="str">
        <f t="shared" si="87"/>
        <v>Support</v>
      </c>
      <c r="AC250">
        <f>survey_responses[[#This Row],[Các thủ tục khai báo thuế VÀ/HOẶC quy trình làm việc với cơ quan thuế đơn giản, tiện lợi, nhanh chóng hơn so với trước đây. - HUMAN-FAC1]]</f>
        <v>9</v>
      </c>
      <c r="AD250" t="str">
        <f t="shared" si="88"/>
        <v>Support</v>
      </c>
      <c r="AE250" s="32">
        <f t="shared" si="89"/>
        <v>0</v>
      </c>
      <c r="AF250">
        <f>step3_validation[[#This Row],[AI_FAC2]]</f>
        <v>8</v>
      </c>
      <c r="AG250" t="str">
        <f t="shared" si="90"/>
        <v>Support</v>
      </c>
      <c r="AH250">
        <f>survey_responses[[#This Row],[So với trước đây, tôi thấy cách tính thuế và các bậc thuế trong phương án mới đơn giản, dễ hiểu và dễ thực hiện hơn. - HUMAN-FAC2]]</f>
        <v>9</v>
      </c>
      <c r="AI250" t="str">
        <f t="shared" si="91"/>
        <v>Support</v>
      </c>
      <c r="AJ250" s="32">
        <f t="shared" si="92"/>
        <v>1</v>
      </c>
      <c r="AK250">
        <f>step3_validation[[#This Row],[AI_TRU1]]</f>
        <v>9</v>
      </c>
      <c r="AL250" t="str">
        <f t="shared" si="93"/>
        <v>Support</v>
      </c>
      <c r="AM250">
        <f>survey_responses[[#This Row],[Tôi tin rằng Nhà nước, cơ quan thuế sẽ thực thi chính sách mới một cách khách quan, công tâm và đối xử bình đẳng với mọi người nộp thuế.  - HUMAN-TRU1]]</f>
        <v>9</v>
      </c>
      <c r="AN250" t="str">
        <f t="shared" si="94"/>
        <v>Support</v>
      </c>
      <c r="AO250" s="32">
        <f t="shared" si="95"/>
        <v>0</v>
      </c>
      <c r="AP250">
        <f>step3_validation[[#This Row],[AI_TRU2]]</f>
        <v>8</v>
      </c>
      <c r="AQ250" t="str">
        <f t="shared" si="96"/>
        <v>Support</v>
      </c>
      <c r="AR250">
        <f>survey_responses[[#This Row],[Tôi thấy mức thuế tôi phải đóng theo phương án mới là công bằng (người thu nhập như tôi đóng mức này là hợp lý). - HUMAN-TRU2]]</f>
        <v>9</v>
      </c>
      <c r="AS250" t="str">
        <f t="shared" si="97"/>
        <v>Support</v>
      </c>
      <c r="AT250" s="32">
        <f t="shared" si="98"/>
        <v>1</v>
      </c>
      <c r="AU250">
        <f>step3_validation[[#This Row],[AI_TRU3]]</f>
        <v>9</v>
      </c>
      <c r="AV250" t="str">
        <f t="shared" si="99"/>
        <v>Support</v>
      </c>
      <c r="AW250">
        <f>survey_responses[[#This Row],[Tôi tin tưởng số tiền thuế tôi đóng sẽ được Nhà nước sử dụng hiệu quả để cải thiện dịch vụ công (y tế, đường xá...). - HUMAN-TRU3]]</f>
        <v>9</v>
      </c>
      <c r="AX250" t="str">
        <f t="shared" si="100"/>
        <v>Support</v>
      </c>
      <c r="AY250" s="32">
        <f t="shared" si="101"/>
        <v>0</v>
      </c>
      <c r="AZ250">
        <f>step3_validation[[#This Row],[AI_TRU4]]</f>
        <v>8</v>
      </c>
      <c r="BA250" t="str">
        <f t="shared" si="102"/>
        <v>Support</v>
      </c>
      <c r="BB250">
        <f>survey_responses[[#This Row],[Tôi thấy Nhà nước đã giải thích rõ ràng, minh bạch về lý do và mục tiêu của việc sửa đổi thuế lần này. - HUMAN-TRU4]]</f>
        <v>9</v>
      </c>
      <c r="BC250" t="str">
        <f t="shared" si="103"/>
        <v>Support</v>
      </c>
      <c r="BD250" s="32">
        <f t="shared" si="104"/>
        <v>1</v>
      </c>
      <c r="BE250">
        <f>step3_validation[[#This Row],[AI_OUT1]]</f>
        <v>9</v>
      </c>
      <c r="BF250" t="str">
        <f t="shared" si="105"/>
        <v>Support</v>
      </c>
      <c r="BG250">
        <f>survey_responses[[#This Row],[Sau khi xem xét các quyền lợi và nghĩa vụ, bạn có ủng hộ và tuân thủ chính sách mới hiện nay? - HUMAN-OUT1]]</f>
        <v>9</v>
      </c>
      <c r="BH250" t="str">
        <f t="shared" si="106"/>
        <v>Support</v>
      </c>
      <c r="BI250" s="32">
        <f t="shared" si="107"/>
        <v>0</v>
      </c>
    </row>
    <row r="251" spans="1:61" x14ac:dyDescent="0.45">
      <c r="A251" s="30">
        <f>step3_validation[[#This Row],[Persona_ID]]</f>
        <v>250</v>
      </c>
      <c r="B251" s="31">
        <f>step3_validation[[#This Row],[Used_Seed]]</f>
        <v>2275</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67.086355157018815</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9</v>
      </c>
      <c r="R251" t="str">
        <f t="shared" si="81"/>
        <v>Support</v>
      </c>
      <c r="S251">
        <f>survey_responses[[#This Row],[Tôi tin rằng với các quy định quản lý thuế hiện nay, hành vi gian lận hoặc trốn thuế sẽ dễ dàng bị phát hiện và xử lý nghiêm. - HUMAN-ENF1]]</f>
        <v>7</v>
      </c>
      <c r="T251" t="str">
        <f t="shared" si="82"/>
        <v>Neutral</v>
      </c>
      <c r="U251" s="32">
        <f t="shared" si="83"/>
        <v>2</v>
      </c>
      <c r="V251">
        <f>step3_validation[[#This Row],[AI_ENF2]]</f>
        <v>8</v>
      </c>
      <c r="W251" t="str">
        <f t="shared" si="84"/>
        <v>Support</v>
      </c>
      <c r="X251">
        <f>survey_responses[[#This Row],[Tôi tin rằng Nhà nước, cơ quan thuế có đủ khả năng và công nghệ để phát hiện, xử lý nghiêm các hành vi trốn thuế. - HUMAN-ENF2]]</f>
        <v>6</v>
      </c>
      <c r="Y251" t="str">
        <f t="shared" si="85"/>
        <v>Neutral</v>
      </c>
      <c r="Z251" s="32">
        <f t="shared" si="86"/>
        <v>2</v>
      </c>
      <c r="AA251">
        <f>step3_validation[[#This Row],[AI_FAC1]]</f>
        <v>9</v>
      </c>
      <c r="AB251" t="str">
        <f t="shared" si="87"/>
        <v>Support</v>
      </c>
      <c r="AC251">
        <f>survey_responses[[#This Row],[Các thủ tục khai báo thuế VÀ/HOẶC quy trình làm việc với cơ quan thuế đơn giản, tiện lợi, nhanh chóng hơn so với trước đây. - HUMAN-FAC1]]</f>
        <v>5</v>
      </c>
      <c r="AD251" t="str">
        <f t="shared" si="88"/>
        <v>Neutral</v>
      </c>
      <c r="AE251" s="32">
        <f t="shared" si="89"/>
        <v>4</v>
      </c>
      <c r="AF251">
        <f>step3_validation[[#This Row],[AI_FAC2]]</f>
        <v>8</v>
      </c>
      <c r="AG251" t="str">
        <f t="shared" si="90"/>
        <v>Support</v>
      </c>
      <c r="AH251">
        <f>survey_responses[[#This Row],[So với trước đây, tôi thấy cách tính thuế và các bậc thuế trong phương án mới đơn giản, dễ hiểu và dễ thực hiện hơn. - HUMAN-FAC2]]</f>
        <v>6</v>
      </c>
      <c r="AI251" t="str">
        <f t="shared" si="91"/>
        <v>Neutral</v>
      </c>
      <c r="AJ251" s="32">
        <f t="shared" si="92"/>
        <v>2</v>
      </c>
      <c r="AK251">
        <f>step3_validation[[#This Row],[AI_TRU1]]</f>
        <v>9</v>
      </c>
      <c r="AL251" t="str">
        <f t="shared" si="93"/>
        <v>Support</v>
      </c>
      <c r="AM251">
        <f>survey_responses[[#This Row],[Tôi tin rằng Nhà nước, cơ quan thuế sẽ thực thi chính sách mới một cách khách quan, công tâm và đối xử bình đẳng với mọi người nộp thuế.  - HUMAN-TRU1]]</f>
        <v>6</v>
      </c>
      <c r="AN251" t="str">
        <f t="shared" si="94"/>
        <v>Neutral</v>
      </c>
      <c r="AO251" s="32">
        <f t="shared" si="95"/>
        <v>3</v>
      </c>
      <c r="AP251">
        <f>step3_validation[[#This Row],[AI_TRU2]]</f>
        <v>8</v>
      </c>
      <c r="AQ251" t="str">
        <f t="shared" si="96"/>
        <v>Support</v>
      </c>
      <c r="AR251">
        <f>survey_responses[[#This Row],[Tôi thấy mức thuế tôi phải đóng theo phương án mới là công bằng (người thu nhập như tôi đóng mức này là hợp lý). - HUMAN-TRU2]]</f>
        <v>6</v>
      </c>
      <c r="AS251" t="str">
        <f t="shared" si="97"/>
        <v>Neutral</v>
      </c>
      <c r="AT251" s="32">
        <f t="shared" si="98"/>
        <v>2</v>
      </c>
      <c r="AU251">
        <f>step3_validation[[#This Row],[AI_TRU3]]</f>
        <v>9</v>
      </c>
      <c r="AV251" t="str">
        <f t="shared" si="99"/>
        <v>Support</v>
      </c>
      <c r="AW251">
        <f>survey_responses[[#This Row],[Tôi tin tưởng số tiền thuế tôi đóng sẽ được Nhà nước sử dụng hiệu quả để cải thiện dịch vụ công (y tế, đường xá...). - HUMAN-TRU3]]</f>
        <v>6</v>
      </c>
      <c r="AX251" t="str">
        <f t="shared" si="100"/>
        <v>Neutral</v>
      </c>
      <c r="AY251" s="32">
        <f t="shared" si="101"/>
        <v>3</v>
      </c>
      <c r="AZ251">
        <f>step3_validation[[#This Row],[AI_TRU4]]</f>
        <v>8</v>
      </c>
      <c r="BA251" t="str">
        <f t="shared" si="102"/>
        <v>Support</v>
      </c>
      <c r="BB251">
        <f>survey_responses[[#This Row],[Tôi thấy Nhà nước đã giải thích rõ ràng, minh bạch về lý do và mục tiêu của việc sửa đổi thuế lần này. - HUMAN-TRU4]]</f>
        <v>6</v>
      </c>
      <c r="BC251" t="str">
        <f t="shared" si="103"/>
        <v>Neutral</v>
      </c>
      <c r="BD251" s="32">
        <f t="shared" si="104"/>
        <v>2</v>
      </c>
      <c r="BE251">
        <f>step3_validation[[#This Row],[AI_OUT1]]</f>
        <v>9</v>
      </c>
      <c r="BF251" t="str">
        <f t="shared" si="105"/>
        <v>Support</v>
      </c>
      <c r="BG251">
        <f>survey_responses[[#This Row],[Sau khi xem xét các quyền lợi và nghĩa vụ, bạn có ủng hộ và tuân thủ chính sách mới hiện nay? - HUMAN-OUT1]]</f>
        <v>7</v>
      </c>
      <c r="BH251" t="str">
        <f t="shared" si="106"/>
        <v>Neutral</v>
      </c>
      <c r="BI251" s="32">
        <f t="shared" si="107"/>
        <v>2</v>
      </c>
    </row>
    <row r="252" spans="1:61" x14ac:dyDescent="0.45">
      <c r="A252" s="30">
        <f>step3_validation[[#This Row],[Persona_ID]]</f>
        <v>251</v>
      </c>
      <c r="B252" s="31">
        <f>step3_validation[[#This Row],[Used_Seed]]</f>
        <v>2276</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37.978933802969514</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7</v>
      </c>
      <c r="R252" t="str">
        <f t="shared" si="81"/>
        <v>Neutral</v>
      </c>
      <c r="S252">
        <f>survey_responses[[#This Row],[Tôi tin rằng với các quy định quản lý thuế hiện nay, hành vi gian lận hoặc trốn thuế sẽ dễ dàng bị phát hiện và xử lý nghiêm. - HUMAN-ENF1]]</f>
        <v>8</v>
      </c>
      <c r="T252" t="str">
        <f t="shared" si="82"/>
        <v>Support</v>
      </c>
      <c r="U252" s="32">
        <f t="shared" si="83"/>
        <v>1</v>
      </c>
      <c r="V252">
        <f>step3_validation[[#This Row],[AI_ENF2]]</f>
        <v>6</v>
      </c>
      <c r="W252" t="str">
        <f t="shared" si="84"/>
        <v>Neutral</v>
      </c>
      <c r="X252">
        <f>survey_responses[[#This Row],[Tôi tin rằng Nhà nước, cơ quan thuế có đủ khả năng và công nghệ để phát hiện, xử lý nghiêm các hành vi trốn thuế. - HUMAN-ENF2]]</f>
        <v>8</v>
      </c>
      <c r="Y252" t="str">
        <f t="shared" si="85"/>
        <v>Support</v>
      </c>
      <c r="Z252" s="32">
        <f t="shared" si="86"/>
        <v>2</v>
      </c>
      <c r="AA252">
        <f>step3_validation[[#This Row],[AI_FAC1]]</f>
        <v>8</v>
      </c>
      <c r="AB252" t="str">
        <f t="shared" si="87"/>
        <v>Support</v>
      </c>
      <c r="AC252">
        <f>survey_responses[[#This Row],[Các thủ tục khai báo thuế VÀ/HOẶC quy trình làm việc với cơ quan thuế đơn giản, tiện lợi, nhanh chóng hơn so với trước đây. - HUMAN-FAC1]]</f>
        <v>8</v>
      </c>
      <c r="AD252" t="str">
        <f t="shared" si="88"/>
        <v>Support</v>
      </c>
      <c r="AE252" s="32">
        <f t="shared" si="89"/>
        <v>0</v>
      </c>
      <c r="AF252">
        <f>step3_validation[[#This Row],[AI_FAC2]]</f>
        <v>9</v>
      </c>
      <c r="AG252" t="str">
        <f t="shared" si="90"/>
        <v>Support</v>
      </c>
      <c r="AH252">
        <f>survey_responses[[#This Row],[So với trước đây, tôi thấy cách tính thuế và các bậc thuế trong phương án mới đơn giản, dễ hiểu và dễ thực hiện hơn. - HUMAN-FAC2]]</f>
        <v>9</v>
      </c>
      <c r="AI252" t="str">
        <f t="shared" si="91"/>
        <v>Support</v>
      </c>
      <c r="AJ252" s="32">
        <f t="shared" si="92"/>
        <v>0</v>
      </c>
      <c r="AK252">
        <f>step3_validation[[#This Row],[AI_TRU1]]</f>
        <v>7</v>
      </c>
      <c r="AL252" t="str">
        <f t="shared" si="93"/>
        <v>Neutral</v>
      </c>
      <c r="AM252">
        <f>survey_responses[[#This Row],[Tôi tin rằng Nhà nước, cơ quan thuế sẽ thực thi chính sách mới một cách khách quan, công tâm và đối xử bình đẳng với mọi người nộp thuế.  - HUMAN-TRU1]]</f>
        <v>8</v>
      </c>
      <c r="AN252" t="str">
        <f t="shared" si="94"/>
        <v>Support</v>
      </c>
      <c r="AO252" s="32">
        <f t="shared" si="95"/>
        <v>1</v>
      </c>
      <c r="AP252">
        <f>step3_validation[[#This Row],[AI_TRU2]]</f>
        <v>9</v>
      </c>
      <c r="AQ252" t="str">
        <f t="shared" si="96"/>
        <v>Support</v>
      </c>
      <c r="AR252">
        <f>survey_responses[[#This Row],[Tôi thấy mức thuế tôi phải đóng theo phương án mới là công bằng (người thu nhập như tôi đóng mức này là hợp lý). - HUMAN-TRU2]]</f>
        <v>10</v>
      </c>
      <c r="AS252" t="str">
        <f t="shared" si="97"/>
        <v>Support</v>
      </c>
      <c r="AT252" s="32">
        <f t="shared" si="98"/>
        <v>1</v>
      </c>
      <c r="AU252">
        <f>step3_validation[[#This Row],[AI_TRU3]]</f>
        <v>8</v>
      </c>
      <c r="AV252" t="str">
        <f t="shared" si="99"/>
        <v>Support</v>
      </c>
      <c r="AW252">
        <f>survey_responses[[#This Row],[Tôi tin tưởng số tiền thuế tôi đóng sẽ được Nhà nước sử dụng hiệu quả để cải thiện dịch vụ công (y tế, đường xá...). - HUMAN-TRU3]]</f>
        <v>7</v>
      </c>
      <c r="AX252" t="str">
        <f t="shared" si="100"/>
        <v>Neutral</v>
      </c>
      <c r="AY252" s="32">
        <f t="shared" si="101"/>
        <v>1</v>
      </c>
      <c r="AZ252">
        <f>step3_validation[[#This Row],[AI_TRU4]]</f>
        <v>7</v>
      </c>
      <c r="BA252" t="str">
        <f t="shared" si="102"/>
        <v>Neutral</v>
      </c>
      <c r="BB252">
        <f>survey_responses[[#This Row],[Tôi thấy Nhà nước đã giải thích rõ ràng, minh bạch về lý do và mục tiêu của việc sửa đổi thuế lần này. - HUMAN-TRU4]]</f>
        <v>7</v>
      </c>
      <c r="BC252" t="str">
        <f t="shared" si="103"/>
        <v>Neutral</v>
      </c>
      <c r="BD252" s="32">
        <f t="shared" si="104"/>
        <v>0</v>
      </c>
      <c r="BE252">
        <f>step3_validation[[#This Row],[AI_OUT1]]</f>
        <v>8</v>
      </c>
      <c r="BF252" t="str">
        <f t="shared" si="105"/>
        <v>Support</v>
      </c>
      <c r="BG252">
        <f>survey_responses[[#This Row],[Sau khi xem xét các quyền lợi và nghĩa vụ, bạn có ủng hộ và tuân thủ chính sách mới hiện nay? - HUMAN-OUT1]]</f>
        <v>10</v>
      </c>
      <c r="BH252" t="str">
        <f t="shared" si="106"/>
        <v>Support</v>
      </c>
      <c r="BI252" s="32">
        <f t="shared" si="107"/>
        <v>2</v>
      </c>
    </row>
    <row r="253" spans="1:61" x14ac:dyDescent="0.45">
      <c r="A253" s="30">
        <f>step3_validation[[#This Row],[Persona_ID]]</f>
        <v>252</v>
      </c>
      <c r="B253" s="31">
        <f>step3_validation[[#This Row],[Used_Seed]]</f>
        <v>2277</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68.388741481585825</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7</v>
      </c>
      <c r="R253" t="str">
        <f t="shared" si="81"/>
        <v>Neutral</v>
      </c>
      <c r="S253">
        <f>survey_responses[[#This Row],[Tôi tin rằng với các quy định quản lý thuế hiện nay, hành vi gian lận hoặc trốn thuế sẽ dễ dàng bị phát hiện và xử lý nghiêm. - HUMAN-ENF1]]</f>
        <v>6</v>
      </c>
      <c r="T253" t="str">
        <f t="shared" si="82"/>
        <v>Neutral</v>
      </c>
      <c r="U253" s="32">
        <f t="shared" si="83"/>
        <v>1</v>
      </c>
      <c r="V253">
        <f>step3_validation[[#This Row],[AI_ENF2]]</f>
        <v>8</v>
      </c>
      <c r="W253" t="str">
        <f t="shared" si="84"/>
        <v>Support</v>
      </c>
      <c r="X253">
        <f>survey_responses[[#This Row],[Tôi tin rằng Nhà nước, cơ quan thuế có đủ khả năng và công nghệ để phát hiện, xử lý nghiêm các hành vi trốn thuế. - HUMAN-ENF2]]</f>
        <v>6</v>
      </c>
      <c r="Y253" t="str">
        <f t="shared" si="85"/>
        <v>Neutral</v>
      </c>
      <c r="Z253" s="32">
        <f t="shared" si="86"/>
        <v>2</v>
      </c>
      <c r="AA253">
        <f>step3_validation[[#This Row],[AI_FAC1]]</f>
        <v>9</v>
      </c>
      <c r="AB253" t="str">
        <f t="shared" si="87"/>
        <v>Support</v>
      </c>
      <c r="AC253">
        <f>survey_responses[[#This Row],[Các thủ tục khai báo thuế VÀ/HOẶC quy trình làm việc với cơ quan thuế đơn giản, tiện lợi, nhanh chóng hơn so với trước đây. - HUMAN-FAC1]]</f>
        <v>1</v>
      </c>
      <c r="AD253" t="str">
        <f t="shared" si="88"/>
        <v>Oppose</v>
      </c>
      <c r="AE253" s="32">
        <f t="shared" si="89"/>
        <v>8</v>
      </c>
      <c r="AF253">
        <f>step3_validation[[#This Row],[AI_FAC2]]</f>
        <v>10</v>
      </c>
      <c r="AG253" t="str">
        <f t="shared" si="90"/>
        <v>Support</v>
      </c>
      <c r="AH253">
        <f>survey_responses[[#This Row],[So với trước đây, tôi thấy cách tính thuế và các bậc thuế trong phương án mới đơn giản, dễ hiểu và dễ thực hiện hơn. - HUMAN-FAC2]]</f>
        <v>6</v>
      </c>
      <c r="AI253" t="str">
        <f t="shared" si="91"/>
        <v>Neutral</v>
      </c>
      <c r="AJ253" s="32">
        <f t="shared" si="92"/>
        <v>4</v>
      </c>
      <c r="AK253">
        <f>step3_validation[[#This Row],[AI_TRU1]]</f>
        <v>7</v>
      </c>
      <c r="AL253" t="str">
        <f t="shared" si="93"/>
        <v>Neutral</v>
      </c>
      <c r="AM253">
        <f>survey_responses[[#This Row],[Tôi tin rằng Nhà nước, cơ quan thuế sẽ thực thi chính sách mới một cách khách quan, công tâm và đối xử bình đẳng với mọi người nộp thuế.  - HUMAN-TRU1]]</f>
        <v>5</v>
      </c>
      <c r="AN253" t="str">
        <f t="shared" si="94"/>
        <v>Neutral</v>
      </c>
      <c r="AO253" s="32">
        <f t="shared" si="95"/>
        <v>2</v>
      </c>
      <c r="AP253">
        <f>step3_validation[[#This Row],[AI_TRU2]]</f>
        <v>9</v>
      </c>
      <c r="AQ253" t="str">
        <f t="shared" si="96"/>
        <v>Support</v>
      </c>
      <c r="AR253">
        <f>survey_responses[[#This Row],[Tôi thấy mức thuế tôi phải đóng theo phương án mới là công bằng (người thu nhập như tôi đóng mức này là hợp lý). - HUMAN-TRU2]]</f>
        <v>6</v>
      </c>
      <c r="AS253" t="str">
        <f t="shared" si="97"/>
        <v>Neutral</v>
      </c>
      <c r="AT253" s="32">
        <f t="shared" si="98"/>
        <v>3</v>
      </c>
      <c r="AU253">
        <f>step3_validation[[#This Row],[AI_TRU3]]</f>
        <v>8</v>
      </c>
      <c r="AV253" t="str">
        <f t="shared" si="99"/>
        <v>Support</v>
      </c>
      <c r="AW253">
        <f>survey_responses[[#This Row],[Tôi tin tưởng số tiền thuế tôi đóng sẽ được Nhà nước sử dụng hiệu quả để cải thiện dịch vụ công (y tế, đường xá...). - HUMAN-TRU3]]</f>
        <v>6</v>
      </c>
      <c r="AX253" t="str">
        <f t="shared" si="100"/>
        <v>Neutral</v>
      </c>
      <c r="AY253" s="32">
        <f t="shared" si="101"/>
        <v>2</v>
      </c>
      <c r="AZ253">
        <f>step3_validation[[#This Row],[AI_TRU4]]</f>
        <v>9</v>
      </c>
      <c r="BA253" t="str">
        <f t="shared" si="102"/>
        <v>Support</v>
      </c>
      <c r="BB253">
        <f>survey_responses[[#This Row],[Tôi thấy Nhà nước đã giải thích rõ ràng, minh bạch về lý do và mục tiêu của việc sửa đổi thuế lần này. - HUMAN-TRU4]]</f>
        <v>6</v>
      </c>
      <c r="BC253" t="str">
        <f t="shared" si="103"/>
        <v>Neutral</v>
      </c>
      <c r="BD253" s="32">
        <f t="shared" si="104"/>
        <v>3</v>
      </c>
      <c r="BE253">
        <f>step3_validation[[#This Row],[AI_OUT1]]</f>
        <v>9</v>
      </c>
      <c r="BF253" t="str">
        <f t="shared" si="105"/>
        <v>Support</v>
      </c>
      <c r="BG253">
        <f>survey_responses[[#This Row],[Sau khi xem xét các quyền lợi và nghĩa vụ, bạn có ủng hộ và tuân thủ chính sách mới hiện nay? - HUMAN-OUT1]]</f>
        <v>6</v>
      </c>
      <c r="BH253" t="str">
        <f t="shared" si="106"/>
        <v>Neutral</v>
      </c>
      <c r="BI253" s="32">
        <f t="shared" si="107"/>
        <v>3</v>
      </c>
    </row>
    <row r="254" spans="1:61" x14ac:dyDescent="0.45">
      <c r="A254" s="30">
        <f>step3_validation[[#This Row],[Persona_ID]]</f>
        <v>253</v>
      </c>
      <c r="B254" s="31">
        <f>step3_validation[[#This Row],[Used_Seed]]</f>
        <v>2278</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93.11240041634484</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7</v>
      </c>
      <c r="R254" t="str">
        <f t="shared" si="81"/>
        <v>Neutral</v>
      </c>
      <c r="S254">
        <f>survey_responses[[#This Row],[Tôi tin rằng với các quy định quản lý thuế hiện nay, hành vi gian lận hoặc trốn thuế sẽ dễ dàng bị phát hiện và xử lý nghiêm. - HUMAN-ENF1]]</f>
        <v>8</v>
      </c>
      <c r="T254" t="str">
        <f t="shared" si="82"/>
        <v>Support</v>
      </c>
      <c r="U254" s="32">
        <f t="shared" si="83"/>
        <v>1</v>
      </c>
      <c r="V254">
        <f>step3_validation[[#This Row],[AI_ENF2]]</f>
        <v>8</v>
      </c>
      <c r="W254" t="str">
        <f t="shared" si="84"/>
        <v>Support</v>
      </c>
      <c r="X254">
        <f>survey_responses[[#This Row],[Tôi tin rằng Nhà nước, cơ quan thuế có đủ khả năng và công nghệ để phát hiện, xử lý nghiêm các hành vi trốn thuế. - HUMAN-ENF2]]</f>
        <v>8</v>
      </c>
      <c r="Y254" t="str">
        <f t="shared" si="85"/>
        <v>Support</v>
      </c>
      <c r="Z254" s="32">
        <f t="shared" si="86"/>
        <v>0</v>
      </c>
      <c r="AA254">
        <f>step3_validation[[#This Row],[AI_FAC1]]</f>
        <v>9</v>
      </c>
      <c r="AB254" t="str">
        <f t="shared" si="87"/>
        <v>Support</v>
      </c>
      <c r="AC254">
        <f>survey_responses[[#This Row],[Các thủ tục khai báo thuế VÀ/HOẶC quy trình làm việc với cơ quan thuế đơn giản, tiện lợi, nhanh chóng hơn so với trước đây. - HUMAN-FAC1]]</f>
        <v>3</v>
      </c>
      <c r="AD254" t="str">
        <f t="shared" si="88"/>
        <v>Oppose</v>
      </c>
      <c r="AE254" s="32">
        <f t="shared" si="89"/>
        <v>6</v>
      </c>
      <c r="AF254">
        <f>step3_validation[[#This Row],[AI_FAC2]]</f>
        <v>9</v>
      </c>
      <c r="AG254" t="str">
        <f t="shared" si="90"/>
        <v>Support</v>
      </c>
      <c r="AH254">
        <f>survey_responses[[#This Row],[So với trước đây, tôi thấy cách tính thuế và các bậc thuế trong phương án mới đơn giản, dễ hiểu và dễ thực hiện hơn. - HUMAN-FAC2]]</f>
        <v>9</v>
      </c>
      <c r="AI254" t="str">
        <f t="shared" si="91"/>
        <v>Support</v>
      </c>
      <c r="AJ254" s="32">
        <f t="shared" si="92"/>
        <v>0</v>
      </c>
      <c r="AK254">
        <f>step3_validation[[#This Row],[AI_TRU1]]</f>
        <v>8</v>
      </c>
      <c r="AL254" t="str">
        <f t="shared" si="93"/>
        <v>Support</v>
      </c>
      <c r="AM254">
        <f>survey_responses[[#This Row],[Tôi tin rằng Nhà nước, cơ quan thuế sẽ thực thi chính sách mới một cách khách quan, công tâm và đối xử bình đẳng với mọi người nộp thuế.  - HUMAN-TRU1]]</f>
        <v>8</v>
      </c>
      <c r="AN254" t="str">
        <f t="shared" si="94"/>
        <v>Support</v>
      </c>
      <c r="AO254" s="32">
        <f t="shared" si="95"/>
        <v>0</v>
      </c>
      <c r="AP254">
        <f>step3_validation[[#This Row],[AI_TRU2]]</f>
        <v>8</v>
      </c>
      <c r="AQ254" t="str">
        <f t="shared" si="96"/>
        <v>Support</v>
      </c>
      <c r="AR254">
        <f>survey_responses[[#This Row],[Tôi thấy mức thuế tôi phải đóng theo phương án mới là công bằng (người thu nhập như tôi đóng mức này là hợp lý). - HUMAN-TRU2]]</f>
        <v>8</v>
      </c>
      <c r="AS254" t="str">
        <f t="shared" si="97"/>
        <v>Support</v>
      </c>
      <c r="AT254" s="32">
        <f t="shared" si="98"/>
        <v>0</v>
      </c>
      <c r="AU254">
        <f>step3_validation[[#This Row],[AI_TRU3]]</f>
        <v>7</v>
      </c>
      <c r="AV254" t="str">
        <f t="shared" si="99"/>
        <v>Neutral</v>
      </c>
      <c r="AW254">
        <f>survey_responses[[#This Row],[Tôi tin tưởng số tiền thuế tôi đóng sẽ được Nhà nước sử dụng hiệu quả để cải thiện dịch vụ công (y tế, đường xá...). - HUMAN-TRU3]]</f>
        <v>8</v>
      </c>
      <c r="AX254" t="str">
        <f t="shared" si="100"/>
        <v>Support</v>
      </c>
      <c r="AY254" s="32">
        <f t="shared" si="101"/>
        <v>1</v>
      </c>
      <c r="AZ254">
        <f>step3_validation[[#This Row],[AI_TRU4]]</f>
        <v>6</v>
      </c>
      <c r="BA254" t="str">
        <f t="shared" si="102"/>
        <v>Neutral</v>
      </c>
      <c r="BB254">
        <f>survey_responses[[#This Row],[Tôi thấy Nhà nước đã giải thích rõ ràng, minh bạch về lý do và mục tiêu của việc sửa đổi thuế lần này. - HUMAN-TRU4]]</f>
        <v>8</v>
      </c>
      <c r="BC254" t="str">
        <f t="shared" si="103"/>
        <v>Support</v>
      </c>
      <c r="BD254" s="32">
        <f t="shared" si="104"/>
        <v>2</v>
      </c>
      <c r="BE254">
        <f>step3_validation[[#This Row],[AI_OUT1]]</f>
        <v>8</v>
      </c>
      <c r="BF254" t="str">
        <f t="shared" si="105"/>
        <v>Support</v>
      </c>
      <c r="BG254">
        <f>survey_responses[[#This Row],[Sau khi xem xét các quyền lợi và nghĩa vụ, bạn có ủng hộ và tuân thủ chính sách mới hiện nay? - HUMAN-OUT1]]</f>
        <v>8</v>
      </c>
      <c r="BH254" t="str">
        <f t="shared" si="106"/>
        <v>Support</v>
      </c>
      <c r="BI254" s="32">
        <f t="shared" si="107"/>
        <v>0</v>
      </c>
    </row>
    <row r="255" spans="1:61" x14ac:dyDescent="0.45">
      <c r="A255" s="30">
        <f>step3_validation[[#This Row],[Persona_ID]]</f>
        <v>254</v>
      </c>
      <c r="B255" s="31">
        <f>step3_validation[[#This Row],[Used_Seed]]</f>
        <v>2279</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88.754105105392284</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8</v>
      </c>
      <c r="R255" t="str">
        <f t="shared" si="81"/>
        <v>Support</v>
      </c>
      <c r="S255">
        <f>survey_responses[[#This Row],[Tôi tin rằng với các quy định quản lý thuế hiện nay, hành vi gian lận hoặc trốn thuế sẽ dễ dàng bị phát hiện và xử lý nghiêm. - HUMAN-ENF1]]</f>
        <v>4</v>
      </c>
      <c r="T255" t="str">
        <f t="shared" si="82"/>
        <v>Oppose</v>
      </c>
      <c r="U255" s="32">
        <f t="shared" si="83"/>
        <v>4</v>
      </c>
      <c r="V255">
        <f>step3_validation[[#This Row],[AI_ENF2]]</f>
        <v>8</v>
      </c>
      <c r="W255" t="str">
        <f t="shared" si="84"/>
        <v>Support</v>
      </c>
      <c r="X255">
        <f>survey_responses[[#This Row],[Tôi tin rằng Nhà nước, cơ quan thuế có đủ khả năng và công nghệ để phát hiện, xử lý nghiêm các hành vi trốn thuế. - HUMAN-ENF2]]</f>
        <v>3</v>
      </c>
      <c r="Y255" t="str">
        <f t="shared" si="85"/>
        <v>Oppose</v>
      </c>
      <c r="Z255" s="32">
        <f t="shared" si="86"/>
        <v>5</v>
      </c>
      <c r="AA255">
        <f>step3_validation[[#This Row],[AI_FAC1]]</f>
        <v>9</v>
      </c>
      <c r="AB255" t="str">
        <f t="shared" si="87"/>
        <v>Support</v>
      </c>
      <c r="AC255">
        <f>survey_responses[[#This Row],[Các thủ tục khai báo thuế VÀ/HOẶC quy trình làm việc với cơ quan thuế đơn giản, tiện lợi, nhanh chóng hơn so với trước đây. - HUMAN-FAC1]]</f>
        <v>1</v>
      </c>
      <c r="AD255" t="str">
        <f t="shared" si="88"/>
        <v>Oppose</v>
      </c>
      <c r="AE255" s="32">
        <f t="shared" si="89"/>
        <v>8</v>
      </c>
      <c r="AF255">
        <f>step3_validation[[#This Row],[AI_FAC2]]</f>
        <v>9</v>
      </c>
      <c r="AG255" t="str">
        <f t="shared" si="90"/>
        <v>Support</v>
      </c>
      <c r="AH255">
        <f>survey_responses[[#This Row],[So với trước đây, tôi thấy cách tính thuế và các bậc thuế trong phương án mới đơn giản, dễ hiểu và dễ thực hiện hơn. - HUMAN-FAC2]]</f>
        <v>7</v>
      </c>
      <c r="AI255" t="str">
        <f t="shared" si="91"/>
        <v>Neutral</v>
      </c>
      <c r="AJ255" s="32">
        <f t="shared" si="92"/>
        <v>2</v>
      </c>
      <c r="AK255">
        <f>step3_validation[[#This Row],[AI_TRU1]]</f>
        <v>7</v>
      </c>
      <c r="AL255" t="str">
        <f t="shared" si="93"/>
        <v>Neutral</v>
      </c>
      <c r="AM255">
        <f>survey_responses[[#This Row],[Tôi tin rằng Nhà nước, cơ quan thuế sẽ thực thi chính sách mới một cách khách quan, công tâm và đối xử bình đẳng với mọi người nộp thuế.  - HUMAN-TRU1]]</f>
        <v>3</v>
      </c>
      <c r="AN255" t="str">
        <f t="shared" si="94"/>
        <v>Oppose</v>
      </c>
      <c r="AO255" s="32">
        <f t="shared" si="95"/>
        <v>4</v>
      </c>
      <c r="AP255">
        <f>step3_validation[[#This Row],[AI_TRU2]]</f>
        <v>8</v>
      </c>
      <c r="AQ255" t="str">
        <f t="shared" si="96"/>
        <v>Support</v>
      </c>
      <c r="AR255">
        <f>survey_responses[[#This Row],[Tôi thấy mức thuế tôi phải đóng theo phương án mới là công bằng (người thu nhập như tôi đóng mức này là hợp lý). - HUMAN-TRU2]]</f>
        <v>6</v>
      </c>
      <c r="AS255" t="str">
        <f t="shared" si="97"/>
        <v>Neutral</v>
      </c>
      <c r="AT255" s="32">
        <f t="shared" si="98"/>
        <v>2</v>
      </c>
      <c r="AU255">
        <f>step3_validation[[#This Row],[AI_TRU3]]</f>
        <v>7</v>
      </c>
      <c r="AV255" t="str">
        <f t="shared" si="99"/>
        <v>Neutral</v>
      </c>
      <c r="AW255">
        <f>survey_responses[[#This Row],[Tôi tin tưởng số tiền thuế tôi đóng sẽ được Nhà nước sử dụng hiệu quả để cải thiện dịch vụ công (y tế, đường xá...). - HUMAN-TRU3]]</f>
        <v>5</v>
      </c>
      <c r="AX255" t="str">
        <f t="shared" si="100"/>
        <v>Neutral</v>
      </c>
      <c r="AY255" s="32">
        <f t="shared" si="101"/>
        <v>2</v>
      </c>
      <c r="AZ255">
        <f>step3_validation[[#This Row],[AI_TRU4]]</f>
        <v>6</v>
      </c>
      <c r="BA255" t="str">
        <f t="shared" si="102"/>
        <v>Neutral</v>
      </c>
      <c r="BB255">
        <f>survey_responses[[#This Row],[Tôi thấy Nhà nước đã giải thích rõ ràng, minh bạch về lý do và mục tiêu của việc sửa đổi thuế lần này. - HUMAN-TRU4]]</f>
        <v>6</v>
      </c>
      <c r="BC255" t="str">
        <f t="shared" si="103"/>
        <v>Neutral</v>
      </c>
      <c r="BD255" s="32">
        <f t="shared" si="104"/>
        <v>0</v>
      </c>
      <c r="BE255">
        <f>step3_validation[[#This Row],[AI_OUT1]]</f>
        <v>9</v>
      </c>
      <c r="BF255" t="str">
        <f t="shared" si="105"/>
        <v>Support</v>
      </c>
      <c r="BG255">
        <f>survey_responses[[#This Row],[Sau khi xem xét các quyền lợi và nghĩa vụ, bạn có ủng hộ và tuân thủ chính sách mới hiện nay? - HUMAN-OUT1]]</f>
        <v>6</v>
      </c>
      <c r="BH255" t="str">
        <f t="shared" si="106"/>
        <v>Neutral</v>
      </c>
      <c r="BI255" s="32">
        <f t="shared" si="107"/>
        <v>3</v>
      </c>
    </row>
    <row r="256" spans="1:61" x14ac:dyDescent="0.45">
      <c r="A256" s="30">
        <f>step3_validation[[#This Row],[Persona_ID]]</f>
        <v>255</v>
      </c>
      <c r="B256" s="31">
        <f>step3_validation[[#This Row],[Used_Seed]]</f>
        <v>2280</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55.451391784362599</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7</v>
      </c>
      <c r="R256" t="str">
        <f t="shared" si="81"/>
        <v>Neutral</v>
      </c>
      <c r="S256">
        <f>survey_responses[[#This Row],[Tôi tin rằng với các quy định quản lý thuế hiện nay, hành vi gian lận hoặc trốn thuế sẽ dễ dàng bị phát hiện và xử lý nghiêm. - HUMAN-ENF1]]</f>
        <v>6</v>
      </c>
      <c r="T256" t="str">
        <f t="shared" si="82"/>
        <v>Neutral</v>
      </c>
      <c r="U256" s="32">
        <f t="shared" si="83"/>
        <v>1</v>
      </c>
      <c r="V256">
        <f>step3_validation[[#This Row],[AI_ENF2]]</f>
        <v>6</v>
      </c>
      <c r="W256" t="str">
        <f t="shared" si="84"/>
        <v>Neutral</v>
      </c>
      <c r="X256">
        <f>survey_responses[[#This Row],[Tôi tin rằng Nhà nước, cơ quan thuế có đủ khả năng và công nghệ để phát hiện, xử lý nghiêm các hành vi trốn thuế. - HUMAN-ENF2]]</f>
        <v>6</v>
      </c>
      <c r="Y256" t="str">
        <f t="shared" si="85"/>
        <v>Neutral</v>
      </c>
      <c r="Z256" s="32">
        <f t="shared" si="86"/>
        <v>0</v>
      </c>
      <c r="AA256">
        <f>step3_validation[[#This Row],[AI_FAC1]]</f>
        <v>8</v>
      </c>
      <c r="AB256" t="str">
        <f t="shared" si="87"/>
        <v>Support</v>
      </c>
      <c r="AC256">
        <f>survey_responses[[#This Row],[Các thủ tục khai báo thuế VÀ/HOẶC quy trình làm việc với cơ quan thuế đơn giản, tiện lợi, nhanh chóng hơn so với trước đây. - HUMAN-FAC1]]</f>
        <v>1</v>
      </c>
      <c r="AD256" t="str">
        <f t="shared" si="88"/>
        <v>Oppose</v>
      </c>
      <c r="AE256" s="32">
        <f t="shared" si="89"/>
        <v>7</v>
      </c>
      <c r="AF256">
        <f>step3_validation[[#This Row],[AI_FAC2]]</f>
        <v>9</v>
      </c>
      <c r="AG256" t="str">
        <f t="shared" si="90"/>
        <v>Support</v>
      </c>
      <c r="AH256">
        <f>survey_responses[[#This Row],[So với trước đây, tôi thấy cách tính thuế và các bậc thuế trong phương án mới đơn giản, dễ hiểu và dễ thực hiện hơn. - HUMAN-FAC2]]</f>
        <v>7</v>
      </c>
      <c r="AI256" t="str">
        <f t="shared" si="91"/>
        <v>Neutral</v>
      </c>
      <c r="AJ256" s="32">
        <f t="shared" si="92"/>
        <v>2</v>
      </c>
      <c r="AK256">
        <f>step3_validation[[#This Row],[AI_TRU1]]</f>
        <v>7</v>
      </c>
      <c r="AL256" t="str">
        <f t="shared" si="93"/>
        <v>Neutral</v>
      </c>
      <c r="AM256">
        <f>survey_responses[[#This Row],[Tôi tin rằng Nhà nước, cơ quan thuế sẽ thực thi chính sách mới một cách khách quan, công tâm và đối xử bình đẳng với mọi người nộp thuế.  - HUMAN-TRU1]]</f>
        <v>5</v>
      </c>
      <c r="AN256" t="str">
        <f t="shared" si="94"/>
        <v>Neutral</v>
      </c>
      <c r="AO256" s="32">
        <f t="shared" si="95"/>
        <v>2</v>
      </c>
      <c r="AP256">
        <f>step3_validation[[#This Row],[AI_TRU2]]</f>
        <v>9</v>
      </c>
      <c r="AQ256" t="str">
        <f t="shared" si="96"/>
        <v>Support</v>
      </c>
      <c r="AR256">
        <f>survey_responses[[#This Row],[Tôi thấy mức thuế tôi phải đóng theo phương án mới là công bằng (người thu nhập như tôi đóng mức này là hợp lý). - HUMAN-TRU2]]</f>
        <v>6</v>
      </c>
      <c r="AS256" t="str">
        <f t="shared" si="97"/>
        <v>Neutral</v>
      </c>
      <c r="AT256" s="32">
        <f t="shared" si="98"/>
        <v>3</v>
      </c>
      <c r="AU256">
        <f>step3_validation[[#This Row],[AI_TRU3]]</f>
        <v>7</v>
      </c>
      <c r="AV256" t="str">
        <f t="shared" si="99"/>
        <v>Neutral</v>
      </c>
      <c r="AW256">
        <f>survey_responses[[#This Row],[Tôi tin tưởng số tiền thuế tôi đóng sẽ được Nhà nước sử dụng hiệu quả để cải thiện dịch vụ công (y tế, đường xá...). - HUMAN-TRU3]]</f>
        <v>6</v>
      </c>
      <c r="AX256" t="str">
        <f t="shared" si="100"/>
        <v>Neutral</v>
      </c>
      <c r="AY256" s="32">
        <f t="shared" si="101"/>
        <v>1</v>
      </c>
      <c r="AZ256">
        <f>step3_validation[[#This Row],[AI_TRU4]]</f>
        <v>8</v>
      </c>
      <c r="BA256" t="str">
        <f t="shared" si="102"/>
        <v>Support</v>
      </c>
      <c r="BB256">
        <f>survey_responses[[#This Row],[Tôi thấy Nhà nước đã giải thích rõ ràng, minh bạch về lý do và mục tiêu của việc sửa đổi thuế lần này. - HUMAN-TRU4]]</f>
        <v>6</v>
      </c>
      <c r="BC256" t="str">
        <f t="shared" si="103"/>
        <v>Neutral</v>
      </c>
      <c r="BD256" s="32">
        <f t="shared" si="104"/>
        <v>2</v>
      </c>
      <c r="BE256">
        <f>step3_validation[[#This Row],[AI_OUT1]]</f>
        <v>9</v>
      </c>
      <c r="BF256" t="str">
        <f t="shared" si="105"/>
        <v>Support</v>
      </c>
      <c r="BG256">
        <f>survey_responses[[#This Row],[Sau khi xem xét các quyền lợi và nghĩa vụ, bạn có ủng hộ và tuân thủ chính sách mới hiện nay? - HUMAN-OUT1]]</f>
        <v>6</v>
      </c>
      <c r="BH256" t="str">
        <f t="shared" si="106"/>
        <v>Neutral</v>
      </c>
      <c r="BI256" s="32">
        <f t="shared" si="107"/>
        <v>3</v>
      </c>
    </row>
    <row r="257" spans="1:61" x14ac:dyDescent="0.45">
      <c r="A257" s="30">
        <f>step3_validation[[#This Row],[Persona_ID]]</f>
        <v>256</v>
      </c>
      <c r="B257" s="31">
        <f>step3_validation[[#This Row],[Used_Seed]]</f>
        <v>2281</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137.91560640133088</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7</v>
      </c>
      <c r="R257" t="str">
        <f t="shared" si="81"/>
        <v>Neutral</v>
      </c>
      <c r="S257">
        <f>survey_responses[[#This Row],[Tôi tin rằng với các quy định quản lý thuế hiện nay, hành vi gian lận hoặc trốn thuế sẽ dễ dàng bị phát hiện và xử lý nghiêm. - HUMAN-ENF1]]</f>
        <v>8</v>
      </c>
      <c r="T257" t="str">
        <f t="shared" si="82"/>
        <v>Support</v>
      </c>
      <c r="U257" s="32">
        <f t="shared" si="83"/>
        <v>1</v>
      </c>
      <c r="V257">
        <f>step3_validation[[#This Row],[AI_ENF2]]</f>
        <v>8</v>
      </c>
      <c r="W257" t="str">
        <f t="shared" si="84"/>
        <v>Support</v>
      </c>
      <c r="X257">
        <f>survey_responses[[#This Row],[Tôi tin rằng Nhà nước, cơ quan thuế có đủ khả năng và công nghệ để phát hiện, xử lý nghiêm các hành vi trốn thuế. - HUMAN-ENF2]]</f>
        <v>8</v>
      </c>
      <c r="Y257" t="str">
        <f t="shared" si="85"/>
        <v>Support</v>
      </c>
      <c r="Z257" s="32">
        <f t="shared" si="86"/>
        <v>0</v>
      </c>
      <c r="AA257">
        <f>step3_validation[[#This Row],[AI_FAC1]]</f>
        <v>6</v>
      </c>
      <c r="AB257" t="str">
        <f t="shared" si="87"/>
        <v>Neutral</v>
      </c>
      <c r="AC257">
        <f>survey_responses[[#This Row],[Các thủ tục khai báo thuế VÀ/HOẶC quy trình làm việc với cơ quan thuế đơn giản, tiện lợi, nhanh chóng hơn so với trước đây. - HUMAN-FAC1]]</f>
        <v>5</v>
      </c>
      <c r="AD257" t="str">
        <f t="shared" si="88"/>
        <v>Neutral</v>
      </c>
      <c r="AE257" s="32">
        <f t="shared" si="89"/>
        <v>1</v>
      </c>
      <c r="AF257">
        <f>step3_validation[[#This Row],[AI_FAC2]]</f>
        <v>9</v>
      </c>
      <c r="AG257" t="str">
        <f t="shared" si="90"/>
        <v>Support</v>
      </c>
      <c r="AH257">
        <f>survey_responses[[#This Row],[So với trước đây, tôi thấy cách tính thuế và các bậc thuế trong phương án mới đơn giản, dễ hiểu và dễ thực hiện hơn. - HUMAN-FAC2]]</f>
        <v>8</v>
      </c>
      <c r="AI257" t="str">
        <f t="shared" si="91"/>
        <v>Support</v>
      </c>
      <c r="AJ257" s="32">
        <f t="shared" si="92"/>
        <v>1</v>
      </c>
      <c r="AK257">
        <f>step3_validation[[#This Row],[AI_TRU1]]</f>
        <v>7</v>
      </c>
      <c r="AL257" t="str">
        <f t="shared" si="93"/>
        <v>Neutral</v>
      </c>
      <c r="AM257">
        <f>survey_responses[[#This Row],[Tôi tin rằng Nhà nước, cơ quan thuế sẽ thực thi chính sách mới một cách khách quan, công tâm và đối xử bình đẳng với mọi người nộp thuế.  - HUMAN-TRU1]]</f>
        <v>8</v>
      </c>
      <c r="AN257" t="str">
        <f t="shared" si="94"/>
        <v>Support</v>
      </c>
      <c r="AO257" s="32">
        <f t="shared" si="95"/>
        <v>1</v>
      </c>
      <c r="AP257">
        <f>step3_validation[[#This Row],[AI_TRU2]]</f>
        <v>9</v>
      </c>
      <c r="AQ257" t="str">
        <f t="shared" si="96"/>
        <v>Support</v>
      </c>
      <c r="AR257">
        <f>survey_responses[[#This Row],[Tôi thấy mức thuế tôi phải đóng theo phương án mới là công bằng (người thu nhập như tôi đóng mức này là hợp lý). - HUMAN-TRU2]]</f>
        <v>7</v>
      </c>
      <c r="AS257" t="str">
        <f t="shared" si="97"/>
        <v>Neutral</v>
      </c>
      <c r="AT257" s="32">
        <f t="shared" si="98"/>
        <v>2</v>
      </c>
      <c r="AU257">
        <f>step3_validation[[#This Row],[AI_TRU3]]</f>
        <v>8</v>
      </c>
      <c r="AV257" t="str">
        <f t="shared" si="99"/>
        <v>Support</v>
      </c>
      <c r="AW257">
        <f>survey_responses[[#This Row],[Tôi tin tưởng số tiền thuế tôi đóng sẽ được Nhà nước sử dụng hiệu quả để cải thiện dịch vụ công (y tế, đường xá...). - HUMAN-TRU3]]</f>
        <v>7</v>
      </c>
      <c r="AX257" t="str">
        <f t="shared" si="100"/>
        <v>Neutral</v>
      </c>
      <c r="AY257" s="32">
        <f t="shared" si="101"/>
        <v>1</v>
      </c>
      <c r="AZ257">
        <f>step3_validation[[#This Row],[AI_TRU4]]</f>
        <v>7</v>
      </c>
      <c r="BA257" t="str">
        <f t="shared" si="102"/>
        <v>Neutral</v>
      </c>
      <c r="BB257">
        <f>survey_responses[[#This Row],[Tôi thấy Nhà nước đã giải thích rõ ràng, minh bạch về lý do và mục tiêu của việc sửa đổi thuế lần này. - HUMAN-TRU4]]</f>
        <v>7</v>
      </c>
      <c r="BC257" t="str">
        <f t="shared" si="103"/>
        <v>Neutral</v>
      </c>
      <c r="BD257" s="32">
        <f t="shared" si="104"/>
        <v>0</v>
      </c>
      <c r="BE257">
        <f>step3_validation[[#This Row],[AI_OUT1]]</f>
        <v>9</v>
      </c>
      <c r="BF257" t="str">
        <f t="shared" si="105"/>
        <v>Support</v>
      </c>
      <c r="BG257">
        <f>survey_responses[[#This Row],[Sau khi xem xét các quyền lợi và nghĩa vụ, bạn có ủng hộ và tuân thủ chính sách mới hiện nay? - HUMAN-OUT1]]</f>
        <v>7</v>
      </c>
      <c r="BH257" t="str">
        <f t="shared" si="106"/>
        <v>Neutral</v>
      </c>
      <c r="BI257" s="32">
        <f t="shared" si="107"/>
        <v>2</v>
      </c>
    </row>
    <row r="258" spans="1:61" x14ac:dyDescent="0.45">
      <c r="A258" s="30">
        <f>step3_validation[[#This Row],[Persona_ID]]</f>
        <v>257</v>
      </c>
      <c r="B258" s="31">
        <f>step3_validation[[#This Row],[Used_Seed]]</f>
        <v>2282</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38.004051680886214</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7</v>
      </c>
      <c r="R258" t="str">
        <f t="shared" si="81"/>
        <v>Neutral</v>
      </c>
      <c r="S258">
        <f>survey_responses[[#This Row],[Tôi tin rằng với các quy định quản lý thuế hiện nay, hành vi gian lận hoặc trốn thuế sẽ dễ dàng bị phát hiện và xử lý nghiêm. - HUMAN-ENF1]]</f>
        <v>7</v>
      </c>
      <c r="T258" t="str">
        <f t="shared" si="82"/>
        <v>Neutral</v>
      </c>
      <c r="U258" s="32">
        <f t="shared" si="83"/>
        <v>0</v>
      </c>
      <c r="V258">
        <f>step3_validation[[#This Row],[AI_ENF2]]</f>
        <v>7</v>
      </c>
      <c r="W258" t="str">
        <f t="shared" si="84"/>
        <v>Neutral</v>
      </c>
      <c r="X258">
        <f>survey_responses[[#This Row],[Tôi tin rằng Nhà nước, cơ quan thuế có đủ khả năng và công nghệ để phát hiện, xử lý nghiêm các hành vi trốn thuế. - HUMAN-ENF2]]</f>
        <v>8</v>
      </c>
      <c r="Y258" t="str">
        <f t="shared" si="85"/>
        <v>Support</v>
      </c>
      <c r="Z258" s="32">
        <f t="shared" si="86"/>
        <v>1</v>
      </c>
      <c r="AA258">
        <f>step3_validation[[#This Row],[AI_FAC1]]</f>
        <v>9</v>
      </c>
      <c r="AB258" t="str">
        <f t="shared" si="87"/>
        <v>Support</v>
      </c>
      <c r="AC258">
        <f>survey_responses[[#This Row],[Các thủ tục khai báo thuế VÀ/HOẶC quy trình làm việc với cơ quan thuế đơn giản, tiện lợi, nhanh chóng hơn so với trước đây. - HUMAN-FAC1]]</f>
        <v>4</v>
      </c>
      <c r="AD258" t="str">
        <f t="shared" si="88"/>
        <v>Oppose</v>
      </c>
      <c r="AE258" s="32">
        <f t="shared" si="89"/>
        <v>5</v>
      </c>
      <c r="AF258">
        <f>step3_validation[[#This Row],[AI_FAC2]]</f>
        <v>8</v>
      </c>
      <c r="AG258" t="str">
        <f t="shared" si="90"/>
        <v>Support</v>
      </c>
      <c r="AH258">
        <f>survey_responses[[#This Row],[So với trước đây, tôi thấy cách tính thuế và các bậc thuế trong phương án mới đơn giản, dễ hiểu và dễ thực hiện hơn. - HUMAN-FAC2]]</f>
        <v>8</v>
      </c>
      <c r="AI258" t="str">
        <f t="shared" si="91"/>
        <v>Support</v>
      </c>
      <c r="AJ258" s="32">
        <f t="shared" si="92"/>
        <v>0</v>
      </c>
      <c r="AK258">
        <f>step3_validation[[#This Row],[AI_TRU1]]</f>
        <v>7</v>
      </c>
      <c r="AL258" t="str">
        <f t="shared" si="93"/>
        <v>Neutral</v>
      </c>
      <c r="AM258">
        <f>survey_responses[[#This Row],[Tôi tin rằng Nhà nước, cơ quan thuế sẽ thực thi chính sách mới một cách khách quan, công tâm và đối xử bình đẳng với mọi người nộp thuế.  - HUMAN-TRU1]]</f>
        <v>5</v>
      </c>
      <c r="AN258" t="str">
        <f t="shared" si="94"/>
        <v>Neutral</v>
      </c>
      <c r="AO258" s="32">
        <f t="shared" si="95"/>
        <v>2</v>
      </c>
      <c r="AP258">
        <f>step3_validation[[#This Row],[AI_TRU2]]</f>
        <v>8</v>
      </c>
      <c r="AQ258" t="str">
        <f t="shared" si="96"/>
        <v>Support</v>
      </c>
      <c r="AR258">
        <f>survey_responses[[#This Row],[Tôi thấy mức thuế tôi phải đóng theo phương án mới là công bằng (người thu nhập như tôi đóng mức này là hợp lý). - HUMAN-TRU2]]</f>
        <v>7</v>
      </c>
      <c r="AS258" t="str">
        <f t="shared" si="97"/>
        <v>Neutral</v>
      </c>
      <c r="AT258" s="32">
        <f t="shared" si="98"/>
        <v>1</v>
      </c>
      <c r="AU258">
        <f>step3_validation[[#This Row],[AI_TRU3]]</f>
        <v>6</v>
      </c>
      <c r="AV258" t="str">
        <f t="shared" si="99"/>
        <v>Neutral</v>
      </c>
      <c r="AW258">
        <f>survey_responses[[#This Row],[Tôi tin tưởng số tiền thuế tôi đóng sẽ được Nhà nước sử dụng hiệu quả để cải thiện dịch vụ công (y tế, đường xá...). - HUMAN-TRU3]]</f>
        <v>5</v>
      </c>
      <c r="AX258" t="str">
        <f t="shared" si="100"/>
        <v>Neutral</v>
      </c>
      <c r="AY258" s="32">
        <f t="shared" si="101"/>
        <v>1</v>
      </c>
      <c r="AZ258">
        <f>step3_validation[[#This Row],[AI_TRU4]]</f>
        <v>7</v>
      </c>
      <c r="BA258" t="str">
        <f t="shared" si="102"/>
        <v>Neutral</v>
      </c>
      <c r="BB258">
        <f>survey_responses[[#This Row],[Tôi thấy Nhà nước đã giải thích rõ ràng, minh bạch về lý do và mục tiêu của việc sửa đổi thuế lần này. - HUMAN-TRU4]]</f>
        <v>6</v>
      </c>
      <c r="BC258" t="str">
        <f t="shared" si="103"/>
        <v>Neutral</v>
      </c>
      <c r="BD258" s="32">
        <f t="shared" si="104"/>
        <v>1</v>
      </c>
      <c r="BE258">
        <f>step3_validation[[#This Row],[AI_OUT1]]</f>
        <v>9</v>
      </c>
      <c r="BF258" t="str">
        <f t="shared" si="105"/>
        <v>Support</v>
      </c>
      <c r="BG258">
        <f>survey_responses[[#This Row],[Sau khi xem xét các quyền lợi và nghĩa vụ, bạn có ủng hộ và tuân thủ chính sách mới hiện nay? - HUMAN-OUT1]]</f>
        <v>6</v>
      </c>
      <c r="BH258" t="str">
        <f t="shared" si="106"/>
        <v>Neutral</v>
      </c>
      <c r="BI258" s="32">
        <f t="shared" si="107"/>
        <v>3</v>
      </c>
    </row>
    <row r="259" spans="1:61" x14ac:dyDescent="0.45">
      <c r="A259" s="30">
        <f>step3_validation[[#This Row],[Persona_ID]]</f>
        <v>258</v>
      </c>
      <c r="B259" s="31">
        <f>step3_validation[[#This Row],[Used_Seed]]</f>
        <v>2283</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63.589395489618362</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6</v>
      </c>
      <c r="R259" t="str">
        <f t="shared" ref="R259:R322" si="108">IF(AND(Q259&gt;=1,Q259&lt;5),"Oppose",IF(AND(Q259&gt;=5,Q259&lt;8),"Neutral",IF(AND(Q259&gt;=8,Q259&lt;=10),"Support","")))</f>
        <v>Neutral</v>
      </c>
      <c r="S259">
        <f>survey_responses[[#This Row],[Tôi tin rằng với các quy định quản lý thuế hiện nay, hành vi gian lận hoặc trốn thuế sẽ dễ dàng bị phát hiện và xử lý nghiêm. - HUMAN-ENF1]]</f>
        <v>6</v>
      </c>
      <c r="T259" t="str">
        <f t="shared" ref="T259:T322" si="109">IF(AND(S259&gt;=1,S259&lt;5),"Oppose",IF(AND(S259&gt;=5,S259&lt;8),"Neutral",IF(AND(S259&gt;=8,S259&lt;=10),"Support","")))</f>
        <v>Neutral</v>
      </c>
      <c r="U259" s="32">
        <f t="shared" ref="U259:U322" si="110">ABS(S259-Q259)</f>
        <v>0</v>
      </c>
      <c r="V259">
        <f>step3_validation[[#This Row],[AI_ENF2]]</f>
        <v>5</v>
      </c>
      <c r="W259" t="str">
        <f t="shared" ref="W259:W322" si="111">IF(AND(V259&gt;=1,V259&lt;5),"Oppose",IF(AND(V259&gt;=5,V259&lt;8),"Neutral",IF(AND(V259&gt;=8,V259&lt;=10),"Support","")))</f>
        <v>Neutral</v>
      </c>
      <c r="X259">
        <f>survey_responses[[#This Row],[Tôi tin rằng Nhà nước, cơ quan thuế có đủ khả năng và công nghệ để phát hiện, xử lý nghiêm các hành vi trốn thuế. - HUMAN-ENF2]]</f>
        <v>7</v>
      </c>
      <c r="Y259" t="str">
        <f t="shared" ref="Y259:Y322" si="112">IF(AND(X259&gt;=1,X259&lt;5),"Oppose",IF(AND(X259&gt;=5,X259&lt;8),"Neutral",IF(AND(X259&gt;=8,X259&lt;=10),"Support","")))</f>
        <v>Neutral</v>
      </c>
      <c r="Z259" s="32">
        <f t="shared" ref="Z259:Z322" si="113">ABS(X259-V259)</f>
        <v>2</v>
      </c>
      <c r="AA259">
        <f>step3_validation[[#This Row],[AI_FAC1]]</f>
        <v>8</v>
      </c>
      <c r="AB259" t="str">
        <f t="shared" ref="AB259:AB322" si="114">IF(AND(AA259&gt;=1,AA259&lt;5),"Oppose",IF(AND(AA259&gt;=5,AA259&lt;8),"Neutral",IF(AND(AA259&gt;=8,AA259&lt;=10),"Support","")))</f>
        <v>Support</v>
      </c>
      <c r="AC259">
        <f>survey_responses[[#This Row],[Các thủ tục khai báo thuế VÀ/HOẶC quy trình làm việc với cơ quan thuế đơn giản, tiện lợi, nhanh chóng hơn so với trước đây. - HUMAN-FAC1]]</f>
        <v>2</v>
      </c>
      <c r="AD259" t="str">
        <f t="shared" ref="AD259:AD322" si="115">IF(AND(AC259&gt;=1,AC259&lt;5),"Oppose",IF(AND(AC259&gt;=5,AC259&lt;8),"Neutral",IF(AND(AC259&gt;=8,AC259&lt;=10),"Support","")))</f>
        <v>Oppose</v>
      </c>
      <c r="AE259" s="32">
        <f t="shared" ref="AE259:AE322" si="116">ABS(AC259-AA259)</f>
        <v>6</v>
      </c>
      <c r="AF259">
        <f>step3_validation[[#This Row],[AI_FAC2]]</f>
        <v>7</v>
      </c>
      <c r="AG259" t="str">
        <f t="shared" ref="AG259:AG322" si="117">IF(AND(AF259&gt;=1,AF259&lt;5),"Oppose",IF(AND(AF259&gt;=5,AF259&lt;8),"Neutral",IF(AND(AF259&gt;=8,AF259&lt;=10),"Support","")))</f>
        <v>Neutral</v>
      </c>
      <c r="AH259">
        <f>survey_responses[[#This Row],[So với trước đây, tôi thấy cách tính thuế và các bậc thuế trong phương án mới đơn giản, dễ hiểu và dễ thực hiện hơn. - HUMAN-FAC2]]</f>
        <v>7</v>
      </c>
      <c r="AI259" t="str">
        <f t="shared" ref="AI259:AI322" si="118">IF(AND(AH259&gt;=1,AH259&lt;5),"Oppose",IF(AND(AH259&gt;=5,AH259&lt;8),"Neutral",IF(AND(AH259&gt;=8,AH259&lt;=10),"Support","")))</f>
        <v>Neutral</v>
      </c>
      <c r="AJ259" s="32">
        <f t="shared" ref="AJ259:AJ322" si="119">ABS(AH259-AF259)</f>
        <v>0</v>
      </c>
      <c r="AK259">
        <f>step3_validation[[#This Row],[AI_TRU1]]</f>
        <v>9</v>
      </c>
      <c r="AL259" t="str">
        <f t="shared" ref="AL259:AL322" si="120">IF(AND(AK259&gt;=1,AK259&lt;5),"Oppose",IF(AND(AK259&gt;=5,AK259&lt;8),"Neutral",IF(AND(AK259&gt;=8,AK259&lt;=10),"Support","")))</f>
        <v>Support</v>
      </c>
      <c r="AM259">
        <f>survey_responses[[#This Row],[Tôi tin rằng Nhà nước, cơ quan thuế sẽ thực thi chính sách mới một cách khách quan, công tâm và đối xử bình đẳng với mọi người nộp thuế.  - HUMAN-TRU1]]</f>
        <v>5</v>
      </c>
      <c r="AN259" t="str">
        <f t="shared" ref="AN259:AN322" si="121">IF(AND(AM259&gt;=1,AM259&lt;5),"Oppose",IF(AND(AM259&gt;=5,AM259&lt;8),"Neutral",IF(AND(AM259&gt;=8,AM259&lt;=10),"Support","")))</f>
        <v>Neutral</v>
      </c>
      <c r="AO259" s="32">
        <f t="shared" ref="AO259:AO322" si="122">ABS(AM259-AK259)</f>
        <v>4</v>
      </c>
      <c r="AP259">
        <f>step3_validation[[#This Row],[AI_TRU2]]</f>
        <v>9</v>
      </c>
      <c r="AQ259" t="str">
        <f t="shared" ref="AQ259:AQ322" si="123">IF(AND(AP259&gt;=1,AP259&lt;5),"Oppose",IF(AND(AP259&gt;=5,AP259&lt;8),"Neutral",IF(AND(AP259&gt;=8,AP259&lt;=10),"Support","")))</f>
        <v>Support</v>
      </c>
      <c r="AR259">
        <f>survey_responses[[#This Row],[Tôi thấy mức thuế tôi phải đóng theo phương án mới là công bằng (người thu nhập như tôi đóng mức này là hợp lý). - HUMAN-TRU2]]</f>
        <v>5</v>
      </c>
      <c r="AS259" t="str">
        <f t="shared" ref="AS259:AS322" si="124">IF(AND(AR259&gt;=1,AR259&lt;5),"Oppose",IF(AND(AR259&gt;=5,AR259&lt;8),"Neutral",IF(AND(AR259&gt;=8,AR259&lt;=10),"Support","")))</f>
        <v>Neutral</v>
      </c>
      <c r="AT259" s="32">
        <f t="shared" ref="AT259:AT322" si="125">ABS(AR259-AP259)</f>
        <v>4</v>
      </c>
      <c r="AU259">
        <f>step3_validation[[#This Row],[AI_TRU3]]</f>
        <v>8</v>
      </c>
      <c r="AV259" t="str">
        <f t="shared" ref="AV259:AV322" si="126">IF(AND(AU259&gt;=1,AU259&lt;5),"Oppose",IF(AND(AU259&gt;=5,AU259&lt;8),"Neutral",IF(AND(AU259&gt;=8,AU259&lt;=10),"Support","")))</f>
        <v>Support</v>
      </c>
      <c r="AW259">
        <f>survey_responses[[#This Row],[Tôi tin tưởng số tiền thuế tôi đóng sẽ được Nhà nước sử dụng hiệu quả để cải thiện dịch vụ công (y tế, đường xá...). - HUMAN-TRU3]]</f>
        <v>5</v>
      </c>
      <c r="AX259" t="str">
        <f t="shared" ref="AX259:AX322" si="127">IF(AND(AW259&gt;=1,AW259&lt;5),"Oppose",IF(AND(AW259&gt;=5,AW259&lt;8),"Neutral",IF(AND(AW259&gt;=8,AW259&lt;=10),"Support","")))</f>
        <v>Neutral</v>
      </c>
      <c r="AY259" s="32">
        <f t="shared" ref="AY259:AY322" si="128">ABS(AW259-AU259)</f>
        <v>3</v>
      </c>
      <c r="AZ259">
        <f>step3_validation[[#This Row],[AI_TRU4]]</f>
        <v>7</v>
      </c>
      <c r="BA259" t="str">
        <f t="shared" ref="BA259:BA322" si="129">IF(AND(AZ259&gt;=1,AZ259&lt;5),"Oppose",IF(AND(AZ259&gt;=5,AZ259&lt;8),"Neutral",IF(AND(AZ259&gt;=8,AZ259&lt;=10),"Support","")))</f>
        <v>Neutral</v>
      </c>
      <c r="BB259">
        <f>survey_responses[[#This Row],[Tôi thấy Nhà nước đã giải thích rõ ràng, minh bạch về lý do và mục tiêu của việc sửa đổi thuế lần này. - HUMAN-TRU4]]</f>
        <v>6</v>
      </c>
      <c r="BC259" t="str">
        <f t="shared" ref="BC259:BC322" si="130">IF(AND(BB259&gt;=1,BB259&lt;5),"Oppose",IF(AND(BB259&gt;=5,BB259&lt;8),"Neutral",IF(AND(BB259&gt;=8,BB259&lt;=10),"Support","")))</f>
        <v>Neutral</v>
      </c>
      <c r="BD259" s="32">
        <f t="shared" ref="BD259:BD322" si="131">ABS(BB259-AZ259)</f>
        <v>1</v>
      </c>
      <c r="BE259">
        <f>step3_validation[[#This Row],[AI_OUT1]]</f>
        <v>9</v>
      </c>
      <c r="BF259" t="str">
        <f t="shared" ref="BF259:BF322" si="132">IF(AND(BE259&gt;=1,BE259&lt;5),"Oppose",IF(AND(BE259&gt;=5,BE259&lt;8),"Neutral",IF(AND(BE259&gt;=8,BE259&lt;=10),"Support","")))</f>
        <v>Support</v>
      </c>
      <c r="BG259">
        <f>survey_responses[[#This Row],[Sau khi xem xét các quyền lợi và nghĩa vụ, bạn có ủng hộ và tuân thủ chính sách mới hiện nay? - HUMAN-OUT1]]</f>
        <v>5</v>
      </c>
      <c r="BH259" t="str">
        <f t="shared" ref="BH259:BH322" si="133">IF(AND(BG259&gt;=1,BG259&lt;5),"Oppose",IF(AND(BG259&gt;=5,BG259&lt;8),"Neutral",IF(AND(BG259&gt;=8,BG259&lt;=10),"Support","")))</f>
        <v>Neutral</v>
      </c>
      <c r="BI259" s="32">
        <f t="shared" ref="BI259:BI322" si="134">ABS(BG259-BE259)</f>
        <v>4</v>
      </c>
    </row>
    <row r="260" spans="1:61" x14ac:dyDescent="0.45">
      <c r="A260" s="30">
        <f>step3_validation[[#This Row],[Persona_ID]]</f>
        <v>259</v>
      </c>
      <c r="B260" s="31">
        <f>step3_validation[[#This Row],[Used_Seed]]</f>
        <v>2284</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232.13934677245291</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7</v>
      </c>
      <c r="R260" t="str">
        <f t="shared" si="108"/>
        <v>Neutral</v>
      </c>
      <c r="S260">
        <f>survey_responses[[#This Row],[Tôi tin rằng với các quy định quản lý thuế hiện nay, hành vi gian lận hoặc trốn thuế sẽ dễ dàng bị phát hiện và xử lý nghiêm. - HUMAN-ENF1]]</f>
        <v>2</v>
      </c>
      <c r="T260" t="str">
        <f t="shared" si="109"/>
        <v>Oppose</v>
      </c>
      <c r="U260" s="32">
        <f t="shared" si="110"/>
        <v>5</v>
      </c>
      <c r="V260">
        <f>step3_validation[[#This Row],[AI_ENF2]]</f>
        <v>6</v>
      </c>
      <c r="W260" t="str">
        <f t="shared" si="111"/>
        <v>Neutral</v>
      </c>
      <c r="X260">
        <f>survey_responses[[#This Row],[Tôi tin rằng Nhà nước, cơ quan thuế có đủ khả năng và công nghệ để phát hiện, xử lý nghiêm các hành vi trốn thuế. - HUMAN-ENF2]]</f>
        <v>1</v>
      </c>
      <c r="Y260" t="str">
        <f t="shared" si="112"/>
        <v>Oppose</v>
      </c>
      <c r="Z260" s="32">
        <f t="shared" si="113"/>
        <v>5</v>
      </c>
      <c r="AA260">
        <f>step3_validation[[#This Row],[AI_FAC1]]</f>
        <v>9</v>
      </c>
      <c r="AB260" t="str">
        <f t="shared" si="114"/>
        <v>Support</v>
      </c>
      <c r="AC260">
        <f>survey_responses[[#This Row],[Các thủ tục khai báo thuế VÀ/HOẶC quy trình làm việc với cơ quan thuế đơn giản, tiện lợi, nhanh chóng hơn so với trước đây. - HUMAN-FAC1]]</f>
        <v>1</v>
      </c>
      <c r="AD260" t="str">
        <f t="shared" si="115"/>
        <v>Oppose</v>
      </c>
      <c r="AE260" s="32">
        <f t="shared" si="116"/>
        <v>8</v>
      </c>
      <c r="AF260">
        <f>step3_validation[[#This Row],[AI_FAC2]]</f>
        <v>8</v>
      </c>
      <c r="AG260" t="str">
        <f t="shared" si="117"/>
        <v>Support</v>
      </c>
      <c r="AH260">
        <f>survey_responses[[#This Row],[So với trước đây, tôi thấy cách tính thuế và các bậc thuế trong phương án mới đơn giản, dễ hiểu và dễ thực hiện hơn. - HUMAN-FAC2]]</f>
        <v>6</v>
      </c>
      <c r="AI260" t="str">
        <f t="shared" si="118"/>
        <v>Neutral</v>
      </c>
      <c r="AJ260" s="32">
        <f t="shared" si="119"/>
        <v>2</v>
      </c>
      <c r="AK260">
        <f>step3_validation[[#This Row],[AI_TRU1]]</f>
        <v>7</v>
      </c>
      <c r="AL260" t="str">
        <f t="shared" si="120"/>
        <v>Neutral</v>
      </c>
      <c r="AM260">
        <f>survey_responses[[#This Row],[Tôi tin rằng Nhà nước, cơ quan thuế sẽ thực thi chính sách mới một cách khách quan, công tâm và đối xử bình đẳng với mọi người nộp thuế.  - HUMAN-TRU1]]</f>
        <v>2</v>
      </c>
      <c r="AN260" t="str">
        <f t="shared" si="121"/>
        <v>Oppose</v>
      </c>
      <c r="AO260" s="32">
        <f t="shared" si="122"/>
        <v>5</v>
      </c>
      <c r="AP260">
        <f>step3_validation[[#This Row],[AI_TRU2]]</f>
        <v>9</v>
      </c>
      <c r="AQ260" t="str">
        <f t="shared" si="123"/>
        <v>Support</v>
      </c>
      <c r="AR260">
        <f>survey_responses[[#This Row],[Tôi thấy mức thuế tôi phải đóng theo phương án mới là công bằng (người thu nhập như tôi đóng mức này là hợp lý). - HUMAN-TRU2]]</f>
        <v>3</v>
      </c>
      <c r="AS260" t="str">
        <f t="shared" si="124"/>
        <v>Oppose</v>
      </c>
      <c r="AT260" s="32">
        <f t="shared" si="125"/>
        <v>6</v>
      </c>
      <c r="AU260">
        <f>step3_validation[[#This Row],[AI_TRU3]]</f>
        <v>7</v>
      </c>
      <c r="AV260" t="str">
        <f t="shared" si="126"/>
        <v>Neutral</v>
      </c>
      <c r="AW260">
        <f>survey_responses[[#This Row],[Tôi tin tưởng số tiền thuế tôi đóng sẽ được Nhà nước sử dụng hiệu quả để cải thiện dịch vụ công (y tế, đường xá...). - HUMAN-TRU3]]</f>
        <v>1</v>
      </c>
      <c r="AX260" t="str">
        <f t="shared" si="127"/>
        <v>Oppose</v>
      </c>
      <c r="AY260" s="32">
        <f t="shared" si="128"/>
        <v>6</v>
      </c>
      <c r="AZ260">
        <f>step3_validation[[#This Row],[AI_TRU4]]</f>
        <v>6</v>
      </c>
      <c r="BA260" t="str">
        <f t="shared" si="129"/>
        <v>Neutral</v>
      </c>
      <c r="BB260">
        <f>survey_responses[[#This Row],[Tôi thấy Nhà nước đã giải thích rõ ràng, minh bạch về lý do và mục tiêu của việc sửa đổi thuế lần này. - HUMAN-TRU4]]</f>
        <v>5</v>
      </c>
      <c r="BC260" t="str">
        <f t="shared" si="130"/>
        <v>Neutral</v>
      </c>
      <c r="BD260" s="32">
        <f t="shared" si="131"/>
        <v>1</v>
      </c>
      <c r="BE260">
        <f>step3_validation[[#This Row],[AI_OUT1]]</f>
        <v>9</v>
      </c>
      <c r="BF260" t="str">
        <f t="shared" si="132"/>
        <v>Support</v>
      </c>
      <c r="BG260">
        <f>survey_responses[[#This Row],[Sau khi xem xét các quyền lợi và nghĩa vụ, bạn có ủng hộ và tuân thủ chính sách mới hiện nay? - HUMAN-OUT1]]</f>
        <v>4</v>
      </c>
      <c r="BH260" t="str">
        <f t="shared" si="133"/>
        <v>Oppose</v>
      </c>
      <c r="BI260" s="32">
        <f t="shared" si="134"/>
        <v>5</v>
      </c>
    </row>
    <row r="261" spans="1:61" x14ac:dyDescent="0.45">
      <c r="A261" s="30">
        <f>step3_validation[[#This Row],[Persona_ID]]</f>
        <v>260</v>
      </c>
      <c r="B261" s="31">
        <f>step3_validation[[#This Row],[Used_Seed]]</f>
        <v>2285</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35.617338665214369</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8</v>
      </c>
      <c r="R261" t="str">
        <f t="shared" si="108"/>
        <v>Support</v>
      </c>
      <c r="S261">
        <f>survey_responses[[#This Row],[Tôi tin rằng với các quy định quản lý thuế hiện nay, hành vi gian lận hoặc trốn thuế sẽ dễ dàng bị phát hiện và xử lý nghiêm. - HUMAN-ENF1]]</f>
        <v>6</v>
      </c>
      <c r="T261" t="str">
        <f t="shared" si="109"/>
        <v>Neutral</v>
      </c>
      <c r="U261" s="32">
        <f t="shared" si="110"/>
        <v>2</v>
      </c>
      <c r="V261">
        <f>step3_validation[[#This Row],[AI_ENF2]]</f>
        <v>7</v>
      </c>
      <c r="W261" t="str">
        <f t="shared" si="111"/>
        <v>Neutral</v>
      </c>
      <c r="X261">
        <f>survey_responses[[#This Row],[Tôi tin rằng Nhà nước, cơ quan thuế có đủ khả năng và công nghệ để phát hiện, xử lý nghiêm các hành vi trốn thuế. - HUMAN-ENF2]]</f>
        <v>6</v>
      </c>
      <c r="Y261" t="str">
        <f t="shared" si="112"/>
        <v>Neutral</v>
      </c>
      <c r="Z261" s="32">
        <f t="shared" si="113"/>
        <v>1</v>
      </c>
      <c r="AA261">
        <f>step3_validation[[#This Row],[AI_FAC1]]</f>
        <v>9</v>
      </c>
      <c r="AB261" t="str">
        <f t="shared" si="114"/>
        <v>Support</v>
      </c>
      <c r="AC261">
        <f>survey_responses[[#This Row],[Các thủ tục khai báo thuế VÀ/HOẶC quy trình làm việc với cơ quan thuế đơn giản, tiện lợi, nhanh chóng hơn so với trước đây. - HUMAN-FAC1]]</f>
        <v>7</v>
      </c>
      <c r="AD261" t="str">
        <f t="shared" si="115"/>
        <v>Neutral</v>
      </c>
      <c r="AE261" s="32">
        <f t="shared" si="116"/>
        <v>2</v>
      </c>
      <c r="AF261">
        <f>step3_validation[[#This Row],[AI_FAC2]]</f>
        <v>8</v>
      </c>
      <c r="AG261" t="str">
        <f t="shared" si="117"/>
        <v>Support</v>
      </c>
      <c r="AH261">
        <f>survey_responses[[#This Row],[So với trước đây, tôi thấy cách tính thuế và các bậc thuế trong phương án mới đơn giản, dễ hiểu và dễ thực hiện hơn. - HUMAN-FAC2]]</f>
        <v>6</v>
      </c>
      <c r="AI261" t="str">
        <f t="shared" si="118"/>
        <v>Neutral</v>
      </c>
      <c r="AJ261" s="32">
        <f t="shared" si="119"/>
        <v>2</v>
      </c>
      <c r="AK261">
        <f>step3_validation[[#This Row],[AI_TRU1]]</f>
        <v>9</v>
      </c>
      <c r="AL261" t="str">
        <f t="shared" si="120"/>
        <v>Support</v>
      </c>
      <c r="AM261">
        <f>survey_responses[[#This Row],[Tôi tin rằng Nhà nước, cơ quan thuế sẽ thực thi chính sách mới một cách khách quan, công tâm và đối xử bình đẳng với mọi người nộp thuế.  - HUMAN-TRU1]]</f>
        <v>5</v>
      </c>
      <c r="AN261" t="str">
        <f t="shared" si="121"/>
        <v>Neutral</v>
      </c>
      <c r="AO261" s="32">
        <f t="shared" si="122"/>
        <v>4</v>
      </c>
      <c r="AP261">
        <f>step3_validation[[#This Row],[AI_TRU2]]</f>
        <v>8</v>
      </c>
      <c r="AQ261" t="str">
        <f t="shared" si="123"/>
        <v>Support</v>
      </c>
      <c r="AR261">
        <f>survey_responses[[#This Row],[Tôi thấy mức thuế tôi phải đóng theo phương án mới là công bằng (người thu nhập như tôi đóng mức này là hợp lý). - HUMAN-TRU2]]</f>
        <v>6</v>
      </c>
      <c r="AS261" t="str">
        <f t="shared" si="124"/>
        <v>Neutral</v>
      </c>
      <c r="AT261" s="32">
        <f t="shared" si="125"/>
        <v>2</v>
      </c>
      <c r="AU261">
        <f>step3_validation[[#This Row],[AI_TRU3]]</f>
        <v>9</v>
      </c>
      <c r="AV261" t="str">
        <f t="shared" si="126"/>
        <v>Support</v>
      </c>
      <c r="AW261">
        <f>survey_responses[[#This Row],[Tôi tin tưởng số tiền thuế tôi đóng sẽ được Nhà nước sử dụng hiệu quả để cải thiện dịch vụ công (y tế, đường xá...). - HUMAN-TRU3]]</f>
        <v>5</v>
      </c>
      <c r="AX261" t="str">
        <f t="shared" si="127"/>
        <v>Neutral</v>
      </c>
      <c r="AY261" s="32">
        <f t="shared" si="128"/>
        <v>4</v>
      </c>
      <c r="AZ261">
        <f>step3_validation[[#This Row],[AI_TRU4]]</f>
        <v>7</v>
      </c>
      <c r="BA261" t="str">
        <f t="shared" si="129"/>
        <v>Neutral</v>
      </c>
      <c r="BB261">
        <f>survey_responses[[#This Row],[Tôi thấy Nhà nước đã giải thích rõ ràng, minh bạch về lý do và mục tiêu của việc sửa đổi thuế lần này. - HUMAN-TRU4]]</f>
        <v>6</v>
      </c>
      <c r="BC261" t="str">
        <f t="shared" si="130"/>
        <v>Neutral</v>
      </c>
      <c r="BD261" s="32">
        <f t="shared" si="131"/>
        <v>1</v>
      </c>
      <c r="BE261">
        <f>step3_validation[[#This Row],[AI_OUT1]]</f>
        <v>8</v>
      </c>
      <c r="BF261" t="str">
        <f t="shared" si="132"/>
        <v>Support</v>
      </c>
      <c r="BG261">
        <f>survey_responses[[#This Row],[Sau khi xem xét các quyền lợi và nghĩa vụ, bạn có ủng hộ và tuân thủ chính sách mới hiện nay? - HUMAN-OUT1]]</f>
        <v>6</v>
      </c>
      <c r="BH261" t="str">
        <f t="shared" si="133"/>
        <v>Neutral</v>
      </c>
      <c r="BI261" s="32">
        <f t="shared" si="134"/>
        <v>2</v>
      </c>
    </row>
    <row r="262" spans="1:61" x14ac:dyDescent="0.45">
      <c r="A262" s="30">
        <f>step3_validation[[#This Row],[Persona_ID]]</f>
        <v>261</v>
      </c>
      <c r="B262" s="31">
        <f>step3_validation[[#This Row],[Used_Seed]]</f>
        <v>2286</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33.97602373354075</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7</v>
      </c>
      <c r="R262" t="str">
        <f t="shared" si="108"/>
        <v>Neutral</v>
      </c>
      <c r="S262">
        <f>survey_responses[[#This Row],[Tôi tin rằng với các quy định quản lý thuế hiện nay, hành vi gian lận hoặc trốn thuế sẽ dễ dàng bị phát hiện và xử lý nghiêm. - HUMAN-ENF1]]</f>
        <v>6</v>
      </c>
      <c r="T262" t="str">
        <f t="shared" si="109"/>
        <v>Neutral</v>
      </c>
      <c r="U262" s="32">
        <f t="shared" si="110"/>
        <v>1</v>
      </c>
      <c r="V262">
        <f>step3_validation[[#This Row],[AI_ENF2]]</f>
        <v>6</v>
      </c>
      <c r="W262" t="str">
        <f t="shared" si="111"/>
        <v>Neutral</v>
      </c>
      <c r="X262">
        <f>survey_responses[[#This Row],[Tôi tin rằng Nhà nước, cơ quan thuế có đủ khả năng và công nghệ để phát hiện, xử lý nghiêm các hành vi trốn thuế. - HUMAN-ENF2]]</f>
        <v>7</v>
      </c>
      <c r="Y262" t="str">
        <f t="shared" si="112"/>
        <v>Neutral</v>
      </c>
      <c r="Z262" s="32">
        <f t="shared" si="113"/>
        <v>1</v>
      </c>
      <c r="AA262">
        <f>step3_validation[[#This Row],[AI_FAC1]]</f>
        <v>9</v>
      </c>
      <c r="AB262" t="str">
        <f t="shared" si="114"/>
        <v>Support</v>
      </c>
      <c r="AC262">
        <f>survey_responses[[#This Row],[Các thủ tục khai báo thuế VÀ/HOẶC quy trình làm việc với cơ quan thuế đơn giản, tiện lợi, nhanh chóng hơn so với trước đây. - HUMAN-FAC1]]</f>
        <v>1</v>
      </c>
      <c r="AD262" t="str">
        <f t="shared" si="115"/>
        <v>Oppose</v>
      </c>
      <c r="AE262" s="32">
        <f t="shared" si="116"/>
        <v>8</v>
      </c>
      <c r="AF262">
        <f>step3_validation[[#This Row],[AI_FAC2]]</f>
        <v>8</v>
      </c>
      <c r="AG262" t="str">
        <f t="shared" si="117"/>
        <v>Support</v>
      </c>
      <c r="AH262">
        <f>survey_responses[[#This Row],[So với trước đây, tôi thấy cách tính thuế và các bậc thuế trong phương án mới đơn giản, dễ hiểu và dễ thực hiện hơn. - HUMAN-FAC2]]</f>
        <v>9</v>
      </c>
      <c r="AI262" t="str">
        <f t="shared" si="118"/>
        <v>Support</v>
      </c>
      <c r="AJ262" s="32">
        <f t="shared" si="119"/>
        <v>1</v>
      </c>
      <c r="AK262">
        <f>step3_validation[[#This Row],[AI_TRU1]]</f>
        <v>7</v>
      </c>
      <c r="AL262" t="str">
        <f t="shared" si="120"/>
        <v>Neutral</v>
      </c>
      <c r="AM262">
        <f>survey_responses[[#This Row],[Tôi tin rằng Nhà nước, cơ quan thuế sẽ thực thi chính sách mới một cách khách quan, công tâm và đối xử bình đẳng với mọi người nộp thuế.  - HUMAN-TRU1]]</f>
        <v>5</v>
      </c>
      <c r="AN262" t="str">
        <f t="shared" si="121"/>
        <v>Neutral</v>
      </c>
      <c r="AO262" s="32">
        <f t="shared" si="122"/>
        <v>2</v>
      </c>
      <c r="AP262">
        <f>step3_validation[[#This Row],[AI_TRU2]]</f>
        <v>9</v>
      </c>
      <c r="AQ262" t="str">
        <f t="shared" si="123"/>
        <v>Support</v>
      </c>
      <c r="AR262">
        <f>survey_responses[[#This Row],[Tôi thấy mức thuế tôi phải đóng theo phương án mới là công bằng (người thu nhập như tôi đóng mức này là hợp lý). - HUMAN-TRU2]]</f>
        <v>4</v>
      </c>
      <c r="AS262" t="str">
        <f t="shared" si="124"/>
        <v>Oppose</v>
      </c>
      <c r="AT262" s="32">
        <f t="shared" si="125"/>
        <v>5</v>
      </c>
      <c r="AU262">
        <f>step3_validation[[#This Row],[AI_TRU3]]</f>
        <v>8</v>
      </c>
      <c r="AV262" t="str">
        <f t="shared" si="126"/>
        <v>Support</v>
      </c>
      <c r="AW262">
        <f>survey_responses[[#This Row],[Tôi tin tưởng số tiền thuế tôi đóng sẽ được Nhà nước sử dụng hiệu quả để cải thiện dịch vụ công (y tế, đường xá...). - HUMAN-TRU3]]</f>
        <v>4</v>
      </c>
      <c r="AX262" t="str">
        <f t="shared" si="127"/>
        <v>Oppose</v>
      </c>
      <c r="AY262" s="32">
        <f t="shared" si="128"/>
        <v>4</v>
      </c>
      <c r="AZ262">
        <f>step3_validation[[#This Row],[AI_TRU4]]</f>
        <v>7</v>
      </c>
      <c r="BA262" t="str">
        <f t="shared" si="129"/>
        <v>Neutral</v>
      </c>
      <c r="BB262">
        <f>survey_responses[[#This Row],[Tôi thấy Nhà nước đã giải thích rõ ràng, minh bạch về lý do và mục tiêu của việc sửa đổi thuế lần này. - HUMAN-TRU4]]</f>
        <v>5</v>
      </c>
      <c r="BC262" t="str">
        <f t="shared" si="130"/>
        <v>Neutral</v>
      </c>
      <c r="BD262" s="32">
        <f t="shared" si="131"/>
        <v>2</v>
      </c>
      <c r="BE262">
        <f>step3_validation[[#This Row],[AI_OUT1]]</f>
        <v>9</v>
      </c>
      <c r="BF262" t="str">
        <f t="shared" si="132"/>
        <v>Support</v>
      </c>
      <c r="BG262">
        <f>survey_responses[[#This Row],[Sau khi xem xét các quyền lợi và nghĩa vụ, bạn có ủng hộ và tuân thủ chính sách mới hiện nay? - HUMAN-OUT1]]</f>
        <v>5</v>
      </c>
      <c r="BH262" t="str">
        <f t="shared" si="133"/>
        <v>Neutral</v>
      </c>
      <c r="BI262" s="32">
        <f t="shared" si="134"/>
        <v>4</v>
      </c>
    </row>
    <row r="263" spans="1:61" x14ac:dyDescent="0.45">
      <c r="A263" s="30">
        <f>step3_validation[[#This Row],[Persona_ID]]</f>
        <v>262</v>
      </c>
      <c r="B263" s="31">
        <f>step3_validation[[#This Row],[Used_Seed]]</f>
        <v>2287</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48.27742925304392</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7</v>
      </c>
      <c r="R263" t="str">
        <f t="shared" si="108"/>
        <v>Neutral</v>
      </c>
      <c r="S263">
        <f>survey_responses[[#This Row],[Tôi tin rằng với các quy định quản lý thuế hiện nay, hành vi gian lận hoặc trốn thuế sẽ dễ dàng bị phát hiện và xử lý nghiêm. - HUMAN-ENF1]]</f>
        <v>9</v>
      </c>
      <c r="T263" t="str">
        <f t="shared" si="109"/>
        <v>Support</v>
      </c>
      <c r="U263" s="32">
        <f t="shared" si="110"/>
        <v>2</v>
      </c>
      <c r="V263">
        <f>step3_validation[[#This Row],[AI_ENF2]]</f>
        <v>6</v>
      </c>
      <c r="W263" t="str">
        <f t="shared" si="111"/>
        <v>Neutral</v>
      </c>
      <c r="X263">
        <f>survey_responses[[#This Row],[Tôi tin rằng Nhà nước, cơ quan thuế có đủ khả năng và công nghệ để phát hiện, xử lý nghiêm các hành vi trốn thuế. - HUMAN-ENF2]]</f>
        <v>9</v>
      </c>
      <c r="Y263" t="str">
        <f t="shared" si="112"/>
        <v>Support</v>
      </c>
      <c r="Z263" s="32">
        <f t="shared" si="113"/>
        <v>3</v>
      </c>
      <c r="AA263">
        <f>step3_validation[[#This Row],[AI_FAC1]]</f>
        <v>8</v>
      </c>
      <c r="AB263" t="str">
        <f t="shared" si="114"/>
        <v>Support</v>
      </c>
      <c r="AC263">
        <f>survey_responses[[#This Row],[Các thủ tục khai báo thuế VÀ/HOẶC quy trình làm việc với cơ quan thuế đơn giản, tiện lợi, nhanh chóng hơn so với trước đây. - HUMAN-FAC1]]</f>
        <v>8</v>
      </c>
      <c r="AD263" t="str">
        <f t="shared" si="115"/>
        <v>Support</v>
      </c>
      <c r="AE263" s="32">
        <f t="shared" si="116"/>
        <v>0</v>
      </c>
      <c r="AF263">
        <f>step3_validation[[#This Row],[AI_FAC2]]</f>
        <v>5</v>
      </c>
      <c r="AG263" t="str">
        <f t="shared" si="117"/>
        <v>Neutral</v>
      </c>
      <c r="AH263">
        <f>survey_responses[[#This Row],[So với trước đây, tôi thấy cách tính thuế và các bậc thuế trong phương án mới đơn giản, dễ hiểu và dễ thực hiện hơn. - HUMAN-FAC2]]</f>
        <v>9</v>
      </c>
      <c r="AI263" t="str">
        <f t="shared" si="118"/>
        <v>Support</v>
      </c>
      <c r="AJ263" s="32">
        <f t="shared" si="119"/>
        <v>4</v>
      </c>
      <c r="AK263">
        <f>step3_validation[[#This Row],[AI_TRU1]]</f>
        <v>7</v>
      </c>
      <c r="AL263" t="str">
        <f t="shared" si="120"/>
        <v>Neutral</v>
      </c>
      <c r="AM263">
        <f>survey_responses[[#This Row],[Tôi tin rằng Nhà nước, cơ quan thuế sẽ thực thi chính sách mới một cách khách quan, công tâm và đối xử bình đẳng với mọi người nộp thuế.  - HUMAN-TRU1]]</f>
        <v>8</v>
      </c>
      <c r="AN263" t="str">
        <f t="shared" si="121"/>
        <v>Support</v>
      </c>
      <c r="AO263" s="32">
        <f t="shared" si="122"/>
        <v>1</v>
      </c>
      <c r="AP263">
        <f>step3_validation[[#This Row],[AI_TRU2]]</f>
        <v>9</v>
      </c>
      <c r="AQ263" t="str">
        <f t="shared" si="123"/>
        <v>Support</v>
      </c>
      <c r="AR263">
        <f>survey_responses[[#This Row],[Tôi thấy mức thuế tôi phải đóng theo phương án mới là công bằng (người thu nhập như tôi đóng mức này là hợp lý). - HUMAN-TRU2]]</f>
        <v>9</v>
      </c>
      <c r="AS263" t="str">
        <f t="shared" si="124"/>
        <v>Support</v>
      </c>
      <c r="AT263" s="32">
        <f t="shared" si="125"/>
        <v>0</v>
      </c>
      <c r="AU263">
        <f>step3_validation[[#This Row],[AI_TRU3]]</f>
        <v>6</v>
      </c>
      <c r="AV263" t="str">
        <f t="shared" si="126"/>
        <v>Neutral</v>
      </c>
      <c r="AW263">
        <f>survey_responses[[#This Row],[Tôi tin tưởng số tiền thuế tôi đóng sẽ được Nhà nước sử dụng hiệu quả để cải thiện dịch vụ công (y tế, đường xá...). - HUMAN-TRU3]]</f>
        <v>9</v>
      </c>
      <c r="AX263" t="str">
        <f t="shared" si="127"/>
        <v>Support</v>
      </c>
      <c r="AY263" s="32">
        <f t="shared" si="128"/>
        <v>3</v>
      </c>
      <c r="AZ263">
        <f>step3_validation[[#This Row],[AI_TRU4]]</f>
        <v>7</v>
      </c>
      <c r="BA263" t="str">
        <f t="shared" si="129"/>
        <v>Neutral</v>
      </c>
      <c r="BB263">
        <f>survey_responses[[#This Row],[Tôi thấy Nhà nước đã giải thích rõ ràng, minh bạch về lý do và mục tiêu của việc sửa đổi thuế lần này. - HUMAN-TRU4]]</f>
        <v>8</v>
      </c>
      <c r="BC263" t="str">
        <f t="shared" si="130"/>
        <v>Support</v>
      </c>
      <c r="BD263" s="32">
        <f t="shared" si="131"/>
        <v>1</v>
      </c>
      <c r="BE263">
        <f>step3_validation[[#This Row],[AI_OUT1]]</f>
        <v>9</v>
      </c>
      <c r="BF263" t="str">
        <f t="shared" si="132"/>
        <v>Support</v>
      </c>
      <c r="BG263">
        <f>survey_responses[[#This Row],[Sau khi xem xét các quyền lợi và nghĩa vụ, bạn có ủng hộ và tuân thủ chính sách mới hiện nay? - HUMAN-OUT1]]</f>
        <v>8</v>
      </c>
      <c r="BH263" t="str">
        <f t="shared" si="133"/>
        <v>Support</v>
      </c>
      <c r="BI263" s="32">
        <f t="shared" si="134"/>
        <v>1</v>
      </c>
    </row>
    <row r="264" spans="1:61" x14ac:dyDescent="0.45">
      <c r="A264" s="30">
        <f>step3_validation[[#This Row],[Persona_ID]]</f>
        <v>263</v>
      </c>
      <c r="B264" s="31">
        <f>step3_validation[[#This Row],[Used_Seed]]</f>
        <v>2288</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81.786182943520089</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9</v>
      </c>
      <c r="R264" t="str">
        <f t="shared" si="108"/>
        <v>Support</v>
      </c>
      <c r="S264">
        <f>survey_responses[[#This Row],[Tôi tin rằng với các quy định quản lý thuế hiện nay, hành vi gian lận hoặc trốn thuế sẽ dễ dàng bị phát hiện và xử lý nghiêm. - HUMAN-ENF1]]</f>
        <v>8</v>
      </c>
      <c r="T264" t="str">
        <f t="shared" si="109"/>
        <v>Support</v>
      </c>
      <c r="U264" s="32">
        <f t="shared" si="110"/>
        <v>1</v>
      </c>
      <c r="V264">
        <f>step3_validation[[#This Row],[AI_ENF2]]</f>
        <v>9</v>
      </c>
      <c r="W264" t="str">
        <f t="shared" si="111"/>
        <v>Support</v>
      </c>
      <c r="X264">
        <f>survey_responses[[#This Row],[Tôi tin rằng Nhà nước, cơ quan thuế có đủ khả năng và công nghệ để phát hiện, xử lý nghiêm các hành vi trốn thuế. - HUMAN-ENF2]]</f>
        <v>8</v>
      </c>
      <c r="Y264" t="str">
        <f t="shared" si="112"/>
        <v>Support</v>
      </c>
      <c r="Z264" s="32">
        <f t="shared" si="113"/>
        <v>1</v>
      </c>
      <c r="AA264">
        <f>step3_validation[[#This Row],[AI_FAC1]]</f>
        <v>8</v>
      </c>
      <c r="AB264" t="str">
        <f t="shared" si="114"/>
        <v>Support</v>
      </c>
      <c r="AC264">
        <f>survey_responses[[#This Row],[Các thủ tục khai báo thuế VÀ/HOẶC quy trình làm việc với cơ quan thuế đơn giản, tiện lợi, nhanh chóng hơn so với trước đây. - HUMAN-FAC1]]</f>
        <v>5</v>
      </c>
      <c r="AD264" t="str">
        <f t="shared" si="115"/>
        <v>Neutral</v>
      </c>
      <c r="AE264" s="32">
        <f t="shared" si="116"/>
        <v>3</v>
      </c>
      <c r="AF264">
        <f>step3_validation[[#This Row],[AI_FAC2]]</f>
        <v>9</v>
      </c>
      <c r="AG264" t="str">
        <f t="shared" si="117"/>
        <v>Support</v>
      </c>
      <c r="AH264">
        <f>survey_responses[[#This Row],[So với trước đây, tôi thấy cách tính thuế và các bậc thuế trong phương án mới đơn giản, dễ hiểu và dễ thực hiện hơn. - HUMAN-FAC2]]</f>
        <v>7</v>
      </c>
      <c r="AI264" t="str">
        <f t="shared" si="118"/>
        <v>Neutral</v>
      </c>
      <c r="AJ264" s="32">
        <f t="shared" si="119"/>
        <v>2</v>
      </c>
      <c r="AK264">
        <f>step3_validation[[#This Row],[AI_TRU1]]</f>
        <v>8</v>
      </c>
      <c r="AL264" t="str">
        <f t="shared" si="120"/>
        <v>Support</v>
      </c>
      <c r="AM264">
        <f>survey_responses[[#This Row],[Tôi tin rằng Nhà nước, cơ quan thuế sẽ thực thi chính sách mới một cách khách quan, công tâm và đối xử bình đẳng với mọi người nộp thuế.  - HUMAN-TRU1]]</f>
        <v>7</v>
      </c>
      <c r="AN264" t="str">
        <f t="shared" si="121"/>
        <v>Neutral</v>
      </c>
      <c r="AO264" s="32">
        <f t="shared" si="122"/>
        <v>1</v>
      </c>
      <c r="AP264">
        <f>step3_validation[[#This Row],[AI_TRU2]]</f>
        <v>9</v>
      </c>
      <c r="AQ264" t="str">
        <f t="shared" si="123"/>
        <v>Support</v>
      </c>
      <c r="AR264">
        <f>survey_responses[[#This Row],[Tôi thấy mức thuế tôi phải đóng theo phương án mới là công bằng (người thu nhập như tôi đóng mức này là hợp lý). - HUMAN-TRU2]]</f>
        <v>5</v>
      </c>
      <c r="AS264" t="str">
        <f t="shared" si="124"/>
        <v>Neutral</v>
      </c>
      <c r="AT264" s="32">
        <f t="shared" si="125"/>
        <v>4</v>
      </c>
      <c r="AU264">
        <f>step3_validation[[#This Row],[AI_TRU3]]</f>
        <v>8</v>
      </c>
      <c r="AV264" t="str">
        <f t="shared" si="126"/>
        <v>Support</v>
      </c>
      <c r="AW264">
        <f>survey_responses[[#This Row],[Tôi tin tưởng số tiền thuế tôi đóng sẽ được Nhà nước sử dụng hiệu quả để cải thiện dịch vụ công (y tế, đường xá...). - HUMAN-TRU3]]</f>
        <v>5</v>
      </c>
      <c r="AX264" t="str">
        <f t="shared" si="127"/>
        <v>Neutral</v>
      </c>
      <c r="AY264" s="32">
        <f t="shared" si="128"/>
        <v>3</v>
      </c>
      <c r="AZ264">
        <f>step3_validation[[#This Row],[AI_TRU4]]</f>
        <v>9</v>
      </c>
      <c r="BA264" t="str">
        <f t="shared" si="129"/>
        <v>Support</v>
      </c>
      <c r="BB264">
        <f>survey_responses[[#This Row],[Tôi thấy Nhà nước đã giải thích rõ ràng, minh bạch về lý do và mục tiêu của việc sửa đổi thuế lần này. - HUMAN-TRU4]]</f>
        <v>6</v>
      </c>
      <c r="BC264" t="str">
        <f t="shared" si="130"/>
        <v>Neutral</v>
      </c>
      <c r="BD264" s="32">
        <f t="shared" si="131"/>
        <v>3</v>
      </c>
      <c r="BE264">
        <f>step3_validation[[#This Row],[AI_OUT1]]</f>
        <v>9</v>
      </c>
      <c r="BF264" t="str">
        <f t="shared" si="132"/>
        <v>Support</v>
      </c>
      <c r="BG264">
        <f>survey_responses[[#This Row],[Sau khi xem xét các quyền lợi và nghĩa vụ, bạn có ủng hộ và tuân thủ chính sách mới hiện nay? - HUMAN-OUT1]]</f>
        <v>6</v>
      </c>
      <c r="BH264" t="str">
        <f t="shared" si="133"/>
        <v>Neutral</v>
      </c>
      <c r="BI264" s="32">
        <f t="shared" si="134"/>
        <v>3</v>
      </c>
    </row>
    <row r="265" spans="1:61" x14ac:dyDescent="0.45">
      <c r="A265" s="30">
        <f>step3_validation[[#This Row],[Persona_ID]]</f>
        <v>264</v>
      </c>
      <c r="B265" s="31">
        <f>step3_validation[[#This Row],[Used_Seed]]</f>
        <v>2289</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186.13826148284753</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7</v>
      </c>
      <c r="R265" t="str">
        <f t="shared" si="108"/>
        <v>Neutral</v>
      </c>
      <c r="S265">
        <f>survey_responses[[#This Row],[Tôi tin rằng với các quy định quản lý thuế hiện nay, hành vi gian lận hoặc trốn thuế sẽ dễ dàng bị phát hiện và xử lý nghiêm. - HUMAN-ENF1]]</f>
        <v>7</v>
      </c>
      <c r="T265" t="str">
        <f t="shared" si="109"/>
        <v>Neutral</v>
      </c>
      <c r="U265" s="32">
        <f t="shared" si="110"/>
        <v>0</v>
      </c>
      <c r="V265">
        <f>step3_validation[[#This Row],[AI_ENF2]]</f>
        <v>8</v>
      </c>
      <c r="W265" t="str">
        <f t="shared" si="111"/>
        <v>Support</v>
      </c>
      <c r="X265">
        <f>survey_responses[[#This Row],[Tôi tin rằng Nhà nước, cơ quan thuế có đủ khả năng và công nghệ để phát hiện, xử lý nghiêm các hành vi trốn thuế. - HUMAN-ENF2]]</f>
        <v>7</v>
      </c>
      <c r="Y265" t="str">
        <f t="shared" si="112"/>
        <v>Neutral</v>
      </c>
      <c r="Z265" s="32">
        <f t="shared" si="113"/>
        <v>1</v>
      </c>
      <c r="AA265">
        <f>step3_validation[[#This Row],[AI_FAC1]]</f>
        <v>9</v>
      </c>
      <c r="AB265" t="str">
        <f t="shared" si="114"/>
        <v>Support</v>
      </c>
      <c r="AC265">
        <f>survey_responses[[#This Row],[Các thủ tục khai báo thuế VÀ/HOẶC quy trình làm việc với cơ quan thuế đơn giản, tiện lợi, nhanh chóng hơn so với trước đây. - HUMAN-FAC1]]</f>
        <v>7</v>
      </c>
      <c r="AD265" t="str">
        <f t="shared" si="115"/>
        <v>Neutral</v>
      </c>
      <c r="AE265" s="32">
        <f t="shared" si="116"/>
        <v>2</v>
      </c>
      <c r="AF265">
        <f>step3_validation[[#This Row],[AI_FAC2]]</f>
        <v>8</v>
      </c>
      <c r="AG265" t="str">
        <f t="shared" si="117"/>
        <v>Support</v>
      </c>
      <c r="AH265">
        <f>survey_responses[[#This Row],[So với trước đây, tôi thấy cách tính thuế và các bậc thuế trong phương án mới đơn giản, dễ hiểu và dễ thực hiện hơn. - HUMAN-FAC2]]</f>
        <v>8</v>
      </c>
      <c r="AI265" t="str">
        <f t="shared" si="118"/>
        <v>Support</v>
      </c>
      <c r="AJ265" s="32">
        <f t="shared" si="119"/>
        <v>0</v>
      </c>
      <c r="AK265">
        <f>step3_validation[[#This Row],[AI_TRU1]]</f>
        <v>9</v>
      </c>
      <c r="AL265" t="str">
        <f t="shared" si="120"/>
        <v>Support</v>
      </c>
      <c r="AM265">
        <f>survey_responses[[#This Row],[Tôi tin rằng Nhà nước, cơ quan thuế sẽ thực thi chính sách mới một cách khách quan, công tâm và đối xử bình đẳng với mọi người nộp thuế.  - HUMAN-TRU1]]</f>
        <v>7</v>
      </c>
      <c r="AN265" t="str">
        <f t="shared" si="121"/>
        <v>Neutral</v>
      </c>
      <c r="AO265" s="32">
        <f t="shared" si="122"/>
        <v>2</v>
      </c>
      <c r="AP265">
        <f>step3_validation[[#This Row],[AI_TRU2]]</f>
        <v>8</v>
      </c>
      <c r="AQ265" t="str">
        <f t="shared" si="123"/>
        <v>Support</v>
      </c>
      <c r="AR265">
        <f>survey_responses[[#This Row],[Tôi thấy mức thuế tôi phải đóng theo phương án mới là công bằng (người thu nhập như tôi đóng mức này là hợp lý). - HUMAN-TRU2]]</f>
        <v>7</v>
      </c>
      <c r="AS265" t="str">
        <f t="shared" si="124"/>
        <v>Neutral</v>
      </c>
      <c r="AT265" s="32">
        <f t="shared" si="125"/>
        <v>1</v>
      </c>
      <c r="AU265">
        <f>step3_validation[[#This Row],[AI_TRU3]]</f>
        <v>7</v>
      </c>
      <c r="AV265" t="str">
        <f t="shared" si="126"/>
        <v>Neutral</v>
      </c>
      <c r="AW265">
        <f>survey_responses[[#This Row],[Tôi tin tưởng số tiền thuế tôi đóng sẽ được Nhà nước sử dụng hiệu quả để cải thiện dịch vụ công (y tế, đường xá...). - HUMAN-TRU3]]</f>
        <v>7</v>
      </c>
      <c r="AX265" t="str">
        <f t="shared" si="127"/>
        <v>Neutral</v>
      </c>
      <c r="AY265" s="32">
        <f t="shared" si="128"/>
        <v>0</v>
      </c>
      <c r="AZ265">
        <f>step3_validation[[#This Row],[AI_TRU4]]</f>
        <v>6</v>
      </c>
      <c r="BA265" t="str">
        <f t="shared" si="129"/>
        <v>Neutral</v>
      </c>
      <c r="BB265">
        <f>survey_responses[[#This Row],[Tôi thấy Nhà nước đã giải thích rõ ràng, minh bạch về lý do và mục tiêu của việc sửa đổi thuế lần này. - HUMAN-TRU4]]</f>
        <v>7</v>
      </c>
      <c r="BC265" t="str">
        <f t="shared" si="130"/>
        <v>Neutral</v>
      </c>
      <c r="BD265" s="32">
        <f t="shared" si="131"/>
        <v>1</v>
      </c>
      <c r="BE265">
        <f>step3_validation[[#This Row],[AI_OUT1]]</f>
        <v>9</v>
      </c>
      <c r="BF265" t="str">
        <f t="shared" si="132"/>
        <v>Support</v>
      </c>
      <c r="BG265">
        <f>survey_responses[[#This Row],[Sau khi xem xét các quyền lợi và nghĩa vụ, bạn có ủng hộ và tuân thủ chính sách mới hiện nay? - HUMAN-OUT1]]</f>
        <v>7</v>
      </c>
      <c r="BH265" t="str">
        <f t="shared" si="133"/>
        <v>Neutral</v>
      </c>
      <c r="BI265" s="32">
        <f t="shared" si="134"/>
        <v>2</v>
      </c>
    </row>
    <row r="266" spans="1:61" x14ac:dyDescent="0.45">
      <c r="A266" s="30">
        <f>step3_validation[[#This Row],[Persona_ID]]</f>
        <v>265</v>
      </c>
      <c r="B266" s="31">
        <f>step3_validation[[#This Row],[Used_Seed]]</f>
        <v>2290</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23.619644223184714</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7</v>
      </c>
      <c r="R266" t="str">
        <f t="shared" si="108"/>
        <v>Neutral</v>
      </c>
      <c r="S266">
        <f>survey_responses[[#This Row],[Tôi tin rằng với các quy định quản lý thuế hiện nay, hành vi gian lận hoặc trốn thuế sẽ dễ dàng bị phát hiện và xử lý nghiêm. - HUMAN-ENF1]]</f>
        <v>6</v>
      </c>
      <c r="T266" t="str">
        <f t="shared" si="109"/>
        <v>Neutral</v>
      </c>
      <c r="U266" s="32">
        <f t="shared" si="110"/>
        <v>1</v>
      </c>
      <c r="V266">
        <f>step3_validation[[#This Row],[AI_ENF2]]</f>
        <v>8</v>
      </c>
      <c r="W266" t="str">
        <f t="shared" si="111"/>
        <v>Support</v>
      </c>
      <c r="X266">
        <f>survey_responses[[#This Row],[Tôi tin rằng Nhà nước, cơ quan thuế có đủ khả năng và công nghệ để phát hiện, xử lý nghiêm các hành vi trốn thuế. - HUMAN-ENF2]]</f>
        <v>5</v>
      </c>
      <c r="Y266" t="str">
        <f t="shared" si="112"/>
        <v>Neutral</v>
      </c>
      <c r="Z266" s="32">
        <f t="shared" si="113"/>
        <v>3</v>
      </c>
      <c r="AA266">
        <f>step3_validation[[#This Row],[AI_FAC1]]</f>
        <v>9</v>
      </c>
      <c r="AB266" t="str">
        <f t="shared" si="114"/>
        <v>Support</v>
      </c>
      <c r="AC266">
        <f>survey_responses[[#This Row],[Các thủ tục khai báo thuế VÀ/HOẶC quy trình làm việc với cơ quan thuế đơn giản, tiện lợi, nhanh chóng hơn so với trước đây. - HUMAN-FAC1]]</f>
        <v>5</v>
      </c>
      <c r="AD266" t="str">
        <f t="shared" si="115"/>
        <v>Neutral</v>
      </c>
      <c r="AE266" s="32">
        <f t="shared" si="116"/>
        <v>4</v>
      </c>
      <c r="AF266">
        <f>step3_validation[[#This Row],[AI_FAC2]]</f>
        <v>9</v>
      </c>
      <c r="AG266" t="str">
        <f t="shared" si="117"/>
        <v>Support</v>
      </c>
      <c r="AH266">
        <f>survey_responses[[#This Row],[So với trước đây, tôi thấy cách tính thuế và các bậc thuế trong phương án mới đơn giản, dễ hiểu và dễ thực hiện hơn. - HUMAN-FAC2]]</f>
        <v>7</v>
      </c>
      <c r="AI266" t="str">
        <f t="shared" si="118"/>
        <v>Neutral</v>
      </c>
      <c r="AJ266" s="32">
        <f t="shared" si="119"/>
        <v>2</v>
      </c>
      <c r="AK266">
        <f>step3_validation[[#This Row],[AI_TRU1]]</f>
        <v>6</v>
      </c>
      <c r="AL266" t="str">
        <f t="shared" si="120"/>
        <v>Neutral</v>
      </c>
      <c r="AM266">
        <f>survey_responses[[#This Row],[Tôi tin rằng Nhà nước, cơ quan thuế sẽ thực thi chính sách mới một cách khách quan, công tâm và đối xử bình đẳng với mọi người nộp thuế.  - HUMAN-TRU1]]</f>
        <v>6</v>
      </c>
      <c r="AN266" t="str">
        <f t="shared" si="121"/>
        <v>Neutral</v>
      </c>
      <c r="AO266" s="32">
        <f t="shared" si="122"/>
        <v>0</v>
      </c>
      <c r="AP266">
        <f>step3_validation[[#This Row],[AI_TRU2]]</f>
        <v>8</v>
      </c>
      <c r="AQ266" t="str">
        <f t="shared" si="123"/>
        <v>Support</v>
      </c>
      <c r="AR266">
        <f>survey_responses[[#This Row],[Tôi thấy mức thuế tôi phải đóng theo phương án mới là công bằng (người thu nhập như tôi đóng mức này là hợp lý). - HUMAN-TRU2]]</f>
        <v>7</v>
      </c>
      <c r="AS266" t="str">
        <f t="shared" si="124"/>
        <v>Neutral</v>
      </c>
      <c r="AT266" s="32">
        <f t="shared" si="125"/>
        <v>1</v>
      </c>
      <c r="AU266">
        <f>step3_validation[[#This Row],[AI_TRU3]]</f>
        <v>7</v>
      </c>
      <c r="AV266" t="str">
        <f t="shared" si="126"/>
        <v>Neutral</v>
      </c>
      <c r="AW266">
        <f>survey_responses[[#This Row],[Tôi tin tưởng số tiền thuế tôi đóng sẽ được Nhà nước sử dụng hiệu quả để cải thiện dịch vụ công (y tế, đường xá...). - HUMAN-TRU3]]</f>
        <v>5</v>
      </c>
      <c r="AX266" t="str">
        <f t="shared" si="127"/>
        <v>Neutral</v>
      </c>
      <c r="AY266" s="32">
        <f t="shared" si="128"/>
        <v>2</v>
      </c>
      <c r="AZ266">
        <f>step3_validation[[#This Row],[AI_TRU4]]</f>
        <v>9</v>
      </c>
      <c r="BA266" t="str">
        <f t="shared" si="129"/>
        <v>Support</v>
      </c>
      <c r="BB266">
        <f>survey_responses[[#This Row],[Tôi thấy Nhà nước đã giải thích rõ ràng, minh bạch về lý do và mục tiêu của việc sửa đổi thuế lần này. - HUMAN-TRU4]]</f>
        <v>6</v>
      </c>
      <c r="BC266" t="str">
        <f t="shared" si="130"/>
        <v>Neutral</v>
      </c>
      <c r="BD266" s="32">
        <f t="shared" si="131"/>
        <v>3</v>
      </c>
      <c r="BE266">
        <f>step3_validation[[#This Row],[AI_OUT1]]</f>
        <v>8</v>
      </c>
      <c r="BF266" t="str">
        <f t="shared" si="132"/>
        <v>Support</v>
      </c>
      <c r="BG266">
        <f>survey_responses[[#This Row],[Sau khi xem xét các quyền lợi và nghĩa vụ, bạn có ủng hộ và tuân thủ chính sách mới hiện nay? - HUMAN-OUT1]]</f>
        <v>6</v>
      </c>
      <c r="BH266" t="str">
        <f t="shared" si="133"/>
        <v>Neutral</v>
      </c>
      <c r="BI266" s="32">
        <f t="shared" si="134"/>
        <v>2</v>
      </c>
    </row>
    <row r="267" spans="1:61" x14ac:dyDescent="0.45">
      <c r="A267" s="30">
        <f>step3_validation[[#This Row],[Persona_ID]]</f>
        <v>266</v>
      </c>
      <c r="B267" s="31">
        <f>step3_validation[[#This Row],[Used_Seed]]</f>
        <v>2291</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50.716808869580603</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7</v>
      </c>
      <c r="R267" t="str">
        <f t="shared" si="108"/>
        <v>Neutral</v>
      </c>
      <c r="S267">
        <f>survey_responses[[#This Row],[Tôi tin rằng với các quy định quản lý thuế hiện nay, hành vi gian lận hoặc trốn thuế sẽ dễ dàng bị phát hiện và xử lý nghiêm. - HUMAN-ENF1]]</f>
        <v>7</v>
      </c>
      <c r="T267" t="str">
        <f t="shared" si="109"/>
        <v>Neutral</v>
      </c>
      <c r="U267" s="32">
        <f t="shared" si="110"/>
        <v>0</v>
      </c>
      <c r="V267">
        <f>step3_validation[[#This Row],[AI_ENF2]]</f>
        <v>8</v>
      </c>
      <c r="W267" t="str">
        <f t="shared" si="111"/>
        <v>Support</v>
      </c>
      <c r="X267">
        <f>survey_responses[[#This Row],[Tôi tin rằng Nhà nước, cơ quan thuế có đủ khả năng và công nghệ để phát hiện, xử lý nghiêm các hành vi trốn thuế. - HUMAN-ENF2]]</f>
        <v>6</v>
      </c>
      <c r="Y267" t="str">
        <f t="shared" si="112"/>
        <v>Neutral</v>
      </c>
      <c r="Z267" s="32">
        <f t="shared" si="113"/>
        <v>2</v>
      </c>
      <c r="AA267">
        <f>step3_validation[[#This Row],[AI_FAC1]]</f>
        <v>9</v>
      </c>
      <c r="AB267" t="str">
        <f t="shared" si="114"/>
        <v>Support</v>
      </c>
      <c r="AC267">
        <f>survey_responses[[#This Row],[Các thủ tục khai báo thuế VÀ/HOẶC quy trình làm việc với cơ quan thuế đơn giản, tiện lợi, nhanh chóng hơn so với trước đây. - HUMAN-FAC1]]</f>
        <v>6</v>
      </c>
      <c r="AD267" t="str">
        <f t="shared" si="115"/>
        <v>Neutral</v>
      </c>
      <c r="AE267" s="32">
        <f t="shared" si="116"/>
        <v>3</v>
      </c>
      <c r="AF267">
        <f>step3_validation[[#This Row],[AI_FAC2]]</f>
        <v>10</v>
      </c>
      <c r="AG267" t="str">
        <f t="shared" si="117"/>
        <v>Support</v>
      </c>
      <c r="AH267">
        <f>survey_responses[[#This Row],[So với trước đây, tôi thấy cách tính thuế và các bậc thuế trong phương án mới đơn giản, dễ hiểu và dễ thực hiện hơn. - HUMAN-FAC2]]</f>
        <v>6</v>
      </c>
      <c r="AI267" t="str">
        <f t="shared" si="118"/>
        <v>Neutral</v>
      </c>
      <c r="AJ267" s="32">
        <f t="shared" si="119"/>
        <v>4</v>
      </c>
      <c r="AK267">
        <f>step3_validation[[#This Row],[AI_TRU1]]</f>
        <v>8</v>
      </c>
      <c r="AL267" t="str">
        <f t="shared" si="120"/>
        <v>Support</v>
      </c>
      <c r="AM267">
        <f>survey_responses[[#This Row],[Tôi tin rằng Nhà nước, cơ quan thuế sẽ thực thi chính sách mới một cách khách quan, công tâm và đối xử bình đẳng với mọi người nộp thuế.  - HUMAN-TRU1]]</f>
        <v>7</v>
      </c>
      <c r="AN267" t="str">
        <f t="shared" si="121"/>
        <v>Neutral</v>
      </c>
      <c r="AO267" s="32">
        <f t="shared" si="122"/>
        <v>1</v>
      </c>
      <c r="AP267">
        <f>step3_validation[[#This Row],[AI_TRU2]]</f>
        <v>9</v>
      </c>
      <c r="AQ267" t="str">
        <f t="shared" si="123"/>
        <v>Support</v>
      </c>
      <c r="AR267">
        <f>survey_responses[[#This Row],[Tôi thấy mức thuế tôi phải đóng theo phương án mới là công bằng (người thu nhập như tôi đóng mức này là hợp lý). - HUMAN-TRU2]]</f>
        <v>7</v>
      </c>
      <c r="AS267" t="str">
        <f t="shared" si="124"/>
        <v>Neutral</v>
      </c>
      <c r="AT267" s="32">
        <f t="shared" si="125"/>
        <v>2</v>
      </c>
      <c r="AU267">
        <f>step3_validation[[#This Row],[AI_TRU3]]</f>
        <v>7</v>
      </c>
      <c r="AV267" t="str">
        <f t="shared" si="126"/>
        <v>Neutral</v>
      </c>
      <c r="AW267">
        <f>survey_responses[[#This Row],[Tôi tin tưởng số tiền thuế tôi đóng sẽ được Nhà nước sử dụng hiệu quả để cải thiện dịch vụ công (y tế, đường xá...). - HUMAN-TRU3]]</f>
        <v>7</v>
      </c>
      <c r="AX267" t="str">
        <f t="shared" si="127"/>
        <v>Neutral</v>
      </c>
      <c r="AY267" s="32">
        <f t="shared" si="128"/>
        <v>0</v>
      </c>
      <c r="AZ267">
        <f>step3_validation[[#This Row],[AI_TRU4]]</f>
        <v>8</v>
      </c>
      <c r="BA267" t="str">
        <f t="shared" si="129"/>
        <v>Support</v>
      </c>
      <c r="BB267">
        <f>survey_responses[[#This Row],[Tôi thấy Nhà nước đã giải thích rõ ràng, minh bạch về lý do và mục tiêu của việc sửa đổi thuế lần này. - HUMAN-TRU4]]</f>
        <v>7</v>
      </c>
      <c r="BC267" t="str">
        <f t="shared" si="130"/>
        <v>Neutral</v>
      </c>
      <c r="BD267" s="32">
        <f t="shared" si="131"/>
        <v>1</v>
      </c>
      <c r="BE267">
        <f>step3_validation[[#This Row],[AI_OUT1]]</f>
        <v>9</v>
      </c>
      <c r="BF267" t="str">
        <f t="shared" si="132"/>
        <v>Support</v>
      </c>
      <c r="BG267">
        <f>survey_responses[[#This Row],[Sau khi xem xét các quyền lợi và nghĩa vụ, bạn có ủng hộ và tuân thủ chính sách mới hiện nay? - HUMAN-OUT1]]</f>
        <v>7</v>
      </c>
      <c r="BH267" t="str">
        <f t="shared" si="133"/>
        <v>Neutral</v>
      </c>
      <c r="BI267" s="32">
        <f t="shared" si="134"/>
        <v>2</v>
      </c>
    </row>
    <row r="268" spans="1:61" x14ac:dyDescent="0.45">
      <c r="A268" s="30">
        <f>step3_validation[[#This Row],[Persona_ID]]</f>
        <v>267</v>
      </c>
      <c r="B268" s="31">
        <f>step3_validation[[#This Row],[Used_Seed]]</f>
        <v>2292</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54.436543371213034</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7</v>
      </c>
      <c r="R268" t="str">
        <f t="shared" si="108"/>
        <v>Neutral</v>
      </c>
      <c r="S268">
        <f>survey_responses[[#This Row],[Tôi tin rằng với các quy định quản lý thuế hiện nay, hành vi gian lận hoặc trốn thuế sẽ dễ dàng bị phát hiện và xử lý nghiêm. - HUMAN-ENF1]]</f>
        <v>6</v>
      </c>
      <c r="T268" t="str">
        <f t="shared" si="109"/>
        <v>Neutral</v>
      </c>
      <c r="U268" s="32">
        <f t="shared" si="110"/>
        <v>1</v>
      </c>
      <c r="V268">
        <f>step3_validation[[#This Row],[AI_ENF2]]</f>
        <v>8</v>
      </c>
      <c r="W268" t="str">
        <f t="shared" si="111"/>
        <v>Support</v>
      </c>
      <c r="X268">
        <f>survey_responses[[#This Row],[Tôi tin rằng Nhà nước, cơ quan thuế có đủ khả năng và công nghệ để phát hiện, xử lý nghiêm các hành vi trốn thuế. - HUMAN-ENF2]]</f>
        <v>7</v>
      </c>
      <c r="Y268" t="str">
        <f t="shared" si="112"/>
        <v>Neutral</v>
      </c>
      <c r="Z268" s="32">
        <f t="shared" si="113"/>
        <v>1</v>
      </c>
      <c r="AA268">
        <f>step3_validation[[#This Row],[AI_FAC1]]</f>
        <v>9</v>
      </c>
      <c r="AB268" t="str">
        <f t="shared" si="114"/>
        <v>Support</v>
      </c>
      <c r="AC268">
        <f>survey_responses[[#This Row],[Các thủ tục khai báo thuế VÀ/HOẶC quy trình làm việc với cơ quan thuế đơn giản, tiện lợi, nhanh chóng hơn so với trước đây. - HUMAN-FAC1]]</f>
        <v>7</v>
      </c>
      <c r="AD268" t="str">
        <f t="shared" si="115"/>
        <v>Neutral</v>
      </c>
      <c r="AE268" s="32">
        <f t="shared" si="116"/>
        <v>2</v>
      </c>
      <c r="AF268">
        <f>step3_validation[[#This Row],[AI_FAC2]]</f>
        <v>9</v>
      </c>
      <c r="AG268" t="str">
        <f t="shared" si="117"/>
        <v>Support</v>
      </c>
      <c r="AH268">
        <f>survey_responses[[#This Row],[So với trước đây, tôi thấy cách tính thuế và các bậc thuế trong phương án mới đơn giản, dễ hiểu và dễ thực hiện hơn. - HUMAN-FAC2]]</f>
        <v>6</v>
      </c>
      <c r="AI268" t="str">
        <f t="shared" si="118"/>
        <v>Neutral</v>
      </c>
      <c r="AJ268" s="32">
        <f t="shared" si="119"/>
        <v>3</v>
      </c>
      <c r="AK268">
        <f>step3_validation[[#This Row],[AI_TRU1]]</f>
        <v>7</v>
      </c>
      <c r="AL268" t="str">
        <f t="shared" si="120"/>
        <v>Neutral</v>
      </c>
      <c r="AM268">
        <f>survey_responses[[#This Row],[Tôi tin rằng Nhà nước, cơ quan thuế sẽ thực thi chính sách mới một cách khách quan, công tâm và đối xử bình đẳng với mọi người nộp thuế.  - HUMAN-TRU1]]</f>
        <v>6</v>
      </c>
      <c r="AN268" t="str">
        <f t="shared" si="121"/>
        <v>Neutral</v>
      </c>
      <c r="AO268" s="32">
        <f t="shared" si="122"/>
        <v>1</v>
      </c>
      <c r="AP268">
        <f>step3_validation[[#This Row],[AI_TRU2]]</f>
        <v>8</v>
      </c>
      <c r="AQ268" t="str">
        <f t="shared" si="123"/>
        <v>Support</v>
      </c>
      <c r="AR268">
        <f>survey_responses[[#This Row],[Tôi thấy mức thuế tôi phải đóng theo phương án mới là công bằng (người thu nhập như tôi đóng mức này là hợp lý). - HUMAN-TRU2]]</f>
        <v>6</v>
      </c>
      <c r="AS268" t="str">
        <f t="shared" si="124"/>
        <v>Neutral</v>
      </c>
      <c r="AT268" s="32">
        <f t="shared" si="125"/>
        <v>2</v>
      </c>
      <c r="AU268">
        <f>step3_validation[[#This Row],[AI_TRU3]]</f>
        <v>6</v>
      </c>
      <c r="AV268" t="str">
        <f t="shared" si="126"/>
        <v>Neutral</v>
      </c>
      <c r="AW268">
        <f>survey_responses[[#This Row],[Tôi tin tưởng số tiền thuế tôi đóng sẽ được Nhà nước sử dụng hiệu quả để cải thiện dịch vụ công (y tế, đường xá...). - HUMAN-TRU3]]</f>
        <v>6</v>
      </c>
      <c r="AX268" t="str">
        <f t="shared" si="127"/>
        <v>Neutral</v>
      </c>
      <c r="AY268" s="32">
        <f t="shared" si="128"/>
        <v>0</v>
      </c>
      <c r="AZ268">
        <f>step3_validation[[#This Row],[AI_TRU4]]</f>
        <v>8</v>
      </c>
      <c r="BA268" t="str">
        <f t="shared" si="129"/>
        <v>Support</v>
      </c>
      <c r="BB268">
        <f>survey_responses[[#This Row],[Tôi thấy Nhà nước đã giải thích rõ ràng, minh bạch về lý do và mục tiêu của việc sửa đổi thuế lần này. - HUMAN-TRU4]]</f>
        <v>7</v>
      </c>
      <c r="BC268" t="str">
        <f t="shared" si="130"/>
        <v>Neutral</v>
      </c>
      <c r="BD268" s="32">
        <f t="shared" si="131"/>
        <v>1</v>
      </c>
      <c r="BE268">
        <f>step3_validation[[#This Row],[AI_OUT1]]</f>
        <v>9</v>
      </c>
      <c r="BF268" t="str">
        <f t="shared" si="132"/>
        <v>Support</v>
      </c>
      <c r="BG268">
        <f>survey_responses[[#This Row],[Sau khi xem xét các quyền lợi và nghĩa vụ, bạn có ủng hộ và tuân thủ chính sách mới hiện nay? - HUMAN-OUT1]]</f>
        <v>7</v>
      </c>
      <c r="BH268" t="str">
        <f t="shared" si="133"/>
        <v>Neutral</v>
      </c>
      <c r="BI268" s="32">
        <f t="shared" si="134"/>
        <v>2</v>
      </c>
    </row>
    <row r="269" spans="1:61" x14ac:dyDescent="0.45">
      <c r="A269" s="30">
        <f>step3_validation[[#This Row],[Persona_ID]]</f>
        <v>268</v>
      </c>
      <c r="B269" s="31">
        <f>step3_validation[[#This Row],[Used_Seed]]</f>
        <v>2293</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24.634858690807217</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7</v>
      </c>
      <c r="R269" t="str">
        <f t="shared" si="108"/>
        <v>Neutral</v>
      </c>
      <c r="S269">
        <f>survey_responses[[#This Row],[Tôi tin rằng với các quy định quản lý thuế hiện nay, hành vi gian lận hoặc trốn thuế sẽ dễ dàng bị phát hiện và xử lý nghiêm. - HUMAN-ENF1]]</f>
        <v>7</v>
      </c>
      <c r="T269" t="str">
        <f t="shared" si="109"/>
        <v>Neutral</v>
      </c>
      <c r="U269" s="32">
        <f t="shared" si="110"/>
        <v>0</v>
      </c>
      <c r="V269">
        <f>step3_validation[[#This Row],[AI_ENF2]]</f>
        <v>8</v>
      </c>
      <c r="W269" t="str">
        <f t="shared" si="111"/>
        <v>Support</v>
      </c>
      <c r="X269">
        <f>survey_responses[[#This Row],[Tôi tin rằng Nhà nước, cơ quan thuế có đủ khả năng và công nghệ để phát hiện, xử lý nghiêm các hành vi trốn thuế. - HUMAN-ENF2]]</f>
        <v>7</v>
      </c>
      <c r="Y269" t="str">
        <f t="shared" si="112"/>
        <v>Neutral</v>
      </c>
      <c r="Z269" s="32">
        <f t="shared" si="113"/>
        <v>1</v>
      </c>
      <c r="AA269">
        <f>step3_validation[[#This Row],[AI_FAC1]]</f>
        <v>6</v>
      </c>
      <c r="AB269" t="str">
        <f t="shared" si="114"/>
        <v>Neutral</v>
      </c>
      <c r="AC269">
        <f>survey_responses[[#This Row],[Các thủ tục khai báo thuế VÀ/HOẶC quy trình làm việc với cơ quan thuế đơn giản, tiện lợi, nhanh chóng hơn so với trước đây. - HUMAN-FAC1]]</f>
        <v>2</v>
      </c>
      <c r="AD269" t="str">
        <f t="shared" si="115"/>
        <v>Oppose</v>
      </c>
      <c r="AE269" s="32">
        <f t="shared" si="116"/>
        <v>4</v>
      </c>
      <c r="AF269">
        <f>step3_validation[[#This Row],[AI_FAC2]]</f>
        <v>9</v>
      </c>
      <c r="AG269" t="str">
        <f t="shared" si="117"/>
        <v>Support</v>
      </c>
      <c r="AH269">
        <f>survey_responses[[#This Row],[So với trước đây, tôi thấy cách tính thuế và các bậc thuế trong phương án mới đơn giản, dễ hiểu và dễ thực hiện hơn. - HUMAN-FAC2]]</f>
        <v>7</v>
      </c>
      <c r="AI269" t="str">
        <f t="shared" si="118"/>
        <v>Neutral</v>
      </c>
      <c r="AJ269" s="32">
        <f t="shared" si="119"/>
        <v>2</v>
      </c>
      <c r="AK269">
        <f>step3_validation[[#This Row],[AI_TRU1]]</f>
        <v>7</v>
      </c>
      <c r="AL269" t="str">
        <f t="shared" si="120"/>
        <v>Neutral</v>
      </c>
      <c r="AM269">
        <f>survey_responses[[#This Row],[Tôi tin rằng Nhà nước, cơ quan thuế sẽ thực thi chính sách mới một cách khách quan, công tâm và đối xử bình đẳng với mọi người nộp thuế.  - HUMAN-TRU1]]</f>
        <v>7</v>
      </c>
      <c r="AN269" t="str">
        <f t="shared" si="121"/>
        <v>Neutral</v>
      </c>
      <c r="AO269" s="32">
        <f t="shared" si="122"/>
        <v>0</v>
      </c>
      <c r="AP269">
        <f>step3_validation[[#This Row],[AI_TRU2]]</f>
        <v>9</v>
      </c>
      <c r="AQ269" t="str">
        <f t="shared" si="123"/>
        <v>Support</v>
      </c>
      <c r="AR269">
        <f>survey_responses[[#This Row],[Tôi thấy mức thuế tôi phải đóng theo phương án mới là công bằng (người thu nhập như tôi đóng mức này là hợp lý). - HUMAN-TRU2]]</f>
        <v>7</v>
      </c>
      <c r="AS269" t="str">
        <f t="shared" si="124"/>
        <v>Neutral</v>
      </c>
      <c r="AT269" s="32">
        <f t="shared" si="125"/>
        <v>2</v>
      </c>
      <c r="AU269">
        <f>step3_validation[[#This Row],[AI_TRU3]]</f>
        <v>8</v>
      </c>
      <c r="AV269" t="str">
        <f t="shared" si="126"/>
        <v>Support</v>
      </c>
      <c r="AW269">
        <f>survey_responses[[#This Row],[Tôi tin tưởng số tiền thuế tôi đóng sẽ được Nhà nước sử dụng hiệu quả để cải thiện dịch vụ công (y tế, đường xá...). - HUMAN-TRU3]]</f>
        <v>7</v>
      </c>
      <c r="AX269" t="str">
        <f t="shared" si="127"/>
        <v>Neutral</v>
      </c>
      <c r="AY269" s="32">
        <f t="shared" si="128"/>
        <v>1</v>
      </c>
      <c r="AZ269">
        <f>step3_validation[[#This Row],[AI_TRU4]]</f>
        <v>7</v>
      </c>
      <c r="BA269" t="str">
        <f t="shared" si="129"/>
        <v>Neutral</v>
      </c>
      <c r="BB269">
        <f>survey_responses[[#This Row],[Tôi thấy Nhà nước đã giải thích rõ ràng, minh bạch về lý do và mục tiêu của việc sửa đổi thuế lần này. - HUMAN-TRU4]]</f>
        <v>7</v>
      </c>
      <c r="BC269" t="str">
        <f t="shared" si="130"/>
        <v>Neutral</v>
      </c>
      <c r="BD269" s="32">
        <f t="shared" si="131"/>
        <v>0</v>
      </c>
      <c r="BE269">
        <f>step3_validation[[#This Row],[AI_OUT1]]</f>
        <v>9</v>
      </c>
      <c r="BF269" t="str">
        <f t="shared" si="132"/>
        <v>Support</v>
      </c>
      <c r="BG269">
        <f>survey_responses[[#This Row],[Sau khi xem xét các quyền lợi và nghĩa vụ, bạn có ủng hộ và tuân thủ chính sách mới hiện nay? - HUMAN-OUT1]]</f>
        <v>7</v>
      </c>
      <c r="BH269" t="str">
        <f t="shared" si="133"/>
        <v>Neutral</v>
      </c>
      <c r="BI269" s="32">
        <f t="shared" si="134"/>
        <v>2</v>
      </c>
    </row>
    <row r="270" spans="1:61" x14ac:dyDescent="0.45">
      <c r="A270" s="30">
        <f>step3_validation[[#This Row],[Persona_ID]]</f>
        <v>269</v>
      </c>
      <c r="B270" s="31">
        <f>step3_validation[[#This Row],[Used_Seed]]</f>
        <v>2294</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95.393258448050062</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8</v>
      </c>
      <c r="R270" t="str">
        <f t="shared" si="108"/>
        <v>Support</v>
      </c>
      <c r="S270">
        <f>survey_responses[[#This Row],[Tôi tin rằng với các quy định quản lý thuế hiện nay, hành vi gian lận hoặc trốn thuế sẽ dễ dàng bị phát hiện và xử lý nghiêm. - HUMAN-ENF1]]</f>
        <v>4</v>
      </c>
      <c r="T270" t="str">
        <f t="shared" si="109"/>
        <v>Oppose</v>
      </c>
      <c r="U270" s="32">
        <f t="shared" si="110"/>
        <v>4</v>
      </c>
      <c r="V270">
        <f>step3_validation[[#This Row],[AI_ENF2]]</f>
        <v>7</v>
      </c>
      <c r="W270" t="str">
        <f t="shared" si="111"/>
        <v>Neutral</v>
      </c>
      <c r="X270">
        <f>survey_responses[[#This Row],[Tôi tin rằng Nhà nước, cơ quan thuế có đủ khả năng và công nghệ để phát hiện, xử lý nghiêm các hành vi trốn thuế. - HUMAN-ENF2]]</f>
        <v>5</v>
      </c>
      <c r="Y270" t="str">
        <f t="shared" si="112"/>
        <v>Neutral</v>
      </c>
      <c r="Z270" s="32">
        <f t="shared" si="113"/>
        <v>2</v>
      </c>
      <c r="AA270">
        <f>step3_validation[[#This Row],[AI_FAC1]]</f>
        <v>8</v>
      </c>
      <c r="AB270" t="str">
        <f t="shared" si="114"/>
        <v>Support</v>
      </c>
      <c r="AC270">
        <f>survey_responses[[#This Row],[Các thủ tục khai báo thuế VÀ/HOẶC quy trình làm việc với cơ quan thuế đơn giản, tiện lợi, nhanh chóng hơn so với trước đây. - HUMAN-FAC1]]</f>
        <v>2</v>
      </c>
      <c r="AD270" t="str">
        <f t="shared" si="115"/>
        <v>Oppose</v>
      </c>
      <c r="AE270" s="32">
        <f t="shared" si="116"/>
        <v>6</v>
      </c>
      <c r="AF270">
        <f>step3_validation[[#This Row],[AI_FAC2]]</f>
        <v>9</v>
      </c>
      <c r="AG270" t="str">
        <f t="shared" si="117"/>
        <v>Support</v>
      </c>
      <c r="AH270">
        <f>survey_responses[[#This Row],[So với trước đây, tôi thấy cách tính thuế và các bậc thuế trong phương án mới đơn giản, dễ hiểu và dễ thực hiện hơn. - HUMAN-FAC2]]</f>
        <v>6</v>
      </c>
      <c r="AI270" t="str">
        <f t="shared" si="118"/>
        <v>Neutral</v>
      </c>
      <c r="AJ270" s="32">
        <f t="shared" si="119"/>
        <v>3</v>
      </c>
      <c r="AK270">
        <f>step3_validation[[#This Row],[AI_TRU1]]</f>
        <v>7</v>
      </c>
      <c r="AL270" t="str">
        <f t="shared" si="120"/>
        <v>Neutral</v>
      </c>
      <c r="AM270">
        <f>survey_responses[[#This Row],[Tôi tin rằng Nhà nước, cơ quan thuế sẽ thực thi chính sách mới một cách khách quan, công tâm và đối xử bình đẳng với mọi người nộp thuế.  - HUMAN-TRU1]]</f>
        <v>3</v>
      </c>
      <c r="AN270" t="str">
        <f t="shared" si="121"/>
        <v>Oppose</v>
      </c>
      <c r="AO270" s="32">
        <f t="shared" si="122"/>
        <v>4</v>
      </c>
      <c r="AP270">
        <f>step3_validation[[#This Row],[AI_TRU2]]</f>
        <v>9</v>
      </c>
      <c r="AQ270" t="str">
        <f t="shared" si="123"/>
        <v>Support</v>
      </c>
      <c r="AR270">
        <f>survey_responses[[#This Row],[Tôi thấy mức thuế tôi phải đóng theo phương án mới là công bằng (người thu nhập như tôi đóng mức này là hợp lý). - HUMAN-TRU2]]</f>
        <v>3</v>
      </c>
      <c r="AS270" t="str">
        <f t="shared" si="124"/>
        <v>Oppose</v>
      </c>
      <c r="AT270" s="32">
        <f t="shared" si="125"/>
        <v>6</v>
      </c>
      <c r="AU270">
        <f>step3_validation[[#This Row],[AI_TRU3]]</f>
        <v>7</v>
      </c>
      <c r="AV270" t="str">
        <f t="shared" si="126"/>
        <v>Neutral</v>
      </c>
      <c r="AW270">
        <f>survey_responses[[#This Row],[Tôi tin tưởng số tiền thuế tôi đóng sẽ được Nhà nước sử dụng hiệu quả để cải thiện dịch vụ công (y tế, đường xá...). - HUMAN-TRU3]]</f>
        <v>1</v>
      </c>
      <c r="AX270" t="str">
        <f t="shared" si="127"/>
        <v>Oppose</v>
      </c>
      <c r="AY270" s="32">
        <f t="shared" si="128"/>
        <v>6</v>
      </c>
      <c r="AZ270">
        <f>step3_validation[[#This Row],[AI_TRU4]]</f>
        <v>8</v>
      </c>
      <c r="BA270" t="str">
        <f t="shared" si="129"/>
        <v>Support</v>
      </c>
      <c r="BB270">
        <f>survey_responses[[#This Row],[Tôi thấy Nhà nước đã giải thích rõ ràng, minh bạch về lý do và mục tiêu của việc sửa đổi thuế lần này. - HUMAN-TRU4]]</f>
        <v>3</v>
      </c>
      <c r="BC270" t="str">
        <f t="shared" si="130"/>
        <v>Oppose</v>
      </c>
      <c r="BD270" s="32">
        <f t="shared" si="131"/>
        <v>5</v>
      </c>
      <c r="BE270">
        <f>step3_validation[[#This Row],[AI_OUT1]]</f>
        <v>9</v>
      </c>
      <c r="BF270" t="str">
        <f t="shared" si="132"/>
        <v>Support</v>
      </c>
      <c r="BG270">
        <f>survey_responses[[#This Row],[Sau khi xem xét các quyền lợi và nghĩa vụ, bạn có ủng hộ và tuân thủ chính sách mới hiện nay? - HUMAN-OUT1]]</f>
        <v>1</v>
      </c>
      <c r="BH270" t="str">
        <f t="shared" si="133"/>
        <v>Oppose</v>
      </c>
      <c r="BI270" s="32">
        <f t="shared" si="134"/>
        <v>8</v>
      </c>
    </row>
    <row r="271" spans="1:61" x14ac:dyDescent="0.45">
      <c r="A271" s="30">
        <f>step3_validation[[#This Row],[Persona_ID]]</f>
        <v>270</v>
      </c>
      <c r="B271" s="31">
        <f>step3_validation[[#This Row],[Used_Seed]]</f>
        <v>2295</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58.197854723316212</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7</v>
      </c>
      <c r="R271" t="str">
        <f t="shared" si="108"/>
        <v>Neutral</v>
      </c>
      <c r="S271">
        <f>survey_responses[[#This Row],[Tôi tin rằng với các quy định quản lý thuế hiện nay, hành vi gian lận hoặc trốn thuế sẽ dễ dàng bị phát hiện và xử lý nghiêm. - HUMAN-ENF1]]</f>
        <v>8</v>
      </c>
      <c r="T271" t="str">
        <f t="shared" si="109"/>
        <v>Support</v>
      </c>
      <c r="U271" s="32">
        <f t="shared" si="110"/>
        <v>1</v>
      </c>
      <c r="V271">
        <f>step3_validation[[#This Row],[AI_ENF2]]</f>
        <v>6</v>
      </c>
      <c r="W271" t="str">
        <f t="shared" si="111"/>
        <v>Neutral</v>
      </c>
      <c r="X271">
        <f>survey_responses[[#This Row],[Tôi tin rằng Nhà nước, cơ quan thuế có đủ khả năng và công nghệ để phát hiện, xử lý nghiêm các hành vi trốn thuế. - HUMAN-ENF2]]</f>
        <v>8</v>
      </c>
      <c r="Y271" t="str">
        <f t="shared" si="112"/>
        <v>Support</v>
      </c>
      <c r="Z271" s="32">
        <f t="shared" si="113"/>
        <v>2</v>
      </c>
      <c r="AA271">
        <f>step3_validation[[#This Row],[AI_FAC1]]</f>
        <v>5</v>
      </c>
      <c r="AB271" t="str">
        <f t="shared" si="114"/>
        <v>Neutral</v>
      </c>
      <c r="AC271">
        <f>survey_responses[[#This Row],[Các thủ tục khai báo thuế VÀ/HOẶC quy trình làm việc với cơ quan thuế đơn giản, tiện lợi, nhanh chóng hơn so với trước đây. - HUMAN-FAC1]]</f>
        <v>3</v>
      </c>
      <c r="AD271" t="str">
        <f t="shared" si="115"/>
        <v>Oppose</v>
      </c>
      <c r="AE271" s="32">
        <f t="shared" si="116"/>
        <v>2</v>
      </c>
      <c r="AF271">
        <f>step3_validation[[#This Row],[AI_FAC2]]</f>
        <v>9</v>
      </c>
      <c r="AG271" t="str">
        <f t="shared" si="117"/>
        <v>Support</v>
      </c>
      <c r="AH271">
        <f>survey_responses[[#This Row],[So với trước đây, tôi thấy cách tính thuế và các bậc thuế trong phương án mới đơn giản, dễ hiểu và dễ thực hiện hơn. - HUMAN-FAC2]]</f>
        <v>8</v>
      </c>
      <c r="AI271" t="str">
        <f t="shared" si="118"/>
        <v>Support</v>
      </c>
      <c r="AJ271" s="32">
        <f t="shared" si="119"/>
        <v>1</v>
      </c>
      <c r="AK271">
        <f>step3_validation[[#This Row],[AI_TRU1]]</f>
        <v>8</v>
      </c>
      <c r="AL271" t="str">
        <f t="shared" si="120"/>
        <v>Support</v>
      </c>
      <c r="AM271">
        <f>survey_responses[[#This Row],[Tôi tin rằng Nhà nước, cơ quan thuế sẽ thực thi chính sách mới một cách khách quan, công tâm và đối xử bình đẳng với mọi người nộp thuế.  - HUMAN-TRU1]]</f>
        <v>3</v>
      </c>
      <c r="AN271" t="str">
        <f t="shared" si="121"/>
        <v>Oppose</v>
      </c>
      <c r="AO271" s="32">
        <f t="shared" si="122"/>
        <v>5</v>
      </c>
      <c r="AP271">
        <f>step3_validation[[#This Row],[AI_TRU2]]</f>
        <v>9</v>
      </c>
      <c r="AQ271" t="str">
        <f t="shared" si="123"/>
        <v>Support</v>
      </c>
      <c r="AR271">
        <f>survey_responses[[#This Row],[Tôi thấy mức thuế tôi phải đóng theo phương án mới là công bằng (người thu nhập như tôi đóng mức này là hợp lý). - HUMAN-TRU2]]</f>
        <v>1</v>
      </c>
      <c r="AS271" t="str">
        <f t="shared" si="124"/>
        <v>Oppose</v>
      </c>
      <c r="AT271" s="32">
        <f t="shared" si="125"/>
        <v>8</v>
      </c>
      <c r="AU271">
        <f>step3_validation[[#This Row],[AI_TRU3]]</f>
        <v>7</v>
      </c>
      <c r="AV271" t="str">
        <f t="shared" si="126"/>
        <v>Neutral</v>
      </c>
      <c r="AW271">
        <f>survey_responses[[#This Row],[Tôi tin tưởng số tiền thuế tôi đóng sẽ được Nhà nước sử dụng hiệu quả để cải thiện dịch vụ công (y tế, đường xá...). - HUMAN-TRU3]]</f>
        <v>8</v>
      </c>
      <c r="AX271" t="str">
        <f t="shared" si="127"/>
        <v>Support</v>
      </c>
      <c r="AY271" s="32">
        <f t="shared" si="128"/>
        <v>1</v>
      </c>
      <c r="AZ271">
        <f>step3_validation[[#This Row],[AI_TRU4]]</f>
        <v>8</v>
      </c>
      <c r="BA271" t="str">
        <f t="shared" si="129"/>
        <v>Support</v>
      </c>
      <c r="BB271">
        <f>survey_responses[[#This Row],[Tôi thấy Nhà nước đã giải thích rõ ràng, minh bạch về lý do và mục tiêu của việc sửa đổi thuế lần này. - HUMAN-TRU4]]</f>
        <v>6</v>
      </c>
      <c r="BC271" t="str">
        <f t="shared" si="130"/>
        <v>Neutral</v>
      </c>
      <c r="BD271" s="32">
        <f t="shared" si="131"/>
        <v>2</v>
      </c>
      <c r="BE271">
        <f>step3_validation[[#This Row],[AI_OUT1]]</f>
        <v>9</v>
      </c>
      <c r="BF271" t="str">
        <f t="shared" si="132"/>
        <v>Support</v>
      </c>
      <c r="BG271">
        <f>survey_responses[[#This Row],[Sau khi xem xét các quyền lợi và nghĩa vụ, bạn có ủng hộ và tuân thủ chính sách mới hiện nay? - HUMAN-OUT1]]</f>
        <v>7</v>
      </c>
      <c r="BH271" t="str">
        <f t="shared" si="133"/>
        <v>Neutral</v>
      </c>
      <c r="BI271" s="32">
        <f t="shared" si="134"/>
        <v>2</v>
      </c>
    </row>
    <row r="272" spans="1:61" x14ac:dyDescent="0.45">
      <c r="A272" s="30">
        <f>step3_validation[[#This Row],[Persona_ID]]</f>
        <v>271</v>
      </c>
      <c r="B272" s="31">
        <f>step3_validation[[#This Row],[Used_Seed]]</f>
        <v>2296</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56.810136217068468</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7</v>
      </c>
      <c r="R272" t="str">
        <f t="shared" si="108"/>
        <v>Neutral</v>
      </c>
      <c r="S272">
        <f>survey_responses[[#This Row],[Tôi tin rằng với các quy định quản lý thuế hiện nay, hành vi gian lận hoặc trốn thuế sẽ dễ dàng bị phát hiện và xử lý nghiêm. - HUMAN-ENF1]]</f>
        <v>7</v>
      </c>
      <c r="T272" t="str">
        <f t="shared" si="109"/>
        <v>Neutral</v>
      </c>
      <c r="U272" s="32">
        <f t="shared" si="110"/>
        <v>0</v>
      </c>
      <c r="V272">
        <f>step3_validation[[#This Row],[AI_ENF2]]</f>
        <v>6</v>
      </c>
      <c r="W272" t="str">
        <f t="shared" si="111"/>
        <v>Neutral</v>
      </c>
      <c r="X272">
        <f>survey_responses[[#This Row],[Tôi tin rằng Nhà nước, cơ quan thuế có đủ khả năng và công nghệ để phát hiện, xử lý nghiêm các hành vi trốn thuế. - HUMAN-ENF2]]</f>
        <v>7</v>
      </c>
      <c r="Y272" t="str">
        <f t="shared" si="112"/>
        <v>Neutral</v>
      </c>
      <c r="Z272" s="32">
        <f t="shared" si="113"/>
        <v>1</v>
      </c>
      <c r="AA272">
        <f>step3_validation[[#This Row],[AI_FAC1]]</f>
        <v>8</v>
      </c>
      <c r="AB272" t="str">
        <f t="shared" si="114"/>
        <v>Support</v>
      </c>
      <c r="AC272">
        <f>survey_responses[[#This Row],[Các thủ tục khai báo thuế VÀ/HOẶC quy trình làm việc với cơ quan thuế đơn giản, tiện lợi, nhanh chóng hơn so với trước đây. - HUMAN-FAC1]]</f>
        <v>4</v>
      </c>
      <c r="AD272" t="str">
        <f t="shared" si="115"/>
        <v>Oppose</v>
      </c>
      <c r="AE272" s="32">
        <f t="shared" si="116"/>
        <v>4</v>
      </c>
      <c r="AF272">
        <f>step3_validation[[#This Row],[AI_FAC2]]</f>
        <v>9</v>
      </c>
      <c r="AG272" t="str">
        <f t="shared" si="117"/>
        <v>Support</v>
      </c>
      <c r="AH272">
        <f>survey_responses[[#This Row],[So với trước đây, tôi thấy cách tính thuế và các bậc thuế trong phương án mới đơn giản, dễ hiểu và dễ thực hiện hơn. - HUMAN-FAC2]]</f>
        <v>7</v>
      </c>
      <c r="AI272" t="str">
        <f t="shared" si="118"/>
        <v>Neutral</v>
      </c>
      <c r="AJ272" s="32">
        <f t="shared" si="119"/>
        <v>2</v>
      </c>
      <c r="AK272">
        <f>step3_validation[[#This Row],[AI_TRU1]]</f>
        <v>7</v>
      </c>
      <c r="AL272" t="str">
        <f t="shared" si="120"/>
        <v>Neutral</v>
      </c>
      <c r="AM272">
        <f>survey_responses[[#This Row],[Tôi tin rằng Nhà nước, cơ quan thuế sẽ thực thi chính sách mới một cách khách quan, công tâm và đối xử bình đẳng với mọi người nộp thuế.  - HUMAN-TRU1]]</f>
        <v>7</v>
      </c>
      <c r="AN272" t="str">
        <f t="shared" si="121"/>
        <v>Neutral</v>
      </c>
      <c r="AO272" s="32">
        <f t="shared" si="122"/>
        <v>0</v>
      </c>
      <c r="AP272">
        <f>step3_validation[[#This Row],[AI_TRU2]]</f>
        <v>9</v>
      </c>
      <c r="AQ272" t="str">
        <f t="shared" si="123"/>
        <v>Support</v>
      </c>
      <c r="AR272">
        <f>survey_responses[[#This Row],[Tôi thấy mức thuế tôi phải đóng theo phương án mới là công bằng (người thu nhập như tôi đóng mức này là hợp lý). - HUMAN-TRU2]]</f>
        <v>6</v>
      </c>
      <c r="AS272" t="str">
        <f t="shared" si="124"/>
        <v>Neutral</v>
      </c>
      <c r="AT272" s="32">
        <f t="shared" si="125"/>
        <v>3</v>
      </c>
      <c r="AU272">
        <f>step3_validation[[#This Row],[AI_TRU3]]</f>
        <v>7</v>
      </c>
      <c r="AV272" t="str">
        <f t="shared" si="126"/>
        <v>Neutral</v>
      </c>
      <c r="AW272">
        <f>survey_responses[[#This Row],[Tôi tin tưởng số tiền thuế tôi đóng sẽ được Nhà nước sử dụng hiệu quả để cải thiện dịch vụ công (y tế, đường xá...). - HUMAN-TRU3]]</f>
        <v>5</v>
      </c>
      <c r="AX272" t="str">
        <f t="shared" si="127"/>
        <v>Neutral</v>
      </c>
      <c r="AY272" s="32">
        <f t="shared" si="128"/>
        <v>2</v>
      </c>
      <c r="AZ272">
        <f>step3_validation[[#This Row],[AI_TRU4]]</f>
        <v>6</v>
      </c>
      <c r="BA272" t="str">
        <f t="shared" si="129"/>
        <v>Neutral</v>
      </c>
      <c r="BB272">
        <f>survey_responses[[#This Row],[Tôi thấy Nhà nước đã giải thích rõ ràng, minh bạch về lý do và mục tiêu của việc sửa đổi thuế lần này. - HUMAN-TRU4]]</f>
        <v>7</v>
      </c>
      <c r="BC272" t="str">
        <f t="shared" si="130"/>
        <v>Neutral</v>
      </c>
      <c r="BD272" s="32">
        <f t="shared" si="131"/>
        <v>1</v>
      </c>
      <c r="BE272">
        <f>step3_validation[[#This Row],[AI_OUT1]]</f>
        <v>8</v>
      </c>
      <c r="BF272" t="str">
        <f t="shared" si="132"/>
        <v>Support</v>
      </c>
      <c r="BG272">
        <f>survey_responses[[#This Row],[Sau khi xem xét các quyền lợi và nghĩa vụ, bạn có ủng hộ và tuân thủ chính sách mới hiện nay? - HUMAN-OUT1]]</f>
        <v>6</v>
      </c>
      <c r="BH272" t="str">
        <f t="shared" si="133"/>
        <v>Neutral</v>
      </c>
      <c r="BI272" s="32">
        <f t="shared" si="134"/>
        <v>2</v>
      </c>
    </row>
    <row r="273" spans="1:61" x14ac:dyDescent="0.45">
      <c r="A273" s="30">
        <f>step3_validation[[#This Row],[Persona_ID]]</f>
        <v>272</v>
      </c>
      <c r="B273" s="31">
        <f>step3_validation[[#This Row],[Used_Seed]]</f>
        <v>2297</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40.863904573825955</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6</v>
      </c>
      <c r="R273" t="str">
        <f t="shared" si="108"/>
        <v>Neutral</v>
      </c>
      <c r="S273">
        <f>survey_responses[[#This Row],[Tôi tin rằng với các quy định quản lý thuế hiện nay, hành vi gian lận hoặc trốn thuế sẽ dễ dàng bị phát hiện và xử lý nghiêm. - HUMAN-ENF1]]</f>
        <v>7</v>
      </c>
      <c r="T273" t="str">
        <f t="shared" si="109"/>
        <v>Neutral</v>
      </c>
      <c r="U273" s="32">
        <f t="shared" si="110"/>
        <v>1</v>
      </c>
      <c r="V273">
        <f>step3_validation[[#This Row],[AI_ENF2]]</f>
        <v>7</v>
      </c>
      <c r="W273" t="str">
        <f t="shared" si="111"/>
        <v>Neutral</v>
      </c>
      <c r="X273">
        <f>survey_responses[[#This Row],[Tôi tin rằng Nhà nước, cơ quan thuế có đủ khả năng và công nghệ để phát hiện, xử lý nghiêm các hành vi trốn thuế. - HUMAN-ENF2]]</f>
        <v>8</v>
      </c>
      <c r="Y273" t="str">
        <f t="shared" si="112"/>
        <v>Support</v>
      </c>
      <c r="Z273" s="32">
        <f t="shared" si="113"/>
        <v>1</v>
      </c>
      <c r="AA273">
        <f>step3_validation[[#This Row],[AI_FAC1]]</f>
        <v>8</v>
      </c>
      <c r="AB273" t="str">
        <f t="shared" si="114"/>
        <v>Support</v>
      </c>
      <c r="AC273">
        <f>survey_responses[[#This Row],[Các thủ tục khai báo thuế VÀ/HOẶC quy trình làm việc với cơ quan thuế đơn giản, tiện lợi, nhanh chóng hơn so với trước đây. - HUMAN-FAC1]]</f>
        <v>2</v>
      </c>
      <c r="AD273" t="str">
        <f t="shared" si="115"/>
        <v>Oppose</v>
      </c>
      <c r="AE273" s="32">
        <f t="shared" si="116"/>
        <v>6</v>
      </c>
      <c r="AF273">
        <f>step3_validation[[#This Row],[AI_FAC2]]</f>
        <v>9</v>
      </c>
      <c r="AG273" t="str">
        <f t="shared" si="117"/>
        <v>Support</v>
      </c>
      <c r="AH273">
        <f>survey_responses[[#This Row],[So với trước đây, tôi thấy cách tính thuế và các bậc thuế trong phương án mới đơn giản, dễ hiểu và dễ thực hiện hơn. - HUMAN-FAC2]]</f>
        <v>6</v>
      </c>
      <c r="AI273" t="str">
        <f t="shared" si="118"/>
        <v>Neutral</v>
      </c>
      <c r="AJ273" s="32">
        <f t="shared" si="119"/>
        <v>3</v>
      </c>
      <c r="AK273">
        <f>step3_validation[[#This Row],[AI_TRU1]]</f>
        <v>7</v>
      </c>
      <c r="AL273" t="str">
        <f t="shared" si="120"/>
        <v>Neutral</v>
      </c>
      <c r="AM273">
        <f>survey_responses[[#This Row],[Tôi tin rằng Nhà nước, cơ quan thuế sẽ thực thi chính sách mới một cách khách quan, công tâm và đối xử bình đẳng với mọi người nộp thuế.  - HUMAN-TRU1]]</f>
        <v>6</v>
      </c>
      <c r="AN273" t="str">
        <f t="shared" si="121"/>
        <v>Neutral</v>
      </c>
      <c r="AO273" s="32">
        <f t="shared" si="122"/>
        <v>1</v>
      </c>
      <c r="AP273">
        <f>step3_validation[[#This Row],[AI_TRU2]]</f>
        <v>9</v>
      </c>
      <c r="AQ273" t="str">
        <f t="shared" si="123"/>
        <v>Support</v>
      </c>
      <c r="AR273">
        <f>survey_responses[[#This Row],[Tôi thấy mức thuế tôi phải đóng theo phương án mới là công bằng (người thu nhập như tôi đóng mức này là hợp lý). - HUMAN-TRU2]]</f>
        <v>6</v>
      </c>
      <c r="AS273" t="str">
        <f t="shared" si="124"/>
        <v>Neutral</v>
      </c>
      <c r="AT273" s="32">
        <f t="shared" si="125"/>
        <v>3</v>
      </c>
      <c r="AU273">
        <f>step3_validation[[#This Row],[AI_TRU3]]</f>
        <v>8</v>
      </c>
      <c r="AV273" t="str">
        <f t="shared" si="126"/>
        <v>Support</v>
      </c>
      <c r="AW273">
        <f>survey_responses[[#This Row],[Tôi tin tưởng số tiền thuế tôi đóng sẽ được Nhà nước sử dụng hiệu quả để cải thiện dịch vụ công (y tế, đường xá...). - HUMAN-TRU3]]</f>
        <v>5</v>
      </c>
      <c r="AX273" t="str">
        <f t="shared" si="127"/>
        <v>Neutral</v>
      </c>
      <c r="AY273" s="32">
        <f t="shared" si="128"/>
        <v>3</v>
      </c>
      <c r="AZ273">
        <f>step3_validation[[#This Row],[AI_TRU4]]</f>
        <v>7</v>
      </c>
      <c r="BA273" t="str">
        <f t="shared" si="129"/>
        <v>Neutral</v>
      </c>
      <c r="BB273">
        <f>survey_responses[[#This Row],[Tôi thấy Nhà nước đã giải thích rõ ràng, minh bạch về lý do và mục tiêu của việc sửa đổi thuế lần này. - HUMAN-TRU4]]</f>
        <v>5</v>
      </c>
      <c r="BC273" t="str">
        <f t="shared" si="130"/>
        <v>Neutral</v>
      </c>
      <c r="BD273" s="32">
        <f t="shared" si="131"/>
        <v>2</v>
      </c>
      <c r="BE273">
        <f>step3_validation[[#This Row],[AI_OUT1]]</f>
        <v>9</v>
      </c>
      <c r="BF273" t="str">
        <f t="shared" si="132"/>
        <v>Support</v>
      </c>
      <c r="BG273">
        <f>survey_responses[[#This Row],[Sau khi xem xét các quyền lợi và nghĩa vụ, bạn có ủng hộ và tuân thủ chính sách mới hiện nay? - HUMAN-OUT1]]</f>
        <v>6</v>
      </c>
      <c r="BH273" t="str">
        <f t="shared" si="133"/>
        <v>Neutral</v>
      </c>
      <c r="BI273" s="32">
        <f t="shared" si="134"/>
        <v>3</v>
      </c>
    </row>
    <row r="274" spans="1:61" x14ac:dyDescent="0.45">
      <c r="A274" s="30">
        <f>step3_validation[[#This Row],[Persona_ID]]</f>
        <v>273</v>
      </c>
      <c r="B274" s="31">
        <f>step3_validation[[#This Row],[Used_Seed]]</f>
        <v>2298</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87.341336277122693</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8</v>
      </c>
      <c r="R274" t="str">
        <f t="shared" si="108"/>
        <v>Support</v>
      </c>
      <c r="S274">
        <f>survey_responses[[#This Row],[Tôi tin rằng với các quy định quản lý thuế hiện nay, hành vi gian lận hoặc trốn thuế sẽ dễ dàng bị phát hiện và xử lý nghiêm. - HUMAN-ENF1]]</f>
        <v>3</v>
      </c>
      <c r="T274" t="str">
        <f t="shared" si="109"/>
        <v>Oppose</v>
      </c>
      <c r="U274" s="32">
        <f t="shared" si="110"/>
        <v>5</v>
      </c>
      <c r="V274">
        <f>step3_validation[[#This Row],[AI_ENF2]]</f>
        <v>7</v>
      </c>
      <c r="W274" t="str">
        <f t="shared" si="111"/>
        <v>Neutral</v>
      </c>
      <c r="X274">
        <f>survey_responses[[#This Row],[Tôi tin rằng Nhà nước, cơ quan thuế có đủ khả năng và công nghệ để phát hiện, xử lý nghiêm các hành vi trốn thuế. - HUMAN-ENF2]]</f>
        <v>3</v>
      </c>
      <c r="Y274" t="str">
        <f t="shared" si="112"/>
        <v>Oppose</v>
      </c>
      <c r="Z274" s="32">
        <f t="shared" si="113"/>
        <v>4</v>
      </c>
      <c r="AA274">
        <f>step3_validation[[#This Row],[AI_FAC1]]</f>
        <v>9</v>
      </c>
      <c r="AB274" t="str">
        <f t="shared" si="114"/>
        <v>Support</v>
      </c>
      <c r="AC274">
        <f>survey_responses[[#This Row],[Các thủ tục khai báo thuế VÀ/HOẶC quy trình làm việc với cơ quan thuế đơn giản, tiện lợi, nhanh chóng hơn so với trước đây. - HUMAN-FAC1]]</f>
        <v>1</v>
      </c>
      <c r="AD274" t="str">
        <f t="shared" si="115"/>
        <v>Oppose</v>
      </c>
      <c r="AE274" s="32">
        <f t="shared" si="116"/>
        <v>8</v>
      </c>
      <c r="AF274">
        <f>step3_validation[[#This Row],[AI_FAC2]]</f>
        <v>8</v>
      </c>
      <c r="AG274" t="str">
        <f t="shared" si="117"/>
        <v>Support</v>
      </c>
      <c r="AH274">
        <f>survey_responses[[#This Row],[So với trước đây, tôi thấy cách tính thuế và các bậc thuế trong phương án mới đơn giản, dễ hiểu và dễ thực hiện hơn. - HUMAN-FAC2]]</f>
        <v>6</v>
      </c>
      <c r="AI274" t="str">
        <f t="shared" si="118"/>
        <v>Neutral</v>
      </c>
      <c r="AJ274" s="32">
        <f t="shared" si="119"/>
        <v>2</v>
      </c>
      <c r="AK274">
        <f>step3_validation[[#This Row],[AI_TRU1]]</f>
        <v>7</v>
      </c>
      <c r="AL274" t="str">
        <f t="shared" si="120"/>
        <v>Neutral</v>
      </c>
      <c r="AM274">
        <f>survey_responses[[#This Row],[Tôi tin rằng Nhà nước, cơ quan thuế sẽ thực thi chính sách mới một cách khách quan, công tâm và đối xử bình đẳng với mọi người nộp thuế.  - HUMAN-TRU1]]</f>
        <v>1</v>
      </c>
      <c r="AN274" t="str">
        <f t="shared" si="121"/>
        <v>Oppose</v>
      </c>
      <c r="AO274" s="32">
        <f t="shared" si="122"/>
        <v>6</v>
      </c>
      <c r="AP274">
        <f>step3_validation[[#This Row],[AI_TRU2]]</f>
        <v>8</v>
      </c>
      <c r="AQ274" t="str">
        <f t="shared" si="123"/>
        <v>Support</v>
      </c>
      <c r="AR274">
        <f>survey_responses[[#This Row],[Tôi thấy mức thuế tôi phải đóng theo phương án mới là công bằng (người thu nhập như tôi đóng mức này là hợp lý). - HUMAN-TRU2]]</f>
        <v>1</v>
      </c>
      <c r="AS274" t="str">
        <f t="shared" si="124"/>
        <v>Oppose</v>
      </c>
      <c r="AT274" s="32">
        <f t="shared" si="125"/>
        <v>7</v>
      </c>
      <c r="AU274">
        <f>step3_validation[[#This Row],[AI_TRU3]]</f>
        <v>7</v>
      </c>
      <c r="AV274" t="str">
        <f t="shared" si="126"/>
        <v>Neutral</v>
      </c>
      <c r="AW274">
        <f>survey_responses[[#This Row],[Tôi tin tưởng số tiền thuế tôi đóng sẽ được Nhà nước sử dụng hiệu quả để cải thiện dịch vụ công (y tế, đường xá...). - HUMAN-TRU3]]</f>
        <v>1</v>
      </c>
      <c r="AX274" t="str">
        <f t="shared" si="127"/>
        <v>Oppose</v>
      </c>
      <c r="AY274" s="32">
        <f t="shared" si="128"/>
        <v>6</v>
      </c>
      <c r="AZ274">
        <f>step3_validation[[#This Row],[AI_TRU4]]</f>
        <v>6</v>
      </c>
      <c r="BA274" t="str">
        <f t="shared" si="129"/>
        <v>Neutral</v>
      </c>
      <c r="BB274">
        <f>survey_responses[[#This Row],[Tôi thấy Nhà nước đã giải thích rõ ràng, minh bạch về lý do và mục tiêu của việc sửa đổi thuế lần này. - HUMAN-TRU4]]</f>
        <v>1</v>
      </c>
      <c r="BC274" t="str">
        <f t="shared" si="130"/>
        <v>Oppose</v>
      </c>
      <c r="BD274" s="32">
        <f t="shared" si="131"/>
        <v>5</v>
      </c>
      <c r="BE274">
        <f>step3_validation[[#This Row],[AI_OUT1]]</f>
        <v>9</v>
      </c>
      <c r="BF274" t="str">
        <f t="shared" si="132"/>
        <v>Support</v>
      </c>
      <c r="BG274">
        <f>survey_responses[[#This Row],[Sau khi xem xét các quyền lợi và nghĩa vụ, bạn có ủng hộ và tuân thủ chính sách mới hiện nay? - HUMAN-OUT1]]</f>
        <v>1</v>
      </c>
      <c r="BH274" t="str">
        <f t="shared" si="133"/>
        <v>Oppose</v>
      </c>
      <c r="BI274" s="32">
        <f t="shared" si="134"/>
        <v>8</v>
      </c>
    </row>
    <row r="275" spans="1:61" x14ac:dyDescent="0.45">
      <c r="A275" s="30">
        <f>step3_validation[[#This Row],[Persona_ID]]</f>
        <v>274</v>
      </c>
      <c r="B275" s="31">
        <f>step3_validation[[#This Row],[Used_Seed]]</f>
        <v>2299</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50.676369719896847</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5</v>
      </c>
      <c r="R275" t="str">
        <f t="shared" si="108"/>
        <v>Neutral</v>
      </c>
      <c r="S275">
        <f>survey_responses[[#This Row],[Tôi tin rằng với các quy định quản lý thuế hiện nay, hành vi gian lận hoặc trốn thuế sẽ dễ dàng bị phát hiện và xử lý nghiêm. - HUMAN-ENF1]]</f>
        <v>6</v>
      </c>
      <c r="T275" t="str">
        <f t="shared" si="109"/>
        <v>Neutral</v>
      </c>
      <c r="U275" s="32">
        <f t="shared" si="110"/>
        <v>1</v>
      </c>
      <c r="V275">
        <f>step3_validation[[#This Row],[AI_ENF2]]</f>
        <v>7</v>
      </c>
      <c r="W275" t="str">
        <f t="shared" si="111"/>
        <v>Neutral</v>
      </c>
      <c r="X275">
        <f>survey_responses[[#This Row],[Tôi tin rằng Nhà nước, cơ quan thuế có đủ khả năng và công nghệ để phát hiện, xử lý nghiêm các hành vi trốn thuế. - HUMAN-ENF2]]</f>
        <v>6</v>
      </c>
      <c r="Y275" t="str">
        <f t="shared" si="112"/>
        <v>Neutral</v>
      </c>
      <c r="Z275" s="32">
        <f t="shared" si="113"/>
        <v>1</v>
      </c>
      <c r="AA275">
        <f>step3_validation[[#This Row],[AI_FAC1]]</f>
        <v>8</v>
      </c>
      <c r="AB275" t="str">
        <f t="shared" si="114"/>
        <v>Support</v>
      </c>
      <c r="AC275">
        <f>survey_responses[[#This Row],[Các thủ tục khai báo thuế VÀ/HOẶC quy trình làm việc với cơ quan thuế đơn giản, tiện lợi, nhanh chóng hơn so với trước đây. - HUMAN-FAC1]]</f>
        <v>5</v>
      </c>
      <c r="AD275" t="str">
        <f t="shared" si="115"/>
        <v>Neutral</v>
      </c>
      <c r="AE275" s="32">
        <f t="shared" si="116"/>
        <v>3</v>
      </c>
      <c r="AF275">
        <f>step3_validation[[#This Row],[AI_FAC2]]</f>
        <v>9</v>
      </c>
      <c r="AG275" t="str">
        <f t="shared" si="117"/>
        <v>Support</v>
      </c>
      <c r="AH275">
        <f>survey_responses[[#This Row],[So với trước đây, tôi thấy cách tính thuế và các bậc thuế trong phương án mới đơn giản, dễ hiểu và dễ thực hiện hơn. - HUMAN-FAC2]]</f>
        <v>6</v>
      </c>
      <c r="AI275" t="str">
        <f t="shared" si="118"/>
        <v>Neutral</v>
      </c>
      <c r="AJ275" s="32">
        <f t="shared" si="119"/>
        <v>3</v>
      </c>
      <c r="AK275">
        <f>step3_validation[[#This Row],[AI_TRU1]]</f>
        <v>7</v>
      </c>
      <c r="AL275" t="str">
        <f t="shared" si="120"/>
        <v>Neutral</v>
      </c>
      <c r="AM275">
        <f>survey_responses[[#This Row],[Tôi tin rằng Nhà nước, cơ quan thuế sẽ thực thi chính sách mới một cách khách quan, công tâm và đối xử bình đẳng với mọi người nộp thuế.  - HUMAN-TRU1]]</f>
        <v>6</v>
      </c>
      <c r="AN275" t="str">
        <f t="shared" si="121"/>
        <v>Neutral</v>
      </c>
      <c r="AO275" s="32">
        <f t="shared" si="122"/>
        <v>1</v>
      </c>
      <c r="AP275">
        <f>step3_validation[[#This Row],[AI_TRU2]]</f>
        <v>9</v>
      </c>
      <c r="AQ275" t="str">
        <f t="shared" si="123"/>
        <v>Support</v>
      </c>
      <c r="AR275">
        <f>survey_responses[[#This Row],[Tôi thấy mức thuế tôi phải đóng theo phương án mới là công bằng (người thu nhập như tôi đóng mức này là hợp lý). - HUMAN-TRU2]]</f>
        <v>6</v>
      </c>
      <c r="AS275" t="str">
        <f t="shared" si="124"/>
        <v>Neutral</v>
      </c>
      <c r="AT275" s="32">
        <f t="shared" si="125"/>
        <v>3</v>
      </c>
      <c r="AU275">
        <f>step3_validation[[#This Row],[AI_TRU3]]</f>
        <v>6</v>
      </c>
      <c r="AV275" t="str">
        <f t="shared" si="126"/>
        <v>Neutral</v>
      </c>
      <c r="AW275">
        <f>survey_responses[[#This Row],[Tôi tin tưởng số tiền thuế tôi đóng sẽ được Nhà nước sử dụng hiệu quả để cải thiện dịch vụ công (y tế, đường xá...). - HUMAN-TRU3]]</f>
        <v>6</v>
      </c>
      <c r="AX275" t="str">
        <f t="shared" si="127"/>
        <v>Neutral</v>
      </c>
      <c r="AY275" s="32">
        <f t="shared" si="128"/>
        <v>0</v>
      </c>
      <c r="AZ275">
        <f>step3_validation[[#This Row],[AI_TRU4]]</f>
        <v>8</v>
      </c>
      <c r="BA275" t="str">
        <f t="shared" si="129"/>
        <v>Support</v>
      </c>
      <c r="BB275">
        <f>survey_responses[[#This Row],[Tôi thấy Nhà nước đã giải thích rõ ràng, minh bạch về lý do và mục tiêu của việc sửa đổi thuế lần này. - HUMAN-TRU4]]</f>
        <v>6</v>
      </c>
      <c r="BC275" t="str">
        <f t="shared" si="130"/>
        <v>Neutral</v>
      </c>
      <c r="BD275" s="32">
        <f t="shared" si="131"/>
        <v>2</v>
      </c>
      <c r="BE275">
        <f>step3_validation[[#This Row],[AI_OUT1]]</f>
        <v>9</v>
      </c>
      <c r="BF275" t="str">
        <f t="shared" si="132"/>
        <v>Support</v>
      </c>
      <c r="BG275">
        <f>survey_responses[[#This Row],[Sau khi xem xét các quyền lợi và nghĩa vụ, bạn có ủng hộ và tuân thủ chính sách mới hiện nay? - HUMAN-OUT1]]</f>
        <v>6</v>
      </c>
      <c r="BH275" t="str">
        <f t="shared" si="133"/>
        <v>Neutral</v>
      </c>
      <c r="BI275" s="32">
        <f t="shared" si="134"/>
        <v>3</v>
      </c>
    </row>
    <row r="276" spans="1:61" x14ac:dyDescent="0.45">
      <c r="A276" s="30">
        <f>step3_validation[[#This Row],[Persona_ID]]</f>
        <v>275</v>
      </c>
      <c r="B276" s="31">
        <f>step3_validation[[#This Row],[Used_Seed]]</f>
        <v>2300</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67.798166141260467</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7</v>
      </c>
      <c r="R276" t="str">
        <f t="shared" si="108"/>
        <v>Neutral</v>
      </c>
      <c r="S276">
        <f>survey_responses[[#This Row],[Tôi tin rằng với các quy định quản lý thuế hiện nay, hành vi gian lận hoặc trốn thuế sẽ dễ dàng bị phát hiện và xử lý nghiêm. - HUMAN-ENF1]]</f>
        <v>8</v>
      </c>
      <c r="T276" t="str">
        <f t="shared" si="109"/>
        <v>Support</v>
      </c>
      <c r="U276" s="32">
        <f t="shared" si="110"/>
        <v>1</v>
      </c>
      <c r="V276">
        <f>step3_validation[[#This Row],[AI_ENF2]]</f>
        <v>6</v>
      </c>
      <c r="W276" t="str">
        <f t="shared" si="111"/>
        <v>Neutral</v>
      </c>
      <c r="X276">
        <f>survey_responses[[#This Row],[Tôi tin rằng Nhà nước, cơ quan thuế có đủ khả năng và công nghệ để phát hiện, xử lý nghiêm các hành vi trốn thuế. - HUMAN-ENF2]]</f>
        <v>9</v>
      </c>
      <c r="Y276" t="str">
        <f t="shared" si="112"/>
        <v>Support</v>
      </c>
      <c r="Z276" s="32">
        <f t="shared" si="113"/>
        <v>3</v>
      </c>
      <c r="AA276">
        <f>step3_validation[[#This Row],[AI_FAC1]]</f>
        <v>8</v>
      </c>
      <c r="AB276" t="str">
        <f t="shared" si="114"/>
        <v>Support</v>
      </c>
      <c r="AC276">
        <f>survey_responses[[#This Row],[Các thủ tục khai báo thuế VÀ/HOẶC quy trình làm việc với cơ quan thuế đơn giản, tiện lợi, nhanh chóng hơn so với trước đây. - HUMAN-FAC1]]</f>
        <v>5</v>
      </c>
      <c r="AD276" t="str">
        <f t="shared" si="115"/>
        <v>Neutral</v>
      </c>
      <c r="AE276" s="32">
        <f t="shared" si="116"/>
        <v>3</v>
      </c>
      <c r="AF276">
        <f>step3_validation[[#This Row],[AI_FAC2]]</f>
        <v>9</v>
      </c>
      <c r="AG276" t="str">
        <f t="shared" si="117"/>
        <v>Support</v>
      </c>
      <c r="AH276">
        <f>survey_responses[[#This Row],[So với trước đây, tôi thấy cách tính thuế và các bậc thuế trong phương án mới đơn giản, dễ hiểu và dễ thực hiện hơn. - HUMAN-FAC2]]</f>
        <v>7</v>
      </c>
      <c r="AI276" t="str">
        <f t="shared" si="118"/>
        <v>Neutral</v>
      </c>
      <c r="AJ276" s="32">
        <f t="shared" si="119"/>
        <v>2</v>
      </c>
      <c r="AK276">
        <f>step3_validation[[#This Row],[AI_TRU1]]</f>
        <v>5</v>
      </c>
      <c r="AL276" t="str">
        <f t="shared" si="120"/>
        <v>Neutral</v>
      </c>
      <c r="AM276">
        <f>survey_responses[[#This Row],[Tôi tin rằng Nhà nước, cơ quan thuế sẽ thực thi chính sách mới một cách khách quan, công tâm và đối xử bình đẳng với mọi người nộp thuế.  - HUMAN-TRU1]]</f>
        <v>6</v>
      </c>
      <c r="AN276" t="str">
        <f t="shared" si="121"/>
        <v>Neutral</v>
      </c>
      <c r="AO276" s="32">
        <f t="shared" si="122"/>
        <v>1</v>
      </c>
      <c r="AP276">
        <f>step3_validation[[#This Row],[AI_TRU2]]</f>
        <v>9</v>
      </c>
      <c r="AQ276" t="str">
        <f t="shared" si="123"/>
        <v>Support</v>
      </c>
      <c r="AR276">
        <f>survey_responses[[#This Row],[Tôi thấy mức thuế tôi phải đóng theo phương án mới là công bằng (người thu nhập như tôi đóng mức này là hợp lý). - HUMAN-TRU2]]</f>
        <v>7</v>
      </c>
      <c r="AS276" t="str">
        <f t="shared" si="124"/>
        <v>Neutral</v>
      </c>
      <c r="AT276" s="32">
        <f t="shared" si="125"/>
        <v>2</v>
      </c>
      <c r="AU276">
        <f>step3_validation[[#This Row],[AI_TRU3]]</f>
        <v>6</v>
      </c>
      <c r="AV276" t="str">
        <f t="shared" si="126"/>
        <v>Neutral</v>
      </c>
      <c r="AW276">
        <f>survey_responses[[#This Row],[Tôi tin tưởng số tiền thuế tôi đóng sẽ được Nhà nước sử dụng hiệu quả để cải thiện dịch vụ công (y tế, đường xá...). - HUMAN-TRU3]]</f>
        <v>7</v>
      </c>
      <c r="AX276" t="str">
        <f t="shared" si="127"/>
        <v>Neutral</v>
      </c>
      <c r="AY276" s="32">
        <f t="shared" si="128"/>
        <v>1</v>
      </c>
      <c r="AZ276">
        <f>step3_validation[[#This Row],[AI_TRU4]]</f>
        <v>7</v>
      </c>
      <c r="BA276" t="str">
        <f t="shared" si="129"/>
        <v>Neutral</v>
      </c>
      <c r="BB276">
        <f>survey_responses[[#This Row],[Tôi thấy Nhà nước đã giải thích rõ ràng, minh bạch về lý do và mục tiêu của việc sửa đổi thuế lần này. - HUMAN-TRU4]]</f>
        <v>7</v>
      </c>
      <c r="BC276" t="str">
        <f t="shared" si="130"/>
        <v>Neutral</v>
      </c>
      <c r="BD276" s="32">
        <f t="shared" si="131"/>
        <v>0</v>
      </c>
      <c r="BE276">
        <f>step3_validation[[#This Row],[AI_OUT1]]</f>
        <v>9</v>
      </c>
      <c r="BF276" t="str">
        <f t="shared" si="132"/>
        <v>Support</v>
      </c>
      <c r="BG276">
        <f>survey_responses[[#This Row],[Sau khi xem xét các quyền lợi và nghĩa vụ, bạn có ủng hộ và tuân thủ chính sách mới hiện nay? - HUMAN-OUT1]]</f>
        <v>7</v>
      </c>
      <c r="BH276" t="str">
        <f t="shared" si="133"/>
        <v>Neutral</v>
      </c>
      <c r="BI276" s="32">
        <f t="shared" si="134"/>
        <v>2</v>
      </c>
    </row>
    <row r="277" spans="1:61" x14ac:dyDescent="0.45">
      <c r="A277" s="30">
        <f>step3_validation[[#This Row],[Persona_ID]]</f>
        <v>276</v>
      </c>
      <c r="B277" s="31">
        <f>step3_validation[[#This Row],[Used_Seed]]</f>
        <v>2301</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43.07065024677577</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6</v>
      </c>
      <c r="R277" t="str">
        <f t="shared" si="108"/>
        <v>Neutral</v>
      </c>
      <c r="S277">
        <f>survey_responses[[#This Row],[Tôi tin rằng với các quy định quản lý thuế hiện nay, hành vi gian lận hoặc trốn thuế sẽ dễ dàng bị phát hiện và xử lý nghiêm. - HUMAN-ENF1]]</f>
        <v>6</v>
      </c>
      <c r="T277" t="str">
        <f t="shared" si="109"/>
        <v>Neutral</v>
      </c>
      <c r="U277" s="32">
        <f t="shared" si="110"/>
        <v>0</v>
      </c>
      <c r="V277">
        <f>step3_validation[[#This Row],[AI_ENF2]]</f>
        <v>7</v>
      </c>
      <c r="W277" t="str">
        <f t="shared" si="111"/>
        <v>Neutral</v>
      </c>
      <c r="X277">
        <f>survey_responses[[#This Row],[Tôi tin rằng Nhà nước, cơ quan thuế có đủ khả năng và công nghệ để phát hiện, xử lý nghiêm các hành vi trốn thuế. - HUMAN-ENF2]]</f>
        <v>6</v>
      </c>
      <c r="Y277" t="str">
        <f t="shared" si="112"/>
        <v>Neutral</v>
      </c>
      <c r="Z277" s="32">
        <f t="shared" si="113"/>
        <v>1</v>
      </c>
      <c r="AA277">
        <f>step3_validation[[#This Row],[AI_FAC1]]</f>
        <v>8</v>
      </c>
      <c r="AB277" t="str">
        <f t="shared" si="114"/>
        <v>Support</v>
      </c>
      <c r="AC277">
        <f>survey_responses[[#This Row],[Các thủ tục khai báo thuế VÀ/HOẶC quy trình làm việc với cơ quan thuế đơn giản, tiện lợi, nhanh chóng hơn so với trước đây. - HUMAN-FAC1]]</f>
        <v>3</v>
      </c>
      <c r="AD277" t="str">
        <f t="shared" si="115"/>
        <v>Oppose</v>
      </c>
      <c r="AE277" s="32">
        <f t="shared" si="116"/>
        <v>5</v>
      </c>
      <c r="AF277">
        <f>step3_validation[[#This Row],[AI_FAC2]]</f>
        <v>9</v>
      </c>
      <c r="AG277" t="str">
        <f t="shared" si="117"/>
        <v>Support</v>
      </c>
      <c r="AH277">
        <f>survey_responses[[#This Row],[So với trước đây, tôi thấy cách tính thuế và các bậc thuế trong phương án mới đơn giản, dễ hiểu và dễ thực hiện hơn. - HUMAN-FAC2]]</f>
        <v>7</v>
      </c>
      <c r="AI277" t="str">
        <f t="shared" si="118"/>
        <v>Neutral</v>
      </c>
      <c r="AJ277" s="32">
        <f t="shared" si="119"/>
        <v>2</v>
      </c>
      <c r="AK277">
        <f>step3_validation[[#This Row],[AI_TRU1]]</f>
        <v>8</v>
      </c>
      <c r="AL277" t="str">
        <f t="shared" si="120"/>
        <v>Support</v>
      </c>
      <c r="AM277">
        <f>survey_responses[[#This Row],[Tôi tin rằng Nhà nước, cơ quan thuế sẽ thực thi chính sách mới một cách khách quan, công tâm và đối xử bình đẳng với mọi người nộp thuế.  - HUMAN-TRU1]]</f>
        <v>7</v>
      </c>
      <c r="AN277" t="str">
        <f t="shared" si="121"/>
        <v>Neutral</v>
      </c>
      <c r="AO277" s="32">
        <f t="shared" si="122"/>
        <v>1</v>
      </c>
      <c r="AP277">
        <f>step3_validation[[#This Row],[AI_TRU2]]</f>
        <v>9</v>
      </c>
      <c r="AQ277" t="str">
        <f t="shared" si="123"/>
        <v>Support</v>
      </c>
      <c r="AR277">
        <f>survey_responses[[#This Row],[Tôi thấy mức thuế tôi phải đóng theo phương án mới là công bằng (người thu nhập như tôi đóng mức này là hợp lý). - HUMAN-TRU2]]</f>
        <v>7</v>
      </c>
      <c r="AS277" t="str">
        <f t="shared" si="124"/>
        <v>Neutral</v>
      </c>
      <c r="AT277" s="32">
        <f t="shared" si="125"/>
        <v>2</v>
      </c>
      <c r="AU277">
        <f>step3_validation[[#This Row],[AI_TRU3]]</f>
        <v>8</v>
      </c>
      <c r="AV277" t="str">
        <f t="shared" si="126"/>
        <v>Support</v>
      </c>
      <c r="AW277">
        <f>survey_responses[[#This Row],[Tôi tin tưởng số tiền thuế tôi đóng sẽ được Nhà nước sử dụng hiệu quả để cải thiện dịch vụ công (y tế, đường xá...). - HUMAN-TRU3]]</f>
        <v>5</v>
      </c>
      <c r="AX277" t="str">
        <f t="shared" si="127"/>
        <v>Neutral</v>
      </c>
      <c r="AY277" s="32">
        <f t="shared" si="128"/>
        <v>3</v>
      </c>
      <c r="AZ277">
        <f>step3_validation[[#This Row],[AI_TRU4]]</f>
        <v>7</v>
      </c>
      <c r="BA277" t="str">
        <f t="shared" si="129"/>
        <v>Neutral</v>
      </c>
      <c r="BB277">
        <f>survey_responses[[#This Row],[Tôi thấy Nhà nước đã giải thích rõ ràng, minh bạch về lý do và mục tiêu của việc sửa đổi thuế lần này. - HUMAN-TRU4]]</f>
        <v>7</v>
      </c>
      <c r="BC277" t="str">
        <f t="shared" si="130"/>
        <v>Neutral</v>
      </c>
      <c r="BD277" s="32">
        <f t="shared" si="131"/>
        <v>0</v>
      </c>
      <c r="BE277">
        <f>step3_validation[[#This Row],[AI_OUT1]]</f>
        <v>8</v>
      </c>
      <c r="BF277" t="str">
        <f t="shared" si="132"/>
        <v>Support</v>
      </c>
      <c r="BG277">
        <f>survey_responses[[#This Row],[Sau khi xem xét các quyền lợi và nghĩa vụ, bạn có ủng hộ và tuân thủ chính sách mới hiện nay? - HUMAN-OUT1]]</f>
        <v>7</v>
      </c>
      <c r="BH277" t="str">
        <f t="shared" si="133"/>
        <v>Neutral</v>
      </c>
      <c r="BI277" s="32">
        <f t="shared" si="134"/>
        <v>1</v>
      </c>
    </row>
    <row r="278" spans="1:61" x14ac:dyDescent="0.45">
      <c r="A278" s="30">
        <f>step3_validation[[#This Row],[Persona_ID]]</f>
        <v>277</v>
      </c>
      <c r="B278" s="31">
        <f>step3_validation[[#This Row],[Used_Seed]]</f>
        <v>2302</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94.959946929181413</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9</v>
      </c>
      <c r="R278" t="str">
        <f t="shared" si="108"/>
        <v>Support</v>
      </c>
      <c r="S278">
        <f>survey_responses[[#This Row],[Tôi tin rằng với các quy định quản lý thuế hiện nay, hành vi gian lận hoặc trốn thuế sẽ dễ dàng bị phát hiện và xử lý nghiêm. - HUMAN-ENF1]]</f>
        <v>8</v>
      </c>
      <c r="T278" t="str">
        <f t="shared" si="109"/>
        <v>Support</v>
      </c>
      <c r="U278" s="32">
        <f t="shared" si="110"/>
        <v>1</v>
      </c>
      <c r="V278">
        <f>step3_validation[[#This Row],[AI_ENF2]]</f>
        <v>8</v>
      </c>
      <c r="W278" t="str">
        <f t="shared" si="111"/>
        <v>Support</v>
      </c>
      <c r="X278">
        <f>survey_responses[[#This Row],[Tôi tin rằng Nhà nước, cơ quan thuế có đủ khả năng và công nghệ để phát hiện, xử lý nghiêm các hành vi trốn thuế. - HUMAN-ENF2]]</f>
        <v>8</v>
      </c>
      <c r="Y278" t="str">
        <f t="shared" si="112"/>
        <v>Support</v>
      </c>
      <c r="Z278" s="32">
        <f t="shared" si="113"/>
        <v>0</v>
      </c>
      <c r="AA278">
        <f>step3_validation[[#This Row],[AI_FAC1]]</f>
        <v>7</v>
      </c>
      <c r="AB278" t="str">
        <f t="shared" si="114"/>
        <v>Neutral</v>
      </c>
      <c r="AC278">
        <f>survey_responses[[#This Row],[Các thủ tục khai báo thuế VÀ/HOẶC quy trình làm việc với cơ quan thuế đơn giản, tiện lợi, nhanh chóng hơn so với trước đây. - HUMAN-FAC1]]</f>
        <v>6</v>
      </c>
      <c r="AD278" t="str">
        <f t="shared" si="115"/>
        <v>Neutral</v>
      </c>
      <c r="AE278" s="32">
        <f t="shared" si="116"/>
        <v>1</v>
      </c>
      <c r="AF278">
        <f>step3_validation[[#This Row],[AI_FAC2]]</f>
        <v>8</v>
      </c>
      <c r="AG278" t="str">
        <f t="shared" si="117"/>
        <v>Support</v>
      </c>
      <c r="AH278">
        <f>survey_responses[[#This Row],[So với trước đây, tôi thấy cách tính thuế và các bậc thuế trong phương án mới đơn giản, dễ hiểu và dễ thực hiện hơn. - HUMAN-FAC2]]</f>
        <v>7</v>
      </c>
      <c r="AI278" t="str">
        <f t="shared" si="118"/>
        <v>Neutral</v>
      </c>
      <c r="AJ278" s="32">
        <f t="shared" si="119"/>
        <v>1</v>
      </c>
      <c r="AK278">
        <f>step3_validation[[#This Row],[AI_TRU1]]</f>
        <v>7</v>
      </c>
      <c r="AL278" t="str">
        <f t="shared" si="120"/>
        <v>Neutral</v>
      </c>
      <c r="AM278">
        <f>survey_responses[[#This Row],[Tôi tin rằng Nhà nước, cơ quan thuế sẽ thực thi chính sách mới một cách khách quan, công tâm và đối xử bình đẳng với mọi người nộp thuế.  - HUMAN-TRU1]]</f>
        <v>7</v>
      </c>
      <c r="AN278" t="str">
        <f t="shared" si="121"/>
        <v>Neutral</v>
      </c>
      <c r="AO278" s="32">
        <f t="shared" si="122"/>
        <v>0</v>
      </c>
      <c r="AP278">
        <f>step3_validation[[#This Row],[AI_TRU2]]</f>
        <v>7</v>
      </c>
      <c r="AQ278" t="str">
        <f t="shared" si="123"/>
        <v>Neutral</v>
      </c>
      <c r="AR278">
        <f>survey_responses[[#This Row],[Tôi thấy mức thuế tôi phải đóng theo phương án mới là công bằng (người thu nhập như tôi đóng mức này là hợp lý). - HUMAN-TRU2]]</f>
        <v>4</v>
      </c>
      <c r="AS278" t="str">
        <f t="shared" si="124"/>
        <v>Oppose</v>
      </c>
      <c r="AT278" s="32">
        <f t="shared" si="125"/>
        <v>3</v>
      </c>
      <c r="AU278">
        <f>step3_validation[[#This Row],[AI_TRU3]]</f>
        <v>6</v>
      </c>
      <c r="AV278" t="str">
        <f t="shared" si="126"/>
        <v>Neutral</v>
      </c>
      <c r="AW278">
        <f>survey_responses[[#This Row],[Tôi tin tưởng số tiền thuế tôi đóng sẽ được Nhà nước sử dụng hiệu quả để cải thiện dịch vụ công (y tế, đường xá...). - HUMAN-TRU3]]</f>
        <v>5</v>
      </c>
      <c r="AX278" t="str">
        <f t="shared" si="127"/>
        <v>Neutral</v>
      </c>
      <c r="AY278" s="32">
        <f t="shared" si="128"/>
        <v>1</v>
      </c>
      <c r="AZ278">
        <f>step3_validation[[#This Row],[AI_TRU4]]</f>
        <v>7</v>
      </c>
      <c r="BA278" t="str">
        <f t="shared" si="129"/>
        <v>Neutral</v>
      </c>
      <c r="BB278">
        <f>survey_responses[[#This Row],[Tôi thấy Nhà nước đã giải thích rõ ràng, minh bạch về lý do và mục tiêu của việc sửa đổi thuế lần này. - HUMAN-TRU4]]</f>
        <v>5</v>
      </c>
      <c r="BC278" t="str">
        <f t="shared" si="130"/>
        <v>Neutral</v>
      </c>
      <c r="BD278" s="32">
        <f t="shared" si="131"/>
        <v>2</v>
      </c>
      <c r="BE278">
        <f>step3_validation[[#This Row],[AI_OUT1]]</f>
        <v>8</v>
      </c>
      <c r="BF278" t="str">
        <f t="shared" si="132"/>
        <v>Support</v>
      </c>
      <c r="BG278">
        <f>survey_responses[[#This Row],[Sau khi xem xét các quyền lợi và nghĩa vụ, bạn có ủng hộ và tuân thủ chính sách mới hiện nay? - HUMAN-OUT1]]</f>
        <v>5</v>
      </c>
      <c r="BH278" t="str">
        <f t="shared" si="133"/>
        <v>Neutral</v>
      </c>
      <c r="BI278" s="32">
        <f t="shared" si="134"/>
        <v>3</v>
      </c>
    </row>
    <row r="279" spans="1:61" x14ac:dyDescent="0.45">
      <c r="A279" s="30">
        <f>step3_validation[[#This Row],[Persona_ID]]</f>
        <v>278</v>
      </c>
      <c r="B279" s="31">
        <f>step3_validation[[#This Row],[Used_Seed]]</f>
        <v>2303</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57.573626220631184</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9</v>
      </c>
      <c r="R279" t="str">
        <f t="shared" si="108"/>
        <v>Support</v>
      </c>
      <c r="S279">
        <f>survey_responses[[#This Row],[Tôi tin rằng với các quy định quản lý thuế hiện nay, hành vi gian lận hoặc trốn thuế sẽ dễ dàng bị phát hiện và xử lý nghiêm. - HUMAN-ENF1]]</f>
        <v>6</v>
      </c>
      <c r="T279" t="str">
        <f t="shared" si="109"/>
        <v>Neutral</v>
      </c>
      <c r="U279" s="32">
        <f t="shared" si="110"/>
        <v>3</v>
      </c>
      <c r="V279">
        <f>step3_validation[[#This Row],[AI_ENF2]]</f>
        <v>8</v>
      </c>
      <c r="W279" t="str">
        <f t="shared" si="111"/>
        <v>Support</v>
      </c>
      <c r="X279">
        <f>survey_responses[[#This Row],[Tôi tin rằng Nhà nước, cơ quan thuế có đủ khả năng và công nghệ để phát hiện, xử lý nghiêm các hành vi trốn thuế. - HUMAN-ENF2]]</f>
        <v>7</v>
      </c>
      <c r="Y279" t="str">
        <f t="shared" si="112"/>
        <v>Neutral</v>
      </c>
      <c r="Z279" s="32">
        <f t="shared" si="113"/>
        <v>1</v>
      </c>
      <c r="AA279">
        <f>step3_validation[[#This Row],[AI_FAC1]]</f>
        <v>9</v>
      </c>
      <c r="AB279" t="str">
        <f t="shared" si="114"/>
        <v>Support</v>
      </c>
      <c r="AC279">
        <f>survey_responses[[#This Row],[Các thủ tục khai báo thuế VÀ/HOẶC quy trình làm việc với cơ quan thuế đơn giản, tiện lợi, nhanh chóng hơn so với trước đây. - HUMAN-FAC1]]</f>
        <v>5</v>
      </c>
      <c r="AD279" t="str">
        <f t="shared" si="115"/>
        <v>Neutral</v>
      </c>
      <c r="AE279" s="32">
        <f t="shared" si="116"/>
        <v>4</v>
      </c>
      <c r="AF279">
        <f>step3_validation[[#This Row],[AI_FAC2]]</f>
        <v>8</v>
      </c>
      <c r="AG279" t="str">
        <f t="shared" si="117"/>
        <v>Support</v>
      </c>
      <c r="AH279">
        <f>survey_responses[[#This Row],[So với trước đây, tôi thấy cách tính thuế và các bậc thuế trong phương án mới đơn giản, dễ hiểu và dễ thực hiện hơn. - HUMAN-FAC2]]</f>
        <v>7</v>
      </c>
      <c r="AI279" t="str">
        <f t="shared" si="118"/>
        <v>Neutral</v>
      </c>
      <c r="AJ279" s="32">
        <f t="shared" si="119"/>
        <v>1</v>
      </c>
      <c r="AK279">
        <f>step3_validation[[#This Row],[AI_TRU1]]</f>
        <v>9</v>
      </c>
      <c r="AL279" t="str">
        <f t="shared" si="120"/>
        <v>Support</v>
      </c>
      <c r="AM279">
        <f>survey_responses[[#This Row],[Tôi tin rằng Nhà nước, cơ quan thuế sẽ thực thi chính sách mới một cách khách quan, công tâm và đối xử bình đẳng với mọi người nộp thuế.  - HUMAN-TRU1]]</f>
        <v>6</v>
      </c>
      <c r="AN279" t="str">
        <f t="shared" si="121"/>
        <v>Neutral</v>
      </c>
      <c r="AO279" s="32">
        <f t="shared" si="122"/>
        <v>3</v>
      </c>
      <c r="AP279">
        <f>step3_validation[[#This Row],[AI_TRU2]]</f>
        <v>9</v>
      </c>
      <c r="AQ279" t="str">
        <f t="shared" si="123"/>
        <v>Support</v>
      </c>
      <c r="AR279">
        <f>survey_responses[[#This Row],[Tôi thấy mức thuế tôi phải đóng theo phương án mới là công bằng (người thu nhập như tôi đóng mức này là hợp lý). - HUMAN-TRU2]]</f>
        <v>6</v>
      </c>
      <c r="AS279" t="str">
        <f t="shared" si="124"/>
        <v>Neutral</v>
      </c>
      <c r="AT279" s="32">
        <f t="shared" si="125"/>
        <v>3</v>
      </c>
      <c r="AU279">
        <f>step3_validation[[#This Row],[AI_TRU3]]</f>
        <v>8</v>
      </c>
      <c r="AV279" t="str">
        <f t="shared" si="126"/>
        <v>Support</v>
      </c>
      <c r="AW279">
        <f>survey_responses[[#This Row],[Tôi tin tưởng số tiền thuế tôi đóng sẽ được Nhà nước sử dụng hiệu quả để cải thiện dịch vụ công (y tế, đường xá...). - HUMAN-TRU3]]</f>
        <v>6</v>
      </c>
      <c r="AX279" t="str">
        <f t="shared" si="127"/>
        <v>Neutral</v>
      </c>
      <c r="AY279" s="32">
        <f t="shared" si="128"/>
        <v>2</v>
      </c>
      <c r="AZ279">
        <f>step3_validation[[#This Row],[AI_TRU4]]</f>
        <v>9</v>
      </c>
      <c r="BA279" t="str">
        <f t="shared" si="129"/>
        <v>Support</v>
      </c>
      <c r="BB279">
        <f>survey_responses[[#This Row],[Tôi thấy Nhà nước đã giải thích rõ ràng, minh bạch về lý do và mục tiêu của việc sửa đổi thuế lần này. - HUMAN-TRU4]]</f>
        <v>6</v>
      </c>
      <c r="BC279" t="str">
        <f t="shared" si="130"/>
        <v>Neutral</v>
      </c>
      <c r="BD279" s="32">
        <f t="shared" si="131"/>
        <v>3</v>
      </c>
      <c r="BE279">
        <f>step3_validation[[#This Row],[AI_OUT1]]</f>
        <v>9</v>
      </c>
      <c r="BF279" t="str">
        <f t="shared" si="132"/>
        <v>Support</v>
      </c>
      <c r="BG279">
        <f>survey_responses[[#This Row],[Sau khi xem xét các quyền lợi và nghĩa vụ, bạn có ủng hộ và tuân thủ chính sách mới hiện nay? - HUMAN-OUT1]]</f>
        <v>6</v>
      </c>
      <c r="BH279" t="str">
        <f t="shared" si="133"/>
        <v>Neutral</v>
      </c>
      <c r="BI279" s="32">
        <f t="shared" si="134"/>
        <v>3</v>
      </c>
    </row>
    <row r="280" spans="1:61" x14ac:dyDescent="0.45">
      <c r="A280" s="30">
        <f>step3_validation[[#This Row],[Persona_ID]]</f>
        <v>279</v>
      </c>
      <c r="B280" s="31">
        <f>step3_validation[[#This Row],[Used_Seed]]</f>
        <v>2304</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98.950452357114571</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7</v>
      </c>
      <c r="R280" t="str">
        <f t="shared" si="108"/>
        <v>Neutral</v>
      </c>
      <c r="S280">
        <f>survey_responses[[#This Row],[Tôi tin rằng với các quy định quản lý thuế hiện nay, hành vi gian lận hoặc trốn thuế sẽ dễ dàng bị phát hiện và xử lý nghiêm. - HUMAN-ENF1]]</f>
        <v>6</v>
      </c>
      <c r="T280" t="str">
        <f t="shared" si="109"/>
        <v>Neutral</v>
      </c>
      <c r="U280" s="32">
        <f t="shared" si="110"/>
        <v>1</v>
      </c>
      <c r="V280">
        <f>step3_validation[[#This Row],[AI_ENF2]]</f>
        <v>6</v>
      </c>
      <c r="W280" t="str">
        <f t="shared" si="111"/>
        <v>Neutral</v>
      </c>
      <c r="X280">
        <f>survey_responses[[#This Row],[Tôi tin rằng Nhà nước, cơ quan thuế có đủ khả năng và công nghệ để phát hiện, xử lý nghiêm các hành vi trốn thuế. - HUMAN-ENF2]]</f>
        <v>7</v>
      </c>
      <c r="Y280" t="str">
        <f t="shared" si="112"/>
        <v>Neutral</v>
      </c>
      <c r="Z280" s="32">
        <f t="shared" si="113"/>
        <v>1</v>
      </c>
      <c r="AA280">
        <f>step3_validation[[#This Row],[AI_FAC1]]</f>
        <v>8</v>
      </c>
      <c r="AB280" t="str">
        <f t="shared" si="114"/>
        <v>Support</v>
      </c>
      <c r="AC280">
        <f>survey_responses[[#This Row],[Các thủ tục khai báo thuế VÀ/HOẶC quy trình làm việc với cơ quan thuế đơn giản, tiện lợi, nhanh chóng hơn so với trước đây. - HUMAN-FAC1]]</f>
        <v>5</v>
      </c>
      <c r="AD280" t="str">
        <f t="shared" si="115"/>
        <v>Neutral</v>
      </c>
      <c r="AE280" s="32">
        <f t="shared" si="116"/>
        <v>3</v>
      </c>
      <c r="AF280">
        <f>step3_validation[[#This Row],[AI_FAC2]]</f>
        <v>9</v>
      </c>
      <c r="AG280" t="str">
        <f t="shared" si="117"/>
        <v>Support</v>
      </c>
      <c r="AH280">
        <f>survey_responses[[#This Row],[So với trước đây, tôi thấy cách tính thuế và các bậc thuế trong phương án mới đơn giản, dễ hiểu và dễ thực hiện hơn. - HUMAN-FAC2]]</f>
        <v>8</v>
      </c>
      <c r="AI280" t="str">
        <f t="shared" si="118"/>
        <v>Support</v>
      </c>
      <c r="AJ280" s="32">
        <f t="shared" si="119"/>
        <v>1</v>
      </c>
      <c r="AK280">
        <f>step3_validation[[#This Row],[AI_TRU1]]</f>
        <v>8</v>
      </c>
      <c r="AL280" t="str">
        <f t="shared" si="120"/>
        <v>Support</v>
      </c>
      <c r="AM280">
        <f>survey_responses[[#This Row],[Tôi tin rằng Nhà nước, cơ quan thuế sẽ thực thi chính sách mới một cách khách quan, công tâm và đối xử bình đẳng với mọi người nộp thuế.  - HUMAN-TRU1]]</f>
        <v>6</v>
      </c>
      <c r="AN280" t="str">
        <f t="shared" si="121"/>
        <v>Neutral</v>
      </c>
      <c r="AO280" s="32">
        <f t="shared" si="122"/>
        <v>2</v>
      </c>
      <c r="AP280">
        <f>step3_validation[[#This Row],[AI_TRU2]]</f>
        <v>9</v>
      </c>
      <c r="AQ280" t="str">
        <f t="shared" si="123"/>
        <v>Support</v>
      </c>
      <c r="AR280">
        <f>survey_responses[[#This Row],[Tôi thấy mức thuế tôi phải đóng theo phương án mới là công bằng (người thu nhập như tôi đóng mức này là hợp lý). - HUMAN-TRU2]]</f>
        <v>3</v>
      </c>
      <c r="AS280" t="str">
        <f t="shared" si="124"/>
        <v>Oppose</v>
      </c>
      <c r="AT280" s="32">
        <f t="shared" si="125"/>
        <v>6</v>
      </c>
      <c r="AU280">
        <f>step3_validation[[#This Row],[AI_TRU3]]</f>
        <v>7</v>
      </c>
      <c r="AV280" t="str">
        <f t="shared" si="126"/>
        <v>Neutral</v>
      </c>
      <c r="AW280">
        <f>survey_responses[[#This Row],[Tôi tin tưởng số tiền thuế tôi đóng sẽ được Nhà nước sử dụng hiệu quả để cải thiện dịch vụ công (y tế, đường xá...). - HUMAN-TRU3]]</f>
        <v>6</v>
      </c>
      <c r="AX280" t="str">
        <f t="shared" si="127"/>
        <v>Neutral</v>
      </c>
      <c r="AY280" s="32">
        <f t="shared" si="128"/>
        <v>1</v>
      </c>
      <c r="AZ280">
        <f>step3_validation[[#This Row],[AI_TRU4]]</f>
        <v>6</v>
      </c>
      <c r="BA280" t="str">
        <f t="shared" si="129"/>
        <v>Neutral</v>
      </c>
      <c r="BB280">
        <f>survey_responses[[#This Row],[Tôi thấy Nhà nước đã giải thích rõ ràng, minh bạch về lý do và mục tiêu của việc sửa đổi thuế lần này. - HUMAN-TRU4]]</f>
        <v>8</v>
      </c>
      <c r="BC280" t="str">
        <f t="shared" si="130"/>
        <v>Support</v>
      </c>
      <c r="BD280" s="32">
        <f t="shared" si="131"/>
        <v>2</v>
      </c>
      <c r="BE280">
        <f>step3_validation[[#This Row],[AI_OUT1]]</f>
        <v>9</v>
      </c>
      <c r="BF280" t="str">
        <f t="shared" si="132"/>
        <v>Support</v>
      </c>
      <c r="BG280">
        <f>survey_responses[[#This Row],[Sau khi xem xét các quyền lợi và nghĩa vụ, bạn có ủng hộ và tuân thủ chính sách mới hiện nay? - HUMAN-OUT1]]</f>
        <v>6</v>
      </c>
      <c r="BH280" t="str">
        <f t="shared" si="133"/>
        <v>Neutral</v>
      </c>
      <c r="BI280" s="32">
        <f t="shared" si="134"/>
        <v>3</v>
      </c>
    </row>
    <row r="281" spans="1:61" x14ac:dyDescent="0.45">
      <c r="A281" s="30">
        <f>step3_validation[[#This Row],[Persona_ID]]</f>
        <v>280</v>
      </c>
      <c r="B281" s="31">
        <f>step3_validation[[#This Row],[Used_Seed]]</f>
        <v>2305</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75.008370060338137</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9</v>
      </c>
      <c r="R281" t="str">
        <f t="shared" si="108"/>
        <v>Support</v>
      </c>
      <c r="S281">
        <f>survey_responses[[#This Row],[Tôi tin rằng với các quy định quản lý thuế hiện nay, hành vi gian lận hoặc trốn thuế sẽ dễ dàng bị phát hiện và xử lý nghiêm. - HUMAN-ENF1]]</f>
        <v>4</v>
      </c>
      <c r="T281" t="str">
        <f t="shared" si="109"/>
        <v>Oppose</v>
      </c>
      <c r="U281" s="32">
        <f t="shared" si="110"/>
        <v>5</v>
      </c>
      <c r="V281">
        <f>step3_validation[[#This Row],[AI_ENF2]]</f>
        <v>8</v>
      </c>
      <c r="W281" t="str">
        <f t="shared" si="111"/>
        <v>Support</v>
      </c>
      <c r="X281">
        <f>survey_responses[[#This Row],[Tôi tin rằng Nhà nước, cơ quan thuế có đủ khả năng và công nghệ để phát hiện, xử lý nghiêm các hành vi trốn thuế. - HUMAN-ENF2]]</f>
        <v>4</v>
      </c>
      <c r="Y281" t="str">
        <f t="shared" si="112"/>
        <v>Oppose</v>
      </c>
      <c r="Z281" s="32">
        <f t="shared" si="113"/>
        <v>4</v>
      </c>
      <c r="AA281">
        <f>step3_validation[[#This Row],[AI_FAC1]]</f>
        <v>7</v>
      </c>
      <c r="AB281" t="str">
        <f t="shared" si="114"/>
        <v>Neutral</v>
      </c>
      <c r="AC281">
        <f>survey_responses[[#This Row],[Các thủ tục khai báo thuế VÀ/HOẶC quy trình làm việc với cơ quan thuế đơn giản, tiện lợi, nhanh chóng hơn so với trước đây. - HUMAN-FAC1]]</f>
        <v>1</v>
      </c>
      <c r="AD281" t="str">
        <f t="shared" si="115"/>
        <v>Oppose</v>
      </c>
      <c r="AE281" s="32">
        <f t="shared" si="116"/>
        <v>6</v>
      </c>
      <c r="AF281">
        <f>step3_validation[[#This Row],[AI_FAC2]]</f>
        <v>8</v>
      </c>
      <c r="AG281" t="str">
        <f t="shared" si="117"/>
        <v>Support</v>
      </c>
      <c r="AH281">
        <f>survey_responses[[#This Row],[So với trước đây, tôi thấy cách tính thuế và các bậc thuế trong phương án mới đơn giản, dễ hiểu và dễ thực hiện hơn. - HUMAN-FAC2]]</f>
        <v>6</v>
      </c>
      <c r="AI281" t="str">
        <f t="shared" si="118"/>
        <v>Neutral</v>
      </c>
      <c r="AJ281" s="32">
        <f t="shared" si="119"/>
        <v>2</v>
      </c>
      <c r="AK281">
        <f>step3_validation[[#This Row],[AI_TRU1]]</f>
        <v>7</v>
      </c>
      <c r="AL281" t="str">
        <f t="shared" si="120"/>
        <v>Neutral</v>
      </c>
      <c r="AM281">
        <f>survey_responses[[#This Row],[Tôi tin rằng Nhà nước, cơ quan thuế sẽ thực thi chính sách mới một cách khách quan, công tâm và đối xử bình đẳng với mọi người nộp thuế.  - HUMAN-TRU1]]</f>
        <v>3</v>
      </c>
      <c r="AN281" t="str">
        <f t="shared" si="121"/>
        <v>Oppose</v>
      </c>
      <c r="AO281" s="32">
        <f t="shared" si="122"/>
        <v>4</v>
      </c>
      <c r="AP281">
        <f>step3_validation[[#This Row],[AI_TRU2]]</f>
        <v>9</v>
      </c>
      <c r="AQ281" t="str">
        <f t="shared" si="123"/>
        <v>Support</v>
      </c>
      <c r="AR281">
        <f>survey_responses[[#This Row],[Tôi thấy mức thuế tôi phải đóng theo phương án mới là công bằng (người thu nhập như tôi đóng mức này là hợp lý). - HUMAN-TRU2]]</f>
        <v>2</v>
      </c>
      <c r="AS281" t="str">
        <f t="shared" si="124"/>
        <v>Oppose</v>
      </c>
      <c r="AT281" s="32">
        <f t="shared" si="125"/>
        <v>7</v>
      </c>
      <c r="AU281">
        <f>step3_validation[[#This Row],[AI_TRU3]]</f>
        <v>8</v>
      </c>
      <c r="AV281" t="str">
        <f t="shared" si="126"/>
        <v>Support</v>
      </c>
      <c r="AW281">
        <f>survey_responses[[#This Row],[Tôi tin tưởng số tiền thuế tôi đóng sẽ được Nhà nước sử dụng hiệu quả để cải thiện dịch vụ công (y tế, đường xá...). - HUMAN-TRU3]]</f>
        <v>1</v>
      </c>
      <c r="AX281" t="str">
        <f t="shared" si="127"/>
        <v>Oppose</v>
      </c>
      <c r="AY281" s="32">
        <f t="shared" si="128"/>
        <v>7</v>
      </c>
      <c r="AZ281">
        <f>step3_validation[[#This Row],[AI_TRU4]]</f>
        <v>7</v>
      </c>
      <c r="BA281" t="str">
        <f t="shared" si="129"/>
        <v>Neutral</v>
      </c>
      <c r="BB281">
        <f>survey_responses[[#This Row],[Tôi thấy Nhà nước đã giải thích rõ ràng, minh bạch về lý do và mục tiêu của việc sửa đổi thuế lần này. - HUMAN-TRU4]]</f>
        <v>5</v>
      </c>
      <c r="BC281" t="str">
        <f t="shared" si="130"/>
        <v>Neutral</v>
      </c>
      <c r="BD281" s="32">
        <f t="shared" si="131"/>
        <v>2</v>
      </c>
      <c r="BE281">
        <f>step3_validation[[#This Row],[AI_OUT1]]</f>
        <v>8</v>
      </c>
      <c r="BF281" t="str">
        <f t="shared" si="132"/>
        <v>Support</v>
      </c>
      <c r="BG281">
        <f>survey_responses[[#This Row],[Sau khi xem xét các quyền lợi và nghĩa vụ, bạn có ủng hộ và tuân thủ chính sách mới hiện nay? - HUMAN-OUT1]]</f>
        <v>4</v>
      </c>
      <c r="BH281" t="str">
        <f t="shared" si="133"/>
        <v>Oppose</v>
      </c>
      <c r="BI281" s="32">
        <f t="shared" si="134"/>
        <v>4</v>
      </c>
    </row>
    <row r="282" spans="1:61" x14ac:dyDescent="0.45">
      <c r="A282" s="30">
        <f>step3_validation[[#This Row],[Persona_ID]]</f>
        <v>281</v>
      </c>
      <c r="B282" s="31">
        <f>step3_validation[[#This Row],[Used_Seed]]</f>
        <v>2306</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99.395966194984965</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7</v>
      </c>
      <c r="R282" t="str">
        <f t="shared" si="108"/>
        <v>Neutral</v>
      </c>
      <c r="S282">
        <f>survey_responses[[#This Row],[Tôi tin rằng với các quy định quản lý thuế hiện nay, hành vi gian lận hoặc trốn thuế sẽ dễ dàng bị phát hiện và xử lý nghiêm. - HUMAN-ENF1]]</f>
        <v>6</v>
      </c>
      <c r="T282" t="str">
        <f t="shared" si="109"/>
        <v>Neutral</v>
      </c>
      <c r="U282" s="32">
        <f t="shared" si="110"/>
        <v>1</v>
      </c>
      <c r="V282">
        <f>step3_validation[[#This Row],[AI_ENF2]]</f>
        <v>6</v>
      </c>
      <c r="W282" t="str">
        <f t="shared" si="111"/>
        <v>Neutral</v>
      </c>
      <c r="X282">
        <f>survey_responses[[#This Row],[Tôi tin rằng Nhà nước, cơ quan thuế có đủ khả năng và công nghệ để phát hiện, xử lý nghiêm các hành vi trốn thuế. - HUMAN-ENF2]]</f>
        <v>7</v>
      </c>
      <c r="Y282" t="str">
        <f t="shared" si="112"/>
        <v>Neutral</v>
      </c>
      <c r="Z282" s="32">
        <f t="shared" si="113"/>
        <v>1</v>
      </c>
      <c r="AA282">
        <f>step3_validation[[#This Row],[AI_FAC1]]</f>
        <v>8</v>
      </c>
      <c r="AB282" t="str">
        <f t="shared" si="114"/>
        <v>Support</v>
      </c>
      <c r="AC282">
        <f>survey_responses[[#This Row],[Các thủ tục khai báo thuế VÀ/HOẶC quy trình làm việc với cơ quan thuế đơn giản, tiện lợi, nhanh chóng hơn so với trước đây. - HUMAN-FAC1]]</f>
        <v>4</v>
      </c>
      <c r="AD282" t="str">
        <f t="shared" si="115"/>
        <v>Oppose</v>
      </c>
      <c r="AE282" s="32">
        <f t="shared" si="116"/>
        <v>4</v>
      </c>
      <c r="AF282">
        <f>step3_validation[[#This Row],[AI_FAC2]]</f>
        <v>9</v>
      </c>
      <c r="AG282" t="str">
        <f t="shared" si="117"/>
        <v>Support</v>
      </c>
      <c r="AH282">
        <f>survey_responses[[#This Row],[So với trước đây, tôi thấy cách tính thuế và các bậc thuế trong phương án mới đơn giản, dễ hiểu và dễ thực hiện hơn. - HUMAN-FAC2]]</f>
        <v>8</v>
      </c>
      <c r="AI282" t="str">
        <f t="shared" si="118"/>
        <v>Support</v>
      </c>
      <c r="AJ282" s="32">
        <f t="shared" si="119"/>
        <v>1</v>
      </c>
      <c r="AK282">
        <f>step3_validation[[#This Row],[AI_TRU1]]</f>
        <v>5</v>
      </c>
      <c r="AL282" t="str">
        <f t="shared" si="120"/>
        <v>Neutral</v>
      </c>
      <c r="AM282">
        <f>survey_responses[[#This Row],[Tôi tin rằng Nhà nước, cơ quan thuế sẽ thực thi chính sách mới một cách khách quan, công tâm và đối xử bình đẳng với mọi người nộp thuế.  - HUMAN-TRU1]]</f>
        <v>6</v>
      </c>
      <c r="AN282" t="str">
        <f t="shared" si="121"/>
        <v>Neutral</v>
      </c>
      <c r="AO282" s="32">
        <f t="shared" si="122"/>
        <v>1</v>
      </c>
      <c r="AP282">
        <f>step3_validation[[#This Row],[AI_TRU2]]</f>
        <v>8</v>
      </c>
      <c r="AQ282" t="str">
        <f t="shared" si="123"/>
        <v>Support</v>
      </c>
      <c r="AR282">
        <f>survey_responses[[#This Row],[Tôi thấy mức thuế tôi phải đóng theo phương án mới là công bằng (người thu nhập như tôi đóng mức này là hợp lý). - HUMAN-TRU2]]</f>
        <v>6</v>
      </c>
      <c r="AS282" t="str">
        <f t="shared" si="124"/>
        <v>Neutral</v>
      </c>
      <c r="AT282" s="32">
        <f t="shared" si="125"/>
        <v>2</v>
      </c>
      <c r="AU282">
        <f>step3_validation[[#This Row],[AI_TRU3]]</f>
        <v>6</v>
      </c>
      <c r="AV282" t="str">
        <f t="shared" si="126"/>
        <v>Neutral</v>
      </c>
      <c r="AW282">
        <f>survey_responses[[#This Row],[Tôi tin tưởng số tiền thuế tôi đóng sẽ được Nhà nước sử dụng hiệu quả để cải thiện dịch vụ công (y tế, đường xá...). - HUMAN-TRU3]]</f>
        <v>5</v>
      </c>
      <c r="AX282" t="str">
        <f t="shared" si="127"/>
        <v>Neutral</v>
      </c>
      <c r="AY282" s="32">
        <f t="shared" si="128"/>
        <v>1</v>
      </c>
      <c r="AZ282">
        <f>step3_validation[[#This Row],[AI_TRU4]]</f>
        <v>7</v>
      </c>
      <c r="BA282" t="str">
        <f t="shared" si="129"/>
        <v>Neutral</v>
      </c>
      <c r="BB282">
        <f>survey_responses[[#This Row],[Tôi thấy Nhà nước đã giải thích rõ ràng, minh bạch về lý do và mục tiêu của việc sửa đổi thuế lần này. - HUMAN-TRU4]]</f>
        <v>7</v>
      </c>
      <c r="BC282" t="str">
        <f t="shared" si="130"/>
        <v>Neutral</v>
      </c>
      <c r="BD282" s="32">
        <f t="shared" si="131"/>
        <v>0</v>
      </c>
      <c r="BE282">
        <f>step3_validation[[#This Row],[AI_OUT1]]</f>
        <v>8</v>
      </c>
      <c r="BF282" t="str">
        <f t="shared" si="132"/>
        <v>Support</v>
      </c>
      <c r="BG282">
        <f>survey_responses[[#This Row],[Sau khi xem xét các quyền lợi và nghĩa vụ, bạn có ủng hộ và tuân thủ chính sách mới hiện nay? - HUMAN-OUT1]]</f>
        <v>6</v>
      </c>
      <c r="BH282" t="str">
        <f t="shared" si="133"/>
        <v>Neutral</v>
      </c>
      <c r="BI282" s="32">
        <f t="shared" si="134"/>
        <v>2</v>
      </c>
    </row>
    <row r="283" spans="1:61" x14ac:dyDescent="0.45">
      <c r="A283" s="30">
        <f>step3_validation[[#This Row],[Persona_ID]]</f>
        <v>282</v>
      </c>
      <c r="B283" s="31">
        <f>step3_validation[[#This Row],[Used_Seed]]</f>
        <v>2307</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149.78934462067241</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7</v>
      </c>
      <c r="R283" t="str">
        <f t="shared" si="108"/>
        <v>Neutral</v>
      </c>
      <c r="S283">
        <f>survey_responses[[#This Row],[Tôi tin rằng với các quy định quản lý thuế hiện nay, hành vi gian lận hoặc trốn thuế sẽ dễ dàng bị phát hiện và xử lý nghiêm. - HUMAN-ENF1]]</f>
        <v>8</v>
      </c>
      <c r="T283" t="str">
        <f t="shared" si="109"/>
        <v>Support</v>
      </c>
      <c r="U283" s="32">
        <f t="shared" si="110"/>
        <v>1</v>
      </c>
      <c r="V283">
        <f>step3_validation[[#This Row],[AI_ENF2]]</f>
        <v>8</v>
      </c>
      <c r="W283" t="str">
        <f t="shared" si="111"/>
        <v>Support</v>
      </c>
      <c r="X283">
        <f>survey_responses[[#This Row],[Tôi tin rằng Nhà nước, cơ quan thuế có đủ khả năng và công nghệ để phát hiện, xử lý nghiêm các hành vi trốn thuế. - HUMAN-ENF2]]</f>
        <v>8</v>
      </c>
      <c r="Y283" t="str">
        <f t="shared" si="112"/>
        <v>Support</v>
      </c>
      <c r="Z283" s="32">
        <f t="shared" si="113"/>
        <v>0</v>
      </c>
      <c r="AA283">
        <f>step3_validation[[#This Row],[AI_FAC1]]</f>
        <v>9</v>
      </c>
      <c r="AB283" t="str">
        <f t="shared" si="114"/>
        <v>Support</v>
      </c>
      <c r="AC283">
        <f>survey_responses[[#This Row],[Các thủ tục khai báo thuế VÀ/HOẶC quy trình làm việc với cơ quan thuế đơn giản, tiện lợi, nhanh chóng hơn so với trước đây. - HUMAN-FAC1]]</f>
        <v>9</v>
      </c>
      <c r="AD283" t="str">
        <f t="shared" si="115"/>
        <v>Support</v>
      </c>
      <c r="AE283" s="32">
        <f t="shared" si="116"/>
        <v>0</v>
      </c>
      <c r="AF283">
        <f>step3_validation[[#This Row],[AI_FAC2]]</f>
        <v>10</v>
      </c>
      <c r="AG283" t="str">
        <f t="shared" si="117"/>
        <v>Support</v>
      </c>
      <c r="AH283">
        <f>survey_responses[[#This Row],[So với trước đây, tôi thấy cách tính thuế và các bậc thuế trong phương án mới đơn giản, dễ hiểu và dễ thực hiện hơn. - HUMAN-FAC2]]</f>
        <v>9</v>
      </c>
      <c r="AI283" t="str">
        <f t="shared" si="118"/>
        <v>Support</v>
      </c>
      <c r="AJ283" s="32">
        <f t="shared" si="119"/>
        <v>1</v>
      </c>
      <c r="AK283">
        <f>step3_validation[[#This Row],[AI_TRU1]]</f>
        <v>7</v>
      </c>
      <c r="AL283" t="str">
        <f t="shared" si="120"/>
        <v>Neutral</v>
      </c>
      <c r="AM283">
        <f>survey_responses[[#This Row],[Tôi tin rằng Nhà nước, cơ quan thuế sẽ thực thi chính sách mới một cách khách quan, công tâm và đối xử bình đẳng với mọi người nộp thuế.  - HUMAN-TRU1]]</f>
        <v>7</v>
      </c>
      <c r="AN283" t="str">
        <f t="shared" si="121"/>
        <v>Neutral</v>
      </c>
      <c r="AO283" s="32">
        <f t="shared" si="122"/>
        <v>0</v>
      </c>
      <c r="AP283">
        <f>step3_validation[[#This Row],[AI_TRU2]]</f>
        <v>9</v>
      </c>
      <c r="AQ283" t="str">
        <f t="shared" si="123"/>
        <v>Support</v>
      </c>
      <c r="AR283">
        <f>survey_responses[[#This Row],[Tôi thấy mức thuế tôi phải đóng theo phương án mới là công bằng (người thu nhập như tôi đóng mức này là hợp lý). - HUMAN-TRU2]]</f>
        <v>8</v>
      </c>
      <c r="AS283" t="str">
        <f t="shared" si="124"/>
        <v>Support</v>
      </c>
      <c r="AT283" s="32">
        <f t="shared" si="125"/>
        <v>1</v>
      </c>
      <c r="AU283">
        <f>step3_validation[[#This Row],[AI_TRU3]]</f>
        <v>7</v>
      </c>
      <c r="AV283" t="str">
        <f t="shared" si="126"/>
        <v>Neutral</v>
      </c>
      <c r="AW283">
        <f>survey_responses[[#This Row],[Tôi tin tưởng số tiền thuế tôi đóng sẽ được Nhà nước sử dụng hiệu quả để cải thiện dịch vụ công (y tế, đường xá...). - HUMAN-TRU3]]</f>
        <v>8</v>
      </c>
      <c r="AX283" t="str">
        <f t="shared" si="127"/>
        <v>Support</v>
      </c>
      <c r="AY283" s="32">
        <f t="shared" si="128"/>
        <v>1</v>
      </c>
      <c r="AZ283">
        <f>step3_validation[[#This Row],[AI_TRU4]]</f>
        <v>8</v>
      </c>
      <c r="BA283" t="str">
        <f t="shared" si="129"/>
        <v>Support</v>
      </c>
      <c r="BB283">
        <f>survey_responses[[#This Row],[Tôi thấy Nhà nước đã giải thích rõ ràng, minh bạch về lý do và mục tiêu của việc sửa đổi thuế lần này. - HUMAN-TRU4]]</f>
        <v>8</v>
      </c>
      <c r="BC283" t="str">
        <f t="shared" si="130"/>
        <v>Support</v>
      </c>
      <c r="BD283" s="32">
        <f t="shared" si="131"/>
        <v>0</v>
      </c>
      <c r="BE283">
        <f>step3_validation[[#This Row],[AI_OUT1]]</f>
        <v>9</v>
      </c>
      <c r="BF283" t="str">
        <f t="shared" si="132"/>
        <v>Support</v>
      </c>
      <c r="BG283">
        <f>survey_responses[[#This Row],[Sau khi xem xét các quyền lợi và nghĩa vụ, bạn có ủng hộ và tuân thủ chính sách mới hiện nay? - HUMAN-OUT1]]</f>
        <v>7</v>
      </c>
      <c r="BH283" t="str">
        <f t="shared" si="133"/>
        <v>Neutral</v>
      </c>
      <c r="BI283" s="32">
        <f t="shared" si="134"/>
        <v>2</v>
      </c>
    </row>
    <row r="284" spans="1:61" x14ac:dyDescent="0.45">
      <c r="A284" s="30">
        <f>step3_validation[[#This Row],[Persona_ID]]</f>
        <v>283</v>
      </c>
      <c r="B284" s="31">
        <f>step3_validation[[#This Row],[Used_Seed]]</f>
        <v>2308</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65.777641182837641</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6</v>
      </c>
      <c r="R284" t="str">
        <f t="shared" si="108"/>
        <v>Neutral</v>
      </c>
      <c r="S284">
        <f>survey_responses[[#This Row],[Tôi tin rằng với các quy định quản lý thuế hiện nay, hành vi gian lận hoặc trốn thuế sẽ dễ dàng bị phát hiện và xử lý nghiêm. - HUMAN-ENF1]]</f>
        <v>5</v>
      </c>
      <c r="T284" t="str">
        <f t="shared" si="109"/>
        <v>Neutral</v>
      </c>
      <c r="U284" s="32">
        <f t="shared" si="110"/>
        <v>1</v>
      </c>
      <c r="V284">
        <f>step3_validation[[#This Row],[AI_ENF2]]</f>
        <v>6</v>
      </c>
      <c r="W284" t="str">
        <f t="shared" si="111"/>
        <v>Neutral</v>
      </c>
      <c r="X284">
        <f>survey_responses[[#This Row],[Tôi tin rằng Nhà nước, cơ quan thuế có đủ khả năng và công nghệ để phát hiện, xử lý nghiêm các hành vi trốn thuế. - HUMAN-ENF2]]</f>
        <v>5</v>
      </c>
      <c r="Y284" t="str">
        <f t="shared" si="112"/>
        <v>Neutral</v>
      </c>
      <c r="Z284" s="32">
        <f t="shared" si="113"/>
        <v>1</v>
      </c>
      <c r="AA284">
        <f>step3_validation[[#This Row],[AI_FAC1]]</f>
        <v>8</v>
      </c>
      <c r="AB284" t="str">
        <f t="shared" si="114"/>
        <v>Support</v>
      </c>
      <c r="AC284">
        <f>survey_responses[[#This Row],[Các thủ tục khai báo thuế VÀ/HOẶC quy trình làm việc với cơ quan thuế đơn giản, tiện lợi, nhanh chóng hơn so với trước đây. - HUMAN-FAC1]]</f>
        <v>2</v>
      </c>
      <c r="AD284" t="str">
        <f t="shared" si="115"/>
        <v>Oppose</v>
      </c>
      <c r="AE284" s="32">
        <f t="shared" si="116"/>
        <v>6</v>
      </c>
      <c r="AF284">
        <f>step3_validation[[#This Row],[AI_FAC2]]</f>
        <v>9</v>
      </c>
      <c r="AG284" t="str">
        <f t="shared" si="117"/>
        <v>Support</v>
      </c>
      <c r="AH284">
        <f>survey_responses[[#This Row],[So với trước đây, tôi thấy cách tính thuế và các bậc thuế trong phương án mới đơn giản, dễ hiểu và dễ thực hiện hơn. - HUMAN-FAC2]]</f>
        <v>6</v>
      </c>
      <c r="AI284" t="str">
        <f t="shared" si="118"/>
        <v>Neutral</v>
      </c>
      <c r="AJ284" s="32">
        <f t="shared" si="119"/>
        <v>3</v>
      </c>
      <c r="AK284">
        <f>step3_validation[[#This Row],[AI_TRU1]]</f>
        <v>8</v>
      </c>
      <c r="AL284" t="str">
        <f t="shared" si="120"/>
        <v>Support</v>
      </c>
      <c r="AM284">
        <f>survey_responses[[#This Row],[Tôi tin rằng Nhà nước, cơ quan thuế sẽ thực thi chính sách mới một cách khách quan, công tâm và đối xử bình đẳng với mọi người nộp thuế.  - HUMAN-TRU1]]</f>
        <v>5</v>
      </c>
      <c r="AN284" t="str">
        <f t="shared" si="121"/>
        <v>Neutral</v>
      </c>
      <c r="AO284" s="32">
        <f t="shared" si="122"/>
        <v>3</v>
      </c>
      <c r="AP284">
        <f>step3_validation[[#This Row],[AI_TRU2]]</f>
        <v>9</v>
      </c>
      <c r="AQ284" t="str">
        <f t="shared" si="123"/>
        <v>Support</v>
      </c>
      <c r="AR284">
        <f>survey_responses[[#This Row],[Tôi thấy mức thuế tôi phải đóng theo phương án mới là công bằng (người thu nhập như tôi đóng mức này là hợp lý). - HUMAN-TRU2]]</f>
        <v>4</v>
      </c>
      <c r="AS284" t="str">
        <f t="shared" si="124"/>
        <v>Oppose</v>
      </c>
      <c r="AT284" s="32">
        <f t="shared" si="125"/>
        <v>5</v>
      </c>
      <c r="AU284">
        <f>step3_validation[[#This Row],[AI_TRU3]]</f>
        <v>8</v>
      </c>
      <c r="AV284" t="str">
        <f t="shared" si="126"/>
        <v>Support</v>
      </c>
      <c r="AW284">
        <f>survey_responses[[#This Row],[Tôi tin tưởng số tiền thuế tôi đóng sẽ được Nhà nước sử dụng hiệu quả để cải thiện dịch vụ công (y tế, đường xá...). - HUMAN-TRU3]]</f>
        <v>5</v>
      </c>
      <c r="AX284" t="str">
        <f t="shared" si="127"/>
        <v>Neutral</v>
      </c>
      <c r="AY284" s="32">
        <f t="shared" si="128"/>
        <v>3</v>
      </c>
      <c r="AZ284">
        <f>step3_validation[[#This Row],[AI_TRU4]]</f>
        <v>9</v>
      </c>
      <c r="BA284" t="str">
        <f t="shared" si="129"/>
        <v>Support</v>
      </c>
      <c r="BB284">
        <f>survey_responses[[#This Row],[Tôi thấy Nhà nước đã giải thích rõ ràng, minh bạch về lý do và mục tiêu của việc sửa đổi thuế lần này. - HUMAN-TRU4]]</f>
        <v>5</v>
      </c>
      <c r="BC284" t="str">
        <f t="shared" si="130"/>
        <v>Neutral</v>
      </c>
      <c r="BD284" s="32">
        <f t="shared" si="131"/>
        <v>4</v>
      </c>
      <c r="BE284">
        <f>step3_validation[[#This Row],[AI_OUT1]]</f>
        <v>8</v>
      </c>
      <c r="BF284" t="str">
        <f t="shared" si="132"/>
        <v>Support</v>
      </c>
      <c r="BG284">
        <f>survey_responses[[#This Row],[Sau khi xem xét các quyền lợi và nghĩa vụ, bạn có ủng hộ và tuân thủ chính sách mới hiện nay? - HUMAN-OUT1]]</f>
        <v>4</v>
      </c>
      <c r="BH284" t="str">
        <f t="shared" si="133"/>
        <v>Oppose</v>
      </c>
      <c r="BI284" s="32">
        <f t="shared" si="134"/>
        <v>4</v>
      </c>
    </row>
    <row r="285" spans="1:61" x14ac:dyDescent="0.45">
      <c r="A285" s="30">
        <f>step3_validation[[#This Row],[Persona_ID]]</f>
        <v>284</v>
      </c>
      <c r="B285" s="31">
        <f>step3_validation[[#This Row],[Used_Seed]]</f>
        <v>2309</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64.388050848229852</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6</v>
      </c>
      <c r="R285" t="str">
        <f t="shared" si="108"/>
        <v>Neutral</v>
      </c>
      <c r="S285">
        <f>survey_responses[[#This Row],[Tôi tin rằng với các quy định quản lý thuế hiện nay, hành vi gian lận hoặc trốn thuế sẽ dễ dàng bị phát hiện và xử lý nghiêm. - HUMAN-ENF1]]</f>
        <v>7</v>
      </c>
      <c r="T285" t="str">
        <f t="shared" si="109"/>
        <v>Neutral</v>
      </c>
      <c r="U285" s="32">
        <f t="shared" si="110"/>
        <v>1</v>
      </c>
      <c r="V285">
        <f>step3_validation[[#This Row],[AI_ENF2]]</f>
        <v>6</v>
      </c>
      <c r="W285" t="str">
        <f t="shared" si="111"/>
        <v>Neutral</v>
      </c>
      <c r="X285">
        <f>survey_responses[[#This Row],[Tôi tin rằng Nhà nước, cơ quan thuế có đủ khả năng và công nghệ để phát hiện, xử lý nghiêm các hành vi trốn thuế. - HUMAN-ENF2]]</f>
        <v>7</v>
      </c>
      <c r="Y285" t="str">
        <f t="shared" si="112"/>
        <v>Neutral</v>
      </c>
      <c r="Z285" s="32">
        <f t="shared" si="113"/>
        <v>1</v>
      </c>
      <c r="AA285">
        <f>step3_validation[[#This Row],[AI_FAC1]]</f>
        <v>7</v>
      </c>
      <c r="AB285" t="str">
        <f t="shared" si="114"/>
        <v>Neutral</v>
      </c>
      <c r="AC285">
        <f>survey_responses[[#This Row],[Các thủ tục khai báo thuế VÀ/HOẶC quy trình làm việc với cơ quan thuế đơn giản, tiện lợi, nhanh chóng hơn so với trước đây. - HUMAN-FAC1]]</f>
        <v>5</v>
      </c>
      <c r="AD285" t="str">
        <f t="shared" si="115"/>
        <v>Neutral</v>
      </c>
      <c r="AE285" s="32">
        <f t="shared" si="116"/>
        <v>2</v>
      </c>
      <c r="AF285">
        <f>step3_validation[[#This Row],[AI_FAC2]]</f>
        <v>9</v>
      </c>
      <c r="AG285" t="str">
        <f t="shared" si="117"/>
        <v>Support</v>
      </c>
      <c r="AH285">
        <f>survey_responses[[#This Row],[So với trước đây, tôi thấy cách tính thuế và các bậc thuế trong phương án mới đơn giản, dễ hiểu và dễ thực hiện hơn. - HUMAN-FAC2]]</f>
        <v>7</v>
      </c>
      <c r="AI285" t="str">
        <f t="shared" si="118"/>
        <v>Neutral</v>
      </c>
      <c r="AJ285" s="32">
        <f t="shared" si="119"/>
        <v>2</v>
      </c>
      <c r="AK285">
        <f>step3_validation[[#This Row],[AI_TRU1]]</f>
        <v>8</v>
      </c>
      <c r="AL285" t="str">
        <f t="shared" si="120"/>
        <v>Support</v>
      </c>
      <c r="AM285">
        <f>survey_responses[[#This Row],[Tôi tin rằng Nhà nước, cơ quan thuế sẽ thực thi chính sách mới một cách khách quan, công tâm và đối xử bình đẳng với mọi người nộp thuế.  - HUMAN-TRU1]]</f>
        <v>5</v>
      </c>
      <c r="AN285" t="str">
        <f t="shared" si="121"/>
        <v>Neutral</v>
      </c>
      <c r="AO285" s="32">
        <f t="shared" si="122"/>
        <v>3</v>
      </c>
      <c r="AP285">
        <f>step3_validation[[#This Row],[AI_TRU2]]</f>
        <v>9</v>
      </c>
      <c r="AQ285" t="str">
        <f t="shared" si="123"/>
        <v>Support</v>
      </c>
      <c r="AR285">
        <f>survey_responses[[#This Row],[Tôi thấy mức thuế tôi phải đóng theo phương án mới là công bằng (người thu nhập như tôi đóng mức này là hợp lý). - HUMAN-TRU2]]</f>
        <v>6</v>
      </c>
      <c r="AS285" t="str">
        <f t="shared" si="124"/>
        <v>Neutral</v>
      </c>
      <c r="AT285" s="32">
        <f t="shared" si="125"/>
        <v>3</v>
      </c>
      <c r="AU285">
        <f>step3_validation[[#This Row],[AI_TRU3]]</f>
        <v>8</v>
      </c>
      <c r="AV285" t="str">
        <f t="shared" si="126"/>
        <v>Support</v>
      </c>
      <c r="AW285">
        <f>survey_responses[[#This Row],[Tôi tin tưởng số tiền thuế tôi đóng sẽ được Nhà nước sử dụng hiệu quả để cải thiện dịch vụ công (y tế, đường xá...). - HUMAN-TRU3]]</f>
        <v>5</v>
      </c>
      <c r="AX285" t="str">
        <f t="shared" si="127"/>
        <v>Neutral</v>
      </c>
      <c r="AY285" s="32">
        <f t="shared" si="128"/>
        <v>3</v>
      </c>
      <c r="AZ285">
        <f>step3_validation[[#This Row],[AI_TRU4]]</f>
        <v>9</v>
      </c>
      <c r="BA285" t="str">
        <f t="shared" si="129"/>
        <v>Support</v>
      </c>
      <c r="BB285">
        <f>survey_responses[[#This Row],[Tôi thấy Nhà nước đã giải thích rõ ràng, minh bạch về lý do và mục tiêu của việc sửa đổi thuế lần này. - HUMAN-TRU4]]</f>
        <v>7</v>
      </c>
      <c r="BC285" t="str">
        <f t="shared" si="130"/>
        <v>Neutral</v>
      </c>
      <c r="BD285" s="32">
        <f t="shared" si="131"/>
        <v>2</v>
      </c>
      <c r="BE285">
        <f>step3_validation[[#This Row],[AI_OUT1]]</f>
        <v>9</v>
      </c>
      <c r="BF285" t="str">
        <f t="shared" si="132"/>
        <v>Support</v>
      </c>
      <c r="BG285">
        <f>survey_responses[[#This Row],[Sau khi xem xét các quyền lợi và nghĩa vụ, bạn có ủng hộ và tuân thủ chính sách mới hiện nay? - HUMAN-OUT1]]</f>
        <v>6</v>
      </c>
      <c r="BH285" t="str">
        <f t="shared" si="133"/>
        <v>Neutral</v>
      </c>
      <c r="BI285" s="32">
        <f t="shared" si="134"/>
        <v>3</v>
      </c>
    </row>
    <row r="286" spans="1:61" x14ac:dyDescent="0.45">
      <c r="A286" s="30">
        <f>step3_validation[[#This Row],[Persona_ID]]</f>
        <v>285</v>
      </c>
      <c r="B286" s="31">
        <f>step3_validation[[#This Row],[Used_Seed]]</f>
        <v>2310</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94.572700351429006</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5</v>
      </c>
      <c r="R286" t="str">
        <f t="shared" si="108"/>
        <v>Neutral</v>
      </c>
      <c r="S286">
        <f>survey_responses[[#This Row],[Tôi tin rằng với các quy định quản lý thuế hiện nay, hành vi gian lận hoặc trốn thuế sẽ dễ dàng bị phát hiện và xử lý nghiêm. - HUMAN-ENF1]]</f>
        <v>7</v>
      </c>
      <c r="T286" t="str">
        <f t="shared" si="109"/>
        <v>Neutral</v>
      </c>
      <c r="U286" s="32">
        <f t="shared" si="110"/>
        <v>2</v>
      </c>
      <c r="V286">
        <f>step3_validation[[#This Row],[AI_ENF2]]</f>
        <v>6</v>
      </c>
      <c r="W286" t="str">
        <f t="shared" si="111"/>
        <v>Neutral</v>
      </c>
      <c r="X286">
        <f>survey_responses[[#This Row],[Tôi tin rằng Nhà nước, cơ quan thuế có đủ khả năng và công nghệ để phát hiện, xử lý nghiêm các hành vi trốn thuế. - HUMAN-ENF2]]</f>
        <v>7</v>
      </c>
      <c r="Y286" t="str">
        <f t="shared" si="112"/>
        <v>Neutral</v>
      </c>
      <c r="Z286" s="32">
        <f t="shared" si="113"/>
        <v>1</v>
      </c>
      <c r="AA286">
        <f>step3_validation[[#This Row],[AI_FAC1]]</f>
        <v>9</v>
      </c>
      <c r="AB286" t="str">
        <f t="shared" si="114"/>
        <v>Support</v>
      </c>
      <c r="AC286">
        <f>survey_responses[[#This Row],[Các thủ tục khai báo thuế VÀ/HOẶC quy trình làm việc với cơ quan thuế đơn giản, tiện lợi, nhanh chóng hơn so với trước đây. - HUMAN-FAC1]]</f>
        <v>5</v>
      </c>
      <c r="AD286" t="str">
        <f t="shared" si="115"/>
        <v>Neutral</v>
      </c>
      <c r="AE286" s="32">
        <f t="shared" si="116"/>
        <v>4</v>
      </c>
      <c r="AF286">
        <f>step3_validation[[#This Row],[AI_FAC2]]</f>
        <v>7</v>
      </c>
      <c r="AG286" t="str">
        <f t="shared" si="117"/>
        <v>Neutral</v>
      </c>
      <c r="AH286">
        <f>survey_responses[[#This Row],[So với trước đây, tôi thấy cách tính thuế và các bậc thuế trong phương án mới đơn giản, dễ hiểu và dễ thực hiện hơn. - HUMAN-FAC2]]</f>
        <v>8</v>
      </c>
      <c r="AI286" t="str">
        <f t="shared" si="118"/>
        <v>Support</v>
      </c>
      <c r="AJ286" s="32">
        <f t="shared" si="119"/>
        <v>1</v>
      </c>
      <c r="AK286">
        <f>step3_validation[[#This Row],[AI_TRU1]]</f>
        <v>6</v>
      </c>
      <c r="AL286" t="str">
        <f t="shared" si="120"/>
        <v>Neutral</v>
      </c>
      <c r="AM286">
        <f>survey_responses[[#This Row],[Tôi tin rằng Nhà nước, cơ quan thuế sẽ thực thi chính sách mới một cách khách quan, công tâm và đối xử bình đẳng với mọi người nộp thuế.  - HUMAN-TRU1]]</f>
        <v>6</v>
      </c>
      <c r="AN286" t="str">
        <f t="shared" si="121"/>
        <v>Neutral</v>
      </c>
      <c r="AO286" s="32">
        <f t="shared" si="122"/>
        <v>0</v>
      </c>
      <c r="AP286">
        <f>step3_validation[[#This Row],[AI_TRU2]]</f>
        <v>8</v>
      </c>
      <c r="AQ286" t="str">
        <f t="shared" si="123"/>
        <v>Support</v>
      </c>
      <c r="AR286">
        <f>survey_responses[[#This Row],[Tôi thấy mức thuế tôi phải đóng theo phương án mới là công bằng (người thu nhập như tôi đóng mức này là hợp lý). - HUMAN-TRU2]]</f>
        <v>6</v>
      </c>
      <c r="AS286" t="str">
        <f t="shared" si="124"/>
        <v>Neutral</v>
      </c>
      <c r="AT286" s="32">
        <f t="shared" si="125"/>
        <v>2</v>
      </c>
      <c r="AU286">
        <f>step3_validation[[#This Row],[AI_TRU3]]</f>
        <v>7</v>
      </c>
      <c r="AV286" t="str">
        <f t="shared" si="126"/>
        <v>Neutral</v>
      </c>
      <c r="AW286">
        <f>survey_responses[[#This Row],[Tôi tin tưởng số tiền thuế tôi đóng sẽ được Nhà nước sử dụng hiệu quả để cải thiện dịch vụ công (y tế, đường xá...). - HUMAN-TRU3]]</f>
        <v>6</v>
      </c>
      <c r="AX286" t="str">
        <f t="shared" si="127"/>
        <v>Neutral</v>
      </c>
      <c r="AY286" s="32">
        <f t="shared" si="128"/>
        <v>1</v>
      </c>
      <c r="AZ286">
        <f>step3_validation[[#This Row],[AI_TRU4]]</f>
        <v>6</v>
      </c>
      <c r="BA286" t="str">
        <f t="shared" si="129"/>
        <v>Neutral</v>
      </c>
      <c r="BB286">
        <f>survey_responses[[#This Row],[Tôi thấy Nhà nước đã giải thích rõ ràng, minh bạch về lý do và mục tiêu của việc sửa đổi thuế lần này. - HUMAN-TRU4]]</f>
        <v>7</v>
      </c>
      <c r="BC286" t="str">
        <f t="shared" si="130"/>
        <v>Neutral</v>
      </c>
      <c r="BD286" s="32">
        <f t="shared" si="131"/>
        <v>1</v>
      </c>
      <c r="BE286">
        <f>step3_validation[[#This Row],[AI_OUT1]]</f>
        <v>8</v>
      </c>
      <c r="BF286" t="str">
        <f t="shared" si="132"/>
        <v>Support</v>
      </c>
      <c r="BG286">
        <f>survey_responses[[#This Row],[Sau khi xem xét các quyền lợi và nghĩa vụ, bạn có ủng hộ và tuân thủ chính sách mới hiện nay? - HUMAN-OUT1]]</f>
        <v>7</v>
      </c>
      <c r="BH286" t="str">
        <f t="shared" si="133"/>
        <v>Neutral</v>
      </c>
      <c r="BI286" s="32">
        <f t="shared" si="134"/>
        <v>1</v>
      </c>
    </row>
    <row r="287" spans="1:61" x14ac:dyDescent="0.45">
      <c r="A287" s="30">
        <f>step3_validation[[#This Row],[Persona_ID]]</f>
        <v>286</v>
      </c>
      <c r="B287" s="31">
        <f>step3_validation[[#This Row],[Used_Seed]]</f>
        <v>2311</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34.799515759454216</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7</v>
      </c>
      <c r="R287" t="str">
        <f t="shared" si="108"/>
        <v>Neutral</v>
      </c>
      <c r="S287">
        <f>survey_responses[[#This Row],[Tôi tin rằng với các quy định quản lý thuế hiện nay, hành vi gian lận hoặc trốn thuế sẽ dễ dàng bị phát hiện và xử lý nghiêm. - HUMAN-ENF1]]</f>
        <v>4</v>
      </c>
      <c r="T287" t="str">
        <f t="shared" si="109"/>
        <v>Oppose</v>
      </c>
      <c r="U287" s="32">
        <f t="shared" si="110"/>
        <v>3</v>
      </c>
      <c r="V287">
        <f>step3_validation[[#This Row],[AI_ENF2]]</f>
        <v>8</v>
      </c>
      <c r="W287" t="str">
        <f t="shared" si="111"/>
        <v>Support</v>
      </c>
      <c r="X287">
        <f>survey_responses[[#This Row],[Tôi tin rằng Nhà nước, cơ quan thuế có đủ khả năng và công nghệ để phát hiện, xử lý nghiêm các hành vi trốn thuế. - HUMAN-ENF2]]</f>
        <v>4</v>
      </c>
      <c r="Y287" t="str">
        <f t="shared" si="112"/>
        <v>Oppose</v>
      </c>
      <c r="Z287" s="32">
        <f t="shared" si="113"/>
        <v>4</v>
      </c>
      <c r="AA287">
        <f>step3_validation[[#This Row],[AI_FAC1]]</f>
        <v>9</v>
      </c>
      <c r="AB287" t="str">
        <f t="shared" si="114"/>
        <v>Support</v>
      </c>
      <c r="AC287">
        <f>survey_responses[[#This Row],[Các thủ tục khai báo thuế VÀ/HOẶC quy trình làm việc với cơ quan thuế đơn giản, tiện lợi, nhanh chóng hơn so với trước đây. - HUMAN-FAC1]]</f>
        <v>2</v>
      </c>
      <c r="AD287" t="str">
        <f t="shared" si="115"/>
        <v>Oppose</v>
      </c>
      <c r="AE287" s="32">
        <f t="shared" si="116"/>
        <v>7</v>
      </c>
      <c r="AF287">
        <f>step3_validation[[#This Row],[AI_FAC2]]</f>
        <v>10</v>
      </c>
      <c r="AG287" t="str">
        <f t="shared" si="117"/>
        <v>Support</v>
      </c>
      <c r="AH287">
        <f>survey_responses[[#This Row],[So với trước đây, tôi thấy cách tính thuế và các bậc thuế trong phương án mới đơn giản, dễ hiểu và dễ thực hiện hơn. - HUMAN-FAC2]]</f>
        <v>8</v>
      </c>
      <c r="AI287" t="str">
        <f t="shared" si="118"/>
        <v>Support</v>
      </c>
      <c r="AJ287" s="32">
        <f t="shared" si="119"/>
        <v>2</v>
      </c>
      <c r="AK287">
        <f>step3_validation[[#This Row],[AI_TRU1]]</f>
        <v>9</v>
      </c>
      <c r="AL287" t="str">
        <f t="shared" si="120"/>
        <v>Support</v>
      </c>
      <c r="AM287">
        <f>survey_responses[[#This Row],[Tôi tin rằng Nhà nước, cơ quan thuế sẽ thực thi chính sách mới một cách khách quan, công tâm và đối xử bình đẳng với mọi người nộp thuế.  - HUMAN-TRU1]]</f>
        <v>5</v>
      </c>
      <c r="AN287" t="str">
        <f t="shared" si="121"/>
        <v>Neutral</v>
      </c>
      <c r="AO287" s="32">
        <f t="shared" si="122"/>
        <v>4</v>
      </c>
      <c r="AP287">
        <f>step3_validation[[#This Row],[AI_TRU2]]</f>
        <v>8</v>
      </c>
      <c r="AQ287" t="str">
        <f t="shared" si="123"/>
        <v>Support</v>
      </c>
      <c r="AR287">
        <f>survey_responses[[#This Row],[Tôi thấy mức thuế tôi phải đóng theo phương án mới là công bằng (người thu nhập như tôi đóng mức này là hợp lý). - HUMAN-TRU2]]</f>
        <v>5</v>
      </c>
      <c r="AS287" t="str">
        <f t="shared" si="124"/>
        <v>Neutral</v>
      </c>
      <c r="AT287" s="32">
        <f t="shared" si="125"/>
        <v>3</v>
      </c>
      <c r="AU287">
        <f>step3_validation[[#This Row],[AI_TRU3]]</f>
        <v>9</v>
      </c>
      <c r="AV287" t="str">
        <f t="shared" si="126"/>
        <v>Support</v>
      </c>
      <c r="AW287">
        <f>survey_responses[[#This Row],[Tôi tin tưởng số tiền thuế tôi đóng sẽ được Nhà nước sử dụng hiệu quả để cải thiện dịch vụ công (y tế, đường xá...). - HUMAN-TRU3]]</f>
        <v>4</v>
      </c>
      <c r="AX287" t="str">
        <f t="shared" si="127"/>
        <v>Oppose</v>
      </c>
      <c r="AY287" s="32">
        <f t="shared" si="128"/>
        <v>5</v>
      </c>
      <c r="AZ287">
        <f>step3_validation[[#This Row],[AI_TRU4]]</f>
        <v>8</v>
      </c>
      <c r="BA287" t="str">
        <f t="shared" si="129"/>
        <v>Support</v>
      </c>
      <c r="BB287">
        <f>survey_responses[[#This Row],[Tôi thấy Nhà nước đã giải thích rõ ràng, minh bạch về lý do và mục tiêu của việc sửa đổi thuế lần này. - HUMAN-TRU4]]</f>
        <v>6</v>
      </c>
      <c r="BC287" t="str">
        <f t="shared" si="130"/>
        <v>Neutral</v>
      </c>
      <c r="BD287" s="32">
        <f t="shared" si="131"/>
        <v>2</v>
      </c>
      <c r="BE287">
        <f>step3_validation[[#This Row],[AI_OUT1]]</f>
        <v>9</v>
      </c>
      <c r="BF287" t="str">
        <f t="shared" si="132"/>
        <v>Support</v>
      </c>
      <c r="BG287">
        <f>survey_responses[[#This Row],[Sau khi xem xét các quyền lợi và nghĩa vụ, bạn có ủng hộ và tuân thủ chính sách mới hiện nay? - HUMAN-OUT1]]</f>
        <v>5</v>
      </c>
      <c r="BH287" t="str">
        <f t="shared" si="133"/>
        <v>Neutral</v>
      </c>
      <c r="BI287" s="32">
        <f t="shared" si="134"/>
        <v>4</v>
      </c>
    </row>
    <row r="288" spans="1:61" x14ac:dyDescent="0.45">
      <c r="A288" s="30">
        <f>step3_validation[[#This Row],[Persona_ID]]</f>
        <v>287</v>
      </c>
      <c r="B288" s="31">
        <f>step3_validation[[#This Row],[Used_Seed]]</f>
        <v>2312</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58.081382118635894</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7</v>
      </c>
      <c r="R288" t="str">
        <f t="shared" si="108"/>
        <v>Neutral</v>
      </c>
      <c r="S288">
        <f>survey_responses[[#This Row],[Tôi tin rằng với các quy định quản lý thuế hiện nay, hành vi gian lận hoặc trốn thuế sẽ dễ dàng bị phát hiện và xử lý nghiêm. - HUMAN-ENF1]]</f>
        <v>10</v>
      </c>
      <c r="T288" t="str">
        <f t="shared" si="109"/>
        <v>Support</v>
      </c>
      <c r="U288" s="32">
        <f t="shared" si="110"/>
        <v>3</v>
      </c>
      <c r="V288">
        <f>step3_validation[[#This Row],[AI_ENF2]]</f>
        <v>8</v>
      </c>
      <c r="W288" t="str">
        <f t="shared" si="111"/>
        <v>Support</v>
      </c>
      <c r="X288">
        <f>survey_responses[[#This Row],[Tôi tin rằng Nhà nước, cơ quan thuế có đủ khả năng và công nghệ để phát hiện, xử lý nghiêm các hành vi trốn thuế. - HUMAN-ENF2]]</f>
        <v>10</v>
      </c>
      <c r="Y288" t="str">
        <f t="shared" si="112"/>
        <v>Support</v>
      </c>
      <c r="Z288" s="32">
        <f t="shared" si="113"/>
        <v>2</v>
      </c>
      <c r="AA288">
        <f>step3_validation[[#This Row],[AI_FAC1]]</f>
        <v>9</v>
      </c>
      <c r="AB288" t="str">
        <f t="shared" si="114"/>
        <v>Support</v>
      </c>
      <c r="AC288">
        <f>survey_responses[[#This Row],[Các thủ tục khai báo thuế VÀ/HOẶC quy trình làm việc với cơ quan thuế đơn giản, tiện lợi, nhanh chóng hơn so với trước đây. - HUMAN-FAC1]]</f>
        <v>7</v>
      </c>
      <c r="AD288" t="str">
        <f t="shared" si="115"/>
        <v>Neutral</v>
      </c>
      <c r="AE288" s="32">
        <f t="shared" si="116"/>
        <v>2</v>
      </c>
      <c r="AF288">
        <f>step3_validation[[#This Row],[AI_FAC2]]</f>
        <v>9</v>
      </c>
      <c r="AG288" t="str">
        <f t="shared" si="117"/>
        <v>Support</v>
      </c>
      <c r="AH288">
        <f>survey_responses[[#This Row],[So với trước đây, tôi thấy cách tính thuế và các bậc thuế trong phương án mới đơn giản, dễ hiểu và dễ thực hiện hơn. - HUMAN-FAC2]]</f>
        <v>7</v>
      </c>
      <c r="AI288" t="str">
        <f t="shared" si="118"/>
        <v>Neutral</v>
      </c>
      <c r="AJ288" s="32">
        <f t="shared" si="119"/>
        <v>2</v>
      </c>
      <c r="AK288">
        <f>step3_validation[[#This Row],[AI_TRU1]]</f>
        <v>7</v>
      </c>
      <c r="AL288" t="str">
        <f t="shared" si="120"/>
        <v>Neutral</v>
      </c>
      <c r="AM288">
        <f>survey_responses[[#This Row],[Tôi tin rằng Nhà nước, cơ quan thuế sẽ thực thi chính sách mới một cách khách quan, công tâm và đối xử bình đẳng với mọi người nộp thuế.  - HUMAN-TRU1]]</f>
        <v>8</v>
      </c>
      <c r="AN288" t="str">
        <f t="shared" si="121"/>
        <v>Support</v>
      </c>
      <c r="AO288" s="32">
        <f t="shared" si="122"/>
        <v>1</v>
      </c>
      <c r="AP288">
        <f>step3_validation[[#This Row],[AI_TRU2]]</f>
        <v>9</v>
      </c>
      <c r="AQ288" t="str">
        <f t="shared" si="123"/>
        <v>Support</v>
      </c>
      <c r="AR288">
        <f>survey_responses[[#This Row],[Tôi thấy mức thuế tôi phải đóng theo phương án mới là công bằng (người thu nhập như tôi đóng mức này là hợp lý). - HUMAN-TRU2]]</f>
        <v>7</v>
      </c>
      <c r="AS288" t="str">
        <f t="shared" si="124"/>
        <v>Neutral</v>
      </c>
      <c r="AT288" s="32">
        <f t="shared" si="125"/>
        <v>2</v>
      </c>
      <c r="AU288">
        <f>step3_validation[[#This Row],[AI_TRU3]]</f>
        <v>8</v>
      </c>
      <c r="AV288" t="str">
        <f t="shared" si="126"/>
        <v>Support</v>
      </c>
      <c r="AW288">
        <f>survey_responses[[#This Row],[Tôi tin tưởng số tiền thuế tôi đóng sẽ được Nhà nước sử dụng hiệu quả để cải thiện dịch vụ công (y tế, đường xá...). - HUMAN-TRU3]]</f>
        <v>8</v>
      </c>
      <c r="AX288" t="str">
        <f t="shared" si="127"/>
        <v>Support</v>
      </c>
      <c r="AY288" s="32">
        <f t="shared" si="128"/>
        <v>0</v>
      </c>
      <c r="AZ288">
        <f>step3_validation[[#This Row],[AI_TRU4]]</f>
        <v>7</v>
      </c>
      <c r="BA288" t="str">
        <f t="shared" si="129"/>
        <v>Neutral</v>
      </c>
      <c r="BB288">
        <f>survey_responses[[#This Row],[Tôi thấy Nhà nước đã giải thích rõ ràng, minh bạch về lý do và mục tiêu của việc sửa đổi thuế lần này. - HUMAN-TRU4]]</f>
        <v>8</v>
      </c>
      <c r="BC288" t="str">
        <f t="shared" si="130"/>
        <v>Support</v>
      </c>
      <c r="BD288" s="32">
        <f t="shared" si="131"/>
        <v>1</v>
      </c>
      <c r="BE288">
        <f>step3_validation[[#This Row],[AI_OUT1]]</f>
        <v>9</v>
      </c>
      <c r="BF288" t="str">
        <f t="shared" si="132"/>
        <v>Support</v>
      </c>
      <c r="BG288">
        <f>survey_responses[[#This Row],[Sau khi xem xét các quyền lợi và nghĩa vụ, bạn có ủng hộ và tuân thủ chính sách mới hiện nay? - HUMAN-OUT1]]</f>
        <v>8</v>
      </c>
      <c r="BH288" t="str">
        <f t="shared" si="133"/>
        <v>Support</v>
      </c>
      <c r="BI288" s="32">
        <f t="shared" si="134"/>
        <v>1</v>
      </c>
    </row>
    <row r="289" spans="1:61" x14ac:dyDescent="0.45">
      <c r="A289" s="30">
        <f>step3_validation[[#This Row],[Persona_ID]]</f>
        <v>288</v>
      </c>
      <c r="B289" s="31">
        <f>step3_validation[[#This Row],[Used_Seed]]</f>
        <v>2313</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25.672394156601221</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7</v>
      </c>
      <c r="R289" t="str">
        <f t="shared" si="108"/>
        <v>Neutral</v>
      </c>
      <c r="S289">
        <f>survey_responses[[#This Row],[Tôi tin rằng với các quy định quản lý thuế hiện nay, hành vi gian lận hoặc trốn thuế sẽ dễ dàng bị phát hiện và xử lý nghiêm. - HUMAN-ENF1]]</f>
        <v>8</v>
      </c>
      <c r="T289" t="str">
        <f t="shared" si="109"/>
        <v>Support</v>
      </c>
      <c r="U289" s="32">
        <f t="shared" si="110"/>
        <v>1</v>
      </c>
      <c r="V289">
        <f>step3_validation[[#This Row],[AI_ENF2]]</f>
        <v>6</v>
      </c>
      <c r="W289" t="str">
        <f t="shared" si="111"/>
        <v>Neutral</v>
      </c>
      <c r="X289">
        <f>survey_responses[[#This Row],[Tôi tin rằng Nhà nước, cơ quan thuế có đủ khả năng và công nghệ để phát hiện, xử lý nghiêm các hành vi trốn thuế. - HUMAN-ENF2]]</f>
        <v>8</v>
      </c>
      <c r="Y289" t="str">
        <f t="shared" si="112"/>
        <v>Support</v>
      </c>
      <c r="Z289" s="32">
        <f t="shared" si="113"/>
        <v>2</v>
      </c>
      <c r="AA289">
        <f>step3_validation[[#This Row],[AI_FAC1]]</f>
        <v>9</v>
      </c>
      <c r="AB289" t="str">
        <f t="shared" si="114"/>
        <v>Support</v>
      </c>
      <c r="AC289">
        <f>survey_responses[[#This Row],[Các thủ tục khai báo thuế VÀ/HOẶC quy trình làm việc với cơ quan thuế đơn giản, tiện lợi, nhanh chóng hơn so với trước đây. - HUMAN-FAC1]]</f>
        <v>5</v>
      </c>
      <c r="AD289" t="str">
        <f t="shared" si="115"/>
        <v>Neutral</v>
      </c>
      <c r="AE289" s="32">
        <f t="shared" si="116"/>
        <v>4</v>
      </c>
      <c r="AF289">
        <f>step3_validation[[#This Row],[AI_FAC2]]</f>
        <v>8</v>
      </c>
      <c r="AG289" t="str">
        <f t="shared" si="117"/>
        <v>Support</v>
      </c>
      <c r="AH289">
        <f>survey_responses[[#This Row],[So với trước đây, tôi thấy cách tính thuế và các bậc thuế trong phương án mới đơn giản, dễ hiểu và dễ thực hiện hơn. - HUMAN-FAC2]]</f>
        <v>9</v>
      </c>
      <c r="AI289" t="str">
        <f t="shared" si="118"/>
        <v>Support</v>
      </c>
      <c r="AJ289" s="32">
        <f t="shared" si="119"/>
        <v>1</v>
      </c>
      <c r="AK289">
        <f>step3_validation[[#This Row],[AI_TRU1]]</f>
        <v>9</v>
      </c>
      <c r="AL289" t="str">
        <f t="shared" si="120"/>
        <v>Support</v>
      </c>
      <c r="AM289">
        <f>survey_responses[[#This Row],[Tôi tin rằng Nhà nước, cơ quan thuế sẽ thực thi chính sách mới một cách khách quan, công tâm và đối xử bình đẳng với mọi người nộp thuế.  - HUMAN-TRU1]]</f>
        <v>10</v>
      </c>
      <c r="AN289" t="str">
        <f t="shared" si="121"/>
        <v>Support</v>
      </c>
      <c r="AO289" s="32">
        <f t="shared" si="122"/>
        <v>1</v>
      </c>
      <c r="AP289">
        <f>step3_validation[[#This Row],[AI_TRU2]]</f>
        <v>8</v>
      </c>
      <c r="AQ289" t="str">
        <f t="shared" si="123"/>
        <v>Support</v>
      </c>
      <c r="AR289">
        <f>survey_responses[[#This Row],[Tôi thấy mức thuế tôi phải đóng theo phương án mới là công bằng (người thu nhập như tôi đóng mức này là hợp lý). - HUMAN-TRU2]]</f>
        <v>10</v>
      </c>
      <c r="AS289" t="str">
        <f t="shared" si="124"/>
        <v>Support</v>
      </c>
      <c r="AT289" s="32">
        <f t="shared" si="125"/>
        <v>2</v>
      </c>
      <c r="AU289">
        <f>step3_validation[[#This Row],[AI_TRU3]]</f>
        <v>9</v>
      </c>
      <c r="AV289" t="str">
        <f t="shared" si="126"/>
        <v>Support</v>
      </c>
      <c r="AW289">
        <f>survey_responses[[#This Row],[Tôi tin tưởng số tiền thuế tôi đóng sẽ được Nhà nước sử dụng hiệu quả để cải thiện dịch vụ công (y tế, đường xá...). - HUMAN-TRU3]]</f>
        <v>9</v>
      </c>
      <c r="AX289" t="str">
        <f t="shared" si="127"/>
        <v>Support</v>
      </c>
      <c r="AY289" s="32">
        <f t="shared" si="128"/>
        <v>0</v>
      </c>
      <c r="AZ289">
        <f>step3_validation[[#This Row],[AI_TRU4]]</f>
        <v>8</v>
      </c>
      <c r="BA289" t="str">
        <f t="shared" si="129"/>
        <v>Support</v>
      </c>
      <c r="BB289">
        <f>survey_responses[[#This Row],[Tôi thấy Nhà nước đã giải thích rõ ràng, minh bạch về lý do và mục tiêu của việc sửa đổi thuế lần này. - HUMAN-TRU4]]</f>
        <v>9</v>
      </c>
      <c r="BC289" t="str">
        <f t="shared" si="130"/>
        <v>Support</v>
      </c>
      <c r="BD289" s="32">
        <f t="shared" si="131"/>
        <v>1</v>
      </c>
      <c r="BE289">
        <f>step3_validation[[#This Row],[AI_OUT1]]</f>
        <v>9</v>
      </c>
      <c r="BF289" t="str">
        <f t="shared" si="132"/>
        <v>Support</v>
      </c>
      <c r="BG289">
        <f>survey_responses[[#This Row],[Sau khi xem xét các quyền lợi và nghĩa vụ, bạn có ủng hộ và tuân thủ chính sách mới hiện nay? - HUMAN-OUT1]]</f>
        <v>10</v>
      </c>
      <c r="BH289" t="str">
        <f t="shared" si="133"/>
        <v>Support</v>
      </c>
      <c r="BI289" s="32">
        <f t="shared" si="134"/>
        <v>1</v>
      </c>
    </row>
    <row r="290" spans="1:61" x14ac:dyDescent="0.45">
      <c r="A290" s="30">
        <f>step3_validation[[#This Row],[Persona_ID]]</f>
        <v>289</v>
      </c>
      <c r="B290" s="31">
        <f>step3_validation[[#This Row],[Used_Seed]]</f>
        <v>2314</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25.308282119297292</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6</v>
      </c>
      <c r="R290" t="str">
        <f t="shared" si="108"/>
        <v>Neutral</v>
      </c>
      <c r="S290">
        <f>survey_responses[[#This Row],[Tôi tin rằng với các quy định quản lý thuế hiện nay, hành vi gian lận hoặc trốn thuế sẽ dễ dàng bị phát hiện và xử lý nghiêm. - HUMAN-ENF1]]</f>
        <v>7</v>
      </c>
      <c r="T290" t="str">
        <f t="shared" si="109"/>
        <v>Neutral</v>
      </c>
      <c r="U290" s="32">
        <f t="shared" si="110"/>
        <v>1</v>
      </c>
      <c r="V290">
        <f>step3_validation[[#This Row],[AI_ENF2]]</f>
        <v>6</v>
      </c>
      <c r="W290" t="str">
        <f t="shared" si="111"/>
        <v>Neutral</v>
      </c>
      <c r="X290">
        <f>survey_responses[[#This Row],[Tôi tin rằng Nhà nước, cơ quan thuế có đủ khả năng và công nghệ để phát hiện, xử lý nghiêm các hành vi trốn thuế. - HUMAN-ENF2]]</f>
        <v>7</v>
      </c>
      <c r="Y290" t="str">
        <f t="shared" si="112"/>
        <v>Neutral</v>
      </c>
      <c r="Z290" s="32">
        <f t="shared" si="113"/>
        <v>1</v>
      </c>
      <c r="AA290">
        <f>step3_validation[[#This Row],[AI_FAC1]]</f>
        <v>8</v>
      </c>
      <c r="AB290" t="str">
        <f t="shared" si="114"/>
        <v>Support</v>
      </c>
      <c r="AC290">
        <f>survey_responses[[#This Row],[Các thủ tục khai báo thuế VÀ/HOẶC quy trình làm việc với cơ quan thuế đơn giản, tiện lợi, nhanh chóng hơn so với trước đây. - HUMAN-FAC1]]</f>
        <v>5</v>
      </c>
      <c r="AD290" t="str">
        <f t="shared" si="115"/>
        <v>Neutral</v>
      </c>
      <c r="AE290" s="32">
        <f t="shared" si="116"/>
        <v>3</v>
      </c>
      <c r="AF290">
        <f>step3_validation[[#This Row],[AI_FAC2]]</f>
        <v>9</v>
      </c>
      <c r="AG290" t="str">
        <f t="shared" si="117"/>
        <v>Support</v>
      </c>
      <c r="AH290">
        <f>survey_responses[[#This Row],[So với trước đây, tôi thấy cách tính thuế và các bậc thuế trong phương án mới đơn giản, dễ hiểu và dễ thực hiện hơn. - HUMAN-FAC2]]</f>
        <v>6</v>
      </c>
      <c r="AI290" t="str">
        <f t="shared" si="118"/>
        <v>Neutral</v>
      </c>
      <c r="AJ290" s="32">
        <f t="shared" si="119"/>
        <v>3</v>
      </c>
      <c r="AK290">
        <f>step3_validation[[#This Row],[AI_TRU1]]</f>
        <v>8</v>
      </c>
      <c r="AL290" t="str">
        <f t="shared" si="120"/>
        <v>Support</v>
      </c>
      <c r="AM290">
        <f>survey_responses[[#This Row],[Tôi tin rằng Nhà nước, cơ quan thuế sẽ thực thi chính sách mới một cách khách quan, công tâm và đối xử bình đẳng với mọi người nộp thuế.  - HUMAN-TRU1]]</f>
        <v>5</v>
      </c>
      <c r="AN290" t="str">
        <f t="shared" si="121"/>
        <v>Neutral</v>
      </c>
      <c r="AO290" s="32">
        <f t="shared" si="122"/>
        <v>3</v>
      </c>
      <c r="AP290">
        <f>step3_validation[[#This Row],[AI_TRU2]]</f>
        <v>9</v>
      </c>
      <c r="AQ290" t="str">
        <f t="shared" si="123"/>
        <v>Support</v>
      </c>
      <c r="AR290">
        <f>survey_responses[[#This Row],[Tôi thấy mức thuế tôi phải đóng theo phương án mới là công bằng (người thu nhập như tôi đóng mức này là hợp lý). - HUMAN-TRU2]]</f>
        <v>5</v>
      </c>
      <c r="AS290" t="str">
        <f t="shared" si="124"/>
        <v>Neutral</v>
      </c>
      <c r="AT290" s="32">
        <f t="shared" si="125"/>
        <v>4</v>
      </c>
      <c r="AU290">
        <f>step3_validation[[#This Row],[AI_TRU3]]</f>
        <v>7</v>
      </c>
      <c r="AV290" t="str">
        <f t="shared" si="126"/>
        <v>Neutral</v>
      </c>
      <c r="AW290">
        <f>survey_responses[[#This Row],[Tôi tin tưởng số tiền thuế tôi đóng sẽ được Nhà nước sử dụng hiệu quả để cải thiện dịch vụ công (y tế, đường xá...). - HUMAN-TRU3]]</f>
        <v>5</v>
      </c>
      <c r="AX290" t="str">
        <f t="shared" si="127"/>
        <v>Neutral</v>
      </c>
      <c r="AY290" s="32">
        <f t="shared" si="128"/>
        <v>2</v>
      </c>
      <c r="AZ290">
        <f>step3_validation[[#This Row],[AI_TRU4]]</f>
        <v>6</v>
      </c>
      <c r="BA290" t="str">
        <f t="shared" si="129"/>
        <v>Neutral</v>
      </c>
      <c r="BB290">
        <f>survey_responses[[#This Row],[Tôi thấy Nhà nước đã giải thích rõ ràng, minh bạch về lý do và mục tiêu của việc sửa đổi thuế lần này. - HUMAN-TRU4]]</f>
        <v>5</v>
      </c>
      <c r="BC290" t="str">
        <f t="shared" si="130"/>
        <v>Neutral</v>
      </c>
      <c r="BD290" s="32">
        <f t="shared" si="131"/>
        <v>1</v>
      </c>
      <c r="BE290">
        <f>step3_validation[[#This Row],[AI_OUT1]]</f>
        <v>9</v>
      </c>
      <c r="BF290" t="str">
        <f t="shared" si="132"/>
        <v>Support</v>
      </c>
      <c r="BG290">
        <f>survey_responses[[#This Row],[Sau khi xem xét các quyền lợi và nghĩa vụ, bạn có ủng hộ và tuân thủ chính sách mới hiện nay? - HUMAN-OUT1]]</f>
        <v>6</v>
      </c>
      <c r="BH290" t="str">
        <f t="shared" si="133"/>
        <v>Neutral</v>
      </c>
      <c r="BI290" s="32">
        <f t="shared" si="134"/>
        <v>3</v>
      </c>
    </row>
    <row r="291" spans="1:61" x14ac:dyDescent="0.45">
      <c r="A291" s="30">
        <f>step3_validation[[#This Row],[Persona_ID]]</f>
        <v>290</v>
      </c>
      <c r="B291" s="31">
        <f>step3_validation[[#This Row],[Used_Seed]]</f>
        <v>2315</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32.421696879686671</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7</v>
      </c>
      <c r="R291" t="str">
        <f t="shared" si="108"/>
        <v>Neutral</v>
      </c>
      <c r="S291">
        <f>survey_responses[[#This Row],[Tôi tin rằng với các quy định quản lý thuế hiện nay, hành vi gian lận hoặc trốn thuế sẽ dễ dàng bị phát hiện và xử lý nghiêm. - HUMAN-ENF1]]</f>
        <v>8</v>
      </c>
      <c r="T291" t="str">
        <f t="shared" si="109"/>
        <v>Support</v>
      </c>
      <c r="U291" s="32">
        <f t="shared" si="110"/>
        <v>1</v>
      </c>
      <c r="V291">
        <f>step3_validation[[#This Row],[AI_ENF2]]</f>
        <v>8</v>
      </c>
      <c r="W291" t="str">
        <f t="shared" si="111"/>
        <v>Support</v>
      </c>
      <c r="X291">
        <f>survey_responses[[#This Row],[Tôi tin rằng Nhà nước, cơ quan thuế có đủ khả năng và công nghệ để phát hiện, xử lý nghiêm các hành vi trốn thuế. - HUMAN-ENF2]]</f>
        <v>8</v>
      </c>
      <c r="Y291" t="str">
        <f t="shared" si="112"/>
        <v>Support</v>
      </c>
      <c r="Z291" s="32">
        <f t="shared" si="113"/>
        <v>0</v>
      </c>
      <c r="AA291">
        <f>step3_validation[[#This Row],[AI_FAC1]]</f>
        <v>9</v>
      </c>
      <c r="AB291" t="str">
        <f t="shared" si="114"/>
        <v>Support</v>
      </c>
      <c r="AC291">
        <f>survey_responses[[#This Row],[Các thủ tục khai báo thuế VÀ/HOẶC quy trình làm việc với cơ quan thuế đơn giản, tiện lợi, nhanh chóng hơn so với trước đây. - HUMAN-FAC1]]</f>
        <v>8</v>
      </c>
      <c r="AD291" t="str">
        <f t="shared" si="115"/>
        <v>Support</v>
      </c>
      <c r="AE291" s="32">
        <f t="shared" si="116"/>
        <v>1</v>
      </c>
      <c r="AF291">
        <f>step3_validation[[#This Row],[AI_FAC2]]</f>
        <v>10</v>
      </c>
      <c r="AG291" t="str">
        <f t="shared" si="117"/>
        <v>Support</v>
      </c>
      <c r="AH291">
        <f>survey_responses[[#This Row],[So với trước đây, tôi thấy cách tính thuế và các bậc thuế trong phương án mới đơn giản, dễ hiểu và dễ thực hiện hơn. - HUMAN-FAC2]]</f>
        <v>8</v>
      </c>
      <c r="AI291" t="str">
        <f t="shared" si="118"/>
        <v>Support</v>
      </c>
      <c r="AJ291" s="32">
        <f t="shared" si="119"/>
        <v>2</v>
      </c>
      <c r="AK291">
        <f>step3_validation[[#This Row],[AI_TRU1]]</f>
        <v>6</v>
      </c>
      <c r="AL291" t="str">
        <f t="shared" si="120"/>
        <v>Neutral</v>
      </c>
      <c r="AM291">
        <f>survey_responses[[#This Row],[Tôi tin rằng Nhà nước, cơ quan thuế sẽ thực thi chính sách mới một cách khách quan, công tâm và đối xử bình đẳng với mọi người nộp thuế.  - HUMAN-TRU1]]</f>
        <v>8</v>
      </c>
      <c r="AN291" t="str">
        <f t="shared" si="121"/>
        <v>Support</v>
      </c>
      <c r="AO291" s="32">
        <f t="shared" si="122"/>
        <v>2</v>
      </c>
      <c r="AP291">
        <f>step3_validation[[#This Row],[AI_TRU2]]</f>
        <v>9</v>
      </c>
      <c r="AQ291" t="str">
        <f t="shared" si="123"/>
        <v>Support</v>
      </c>
      <c r="AR291">
        <f>survey_responses[[#This Row],[Tôi thấy mức thuế tôi phải đóng theo phương án mới là công bằng (người thu nhập như tôi đóng mức này là hợp lý). - HUMAN-TRU2]]</f>
        <v>8</v>
      </c>
      <c r="AS291" t="str">
        <f t="shared" si="124"/>
        <v>Support</v>
      </c>
      <c r="AT291" s="32">
        <f t="shared" si="125"/>
        <v>1</v>
      </c>
      <c r="AU291">
        <f>step3_validation[[#This Row],[AI_TRU3]]</f>
        <v>7</v>
      </c>
      <c r="AV291" t="str">
        <f t="shared" si="126"/>
        <v>Neutral</v>
      </c>
      <c r="AW291">
        <f>survey_responses[[#This Row],[Tôi tin tưởng số tiền thuế tôi đóng sẽ được Nhà nước sử dụng hiệu quả để cải thiện dịch vụ công (y tế, đường xá...). - HUMAN-TRU3]]</f>
        <v>8</v>
      </c>
      <c r="AX291" t="str">
        <f t="shared" si="127"/>
        <v>Support</v>
      </c>
      <c r="AY291" s="32">
        <f t="shared" si="128"/>
        <v>1</v>
      </c>
      <c r="AZ291">
        <f>step3_validation[[#This Row],[AI_TRU4]]</f>
        <v>8</v>
      </c>
      <c r="BA291" t="str">
        <f t="shared" si="129"/>
        <v>Support</v>
      </c>
      <c r="BB291">
        <f>survey_responses[[#This Row],[Tôi thấy Nhà nước đã giải thích rõ ràng, minh bạch về lý do và mục tiêu của việc sửa đổi thuế lần này. - HUMAN-TRU4]]</f>
        <v>8</v>
      </c>
      <c r="BC291" t="str">
        <f t="shared" si="130"/>
        <v>Support</v>
      </c>
      <c r="BD291" s="32">
        <f t="shared" si="131"/>
        <v>0</v>
      </c>
      <c r="BE291">
        <f>step3_validation[[#This Row],[AI_OUT1]]</f>
        <v>9</v>
      </c>
      <c r="BF291" t="str">
        <f t="shared" si="132"/>
        <v>Support</v>
      </c>
      <c r="BG291">
        <f>survey_responses[[#This Row],[Sau khi xem xét các quyền lợi và nghĩa vụ, bạn có ủng hộ và tuân thủ chính sách mới hiện nay? - HUMAN-OUT1]]</f>
        <v>8</v>
      </c>
      <c r="BH291" t="str">
        <f t="shared" si="133"/>
        <v>Support</v>
      </c>
      <c r="BI291" s="32">
        <f t="shared" si="134"/>
        <v>1</v>
      </c>
    </row>
    <row r="292" spans="1:61" x14ac:dyDescent="0.45">
      <c r="A292" s="30">
        <f>step3_validation[[#This Row],[Persona_ID]]</f>
        <v>291</v>
      </c>
      <c r="B292" s="31">
        <f>step3_validation[[#This Row],[Used_Seed]]</f>
        <v>2316</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66.599036760439176</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6</v>
      </c>
      <c r="R292" t="str">
        <f t="shared" si="108"/>
        <v>Neutral</v>
      </c>
      <c r="S292">
        <f>survey_responses[[#This Row],[Tôi tin rằng với các quy định quản lý thuế hiện nay, hành vi gian lận hoặc trốn thuế sẽ dễ dàng bị phát hiện và xử lý nghiêm. - HUMAN-ENF1]]</f>
        <v>9</v>
      </c>
      <c r="T292" t="str">
        <f t="shared" si="109"/>
        <v>Support</v>
      </c>
      <c r="U292" s="32">
        <f t="shared" si="110"/>
        <v>3</v>
      </c>
      <c r="V292">
        <f>step3_validation[[#This Row],[AI_ENF2]]</f>
        <v>8</v>
      </c>
      <c r="W292" t="str">
        <f t="shared" si="111"/>
        <v>Support</v>
      </c>
      <c r="X292">
        <f>survey_responses[[#This Row],[Tôi tin rằng Nhà nước, cơ quan thuế có đủ khả năng và công nghệ để phát hiện, xử lý nghiêm các hành vi trốn thuế. - HUMAN-ENF2]]</f>
        <v>9</v>
      </c>
      <c r="Y292" t="str">
        <f t="shared" si="112"/>
        <v>Support</v>
      </c>
      <c r="Z292" s="32">
        <f t="shared" si="113"/>
        <v>1</v>
      </c>
      <c r="AA292">
        <f>step3_validation[[#This Row],[AI_FAC1]]</f>
        <v>9</v>
      </c>
      <c r="AB292" t="str">
        <f t="shared" si="114"/>
        <v>Support</v>
      </c>
      <c r="AC292">
        <f>survey_responses[[#This Row],[Các thủ tục khai báo thuế VÀ/HOẶC quy trình làm việc với cơ quan thuế đơn giản, tiện lợi, nhanh chóng hơn so với trước đây. - HUMAN-FAC1]]</f>
        <v>3</v>
      </c>
      <c r="AD292" t="str">
        <f t="shared" si="115"/>
        <v>Oppose</v>
      </c>
      <c r="AE292" s="32">
        <f t="shared" si="116"/>
        <v>6</v>
      </c>
      <c r="AF292">
        <f>step3_validation[[#This Row],[AI_FAC2]]</f>
        <v>8</v>
      </c>
      <c r="AG292" t="str">
        <f t="shared" si="117"/>
        <v>Support</v>
      </c>
      <c r="AH292">
        <f>survey_responses[[#This Row],[So với trước đây, tôi thấy cách tính thuế và các bậc thuế trong phương án mới đơn giản, dễ hiểu và dễ thực hiện hơn. - HUMAN-FAC2]]</f>
        <v>10</v>
      </c>
      <c r="AI292" t="str">
        <f t="shared" si="118"/>
        <v>Support</v>
      </c>
      <c r="AJ292" s="32">
        <f t="shared" si="119"/>
        <v>2</v>
      </c>
      <c r="AK292">
        <f>step3_validation[[#This Row],[AI_TRU1]]</f>
        <v>9</v>
      </c>
      <c r="AL292" t="str">
        <f t="shared" si="120"/>
        <v>Support</v>
      </c>
      <c r="AM292">
        <f>survey_responses[[#This Row],[Tôi tin rằng Nhà nước, cơ quan thuế sẽ thực thi chính sách mới một cách khách quan, công tâm và đối xử bình đẳng với mọi người nộp thuế.  - HUMAN-TRU1]]</f>
        <v>8</v>
      </c>
      <c r="AN292" t="str">
        <f t="shared" si="121"/>
        <v>Support</v>
      </c>
      <c r="AO292" s="32">
        <f t="shared" si="122"/>
        <v>1</v>
      </c>
      <c r="AP292">
        <f>step3_validation[[#This Row],[AI_TRU2]]</f>
        <v>8</v>
      </c>
      <c r="AQ292" t="str">
        <f t="shared" si="123"/>
        <v>Support</v>
      </c>
      <c r="AR292">
        <f>survey_responses[[#This Row],[Tôi thấy mức thuế tôi phải đóng theo phương án mới là công bằng (người thu nhập như tôi đóng mức này là hợp lý). - HUMAN-TRU2]]</f>
        <v>8</v>
      </c>
      <c r="AS292" t="str">
        <f t="shared" si="124"/>
        <v>Support</v>
      </c>
      <c r="AT292" s="32">
        <f t="shared" si="125"/>
        <v>0</v>
      </c>
      <c r="AU292">
        <f>step3_validation[[#This Row],[AI_TRU3]]</f>
        <v>9</v>
      </c>
      <c r="AV292" t="str">
        <f t="shared" si="126"/>
        <v>Support</v>
      </c>
      <c r="AW292">
        <f>survey_responses[[#This Row],[Tôi tin tưởng số tiền thuế tôi đóng sẽ được Nhà nước sử dụng hiệu quả để cải thiện dịch vụ công (y tế, đường xá...). - HUMAN-TRU3]]</f>
        <v>6</v>
      </c>
      <c r="AX292" t="str">
        <f t="shared" si="127"/>
        <v>Neutral</v>
      </c>
      <c r="AY292" s="32">
        <f t="shared" si="128"/>
        <v>3</v>
      </c>
      <c r="AZ292">
        <f>step3_validation[[#This Row],[AI_TRU4]]</f>
        <v>8</v>
      </c>
      <c r="BA292" t="str">
        <f t="shared" si="129"/>
        <v>Support</v>
      </c>
      <c r="BB292">
        <f>survey_responses[[#This Row],[Tôi thấy Nhà nước đã giải thích rõ ràng, minh bạch về lý do và mục tiêu của việc sửa đổi thuế lần này. - HUMAN-TRU4]]</f>
        <v>8</v>
      </c>
      <c r="BC292" t="str">
        <f t="shared" si="130"/>
        <v>Support</v>
      </c>
      <c r="BD292" s="32">
        <f t="shared" si="131"/>
        <v>0</v>
      </c>
      <c r="BE292">
        <f>step3_validation[[#This Row],[AI_OUT1]]</f>
        <v>9</v>
      </c>
      <c r="BF292" t="str">
        <f t="shared" si="132"/>
        <v>Support</v>
      </c>
      <c r="BG292">
        <f>survey_responses[[#This Row],[Sau khi xem xét các quyền lợi và nghĩa vụ, bạn có ủng hộ và tuân thủ chính sách mới hiện nay? - HUMAN-OUT1]]</f>
        <v>8</v>
      </c>
      <c r="BH292" t="str">
        <f t="shared" si="133"/>
        <v>Support</v>
      </c>
      <c r="BI292" s="32">
        <f t="shared" si="134"/>
        <v>1</v>
      </c>
    </row>
    <row r="293" spans="1:61" x14ac:dyDescent="0.45">
      <c r="A293" s="30">
        <f>step3_validation[[#This Row],[Persona_ID]]</f>
        <v>292</v>
      </c>
      <c r="B293" s="31">
        <f>step3_validation[[#This Row],[Used_Seed]]</f>
        <v>2317</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65.98256114506934</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9</v>
      </c>
      <c r="R293" t="str">
        <f t="shared" si="108"/>
        <v>Support</v>
      </c>
      <c r="S293">
        <f>survey_responses[[#This Row],[Tôi tin rằng với các quy định quản lý thuế hiện nay, hành vi gian lận hoặc trốn thuế sẽ dễ dàng bị phát hiện và xử lý nghiêm. - HUMAN-ENF1]]</f>
        <v>6</v>
      </c>
      <c r="T293" t="str">
        <f t="shared" si="109"/>
        <v>Neutral</v>
      </c>
      <c r="U293" s="32">
        <f t="shared" si="110"/>
        <v>3</v>
      </c>
      <c r="V293">
        <f>step3_validation[[#This Row],[AI_ENF2]]</f>
        <v>8</v>
      </c>
      <c r="W293" t="str">
        <f t="shared" si="111"/>
        <v>Support</v>
      </c>
      <c r="X293">
        <f>survey_responses[[#This Row],[Tôi tin rằng Nhà nước, cơ quan thuế có đủ khả năng và công nghệ để phát hiện, xử lý nghiêm các hành vi trốn thuế. - HUMAN-ENF2]]</f>
        <v>6</v>
      </c>
      <c r="Y293" t="str">
        <f t="shared" si="112"/>
        <v>Neutral</v>
      </c>
      <c r="Z293" s="32">
        <f t="shared" si="113"/>
        <v>2</v>
      </c>
      <c r="AA293">
        <f>step3_validation[[#This Row],[AI_FAC1]]</f>
        <v>9</v>
      </c>
      <c r="AB293" t="str">
        <f t="shared" si="114"/>
        <v>Support</v>
      </c>
      <c r="AC293">
        <f>survey_responses[[#This Row],[Các thủ tục khai báo thuế VÀ/HOẶC quy trình làm việc với cơ quan thuế đơn giản, tiện lợi, nhanh chóng hơn so với trước đây. - HUMAN-FAC1]]</f>
        <v>1</v>
      </c>
      <c r="AD293" t="str">
        <f t="shared" si="115"/>
        <v>Oppose</v>
      </c>
      <c r="AE293" s="32">
        <f t="shared" si="116"/>
        <v>8</v>
      </c>
      <c r="AF293">
        <f>step3_validation[[#This Row],[AI_FAC2]]</f>
        <v>8</v>
      </c>
      <c r="AG293" t="str">
        <f t="shared" si="117"/>
        <v>Support</v>
      </c>
      <c r="AH293">
        <f>survey_responses[[#This Row],[So với trước đây, tôi thấy cách tính thuế và các bậc thuế trong phương án mới đơn giản, dễ hiểu và dễ thực hiện hơn. - HUMAN-FAC2]]</f>
        <v>6</v>
      </c>
      <c r="AI293" t="str">
        <f t="shared" si="118"/>
        <v>Neutral</v>
      </c>
      <c r="AJ293" s="32">
        <f t="shared" si="119"/>
        <v>2</v>
      </c>
      <c r="AK293">
        <f>step3_validation[[#This Row],[AI_TRU1]]</f>
        <v>9</v>
      </c>
      <c r="AL293" t="str">
        <f t="shared" si="120"/>
        <v>Support</v>
      </c>
      <c r="AM293">
        <f>survey_responses[[#This Row],[Tôi tin rằng Nhà nước, cơ quan thuế sẽ thực thi chính sách mới một cách khách quan, công tâm và đối xử bình đẳng với mọi người nộp thuế.  - HUMAN-TRU1]]</f>
        <v>5</v>
      </c>
      <c r="AN293" t="str">
        <f t="shared" si="121"/>
        <v>Neutral</v>
      </c>
      <c r="AO293" s="32">
        <f t="shared" si="122"/>
        <v>4</v>
      </c>
      <c r="AP293">
        <f>step3_validation[[#This Row],[AI_TRU2]]</f>
        <v>8</v>
      </c>
      <c r="AQ293" t="str">
        <f t="shared" si="123"/>
        <v>Support</v>
      </c>
      <c r="AR293">
        <f>survey_responses[[#This Row],[Tôi thấy mức thuế tôi phải đóng theo phương án mới là công bằng (người thu nhập như tôi đóng mức này là hợp lý). - HUMAN-TRU2]]</f>
        <v>6</v>
      </c>
      <c r="AS293" t="str">
        <f t="shared" si="124"/>
        <v>Neutral</v>
      </c>
      <c r="AT293" s="32">
        <f t="shared" si="125"/>
        <v>2</v>
      </c>
      <c r="AU293">
        <f>step3_validation[[#This Row],[AI_TRU3]]</f>
        <v>9</v>
      </c>
      <c r="AV293" t="str">
        <f t="shared" si="126"/>
        <v>Support</v>
      </c>
      <c r="AW293">
        <f>survey_responses[[#This Row],[Tôi tin tưởng số tiền thuế tôi đóng sẽ được Nhà nước sử dụng hiệu quả để cải thiện dịch vụ công (y tế, đường xá...). - HUMAN-TRU3]]</f>
        <v>5</v>
      </c>
      <c r="AX293" t="str">
        <f t="shared" si="127"/>
        <v>Neutral</v>
      </c>
      <c r="AY293" s="32">
        <f t="shared" si="128"/>
        <v>4</v>
      </c>
      <c r="AZ293">
        <f>step3_validation[[#This Row],[AI_TRU4]]</f>
        <v>8</v>
      </c>
      <c r="BA293" t="str">
        <f t="shared" si="129"/>
        <v>Support</v>
      </c>
      <c r="BB293">
        <f>survey_responses[[#This Row],[Tôi thấy Nhà nước đã giải thích rõ ràng, minh bạch về lý do và mục tiêu của việc sửa đổi thuế lần này. - HUMAN-TRU4]]</f>
        <v>6</v>
      </c>
      <c r="BC293" t="str">
        <f t="shared" si="130"/>
        <v>Neutral</v>
      </c>
      <c r="BD293" s="32">
        <f t="shared" si="131"/>
        <v>2</v>
      </c>
      <c r="BE293">
        <f>step3_validation[[#This Row],[AI_OUT1]]</f>
        <v>9</v>
      </c>
      <c r="BF293" t="str">
        <f t="shared" si="132"/>
        <v>Support</v>
      </c>
      <c r="BG293">
        <f>survey_responses[[#This Row],[Sau khi xem xét các quyền lợi và nghĩa vụ, bạn có ủng hộ và tuân thủ chính sách mới hiện nay? - HUMAN-OUT1]]</f>
        <v>6</v>
      </c>
      <c r="BH293" t="str">
        <f t="shared" si="133"/>
        <v>Neutral</v>
      </c>
      <c r="BI293" s="32">
        <f t="shared" si="134"/>
        <v>3</v>
      </c>
    </row>
    <row r="294" spans="1:61" x14ac:dyDescent="0.45">
      <c r="A294" s="30">
        <f>step3_validation[[#This Row],[Persona_ID]]</f>
        <v>293</v>
      </c>
      <c r="B294" s="31">
        <f>step3_validation[[#This Row],[Used_Seed]]</f>
        <v>2318</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42.14229829487607</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7</v>
      </c>
      <c r="R294" t="str">
        <f t="shared" si="108"/>
        <v>Neutral</v>
      </c>
      <c r="S294">
        <f>survey_responses[[#This Row],[Tôi tin rằng với các quy định quản lý thuế hiện nay, hành vi gian lận hoặc trốn thuế sẽ dễ dàng bị phát hiện và xử lý nghiêm. - HUMAN-ENF1]]</f>
        <v>8</v>
      </c>
      <c r="T294" t="str">
        <f t="shared" si="109"/>
        <v>Support</v>
      </c>
      <c r="U294" s="32">
        <f t="shared" si="110"/>
        <v>1</v>
      </c>
      <c r="V294">
        <f>step3_validation[[#This Row],[AI_ENF2]]</f>
        <v>8</v>
      </c>
      <c r="W294" t="str">
        <f t="shared" si="111"/>
        <v>Support</v>
      </c>
      <c r="X294">
        <f>survey_responses[[#This Row],[Tôi tin rằng Nhà nước, cơ quan thuế có đủ khả năng và công nghệ để phát hiện, xử lý nghiêm các hành vi trốn thuế. - HUMAN-ENF2]]</f>
        <v>8</v>
      </c>
      <c r="Y294" t="str">
        <f t="shared" si="112"/>
        <v>Support</v>
      </c>
      <c r="Z294" s="32">
        <f t="shared" si="113"/>
        <v>0</v>
      </c>
      <c r="AA294">
        <f>step3_validation[[#This Row],[AI_FAC1]]</f>
        <v>9</v>
      </c>
      <c r="AB294" t="str">
        <f t="shared" si="114"/>
        <v>Support</v>
      </c>
      <c r="AC294">
        <f>survey_responses[[#This Row],[Các thủ tục khai báo thuế VÀ/HOẶC quy trình làm việc với cơ quan thuế đơn giản, tiện lợi, nhanh chóng hơn so với trước đây. - HUMAN-FAC1]]</f>
        <v>5</v>
      </c>
      <c r="AD294" t="str">
        <f t="shared" si="115"/>
        <v>Neutral</v>
      </c>
      <c r="AE294" s="32">
        <f t="shared" si="116"/>
        <v>4</v>
      </c>
      <c r="AF294">
        <f>step3_validation[[#This Row],[AI_FAC2]]</f>
        <v>9</v>
      </c>
      <c r="AG294" t="str">
        <f t="shared" si="117"/>
        <v>Support</v>
      </c>
      <c r="AH294">
        <f>survey_responses[[#This Row],[So với trước đây, tôi thấy cách tính thuế và các bậc thuế trong phương án mới đơn giản, dễ hiểu và dễ thực hiện hơn. - HUMAN-FAC2]]</f>
        <v>8</v>
      </c>
      <c r="AI294" t="str">
        <f t="shared" si="118"/>
        <v>Support</v>
      </c>
      <c r="AJ294" s="32">
        <f t="shared" si="119"/>
        <v>1</v>
      </c>
      <c r="AK294">
        <f>step3_validation[[#This Row],[AI_TRU1]]</f>
        <v>7</v>
      </c>
      <c r="AL294" t="str">
        <f t="shared" si="120"/>
        <v>Neutral</v>
      </c>
      <c r="AM294">
        <f>survey_responses[[#This Row],[Tôi tin rằng Nhà nước, cơ quan thuế sẽ thực thi chính sách mới một cách khách quan, công tâm và đối xử bình đẳng với mọi người nộp thuế.  - HUMAN-TRU1]]</f>
        <v>5</v>
      </c>
      <c r="AN294" t="str">
        <f t="shared" si="121"/>
        <v>Neutral</v>
      </c>
      <c r="AO294" s="32">
        <f t="shared" si="122"/>
        <v>2</v>
      </c>
      <c r="AP294">
        <f>step3_validation[[#This Row],[AI_TRU2]]</f>
        <v>9</v>
      </c>
      <c r="AQ294" t="str">
        <f t="shared" si="123"/>
        <v>Support</v>
      </c>
      <c r="AR294">
        <f>survey_responses[[#This Row],[Tôi thấy mức thuế tôi phải đóng theo phương án mới là công bằng (người thu nhập như tôi đóng mức này là hợp lý). - HUMAN-TRU2]]</f>
        <v>6</v>
      </c>
      <c r="AS294" t="str">
        <f t="shared" si="124"/>
        <v>Neutral</v>
      </c>
      <c r="AT294" s="32">
        <f t="shared" si="125"/>
        <v>3</v>
      </c>
      <c r="AU294">
        <f>step3_validation[[#This Row],[AI_TRU3]]</f>
        <v>7</v>
      </c>
      <c r="AV294" t="str">
        <f t="shared" si="126"/>
        <v>Neutral</v>
      </c>
      <c r="AW294">
        <f>survey_responses[[#This Row],[Tôi tin tưởng số tiền thuế tôi đóng sẽ được Nhà nước sử dụng hiệu quả để cải thiện dịch vụ công (y tế, đường xá...). - HUMAN-TRU3]]</f>
        <v>5</v>
      </c>
      <c r="AX294" t="str">
        <f t="shared" si="127"/>
        <v>Neutral</v>
      </c>
      <c r="AY294" s="32">
        <f t="shared" si="128"/>
        <v>2</v>
      </c>
      <c r="AZ294">
        <f>step3_validation[[#This Row],[AI_TRU4]]</f>
        <v>8</v>
      </c>
      <c r="BA294" t="str">
        <f t="shared" si="129"/>
        <v>Support</v>
      </c>
      <c r="BB294">
        <f>survey_responses[[#This Row],[Tôi thấy Nhà nước đã giải thích rõ ràng, minh bạch về lý do và mục tiêu của việc sửa đổi thuế lần này. - HUMAN-TRU4]]</f>
        <v>6</v>
      </c>
      <c r="BC294" t="str">
        <f t="shared" si="130"/>
        <v>Neutral</v>
      </c>
      <c r="BD294" s="32">
        <f t="shared" si="131"/>
        <v>2</v>
      </c>
      <c r="BE294">
        <f>step3_validation[[#This Row],[AI_OUT1]]</f>
        <v>9</v>
      </c>
      <c r="BF294" t="str">
        <f t="shared" si="132"/>
        <v>Support</v>
      </c>
      <c r="BG294">
        <f>survey_responses[[#This Row],[Sau khi xem xét các quyền lợi và nghĩa vụ, bạn có ủng hộ và tuân thủ chính sách mới hiện nay? - HUMAN-OUT1]]</f>
        <v>6</v>
      </c>
      <c r="BH294" t="str">
        <f t="shared" si="133"/>
        <v>Neutral</v>
      </c>
      <c r="BI294" s="32">
        <f t="shared" si="134"/>
        <v>3</v>
      </c>
    </row>
    <row r="295" spans="1:61" x14ac:dyDescent="0.45">
      <c r="A295" s="30">
        <f>step3_validation[[#This Row],[Persona_ID]]</f>
        <v>294</v>
      </c>
      <c r="B295" s="31">
        <f>step3_validation[[#This Row],[Used_Seed]]</f>
        <v>2319</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67.858331030542573</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9</v>
      </c>
      <c r="R295" t="str">
        <f t="shared" si="108"/>
        <v>Support</v>
      </c>
      <c r="S295">
        <f>survey_responses[[#This Row],[Tôi tin rằng với các quy định quản lý thuế hiện nay, hành vi gian lận hoặc trốn thuế sẽ dễ dàng bị phát hiện và xử lý nghiêm. - HUMAN-ENF1]]</f>
        <v>6</v>
      </c>
      <c r="T295" t="str">
        <f t="shared" si="109"/>
        <v>Neutral</v>
      </c>
      <c r="U295" s="32">
        <f t="shared" si="110"/>
        <v>3</v>
      </c>
      <c r="V295">
        <f>step3_validation[[#This Row],[AI_ENF2]]</f>
        <v>8</v>
      </c>
      <c r="W295" t="str">
        <f t="shared" si="111"/>
        <v>Support</v>
      </c>
      <c r="X295">
        <f>survey_responses[[#This Row],[Tôi tin rằng Nhà nước, cơ quan thuế có đủ khả năng và công nghệ để phát hiện, xử lý nghiêm các hành vi trốn thuế. - HUMAN-ENF2]]</f>
        <v>6</v>
      </c>
      <c r="Y295" t="str">
        <f t="shared" si="112"/>
        <v>Neutral</v>
      </c>
      <c r="Z295" s="32">
        <f t="shared" si="113"/>
        <v>2</v>
      </c>
      <c r="AA295">
        <f>step3_validation[[#This Row],[AI_FAC1]]</f>
        <v>9</v>
      </c>
      <c r="AB295" t="str">
        <f t="shared" si="114"/>
        <v>Support</v>
      </c>
      <c r="AC295">
        <f>survey_responses[[#This Row],[Các thủ tục khai báo thuế VÀ/HOẶC quy trình làm việc với cơ quan thuế đơn giản, tiện lợi, nhanh chóng hơn so với trước đây. - HUMAN-FAC1]]</f>
        <v>3</v>
      </c>
      <c r="AD295" t="str">
        <f t="shared" si="115"/>
        <v>Oppose</v>
      </c>
      <c r="AE295" s="32">
        <f t="shared" si="116"/>
        <v>6</v>
      </c>
      <c r="AF295">
        <f>step3_validation[[#This Row],[AI_FAC2]]</f>
        <v>8</v>
      </c>
      <c r="AG295" t="str">
        <f t="shared" si="117"/>
        <v>Support</v>
      </c>
      <c r="AH295">
        <f>survey_responses[[#This Row],[So với trước đây, tôi thấy cách tính thuế và các bậc thuế trong phương án mới đơn giản, dễ hiểu và dễ thực hiện hơn. - HUMAN-FAC2]]</f>
        <v>7</v>
      </c>
      <c r="AI295" t="str">
        <f t="shared" si="118"/>
        <v>Neutral</v>
      </c>
      <c r="AJ295" s="32">
        <f t="shared" si="119"/>
        <v>1</v>
      </c>
      <c r="AK295">
        <f>step3_validation[[#This Row],[AI_TRU1]]</f>
        <v>9</v>
      </c>
      <c r="AL295" t="str">
        <f t="shared" si="120"/>
        <v>Support</v>
      </c>
      <c r="AM295">
        <f>survey_responses[[#This Row],[Tôi tin rằng Nhà nước, cơ quan thuế sẽ thực thi chính sách mới một cách khách quan, công tâm và đối xử bình đẳng với mọi người nộp thuế.  - HUMAN-TRU1]]</f>
        <v>5</v>
      </c>
      <c r="AN295" t="str">
        <f t="shared" si="121"/>
        <v>Neutral</v>
      </c>
      <c r="AO295" s="32">
        <f t="shared" si="122"/>
        <v>4</v>
      </c>
      <c r="AP295">
        <f>step3_validation[[#This Row],[AI_TRU2]]</f>
        <v>8</v>
      </c>
      <c r="AQ295" t="str">
        <f t="shared" si="123"/>
        <v>Support</v>
      </c>
      <c r="AR295">
        <f>survey_responses[[#This Row],[Tôi thấy mức thuế tôi phải đóng theo phương án mới là công bằng (người thu nhập như tôi đóng mức này là hợp lý). - HUMAN-TRU2]]</f>
        <v>6</v>
      </c>
      <c r="AS295" t="str">
        <f t="shared" si="124"/>
        <v>Neutral</v>
      </c>
      <c r="AT295" s="32">
        <f t="shared" si="125"/>
        <v>2</v>
      </c>
      <c r="AU295">
        <f>step3_validation[[#This Row],[AI_TRU3]]</f>
        <v>9</v>
      </c>
      <c r="AV295" t="str">
        <f t="shared" si="126"/>
        <v>Support</v>
      </c>
      <c r="AW295">
        <f>survey_responses[[#This Row],[Tôi tin tưởng số tiền thuế tôi đóng sẽ được Nhà nước sử dụng hiệu quả để cải thiện dịch vụ công (y tế, đường xá...). - HUMAN-TRU3]]</f>
        <v>5</v>
      </c>
      <c r="AX295" t="str">
        <f t="shared" si="127"/>
        <v>Neutral</v>
      </c>
      <c r="AY295" s="32">
        <f t="shared" si="128"/>
        <v>4</v>
      </c>
      <c r="AZ295">
        <f>step3_validation[[#This Row],[AI_TRU4]]</f>
        <v>8</v>
      </c>
      <c r="BA295" t="str">
        <f t="shared" si="129"/>
        <v>Support</v>
      </c>
      <c r="BB295">
        <f>survey_responses[[#This Row],[Tôi thấy Nhà nước đã giải thích rõ ràng, minh bạch về lý do và mục tiêu của việc sửa đổi thuế lần này. - HUMAN-TRU4]]</f>
        <v>5</v>
      </c>
      <c r="BC295" t="str">
        <f t="shared" si="130"/>
        <v>Neutral</v>
      </c>
      <c r="BD295" s="32">
        <f t="shared" si="131"/>
        <v>3</v>
      </c>
      <c r="BE295">
        <f>step3_validation[[#This Row],[AI_OUT1]]</f>
        <v>9</v>
      </c>
      <c r="BF295" t="str">
        <f t="shared" si="132"/>
        <v>Support</v>
      </c>
      <c r="BG295">
        <f>survey_responses[[#This Row],[Sau khi xem xét các quyền lợi và nghĩa vụ, bạn có ủng hộ và tuân thủ chính sách mới hiện nay? - HUMAN-OUT1]]</f>
        <v>6</v>
      </c>
      <c r="BH295" t="str">
        <f t="shared" si="133"/>
        <v>Neutral</v>
      </c>
      <c r="BI295" s="32">
        <f t="shared" si="134"/>
        <v>3</v>
      </c>
    </row>
    <row r="296" spans="1:61" x14ac:dyDescent="0.45">
      <c r="A296" s="30">
        <f>step3_validation[[#This Row],[Persona_ID]]</f>
        <v>295</v>
      </c>
      <c r="B296" s="31">
        <f>step3_validation[[#This Row],[Used_Seed]]</f>
        <v>2320</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23.081123753485056</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6</v>
      </c>
      <c r="R296" t="str">
        <f t="shared" si="108"/>
        <v>Neutral</v>
      </c>
      <c r="S296">
        <f>survey_responses[[#This Row],[Tôi tin rằng với các quy định quản lý thuế hiện nay, hành vi gian lận hoặc trốn thuế sẽ dễ dàng bị phát hiện và xử lý nghiêm. - HUMAN-ENF1]]</f>
        <v>8</v>
      </c>
      <c r="T296" t="str">
        <f t="shared" si="109"/>
        <v>Support</v>
      </c>
      <c r="U296" s="32">
        <f t="shared" si="110"/>
        <v>2</v>
      </c>
      <c r="V296">
        <f>step3_validation[[#This Row],[AI_ENF2]]</f>
        <v>7</v>
      </c>
      <c r="W296" t="str">
        <f t="shared" si="111"/>
        <v>Neutral</v>
      </c>
      <c r="X296">
        <f>survey_responses[[#This Row],[Tôi tin rằng Nhà nước, cơ quan thuế có đủ khả năng và công nghệ để phát hiện, xử lý nghiêm các hành vi trốn thuế. - HUMAN-ENF2]]</f>
        <v>9</v>
      </c>
      <c r="Y296" t="str">
        <f t="shared" si="112"/>
        <v>Support</v>
      </c>
      <c r="Z296" s="32">
        <f t="shared" si="113"/>
        <v>2</v>
      </c>
      <c r="AA296">
        <f>step3_validation[[#This Row],[AI_FAC1]]</f>
        <v>9</v>
      </c>
      <c r="AB296" t="str">
        <f t="shared" si="114"/>
        <v>Support</v>
      </c>
      <c r="AC296">
        <f>survey_responses[[#This Row],[Các thủ tục khai báo thuế VÀ/HOẶC quy trình làm việc với cơ quan thuế đơn giản, tiện lợi, nhanh chóng hơn so với trước đây. - HUMAN-FAC1]]</f>
        <v>9</v>
      </c>
      <c r="AD296" t="str">
        <f t="shared" si="115"/>
        <v>Support</v>
      </c>
      <c r="AE296" s="32">
        <f t="shared" si="116"/>
        <v>0</v>
      </c>
      <c r="AF296">
        <f>step3_validation[[#This Row],[AI_FAC2]]</f>
        <v>8</v>
      </c>
      <c r="AG296" t="str">
        <f t="shared" si="117"/>
        <v>Support</v>
      </c>
      <c r="AH296">
        <f>survey_responses[[#This Row],[So với trước đây, tôi thấy cách tính thuế và các bậc thuế trong phương án mới đơn giản, dễ hiểu và dễ thực hiện hơn. - HUMAN-FAC2]]</f>
        <v>10</v>
      </c>
      <c r="AI296" t="str">
        <f t="shared" si="118"/>
        <v>Support</v>
      </c>
      <c r="AJ296" s="32">
        <f t="shared" si="119"/>
        <v>2</v>
      </c>
      <c r="AK296">
        <f>step3_validation[[#This Row],[AI_TRU1]]</f>
        <v>9</v>
      </c>
      <c r="AL296" t="str">
        <f t="shared" si="120"/>
        <v>Support</v>
      </c>
      <c r="AM296">
        <f>survey_responses[[#This Row],[Tôi tin rằng Nhà nước, cơ quan thuế sẽ thực thi chính sách mới một cách khách quan, công tâm và đối xử bình đẳng với mọi người nộp thuế.  - HUMAN-TRU1]]</f>
        <v>8</v>
      </c>
      <c r="AN296" t="str">
        <f t="shared" si="121"/>
        <v>Support</v>
      </c>
      <c r="AO296" s="32">
        <f t="shared" si="122"/>
        <v>1</v>
      </c>
      <c r="AP296">
        <f>step3_validation[[#This Row],[AI_TRU2]]</f>
        <v>8</v>
      </c>
      <c r="AQ296" t="str">
        <f t="shared" si="123"/>
        <v>Support</v>
      </c>
      <c r="AR296">
        <f>survey_responses[[#This Row],[Tôi thấy mức thuế tôi phải đóng theo phương án mới là công bằng (người thu nhập như tôi đóng mức này là hợp lý). - HUMAN-TRU2]]</f>
        <v>8</v>
      </c>
      <c r="AS296" t="str">
        <f t="shared" si="124"/>
        <v>Support</v>
      </c>
      <c r="AT296" s="32">
        <f t="shared" si="125"/>
        <v>0</v>
      </c>
      <c r="AU296">
        <f>step3_validation[[#This Row],[AI_TRU3]]</f>
        <v>9</v>
      </c>
      <c r="AV296" t="str">
        <f t="shared" si="126"/>
        <v>Support</v>
      </c>
      <c r="AW296">
        <f>survey_responses[[#This Row],[Tôi tin tưởng số tiền thuế tôi đóng sẽ được Nhà nước sử dụng hiệu quả để cải thiện dịch vụ công (y tế, đường xá...). - HUMAN-TRU3]]</f>
        <v>9</v>
      </c>
      <c r="AX296" t="str">
        <f t="shared" si="127"/>
        <v>Support</v>
      </c>
      <c r="AY296" s="32">
        <f t="shared" si="128"/>
        <v>0</v>
      </c>
      <c r="AZ296">
        <f>step3_validation[[#This Row],[AI_TRU4]]</f>
        <v>8</v>
      </c>
      <c r="BA296" t="str">
        <f t="shared" si="129"/>
        <v>Support</v>
      </c>
      <c r="BB296">
        <f>survey_responses[[#This Row],[Tôi thấy Nhà nước đã giải thích rõ ràng, minh bạch về lý do và mục tiêu của việc sửa đổi thuế lần này. - HUMAN-TRU4]]</f>
        <v>10</v>
      </c>
      <c r="BC296" t="str">
        <f t="shared" si="130"/>
        <v>Support</v>
      </c>
      <c r="BD296" s="32">
        <f t="shared" si="131"/>
        <v>2</v>
      </c>
      <c r="BE296">
        <f>step3_validation[[#This Row],[AI_OUT1]]</f>
        <v>9</v>
      </c>
      <c r="BF296" t="str">
        <f t="shared" si="132"/>
        <v>Support</v>
      </c>
      <c r="BG296">
        <f>survey_responses[[#This Row],[Sau khi xem xét các quyền lợi và nghĩa vụ, bạn có ủng hộ và tuân thủ chính sách mới hiện nay? - HUMAN-OUT1]]</f>
        <v>10</v>
      </c>
      <c r="BH296" t="str">
        <f t="shared" si="133"/>
        <v>Support</v>
      </c>
      <c r="BI296" s="32">
        <f t="shared" si="134"/>
        <v>1</v>
      </c>
    </row>
    <row r="297" spans="1:61" x14ac:dyDescent="0.45">
      <c r="A297" s="30">
        <f>step3_validation[[#This Row],[Persona_ID]]</f>
        <v>296</v>
      </c>
      <c r="B297" s="31">
        <f>step3_validation[[#This Row],[Used_Seed]]</f>
        <v>2321</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8</v>
      </c>
      <c r="R297" t="str">
        <f t="shared" si="108"/>
        <v>Support</v>
      </c>
      <c r="S297">
        <f>survey_responses[[#This Row],[Tôi tin rằng với các quy định quản lý thuế hiện nay, hành vi gian lận hoặc trốn thuế sẽ dễ dàng bị phát hiện và xử lý nghiêm. - HUMAN-ENF1]]</f>
        <v>7</v>
      </c>
      <c r="T297" t="str">
        <f t="shared" si="109"/>
        <v>Neutral</v>
      </c>
      <c r="U297" s="32">
        <f t="shared" si="110"/>
        <v>1</v>
      </c>
      <c r="V297">
        <f>step3_validation[[#This Row],[AI_ENF2]]</f>
        <v>9</v>
      </c>
      <c r="W297" t="str">
        <f t="shared" si="111"/>
        <v>Support</v>
      </c>
      <c r="X297">
        <f>survey_responses[[#This Row],[Tôi tin rằng Nhà nước, cơ quan thuế có đủ khả năng và công nghệ để phát hiện, xử lý nghiêm các hành vi trốn thuế. - HUMAN-ENF2]]</f>
        <v>7</v>
      </c>
      <c r="Y297" t="str">
        <f t="shared" si="112"/>
        <v>Neutral</v>
      </c>
      <c r="Z297" s="32">
        <f t="shared" si="113"/>
        <v>2</v>
      </c>
      <c r="AA297">
        <f>step3_validation[[#This Row],[AI_FAC1]]</f>
        <v>8</v>
      </c>
      <c r="AB297" t="str">
        <f t="shared" si="114"/>
        <v>Support</v>
      </c>
      <c r="AC297">
        <f>survey_responses[[#This Row],[Các thủ tục khai báo thuế VÀ/HOẶC quy trình làm việc với cơ quan thuế đơn giản, tiện lợi, nhanh chóng hơn so với trước đây. - HUMAN-FAC1]]</f>
        <v>6</v>
      </c>
      <c r="AD297" t="str">
        <f t="shared" si="115"/>
        <v>Neutral</v>
      </c>
      <c r="AE297" s="32">
        <f t="shared" si="116"/>
        <v>2</v>
      </c>
      <c r="AF297">
        <f>step3_validation[[#This Row],[AI_FAC2]]</f>
        <v>9</v>
      </c>
      <c r="AG297" t="str">
        <f t="shared" si="117"/>
        <v>Support</v>
      </c>
      <c r="AH297">
        <f>survey_responses[[#This Row],[So với trước đây, tôi thấy cách tính thuế và các bậc thuế trong phương án mới đơn giản, dễ hiểu và dễ thực hiện hơn. - HUMAN-FAC2]]</f>
        <v>7</v>
      </c>
      <c r="AI297" t="str">
        <f t="shared" si="118"/>
        <v>Neutral</v>
      </c>
      <c r="AJ297" s="32">
        <f t="shared" si="119"/>
        <v>2</v>
      </c>
      <c r="AK297">
        <f>step3_validation[[#This Row],[AI_TRU1]]</f>
        <v>8</v>
      </c>
      <c r="AL297" t="str">
        <f t="shared" si="120"/>
        <v>Support</v>
      </c>
      <c r="AM297">
        <f>survey_responses[[#This Row],[Tôi tin rằng Nhà nước, cơ quan thuế sẽ thực thi chính sách mới một cách khách quan, công tâm và đối xử bình đẳng với mọi người nộp thuế.  - HUMAN-TRU1]]</f>
        <v>7</v>
      </c>
      <c r="AN297" t="str">
        <f t="shared" si="121"/>
        <v>Neutral</v>
      </c>
      <c r="AO297" s="32">
        <f t="shared" si="122"/>
        <v>1</v>
      </c>
      <c r="AP297">
        <f>step3_validation[[#This Row],[AI_TRU2]]</f>
        <v>9</v>
      </c>
      <c r="AQ297" t="str">
        <f t="shared" si="123"/>
        <v>Support</v>
      </c>
      <c r="AR297">
        <f>survey_responses[[#This Row],[Tôi thấy mức thuế tôi phải đóng theo phương án mới là công bằng (người thu nhập như tôi đóng mức này là hợp lý). - HUMAN-TRU2]]</f>
        <v>1</v>
      </c>
      <c r="AS297" t="str">
        <f t="shared" si="124"/>
        <v>Oppose</v>
      </c>
      <c r="AT297" s="32">
        <f t="shared" si="125"/>
        <v>8</v>
      </c>
      <c r="AU297">
        <f>step3_validation[[#This Row],[AI_TRU3]]</f>
        <v>8</v>
      </c>
      <c r="AV297" t="str">
        <f t="shared" si="126"/>
        <v>Support</v>
      </c>
      <c r="AW297">
        <f>survey_responses[[#This Row],[Tôi tin tưởng số tiền thuế tôi đóng sẽ được Nhà nước sử dụng hiệu quả để cải thiện dịch vụ công (y tế, đường xá...). - HUMAN-TRU3]]</f>
        <v>5</v>
      </c>
      <c r="AX297" t="str">
        <f t="shared" si="127"/>
        <v>Neutral</v>
      </c>
      <c r="AY297" s="32">
        <f t="shared" si="128"/>
        <v>3</v>
      </c>
      <c r="AZ297">
        <f>step3_validation[[#This Row],[AI_TRU4]]</f>
        <v>9</v>
      </c>
      <c r="BA297" t="str">
        <f t="shared" si="129"/>
        <v>Support</v>
      </c>
      <c r="BB297">
        <f>survey_responses[[#This Row],[Tôi thấy Nhà nước đã giải thích rõ ràng, minh bạch về lý do và mục tiêu của việc sửa đổi thuế lần này. - HUMAN-TRU4]]</f>
        <v>7</v>
      </c>
      <c r="BC297" t="str">
        <f t="shared" si="130"/>
        <v>Neutral</v>
      </c>
      <c r="BD297" s="32">
        <f t="shared" si="131"/>
        <v>2</v>
      </c>
      <c r="BE297">
        <f>step3_validation[[#This Row],[AI_OUT1]]</f>
        <v>9</v>
      </c>
      <c r="BF297" t="str">
        <f t="shared" si="132"/>
        <v>Support</v>
      </c>
      <c r="BG297">
        <f>survey_responses[[#This Row],[Sau khi xem xét các quyền lợi và nghĩa vụ, bạn có ủng hộ và tuân thủ chính sách mới hiện nay? - HUMAN-OUT1]]</f>
        <v>7</v>
      </c>
      <c r="BH297" t="str">
        <f t="shared" si="133"/>
        <v>Neutral</v>
      </c>
      <c r="BI297" s="32">
        <f t="shared" si="134"/>
        <v>2</v>
      </c>
    </row>
    <row r="298" spans="1:61" x14ac:dyDescent="0.45">
      <c r="A298" s="30">
        <f>step3_validation[[#This Row],[Persona_ID]]</f>
        <v>297</v>
      </c>
      <c r="B298" s="31">
        <f>step3_validation[[#This Row],[Used_Seed]]</f>
        <v>2322</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58.136515667811452</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7</v>
      </c>
      <c r="R298" t="str">
        <f t="shared" si="108"/>
        <v>Neutral</v>
      </c>
      <c r="S298">
        <f>survey_responses[[#This Row],[Tôi tin rằng với các quy định quản lý thuế hiện nay, hành vi gian lận hoặc trốn thuế sẽ dễ dàng bị phát hiện và xử lý nghiêm. - HUMAN-ENF1]]</f>
        <v>5</v>
      </c>
      <c r="T298" t="str">
        <f t="shared" si="109"/>
        <v>Neutral</v>
      </c>
      <c r="U298" s="32">
        <f t="shared" si="110"/>
        <v>2</v>
      </c>
      <c r="V298">
        <f>step3_validation[[#This Row],[AI_ENF2]]</f>
        <v>7</v>
      </c>
      <c r="W298" t="str">
        <f t="shared" si="111"/>
        <v>Neutral</v>
      </c>
      <c r="X298">
        <f>survey_responses[[#This Row],[Tôi tin rằng Nhà nước, cơ quan thuế có đủ khả năng và công nghệ để phát hiện, xử lý nghiêm các hành vi trốn thuế. - HUMAN-ENF2]]</f>
        <v>10</v>
      </c>
      <c r="Y298" t="str">
        <f t="shared" si="112"/>
        <v>Support</v>
      </c>
      <c r="Z298" s="32">
        <f t="shared" si="113"/>
        <v>3</v>
      </c>
      <c r="AA298">
        <f>step3_validation[[#This Row],[AI_FAC1]]</f>
        <v>9</v>
      </c>
      <c r="AB298" t="str">
        <f t="shared" si="114"/>
        <v>Support</v>
      </c>
      <c r="AC298">
        <f>survey_responses[[#This Row],[Các thủ tục khai báo thuế VÀ/HOẶC quy trình làm việc với cơ quan thuế đơn giản, tiện lợi, nhanh chóng hơn so với trước đây. - HUMAN-FAC1]]</f>
        <v>5</v>
      </c>
      <c r="AD298" t="str">
        <f t="shared" si="115"/>
        <v>Neutral</v>
      </c>
      <c r="AE298" s="32">
        <f t="shared" si="116"/>
        <v>4</v>
      </c>
      <c r="AF298">
        <f>step3_validation[[#This Row],[AI_FAC2]]</f>
        <v>8</v>
      </c>
      <c r="AG298" t="str">
        <f t="shared" si="117"/>
        <v>Support</v>
      </c>
      <c r="AH298">
        <f>survey_responses[[#This Row],[So với trước đây, tôi thấy cách tính thuế và các bậc thuế trong phương án mới đơn giản, dễ hiểu và dễ thực hiện hơn. - HUMAN-FAC2]]</f>
        <v>5</v>
      </c>
      <c r="AI298" t="str">
        <f t="shared" si="118"/>
        <v>Neutral</v>
      </c>
      <c r="AJ298" s="32">
        <f t="shared" si="119"/>
        <v>3</v>
      </c>
      <c r="AK298">
        <f>step3_validation[[#This Row],[AI_TRU1]]</f>
        <v>7</v>
      </c>
      <c r="AL298" t="str">
        <f t="shared" si="120"/>
        <v>Neutral</v>
      </c>
      <c r="AM298">
        <f>survey_responses[[#This Row],[Tôi tin rằng Nhà nước, cơ quan thuế sẽ thực thi chính sách mới một cách khách quan, công tâm và đối xử bình đẳng với mọi người nộp thuế.  - HUMAN-TRU1]]</f>
        <v>2</v>
      </c>
      <c r="AN298" t="str">
        <f t="shared" si="121"/>
        <v>Oppose</v>
      </c>
      <c r="AO298" s="32">
        <f t="shared" si="122"/>
        <v>5</v>
      </c>
      <c r="AP298">
        <f>step3_validation[[#This Row],[AI_TRU2]]</f>
        <v>8</v>
      </c>
      <c r="AQ298" t="str">
        <f t="shared" si="123"/>
        <v>Support</v>
      </c>
      <c r="AR298">
        <f>survey_responses[[#This Row],[Tôi thấy mức thuế tôi phải đóng theo phương án mới là công bằng (người thu nhập như tôi đóng mức này là hợp lý). - HUMAN-TRU2]]</f>
        <v>3</v>
      </c>
      <c r="AS298" t="str">
        <f t="shared" si="124"/>
        <v>Oppose</v>
      </c>
      <c r="AT298" s="32">
        <f t="shared" si="125"/>
        <v>5</v>
      </c>
      <c r="AU298">
        <f>step3_validation[[#This Row],[AI_TRU3]]</f>
        <v>7</v>
      </c>
      <c r="AV298" t="str">
        <f t="shared" si="126"/>
        <v>Neutral</v>
      </c>
      <c r="AW298">
        <f>survey_responses[[#This Row],[Tôi tin tưởng số tiền thuế tôi đóng sẽ được Nhà nước sử dụng hiệu quả để cải thiện dịch vụ công (y tế, đường xá...). - HUMAN-TRU3]]</f>
        <v>2</v>
      </c>
      <c r="AX298" t="str">
        <f t="shared" si="127"/>
        <v>Oppose</v>
      </c>
      <c r="AY298" s="32">
        <f t="shared" si="128"/>
        <v>5</v>
      </c>
      <c r="AZ298">
        <f>step3_validation[[#This Row],[AI_TRU4]]</f>
        <v>6</v>
      </c>
      <c r="BA298" t="str">
        <f t="shared" si="129"/>
        <v>Neutral</v>
      </c>
      <c r="BB298">
        <f>survey_responses[[#This Row],[Tôi thấy Nhà nước đã giải thích rõ ràng, minh bạch về lý do và mục tiêu của việc sửa đổi thuế lần này. - HUMAN-TRU4]]</f>
        <v>5</v>
      </c>
      <c r="BC298" t="str">
        <f t="shared" si="130"/>
        <v>Neutral</v>
      </c>
      <c r="BD298" s="32">
        <f t="shared" si="131"/>
        <v>1</v>
      </c>
      <c r="BE298">
        <f>step3_validation[[#This Row],[AI_OUT1]]</f>
        <v>9</v>
      </c>
      <c r="BF298" t="str">
        <f t="shared" si="132"/>
        <v>Support</v>
      </c>
      <c r="BG298">
        <f>survey_responses[[#This Row],[Sau khi xem xét các quyền lợi và nghĩa vụ, bạn có ủng hộ và tuân thủ chính sách mới hiện nay? - HUMAN-OUT1]]</f>
        <v>5</v>
      </c>
      <c r="BH298" t="str">
        <f t="shared" si="133"/>
        <v>Neutral</v>
      </c>
      <c r="BI298" s="32">
        <f t="shared" si="134"/>
        <v>4</v>
      </c>
    </row>
    <row r="299" spans="1:61" x14ac:dyDescent="0.45">
      <c r="A299" s="30">
        <f>step3_validation[[#This Row],[Persona_ID]]</f>
        <v>298</v>
      </c>
      <c r="B299" s="31">
        <f>step3_validation[[#This Row],[Used_Seed]]</f>
        <v>2323</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7</v>
      </c>
      <c r="R299" t="str">
        <f t="shared" si="108"/>
        <v>Neutral</v>
      </c>
      <c r="S299">
        <f>survey_responses[[#This Row],[Tôi tin rằng với các quy định quản lý thuế hiện nay, hành vi gian lận hoặc trốn thuế sẽ dễ dàng bị phát hiện và xử lý nghiêm. - HUMAN-ENF1]]</f>
        <v>5</v>
      </c>
      <c r="T299" t="str">
        <f t="shared" si="109"/>
        <v>Neutral</v>
      </c>
      <c r="U299" s="32">
        <f t="shared" si="110"/>
        <v>2</v>
      </c>
      <c r="V299">
        <f>step3_validation[[#This Row],[AI_ENF2]]</f>
        <v>6</v>
      </c>
      <c r="W299" t="str">
        <f t="shared" si="111"/>
        <v>Neutral</v>
      </c>
      <c r="X299">
        <f>survey_responses[[#This Row],[Tôi tin rằng Nhà nước, cơ quan thuế có đủ khả năng và công nghệ để phát hiện, xử lý nghiêm các hành vi trốn thuế. - HUMAN-ENF2]]</f>
        <v>5</v>
      </c>
      <c r="Y299" t="str">
        <f t="shared" si="112"/>
        <v>Neutral</v>
      </c>
      <c r="Z299" s="32">
        <f t="shared" si="113"/>
        <v>1</v>
      </c>
      <c r="AA299">
        <f>step3_validation[[#This Row],[AI_FAC1]]</f>
        <v>7</v>
      </c>
      <c r="AB299" t="str">
        <f t="shared" si="114"/>
        <v>Neutral</v>
      </c>
      <c r="AC299">
        <f>survey_responses[[#This Row],[Các thủ tục khai báo thuế VÀ/HOẶC quy trình làm việc với cơ quan thuế đơn giản, tiện lợi, nhanh chóng hơn so với trước đây. - HUMAN-FAC1]]</f>
        <v>5</v>
      </c>
      <c r="AD299" t="str">
        <f t="shared" si="115"/>
        <v>Neutral</v>
      </c>
      <c r="AE299" s="32">
        <f t="shared" si="116"/>
        <v>2</v>
      </c>
      <c r="AF299">
        <f>step3_validation[[#This Row],[AI_FAC2]]</f>
        <v>8</v>
      </c>
      <c r="AG299" t="str">
        <f t="shared" si="117"/>
        <v>Support</v>
      </c>
      <c r="AH299">
        <f>survey_responses[[#This Row],[So với trước đây, tôi thấy cách tính thuế và các bậc thuế trong phương án mới đơn giản, dễ hiểu và dễ thực hiện hơn. - HUMAN-FAC2]]</f>
        <v>10</v>
      </c>
      <c r="AI299" t="str">
        <f t="shared" si="118"/>
        <v>Support</v>
      </c>
      <c r="AJ299" s="32">
        <f t="shared" si="119"/>
        <v>2</v>
      </c>
      <c r="AK299">
        <f>step3_validation[[#This Row],[AI_TRU1]]</f>
        <v>6</v>
      </c>
      <c r="AL299" t="str">
        <f t="shared" si="120"/>
        <v>Neutral</v>
      </c>
      <c r="AM299">
        <f>survey_responses[[#This Row],[Tôi tin rằng Nhà nước, cơ quan thuế sẽ thực thi chính sách mới một cách khách quan, công tâm và đối xử bình đẳng với mọi người nộp thuế.  - HUMAN-TRU1]]</f>
        <v>10</v>
      </c>
      <c r="AN299" t="str">
        <f t="shared" si="121"/>
        <v>Support</v>
      </c>
      <c r="AO299" s="32">
        <f t="shared" si="122"/>
        <v>4</v>
      </c>
      <c r="AP299">
        <f>step3_validation[[#This Row],[AI_TRU2]]</f>
        <v>8</v>
      </c>
      <c r="AQ299" t="str">
        <f t="shared" si="123"/>
        <v>Support</v>
      </c>
      <c r="AR299">
        <f>survey_responses[[#This Row],[Tôi thấy mức thuế tôi phải đóng theo phương án mới là công bằng (người thu nhập như tôi đóng mức này là hợp lý). - HUMAN-TRU2]]</f>
        <v>5</v>
      </c>
      <c r="AS299" t="str">
        <f t="shared" si="124"/>
        <v>Neutral</v>
      </c>
      <c r="AT299" s="32">
        <f t="shared" si="125"/>
        <v>3</v>
      </c>
      <c r="AU299">
        <f>step3_validation[[#This Row],[AI_TRU3]]</f>
        <v>7</v>
      </c>
      <c r="AV299" t="str">
        <f t="shared" si="126"/>
        <v>Neutral</v>
      </c>
      <c r="AW299">
        <f>survey_responses[[#This Row],[Tôi tin tưởng số tiền thuế tôi đóng sẽ được Nhà nước sử dụng hiệu quả để cải thiện dịch vụ công (y tế, đường xá...). - HUMAN-TRU3]]</f>
        <v>5</v>
      </c>
      <c r="AX299" t="str">
        <f t="shared" si="127"/>
        <v>Neutral</v>
      </c>
      <c r="AY299" s="32">
        <f t="shared" si="128"/>
        <v>2</v>
      </c>
      <c r="AZ299">
        <f>step3_validation[[#This Row],[AI_TRU4]]</f>
        <v>5</v>
      </c>
      <c r="BA299" t="str">
        <f t="shared" si="129"/>
        <v>Neutral</v>
      </c>
      <c r="BB299">
        <f>survey_responses[[#This Row],[Tôi thấy Nhà nước đã giải thích rõ ràng, minh bạch về lý do và mục tiêu của việc sửa đổi thuế lần này. - HUMAN-TRU4]]</f>
        <v>5</v>
      </c>
      <c r="BC299" t="str">
        <f t="shared" si="130"/>
        <v>Neutral</v>
      </c>
      <c r="BD299" s="32">
        <f t="shared" si="131"/>
        <v>0</v>
      </c>
      <c r="BE299">
        <f>step3_validation[[#This Row],[AI_OUT1]]</f>
        <v>7</v>
      </c>
      <c r="BF299" t="str">
        <f t="shared" si="132"/>
        <v>Neutral</v>
      </c>
      <c r="BG299">
        <f>survey_responses[[#This Row],[Sau khi xem xét các quyền lợi và nghĩa vụ, bạn có ủng hộ và tuân thủ chính sách mới hiện nay? - HUMAN-OUT1]]</f>
        <v>5</v>
      </c>
      <c r="BH299" t="str">
        <f t="shared" si="133"/>
        <v>Neutral</v>
      </c>
      <c r="BI299" s="32">
        <f t="shared" si="134"/>
        <v>2</v>
      </c>
    </row>
    <row r="300" spans="1:61" x14ac:dyDescent="0.45">
      <c r="A300" s="30">
        <f>step3_validation[[#This Row],[Persona_ID]]</f>
        <v>299</v>
      </c>
      <c r="B300" s="31">
        <f>step3_validation[[#This Row],[Used_Seed]]</f>
        <v>2324</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45.439888467800266</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7</v>
      </c>
      <c r="R300" t="str">
        <f t="shared" si="108"/>
        <v>Neutral</v>
      </c>
      <c r="S300">
        <f>survey_responses[[#This Row],[Tôi tin rằng với các quy định quản lý thuế hiện nay, hành vi gian lận hoặc trốn thuế sẽ dễ dàng bị phát hiện và xử lý nghiêm. - HUMAN-ENF1]]</f>
        <v>10</v>
      </c>
      <c r="T300" t="str">
        <f t="shared" si="109"/>
        <v>Support</v>
      </c>
      <c r="U300" s="32">
        <f t="shared" si="110"/>
        <v>3</v>
      </c>
      <c r="V300">
        <f>step3_validation[[#This Row],[AI_ENF2]]</f>
        <v>8</v>
      </c>
      <c r="W300" t="str">
        <f t="shared" si="111"/>
        <v>Support</v>
      </c>
      <c r="X300">
        <f>survey_responses[[#This Row],[Tôi tin rằng Nhà nước, cơ quan thuế có đủ khả năng và công nghệ để phát hiện, xử lý nghiêm các hành vi trốn thuế. - HUMAN-ENF2]]</f>
        <v>10</v>
      </c>
      <c r="Y300" t="str">
        <f t="shared" si="112"/>
        <v>Support</v>
      </c>
      <c r="Z300" s="32">
        <f t="shared" si="113"/>
        <v>2</v>
      </c>
      <c r="AA300">
        <f>step3_validation[[#This Row],[AI_FAC1]]</f>
        <v>6</v>
      </c>
      <c r="AB300" t="str">
        <f t="shared" si="114"/>
        <v>Neutral</v>
      </c>
      <c r="AC300">
        <f>survey_responses[[#This Row],[Các thủ tục khai báo thuế VÀ/HOẶC quy trình làm việc với cơ quan thuế đơn giản, tiện lợi, nhanh chóng hơn so với trước đây. - HUMAN-FAC1]]</f>
        <v>10</v>
      </c>
      <c r="AD300" t="str">
        <f t="shared" si="115"/>
        <v>Support</v>
      </c>
      <c r="AE300" s="32">
        <f t="shared" si="116"/>
        <v>4</v>
      </c>
      <c r="AF300">
        <f>step3_validation[[#This Row],[AI_FAC2]]</f>
        <v>9</v>
      </c>
      <c r="AG300" t="str">
        <f t="shared" si="117"/>
        <v>Support</v>
      </c>
      <c r="AH300">
        <f>survey_responses[[#This Row],[So với trước đây, tôi thấy cách tính thuế và các bậc thuế trong phương án mới đơn giản, dễ hiểu và dễ thực hiện hơn. - HUMAN-FAC2]]</f>
        <v>10</v>
      </c>
      <c r="AI300" t="str">
        <f t="shared" si="118"/>
        <v>Support</v>
      </c>
      <c r="AJ300" s="32">
        <f t="shared" si="119"/>
        <v>1</v>
      </c>
      <c r="AK300">
        <f>step3_validation[[#This Row],[AI_TRU1]]</f>
        <v>7</v>
      </c>
      <c r="AL300" t="str">
        <f t="shared" si="120"/>
        <v>Neutral</v>
      </c>
      <c r="AM300">
        <f>survey_responses[[#This Row],[Tôi tin rằng Nhà nước, cơ quan thuế sẽ thực thi chính sách mới một cách khách quan, công tâm và đối xử bình đẳng với mọi người nộp thuế.  - HUMAN-TRU1]]</f>
        <v>10</v>
      </c>
      <c r="AN300" t="str">
        <f t="shared" si="121"/>
        <v>Support</v>
      </c>
      <c r="AO300" s="32">
        <f t="shared" si="122"/>
        <v>3</v>
      </c>
      <c r="AP300">
        <f>step3_validation[[#This Row],[AI_TRU2]]</f>
        <v>9</v>
      </c>
      <c r="AQ300" t="str">
        <f t="shared" si="123"/>
        <v>Support</v>
      </c>
      <c r="AR300">
        <f>survey_responses[[#This Row],[Tôi thấy mức thuế tôi phải đóng theo phương án mới là công bằng (người thu nhập như tôi đóng mức này là hợp lý). - HUMAN-TRU2]]</f>
        <v>10</v>
      </c>
      <c r="AS300" t="str">
        <f t="shared" si="124"/>
        <v>Support</v>
      </c>
      <c r="AT300" s="32">
        <f t="shared" si="125"/>
        <v>1</v>
      </c>
      <c r="AU300">
        <f>step3_validation[[#This Row],[AI_TRU3]]</f>
        <v>7</v>
      </c>
      <c r="AV300" t="str">
        <f t="shared" si="126"/>
        <v>Neutral</v>
      </c>
      <c r="AW300">
        <f>survey_responses[[#This Row],[Tôi tin tưởng số tiền thuế tôi đóng sẽ được Nhà nước sử dụng hiệu quả để cải thiện dịch vụ công (y tế, đường xá...). - HUMAN-TRU3]]</f>
        <v>10</v>
      </c>
      <c r="AX300" t="str">
        <f t="shared" si="127"/>
        <v>Support</v>
      </c>
      <c r="AY300" s="32">
        <f t="shared" si="128"/>
        <v>3</v>
      </c>
      <c r="AZ300">
        <f>step3_validation[[#This Row],[AI_TRU4]]</f>
        <v>6</v>
      </c>
      <c r="BA300" t="str">
        <f t="shared" si="129"/>
        <v>Neutral</v>
      </c>
      <c r="BB300">
        <f>survey_responses[[#This Row],[Tôi thấy Nhà nước đã giải thích rõ ràng, minh bạch về lý do và mục tiêu của việc sửa đổi thuế lần này. - HUMAN-TRU4]]</f>
        <v>10</v>
      </c>
      <c r="BC300" t="str">
        <f t="shared" si="130"/>
        <v>Support</v>
      </c>
      <c r="BD300" s="32">
        <f t="shared" si="131"/>
        <v>4</v>
      </c>
      <c r="BE300">
        <f>step3_validation[[#This Row],[AI_OUT1]]</f>
        <v>9</v>
      </c>
      <c r="BF300" t="str">
        <f t="shared" si="132"/>
        <v>Support</v>
      </c>
      <c r="BG300">
        <f>survey_responses[[#This Row],[Sau khi xem xét các quyền lợi và nghĩa vụ, bạn có ủng hộ và tuân thủ chính sách mới hiện nay? - HUMAN-OUT1]]</f>
        <v>10</v>
      </c>
      <c r="BH300" t="str">
        <f t="shared" si="133"/>
        <v>Support</v>
      </c>
      <c r="BI300" s="32">
        <f t="shared" si="134"/>
        <v>1</v>
      </c>
    </row>
    <row r="301" spans="1:61" x14ac:dyDescent="0.45">
      <c r="A301" s="30">
        <f>step3_validation[[#This Row],[Persona_ID]]</f>
        <v>300</v>
      </c>
      <c r="B301" s="31">
        <f>step3_validation[[#This Row],[Used_Seed]]</f>
        <v>2325</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30.095306028529489</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7</v>
      </c>
      <c r="R301" t="str">
        <f t="shared" si="108"/>
        <v>Neutral</v>
      </c>
      <c r="S301">
        <f>survey_responses[[#This Row],[Tôi tin rằng với các quy định quản lý thuế hiện nay, hành vi gian lận hoặc trốn thuế sẽ dễ dàng bị phát hiện và xử lý nghiêm. - HUMAN-ENF1]]</f>
        <v>9</v>
      </c>
      <c r="T301" t="str">
        <f t="shared" si="109"/>
        <v>Support</v>
      </c>
      <c r="U301" s="32">
        <f t="shared" si="110"/>
        <v>2</v>
      </c>
      <c r="V301">
        <f>step3_validation[[#This Row],[AI_ENF2]]</f>
        <v>6</v>
      </c>
      <c r="W301" t="str">
        <f t="shared" si="111"/>
        <v>Neutral</v>
      </c>
      <c r="X301">
        <f>survey_responses[[#This Row],[Tôi tin rằng Nhà nước, cơ quan thuế có đủ khả năng và công nghệ để phát hiện, xử lý nghiêm các hành vi trốn thuế. - HUMAN-ENF2]]</f>
        <v>9</v>
      </c>
      <c r="Y301" t="str">
        <f t="shared" si="112"/>
        <v>Support</v>
      </c>
      <c r="Z301" s="32">
        <f t="shared" si="113"/>
        <v>3</v>
      </c>
      <c r="AA301">
        <f>step3_validation[[#This Row],[AI_FAC1]]</f>
        <v>8</v>
      </c>
      <c r="AB301" t="str">
        <f t="shared" si="114"/>
        <v>Support</v>
      </c>
      <c r="AC301">
        <f>survey_responses[[#This Row],[Các thủ tục khai báo thuế VÀ/HOẶC quy trình làm việc với cơ quan thuế đơn giản, tiện lợi, nhanh chóng hơn so với trước đây. - HUMAN-FAC1]]</f>
        <v>8</v>
      </c>
      <c r="AD301" t="str">
        <f t="shared" si="115"/>
        <v>Support</v>
      </c>
      <c r="AE301" s="32">
        <f t="shared" si="116"/>
        <v>0</v>
      </c>
      <c r="AF301">
        <f>step3_validation[[#This Row],[AI_FAC2]]</f>
        <v>9</v>
      </c>
      <c r="AG301" t="str">
        <f t="shared" si="117"/>
        <v>Support</v>
      </c>
      <c r="AH301">
        <f>survey_responses[[#This Row],[So với trước đây, tôi thấy cách tính thuế và các bậc thuế trong phương án mới đơn giản, dễ hiểu và dễ thực hiện hơn. - HUMAN-FAC2]]</f>
        <v>10</v>
      </c>
      <c r="AI301" t="str">
        <f t="shared" si="118"/>
        <v>Support</v>
      </c>
      <c r="AJ301" s="32">
        <f t="shared" si="119"/>
        <v>1</v>
      </c>
      <c r="AK301">
        <f>step3_validation[[#This Row],[AI_TRU1]]</f>
        <v>7</v>
      </c>
      <c r="AL301" t="str">
        <f t="shared" si="120"/>
        <v>Neutral</v>
      </c>
      <c r="AM301">
        <f>survey_responses[[#This Row],[Tôi tin rằng Nhà nước, cơ quan thuế sẽ thực thi chính sách mới một cách khách quan, công tâm và đối xử bình đẳng với mọi người nộp thuế.  - HUMAN-TRU1]]</f>
        <v>8</v>
      </c>
      <c r="AN301" t="str">
        <f t="shared" si="121"/>
        <v>Support</v>
      </c>
      <c r="AO301" s="32">
        <f t="shared" si="122"/>
        <v>1</v>
      </c>
      <c r="AP301">
        <f>step3_validation[[#This Row],[AI_TRU2]]</f>
        <v>8</v>
      </c>
      <c r="AQ301" t="str">
        <f t="shared" si="123"/>
        <v>Support</v>
      </c>
      <c r="AR301">
        <f>survey_responses[[#This Row],[Tôi thấy mức thuế tôi phải đóng theo phương án mới là công bằng (người thu nhập như tôi đóng mức này là hợp lý). - HUMAN-TRU2]]</f>
        <v>8</v>
      </c>
      <c r="AS301" t="str">
        <f t="shared" si="124"/>
        <v>Support</v>
      </c>
      <c r="AT301" s="32">
        <f t="shared" si="125"/>
        <v>0</v>
      </c>
      <c r="AU301">
        <f>step3_validation[[#This Row],[AI_TRU3]]</f>
        <v>7</v>
      </c>
      <c r="AV301" t="str">
        <f t="shared" si="126"/>
        <v>Neutral</v>
      </c>
      <c r="AW301">
        <f>survey_responses[[#This Row],[Tôi tin tưởng số tiền thuế tôi đóng sẽ được Nhà nước sử dụng hiệu quả để cải thiện dịch vụ công (y tế, đường xá...). - HUMAN-TRU3]]</f>
        <v>10</v>
      </c>
      <c r="AX301" t="str">
        <f t="shared" si="127"/>
        <v>Support</v>
      </c>
      <c r="AY301" s="32">
        <f t="shared" si="128"/>
        <v>3</v>
      </c>
      <c r="AZ301">
        <f>step3_validation[[#This Row],[AI_TRU4]]</f>
        <v>8</v>
      </c>
      <c r="BA301" t="str">
        <f t="shared" si="129"/>
        <v>Support</v>
      </c>
      <c r="BB301">
        <f>survey_responses[[#This Row],[Tôi thấy Nhà nước đã giải thích rõ ràng, minh bạch về lý do và mục tiêu của việc sửa đổi thuế lần này. - HUMAN-TRU4]]</f>
        <v>9</v>
      </c>
      <c r="BC301" t="str">
        <f t="shared" si="130"/>
        <v>Support</v>
      </c>
      <c r="BD301" s="32">
        <f t="shared" si="131"/>
        <v>1</v>
      </c>
      <c r="BE301">
        <f>step3_validation[[#This Row],[AI_OUT1]]</f>
        <v>9</v>
      </c>
      <c r="BF301" t="str">
        <f t="shared" si="132"/>
        <v>Support</v>
      </c>
      <c r="BG301">
        <f>survey_responses[[#This Row],[Sau khi xem xét các quyền lợi và nghĩa vụ, bạn có ủng hộ và tuân thủ chính sách mới hiện nay? - HUMAN-OUT1]]</f>
        <v>9</v>
      </c>
      <c r="BH301" t="str">
        <f t="shared" si="133"/>
        <v>Support</v>
      </c>
      <c r="BI301" s="32">
        <f t="shared" si="134"/>
        <v>0</v>
      </c>
    </row>
    <row r="302" spans="1:61" x14ac:dyDescent="0.45">
      <c r="A302" s="30">
        <f>step3_validation[[#This Row],[Persona_ID]]</f>
        <v>301</v>
      </c>
      <c r="B302" s="31">
        <f>step3_validation[[#This Row],[Used_Seed]]</f>
        <v>2326</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8</v>
      </c>
      <c r="R302" t="str">
        <f t="shared" si="108"/>
        <v>Support</v>
      </c>
      <c r="S302">
        <f>survey_responses[[#This Row],[Tôi tin rằng với các quy định quản lý thuế hiện nay, hành vi gian lận hoặc trốn thuế sẽ dễ dàng bị phát hiện và xử lý nghiêm. - HUMAN-ENF1]]</f>
        <v>8</v>
      </c>
      <c r="T302" t="str">
        <f t="shared" si="109"/>
        <v>Support</v>
      </c>
      <c r="U302" s="32">
        <f t="shared" si="110"/>
        <v>0</v>
      </c>
      <c r="V302">
        <f>step3_validation[[#This Row],[AI_ENF2]]</f>
        <v>9</v>
      </c>
      <c r="W302" t="str">
        <f t="shared" si="111"/>
        <v>Support</v>
      </c>
      <c r="X302">
        <f>survey_responses[[#This Row],[Tôi tin rằng Nhà nước, cơ quan thuế có đủ khả năng và công nghệ để phát hiện, xử lý nghiêm các hành vi trốn thuế. - HUMAN-ENF2]]</f>
        <v>7</v>
      </c>
      <c r="Y302" t="str">
        <f t="shared" si="112"/>
        <v>Neutral</v>
      </c>
      <c r="Z302" s="32">
        <f t="shared" si="113"/>
        <v>2</v>
      </c>
      <c r="AA302">
        <f>step3_validation[[#This Row],[AI_FAC1]]</f>
        <v>7</v>
      </c>
      <c r="AB302" t="str">
        <f t="shared" si="114"/>
        <v>Neutral</v>
      </c>
      <c r="AC302">
        <f>survey_responses[[#This Row],[Các thủ tục khai báo thuế VÀ/HOẶC quy trình làm việc với cơ quan thuế đơn giản, tiện lợi, nhanh chóng hơn so với trước đây. - HUMAN-FAC1]]</f>
        <v>9</v>
      </c>
      <c r="AD302" t="str">
        <f t="shared" si="115"/>
        <v>Support</v>
      </c>
      <c r="AE302" s="32">
        <f t="shared" si="116"/>
        <v>2</v>
      </c>
      <c r="AF302">
        <f>step3_validation[[#This Row],[AI_FAC2]]</f>
        <v>9</v>
      </c>
      <c r="AG302" t="str">
        <f t="shared" si="117"/>
        <v>Support</v>
      </c>
      <c r="AH302">
        <f>survey_responses[[#This Row],[So với trước đây, tôi thấy cách tính thuế và các bậc thuế trong phương án mới đơn giản, dễ hiểu và dễ thực hiện hơn. - HUMAN-FAC2]]</f>
        <v>5</v>
      </c>
      <c r="AI302" t="str">
        <f t="shared" si="118"/>
        <v>Neutral</v>
      </c>
      <c r="AJ302" s="32">
        <f t="shared" si="119"/>
        <v>4</v>
      </c>
      <c r="AK302">
        <f>step3_validation[[#This Row],[AI_TRU1]]</f>
        <v>7</v>
      </c>
      <c r="AL302" t="str">
        <f t="shared" si="120"/>
        <v>Neutral</v>
      </c>
      <c r="AM302">
        <f>survey_responses[[#This Row],[Tôi tin rằng Nhà nước, cơ quan thuế sẽ thực thi chính sách mới một cách khách quan, công tâm và đối xử bình đẳng với mọi người nộp thuế.  - HUMAN-TRU1]]</f>
        <v>7</v>
      </c>
      <c r="AN302" t="str">
        <f t="shared" si="121"/>
        <v>Neutral</v>
      </c>
      <c r="AO302" s="32">
        <f t="shared" si="122"/>
        <v>0</v>
      </c>
      <c r="AP302">
        <f>step3_validation[[#This Row],[AI_TRU2]]</f>
        <v>9</v>
      </c>
      <c r="AQ302" t="str">
        <f t="shared" si="123"/>
        <v>Support</v>
      </c>
      <c r="AR302">
        <f>survey_responses[[#This Row],[Tôi thấy mức thuế tôi phải đóng theo phương án mới là công bằng (người thu nhập như tôi đóng mức này là hợp lý). - HUMAN-TRU2]]</f>
        <v>7</v>
      </c>
      <c r="AS302" t="str">
        <f t="shared" si="124"/>
        <v>Neutral</v>
      </c>
      <c r="AT302" s="32">
        <f t="shared" si="125"/>
        <v>2</v>
      </c>
      <c r="AU302">
        <f>step3_validation[[#This Row],[AI_TRU3]]</f>
        <v>8</v>
      </c>
      <c r="AV302" t="str">
        <f t="shared" si="126"/>
        <v>Support</v>
      </c>
      <c r="AW302">
        <f>survey_responses[[#This Row],[Tôi tin tưởng số tiền thuế tôi đóng sẽ được Nhà nước sử dụng hiệu quả để cải thiện dịch vụ công (y tế, đường xá...). - HUMAN-TRU3]]</f>
        <v>7</v>
      </c>
      <c r="AX302" t="str">
        <f t="shared" si="127"/>
        <v>Neutral</v>
      </c>
      <c r="AY302" s="32">
        <f t="shared" si="128"/>
        <v>1</v>
      </c>
      <c r="AZ302">
        <f>step3_validation[[#This Row],[AI_TRU4]]</f>
        <v>7</v>
      </c>
      <c r="BA302" t="str">
        <f t="shared" si="129"/>
        <v>Neutral</v>
      </c>
      <c r="BB302">
        <f>survey_responses[[#This Row],[Tôi thấy Nhà nước đã giải thích rõ ràng, minh bạch về lý do và mục tiêu của việc sửa đổi thuế lần này. - HUMAN-TRU4]]</f>
        <v>6</v>
      </c>
      <c r="BC302" t="str">
        <f t="shared" si="130"/>
        <v>Neutral</v>
      </c>
      <c r="BD302" s="32">
        <f t="shared" si="131"/>
        <v>1</v>
      </c>
      <c r="BE302">
        <f>step3_validation[[#This Row],[AI_OUT1]]</f>
        <v>9</v>
      </c>
      <c r="BF302" t="str">
        <f t="shared" si="132"/>
        <v>Support</v>
      </c>
      <c r="BG302">
        <f>survey_responses[[#This Row],[Sau khi xem xét các quyền lợi và nghĩa vụ, bạn có ủng hộ và tuân thủ chính sách mới hiện nay? - HUMAN-OUT1]]</f>
        <v>7</v>
      </c>
      <c r="BH302" t="str">
        <f t="shared" si="133"/>
        <v>Neutral</v>
      </c>
      <c r="BI302" s="32">
        <f t="shared" si="134"/>
        <v>2</v>
      </c>
    </row>
    <row r="303" spans="1:61" x14ac:dyDescent="0.45">
      <c r="A303" s="30">
        <f>step3_validation[[#This Row],[Persona_ID]]</f>
        <v>302</v>
      </c>
      <c r="B303" s="31">
        <f>step3_validation[[#This Row],[Used_Seed]]</f>
        <v>2327</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28.625944835947372</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5</v>
      </c>
      <c r="R303" t="str">
        <f t="shared" si="108"/>
        <v>Neutral</v>
      </c>
      <c r="S303">
        <f>survey_responses[[#This Row],[Tôi tin rằng với các quy định quản lý thuế hiện nay, hành vi gian lận hoặc trốn thuế sẽ dễ dàng bị phát hiện và xử lý nghiêm. - HUMAN-ENF1]]</f>
        <v>7</v>
      </c>
      <c r="T303" t="str">
        <f t="shared" si="109"/>
        <v>Neutral</v>
      </c>
      <c r="U303" s="32">
        <f t="shared" si="110"/>
        <v>2</v>
      </c>
      <c r="V303">
        <f>step3_validation[[#This Row],[AI_ENF2]]</f>
        <v>6</v>
      </c>
      <c r="W303" t="str">
        <f t="shared" si="111"/>
        <v>Neutral</v>
      </c>
      <c r="X303">
        <f>survey_responses[[#This Row],[Tôi tin rằng Nhà nước, cơ quan thuế có đủ khả năng và công nghệ để phát hiện, xử lý nghiêm các hành vi trốn thuế. - HUMAN-ENF2]]</f>
        <v>7</v>
      </c>
      <c r="Y303" t="str">
        <f t="shared" si="112"/>
        <v>Neutral</v>
      </c>
      <c r="Z303" s="32">
        <f t="shared" si="113"/>
        <v>1</v>
      </c>
      <c r="AA303">
        <f>step3_validation[[#This Row],[AI_FAC1]]</f>
        <v>9</v>
      </c>
      <c r="AB303" t="str">
        <f t="shared" si="114"/>
        <v>Support</v>
      </c>
      <c r="AC303">
        <f>survey_responses[[#This Row],[Các thủ tục khai báo thuế VÀ/HOẶC quy trình làm việc với cơ quan thuế đơn giản, tiện lợi, nhanh chóng hơn so với trước đây. - HUMAN-FAC1]]</f>
        <v>4</v>
      </c>
      <c r="AD303" t="str">
        <f t="shared" si="115"/>
        <v>Oppose</v>
      </c>
      <c r="AE303" s="32">
        <f t="shared" si="116"/>
        <v>5</v>
      </c>
      <c r="AF303">
        <f>step3_validation[[#This Row],[AI_FAC2]]</f>
        <v>8</v>
      </c>
      <c r="AG303" t="str">
        <f t="shared" si="117"/>
        <v>Support</v>
      </c>
      <c r="AH303">
        <f>survey_responses[[#This Row],[So với trước đây, tôi thấy cách tính thuế và các bậc thuế trong phương án mới đơn giản, dễ hiểu và dễ thực hiện hơn. - HUMAN-FAC2]]</f>
        <v>8</v>
      </c>
      <c r="AI303" t="str">
        <f t="shared" si="118"/>
        <v>Support</v>
      </c>
      <c r="AJ303" s="32">
        <f t="shared" si="119"/>
        <v>0</v>
      </c>
      <c r="AK303">
        <f>step3_validation[[#This Row],[AI_TRU1]]</f>
        <v>7</v>
      </c>
      <c r="AL303" t="str">
        <f t="shared" si="120"/>
        <v>Neutral</v>
      </c>
      <c r="AM303">
        <f>survey_responses[[#This Row],[Tôi tin rằng Nhà nước, cơ quan thuế sẽ thực thi chính sách mới một cách khách quan, công tâm và đối xử bình đẳng với mọi người nộp thuế.  - HUMAN-TRU1]]</f>
        <v>7</v>
      </c>
      <c r="AN303" t="str">
        <f t="shared" si="121"/>
        <v>Neutral</v>
      </c>
      <c r="AO303" s="32">
        <f t="shared" si="122"/>
        <v>0</v>
      </c>
      <c r="AP303">
        <f>step3_validation[[#This Row],[AI_TRU2]]</f>
        <v>9</v>
      </c>
      <c r="AQ303" t="str">
        <f t="shared" si="123"/>
        <v>Support</v>
      </c>
      <c r="AR303">
        <f>survey_responses[[#This Row],[Tôi thấy mức thuế tôi phải đóng theo phương án mới là công bằng (người thu nhập như tôi đóng mức này là hợp lý). - HUMAN-TRU2]]</f>
        <v>7</v>
      </c>
      <c r="AS303" t="str">
        <f t="shared" si="124"/>
        <v>Neutral</v>
      </c>
      <c r="AT303" s="32">
        <f t="shared" si="125"/>
        <v>2</v>
      </c>
      <c r="AU303">
        <f>step3_validation[[#This Row],[AI_TRU3]]</f>
        <v>7</v>
      </c>
      <c r="AV303" t="str">
        <f t="shared" si="126"/>
        <v>Neutral</v>
      </c>
      <c r="AW303">
        <f>survey_responses[[#This Row],[Tôi tin tưởng số tiền thuế tôi đóng sẽ được Nhà nước sử dụng hiệu quả để cải thiện dịch vụ công (y tế, đường xá...). - HUMAN-TRU3]]</f>
        <v>5</v>
      </c>
      <c r="AX303" t="str">
        <f t="shared" si="127"/>
        <v>Neutral</v>
      </c>
      <c r="AY303" s="32">
        <f t="shared" si="128"/>
        <v>2</v>
      </c>
      <c r="AZ303">
        <f>step3_validation[[#This Row],[AI_TRU4]]</f>
        <v>6</v>
      </c>
      <c r="BA303" t="str">
        <f t="shared" si="129"/>
        <v>Neutral</v>
      </c>
      <c r="BB303">
        <f>survey_responses[[#This Row],[Tôi thấy Nhà nước đã giải thích rõ ràng, minh bạch về lý do và mục tiêu của việc sửa đổi thuế lần này. - HUMAN-TRU4]]</f>
        <v>5</v>
      </c>
      <c r="BC303" t="str">
        <f t="shared" si="130"/>
        <v>Neutral</v>
      </c>
      <c r="BD303" s="32">
        <f t="shared" si="131"/>
        <v>1</v>
      </c>
      <c r="BE303">
        <f>step3_validation[[#This Row],[AI_OUT1]]</f>
        <v>8</v>
      </c>
      <c r="BF303" t="str">
        <f t="shared" si="132"/>
        <v>Support</v>
      </c>
      <c r="BG303">
        <f>survey_responses[[#This Row],[Sau khi xem xét các quyền lợi và nghĩa vụ, bạn có ủng hộ và tuân thủ chính sách mới hiện nay? - HUMAN-OUT1]]</f>
        <v>7</v>
      </c>
      <c r="BH303" t="str">
        <f t="shared" si="133"/>
        <v>Neutral</v>
      </c>
      <c r="BI303" s="32">
        <f t="shared" si="134"/>
        <v>1</v>
      </c>
    </row>
    <row r="304" spans="1:61" x14ac:dyDescent="0.45">
      <c r="A304" s="30">
        <f>step3_validation[[#This Row],[Persona_ID]]</f>
        <v>303</v>
      </c>
      <c r="B304" s="31">
        <f>step3_validation[[#This Row],[Used_Seed]]</f>
        <v>2328</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30.613704498836046</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6</v>
      </c>
      <c r="R304" t="str">
        <f t="shared" si="108"/>
        <v>Neutral</v>
      </c>
      <c r="S304">
        <f>survey_responses[[#This Row],[Tôi tin rằng với các quy định quản lý thuế hiện nay, hành vi gian lận hoặc trốn thuế sẽ dễ dàng bị phát hiện và xử lý nghiêm. - HUMAN-ENF1]]</f>
        <v>6</v>
      </c>
      <c r="T304" t="str">
        <f t="shared" si="109"/>
        <v>Neutral</v>
      </c>
      <c r="U304" s="32">
        <f t="shared" si="110"/>
        <v>0</v>
      </c>
      <c r="V304">
        <f>step3_validation[[#This Row],[AI_ENF2]]</f>
        <v>8</v>
      </c>
      <c r="W304" t="str">
        <f t="shared" si="111"/>
        <v>Support</v>
      </c>
      <c r="X304">
        <f>survey_responses[[#This Row],[Tôi tin rằng Nhà nước, cơ quan thuế có đủ khả năng và công nghệ để phát hiện, xử lý nghiêm các hành vi trốn thuế. - HUMAN-ENF2]]</f>
        <v>10</v>
      </c>
      <c r="Y304" t="str">
        <f t="shared" si="112"/>
        <v>Support</v>
      </c>
      <c r="Z304" s="32">
        <f t="shared" si="113"/>
        <v>2</v>
      </c>
      <c r="AA304">
        <f>step3_validation[[#This Row],[AI_FAC1]]</f>
        <v>9</v>
      </c>
      <c r="AB304" t="str">
        <f t="shared" si="114"/>
        <v>Support</v>
      </c>
      <c r="AC304">
        <f>survey_responses[[#This Row],[Các thủ tục khai báo thuế VÀ/HOẶC quy trình làm việc với cơ quan thuế đơn giản, tiện lợi, nhanh chóng hơn so với trước đây. - HUMAN-FAC1]]</f>
        <v>5</v>
      </c>
      <c r="AD304" t="str">
        <f t="shared" si="115"/>
        <v>Neutral</v>
      </c>
      <c r="AE304" s="32">
        <f t="shared" si="116"/>
        <v>4</v>
      </c>
      <c r="AF304">
        <f>step3_validation[[#This Row],[AI_FAC2]]</f>
        <v>8</v>
      </c>
      <c r="AG304" t="str">
        <f t="shared" si="117"/>
        <v>Support</v>
      </c>
      <c r="AH304">
        <f>survey_responses[[#This Row],[So với trước đây, tôi thấy cách tính thuế và các bậc thuế trong phương án mới đơn giản, dễ hiểu và dễ thực hiện hơn. - HUMAN-FAC2]]</f>
        <v>4</v>
      </c>
      <c r="AI304" t="str">
        <f t="shared" si="118"/>
        <v>Oppose</v>
      </c>
      <c r="AJ304" s="32">
        <f t="shared" si="119"/>
        <v>4</v>
      </c>
      <c r="AK304">
        <f>step3_validation[[#This Row],[AI_TRU1]]</f>
        <v>7</v>
      </c>
      <c r="AL304" t="str">
        <f t="shared" si="120"/>
        <v>Neutral</v>
      </c>
      <c r="AM304">
        <f>survey_responses[[#This Row],[Tôi tin rằng Nhà nước, cơ quan thuế sẽ thực thi chính sách mới một cách khách quan, công tâm và đối xử bình đẳng với mọi người nộp thuế.  - HUMAN-TRU1]]</f>
        <v>3</v>
      </c>
      <c r="AN304" t="str">
        <f t="shared" si="121"/>
        <v>Oppose</v>
      </c>
      <c r="AO304" s="32">
        <f t="shared" si="122"/>
        <v>4</v>
      </c>
      <c r="AP304">
        <f>step3_validation[[#This Row],[AI_TRU2]]</f>
        <v>9</v>
      </c>
      <c r="AQ304" t="str">
        <f t="shared" si="123"/>
        <v>Support</v>
      </c>
      <c r="AR304">
        <f>survey_responses[[#This Row],[Tôi thấy mức thuế tôi phải đóng theo phương án mới là công bằng (người thu nhập như tôi đóng mức này là hợp lý). - HUMAN-TRU2]]</f>
        <v>7</v>
      </c>
      <c r="AS304" t="str">
        <f t="shared" si="124"/>
        <v>Neutral</v>
      </c>
      <c r="AT304" s="32">
        <f t="shared" si="125"/>
        <v>2</v>
      </c>
      <c r="AU304">
        <f>step3_validation[[#This Row],[AI_TRU3]]</f>
        <v>8</v>
      </c>
      <c r="AV304" t="str">
        <f t="shared" si="126"/>
        <v>Support</v>
      </c>
      <c r="AW304">
        <f>survey_responses[[#This Row],[Tôi tin tưởng số tiền thuế tôi đóng sẽ được Nhà nước sử dụng hiệu quả để cải thiện dịch vụ công (y tế, đường xá...). - HUMAN-TRU3]]</f>
        <v>4</v>
      </c>
      <c r="AX304" t="str">
        <f t="shared" si="127"/>
        <v>Oppose</v>
      </c>
      <c r="AY304" s="32">
        <f t="shared" si="128"/>
        <v>4</v>
      </c>
      <c r="AZ304">
        <f>step3_validation[[#This Row],[AI_TRU4]]</f>
        <v>6</v>
      </c>
      <c r="BA304" t="str">
        <f t="shared" si="129"/>
        <v>Neutral</v>
      </c>
      <c r="BB304">
        <f>survey_responses[[#This Row],[Tôi thấy Nhà nước đã giải thích rõ ràng, minh bạch về lý do và mục tiêu của việc sửa đổi thuế lần này. - HUMAN-TRU4]]</f>
        <v>4</v>
      </c>
      <c r="BC304" t="str">
        <f t="shared" si="130"/>
        <v>Oppose</v>
      </c>
      <c r="BD304" s="32">
        <f t="shared" si="131"/>
        <v>2</v>
      </c>
      <c r="BE304">
        <f>step3_validation[[#This Row],[AI_OUT1]]</f>
        <v>9</v>
      </c>
      <c r="BF304" t="str">
        <f t="shared" si="132"/>
        <v>Support</v>
      </c>
      <c r="BG304">
        <f>survey_responses[[#This Row],[Sau khi xem xét các quyền lợi và nghĩa vụ, bạn có ủng hộ và tuân thủ chính sách mới hiện nay? - HUMAN-OUT1]]</f>
        <v>5</v>
      </c>
      <c r="BH304" t="str">
        <f t="shared" si="133"/>
        <v>Neutral</v>
      </c>
      <c r="BI304" s="32">
        <f t="shared" si="134"/>
        <v>4</v>
      </c>
    </row>
    <row r="305" spans="1:61" x14ac:dyDescent="0.45">
      <c r="A305" s="30">
        <f>step3_validation[[#This Row],[Persona_ID]]</f>
        <v>304</v>
      </c>
      <c r="B305" s="31">
        <f>step3_validation[[#This Row],[Used_Seed]]</f>
        <v>2329</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8</v>
      </c>
      <c r="R305" t="str">
        <f t="shared" si="108"/>
        <v>Support</v>
      </c>
      <c r="S305">
        <f>survey_responses[[#This Row],[Tôi tin rằng với các quy định quản lý thuế hiện nay, hành vi gian lận hoặc trốn thuế sẽ dễ dàng bị phát hiện và xử lý nghiêm. - HUMAN-ENF1]]</f>
        <v>10</v>
      </c>
      <c r="T305" t="str">
        <f t="shared" si="109"/>
        <v>Support</v>
      </c>
      <c r="U305" s="32">
        <f t="shared" si="110"/>
        <v>2</v>
      </c>
      <c r="V305">
        <f>step3_validation[[#This Row],[AI_ENF2]]</f>
        <v>7</v>
      </c>
      <c r="W305" t="str">
        <f t="shared" si="111"/>
        <v>Neutral</v>
      </c>
      <c r="X305">
        <f>survey_responses[[#This Row],[Tôi tin rằng Nhà nước, cơ quan thuế có đủ khả năng và công nghệ để phát hiện, xử lý nghiêm các hành vi trốn thuế. - HUMAN-ENF2]]</f>
        <v>10</v>
      </c>
      <c r="Y305" t="str">
        <f t="shared" si="112"/>
        <v>Support</v>
      </c>
      <c r="Z305" s="32">
        <f t="shared" si="113"/>
        <v>3</v>
      </c>
      <c r="AA305">
        <f>step3_validation[[#This Row],[AI_FAC1]]</f>
        <v>9</v>
      </c>
      <c r="AB305" t="str">
        <f t="shared" si="114"/>
        <v>Support</v>
      </c>
      <c r="AC305">
        <f>survey_responses[[#This Row],[Các thủ tục khai báo thuế VÀ/HOẶC quy trình làm việc với cơ quan thuế đơn giản, tiện lợi, nhanh chóng hơn so với trước đây. - HUMAN-FAC1]]</f>
        <v>10</v>
      </c>
      <c r="AD305" t="str">
        <f t="shared" si="115"/>
        <v>Support</v>
      </c>
      <c r="AE305" s="32">
        <f t="shared" si="116"/>
        <v>1</v>
      </c>
      <c r="AF305">
        <f>step3_validation[[#This Row],[AI_FAC2]]</f>
        <v>8</v>
      </c>
      <c r="AG305" t="str">
        <f t="shared" si="117"/>
        <v>Support</v>
      </c>
      <c r="AH305">
        <f>survey_responses[[#This Row],[So với trước đây, tôi thấy cách tính thuế và các bậc thuế trong phương án mới đơn giản, dễ hiểu và dễ thực hiện hơn. - HUMAN-FAC2]]</f>
        <v>10</v>
      </c>
      <c r="AI305" t="str">
        <f t="shared" si="118"/>
        <v>Support</v>
      </c>
      <c r="AJ305" s="32">
        <f t="shared" si="119"/>
        <v>2</v>
      </c>
      <c r="AK305">
        <f>step3_validation[[#This Row],[AI_TRU1]]</f>
        <v>9</v>
      </c>
      <c r="AL305" t="str">
        <f t="shared" si="120"/>
        <v>Support</v>
      </c>
      <c r="AM305">
        <f>survey_responses[[#This Row],[Tôi tin rằng Nhà nước, cơ quan thuế sẽ thực thi chính sách mới một cách khách quan, công tâm và đối xử bình đẳng với mọi người nộp thuế.  - HUMAN-TRU1]]</f>
        <v>10</v>
      </c>
      <c r="AN305" t="str">
        <f t="shared" si="121"/>
        <v>Support</v>
      </c>
      <c r="AO305" s="32">
        <f t="shared" si="122"/>
        <v>1</v>
      </c>
      <c r="AP305">
        <f>step3_validation[[#This Row],[AI_TRU2]]</f>
        <v>8</v>
      </c>
      <c r="AQ305" t="str">
        <f t="shared" si="123"/>
        <v>Support</v>
      </c>
      <c r="AR305">
        <f>survey_responses[[#This Row],[Tôi thấy mức thuế tôi phải đóng theo phương án mới là công bằng (người thu nhập như tôi đóng mức này là hợp lý). - HUMAN-TRU2]]</f>
        <v>10</v>
      </c>
      <c r="AS305" t="str">
        <f t="shared" si="124"/>
        <v>Support</v>
      </c>
      <c r="AT305" s="32">
        <f t="shared" si="125"/>
        <v>2</v>
      </c>
      <c r="AU305">
        <f>step3_validation[[#This Row],[AI_TRU3]]</f>
        <v>9</v>
      </c>
      <c r="AV305" t="str">
        <f t="shared" si="126"/>
        <v>Support</v>
      </c>
      <c r="AW305">
        <f>survey_responses[[#This Row],[Tôi tin tưởng số tiền thuế tôi đóng sẽ được Nhà nước sử dụng hiệu quả để cải thiện dịch vụ công (y tế, đường xá...). - HUMAN-TRU3]]</f>
        <v>10</v>
      </c>
      <c r="AX305" t="str">
        <f t="shared" si="127"/>
        <v>Support</v>
      </c>
      <c r="AY305" s="32">
        <f t="shared" si="128"/>
        <v>1</v>
      </c>
      <c r="AZ305">
        <f>step3_validation[[#This Row],[AI_TRU4]]</f>
        <v>8</v>
      </c>
      <c r="BA305" t="str">
        <f t="shared" si="129"/>
        <v>Support</v>
      </c>
      <c r="BB305">
        <f>survey_responses[[#This Row],[Tôi thấy Nhà nước đã giải thích rõ ràng, minh bạch về lý do và mục tiêu của việc sửa đổi thuế lần này. - HUMAN-TRU4]]</f>
        <v>10</v>
      </c>
      <c r="BC305" t="str">
        <f t="shared" si="130"/>
        <v>Support</v>
      </c>
      <c r="BD305" s="32">
        <f t="shared" si="131"/>
        <v>2</v>
      </c>
      <c r="BE305">
        <f>step3_validation[[#This Row],[AI_OUT1]]</f>
        <v>9</v>
      </c>
      <c r="BF305" t="str">
        <f t="shared" si="132"/>
        <v>Support</v>
      </c>
      <c r="BG305">
        <f>survey_responses[[#This Row],[Sau khi xem xét các quyền lợi và nghĩa vụ, bạn có ủng hộ và tuân thủ chính sách mới hiện nay? - HUMAN-OUT1]]</f>
        <v>10</v>
      </c>
      <c r="BH305" t="str">
        <f t="shared" si="133"/>
        <v>Support</v>
      </c>
      <c r="BI305" s="32">
        <f t="shared" si="134"/>
        <v>1</v>
      </c>
    </row>
    <row r="306" spans="1:61" x14ac:dyDescent="0.45">
      <c r="A306" s="30">
        <f>step3_validation[[#This Row],[Persona_ID]]</f>
        <v>305</v>
      </c>
      <c r="B306" s="31">
        <f>step3_validation[[#This Row],[Used_Seed]]</f>
        <v>2330</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40.874932966355765</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7</v>
      </c>
      <c r="R306" t="str">
        <f t="shared" si="108"/>
        <v>Neutral</v>
      </c>
      <c r="S306">
        <f>survey_responses[[#This Row],[Tôi tin rằng với các quy định quản lý thuế hiện nay, hành vi gian lận hoặc trốn thuế sẽ dễ dàng bị phát hiện và xử lý nghiêm. - HUMAN-ENF1]]</f>
        <v>7</v>
      </c>
      <c r="T306" t="str">
        <f t="shared" si="109"/>
        <v>Neutral</v>
      </c>
      <c r="U306" s="32">
        <f t="shared" si="110"/>
        <v>0</v>
      </c>
      <c r="V306">
        <f>step3_validation[[#This Row],[AI_ENF2]]</f>
        <v>8</v>
      </c>
      <c r="W306" t="str">
        <f t="shared" si="111"/>
        <v>Support</v>
      </c>
      <c r="X306">
        <f>survey_responses[[#This Row],[Tôi tin rằng Nhà nước, cơ quan thuế có đủ khả năng và công nghệ để phát hiện, xử lý nghiêm các hành vi trốn thuế. - HUMAN-ENF2]]</f>
        <v>9</v>
      </c>
      <c r="Y306" t="str">
        <f t="shared" si="112"/>
        <v>Support</v>
      </c>
      <c r="Z306" s="32">
        <f t="shared" si="113"/>
        <v>1</v>
      </c>
      <c r="AA306">
        <f>step3_validation[[#This Row],[AI_FAC1]]</f>
        <v>7</v>
      </c>
      <c r="AB306" t="str">
        <f t="shared" si="114"/>
        <v>Neutral</v>
      </c>
      <c r="AC306">
        <f>survey_responses[[#This Row],[Các thủ tục khai báo thuế VÀ/HOẶC quy trình làm việc với cơ quan thuế đơn giản, tiện lợi, nhanh chóng hơn so với trước đây. - HUMAN-FAC1]]</f>
        <v>8</v>
      </c>
      <c r="AD306" t="str">
        <f t="shared" si="115"/>
        <v>Support</v>
      </c>
      <c r="AE306" s="32">
        <f t="shared" si="116"/>
        <v>1</v>
      </c>
      <c r="AF306">
        <f>step3_validation[[#This Row],[AI_FAC2]]</f>
        <v>9</v>
      </c>
      <c r="AG306" t="str">
        <f t="shared" si="117"/>
        <v>Support</v>
      </c>
      <c r="AH306">
        <f>survey_responses[[#This Row],[So với trước đây, tôi thấy cách tính thuế và các bậc thuế trong phương án mới đơn giản, dễ hiểu và dễ thực hiện hơn. - HUMAN-FAC2]]</f>
        <v>6</v>
      </c>
      <c r="AI306" t="str">
        <f t="shared" si="118"/>
        <v>Neutral</v>
      </c>
      <c r="AJ306" s="32">
        <f t="shared" si="119"/>
        <v>3</v>
      </c>
      <c r="AK306">
        <f>step3_validation[[#This Row],[AI_TRU1]]</f>
        <v>8</v>
      </c>
      <c r="AL306" t="str">
        <f t="shared" si="120"/>
        <v>Support</v>
      </c>
      <c r="AM306">
        <f>survey_responses[[#This Row],[Tôi tin rằng Nhà nước, cơ quan thuế sẽ thực thi chính sách mới một cách khách quan, công tâm và đối xử bình đẳng với mọi người nộp thuế.  - HUMAN-TRU1]]</f>
        <v>5</v>
      </c>
      <c r="AN306" t="str">
        <f t="shared" si="121"/>
        <v>Neutral</v>
      </c>
      <c r="AO306" s="32">
        <f t="shared" si="122"/>
        <v>3</v>
      </c>
      <c r="AP306">
        <f>step3_validation[[#This Row],[AI_TRU2]]</f>
        <v>9</v>
      </c>
      <c r="AQ306" t="str">
        <f t="shared" si="123"/>
        <v>Support</v>
      </c>
      <c r="AR306">
        <f>survey_responses[[#This Row],[Tôi thấy mức thuế tôi phải đóng theo phương án mới là công bằng (người thu nhập như tôi đóng mức này là hợp lý). - HUMAN-TRU2]]</f>
        <v>3</v>
      </c>
      <c r="AS306" t="str">
        <f t="shared" si="124"/>
        <v>Oppose</v>
      </c>
      <c r="AT306" s="32">
        <f t="shared" si="125"/>
        <v>6</v>
      </c>
      <c r="AU306">
        <f>step3_validation[[#This Row],[AI_TRU3]]</f>
        <v>8</v>
      </c>
      <c r="AV306" t="str">
        <f t="shared" si="126"/>
        <v>Support</v>
      </c>
      <c r="AW306">
        <f>survey_responses[[#This Row],[Tôi tin tưởng số tiền thuế tôi đóng sẽ được Nhà nước sử dụng hiệu quả để cải thiện dịch vụ công (y tế, đường xá...). - HUMAN-TRU3]]</f>
        <v>9</v>
      </c>
      <c r="AX306" t="str">
        <f t="shared" si="127"/>
        <v>Support</v>
      </c>
      <c r="AY306" s="32">
        <f t="shared" si="128"/>
        <v>1</v>
      </c>
      <c r="AZ306">
        <f>step3_validation[[#This Row],[AI_TRU4]]</f>
        <v>7</v>
      </c>
      <c r="BA306" t="str">
        <f t="shared" si="129"/>
        <v>Neutral</v>
      </c>
      <c r="BB306">
        <f>survey_responses[[#This Row],[Tôi thấy Nhà nước đã giải thích rõ ràng, minh bạch về lý do và mục tiêu của việc sửa đổi thuế lần này. - HUMAN-TRU4]]</f>
        <v>3</v>
      </c>
      <c r="BC306" t="str">
        <f t="shared" si="130"/>
        <v>Oppose</v>
      </c>
      <c r="BD306" s="32">
        <f t="shared" si="131"/>
        <v>4</v>
      </c>
      <c r="BE306">
        <f>step3_validation[[#This Row],[AI_OUT1]]</f>
        <v>9</v>
      </c>
      <c r="BF306" t="str">
        <f t="shared" si="132"/>
        <v>Support</v>
      </c>
      <c r="BG306">
        <f>survey_responses[[#This Row],[Sau khi xem xét các quyền lợi và nghĩa vụ, bạn có ủng hộ và tuân thủ chính sách mới hiện nay? - HUMAN-OUT1]]</f>
        <v>4</v>
      </c>
      <c r="BH306" t="str">
        <f t="shared" si="133"/>
        <v>Oppose</v>
      </c>
      <c r="BI306" s="32">
        <f t="shared" si="134"/>
        <v>5</v>
      </c>
    </row>
    <row r="307" spans="1:61" x14ac:dyDescent="0.45">
      <c r="A307" s="30">
        <f>step3_validation[[#This Row],[Persona_ID]]</f>
        <v>306</v>
      </c>
      <c r="B307" s="31">
        <f>step3_validation[[#This Row],[Used_Seed]]</f>
        <v>2331</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66.477976666327947</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7</v>
      </c>
      <c r="R307" t="str">
        <f t="shared" si="108"/>
        <v>Neutral</v>
      </c>
      <c r="S307">
        <f>survey_responses[[#This Row],[Tôi tin rằng với các quy định quản lý thuế hiện nay, hành vi gian lận hoặc trốn thuế sẽ dễ dàng bị phát hiện và xử lý nghiêm. - HUMAN-ENF1]]</f>
        <v>3</v>
      </c>
      <c r="T307" t="str">
        <f t="shared" si="109"/>
        <v>Oppose</v>
      </c>
      <c r="U307" s="32">
        <f t="shared" si="110"/>
        <v>4</v>
      </c>
      <c r="V307">
        <f>step3_validation[[#This Row],[AI_ENF2]]</f>
        <v>6</v>
      </c>
      <c r="W307" t="str">
        <f t="shared" si="111"/>
        <v>Neutral</v>
      </c>
      <c r="X307">
        <f>survey_responses[[#This Row],[Tôi tin rằng Nhà nước, cơ quan thuế có đủ khả năng và công nghệ để phát hiện, xử lý nghiêm các hành vi trốn thuế. - HUMAN-ENF2]]</f>
        <v>8</v>
      </c>
      <c r="Y307" t="str">
        <f t="shared" si="112"/>
        <v>Support</v>
      </c>
      <c r="Z307" s="32">
        <f t="shared" si="113"/>
        <v>2</v>
      </c>
      <c r="AA307">
        <f>step3_validation[[#This Row],[AI_FAC1]]</f>
        <v>8</v>
      </c>
      <c r="AB307" t="str">
        <f t="shared" si="114"/>
        <v>Support</v>
      </c>
      <c r="AC307">
        <f>survey_responses[[#This Row],[Các thủ tục khai báo thuế VÀ/HOẶC quy trình làm việc với cơ quan thuế đơn giản, tiện lợi, nhanh chóng hơn so với trước đây. - HUMAN-FAC1]]</f>
        <v>8</v>
      </c>
      <c r="AD307" t="str">
        <f t="shared" si="115"/>
        <v>Support</v>
      </c>
      <c r="AE307" s="32">
        <f t="shared" si="116"/>
        <v>0</v>
      </c>
      <c r="AF307">
        <f>step3_validation[[#This Row],[AI_FAC2]]</f>
        <v>9</v>
      </c>
      <c r="AG307" t="str">
        <f t="shared" si="117"/>
        <v>Support</v>
      </c>
      <c r="AH307">
        <f>survey_responses[[#This Row],[So với trước đây, tôi thấy cách tính thuế và các bậc thuế trong phương án mới đơn giản, dễ hiểu và dễ thực hiện hơn. - HUMAN-FAC2]]</f>
        <v>4</v>
      </c>
      <c r="AI307" t="str">
        <f t="shared" si="118"/>
        <v>Oppose</v>
      </c>
      <c r="AJ307" s="32">
        <f t="shared" si="119"/>
        <v>5</v>
      </c>
      <c r="AK307">
        <f>step3_validation[[#This Row],[AI_TRU1]]</f>
        <v>8</v>
      </c>
      <c r="AL307" t="str">
        <f t="shared" si="120"/>
        <v>Support</v>
      </c>
      <c r="AM307">
        <f>survey_responses[[#This Row],[Tôi tin rằng Nhà nước, cơ quan thuế sẽ thực thi chính sách mới một cách khách quan, công tâm và đối xử bình đẳng với mọi người nộp thuế.  - HUMAN-TRU1]]</f>
        <v>4</v>
      </c>
      <c r="AN307" t="str">
        <f t="shared" si="121"/>
        <v>Oppose</v>
      </c>
      <c r="AO307" s="32">
        <f t="shared" si="122"/>
        <v>4</v>
      </c>
      <c r="AP307">
        <f>step3_validation[[#This Row],[AI_TRU2]]</f>
        <v>9</v>
      </c>
      <c r="AQ307" t="str">
        <f t="shared" si="123"/>
        <v>Support</v>
      </c>
      <c r="AR307">
        <f>survey_responses[[#This Row],[Tôi thấy mức thuế tôi phải đóng theo phương án mới là công bằng (người thu nhập như tôi đóng mức này là hợp lý). - HUMAN-TRU2]]</f>
        <v>3</v>
      </c>
      <c r="AS307" t="str">
        <f t="shared" si="124"/>
        <v>Oppose</v>
      </c>
      <c r="AT307" s="32">
        <f t="shared" si="125"/>
        <v>6</v>
      </c>
      <c r="AU307">
        <f>step3_validation[[#This Row],[AI_TRU3]]</f>
        <v>7</v>
      </c>
      <c r="AV307" t="str">
        <f t="shared" si="126"/>
        <v>Neutral</v>
      </c>
      <c r="AW307">
        <f>survey_responses[[#This Row],[Tôi tin tưởng số tiền thuế tôi đóng sẽ được Nhà nước sử dụng hiệu quả để cải thiện dịch vụ công (y tế, đường xá...). - HUMAN-TRU3]]</f>
        <v>7</v>
      </c>
      <c r="AX307" t="str">
        <f t="shared" si="127"/>
        <v>Neutral</v>
      </c>
      <c r="AY307" s="32">
        <f t="shared" si="128"/>
        <v>0</v>
      </c>
      <c r="AZ307">
        <f>step3_validation[[#This Row],[AI_TRU4]]</f>
        <v>8</v>
      </c>
      <c r="BA307" t="str">
        <f t="shared" si="129"/>
        <v>Support</v>
      </c>
      <c r="BB307">
        <f>survey_responses[[#This Row],[Tôi thấy Nhà nước đã giải thích rõ ràng, minh bạch về lý do và mục tiêu của việc sửa đổi thuế lần này. - HUMAN-TRU4]]</f>
        <v>5</v>
      </c>
      <c r="BC307" t="str">
        <f t="shared" si="130"/>
        <v>Neutral</v>
      </c>
      <c r="BD307" s="32">
        <f t="shared" si="131"/>
        <v>3</v>
      </c>
      <c r="BE307">
        <f>step3_validation[[#This Row],[AI_OUT1]]</f>
        <v>9</v>
      </c>
      <c r="BF307" t="str">
        <f t="shared" si="132"/>
        <v>Support</v>
      </c>
      <c r="BG307">
        <f>survey_responses[[#This Row],[Sau khi xem xét các quyền lợi và nghĩa vụ, bạn có ủng hộ và tuân thủ chính sách mới hiện nay? - HUMAN-OUT1]]</f>
        <v>5</v>
      </c>
      <c r="BH307" t="str">
        <f t="shared" si="133"/>
        <v>Neutral</v>
      </c>
      <c r="BI307" s="32">
        <f t="shared" si="134"/>
        <v>4</v>
      </c>
    </row>
    <row r="308" spans="1:61" x14ac:dyDescent="0.45">
      <c r="A308" s="30">
        <f>step3_validation[[#This Row],[Persona_ID]]</f>
        <v>307</v>
      </c>
      <c r="B308" s="31">
        <f>step3_validation[[#This Row],[Used_Seed]]</f>
        <v>2332</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13.118372459798383</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6</v>
      </c>
      <c r="R308" t="str">
        <f t="shared" si="108"/>
        <v>Neutral</v>
      </c>
      <c r="S308">
        <f>survey_responses[[#This Row],[Tôi tin rằng với các quy định quản lý thuế hiện nay, hành vi gian lận hoặc trốn thuế sẽ dễ dàng bị phát hiện và xử lý nghiêm. - HUMAN-ENF1]]</f>
        <v>2</v>
      </c>
      <c r="T308" t="str">
        <f t="shared" si="109"/>
        <v>Oppose</v>
      </c>
      <c r="U308" s="32">
        <f t="shared" si="110"/>
        <v>4</v>
      </c>
      <c r="V308">
        <f>step3_validation[[#This Row],[AI_ENF2]]</f>
        <v>7</v>
      </c>
      <c r="W308" t="str">
        <f t="shared" si="111"/>
        <v>Neutral</v>
      </c>
      <c r="X308">
        <f>survey_responses[[#This Row],[Tôi tin rằng Nhà nước, cơ quan thuế có đủ khả năng và công nghệ để phát hiện, xử lý nghiêm các hành vi trốn thuế. - HUMAN-ENF2]]</f>
        <v>2</v>
      </c>
      <c r="Y308" t="str">
        <f t="shared" si="112"/>
        <v>Oppose</v>
      </c>
      <c r="Z308" s="32">
        <f t="shared" si="113"/>
        <v>5</v>
      </c>
      <c r="AA308">
        <f>step3_validation[[#This Row],[AI_FAC1]]</f>
        <v>9</v>
      </c>
      <c r="AB308" t="str">
        <f t="shared" si="114"/>
        <v>Support</v>
      </c>
      <c r="AC308">
        <f>survey_responses[[#This Row],[Các thủ tục khai báo thuế VÀ/HOẶC quy trình làm việc với cơ quan thuế đơn giản, tiện lợi, nhanh chóng hơn so với trước đây. - HUMAN-FAC1]]</f>
        <v>2</v>
      </c>
      <c r="AD308" t="str">
        <f t="shared" si="115"/>
        <v>Oppose</v>
      </c>
      <c r="AE308" s="32">
        <f t="shared" si="116"/>
        <v>7</v>
      </c>
      <c r="AF308">
        <f>step3_validation[[#This Row],[AI_FAC2]]</f>
        <v>8</v>
      </c>
      <c r="AG308" t="str">
        <f t="shared" si="117"/>
        <v>Support</v>
      </c>
      <c r="AH308">
        <f>survey_responses[[#This Row],[So với trước đây, tôi thấy cách tính thuế và các bậc thuế trong phương án mới đơn giản, dễ hiểu và dễ thực hiện hơn. - HUMAN-FAC2]]</f>
        <v>1</v>
      </c>
      <c r="AI308" t="str">
        <f t="shared" si="118"/>
        <v>Oppose</v>
      </c>
      <c r="AJ308" s="32">
        <f t="shared" si="119"/>
        <v>7</v>
      </c>
      <c r="AK308">
        <f>step3_validation[[#This Row],[AI_TRU1]]</f>
        <v>7</v>
      </c>
      <c r="AL308" t="str">
        <f t="shared" si="120"/>
        <v>Neutral</v>
      </c>
      <c r="AM308">
        <f>survey_responses[[#This Row],[Tôi tin rằng Nhà nước, cơ quan thuế sẽ thực thi chính sách mới một cách khách quan, công tâm và đối xử bình đẳng với mọi người nộp thuế.  - HUMAN-TRU1]]</f>
        <v>2</v>
      </c>
      <c r="AN308" t="str">
        <f t="shared" si="121"/>
        <v>Oppose</v>
      </c>
      <c r="AO308" s="32">
        <f t="shared" si="122"/>
        <v>5</v>
      </c>
      <c r="AP308">
        <f>step3_validation[[#This Row],[AI_TRU2]]</f>
        <v>9</v>
      </c>
      <c r="AQ308" t="str">
        <f t="shared" si="123"/>
        <v>Support</v>
      </c>
      <c r="AR308">
        <f>survey_responses[[#This Row],[Tôi thấy mức thuế tôi phải đóng theo phương án mới là công bằng (người thu nhập như tôi đóng mức này là hợp lý). - HUMAN-TRU2]]</f>
        <v>2</v>
      </c>
      <c r="AS308" t="str">
        <f t="shared" si="124"/>
        <v>Oppose</v>
      </c>
      <c r="AT308" s="32">
        <f t="shared" si="125"/>
        <v>7</v>
      </c>
      <c r="AU308">
        <f>step3_validation[[#This Row],[AI_TRU3]]</f>
        <v>8</v>
      </c>
      <c r="AV308" t="str">
        <f t="shared" si="126"/>
        <v>Support</v>
      </c>
      <c r="AW308">
        <f>survey_responses[[#This Row],[Tôi tin tưởng số tiền thuế tôi đóng sẽ được Nhà nước sử dụng hiệu quả để cải thiện dịch vụ công (y tế, đường xá...). - HUMAN-TRU3]]</f>
        <v>2</v>
      </c>
      <c r="AX308" t="str">
        <f t="shared" si="127"/>
        <v>Oppose</v>
      </c>
      <c r="AY308" s="32">
        <f t="shared" si="128"/>
        <v>6</v>
      </c>
      <c r="AZ308">
        <f>step3_validation[[#This Row],[AI_TRU4]]</f>
        <v>9</v>
      </c>
      <c r="BA308" t="str">
        <f t="shared" si="129"/>
        <v>Support</v>
      </c>
      <c r="BB308">
        <f>survey_responses[[#This Row],[Tôi thấy Nhà nước đã giải thích rõ ràng, minh bạch về lý do và mục tiêu của việc sửa đổi thuế lần này. - HUMAN-TRU4]]</f>
        <v>2</v>
      </c>
      <c r="BC308" t="str">
        <f t="shared" si="130"/>
        <v>Oppose</v>
      </c>
      <c r="BD308" s="32">
        <f t="shared" si="131"/>
        <v>7</v>
      </c>
      <c r="BE308">
        <f>step3_validation[[#This Row],[AI_OUT1]]</f>
        <v>8</v>
      </c>
      <c r="BF308" t="str">
        <f t="shared" si="132"/>
        <v>Support</v>
      </c>
      <c r="BG308">
        <f>survey_responses[[#This Row],[Sau khi xem xét các quyền lợi và nghĩa vụ, bạn có ủng hộ và tuân thủ chính sách mới hiện nay? - HUMAN-OUT1]]</f>
        <v>2</v>
      </c>
      <c r="BH308" t="str">
        <f t="shared" si="133"/>
        <v>Oppose</v>
      </c>
      <c r="BI308" s="32">
        <f t="shared" si="134"/>
        <v>6</v>
      </c>
    </row>
    <row r="309" spans="1:61" x14ac:dyDescent="0.45">
      <c r="A309" s="30">
        <f>step3_validation[[#This Row],[Persona_ID]]</f>
        <v>308</v>
      </c>
      <c r="B309" s="31">
        <f>step3_validation[[#This Row],[Used_Seed]]</f>
        <v>2333</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180.15001953069222</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8</v>
      </c>
      <c r="R309" t="str">
        <f t="shared" si="108"/>
        <v>Support</v>
      </c>
      <c r="S309">
        <f>survey_responses[[#This Row],[Tôi tin rằng với các quy định quản lý thuế hiện nay, hành vi gian lận hoặc trốn thuế sẽ dễ dàng bị phát hiện và xử lý nghiêm. - HUMAN-ENF1]]</f>
        <v>10</v>
      </c>
      <c r="T309" t="str">
        <f t="shared" si="109"/>
        <v>Support</v>
      </c>
      <c r="U309" s="32">
        <f t="shared" si="110"/>
        <v>2</v>
      </c>
      <c r="V309">
        <f>step3_validation[[#This Row],[AI_ENF2]]</f>
        <v>9</v>
      </c>
      <c r="W309" t="str">
        <f t="shared" si="111"/>
        <v>Support</v>
      </c>
      <c r="X309">
        <f>survey_responses[[#This Row],[Tôi tin rằng Nhà nước, cơ quan thuế có đủ khả năng và công nghệ để phát hiện, xử lý nghiêm các hành vi trốn thuế. - HUMAN-ENF2]]</f>
        <v>8</v>
      </c>
      <c r="Y309" t="str">
        <f t="shared" si="112"/>
        <v>Support</v>
      </c>
      <c r="Z309" s="32">
        <f t="shared" si="113"/>
        <v>1</v>
      </c>
      <c r="AA309">
        <f>step3_validation[[#This Row],[AI_FAC1]]</f>
        <v>7</v>
      </c>
      <c r="AB309" t="str">
        <f t="shared" si="114"/>
        <v>Neutral</v>
      </c>
      <c r="AC309">
        <f>survey_responses[[#This Row],[Các thủ tục khai báo thuế VÀ/HOẶC quy trình làm việc với cơ quan thuế đơn giản, tiện lợi, nhanh chóng hơn so với trước đây. - HUMAN-FAC1]]</f>
        <v>8</v>
      </c>
      <c r="AD309" t="str">
        <f t="shared" si="115"/>
        <v>Support</v>
      </c>
      <c r="AE309" s="32">
        <f t="shared" si="116"/>
        <v>1</v>
      </c>
      <c r="AF309">
        <f>step3_validation[[#This Row],[AI_FAC2]]</f>
        <v>9</v>
      </c>
      <c r="AG309" t="str">
        <f t="shared" si="117"/>
        <v>Support</v>
      </c>
      <c r="AH309">
        <f>survey_responses[[#This Row],[So với trước đây, tôi thấy cách tính thuế và các bậc thuế trong phương án mới đơn giản, dễ hiểu và dễ thực hiện hơn. - HUMAN-FAC2]]</f>
        <v>8</v>
      </c>
      <c r="AI309" t="str">
        <f t="shared" si="118"/>
        <v>Support</v>
      </c>
      <c r="AJ309" s="32">
        <f t="shared" si="119"/>
        <v>1</v>
      </c>
      <c r="AK309">
        <f>step3_validation[[#This Row],[AI_TRU1]]</f>
        <v>9</v>
      </c>
      <c r="AL309" t="str">
        <f t="shared" si="120"/>
        <v>Support</v>
      </c>
      <c r="AM309">
        <f>survey_responses[[#This Row],[Tôi tin rằng Nhà nước, cơ quan thuế sẽ thực thi chính sách mới một cách khách quan, công tâm và đối xử bình đẳng với mọi người nộp thuế.  - HUMAN-TRU1]]</f>
        <v>10</v>
      </c>
      <c r="AN309" t="str">
        <f t="shared" si="121"/>
        <v>Support</v>
      </c>
      <c r="AO309" s="32">
        <f t="shared" si="122"/>
        <v>1</v>
      </c>
      <c r="AP309">
        <f>step3_validation[[#This Row],[AI_TRU2]]</f>
        <v>8</v>
      </c>
      <c r="AQ309" t="str">
        <f t="shared" si="123"/>
        <v>Support</v>
      </c>
      <c r="AR309">
        <f>survey_responses[[#This Row],[Tôi thấy mức thuế tôi phải đóng theo phương án mới là công bằng (người thu nhập như tôi đóng mức này là hợp lý). - HUMAN-TRU2]]</f>
        <v>10</v>
      </c>
      <c r="AS309" t="str">
        <f t="shared" si="124"/>
        <v>Support</v>
      </c>
      <c r="AT309" s="32">
        <f t="shared" si="125"/>
        <v>2</v>
      </c>
      <c r="AU309">
        <f>step3_validation[[#This Row],[AI_TRU3]]</f>
        <v>9</v>
      </c>
      <c r="AV309" t="str">
        <f t="shared" si="126"/>
        <v>Support</v>
      </c>
      <c r="AW309">
        <f>survey_responses[[#This Row],[Tôi tin tưởng số tiền thuế tôi đóng sẽ được Nhà nước sử dụng hiệu quả để cải thiện dịch vụ công (y tế, đường xá...). - HUMAN-TRU3]]</f>
        <v>6</v>
      </c>
      <c r="AX309" t="str">
        <f t="shared" si="127"/>
        <v>Neutral</v>
      </c>
      <c r="AY309" s="32">
        <f t="shared" si="128"/>
        <v>3</v>
      </c>
      <c r="AZ309">
        <f>step3_validation[[#This Row],[AI_TRU4]]</f>
        <v>8</v>
      </c>
      <c r="BA309" t="str">
        <f t="shared" si="129"/>
        <v>Support</v>
      </c>
      <c r="BB309">
        <f>survey_responses[[#This Row],[Tôi thấy Nhà nước đã giải thích rõ ràng, minh bạch về lý do và mục tiêu của việc sửa đổi thuế lần này. - HUMAN-TRU4]]</f>
        <v>8</v>
      </c>
      <c r="BC309" t="str">
        <f t="shared" si="130"/>
        <v>Support</v>
      </c>
      <c r="BD309" s="32">
        <f t="shared" si="131"/>
        <v>0</v>
      </c>
      <c r="BE309">
        <f>step3_validation[[#This Row],[AI_OUT1]]</f>
        <v>9</v>
      </c>
      <c r="BF309" t="str">
        <f t="shared" si="132"/>
        <v>Support</v>
      </c>
      <c r="BG309">
        <f>survey_responses[[#This Row],[Sau khi xem xét các quyền lợi và nghĩa vụ, bạn có ủng hộ và tuân thủ chính sách mới hiện nay? - HUMAN-OUT1]]</f>
        <v>8</v>
      </c>
      <c r="BH309" t="str">
        <f t="shared" si="133"/>
        <v>Support</v>
      </c>
      <c r="BI309" s="32">
        <f t="shared" si="134"/>
        <v>1</v>
      </c>
    </row>
    <row r="310" spans="1:61" x14ac:dyDescent="0.45">
      <c r="A310" s="30">
        <f>step3_validation[[#This Row],[Persona_ID]]</f>
        <v>309</v>
      </c>
      <c r="B310" s="31">
        <f>step3_validation[[#This Row],[Used_Seed]]</f>
        <v>2334</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64.845851968529757</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7</v>
      </c>
      <c r="R310" t="str">
        <f t="shared" si="108"/>
        <v>Neutral</v>
      </c>
      <c r="S310">
        <f>survey_responses[[#This Row],[Tôi tin rằng với các quy định quản lý thuế hiện nay, hành vi gian lận hoặc trốn thuế sẽ dễ dàng bị phát hiện và xử lý nghiêm. - HUMAN-ENF1]]</f>
        <v>10</v>
      </c>
      <c r="T310" t="str">
        <f t="shared" si="109"/>
        <v>Support</v>
      </c>
      <c r="U310" s="32">
        <f t="shared" si="110"/>
        <v>3</v>
      </c>
      <c r="V310">
        <f>step3_validation[[#This Row],[AI_ENF2]]</f>
        <v>8</v>
      </c>
      <c r="W310" t="str">
        <f t="shared" si="111"/>
        <v>Support</v>
      </c>
      <c r="X310">
        <f>survey_responses[[#This Row],[Tôi tin rằng Nhà nước, cơ quan thuế có đủ khả năng và công nghệ để phát hiện, xử lý nghiêm các hành vi trốn thuế. - HUMAN-ENF2]]</f>
        <v>10</v>
      </c>
      <c r="Y310" t="str">
        <f t="shared" si="112"/>
        <v>Support</v>
      </c>
      <c r="Z310" s="32">
        <f t="shared" si="113"/>
        <v>2</v>
      </c>
      <c r="AA310">
        <f>step3_validation[[#This Row],[AI_FAC1]]</f>
        <v>9</v>
      </c>
      <c r="AB310" t="str">
        <f t="shared" si="114"/>
        <v>Support</v>
      </c>
      <c r="AC310">
        <f>survey_responses[[#This Row],[Các thủ tục khai báo thuế VÀ/HOẶC quy trình làm việc với cơ quan thuế đơn giản, tiện lợi, nhanh chóng hơn so với trước đây. - HUMAN-FAC1]]</f>
        <v>10</v>
      </c>
      <c r="AD310" t="str">
        <f t="shared" si="115"/>
        <v>Support</v>
      </c>
      <c r="AE310" s="32">
        <f t="shared" si="116"/>
        <v>1</v>
      </c>
      <c r="AF310">
        <f>step3_validation[[#This Row],[AI_FAC2]]</f>
        <v>10</v>
      </c>
      <c r="AG310" t="str">
        <f t="shared" si="117"/>
        <v>Support</v>
      </c>
      <c r="AH310">
        <f>survey_responses[[#This Row],[So với trước đây, tôi thấy cách tính thuế và các bậc thuế trong phương án mới đơn giản, dễ hiểu và dễ thực hiện hơn. - HUMAN-FAC2]]</f>
        <v>10</v>
      </c>
      <c r="AI310" t="str">
        <f t="shared" si="118"/>
        <v>Support</v>
      </c>
      <c r="AJ310" s="32">
        <f t="shared" si="119"/>
        <v>0</v>
      </c>
      <c r="AK310">
        <f>step3_validation[[#This Row],[AI_TRU1]]</f>
        <v>9</v>
      </c>
      <c r="AL310" t="str">
        <f t="shared" si="120"/>
        <v>Support</v>
      </c>
      <c r="AM310">
        <f>survey_responses[[#This Row],[Tôi tin rằng Nhà nước, cơ quan thuế sẽ thực thi chính sách mới một cách khách quan, công tâm và đối xử bình đẳng với mọi người nộp thuế.  - HUMAN-TRU1]]</f>
        <v>10</v>
      </c>
      <c r="AN310" t="str">
        <f t="shared" si="121"/>
        <v>Support</v>
      </c>
      <c r="AO310" s="32">
        <f t="shared" si="122"/>
        <v>1</v>
      </c>
      <c r="AP310">
        <f>step3_validation[[#This Row],[AI_TRU2]]</f>
        <v>8</v>
      </c>
      <c r="AQ310" t="str">
        <f t="shared" si="123"/>
        <v>Support</v>
      </c>
      <c r="AR310">
        <f>survey_responses[[#This Row],[Tôi thấy mức thuế tôi phải đóng theo phương án mới là công bằng (người thu nhập như tôi đóng mức này là hợp lý). - HUMAN-TRU2]]</f>
        <v>9</v>
      </c>
      <c r="AS310" t="str">
        <f t="shared" si="124"/>
        <v>Support</v>
      </c>
      <c r="AT310" s="32">
        <f t="shared" si="125"/>
        <v>1</v>
      </c>
      <c r="AU310">
        <f>step3_validation[[#This Row],[AI_TRU3]]</f>
        <v>9</v>
      </c>
      <c r="AV310" t="str">
        <f t="shared" si="126"/>
        <v>Support</v>
      </c>
      <c r="AW310">
        <f>survey_responses[[#This Row],[Tôi tin tưởng số tiền thuế tôi đóng sẽ được Nhà nước sử dụng hiệu quả để cải thiện dịch vụ công (y tế, đường xá...). - HUMAN-TRU3]]</f>
        <v>9</v>
      </c>
      <c r="AX310" t="str">
        <f t="shared" si="127"/>
        <v>Support</v>
      </c>
      <c r="AY310" s="32">
        <f t="shared" si="128"/>
        <v>0</v>
      </c>
      <c r="AZ310">
        <f>step3_validation[[#This Row],[AI_TRU4]]</f>
        <v>8</v>
      </c>
      <c r="BA310" t="str">
        <f t="shared" si="129"/>
        <v>Support</v>
      </c>
      <c r="BB310">
        <f>survey_responses[[#This Row],[Tôi thấy Nhà nước đã giải thích rõ ràng, minh bạch về lý do và mục tiêu của việc sửa đổi thuế lần này. - HUMAN-TRU4]]</f>
        <v>10</v>
      </c>
      <c r="BC310" t="str">
        <f t="shared" si="130"/>
        <v>Support</v>
      </c>
      <c r="BD310" s="32">
        <f t="shared" si="131"/>
        <v>2</v>
      </c>
      <c r="BE310">
        <f>step3_validation[[#This Row],[AI_OUT1]]</f>
        <v>9</v>
      </c>
      <c r="BF310" t="str">
        <f t="shared" si="132"/>
        <v>Support</v>
      </c>
      <c r="BG310">
        <f>survey_responses[[#This Row],[Sau khi xem xét các quyền lợi và nghĩa vụ, bạn có ủng hộ và tuân thủ chính sách mới hiện nay? - HUMAN-OUT1]]</f>
        <v>10</v>
      </c>
      <c r="BH310" t="str">
        <f t="shared" si="133"/>
        <v>Support</v>
      </c>
      <c r="BI310" s="32">
        <f t="shared" si="134"/>
        <v>1</v>
      </c>
    </row>
    <row r="311" spans="1:61" x14ac:dyDescent="0.45">
      <c r="A311" s="30">
        <f>step3_validation[[#This Row],[Persona_ID]]</f>
        <v>310</v>
      </c>
      <c r="B311" s="31">
        <f>step3_validation[[#This Row],[Used_Seed]]</f>
        <v>2335</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21.063525017401624</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6</v>
      </c>
      <c r="R311" t="str">
        <f t="shared" si="108"/>
        <v>Neutral</v>
      </c>
      <c r="S311">
        <f>survey_responses[[#This Row],[Tôi tin rằng với các quy định quản lý thuế hiện nay, hành vi gian lận hoặc trốn thuế sẽ dễ dàng bị phát hiện và xử lý nghiêm. - HUMAN-ENF1]]</f>
        <v>7</v>
      </c>
      <c r="T311" t="str">
        <f t="shared" si="109"/>
        <v>Neutral</v>
      </c>
      <c r="U311" s="32">
        <f t="shared" si="110"/>
        <v>1</v>
      </c>
      <c r="V311">
        <f>step3_validation[[#This Row],[AI_ENF2]]</f>
        <v>6</v>
      </c>
      <c r="W311" t="str">
        <f t="shared" si="111"/>
        <v>Neutral</v>
      </c>
      <c r="X311">
        <f>survey_responses[[#This Row],[Tôi tin rằng Nhà nước, cơ quan thuế có đủ khả năng và công nghệ để phát hiện, xử lý nghiêm các hành vi trốn thuế. - HUMAN-ENF2]]</f>
        <v>7</v>
      </c>
      <c r="Y311" t="str">
        <f t="shared" si="112"/>
        <v>Neutral</v>
      </c>
      <c r="Z311" s="32">
        <f t="shared" si="113"/>
        <v>1</v>
      </c>
      <c r="AA311">
        <f>step3_validation[[#This Row],[AI_FAC1]]</f>
        <v>7</v>
      </c>
      <c r="AB311" t="str">
        <f t="shared" si="114"/>
        <v>Neutral</v>
      </c>
      <c r="AC311">
        <f>survey_responses[[#This Row],[Các thủ tục khai báo thuế VÀ/HOẶC quy trình làm việc với cơ quan thuế đơn giản, tiện lợi, nhanh chóng hơn so với trước đây. - HUMAN-FAC1]]</f>
        <v>5</v>
      </c>
      <c r="AD311" t="str">
        <f t="shared" si="115"/>
        <v>Neutral</v>
      </c>
      <c r="AE311" s="32">
        <f t="shared" si="116"/>
        <v>2</v>
      </c>
      <c r="AF311">
        <f>step3_validation[[#This Row],[AI_FAC2]]</f>
        <v>8</v>
      </c>
      <c r="AG311" t="str">
        <f t="shared" si="117"/>
        <v>Support</v>
      </c>
      <c r="AH311">
        <f>survey_responses[[#This Row],[So với trước đây, tôi thấy cách tính thuế và các bậc thuế trong phương án mới đơn giản, dễ hiểu và dễ thực hiện hơn. - HUMAN-FAC2]]</f>
        <v>8</v>
      </c>
      <c r="AI311" t="str">
        <f t="shared" si="118"/>
        <v>Support</v>
      </c>
      <c r="AJ311" s="32">
        <f t="shared" si="119"/>
        <v>0</v>
      </c>
      <c r="AK311">
        <f>step3_validation[[#This Row],[AI_TRU1]]</f>
        <v>7</v>
      </c>
      <c r="AL311" t="str">
        <f t="shared" si="120"/>
        <v>Neutral</v>
      </c>
      <c r="AM311">
        <f>survey_responses[[#This Row],[Tôi tin rằng Nhà nước, cơ quan thuế sẽ thực thi chính sách mới một cách khách quan, công tâm và đối xử bình đẳng với mọi người nộp thuế.  - HUMAN-TRU1]]</f>
        <v>8</v>
      </c>
      <c r="AN311" t="str">
        <f t="shared" si="121"/>
        <v>Support</v>
      </c>
      <c r="AO311" s="32">
        <f t="shared" si="122"/>
        <v>1</v>
      </c>
      <c r="AP311">
        <f>step3_validation[[#This Row],[AI_TRU2]]</f>
        <v>8</v>
      </c>
      <c r="AQ311" t="str">
        <f t="shared" si="123"/>
        <v>Support</v>
      </c>
      <c r="AR311">
        <f>survey_responses[[#This Row],[Tôi thấy mức thuế tôi phải đóng theo phương án mới là công bằng (người thu nhập như tôi đóng mức này là hợp lý). - HUMAN-TRU2]]</f>
        <v>9</v>
      </c>
      <c r="AS311" t="str">
        <f t="shared" si="124"/>
        <v>Support</v>
      </c>
      <c r="AT311" s="32">
        <f t="shared" si="125"/>
        <v>1</v>
      </c>
      <c r="AU311">
        <f>step3_validation[[#This Row],[AI_TRU3]]</f>
        <v>7</v>
      </c>
      <c r="AV311" t="str">
        <f t="shared" si="126"/>
        <v>Neutral</v>
      </c>
      <c r="AW311">
        <f>survey_responses[[#This Row],[Tôi tin tưởng số tiền thuế tôi đóng sẽ được Nhà nước sử dụng hiệu quả để cải thiện dịch vụ công (y tế, đường xá...). - HUMAN-TRU3]]</f>
        <v>9</v>
      </c>
      <c r="AX311" t="str">
        <f t="shared" si="127"/>
        <v>Support</v>
      </c>
      <c r="AY311" s="32">
        <f t="shared" si="128"/>
        <v>2</v>
      </c>
      <c r="AZ311">
        <f>step3_validation[[#This Row],[AI_TRU4]]</f>
        <v>6</v>
      </c>
      <c r="BA311" t="str">
        <f t="shared" si="129"/>
        <v>Neutral</v>
      </c>
      <c r="BB311">
        <f>survey_responses[[#This Row],[Tôi thấy Nhà nước đã giải thích rõ ràng, minh bạch về lý do và mục tiêu của việc sửa đổi thuế lần này. - HUMAN-TRU4]]</f>
        <v>9</v>
      </c>
      <c r="BC311" t="str">
        <f t="shared" si="130"/>
        <v>Support</v>
      </c>
      <c r="BD311" s="32">
        <f t="shared" si="131"/>
        <v>3</v>
      </c>
      <c r="BE311">
        <f>step3_validation[[#This Row],[AI_OUT1]]</f>
        <v>7</v>
      </c>
      <c r="BF311" t="str">
        <f t="shared" si="132"/>
        <v>Neutral</v>
      </c>
      <c r="BG311">
        <f>survey_responses[[#This Row],[Sau khi xem xét các quyền lợi và nghĩa vụ, bạn có ủng hộ và tuân thủ chính sách mới hiện nay? - HUMAN-OUT1]]</f>
        <v>10</v>
      </c>
      <c r="BH311" t="str">
        <f t="shared" si="133"/>
        <v>Support</v>
      </c>
      <c r="BI311" s="32">
        <f t="shared" si="134"/>
        <v>3</v>
      </c>
    </row>
    <row r="312" spans="1:61" x14ac:dyDescent="0.45">
      <c r="A312" s="30">
        <f>step3_validation[[#This Row],[Persona_ID]]</f>
        <v>311</v>
      </c>
      <c r="B312" s="31">
        <f>step3_validation[[#This Row],[Used_Seed]]</f>
        <v>2336</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13.57450705630349</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8</v>
      </c>
      <c r="R312" t="str">
        <f t="shared" si="108"/>
        <v>Support</v>
      </c>
      <c r="S312">
        <f>survey_responses[[#This Row],[Tôi tin rằng với các quy định quản lý thuế hiện nay, hành vi gian lận hoặc trốn thuế sẽ dễ dàng bị phát hiện và xử lý nghiêm. - HUMAN-ENF1]]</f>
        <v>6</v>
      </c>
      <c r="T312" t="str">
        <f t="shared" si="109"/>
        <v>Neutral</v>
      </c>
      <c r="U312" s="32">
        <f t="shared" si="110"/>
        <v>2</v>
      </c>
      <c r="V312">
        <f>step3_validation[[#This Row],[AI_ENF2]]</f>
        <v>9</v>
      </c>
      <c r="W312" t="str">
        <f t="shared" si="111"/>
        <v>Support</v>
      </c>
      <c r="X312">
        <f>survey_responses[[#This Row],[Tôi tin rằng Nhà nước, cơ quan thuế có đủ khả năng và công nghệ để phát hiện, xử lý nghiêm các hành vi trốn thuế. - HUMAN-ENF2]]</f>
        <v>5</v>
      </c>
      <c r="Y312" t="str">
        <f t="shared" si="112"/>
        <v>Neutral</v>
      </c>
      <c r="Z312" s="32">
        <f t="shared" si="113"/>
        <v>4</v>
      </c>
      <c r="AA312">
        <f>step3_validation[[#This Row],[AI_FAC1]]</f>
        <v>9</v>
      </c>
      <c r="AB312" t="str">
        <f t="shared" si="114"/>
        <v>Support</v>
      </c>
      <c r="AC312">
        <f>survey_responses[[#This Row],[Các thủ tục khai báo thuế VÀ/HOẶC quy trình làm việc với cơ quan thuế đơn giản, tiện lợi, nhanh chóng hơn so với trước đây. - HUMAN-FAC1]]</f>
        <v>4</v>
      </c>
      <c r="AD312" t="str">
        <f t="shared" si="115"/>
        <v>Oppose</v>
      </c>
      <c r="AE312" s="32">
        <f t="shared" si="116"/>
        <v>5</v>
      </c>
      <c r="AF312">
        <f>step3_validation[[#This Row],[AI_FAC2]]</f>
        <v>8</v>
      </c>
      <c r="AG312" t="str">
        <f t="shared" si="117"/>
        <v>Support</v>
      </c>
      <c r="AH312">
        <f>survey_responses[[#This Row],[So với trước đây, tôi thấy cách tính thuế và các bậc thuế trong phương án mới đơn giản, dễ hiểu và dễ thực hiện hơn. - HUMAN-FAC2]]</f>
        <v>7</v>
      </c>
      <c r="AI312" t="str">
        <f t="shared" si="118"/>
        <v>Neutral</v>
      </c>
      <c r="AJ312" s="32">
        <f t="shared" si="119"/>
        <v>1</v>
      </c>
      <c r="AK312">
        <f>step3_validation[[#This Row],[AI_TRU1]]</f>
        <v>9</v>
      </c>
      <c r="AL312" t="str">
        <f t="shared" si="120"/>
        <v>Support</v>
      </c>
      <c r="AM312">
        <f>survey_responses[[#This Row],[Tôi tin rằng Nhà nước, cơ quan thuế sẽ thực thi chính sách mới một cách khách quan, công tâm và đối xử bình đẳng với mọi người nộp thuế.  - HUMAN-TRU1]]</f>
        <v>5</v>
      </c>
      <c r="AN312" t="str">
        <f t="shared" si="121"/>
        <v>Neutral</v>
      </c>
      <c r="AO312" s="32">
        <f t="shared" si="122"/>
        <v>4</v>
      </c>
      <c r="AP312">
        <f>step3_validation[[#This Row],[AI_TRU2]]</f>
        <v>8</v>
      </c>
      <c r="AQ312" t="str">
        <f t="shared" si="123"/>
        <v>Support</v>
      </c>
      <c r="AR312">
        <f>survey_responses[[#This Row],[Tôi thấy mức thuế tôi phải đóng theo phương án mới là công bằng (người thu nhập như tôi đóng mức này là hợp lý). - HUMAN-TRU2]]</f>
        <v>6</v>
      </c>
      <c r="AS312" t="str">
        <f t="shared" si="124"/>
        <v>Neutral</v>
      </c>
      <c r="AT312" s="32">
        <f t="shared" si="125"/>
        <v>2</v>
      </c>
      <c r="AU312">
        <f>step3_validation[[#This Row],[AI_TRU3]]</f>
        <v>9</v>
      </c>
      <c r="AV312" t="str">
        <f t="shared" si="126"/>
        <v>Support</v>
      </c>
      <c r="AW312">
        <f>survey_responses[[#This Row],[Tôi tin tưởng số tiền thuế tôi đóng sẽ được Nhà nước sử dụng hiệu quả để cải thiện dịch vụ công (y tế, đường xá...). - HUMAN-TRU3]]</f>
        <v>6</v>
      </c>
      <c r="AX312" t="str">
        <f t="shared" si="127"/>
        <v>Neutral</v>
      </c>
      <c r="AY312" s="32">
        <f t="shared" si="128"/>
        <v>3</v>
      </c>
      <c r="AZ312">
        <f>step3_validation[[#This Row],[AI_TRU4]]</f>
        <v>8</v>
      </c>
      <c r="BA312" t="str">
        <f t="shared" si="129"/>
        <v>Support</v>
      </c>
      <c r="BB312">
        <f>survey_responses[[#This Row],[Tôi thấy Nhà nước đã giải thích rõ ràng, minh bạch về lý do và mục tiêu của việc sửa đổi thuế lần này. - HUMAN-TRU4]]</f>
        <v>7</v>
      </c>
      <c r="BC312" t="str">
        <f t="shared" si="130"/>
        <v>Neutral</v>
      </c>
      <c r="BD312" s="32">
        <f t="shared" si="131"/>
        <v>1</v>
      </c>
      <c r="BE312">
        <f>step3_validation[[#This Row],[AI_OUT1]]</f>
        <v>9</v>
      </c>
      <c r="BF312" t="str">
        <f t="shared" si="132"/>
        <v>Support</v>
      </c>
      <c r="BG312">
        <f>survey_responses[[#This Row],[Sau khi xem xét các quyền lợi và nghĩa vụ, bạn có ủng hộ và tuân thủ chính sách mới hiện nay? - HUMAN-OUT1]]</f>
        <v>7</v>
      </c>
      <c r="BH312" t="str">
        <f t="shared" si="133"/>
        <v>Neutral</v>
      </c>
      <c r="BI312" s="32">
        <f t="shared" si="134"/>
        <v>2</v>
      </c>
    </row>
    <row r="313" spans="1:61" x14ac:dyDescent="0.45">
      <c r="A313" s="30">
        <f>step3_validation[[#This Row],[Persona_ID]]</f>
        <v>312</v>
      </c>
      <c r="B313" s="31">
        <f>step3_validation[[#This Row],[Used_Seed]]</f>
        <v>2337</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20.777676159732167</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7</v>
      </c>
      <c r="R313" t="str">
        <f t="shared" si="108"/>
        <v>Neutral</v>
      </c>
      <c r="S313">
        <f>survey_responses[[#This Row],[Tôi tin rằng với các quy định quản lý thuế hiện nay, hành vi gian lận hoặc trốn thuế sẽ dễ dàng bị phát hiện và xử lý nghiêm. - HUMAN-ENF1]]</f>
        <v>8</v>
      </c>
      <c r="T313" t="str">
        <f t="shared" si="109"/>
        <v>Support</v>
      </c>
      <c r="U313" s="32">
        <f t="shared" si="110"/>
        <v>1</v>
      </c>
      <c r="V313">
        <f>step3_validation[[#This Row],[AI_ENF2]]</f>
        <v>6</v>
      </c>
      <c r="W313" t="str">
        <f t="shared" si="111"/>
        <v>Neutral</v>
      </c>
      <c r="X313">
        <f>survey_responses[[#This Row],[Tôi tin rằng Nhà nước, cơ quan thuế có đủ khả năng và công nghệ để phát hiện, xử lý nghiêm các hành vi trốn thuế. - HUMAN-ENF2]]</f>
        <v>9</v>
      </c>
      <c r="Y313" t="str">
        <f t="shared" si="112"/>
        <v>Support</v>
      </c>
      <c r="Z313" s="32">
        <f t="shared" si="113"/>
        <v>3</v>
      </c>
      <c r="AA313">
        <f>step3_validation[[#This Row],[AI_FAC1]]</f>
        <v>8</v>
      </c>
      <c r="AB313" t="str">
        <f t="shared" si="114"/>
        <v>Support</v>
      </c>
      <c r="AC313">
        <f>survey_responses[[#This Row],[Các thủ tục khai báo thuế VÀ/HOẶC quy trình làm việc với cơ quan thuế đơn giản, tiện lợi, nhanh chóng hơn so với trước đây. - HUMAN-FAC1]]</f>
        <v>10</v>
      </c>
      <c r="AD313" t="str">
        <f t="shared" si="115"/>
        <v>Support</v>
      </c>
      <c r="AE313" s="32">
        <f t="shared" si="116"/>
        <v>2</v>
      </c>
      <c r="AF313">
        <f>step3_validation[[#This Row],[AI_FAC2]]</f>
        <v>9</v>
      </c>
      <c r="AG313" t="str">
        <f t="shared" si="117"/>
        <v>Support</v>
      </c>
      <c r="AH313">
        <f>survey_responses[[#This Row],[So với trước đây, tôi thấy cách tính thuế và các bậc thuế trong phương án mới đơn giản, dễ hiểu và dễ thực hiện hơn. - HUMAN-FAC2]]</f>
        <v>10</v>
      </c>
      <c r="AI313" t="str">
        <f t="shared" si="118"/>
        <v>Support</v>
      </c>
      <c r="AJ313" s="32">
        <f t="shared" si="119"/>
        <v>1</v>
      </c>
      <c r="AK313">
        <f>step3_validation[[#This Row],[AI_TRU1]]</f>
        <v>6</v>
      </c>
      <c r="AL313" t="str">
        <f t="shared" si="120"/>
        <v>Neutral</v>
      </c>
      <c r="AM313">
        <f>survey_responses[[#This Row],[Tôi tin rằng Nhà nước, cơ quan thuế sẽ thực thi chính sách mới một cách khách quan, công tâm và đối xử bình đẳng với mọi người nộp thuế.  - HUMAN-TRU1]]</f>
        <v>8</v>
      </c>
      <c r="AN313" t="str">
        <f t="shared" si="121"/>
        <v>Support</v>
      </c>
      <c r="AO313" s="32">
        <f t="shared" si="122"/>
        <v>2</v>
      </c>
      <c r="AP313">
        <f>step3_validation[[#This Row],[AI_TRU2]]</f>
        <v>8</v>
      </c>
      <c r="AQ313" t="str">
        <f t="shared" si="123"/>
        <v>Support</v>
      </c>
      <c r="AR313">
        <f>survey_responses[[#This Row],[Tôi thấy mức thuế tôi phải đóng theo phương án mới là công bằng (người thu nhập như tôi đóng mức này là hợp lý). - HUMAN-TRU2]]</f>
        <v>9</v>
      </c>
      <c r="AS313" t="str">
        <f t="shared" si="124"/>
        <v>Support</v>
      </c>
      <c r="AT313" s="32">
        <f t="shared" si="125"/>
        <v>1</v>
      </c>
      <c r="AU313">
        <f>step3_validation[[#This Row],[AI_TRU3]]</f>
        <v>7</v>
      </c>
      <c r="AV313" t="str">
        <f t="shared" si="126"/>
        <v>Neutral</v>
      </c>
      <c r="AW313">
        <f>survey_responses[[#This Row],[Tôi tin tưởng số tiền thuế tôi đóng sẽ được Nhà nước sử dụng hiệu quả để cải thiện dịch vụ công (y tế, đường xá...). - HUMAN-TRU3]]</f>
        <v>8</v>
      </c>
      <c r="AX313" t="str">
        <f t="shared" si="127"/>
        <v>Support</v>
      </c>
      <c r="AY313" s="32">
        <f t="shared" si="128"/>
        <v>1</v>
      </c>
      <c r="AZ313">
        <f>step3_validation[[#This Row],[AI_TRU4]]</f>
        <v>5</v>
      </c>
      <c r="BA313" t="str">
        <f t="shared" si="129"/>
        <v>Neutral</v>
      </c>
      <c r="BB313">
        <f>survey_responses[[#This Row],[Tôi thấy Nhà nước đã giải thích rõ ràng, minh bạch về lý do và mục tiêu của việc sửa đổi thuế lần này. - HUMAN-TRU4]]</f>
        <v>8</v>
      </c>
      <c r="BC313" t="str">
        <f t="shared" si="130"/>
        <v>Support</v>
      </c>
      <c r="BD313" s="32">
        <f t="shared" si="131"/>
        <v>3</v>
      </c>
      <c r="BE313">
        <f>step3_validation[[#This Row],[AI_OUT1]]</f>
        <v>8</v>
      </c>
      <c r="BF313" t="str">
        <f t="shared" si="132"/>
        <v>Support</v>
      </c>
      <c r="BG313">
        <f>survey_responses[[#This Row],[Sau khi xem xét các quyền lợi và nghĩa vụ, bạn có ủng hộ và tuân thủ chính sách mới hiện nay? - HUMAN-OUT1]]</f>
        <v>10</v>
      </c>
      <c r="BH313" t="str">
        <f t="shared" si="133"/>
        <v>Support</v>
      </c>
      <c r="BI313" s="32">
        <f t="shared" si="134"/>
        <v>2</v>
      </c>
    </row>
    <row r="314" spans="1:61" x14ac:dyDescent="0.45">
      <c r="A314" s="30">
        <f>step3_validation[[#This Row],[Persona_ID]]</f>
        <v>313</v>
      </c>
      <c r="B314" s="31">
        <f>step3_validation[[#This Row],[Used_Seed]]</f>
        <v>2338</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12.81653958565153</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9</v>
      </c>
      <c r="R314" t="str">
        <f t="shared" si="108"/>
        <v>Support</v>
      </c>
      <c r="S314">
        <f>survey_responses[[#This Row],[Tôi tin rằng với các quy định quản lý thuế hiện nay, hành vi gian lận hoặc trốn thuế sẽ dễ dàng bị phát hiện và xử lý nghiêm. - HUMAN-ENF1]]</f>
        <v>6</v>
      </c>
      <c r="T314" t="str">
        <f t="shared" si="109"/>
        <v>Neutral</v>
      </c>
      <c r="U314" s="32">
        <f t="shared" si="110"/>
        <v>3</v>
      </c>
      <c r="V314">
        <f>step3_validation[[#This Row],[AI_ENF2]]</f>
        <v>8</v>
      </c>
      <c r="W314" t="str">
        <f t="shared" si="111"/>
        <v>Support</v>
      </c>
      <c r="X314">
        <f>survey_responses[[#This Row],[Tôi tin rằng Nhà nước, cơ quan thuế có đủ khả năng và công nghệ để phát hiện, xử lý nghiêm các hành vi trốn thuế. - HUMAN-ENF2]]</f>
        <v>6</v>
      </c>
      <c r="Y314" t="str">
        <f t="shared" si="112"/>
        <v>Neutral</v>
      </c>
      <c r="Z314" s="32">
        <f t="shared" si="113"/>
        <v>2</v>
      </c>
      <c r="AA314">
        <f>step3_validation[[#This Row],[AI_FAC1]]</f>
        <v>9</v>
      </c>
      <c r="AB314" t="str">
        <f t="shared" si="114"/>
        <v>Support</v>
      </c>
      <c r="AC314">
        <f>survey_responses[[#This Row],[Các thủ tục khai báo thuế VÀ/HOẶC quy trình làm việc với cơ quan thuế đơn giản, tiện lợi, nhanh chóng hơn so với trước đây. - HUMAN-FAC1]]</f>
        <v>7</v>
      </c>
      <c r="AD314" t="str">
        <f t="shared" si="115"/>
        <v>Neutral</v>
      </c>
      <c r="AE314" s="32">
        <f t="shared" si="116"/>
        <v>2</v>
      </c>
      <c r="AF314">
        <f>step3_validation[[#This Row],[AI_FAC2]]</f>
        <v>9</v>
      </c>
      <c r="AG314" t="str">
        <f t="shared" si="117"/>
        <v>Support</v>
      </c>
      <c r="AH314">
        <f>survey_responses[[#This Row],[So với trước đây, tôi thấy cách tính thuế và các bậc thuế trong phương án mới đơn giản, dễ hiểu và dễ thực hiện hơn. - HUMAN-FAC2]]</f>
        <v>7</v>
      </c>
      <c r="AI314" t="str">
        <f t="shared" si="118"/>
        <v>Neutral</v>
      </c>
      <c r="AJ314" s="32">
        <f t="shared" si="119"/>
        <v>2</v>
      </c>
      <c r="AK314">
        <f>step3_validation[[#This Row],[AI_TRU1]]</f>
        <v>7</v>
      </c>
      <c r="AL314" t="str">
        <f t="shared" si="120"/>
        <v>Neutral</v>
      </c>
      <c r="AM314">
        <f>survey_responses[[#This Row],[Tôi tin rằng Nhà nước, cơ quan thuế sẽ thực thi chính sách mới một cách khách quan, công tâm và đối xử bình đẳng với mọi người nộp thuế.  - HUMAN-TRU1]]</f>
        <v>7</v>
      </c>
      <c r="AN314" t="str">
        <f t="shared" si="121"/>
        <v>Neutral</v>
      </c>
      <c r="AO314" s="32">
        <f t="shared" si="122"/>
        <v>0</v>
      </c>
      <c r="AP314">
        <f>step3_validation[[#This Row],[AI_TRU2]]</f>
        <v>9</v>
      </c>
      <c r="AQ314" t="str">
        <f t="shared" si="123"/>
        <v>Support</v>
      </c>
      <c r="AR314">
        <f>survey_responses[[#This Row],[Tôi thấy mức thuế tôi phải đóng theo phương án mới là công bằng (người thu nhập như tôi đóng mức này là hợp lý). - HUMAN-TRU2]]</f>
        <v>8</v>
      </c>
      <c r="AS314" t="str">
        <f t="shared" si="124"/>
        <v>Support</v>
      </c>
      <c r="AT314" s="32">
        <f t="shared" si="125"/>
        <v>1</v>
      </c>
      <c r="AU314">
        <f>step3_validation[[#This Row],[AI_TRU3]]</f>
        <v>8</v>
      </c>
      <c r="AV314" t="str">
        <f t="shared" si="126"/>
        <v>Support</v>
      </c>
      <c r="AW314">
        <f>survey_responses[[#This Row],[Tôi tin tưởng số tiền thuế tôi đóng sẽ được Nhà nước sử dụng hiệu quả để cải thiện dịch vụ công (y tế, đường xá...). - HUMAN-TRU3]]</f>
        <v>5</v>
      </c>
      <c r="AX314" t="str">
        <f t="shared" si="127"/>
        <v>Neutral</v>
      </c>
      <c r="AY314" s="32">
        <f t="shared" si="128"/>
        <v>3</v>
      </c>
      <c r="AZ314">
        <f>step3_validation[[#This Row],[AI_TRU4]]</f>
        <v>7</v>
      </c>
      <c r="BA314" t="str">
        <f t="shared" si="129"/>
        <v>Neutral</v>
      </c>
      <c r="BB314">
        <f>survey_responses[[#This Row],[Tôi thấy Nhà nước đã giải thích rõ ràng, minh bạch về lý do và mục tiêu của việc sửa đổi thuế lần này. - HUMAN-TRU4]]</f>
        <v>5</v>
      </c>
      <c r="BC314" t="str">
        <f t="shared" si="130"/>
        <v>Neutral</v>
      </c>
      <c r="BD314" s="32">
        <f t="shared" si="131"/>
        <v>2</v>
      </c>
      <c r="BE314">
        <f>step3_validation[[#This Row],[AI_OUT1]]</f>
        <v>8</v>
      </c>
      <c r="BF314" t="str">
        <f t="shared" si="132"/>
        <v>Support</v>
      </c>
      <c r="BG314">
        <f>survey_responses[[#This Row],[Sau khi xem xét các quyền lợi và nghĩa vụ, bạn có ủng hộ và tuân thủ chính sách mới hiện nay? - HUMAN-OUT1]]</f>
        <v>8</v>
      </c>
      <c r="BH314" t="str">
        <f t="shared" si="133"/>
        <v>Support</v>
      </c>
      <c r="BI314" s="32">
        <f t="shared" si="134"/>
        <v>0</v>
      </c>
    </row>
    <row r="315" spans="1:61" x14ac:dyDescent="0.45">
      <c r="A315" s="30">
        <f>step3_validation[[#This Row],[Persona_ID]]</f>
        <v>314</v>
      </c>
      <c r="B315" s="31">
        <f>step3_validation[[#This Row],[Used_Seed]]</f>
        <v>2339</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14.941510733534926</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7</v>
      </c>
      <c r="R315" t="str">
        <f t="shared" si="108"/>
        <v>Neutral</v>
      </c>
      <c r="S315">
        <f>survey_responses[[#This Row],[Tôi tin rằng với các quy định quản lý thuế hiện nay, hành vi gian lận hoặc trốn thuế sẽ dễ dàng bị phát hiện và xử lý nghiêm. - HUMAN-ENF1]]</f>
        <v>7</v>
      </c>
      <c r="T315" t="str">
        <f t="shared" si="109"/>
        <v>Neutral</v>
      </c>
      <c r="U315" s="32">
        <f t="shared" si="110"/>
        <v>0</v>
      </c>
      <c r="V315">
        <f>step3_validation[[#This Row],[AI_ENF2]]</f>
        <v>6</v>
      </c>
      <c r="W315" t="str">
        <f t="shared" si="111"/>
        <v>Neutral</v>
      </c>
      <c r="X315">
        <f>survey_responses[[#This Row],[Tôi tin rằng Nhà nước, cơ quan thuế có đủ khả năng và công nghệ để phát hiện, xử lý nghiêm các hành vi trốn thuế. - HUMAN-ENF2]]</f>
        <v>8</v>
      </c>
      <c r="Y315" t="str">
        <f t="shared" si="112"/>
        <v>Support</v>
      </c>
      <c r="Z315" s="32">
        <f t="shared" si="113"/>
        <v>2</v>
      </c>
      <c r="AA315">
        <f>step3_validation[[#This Row],[AI_FAC1]]</f>
        <v>8</v>
      </c>
      <c r="AB315" t="str">
        <f t="shared" si="114"/>
        <v>Support</v>
      </c>
      <c r="AC315">
        <f>survey_responses[[#This Row],[Các thủ tục khai báo thuế VÀ/HOẶC quy trình làm việc với cơ quan thuế đơn giản, tiện lợi, nhanh chóng hơn so với trước đây. - HUMAN-FAC1]]</f>
        <v>8</v>
      </c>
      <c r="AD315" t="str">
        <f t="shared" si="115"/>
        <v>Support</v>
      </c>
      <c r="AE315" s="32">
        <f t="shared" si="116"/>
        <v>0</v>
      </c>
      <c r="AF315">
        <f>step3_validation[[#This Row],[AI_FAC2]]</f>
        <v>9</v>
      </c>
      <c r="AG315" t="str">
        <f t="shared" si="117"/>
        <v>Support</v>
      </c>
      <c r="AH315">
        <f>survey_responses[[#This Row],[So với trước đây, tôi thấy cách tính thuế và các bậc thuế trong phương án mới đơn giản, dễ hiểu và dễ thực hiện hơn. - HUMAN-FAC2]]</f>
        <v>8</v>
      </c>
      <c r="AI315" t="str">
        <f t="shared" si="118"/>
        <v>Support</v>
      </c>
      <c r="AJ315" s="32">
        <f t="shared" si="119"/>
        <v>1</v>
      </c>
      <c r="AK315">
        <f>step3_validation[[#This Row],[AI_TRU1]]</f>
        <v>8</v>
      </c>
      <c r="AL315" t="str">
        <f t="shared" si="120"/>
        <v>Support</v>
      </c>
      <c r="AM315">
        <f>survey_responses[[#This Row],[Tôi tin rằng Nhà nước, cơ quan thuế sẽ thực thi chính sách mới một cách khách quan, công tâm và đối xử bình đẳng với mọi người nộp thuế.  - HUMAN-TRU1]]</f>
        <v>5</v>
      </c>
      <c r="AN315" t="str">
        <f t="shared" si="121"/>
        <v>Neutral</v>
      </c>
      <c r="AO315" s="32">
        <f t="shared" si="122"/>
        <v>3</v>
      </c>
      <c r="AP315">
        <f>step3_validation[[#This Row],[AI_TRU2]]</f>
        <v>9</v>
      </c>
      <c r="AQ315" t="str">
        <f t="shared" si="123"/>
        <v>Support</v>
      </c>
      <c r="AR315">
        <f>survey_responses[[#This Row],[Tôi thấy mức thuế tôi phải đóng theo phương án mới là công bằng (người thu nhập như tôi đóng mức này là hợp lý). - HUMAN-TRU2]]</f>
        <v>8</v>
      </c>
      <c r="AS315" t="str">
        <f t="shared" si="124"/>
        <v>Support</v>
      </c>
      <c r="AT315" s="32">
        <f t="shared" si="125"/>
        <v>1</v>
      </c>
      <c r="AU315">
        <f>step3_validation[[#This Row],[AI_TRU3]]</f>
        <v>8</v>
      </c>
      <c r="AV315" t="str">
        <f t="shared" si="126"/>
        <v>Support</v>
      </c>
      <c r="AW315">
        <f>survey_responses[[#This Row],[Tôi tin tưởng số tiền thuế tôi đóng sẽ được Nhà nước sử dụng hiệu quả để cải thiện dịch vụ công (y tế, đường xá...). - HUMAN-TRU3]]</f>
        <v>6</v>
      </c>
      <c r="AX315" t="str">
        <f t="shared" si="127"/>
        <v>Neutral</v>
      </c>
      <c r="AY315" s="32">
        <f t="shared" si="128"/>
        <v>2</v>
      </c>
      <c r="AZ315">
        <f>step3_validation[[#This Row],[AI_TRU4]]</f>
        <v>7</v>
      </c>
      <c r="BA315" t="str">
        <f t="shared" si="129"/>
        <v>Neutral</v>
      </c>
      <c r="BB315">
        <f>survey_responses[[#This Row],[Tôi thấy Nhà nước đã giải thích rõ ràng, minh bạch về lý do và mục tiêu của việc sửa đổi thuế lần này. - HUMAN-TRU4]]</f>
        <v>6</v>
      </c>
      <c r="BC315" t="str">
        <f t="shared" si="130"/>
        <v>Neutral</v>
      </c>
      <c r="BD315" s="32">
        <f t="shared" si="131"/>
        <v>1</v>
      </c>
      <c r="BE315">
        <f>step3_validation[[#This Row],[AI_OUT1]]</f>
        <v>9</v>
      </c>
      <c r="BF315" t="str">
        <f t="shared" si="132"/>
        <v>Support</v>
      </c>
      <c r="BG315">
        <f>survey_responses[[#This Row],[Sau khi xem xét các quyền lợi và nghĩa vụ, bạn có ủng hộ và tuân thủ chính sách mới hiện nay? - HUMAN-OUT1]]</f>
        <v>8</v>
      </c>
      <c r="BH315" t="str">
        <f t="shared" si="133"/>
        <v>Support</v>
      </c>
      <c r="BI315" s="32">
        <f t="shared" si="134"/>
        <v>1</v>
      </c>
    </row>
    <row r="316" spans="1:61" x14ac:dyDescent="0.45">
      <c r="A316" s="30">
        <f>step3_validation[[#This Row],[Persona_ID]]</f>
        <v>315</v>
      </c>
      <c r="B316" s="31">
        <f>step3_validation[[#This Row],[Used_Seed]]</f>
        <v>2340</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18.147151481633205</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6</v>
      </c>
      <c r="R316" t="str">
        <f t="shared" si="108"/>
        <v>Neutral</v>
      </c>
      <c r="S316">
        <f>survey_responses[[#This Row],[Tôi tin rằng với các quy định quản lý thuế hiện nay, hành vi gian lận hoặc trốn thuế sẽ dễ dàng bị phát hiện và xử lý nghiêm. - HUMAN-ENF1]]</f>
        <v>4</v>
      </c>
      <c r="T316" t="str">
        <f t="shared" si="109"/>
        <v>Oppose</v>
      </c>
      <c r="U316" s="32">
        <f t="shared" si="110"/>
        <v>2</v>
      </c>
      <c r="V316">
        <f>step3_validation[[#This Row],[AI_ENF2]]</f>
        <v>8</v>
      </c>
      <c r="W316" t="str">
        <f t="shared" si="111"/>
        <v>Support</v>
      </c>
      <c r="X316">
        <f>survey_responses[[#This Row],[Tôi tin rằng Nhà nước, cơ quan thuế có đủ khả năng và công nghệ để phát hiện, xử lý nghiêm các hành vi trốn thuế. - HUMAN-ENF2]]</f>
        <v>5</v>
      </c>
      <c r="Y316" t="str">
        <f t="shared" si="112"/>
        <v>Neutral</v>
      </c>
      <c r="Z316" s="32">
        <f t="shared" si="113"/>
        <v>3</v>
      </c>
      <c r="AA316">
        <f>step3_validation[[#This Row],[AI_FAC1]]</f>
        <v>7</v>
      </c>
      <c r="AB316" t="str">
        <f t="shared" si="114"/>
        <v>Neutral</v>
      </c>
      <c r="AC316">
        <f>survey_responses[[#This Row],[Các thủ tục khai báo thuế VÀ/HOẶC quy trình làm việc với cơ quan thuế đơn giản, tiện lợi, nhanh chóng hơn so với trước đây. - HUMAN-FAC1]]</f>
        <v>5</v>
      </c>
      <c r="AD316" t="str">
        <f t="shared" si="115"/>
        <v>Neutral</v>
      </c>
      <c r="AE316" s="32">
        <f t="shared" si="116"/>
        <v>2</v>
      </c>
      <c r="AF316">
        <f>step3_validation[[#This Row],[AI_FAC2]]</f>
        <v>8</v>
      </c>
      <c r="AG316" t="str">
        <f t="shared" si="117"/>
        <v>Support</v>
      </c>
      <c r="AH316">
        <f>survey_responses[[#This Row],[So với trước đây, tôi thấy cách tính thuế và các bậc thuế trong phương án mới đơn giản, dễ hiểu và dễ thực hiện hơn. - HUMAN-FAC2]]</f>
        <v>7</v>
      </c>
      <c r="AI316" t="str">
        <f t="shared" si="118"/>
        <v>Neutral</v>
      </c>
      <c r="AJ316" s="32">
        <f t="shared" si="119"/>
        <v>1</v>
      </c>
      <c r="AK316">
        <f>step3_validation[[#This Row],[AI_TRU1]]</f>
        <v>6</v>
      </c>
      <c r="AL316" t="str">
        <f t="shared" si="120"/>
        <v>Neutral</v>
      </c>
      <c r="AM316">
        <f>survey_responses[[#This Row],[Tôi tin rằng Nhà nước, cơ quan thuế sẽ thực thi chính sách mới một cách khách quan, công tâm và đối xử bình đẳng với mọi người nộp thuế.  - HUMAN-TRU1]]</f>
        <v>5</v>
      </c>
      <c r="AN316" t="str">
        <f t="shared" si="121"/>
        <v>Neutral</v>
      </c>
      <c r="AO316" s="32">
        <f t="shared" si="122"/>
        <v>1</v>
      </c>
      <c r="AP316">
        <f>step3_validation[[#This Row],[AI_TRU2]]</f>
        <v>9</v>
      </c>
      <c r="AQ316" t="str">
        <f t="shared" si="123"/>
        <v>Support</v>
      </c>
      <c r="AR316">
        <f>survey_responses[[#This Row],[Tôi thấy mức thuế tôi phải đóng theo phương án mới là công bằng (người thu nhập như tôi đóng mức này là hợp lý). - HUMAN-TRU2]]</f>
        <v>8</v>
      </c>
      <c r="AS316" t="str">
        <f t="shared" si="124"/>
        <v>Support</v>
      </c>
      <c r="AT316" s="32">
        <f t="shared" si="125"/>
        <v>1</v>
      </c>
      <c r="AU316">
        <f>step3_validation[[#This Row],[AI_TRU3]]</f>
        <v>6</v>
      </c>
      <c r="AV316" t="str">
        <f t="shared" si="126"/>
        <v>Neutral</v>
      </c>
      <c r="AW316">
        <f>survey_responses[[#This Row],[Tôi tin tưởng số tiền thuế tôi đóng sẽ được Nhà nước sử dụng hiệu quả để cải thiện dịch vụ công (y tế, đường xá...). - HUMAN-TRU3]]</f>
        <v>5</v>
      </c>
      <c r="AX316" t="str">
        <f t="shared" si="127"/>
        <v>Neutral</v>
      </c>
      <c r="AY316" s="32">
        <f t="shared" si="128"/>
        <v>1</v>
      </c>
      <c r="AZ316">
        <f>step3_validation[[#This Row],[AI_TRU4]]</f>
        <v>7</v>
      </c>
      <c r="BA316" t="str">
        <f t="shared" si="129"/>
        <v>Neutral</v>
      </c>
      <c r="BB316">
        <f>survey_responses[[#This Row],[Tôi thấy Nhà nước đã giải thích rõ ràng, minh bạch về lý do và mục tiêu của việc sửa đổi thuế lần này. - HUMAN-TRU4]]</f>
        <v>6</v>
      </c>
      <c r="BC316" t="str">
        <f t="shared" si="130"/>
        <v>Neutral</v>
      </c>
      <c r="BD316" s="32">
        <f t="shared" si="131"/>
        <v>1</v>
      </c>
      <c r="BE316">
        <f>step3_validation[[#This Row],[AI_OUT1]]</f>
        <v>8</v>
      </c>
      <c r="BF316" t="str">
        <f t="shared" si="132"/>
        <v>Support</v>
      </c>
      <c r="BG316">
        <f>survey_responses[[#This Row],[Sau khi xem xét các quyền lợi và nghĩa vụ, bạn có ủng hộ và tuân thủ chính sách mới hiện nay? - HUMAN-OUT1]]</f>
        <v>8</v>
      </c>
      <c r="BH316" t="str">
        <f t="shared" si="133"/>
        <v>Support</v>
      </c>
      <c r="BI316" s="32">
        <f t="shared" si="134"/>
        <v>0</v>
      </c>
    </row>
    <row r="317" spans="1:61" x14ac:dyDescent="0.45">
      <c r="A317" s="30">
        <f>step3_validation[[#This Row],[Persona_ID]]</f>
        <v>316</v>
      </c>
      <c r="B317" s="31">
        <f>step3_validation[[#This Row],[Used_Seed]]</f>
        <v>2341</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27.924161228114286</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6</v>
      </c>
      <c r="R317" t="str">
        <f t="shared" si="108"/>
        <v>Neutral</v>
      </c>
      <c r="S317">
        <f>survey_responses[[#This Row],[Tôi tin rằng với các quy định quản lý thuế hiện nay, hành vi gian lận hoặc trốn thuế sẽ dễ dàng bị phát hiện và xử lý nghiêm. - HUMAN-ENF1]]</f>
        <v>6</v>
      </c>
      <c r="T317" t="str">
        <f t="shared" si="109"/>
        <v>Neutral</v>
      </c>
      <c r="U317" s="32">
        <f t="shared" si="110"/>
        <v>0</v>
      </c>
      <c r="V317">
        <f>step3_validation[[#This Row],[AI_ENF2]]</f>
        <v>7</v>
      </c>
      <c r="W317" t="str">
        <f t="shared" si="111"/>
        <v>Neutral</v>
      </c>
      <c r="X317">
        <f>survey_responses[[#This Row],[Tôi tin rằng Nhà nước, cơ quan thuế có đủ khả năng và công nghệ để phát hiện, xử lý nghiêm các hành vi trốn thuế. - HUMAN-ENF2]]</f>
        <v>8</v>
      </c>
      <c r="Y317" t="str">
        <f t="shared" si="112"/>
        <v>Support</v>
      </c>
      <c r="Z317" s="32">
        <f t="shared" si="113"/>
        <v>1</v>
      </c>
      <c r="AA317">
        <f>step3_validation[[#This Row],[AI_FAC1]]</f>
        <v>8</v>
      </c>
      <c r="AB317" t="str">
        <f t="shared" si="114"/>
        <v>Support</v>
      </c>
      <c r="AC317">
        <f>survey_responses[[#This Row],[Các thủ tục khai báo thuế VÀ/HOẶC quy trình làm việc với cơ quan thuế đơn giản, tiện lợi, nhanh chóng hơn so với trước đây. - HUMAN-FAC1]]</f>
        <v>5</v>
      </c>
      <c r="AD317" t="str">
        <f t="shared" si="115"/>
        <v>Neutral</v>
      </c>
      <c r="AE317" s="32">
        <f t="shared" si="116"/>
        <v>3</v>
      </c>
      <c r="AF317">
        <f>step3_validation[[#This Row],[AI_FAC2]]</f>
        <v>9</v>
      </c>
      <c r="AG317" t="str">
        <f t="shared" si="117"/>
        <v>Support</v>
      </c>
      <c r="AH317">
        <f>survey_responses[[#This Row],[So với trước đây, tôi thấy cách tính thuế và các bậc thuế trong phương án mới đơn giản, dễ hiểu và dễ thực hiện hơn. - HUMAN-FAC2]]</f>
        <v>6</v>
      </c>
      <c r="AI317" t="str">
        <f t="shared" si="118"/>
        <v>Neutral</v>
      </c>
      <c r="AJ317" s="32">
        <f t="shared" si="119"/>
        <v>3</v>
      </c>
      <c r="AK317">
        <f>step3_validation[[#This Row],[AI_TRU1]]</f>
        <v>7</v>
      </c>
      <c r="AL317" t="str">
        <f t="shared" si="120"/>
        <v>Neutral</v>
      </c>
      <c r="AM317">
        <f>survey_responses[[#This Row],[Tôi tin rằng Nhà nước, cơ quan thuế sẽ thực thi chính sách mới một cách khách quan, công tâm và đối xử bình đẳng với mọi người nộp thuế.  - HUMAN-TRU1]]</f>
        <v>6</v>
      </c>
      <c r="AN317" t="str">
        <f t="shared" si="121"/>
        <v>Neutral</v>
      </c>
      <c r="AO317" s="32">
        <f t="shared" si="122"/>
        <v>1</v>
      </c>
      <c r="AP317">
        <f>step3_validation[[#This Row],[AI_TRU2]]</f>
        <v>8</v>
      </c>
      <c r="AQ317" t="str">
        <f t="shared" si="123"/>
        <v>Support</v>
      </c>
      <c r="AR317">
        <f>survey_responses[[#This Row],[Tôi thấy mức thuế tôi phải đóng theo phương án mới là công bằng (người thu nhập như tôi đóng mức này là hợp lý). - HUMAN-TRU2]]</f>
        <v>7</v>
      </c>
      <c r="AS317" t="str">
        <f t="shared" si="124"/>
        <v>Neutral</v>
      </c>
      <c r="AT317" s="32">
        <f t="shared" si="125"/>
        <v>1</v>
      </c>
      <c r="AU317">
        <f>step3_validation[[#This Row],[AI_TRU3]]</f>
        <v>9</v>
      </c>
      <c r="AV317" t="str">
        <f t="shared" si="126"/>
        <v>Support</v>
      </c>
      <c r="AW317">
        <f>survey_responses[[#This Row],[Tôi tin tưởng số tiền thuế tôi đóng sẽ được Nhà nước sử dụng hiệu quả để cải thiện dịch vụ công (y tế, đường xá...). - HUMAN-TRU3]]</f>
        <v>6</v>
      </c>
      <c r="AX317" t="str">
        <f t="shared" si="127"/>
        <v>Neutral</v>
      </c>
      <c r="AY317" s="32">
        <f t="shared" si="128"/>
        <v>3</v>
      </c>
      <c r="AZ317">
        <f>step3_validation[[#This Row],[AI_TRU4]]</f>
        <v>8</v>
      </c>
      <c r="BA317" t="str">
        <f t="shared" si="129"/>
        <v>Support</v>
      </c>
      <c r="BB317">
        <f>survey_responses[[#This Row],[Tôi thấy Nhà nước đã giải thích rõ ràng, minh bạch về lý do và mục tiêu của việc sửa đổi thuế lần này. - HUMAN-TRU4]]</f>
        <v>7</v>
      </c>
      <c r="BC317" t="str">
        <f t="shared" si="130"/>
        <v>Neutral</v>
      </c>
      <c r="BD317" s="32">
        <f t="shared" si="131"/>
        <v>1</v>
      </c>
      <c r="BE317">
        <f>step3_validation[[#This Row],[AI_OUT1]]</f>
        <v>9</v>
      </c>
      <c r="BF317" t="str">
        <f t="shared" si="132"/>
        <v>Support</v>
      </c>
      <c r="BG317">
        <f>survey_responses[[#This Row],[Sau khi xem xét các quyền lợi và nghĩa vụ, bạn có ủng hộ và tuân thủ chính sách mới hiện nay? - HUMAN-OUT1]]</f>
        <v>7</v>
      </c>
      <c r="BH317" t="str">
        <f t="shared" si="133"/>
        <v>Neutral</v>
      </c>
      <c r="BI317" s="32">
        <f t="shared" si="134"/>
        <v>2</v>
      </c>
    </row>
    <row r="318" spans="1:61" x14ac:dyDescent="0.45">
      <c r="A318" s="30">
        <f>step3_validation[[#This Row],[Persona_ID]]</f>
        <v>317</v>
      </c>
      <c r="B318" s="31">
        <f>step3_validation[[#This Row],[Used_Seed]]</f>
        <v>2342</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15.942029005992792</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8</v>
      </c>
      <c r="R318" t="str">
        <f t="shared" si="108"/>
        <v>Support</v>
      </c>
      <c r="S318">
        <f>survey_responses[[#This Row],[Tôi tin rằng với các quy định quản lý thuế hiện nay, hành vi gian lận hoặc trốn thuế sẽ dễ dàng bị phát hiện và xử lý nghiêm. - HUMAN-ENF1]]</f>
        <v>7</v>
      </c>
      <c r="T318" t="str">
        <f t="shared" si="109"/>
        <v>Neutral</v>
      </c>
      <c r="U318" s="32">
        <f t="shared" si="110"/>
        <v>1</v>
      </c>
      <c r="V318">
        <f>step3_validation[[#This Row],[AI_ENF2]]</f>
        <v>9</v>
      </c>
      <c r="W318" t="str">
        <f t="shared" si="111"/>
        <v>Support</v>
      </c>
      <c r="X318">
        <f>survey_responses[[#This Row],[Tôi tin rằng Nhà nước, cơ quan thuế có đủ khả năng và công nghệ để phát hiện, xử lý nghiêm các hành vi trốn thuế. - HUMAN-ENF2]]</f>
        <v>7</v>
      </c>
      <c r="Y318" t="str">
        <f t="shared" si="112"/>
        <v>Neutral</v>
      </c>
      <c r="Z318" s="32">
        <f t="shared" si="113"/>
        <v>2</v>
      </c>
      <c r="AA318">
        <f>step3_validation[[#This Row],[AI_FAC1]]</f>
        <v>8</v>
      </c>
      <c r="AB318" t="str">
        <f t="shared" si="114"/>
        <v>Support</v>
      </c>
      <c r="AC318">
        <f>survey_responses[[#This Row],[Các thủ tục khai báo thuế VÀ/HOẶC quy trình làm việc với cơ quan thuế đơn giản, tiện lợi, nhanh chóng hơn so với trước đây. - HUMAN-FAC1]]</f>
        <v>5</v>
      </c>
      <c r="AD318" t="str">
        <f t="shared" si="115"/>
        <v>Neutral</v>
      </c>
      <c r="AE318" s="32">
        <f t="shared" si="116"/>
        <v>3</v>
      </c>
      <c r="AF318">
        <f>step3_validation[[#This Row],[AI_FAC2]]</f>
        <v>9</v>
      </c>
      <c r="AG318" t="str">
        <f t="shared" si="117"/>
        <v>Support</v>
      </c>
      <c r="AH318">
        <f>survey_responses[[#This Row],[So với trước đây, tôi thấy cách tính thuế và các bậc thuế trong phương án mới đơn giản, dễ hiểu và dễ thực hiện hơn. - HUMAN-FAC2]]</f>
        <v>8</v>
      </c>
      <c r="AI318" t="str">
        <f t="shared" si="118"/>
        <v>Support</v>
      </c>
      <c r="AJ318" s="32">
        <f t="shared" si="119"/>
        <v>1</v>
      </c>
      <c r="AK318">
        <f>step3_validation[[#This Row],[AI_TRU1]]</f>
        <v>8</v>
      </c>
      <c r="AL318" t="str">
        <f t="shared" si="120"/>
        <v>Support</v>
      </c>
      <c r="AM318">
        <f>survey_responses[[#This Row],[Tôi tin rằng Nhà nước, cơ quan thuế sẽ thực thi chính sách mới một cách khách quan, công tâm và đối xử bình đẳng với mọi người nộp thuế.  - HUMAN-TRU1]]</f>
        <v>5</v>
      </c>
      <c r="AN318" t="str">
        <f t="shared" si="121"/>
        <v>Neutral</v>
      </c>
      <c r="AO318" s="32">
        <f t="shared" si="122"/>
        <v>3</v>
      </c>
      <c r="AP318">
        <f>step3_validation[[#This Row],[AI_TRU2]]</f>
        <v>9</v>
      </c>
      <c r="AQ318" t="str">
        <f t="shared" si="123"/>
        <v>Support</v>
      </c>
      <c r="AR318">
        <f>survey_responses[[#This Row],[Tôi thấy mức thuế tôi phải đóng theo phương án mới là công bằng (người thu nhập như tôi đóng mức này là hợp lý). - HUMAN-TRU2]]</f>
        <v>8</v>
      </c>
      <c r="AS318" t="str">
        <f t="shared" si="124"/>
        <v>Support</v>
      </c>
      <c r="AT318" s="32">
        <f t="shared" si="125"/>
        <v>1</v>
      </c>
      <c r="AU318">
        <f>step3_validation[[#This Row],[AI_TRU3]]</f>
        <v>8</v>
      </c>
      <c r="AV318" t="str">
        <f t="shared" si="126"/>
        <v>Support</v>
      </c>
      <c r="AW318">
        <f>survey_responses[[#This Row],[Tôi tin tưởng số tiền thuế tôi đóng sẽ được Nhà nước sử dụng hiệu quả để cải thiện dịch vụ công (y tế, đường xá...). - HUMAN-TRU3]]</f>
        <v>5</v>
      </c>
      <c r="AX318" t="str">
        <f t="shared" si="127"/>
        <v>Neutral</v>
      </c>
      <c r="AY318" s="32">
        <f t="shared" si="128"/>
        <v>3</v>
      </c>
      <c r="AZ318">
        <f>step3_validation[[#This Row],[AI_TRU4]]</f>
        <v>8</v>
      </c>
      <c r="BA318" t="str">
        <f t="shared" si="129"/>
        <v>Support</v>
      </c>
      <c r="BB318">
        <f>survey_responses[[#This Row],[Tôi thấy Nhà nước đã giải thích rõ ràng, minh bạch về lý do và mục tiêu của việc sửa đổi thuế lần này. - HUMAN-TRU4]]</f>
        <v>7</v>
      </c>
      <c r="BC318" t="str">
        <f t="shared" si="130"/>
        <v>Neutral</v>
      </c>
      <c r="BD318" s="32">
        <f t="shared" si="131"/>
        <v>1</v>
      </c>
      <c r="BE318">
        <f>step3_validation[[#This Row],[AI_OUT1]]</f>
        <v>9</v>
      </c>
      <c r="BF318" t="str">
        <f t="shared" si="132"/>
        <v>Support</v>
      </c>
      <c r="BG318">
        <f>survey_responses[[#This Row],[Sau khi xem xét các quyền lợi và nghĩa vụ, bạn có ủng hộ và tuân thủ chính sách mới hiện nay? - HUMAN-OUT1]]</f>
        <v>8</v>
      </c>
      <c r="BH318" t="str">
        <f t="shared" si="133"/>
        <v>Support</v>
      </c>
      <c r="BI318" s="32">
        <f t="shared" si="134"/>
        <v>1</v>
      </c>
    </row>
    <row r="319" spans="1:61" x14ac:dyDescent="0.45">
      <c r="A319" s="30">
        <f>step3_validation[[#This Row],[Persona_ID]]</f>
        <v>318</v>
      </c>
      <c r="B319" s="31">
        <f>step3_validation[[#This Row],[Used_Seed]]</f>
        <v>2343</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19.923113209322679</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7</v>
      </c>
      <c r="R319" t="str">
        <f t="shared" si="108"/>
        <v>Neutral</v>
      </c>
      <c r="S319">
        <f>survey_responses[[#This Row],[Tôi tin rằng với các quy định quản lý thuế hiện nay, hành vi gian lận hoặc trốn thuế sẽ dễ dàng bị phát hiện và xử lý nghiêm. - HUMAN-ENF1]]</f>
        <v>4</v>
      </c>
      <c r="T319" t="str">
        <f t="shared" si="109"/>
        <v>Oppose</v>
      </c>
      <c r="U319" s="32">
        <f t="shared" si="110"/>
        <v>3</v>
      </c>
      <c r="V319">
        <f>step3_validation[[#This Row],[AI_ENF2]]</f>
        <v>8</v>
      </c>
      <c r="W319" t="str">
        <f t="shared" si="111"/>
        <v>Support</v>
      </c>
      <c r="X319">
        <f>survey_responses[[#This Row],[Tôi tin rằng Nhà nước, cơ quan thuế có đủ khả năng và công nghệ để phát hiện, xử lý nghiêm các hành vi trốn thuế. - HUMAN-ENF2]]</f>
        <v>4</v>
      </c>
      <c r="Y319" t="str">
        <f t="shared" si="112"/>
        <v>Oppose</v>
      </c>
      <c r="Z319" s="32">
        <f t="shared" si="113"/>
        <v>4</v>
      </c>
      <c r="AA319">
        <f>step3_validation[[#This Row],[AI_FAC1]]</f>
        <v>9</v>
      </c>
      <c r="AB319" t="str">
        <f t="shared" si="114"/>
        <v>Support</v>
      </c>
      <c r="AC319">
        <f>survey_responses[[#This Row],[Các thủ tục khai báo thuế VÀ/HOẶC quy trình làm việc với cơ quan thuế đơn giản, tiện lợi, nhanh chóng hơn so với trước đây. - HUMAN-FAC1]]</f>
        <v>6</v>
      </c>
      <c r="AD319" t="str">
        <f t="shared" si="115"/>
        <v>Neutral</v>
      </c>
      <c r="AE319" s="32">
        <f t="shared" si="116"/>
        <v>3</v>
      </c>
      <c r="AF319">
        <f>step3_validation[[#This Row],[AI_FAC2]]</f>
        <v>10</v>
      </c>
      <c r="AG319" t="str">
        <f t="shared" si="117"/>
        <v>Support</v>
      </c>
      <c r="AH319">
        <f>survey_responses[[#This Row],[So với trước đây, tôi thấy cách tính thuế và các bậc thuế trong phương án mới đơn giản, dễ hiểu và dễ thực hiện hơn. - HUMAN-FAC2]]</f>
        <v>7</v>
      </c>
      <c r="AI319" t="str">
        <f t="shared" si="118"/>
        <v>Neutral</v>
      </c>
      <c r="AJ319" s="32">
        <f t="shared" si="119"/>
        <v>3</v>
      </c>
      <c r="AK319">
        <f>step3_validation[[#This Row],[AI_TRU1]]</f>
        <v>8</v>
      </c>
      <c r="AL319" t="str">
        <f t="shared" si="120"/>
        <v>Support</v>
      </c>
      <c r="AM319">
        <f>survey_responses[[#This Row],[Tôi tin rằng Nhà nước, cơ quan thuế sẽ thực thi chính sách mới một cách khách quan, công tâm và đối xử bình đẳng với mọi người nộp thuế.  - HUMAN-TRU1]]</f>
        <v>5</v>
      </c>
      <c r="AN319" t="str">
        <f t="shared" si="121"/>
        <v>Neutral</v>
      </c>
      <c r="AO319" s="32">
        <f t="shared" si="122"/>
        <v>3</v>
      </c>
      <c r="AP319">
        <f>step3_validation[[#This Row],[AI_TRU2]]</f>
        <v>9</v>
      </c>
      <c r="AQ319" t="str">
        <f t="shared" si="123"/>
        <v>Support</v>
      </c>
      <c r="AR319">
        <f>survey_responses[[#This Row],[Tôi thấy mức thuế tôi phải đóng theo phương án mới là công bằng (người thu nhập như tôi đóng mức này là hợp lý). - HUMAN-TRU2]]</f>
        <v>8</v>
      </c>
      <c r="AS319" t="str">
        <f t="shared" si="124"/>
        <v>Support</v>
      </c>
      <c r="AT319" s="32">
        <f t="shared" si="125"/>
        <v>1</v>
      </c>
      <c r="AU319">
        <f>step3_validation[[#This Row],[AI_TRU3]]</f>
        <v>8</v>
      </c>
      <c r="AV319" t="str">
        <f t="shared" si="126"/>
        <v>Support</v>
      </c>
      <c r="AW319">
        <f>survey_responses[[#This Row],[Tôi tin tưởng số tiền thuế tôi đóng sẽ được Nhà nước sử dụng hiệu quả để cải thiện dịch vụ công (y tế, đường xá...). - HUMAN-TRU3]]</f>
        <v>5</v>
      </c>
      <c r="AX319" t="str">
        <f t="shared" si="127"/>
        <v>Neutral</v>
      </c>
      <c r="AY319" s="32">
        <f t="shared" si="128"/>
        <v>3</v>
      </c>
      <c r="AZ319">
        <f>step3_validation[[#This Row],[AI_TRU4]]</f>
        <v>7</v>
      </c>
      <c r="BA319" t="str">
        <f t="shared" si="129"/>
        <v>Neutral</v>
      </c>
      <c r="BB319">
        <f>survey_responses[[#This Row],[Tôi thấy Nhà nước đã giải thích rõ ràng, minh bạch về lý do và mục tiêu của việc sửa đổi thuế lần này. - HUMAN-TRU4]]</f>
        <v>5</v>
      </c>
      <c r="BC319" t="str">
        <f t="shared" si="130"/>
        <v>Neutral</v>
      </c>
      <c r="BD319" s="32">
        <f t="shared" si="131"/>
        <v>2</v>
      </c>
      <c r="BE319">
        <f>step3_validation[[#This Row],[AI_OUT1]]</f>
        <v>9</v>
      </c>
      <c r="BF319" t="str">
        <f t="shared" si="132"/>
        <v>Support</v>
      </c>
      <c r="BG319">
        <f>survey_responses[[#This Row],[Sau khi xem xét các quyền lợi và nghĩa vụ, bạn có ủng hộ và tuân thủ chính sách mới hiện nay? - HUMAN-OUT1]]</f>
        <v>8</v>
      </c>
      <c r="BH319" t="str">
        <f t="shared" si="133"/>
        <v>Support</v>
      </c>
      <c r="BI319" s="32">
        <f t="shared" si="134"/>
        <v>1</v>
      </c>
    </row>
    <row r="320" spans="1:61" x14ac:dyDescent="0.45">
      <c r="A320" s="30">
        <f>step3_validation[[#This Row],[Persona_ID]]</f>
        <v>319</v>
      </c>
      <c r="B320" s="31">
        <f>step3_validation[[#This Row],[Used_Seed]]</f>
        <v>2344</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15.930593337444501</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9</v>
      </c>
      <c r="R320" t="str">
        <f t="shared" si="108"/>
        <v>Support</v>
      </c>
      <c r="S320">
        <f>survey_responses[[#This Row],[Tôi tin rằng với các quy định quản lý thuế hiện nay, hành vi gian lận hoặc trốn thuế sẽ dễ dàng bị phát hiện và xử lý nghiêm. - HUMAN-ENF1]]</f>
        <v>8</v>
      </c>
      <c r="T320" t="str">
        <f t="shared" si="109"/>
        <v>Support</v>
      </c>
      <c r="U320" s="32">
        <f t="shared" si="110"/>
        <v>1</v>
      </c>
      <c r="V320">
        <f>step3_validation[[#This Row],[AI_ENF2]]</f>
        <v>8</v>
      </c>
      <c r="W320" t="str">
        <f t="shared" si="111"/>
        <v>Support</v>
      </c>
      <c r="X320">
        <f>survey_responses[[#This Row],[Tôi tin rằng Nhà nước, cơ quan thuế có đủ khả năng và công nghệ để phát hiện, xử lý nghiêm các hành vi trốn thuế. - HUMAN-ENF2]]</f>
        <v>8</v>
      </c>
      <c r="Y320" t="str">
        <f t="shared" si="112"/>
        <v>Support</v>
      </c>
      <c r="Z320" s="32">
        <f t="shared" si="113"/>
        <v>0</v>
      </c>
      <c r="AA320">
        <f>step3_validation[[#This Row],[AI_FAC1]]</f>
        <v>9</v>
      </c>
      <c r="AB320" t="str">
        <f t="shared" si="114"/>
        <v>Support</v>
      </c>
      <c r="AC320">
        <f>survey_responses[[#This Row],[Các thủ tục khai báo thuế VÀ/HOẶC quy trình làm việc với cơ quan thuế đơn giản, tiện lợi, nhanh chóng hơn so với trước đây. - HUMAN-FAC1]]</f>
        <v>10</v>
      </c>
      <c r="AD320" t="str">
        <f t="shared" si="115"/>
        <v>Support</v>
      </c>
      <c r="AE320" s="32">
        <f t="shared" si="116"/>
        <v>1</v>
      </c>
      <c r="AF320">
        <f>step3_validation[[#This Row],[AI_FAC2]]</f>
        <v>8</v>
      </c>
      <c r="AG320" t="str">
        <f t="shared" si="117"/>
        <v>Support</v>
      </c>
      <c r="AH320">
        <f>survey_responses[[#This Row],[So với trước đây, tôi thấy cách tính thuế và các bậc thuế trong phương án mới đơn giản, dễ hiểu và dễ thực hiện hơn. - HUMAN-FAC2]]</f>
        <v>10</v>
      </c>
      <c r="AI320" t="str">
        <f t="shared" si="118"/>
        <v>Support</v>
      </c>
      <c r="AJ320" s="32">
        <f t="shared" si="119"/>
        <v>2</v>
      </c>
      <c r="AK320">
        <f>step3_validation[[#This Row],[AI_TRU1]]</f>
        <v>9</v>
      </c>
      <c r="AL320" t="str">
        <f t="shared" si="120"/>
        <v>Support</v>
      </c>
      <c r="AM320">
        <f>survey_responses[[#This Row],[Tôi tin rằng Nhà nước, cơ quan thuế sẽ thực thi chính sách mới một cách khách quan, công tâm và đối xử bình đẳng với mọi người nộp thuế.  - HUMAN-TRU1]]</f>
        <v>9</v>
      </c>
      <c r="AN320" t="str">
        <f t="shared" si="121"/>
        <v>Support</v>
      </c>
      <c r="AO320" s="32">
        <f t="shared" si="122"/>
        <v>0</v>
      </c>
      <c r="AP320">
        <f>step3_validation[[#This Row],[AI_TRU2]]</f>
        <v>8</v>
      </c>
      <c r="AQ320" t="str">
        <f t="shared" si="123"/>
        <v>Support</v>
      </c>
      <c r="AR320">
        <f>survey_responses[[#This Row],[Tôi thấy mức thuế tôi phải đóng theo phương án mới là công bằng (người thu nhập như tôi đóng mức này là hợp lý). - HUMAN-TRU2]]</f>
        <v>10</v>
      </c>
      <c r="AS320" t="str">
        <f t="shared" si="124"/>
        <v>Support</v>
      </c>
      <c r="AT320" s="32">
        <f t="shared" si="125"/>
        <v>2</v>
      </c>
      <c r="AU320">
        <f>step3_validation[[#This Row],[AI_TRU3]]</f>
        <v>9</v>
      </c>
      <c r="AV320" t="str">
        <f t="shared" si="126"/>
        <v>Support</v>
      </c>
      <c r="AW320">
        <f>survey_responses[[#This Row],[Tôi tin tưởng số tiền thuế tôi đóng sẽ được Nhà nước sử dụng hiệu quả để cải thiện dịch vụ công (y tế, đường xá...). - HUMAN-TRU3]]</f>
        <v>8</v>
      </c>
      <c r="AX320" t="str">
        <f t="shared" si="127"/>
        <v>Support</v>
      </c>
      <c r="AY320" s="32">
        <f t="shared" si="128"/>
        <v>1</v>
      </c>
      <c r="AZ320">
        <f>step3_validation[[#This Row],[AI_TRU4]]</f>
        <v>8</v>
      </c>
      <c r="BA320" t="str">
        <f t="shared" si="129"/>
        <v>Support</v>
      </c>
      <c r="BB320">
        <f>survey_responses[[#This Row],[Tôi thấy Nhà nước đã giải thích rõ ràng, minh bạch về lý do và mục tiêu của việc sửa đổi thuế lần này. - HUMAN-TRU4]]</f>
        <v>8</v>
      </c>
      <c r="BC320" t="str">
        <f t="shared" si="130"/>
        <v>Support</v>
      </c>
      <c r="BD320" s="32">
        <f t="shared" si="131"/>
        <v>0</v>
      </c>
      <c r="BE320">
        <f>step3_validation[[#This Row],[AI_OUT1]]</f>
        <v>9</v>
      </c>
      <c r="BF320" t="str">
        <f t="shared" si="132"/>
        <v>Support</v>
      </c>
      <c r="BG320">
        <f>survey_responses[[#This Row],[Sau khi xem xét các quyền lợi và nghĩa vụ, bạn có ủng hộ và tuân thủ chính sách mới hiện nay? - HUMAN-OUT1]]</f>
        <v>10</v>
      </c>
      <c r="BH320" t="str">
        <f t="shared" si="133"/>
        <v>Support</v>
      </c>
      <c r="BI320" s="32">
        <f t="shared" si="134"/>
        <v>1</v>
      </c>
    </row>
    <row r="321" spans="1:61" x14ac:dyDescent="0.45">
      <c r="A321" s="30">
        <f>step3_validation[[#This Row],[Persona_ID]]</f>
        <v>320</v>
      </c>
      <c r="B321" s="31">
        <f>step3_validation[[#This Row],[Used_Seed]]</f>
        <v>2345</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27.046570882408638</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7</v>
      </c>
      <c r="R321" t="str">
        <f t="shared" si="108"/>
        <v>Neutral</v>
      </c>
      <c r="S321">
        <f>survey_responses[[#This Row],[Tôi tin rằng với các quy định quản lý thuế hiện nay, hành vi gian lận hoặc trốn thuế sẽ dễ dàng bị phát hiện và xử lý nghiêm. - HUMAN-ENF1]]</f>
        <v>5</v>
      </c>
      <c r="T321" t="str">
        <f t="shared" si="109"/>
        <v>Neutral</v>
      </c>
      <c r="U321" s="32">
        <f t="shared" si="110"/>
        <v>2</v>
      </c>
      <c r="V321">
        <f>step3_validation[[#This Row],[AI_ENF2]]</f>
        <v>8</v>
      </c>
      <c r="W321" t="str">
        <f t="shared" si="111"/>
        <v>Support</v>
      </c>
      <c r="X321">
        <f>survey_responses[[#This Row],[Tôi tin rằng Nhà nước, cơ quan thuế có đủ khả năng và công nghệ để phát hiện, xử lý nghiêm các hành vi trốn thuế. - HUMAN-ENF2]]</f>
        <v>7</v>
      </c>
      <c r="Y321" t="str">
        <f t="shared" si="112"/>
        <v>Neutral</v>
      </c>
      <c r="Z321" s="32">
        <f t="shared" si="113"/>
        <v>1</v>
      </c>
      <c r="AA321">
        <f>step3_validation[[#This Row],[AI_FAC1]]</f>
        <v>6</v>
      </c>
      <c r="AB321" t="str">
        <f t="shared" si="114"/>
        <v>Neutral</v>
      </c>
      <c r="AC321">
        <f>survey_responses[[#This Row],[Các thủ tục khai báo thuế VÀ/HOẶC quy trình làm việc với cơ quan thuế đơn giản, tiện lợi, nhanh chóng hơn so với trước đây. - HUMAN-FAC1]]</f>
        <v>7</v>
      </c>
      <c r="AD321" t="str">
        <f t="shared" si="115"/>
        <v>Neutral</v>
      </c>
      <c r="AE321" s="32">
        <f t="shared" si="116"/>
        <v>1</v>
      </c>
      <c r="AF321">
        <f>step3_validation[[#This Row],[AI_FAC2]]</f>
        <v>7</v>
      </c>
      <c r="AG321" t="str">
        <f t="shared" si="117"/>
        <v>Neutral</v>
      </c>
      <c r="AH321">
        <f>survey_responses[[#This Row],[So với trước đây, tôi thấy cách tính thuế và các bậc thuế trong phương án mới đơn giản, dễ hiểu và dễ thực hiện hơn. - HUMAN-FAC2]]</f>
        <v>9</v>
      </c>
      <c r="AI321" t="str">
        <f t="shared" si="118"/>
        <v>Support</v>
      </c>
      <c r="AJ321" s="32">
        <f t="shared" si="119"/>
        <v>2</v>
      </c>
      <c r="AK321">
        <f>step3_validation[[#This Row],[AI_TRU1]]</f>
        <v>8</v>
      </c>
      <c r="AL321" t="str">
        <f t="shared" si="120"/>
        <v>Support</v>
      </c>
      <c r="AM321">
        <f>survey_responses[[#This Row],[Tôi tin rằng Nhà nước, cơ quan thuế sẽ thực thi chính sách mới một cách khách quan, công tâm và đối xử bình đẳng với mọi người nộp thuế.  - HUMAN-TRU1]]</f>
        <v>5</v>
      </c>
      <c r="AN321" t="str">
        <f t="shared" si="121"/>
        <v>Neutral</v>
      </c>
      <c r="AO321" s="32">
        <f t="shared" si="122"/>
        <v>3</v>
      </c>
      <c r="AP321">
        <f>step3_validation[[#This Row],[AI_TRU2]]</f>
        <v>9</v>
      </c>
      <c r="AQ321" t="str">
        <f t="shared" si="123"/>
        <v>Support</v>
      </c>
      <c r="AR321">
        <f>survey_responses[[#This Row],[Tôi thấy mức thuế tôi phải đóng theo phương án mới là công bằng (người thu nhập như tôi đóng mức này là hợp lý). - HUMAN-TRU2]]</f>
        <v>6</v>
      </c>
      <c r="AS321" t="str">
        <f t="shared" si="124"/>
        <v>Neutral</v>
      </c>
      <c r="AT321" s="32">
        <f t="shared" si="125"/>
        <v>3</v>
      </c>
      <c r="AU321">
        <f>step3_validation[[#This Row],[AI_TRU3]]</f>
        <v>7</v>
      </c>
      <c r="AV321" t="str">
        <f t="shared" si="126"/>
        <v>Neutral</v>
      </c>
      <c r="AW321">
        <f>survey_responses[[#This Row],[Tôi tin tưởng số tiền thuế tôi đóng sẽ được Nhà nước sử dụng hiệu quả để cải thiện dịch vụ công (y tế, đường xá...). - HUMAN-TRU3]]</f>
        <v>5</v>
      </c>
      <c r="AX321" t="str">
        <f t="shared" si="127"/>
        <v>Neutral</v>
      </c>
      <c r="AY321" s="32">
        <f t="shared" si="128"/>
        <v>2</v>
      </c>
      <c r="AZ321">
        <f>step3_validation[[#This Row],[AI_TRU4]]</f>
        <v>8</v>
      </c>
      <c r="BA321" t="str">
        <f t="shared" si="129"/>
        <v>Support</v>
      </c>
      <c r="BB321">
        <f>survey_responses[[#This Row],[Tôi thấy Nhà nước đã giải thích rõ ràng, minh bạch về lý do và mục tiêu của việc sửa đổi thuế lần này. - HUMAN-TRU4]]</f>
        <v>7</v>
      </c>
      <c r="BC321" t="str">
        <f t="shared" si="130"/>
        <v>Neutral</v>
      </c>
      <c r="BD321" s="32">
        <f t="shared" si="131"/>
        <v>1</v>
      </c>
      <c r="BE321">
        <f>step3_validation[[#This Row],[AI_OUT1]]</f>
        <v>9</v>
      </c>
      <c r="BF321" t="str">
        <f t="shared" si="132"/>
        <v>Support</v>
      </c>
      <c r="BG321">
        <f>survey_responses[[#This Row],[Sau khi xem xét các quyền lợi và nghĩa vụ, bạn có ủng hộ và tuân thủ chính sách mới hiện nay? - HUMAN-OUT1]]</f>
        <v>7</v>
      </c>
      <c r="BH321" t="str">
        <f t="shared" si="133"/>
        <v>Neutral</v>
      </c>
      <c r="BI321" s="32">
        <f t="shared" si="134"/>
        <v>2</v>
      </c>
    </row>
    <row r="322" spans="1:61" x14ac:dyDescent="0.45">
      <c r="A322" s="30">
        <f>step3_validation[[#This Row],[Persona_ID]]</f>
        <v>321</v>
      </c>
      <c r="B322" s="31">
        <f>step3_validation[[#This Row],[Used_Seed]]</f>
        <v>2346</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13.29466550493764</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7</v>
      </c>
      <c r="R322" t="str">
        <f t="shared" si="108"/>
        <v>Neutral</v>
      </c>
      <c r="S322">
        <f>survey_responses[[#This Row],[Tôi tin rằng với các quy định quản lý thuế hiện nay, hành vi gian lận hoặc trốn thuế sẽ dễ dàng bị phát hiện và xử lý nghiêm. - HUMAN-ENF1]]</f>
        <v>8</v>
      </c>
      <c r="T322" t="str">
        <f t="shared" si="109"/>
        <v>Support</v>
      </c>
      <c r="U322" s="32">
        <f t="shared" si="110"/>
        <v>1</v>
      </c>
      <c r="V322">
        <f>step3_validation[[#This Row],[AI_ENF2]]</f>
        <v>6</v>
      </c>
      <c r="W322" t="str">
        <f t="shared" si="111"/>
        <v>Neutral</v>
      </c>
      <c r="X322">
        <f>survey_responses[[#This Row],[Tôi tin rằng Nhà nước, cơ quan thuế có đủ khả năng và công nghệ để phát hiện, xử lý nghiêm các hành vi trốn thuế. - HUMAN-ENF2]]</f>
        <v>8</v>
      </c>
      <c r="Y322" t="str">
        <f t="shared" si="112"/>
        <v>Support</v>
      </c>
      <c r="Z322" s="32">
        <f t="shared" si="113"/>
        <v>2</v>
      </c>
      <c r="AA322">
        <f>step3_validation[[#This Row],[AI_FAC1]]</f>
        <v>9</v>
      </c>
      <c r="AB322" t="str">
        <f t="shared" si="114"/>
        <v>Support</v>
      </c>
      <c r="AC322">
        <f>survey_responses[[#This Row],[Các thủ tục khai báo thuế VÀ/HOẶC quy trình làm việc với cơ quan thuế đơn giản, tiện lợi, nhanh chóng hơn so với trước đây. - HUMAN-FAC1]]</f>
        <v>7</v>
      </c>
      <c r="AD322" t="str">
        <f t="shared" si="115"/>
        <v>Neutral</v>
      </c>
      <c r="AE322" s="32">
        <f t="shared" si="116"/>
        <v>2</v>
      </c>
      <c r="AF322">
        <f>step3_validation[[#This Row],[AI_FAC2]]</f>
        <v>9</v>
      </c>
      <c r="AG322" t="str">
        <f t="shared" si="117"/>
        <v>Support</v>
      </c>
      <c r="AH322">
        <f>survey_responses[[#This Row],[So với trước đây, tôi thấy cách tính thuế và các bậc thuế trong phương án mới đơn giản, dễ hiểu và dễ thực hiện hơn. - HUMAN-FAC2]]</f>
        <v>9</v>
      </c>
      <c r="AI322" t="str">
        <f t="shared" si="118"/>
        <v>Support</v>
      </c>
      <c r="AJ322" s="32">
        <f t="shared" si="119"/>
        <v>0</v>
      </c>
      <c r="AK322">
        <f>step3_validation[[#This Row],[AI_TRU1]]</f>
        <v>8</v>
      </c>
      <c r="AL322" t="str">
        <f t="shared" si="120"/>
        <v>Support</v>
      </c>
      <c r="AM322">
        <f>survey_responses[[#This Row],[Tôi tin rằng Nhà nước, cơ quan thuế sẽ thực thi chính sách mới một cách khách quan, công tâm và đối xử bình đẳng với mọi người nộp thuế.  - HUMAN-TRU1]]</f>
        <v>9</v>
      </c>
      <c r="AN322" t="str">
        <f t="shared" si="121"/>
        <v>Support</v>
      </c>
      <c r="AO322" s="32">
        <f t="shared" si="122"/>
        <v>1</v>
      </c>
      <c r="AP322">
        <f>step3_validation[[#This Row],[AI_TRU2]]</f>
        <v>9</v>
      </c>
      <c r="AQ322" t="str">
        <f t="shared" si="123"/>
        <v>Support</v>
      </c>
      <c r="AR322">
        <f>survey_responses[[#This Row],[Tôi thấy mức thuế tôi phải đóng theo phương án mới là công bằng (người thu nhập như tôi đóng mức này là hợp lý). - HUMAN-TRU2]]</f>
        <v>9</v>
      </c>
      <c r="AS322" t="str">
        <f t="shared" si="124"/>
        <v>Support</v>
      </c>
      <c r="AT322" s="32">
        <f t="shared" si="125"/>
        <v>0</v>
      </c>
      <c r="AU322">
        <f>step3_validation[[#This Row],[AI_TRU3]]</f>
        <v>8</v>
      </c>
      <c r="AV322" t="str">
        <f t="shared" si="126"/>
        <v>Support</v>
      </c>
      <c r="AW322">
        <f>survey_responses[[#This Row],[Tôi tin tưởng số tiền thuế tôi đóng sẽ được Nhà nước sử dụng hiệu quả để cải thiện dịch vụ công (y tế, đường xá...). - HUMAN-TRU3]]</f>
        <v>7</v>
      </c>
      <c r="AX322" t="str">
        <f t="shared" si="127"/>
        <v>Neutral</v>
      </c>
      <c r="AY322" s="32">
        <f t="shared" si="128"/>
        <v>1</v>
      </c>
      <c r="AZ322">
        <f>step3_validation[[#This Row],[AI_TRU4]]</f>
        <v>9</v>
      </c>
      <c r="BA322" t="str">
        <f t="shared" si="129"/>
        <v>Support</v>
      </c>
      <c r="BB322">
        <f>survey_responses[[#This Row],[Tôi thấy Nhà nước đã giải thích rõ ràng, minh bạch về lý do và mục tiêu của việc sửa đổi thuế lần này. - HUMAN-TRU4]]</f>
        <v>9</v>
      </c>
      <c r="BC322" t="str">
        <f t="shared" si="130"/>
        <v>Support</v>
      </c>
      <c r="BD322" s="32">
        <f t="shared" si="131"/>
        <v>0</v>
      </c>
      <c r="BE322">
        <f>step3_validation[[#This Row],[AI_OUT1]]</f>
        <v>8</v>
      </c>
      <c r="BF322" t="str">
        <f t="shared" si="132"/>
        <v>Support</v>
      </c>
      <c r="BG322">
        <f>survey_responses[[#This Row],[Sau khi xem xét các quyền lợi và nghĩa vụ, bạn có ủng hộ và tuân thủ chính sách mới hiện nay? - HUMAN-OUT1]]</f>
        <v>9</v>
      </c>
      <c r="BH322" t="str">
        <f t="shared" si="133"/>
        <v>Support</v>
      </c>
      <c r="BI322" s="32">
        <f t="shared" si="134"/>
        <v>1</v>
      </c>
    </row>
    <row r="323" spans="1:61" x14ac:dyDescent="0.45">
      <c r="A323" s="30">
        <f>step3_validation[[#This Row],[Persona_ID]]</f>
        <v>322</v>
      </c>
      <c r="B323" s="31">
        <f>step3_validation[[#This Row],[Used_Seed]]</f>
        <v>2347</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25.004337059616322</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6</v>
      </c>
      <c r="R323" t="str">
        <f t="shared" ref="R323:R386" si="135">IF(AND(Q323&gt;=1,Q323&lt;5),"Oppose",IF(AND(Q323&gt;=5,Q323&lt;8),"Neutral",IF(AND(Q323&gt;=8,Q323&lt;=10),"Support","")))</f>
        <v>Neutral</v>
      </c>
      <c r="S323">
        <f>survey_responses[[#This Row],[Tôi tin rằng với các quy định quản lý thuế hiện nay, hành vi gian lận hoặc trốn thuế sẽ dễ dàng bị phát hiện và xử lý nghiêm. - HUMAN-ENF1]]</f>
        <v>5</v>
      </c>
      <c r="T323" t="str">
        <f t="shared" ref="T323:T386" si="136">IF(AND(S323&gt;=1,S323&lt;5),"Oppose",IF(AND(S323&gt;=5,S323&lt;8),"Neutral",IF(AND(S323&gt;=8,S323&lt;=10),"Support","")))</f>
        <v>Neutral</v>
      </c>
      <c r="U323" s="32">
        <f t="shared" ref="U323:U386" si="137">ABS(S323-Q323)</f>
        <v>1</v>
      </c>
      <c r="V323">
        <f>step3_validation[[#This Row],[AI_ENF2]]</f>
        <v>7</v>
      </c>
      <c r="W323" t="str">
        <f t="shared" ref="W323:W386" si="138">IF(AND(V323&gt;=1,V323&lt;5),"Oppose",IF(AND(V323&gt;=5,V323&lt;8),"Neutral",IF(AND(V323&gt;=8,V323&lt;=10),"Support","")))</f>
        <v>Neutral</v>
      </c>
      <c r="X323">
        <f>survey_responses[[#This Row],[Tôi tin rằng Nhà nước, cơ quan thuế có đủ khả năng và công nghệ để phát hiện, xử lý nghiêm các hành vi trốn thuế. - HUMAN-ENF2]]</f>
        <v>5</v>
      </c>
      <c r="Y323" t="str">
        <f t="shared" ref="Y323:Y386" si="139">IF(AND(X323&gt;=1,X323&lt;5),"Oppose",IF(AND(X323&gt;=5,X323&lt;8),"Neutral",IF(AND(X323&gt;=8,X323&lt;=10),"Support","")))</f>
        <v>Neutral</v>
      </c>
      <c r="Z323" s="32">
        <f t="shared" ref="Z323:Z386" si="140">ABS(X323-V323)</f>
        <v>2</v>
      </c>
      <c r="AA323">
        <f>step3_validation[[#This Row],[AI_FAC1]]</f>
        <v>8</v>
      </c>
      <c r="AB323" t="str">
        <f t="shared" ref="AB323:AB386" si="141">IF(AND(AA323&gt;=1,AA323&lt;5),"Oppose",IF(AND(AA323&gt;=5,AA323&lt;8),"Neutral",IF(AND(AA323&gt;=8,AA323&lt;=10),"Support","")))</f>
        <v>Support</v>
      </c>
      <c r="AC323">
        <f>survey_responses[[#This Row],[Các thủ tục khai báo thuế VÀ/HOẶC quy trình làm việc với cơ quan thuế đơn giản, tiện lợi, nhanh chóng hơn so với trước đây. - HUMAN-FAC1]]</f>
        <v>5</v>
      </c>
      <c r="AD323" t="str">
        <f t="shared" ref="AD323:AD386" si="142">IF(AND(AC323&gt;=1,AC323&lt;5),"Oppose",IF(AND(AC323&gt;=5,AC323&lt;8),"Neutral",IF(AND(AC323&gt;=8,AC323&lt;=10),"Support","")))</f>
        <v>Neutral</v>
      </c>
      <c r="AE323" s="32">
        <f t="shared" ref="AE323:AE386" si="143">ABS(AC323-AA323)</f>
        <v>3</v>
      </c>
      <c r="AF323">
        <f>step3_validation[[#This Row],[AI_FAC2]]</f>
        <v>9</v>
      </c>
      <c r="AG323" t="str">
        <f t="shared" ref="AG323:AG386" si="144">IF(AND(AF323&gt;=1,AF323&lt;5),"Oppose",IF(AND(AF323&gt;=5,AF323&lt;8),"Neutral",IF(AND(AF323&gt;=8,AF323&lt;=10),"Support","")))</f>
        <v>Support</v>
      </c>
      <c r="AH323">
        <f>survey_responses[[#This Row],[So với trước đây, tôi thấy cách tính thuế và các bậc thuế trong phương án mới đơn giản, dễ hiểu và dễ thực hiện hơn. - HUMAN-FAC2]]</f>
        <v>7</v>
      </c>
      <c r="AI323" t="str">
        <f t="shared" ref="AI323:AI386" si="145">IF(AND(AH323&gt;=1,AH323&lt;5),"Oppose",IF(AND(AH323&gt;=5,AH323&lt;8),"Neutral",IF(AND(AH323&gt;=8,AH323&lt;=10),"Support","")))</f>
        <v>Neutral</v>
      </c>
      <c r="AJ323" s="32">
        <f t="shared" ref="AJ323:AJ386" si="146">ABS(AH323-AF323)</f>
        <v>2</v>
      </c>
      <c r="AK323">
        <f>step3_validation[[#This Row],[AI_TRU1]]</f>
        <v>8</v>
      </c>
      <c r="AL323" t="str">
        <f t="shared" ref="AL323:AL386" si="147">IF(AND(AK323&gt;=1,AK323&lt;5),"Oppose",IF(AND(AK323&gt;=5,AK323&lt;8),"Neutral",IF(AND(AK323&gt;=8,AK323&lt;=10),"Support","")))</f>
        <v>Support</v>
      </c>
      <c r="AM323">
        <f>survey_responses[[#This Row],[Tôi tin rằng Nhà nước, cơ quan thuế sẽ thực thi chính sách mới một cách khách quan, công tâm và đối xử bình đẳng với mọi người nộp thuế.  - HUMAN-TRU1]]</f>
        <v>5</v>
      </c>
      <c r="AN323" t="str">
        <f t="shared" ref="AN323:AN386" si="148">IF(AND(AM323&gt;=1,AM323&lt;5),"Oppose",IF(AND(AM323&gt;=5,AM323&lt;8),"Neutral",IF(AND(AM323&gt;=8,AM323&lt;=10),"Support","")))</f>
        <v>Neutral</v>
      </c>
      <c r="AO323" s="32">
        <f t="shared" ref="AO323:AO386" si="149">ABS(AM323-AK323)</f>
        <v>3</v>
      </c>
      <c r="AP323">
        <f>step3_validation[[#This Row],[AI_TRU2]]</f>
        <v>9</v>
      </c>
      <c r="AQ323" t="str">
        <f t="shared" ref="AQ323:AQ386" si="150">IF(AND(AP323&gt;=1,AP323&lt;5),"Oppose",IF(AND(AP323&gt;=5,AP323&lt;8),"Neutral",IF(AND(AP323&gt;=8,AP323&lt;=10),"Support","")))</f>
        <v>Support</v>
      </c>
      <c r="AR323">
        <f>survey_responses[[#This Row],[Tôi thấy mức thuế tôi phải đóng theo phương án mới là công bằng (người thu nhập như tôi đóng mức này là hợp lý). - HUMAN-TRU2]]</f>
        <v>7</v>
      </c>
      <c r="AS323" t="str">
        <f t="shared" ref="AS323:AS386" si="151">IF(AND(AR323&gt;=1,AR323&lt;5),"Oppose",IF(AND(AR323&gt;=5,AR323&lt;8),"Neutral",IF(AND(AR323&gt;=8,AR323&lt;=10),"Support","")))</f>
        <v>Neutral</v>
      </c>
      <c r="AT323" s="32">
        <f t="shared" ref="AT323:AT386" si="152">ABS(AR323-AP323)</f>
        <v>2</v>
      </c>
      <c r="AU323">
        <f>step3_validation[[#This Row],[AI_TRU3]]</f>
        <v>8</v>
      </c>
      <c r="AV323" t="str">
        <f t="shared" ref="AV323:AV386" si="153">IF(AND(AU323&gt;=1,AU323&lt;5),"Oppose",IF(AND(AU323&gt;=5,AU323&lt;8),"Neutral",IF(AND(AU323&gt;=8,AU323&lt;=10),"Support","")))</f>
        <v>Support</v>
      </c>
      <c r="AW323">
        <f>survey_responses[[#This Row],[Tôi tin tưởng số tiền thuế tôi đóng sẽ được Nhà nước sử dụng hiệu quả để cải thiện dịch vụ công (y tế, đường xá...). - HUMAN-TRU3]]</f>
        <v>5</v>
      </c>
      <c r="AX323" t="str">
        <f t="shared" ref="AX323:AX386" si="154">IF(AND(AW323&gt;=1,AW323&lt;5),"Oppose",IF(AND(AW323&gt;=5,AW323&lt;8),"Neutral",IF(AND(AW323&gt;=8,AW323&lt;=10),"Support","")))</f>
        <v>Neutral</v>
      </c>
      <c r="AY323" s="32">
        <f t="shared" ref="AY323:AY386" si="155">ABS(AW323-AU323)</f>
        <v>3</v>
      </c>
      <c r="AZ323">
        <f>step3_validation[[#This Row],[AI_TRU4]]</f>
        <v>7</v>
      </c>
      <c r="BA323" t="str">
        <f t="shared" ref="BA323:BA386" si="156">IF(AND(AZ323&gt;=1,AZ323&lt;5),"Oppose",IF(AND(AZ323&gt;=5,AZ323&lt;8),"Neutral",IF(AND(AZ323&gt;=8,AZ323&lt;=10),"Support","")))</f>
        <v>Neutral</v>
      </c>
      <c r="BB323">
        <f>survey_responses[[#This Row],[Tôi thấy Nhà nước đã giải thích rõ ràng, minh bạch về lý do và mục tiêu của việc sửa đổi thuế lần này. - HUMAN-TRU4]]</f>
        <v>5</v>
      </c>
      <c r="BC323" t="str">
        <f t="shared" ref="BC323:BC386" si="157">IF(AND(BB323&gt;=1,BB323&lt;5),"Oppose",IF(AND(BB323&gt;=5,BB323&lt;8),"Neutral",IF(AND(BB323&gt;=8,BB323&lt;=10),"Support","")))</f>
        <v>Neutral</v>
      </c>
      <c r="BD323" s="32">
        <f t="shared" ref="BD323:BD386" si="158">ABS(BB323-AZ323)</f>
        <v>2</v>
      </c>
      <c r="BE323">
        <f>step3_validation[[#This Row],[AI_OUT1]]</f>
        <v>9</v>
      </c>
      <c r="BF323" t="str">
        <f t="shared" ref="BF323:BF386" si="159">IF(AND(BE323&gt;=1,BE323&lt;5),"Oppose",IF(AND(BE323&gt;=5,BE323&lt;8),"Neutral",IF(AND(BE323&gt;=8,BE323&lt;=10),"Support","")))</f>
        <v>Support</v>
      </c>
      <c r="BG323">
        <f>survey_responses[[#This Row],[Sau khi xem xét các quyền lợi và nghĩa vụ, bạn có ủng hộ và tuân thủ chính sách mới hiện nay? - HUMAN-OUT1]]</f>
        <v>7</v>
      </c>
      <c r="BH323" t="str">
        <f t="shared" ref="BH323:BH386" si="160">IF(AND(BG323&gt;=1,BG323&lt;5),"Oppose",IF(AND(BG323&gt;=5,BG323&lt;8),"Neutral",IF(AND(BG323&gt;=8,BG323&lt;=10),"Support","")))</f>
        <v>Neutral</v>
      </c>
      <c r="BI323" s="32">
        <f t="shared" ref="BI323:BI386" si="161">ABS(BG323-BE323)</f>
        <v>2</v>
      </c>
    </row>
    <row r="324" spans="1:61" x14ac:dyDescent="0.45">
      <c r="A324" s="30">
        <f>step3_validation[[#This Row],[Persona_ID]]</f>
        <v>323</v>
      </c>
      <c r="B324" s="31">
        <f>step3_validation[[#This Row],[Used_Seed]]</f>
        <v>2348</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25.150180413929945</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6</v>
      </c>
      <c r="R324" t="str">
        <f t="shared" si="135"/>
        <v>Neutral</v>
      </c>
      <c r="S324">
        <f>survey_responses[[#This Row],[Tôi tin rằng với các quy định quản lý thuế hiện nay, hành vi gian lận hoặc trốn thuế sẽ dễ dàng bị phát hiện và xử lý nghiêm. - HUMAN-ENF1]]</f>
        <v>7</v>
      </c>
      <c r="T324" t="str">
        <f t="shared" si="136"/>
        <v>Neutral</v>
      </c>
      <c r="U324" s="32">
        <f t="shared" si="137"/>
        <v>1</v>
      </c>
      <c r="V324">
        <f>step3_validation[[#This Row],[AI_ENF2]]</f>
        <v>7</v>
      </c>
      <c r="W324" t="str">
        <f t="shared" si="138"/>
        <v>Neutral</v>
      </c>
      <c r="X324">
        <f>survey_responses[[#This Row],[Tôi tin rằng Nhà nước, cơ quan thuế có đủ khả năng và công nghệ để phát hiện, xử lý nghiêm các hành vi trốn thuế. - HUMAN-ENF2]]</f>
        <v>7</v>
      </c>
      <c r="Y324" t="str">
        <f t="shared" si="139"/>
        <v>Neutral</v>
      </c>
      <c r="Z324" s="32">
        <f t="shared" si="140"/>
        <v>0</v>
      </c>
      <c r="AA324">
        <f>step3_validation[[#This Row],[AI_FAC1]]</f>
        <v>9</v>
      </c>
      <c r="AB324" t="str">
        <f t="shared" si="141"/>
        <v>Support</v>
      </c>
      <c r="AC324">
        <f>survey_responses[[#This Row],[Các thủ tục khai báo thuế VÀ/HOẶC quy trình làm việc với cơ quan thuế đơn giản, tiện lợi, nhanh chóng hơn so với trước đây. - HUMAN-FAC1]]</f>
        <v>8</v>
      </c>
      <c r="AD324" t="str">
        <f t="shared" si="142"/>
        <v>Support</v>
      </c>
      <c r="AE324" s="32">
        <f t="shared" si="143"/>
        <v>1</v>
      </c>
      <c r="AF324">
        <f>step3_validation[[#This Row],[AI_FAC2]]</f>
        <v>9</v>
      </c>
      <c r="AG324" t="str">
        <f t="shared" si="144"/>
        <v>Support</v>
      </c>
      <c r="AH324">
        <f>survey_responses[[#This Row],[So với trước đây, tôi thấy cách tính thuế và các bậc thuế trong phương án mới đơn giản, dễ hiểu và dễ thực hiện hơn. - HUMAN-FAC2]]</f>
        <v>8</v>
      </c>
      <c r="AI324" t="str">
        <f t="shared" si="145"/>
        <v>Support</v>
      </c>
      <c r="AJ324" s="32">
        <f t="shared" si="146"/>
        <v>1</v>
      </c>
      <c r="AK324">
        <f>step3_validation[[#This Row],[AI_TRU1]]</f>
        <v>8</v>
      </c>
      <c r="AL324" t="str">
        <f t="shared" si="147"/>
        <v>Support</v>
      </c>
      <c r="AM324">
        <f>survey_responses[[#This Row],[Tôi tin rằng Nhà nước, cơ quan thuế sẽ thực thi chính sách mới một cách khách quan, công tâm và đối xử bình đẳng với mọi người nộp thuế.  - HUMAN-TRU1]]</f>
        <v>6</v>
      </c>
      <c r="AN324" t="str">
        <f t="shared" si="148"/>
        <v>Neutral</v>
      </c>
      <c r="AO324" s="32">
        <f t="shared" si="149"/>
        <v>2</v>
      </c>
      <c r="AP324">
        <f>step3_validation[[#This Row],[AI_TRU2]]</f>
        <v>9</v>
      </c>
      <c r="AQ324" t="str">
        <f t="shared" si="150"/>
        <v>Support</v>
      </c>
      <c r="AR324">
        <f>survey_responses[[#This Row],[Tôi thấy mức thuế tôi phải đóng theo phương án mới là công bằng (người thu nhập như tôi đóng mức này là hợp lý). - HUMAN-TRU2]]</f>
        <v>7</v>
      </c>
      <c r="AS324" t="str">
        <f t="shared" si="151"/>
        <v>Neutral</v>
      </c>
      <c r="AT324" s="32">
        <f t="shared" si="152"/>
        <v>2</v>
      </c>
      <c r="AU324">
        <f>step3_validation[[#This Row],[AI_TRU3]]</f>
        <v>8</v>
      </c>
      <c r="AV324" t="str">
        <f t="shared" si="153"/>
        <v>Support</v>
      </c>
      <c r="AW324">
        <f>survey_responses[[#This Row],[Tôi tin tưởng số tiền thuế tôi đóng sẽ được Nhà nước sử dụng hiệu quả để cải thiện dịch vụ công (y tế, đường xá...). - HUMAN-TRU3]]</f>
        <v>6</v>
      </c>
      <c r="AX324" t="str">
        <f t="shared" si="154"/>
        <v>Neutral</v>
      </c>
      <c r="AY324" s="32">
        <f t="shared" si="155"/>
        <v>2</v>
      </c>
      <c r="AZ324">
        <f>step3_validation[[#This Row],[AI_TRU4]]</f>
        <v>7</v>
      </c>
      <c r="BA324" t="str">
        <f t="shared" si="156"/>
        <v>Neutral</v>
      </c>
      <c r="BB324">
        <f>survey_responses[[#This Row],[Tôi thấy Nhà nước đã giải thích rõ ràng, minh bạch về lý do và mục tiêu của việc sửa đổi thuế lần này. - HUMAN-TRU4]]</f>
        <v>7</v>
      </c>
      <c r="BC324" t="str">
        <f t="shared" si="157"/>
        <v>Neutral</v>
      </c>
      <c r="BD324" s="32">
        <f t="shared" si="158"/>
        <v>0</v>
      </c>
      <c r="BE324">
        <f>step3_validation[[#This Row],[AI_OUT1]]</f>
        <v>9</v>
      </c>
      <c r="BF324" t="str">
        <f t="shared" si="159"/>
        <v>Support</v>
      </c>
      <c r="BG324">
        <f>survey_responses[[#This Row],[Sau khi xem xét các quyền lợi và nghĩa vụ, bạn có ủng hộ và tuân thủ chính sách mới hiện nay? - HUMAN-OUT1]]</f>
        <v>7</v>
      </c>
      <c r="BH324" t="str">
        <f t="shared" si="160"/>
        <v>Neutral</v>
      </c>
      <c r="BI324" s="32">
        <f t="shared" si="161"/>
        <v>2</v>
      </c>
    </row>
    <row r="325" spans="1:61" x14ac:dyDescent="0.45">
      <c r="A325" s="30">
        <f>step3_validation[[#This Row],[Persona_ID]]</f>
        <v>324</v>
      </c>
      <c r="B325" s="31">
        <f>step3_validation[[#This Row],[Used_Seed]]</f>
        <v>2349</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6</v>
      </c>
      <c r="R325" t="str">
        <f t="shared" si="135"/>
        <v>Neutral</v>
      </c>
      <c r="S325">
        <f>survey_responses[[#This Row],[Tôi tin rằng với các quy định quản lý thuế hiện nay, hành vi gian lận hoặc trốn thuế sẽ dễ dàng bị phát hiện và xử lý nghiêm. - HUMAN-ENF1]]</f>
        <v>7</v>
      </c>
      <c r="T325" t="str">
        <f t="shared" si="136"/>
        <v>Neutral</v>
      </c>
      <c r="U325" s="32">
        <f t="shared" si="137"/>
        <v>1</v>
      </c>
      <c r="V325">
        <f>step3_validation[[#This Row],[AI_ENF2]]</f>
        <v>7</v>
      </c>
      <c r="W325" t="str">
        <f t="shared" si="138"/>
        <v>Neutral</v>
      </c>
      <c r="X325">
        <f>survey_responses[[#This Row],[Tôi tin rằng Nhà nước, cơ quan thuế có đủ khả năng và công nghệ để phát hiện, xử lý nghiêm các hành vi trốn thuế. - HUMAN-ENF2]]</f>
        <v>7</v>
      </c>
      <c r="Y325" t="str">
        <f t="shared" si="139"/>
        <v>Neutral</v>
      </c>
      <c r="Z325" s="32">
        <f t="shared" si="140"/>
        <v>0</v>
      </c>
      <c r="AA325">
        <f>step3_validation[[#This Row],[AI_FAC1]]</f>
        <v>8</v>
      </c>
      <c r="AB325" t="str">
        <f t="shared" si="141"/>
        <v>Support</v>
      </c>
      <c r="AC325">
        <f>survey_responses[[#This Row],[Các thủ tục khai báo thuế VÀ/HOẶC quy trình làm việc với cơ quan thuế đơn giản, tiện lợi, nhanh chóng hơn so với trước đây. - HUMAN-FAC1]]</f>
        <v>5</v>
      </c>
      <c r="AD325" t="str">
        <f t="shared" si="142"/>
        <v>Neutral</v>
      </c>
      <c r="AE325" s="32">
        <f t="shared" si="143"/>
        <v>3</v>
      </c>
      <c r="AF325">
        <f>step3_validation[[#This Row],[AI_FAC2]]</f>
        <v>9</v>
      </c>
      <c r="AG325" t="str">
        <f t="shared" si="144"/>
        <v>Support</v>
      </c>
      <c r="AH325">
        <f>survey_responses[[#This Row],[So với trước đây, tôi thấy cách tính thuế và các bậc thuế trong phương án mới đơn giản, dễ hiểu và dễ thực hiện hơn. - HUMAN-FAC2]]</f>
        <v>7</v>
      </c>
      <c r="AI325" t="str">
        <f t="shared" si="145"/>
        <v>Neutral</v>
      </c>
      <c r="AJ325" s="32">
        <f t="shared" si="146"/>
        <v>2</v>
      </c>
      <c r="AK325">
        <f>step3_validation[[#This Row],[AI_TRU1]]</f>
        <v>8</v>
      </c>
      <c r="AL325" t="str">
        <f t="shared" si="147"/>
        <v>Support</v>
      </c>
      <c r="AM325">
        <f>survey_responses[[#This Row],[Tôi tin rằng Nhà nước, cơ quan thuế sẽ thực thi chính sách mới một cách khách quan, công tâm và đối xử bình đẳng với mọi người nộp thuế.  - HUMAN-TRU1]]</f>
        <v>7</v>
      </c>
      <c r="AN325" t="str">
        <f t="shared" si="148"/>
        <v>Neutral</v>
      </c>
      <c r="AO325" s="32">
        <f t="shared" si="149"/>
        <v>1</v>
      </c>
      <c r="AP325">
        <f>step3_validation[[#This Row],[AI_TRU2]]</f>
        <v>9</v>
      </c>
      <c r="AQ325" t="str">
        <f t="shared" si="150"/>
        <v>Support</v>
      </c>
      <c r="AR325">
        <f>survey_responses[[#This Row],[Tôi thấy mức thuế tôi phải đóng theo phương án mới là công bằng (người thu nhập như tôi đóng mức này là hợp lý). - HUMAN-TRU2]]</f>
        <v>7</v>
      </c>
      <c r="AS325" t="str">
        <f t="shared" si="151"/>
        <v>Neutral</v>
      </c>
      <c r="AT325" s="32">
        <f t="shared" si="152"/>
        <v>2</v>
      </c>
      <c r="AU325">
        <f>step3_validation[[#This Row],[AI_TRU3]]</f>
        <v>8</v>
      </c>
      <c r="AV325" t="str">
        <f t="shared" si="153"/>
        <v>Support</v>
      </c>
      <c r="AW325">
        <f>survey_responses[[#This Row],[Tôi tin tưởng số tiền thuế tôi đóng sẽ được Nhà nước sử dụng hiệu quả để cải thiện dịch vụ công (y tế, đường xá...). - HUMAN-TRU3]]</f>
        <v>5</v>
      </c>
      <c r="AX325" t="str">
        <f t="shared" si="154"/>
        <v>Neutral</v>
      </c>
      <c r="AY325" s="32">
        <f t="shared" si="155"/>
        <v>3</v>
      </c>
      <c r="AZ325">
        <f>step3_validation[[#This Row],[AI_TRU4]]</f>
        <v>9</v>
      </c>
      <c r="BA325" t="str">
        <f t="shared" si="156"/>
        <v>Support</v>
      </c>
      <c r="BB325">
        <f>survey_responses[[#This Row],[Tôi thấy Nhà nước đã giải thích rõ ràng, minh bạch về lý do và mục tiêu của việc sửa đổi thuế lần này. - HUMAN-TRU4]]</f>
        <v>5</v>
      </c>
      <c r="BC325" t="str">
        <f t="shared" si="157"/>
        <v>Neutral</v>
      </c>
      <c r="BD325" s="32">
        <f t="shared" si="158"/>
        <v>4</v>
      </c>
      <c r="BE325">
        <f>step3_validation[[#This Row],[AI_OUT1]]</f>
        <v>8</v>
      </c>
      <c r="BF325" t="str">
        <f t="shared" si="159"/>
        <v>Support</v>
      </c>
      <c r="BG325">
        <f>survey_responses[[#This Row],[Sau khi xem xét các quyền lợi và nghĩa vụ, bạn có ủng hộ và tuân thủ chính sách mới hiện nay? - HUMAN-OUT1]]</f>
        <v>8</v>
      </c>
      <c r="BH325" t="str">
        <f t="shared" si="160"/>
        <v>Support</v>
      </c>
      <c r="BI325" s="32">
        <f t="shared" si="161"/>
        <v>0</v>
      </c>
    </row>
    <row r="326" spans="1:61" x14ac:dyDescent="0.45">
      <c r="A326" s="30">
        <f>step3_validation[[#This Row],[Persona_ID]]</f>
        <v>325</v>
      </c>
      <c r="B326" s="31">
        <f>step3_validation[[#This Row],[Used_Seed]]</f>
        <v>2350</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44.843044961302333</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7</v>
      </c>
      <c r="R326" t="str">
        <f t="shared" si="135"/>
        <v>Neutral</v>
      </c>
      <c r="S326">
        <f>survey_responses[[#This Row],[Tôi tin rằng với các quy định quản lý thuế hiện nay, hành vi gian lận hoặc trốn thuế sẽ dễ dàng bị phát hiện và xử lý nghiêm. - HUMAN-ENF1]]</f>
        <v>2</v>
      </c>
      <c r="T326" t="str">
        <f t="shared" si="136"/>
        <v>Oppose</v>
      </c>
      <c r="U326" s="32">
        <f t="shared" si="137"/>
        <v>5</v>
      </c>
      <c r="V326">
        <f>step3_validation[[#This Row],[AI_ENF2]]</f>
        <v>8</v>
      </c>
      <c r="W326" t="str">
        <f t="shared" si="138"/>
        <v>Support</v>
      </c>
      <c r="X326">
        <f>survey_responses[[#This Row],[Tôi tin rằng Nhà nước, cơ quan thuế có đủ khả năng và công nghệ để phát hiện, xử lý nghiêm các hành vi trốn thuế. - HUMAN-ENF2]]</f>
        <v>2</v>
      </c>
      <c r="Y326" t="str">
        <f t="shared" si="139"/>
        <v>Oppose</v>
      </c>
      <c r="Z326" s="32">
        <f t="shared" si="140"/>
        <v>6</v>
      </c>
      <c r="AA326">
        <f>step3_validation[[#This Row],[AI_FAC1]]</f>
        <v>9</v>
      </c>
      <c r="AB326" t="str">
        <f t="shared" si="141"/>
        <v>Support</v>
      </c>
      <c r="AC326">
        <f>survey_responses[[#This Row],[Các thủ tục khai báo thuế VÀ/HOẶC quy trình làm việc với cơ quan thuế đơn giản, tiện lợi, nhanh chóng hơn so với trước đây. - HUMAN-FAC1]]</f>
        <v>6</v>
      </c>
      <c r="AD326" t="str">
        <f t="shared" si="142"/>
        <v>Neutral</v>
      </c>
      <c r="AE326" s="32">
        <f t="shared" si="143"/>
        <v>3</v>
      </c>
      <c r="AF326">
        <f>step3_validation[[#This Row],[AI_FAC2]]</f>
        <v>8</v>
      </c>
      <c r="AG326" t="str">
        <f t="shared" si="144"/>
        <v>Support</v>
      </c>
      <c r="AH326">
        <f>survey_responses[[#This Row],[So với trước đây, tôi thấy cách tính thuế và các bậc thuế trong phương án mới đơn giản, dễ hiểu và dễ thực hiện hơn. - HUMAN-FAC2]]</f>
        <v>7</v>
      </c>
      <c r="AI326" t="str">
        <f t="shared" si="145"/>
        <v>Neutral</v>
      </c>
      <c r="AJ326" s="32">
        <f t="shared" si="146"/>
        <v>1</v>
      </c>
      <c r="AK326">
        <f>step3_validation[[#This Row],[AI_TRU1]]</f>
        <v>7</v>
      </c>
      <c r="AL326" t="str">
        <f t="shared" si="147"/>
        <v>Neutral</v>
      </c>
      <c r="AM326">
        <f>survey_responses[[#This Row],[Tôi tin rằng Nhà nước, cơ quan thuế sẽ thực thi chính sách mới một cách khách quan, công tâm và đối xử bình đẳng với mọi người nộp thuế.  - HUMAN-TRU1]]</f>
        <v>2</v>
      </c>
      <c r="AN326" t="str">
        <f t="shared" si="148"/>
        <v>Oppose</v>
      </c>
      <c r="AO326" s="32">
        <f t="shared" si="149"/>
        <v>5</v>
      </c>
      <c r="AP326">
        <f>step3_validation[[#This Row],[AI_TRU2]]</f>
        <v>8</v>
      </c>
      <c r="AQ326" t="str">
        <f t="shared" si="150"/>
        <v>Support</v>
      </c>
      <c r="AR326">
        <f>survey_responses[[#This Row],[Tôi thấy mức thuế tôi phải đóng theo phương án mới là công bằng (người thu nhập như tôi đóng mức này là hợp lý). - HUMAN-TRU2]]</f>
        <v>5</v>
      </c>
      <c r="AS326" t="str">
        <f t="shared" si="151"/>
        <v>Neutral</v>
      </c>
      <c r="AT326" s="32">
        <f t="shared" si="152"/>
        <v>3</v>
      </c>
      <c r="AU326">
        <f>step3_validation[[#This Row],[AI_TRU3]]</f>
        <v>7</v>
      </c>
      <c r="AV326" t="str">
        <f t="shared" si="153"/>
        <v>Neutral</v>
      </c>
      <c r="AW326">
        <f>survey_responses[[#This Row],[Tôi tin tưởng số tiền thuế tôi đóng sẽ được Nhà nước sử dụng hiệu quả để cải thiện dịch vụ công (y tế, đường xá...). - HUMAN-TRU3]]</f>
        <v>5</v>
      </c>
      <c r="AX326" t="str">
        <f t="shared" si="154"/>
        <v>Neutral</v>
      </c>
      <c r="AY326" s="32">
        <f t="shared" si="155"/>
        <v>2</v>
      </c>
      <c r="AZ326">
        <f>step3_validation[[#This Row],[AI_TRU4]]</f>
        <v>6</v>
      </c>
      <c r="BA326" t="str">
        <f t="shared" si="156"/>
        <v>Neutral</v>
      </c>
      <c r="BB326">
        <f>survey_responses[[#This Row],[Tôi thấy Nhà nước đã giải thích rõ ràng, minh bạch về lý do và mục tiêu của việc sửa đổi thuế lần này. - HUMAN-TRU4]]</f>
        <v>6</v>
      </c>
      <c r="BC326" t="str">
        <f t="shared" si="157"/>
        <v>Neutral</v>
      </c>
      <c r="BD326" s="32">
        <f t="shared" si="158"/>
        <v>0</v>
      </c>
      <c r="BE326">
        <f>step3_validation[[#This Row],[AI_OUT1]]</f>
        <v>9</v>
      </c>
      <c r="BF326" t="str">
        <f t="shared" si="159"/>
        <v>Support</v>
      </c>
      <c r="BG326">
        <f>survey_responses[[#This Row],[Sau khi xem xét các quyền lợi và nghĩa vụ, bạn có ủng hộ và tuân thủ chính sách mới hiện nay? - HUMAN-OUT1]]</f>
        <v>5</v>
      </c>
      <c r="BH326" t="str">
        <f t="shared" si="160"/>
        <v>Neutral</v>
      </c>
      <c r="BI326" s="32">
        <f t="shared" si="161"/>
        <v>4</v>
      </c>
    </row>
    <row r="327" spans="1:61" x14ac:dyDescent="0.45">
      <c r="A327" s="30">
        <f>step3_validation[[#This Row],[Persona_ID]]</f>
        <v>326</v>
      </c>
      <c r="B327" s="31">
        <f>step3_validation[[#This Row],[Used_Seed]]</f>
        <v>2351</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57.24898604320979</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8</v>
      </c>
      <c r="R327" t="str">
        <f t="shared" si="135"/>
        <v>Support</v>
      </c>
      <c r="S327">
        <f>survey_responses[[#This Row],[Tôi tin rằng với các quy định quản lý thuế hiện nay, hành vi gian lận hoặc trốn thuế sẽ dễ dàng bị phát hiện và xử lý nghiêm. - HUMAN-ENF1]]</f>
        <v>8</v>
      </c>
      <c r="T327" t="str">
        <f t="shared" si="136"/>
        <v>Support</v>
      </c>
      <c r="U327" s="32">
        <f t="shared" si="137"/>
        <v>0</v>
      </c>
      <c r="V327">
        <f>step3_validation[[#This Row],[AI_ENF2]]</f>
        <v>7</v>
      </c>
      <c r="W327" t="str">
        <f t="shared" si="138"/>
        <v>Neutral</v>
      </c>
      <c r="X327">
        <f>survey_responses[[#This Row],[Tôi tin rằng Nhà nước, cơ quan thuế có đủ khả năng và công nghệ để phát hiện, xử lý nghiêm các hành vi trốn thuế. - HUMAN-ENF2]]</f>
        <v>9</v>
      </c>
      <c r="Y327" t="str">
        <f t="shared" si="139"/>
        <v>Support</v>
      </c>
      <c r="Z327" s="32">
        <f t="shared" si="140"/>
        <v>2</v>
      </c>
      <c r="AA327">
        <f>step3_validation[[#This Row],[AI_FAC1]]</f>
        <v>6</v>
      </c>
      <c r="AB327" t="str">
        <f t="shared" si="141"/>
        <v>Neutral</v>
      </c>
      <c r="AC327">
        <f>survey_responses[[#This Row],[Các thủ tục khai báo thuế VÀ/HOẶC quy trình làm việc với cơ quan thuế đơn giản, tiện lợi, nhanh chóng hơn so với trước đây. - HUMAN-FAC1]]</f>
        <v>9</v>
      </c>
      <c r="AD327" t="str">
        <f t="shared" si="142"/>
        <v>Support</v>
      </c>
      <c r="AE327" s="32">
        <f t="shared" si="143"/>
        <v>3</v>
      </c>
      <c r="AF327">
        <f>step3_validation[[#This Row],[AI_FAC2]]</f>
        <v>9</v>
      </c>
      <c r="AG327" t="str">
        <f t="shared" si="144"/>
        <v>Support</v>
      </c>
      <c r="AH327">
        <f>survey_responses[[#This Row],[So với trước đây, tôi thấy cách tính thuế và các bậc thuế trong phương án mới đơn giản, dễ hiểu và dễ thực hiện hơn. - HUMAN-FAC2]]</f>
        <v>10</v>
      </c>
      <c r="AI327" t="str">
        <f t="shared" si="145"/>
        <v>Support</v>
      </c>
      <c r="AJ327" s="32">
        <f t="shared" si="146"/>
        <v>1</v>
      </c>
      <c r="AK327">
        <f>step3_validation[[#This Row],[AI_TRU1]]</f>
        <v>7</v>
      </c>
      <c r="AL327" t="str">
        <f t="shared" si="147"/>
        <v>Neutral</v>
      </c>
      <c r="AM327">
        <f>survey_responses[[#This Row],[Tôi tin rằng Nhà nước, cơ quan thuế sẽ thực thi chính sách mới một cách khách quan, công tâm và đối xử bình đẳng với mọi người nộp thuế.  - HUMAN-TRU1]]</f>
        <v>8</v>
      </c>
      <c r="AN327" t="str">
        <f t="shared" si="148"/>
        <v>Support</v>
      </c>
      <c r="AO327" s="32">
        <f t="shared" si="149"/>
        <v>1</v>
      </c>
      <c r="AP327">
        <f>step3_validation[[#This Row],[AI_TRU2]]</f>
        <v>8</v>
      </c>
      <c r="AQ327" t="str">
        <f t="shared" si="150"/>
        <v>Support</v>
      </c>
      <c r="AR327">
        <f>survey_responses[[#This Row],[Tôi thấy mức thuế tôi phải đóng theo phương án mới là công bằng (người thu nhập như tôi đóng mức này là hợp lý). - HUMAN-TRU2]]</f>
        <v>10</v>
      </c>
      <c r="AS327" t="str">
        <f t="shared" si="151"/>
        <v>Support</v>
      </c>
      <c r="AT327" s="32">
        <f t="shared" si="152"/>
        <v>2</v>
      </c>
      <c r="AU327">
        <f>step3_validation[[#This Row],[AI_TRU3]]</f>
        <v>7</v>
      </c>
      <c r="AV327" t="str">
        <f t="shared" si="153"/>
        <v>Neutral</v>
      </c>
      <c r="AW327">
        <f>survey_responses[[#This Row],[Tôi tin tưởng số tiền thuế tôi đóng sẽ được Nhà nước sử dụng hiệu quả để cải thiện dịch vụ công (y tế, đường xá...). - HUMAN-TRU3]]</f>
        <v>9</v>
      </c>
      <c r="AX327" t="str">
        <f t="shared" si="154"/>
        <v>Support</v>
      </c>
      <c r="AY327" s="32">
        <f t="shared" si="155"/>
        <v>2</v>
      </c>
      <c r="AZ327">
        <f>step3_validation[[#This Row],[AI_TRU4]]</f>
        <v>6</v>
      </c>
      <c r="BA327" t="str">
        <f t="shared" si="156"/>
        <v>Neutral</v>
      </c>
      <c r="BB327">
        <f>survey_responses[[#This Row],[Tôi thấy Nhà nước đã giải thích rõ ràng, minh bạch về lý do và mục tiêu của việc sửa đổi thuế lần này. - HUMAN-TRU4]]</f>
        <v>9</v>
      </c>
      <c r="BC327" t="str">
        <f t="shared" si="157"/>
        <v>Support</v>
      </c>
      <c r="BD327" s="32">
        <f t="shared" si="158"/>
        <v>3</v>
      </c>
      <c r="BE327">
        <f>step3_validation[[#This Row],[AI_OUT1]]</f>
        <v>9</v>
      </c>
      <c r="BF327" t="str">
        <f t="shared" si="159"/>
        <v>Support</v>
      </c>
      <c r="BG327">
        <f>survey_responses[[#This Row],[Sau khi xem xét các quyền lợi và nghĩa vụ, bạn có ủng hộ và tuân thủ chính sách mới hiện nay? - HUMAN-OUT1]]</f>
        <v>10</v>
      </c>
      <c r="BH327" t="str">
        <f t="shared" si="160"/>
        <v>Support</v>
      </c>
      <c r="BI327" s="32">
        <f t="shared" si="161"/>
        <v>1</v>
      </c>
    </row>
    <row r="328" spans="1:61" x14ac:dyDescent="0.45">
      <c r="A328" s="30">
        <f>step3_validation[[#This Row],[Persona_ID]]</f>
        <v>327</v>
      </c>
      <c r="B328" s="31">
        <f>step3_validation[[#This Row],[Used_Seed]]</f>
        <v>2352</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20.600351889527197</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6</v>
      </c>
      <c r="R328" t="str">
        <f t="shared" si="135"/>
        <v>Neutral</v>
      </c>
      <c r="S328">
        <f>survey_responses[[#This Row],[Tôi tin rằng với các quy định quản lý thuế hiện nay, hành vi gian lận hoặc trốn thuế sẽ dễ dàng bị phát hiện và xử lý nghiêm. - HUMAN-ENF1]]</f>
        <v>7</v>
      </c>
      <c r="T328" t="str">
        <f t="shared" si="136"/>
        <v>Neutral</v>
      </c>
      <c r="U328" s="32">
        <f t="shared" si="137"/>
        <v>1</v>
      </c>
      <c r="V328">
        <f>step3_validation[[#This Row],[AI_ENF2]]</f>
        <v>7</v>
      </c>
      <c r="W328" t="str">
        <f t="shared" si="138"/>
        <v>Neutral</v>
      </c>
      <c r="X328">
        <f>survey_responses[[#This Row],[Tôi tin rằng Nhà nước, cơ quan thuế có đủ khả năng và công nghệ để phát hiện, xử lý nghiêm các hành vi trốn thuế. - HUMAN-ENF2]]</f>
        <v>7</v>
      </c>
      <c r="Y328" t="str">
        <f t="shared" si="139"/>
        <v>Neutral</v>
      </c>
      <c r="Z328" s="32">
        <f t="shared" si="140"/>
        <v>0</v>
      </c>
      <c r="AA328">
        <f>step3_validation[[#This Row],[AI_FAC1]]</f>
        <v>9</v>
      </c>
      <c r="AB328" t="str">
        <f t="shared" si="141"/>
        <v>Support</v>
      </c>
      <c r="AC328">
        <f>survey_responses[[#This Row],[Các thủ tục khai báo thuế VÀ/HOẶC quy trình làm việc với cơ quan thuế đơn giản, tiện lợi, nhanh chóng hơn so với trước đây. - HUMAN-FAC1]]</f>
        <v>7</v>
      </c>
      <c r="AD328" t="str">
        <f t="shared" si="142"/>
        <v>Neutral</v>
      </c>
      <c r="AE328" s="32">
        <f t="shared" si="143"/>
        <v>2</v>
      </c>
      <c r="AF328">
        <f>step3_validation[[#This Row],[AI_FAC2]]</f>
        <v>10</v>
      </c>
      <c r="AG328" t="str">
        <f t="shared" si="144"/>
        <v>Support</v>
      </c>
      <c r="AH328">
        <f>survey_responses[[#This Row],[So với trước đây, tôi thấy cách tính thuế và các bậc thuế trong phương án mới đơn giản, dễ hiểu và dễ thực hiện hơn. - HUMAN-FAC2]]</f>
        <v>9</v>
      </c>
      <c r="AI328" t="str">
        <f t="shared" si="145"/>
        <v>Support</v>
      </c>
      <c r="AJ328" s="32">
        <f t="shared" si="146"/>
        <v>1</v>
      </c>
      <c r="AK328">
        <f>step3_validation[[#This Row],[AI_TRU1]]</f>
        <v>7</v>
      </c>
      <c r="AL328" t="str">
        <f t="shared" si="147"/>
        <v>Neutral</v>
      </c>
      <c r="AM328">
        <f>survey_responses[[#This Row],[Tôi tin rằng Nhà nước, cơ quan thuế sẽ thực thi chính sách mới một cách khách quan, công tâm và đối xử bình đẳng với mọi người nộp thuế.  - HUMAN-TRU1]]</f>
        <v>7</v>
      </c>
      <c r="AN328" t="str">
        <f t="shared" si="148"/>
        <v>Neutral</v>
      </c>
      <c r="AO328" s="32">
        <f t="shared" si="149"/>
        <v>0</v>
      </c>
      <c r="AP328">
        <f>step3_validation[[#This Row],[AI_TRU2]]</f>
        <v>8</v>
      </c>
      <c r="AQ328" t="str">
        <f t="shared" si="150"/>
        <v>Support</v>
      </c>
      <c r="AR328">
        <f>survey_responses[[#This Row],[Tôi thấy mức thuế tôi phải đóng theo phương án mới là công bằng (người thu nhập như tôi đóng mức này là hợp lý). - HUMAN-TRU2]]</f>
        <v>8</v>
      </c>
      <c r="AS328" t="str">
        <f t="shared" si="151"/>
        <v>Support</v>
      </c>
      <c r="AT328" s="32">
        <f t="shared" si="152"/>
        <v>0</v>
      </c>
      <c r="AU328">
        <f>step3_validation[[#This Row],[AI_TRU3]]</f>
        <v>6</v>
      </c>
      <c r="AV328" t="str">
        <f t="shared" si="153"/>
        <v>Neutral</v>
      </c>
      <c r="AW328">
        <f>survey_responses[[#This Row],[Tôi tin tưởng số tiền thuế tôi đóng sẽ được Nhà nước sử dụng hiệu quả để cải thiện dịch vụ công (y tế, đường xá...). - HUMAN-TRU3]]</f>
        <v>5</v>
      </c>
      <c r="AX328" t="str">
        <f t="shared" si="154"/>
        <v>Neutral</v>
      </c>
      <c r="AY328" s="32">
        <f t="shared" si="155"/>
        <v>1</v>
      </c>
      <c r="AZ328">
        <f>step3_validation[[#This Row],[AI_TRU4]]</f>
        <v>7</v>
      </c>
      <c r="BA328" t="str">
        <f t="shared" si="156"/>
        <v>Neutral</v>
      </c>
      <c r="BB328">
        <f>survey_responses[[#This Row],[Tôi thấy Nhà nước đã giải thích rõ ràng, minh bạch về lý do và mục tiêu của việc sửa đổi thuế lần này. - HUMAN-TRU4]]</f>
        <v>7</v>
      </c>
      <c r="BC328" t="str">
        <f t="shared" si="157"/>
        <v>Neutral</v>
      </c>
      <c r="BD328" s="32">
        <f t="shared" si="158"/>
        <v>0</v>
      </c>
      <c r="BE328">
        <f>step3_validation[[#This Row],[AI_OUT1]]</f>
        <v>8</v>
      </c>
      <c r="BF328" t="str">
        <f t="shared" si="159"/>
        <v>Support</v>
      </c>
      <c r="BG328">
        <f>survey_responses[[#This Row],[Sau khi xem xét các quyền lợi và nghĩa vụ, bạn có ủng hộ và tuân thủ chính sách mới hiện nay? - HUMAN-OUT1]]</f>
        <v>8</v>
      </c>
      <c r="BH328" t="str">
        <f t="shared" si="160"/>
        <v>Support</v>
      </c>
      <c r="BI328" s="32">
        <f t="shared" si="161"/>
        <v>0</v>
      </c>
    </row>
    <row r="329" spans="1:61" x14ac:dyDescent="0.45">
      <c r="A329" s="30">
        <f>step3_validation[[#This Row],[Persona_ID]]</f>
        <v>328</v>
      </c>
      <c r="B329" s="31">
        <f>step3_validation[[#This Row],[Used_Seed]]</f>
        <v>2353</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94.658327303822261</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8</v>
      </c>
      <c r="R329" t="str">
        <f t="shared" si="135"/>
        <v>Support</v>
      </c>
      <c r="S329">
        <f>survey_responses[[#This Row],[Tôi tin rằng với các quy định quản lý thuế hiện nay, hành vi gian lận hoặc trốn thuế sẽ dễ dàng bị phát hiện và xử lý nghiêm. - HUMAN-ENF1]]</f>
        <v>7</v>
      </c>
      <c r="T329" t="str">
        <f t="shared" si="136"/>
        <v>Neutral</v>
      </c>
      <c r="U329" s="32">
        <f t="shared" si="137"/>
        <v>1</v>
      </c>
      <c r="V329">
        <f>step3_validation[[#This Row],[AI_ENF2]]</f>
        <v>7</v>
      </c>
      <c r="W329" t="str">
        <f t="shared" si="138"/>
        <v>Neutral</v>
      </c>
      <c r="X329">
        <f>survey_responses[[#This Row],[Tôi tin rằng Nhà nước, cơ quan thuế có đủ khả năng và công nghệ để phát hiện, xử lý nghiêm các hành vi trốn thuế. - HUMAN-ENF2]]</f>
        <v>8</v>
      </c>
      <c r="Y329" t="str">
        <f t="shared" si="139"/>
        <v>Support</v>
      </c>
      <c r="Z329" s="32">
        <f t="shared" si="140"/>
        <v>1</v>
      </c>
      <c r="AA329">
        <f>step3_validation[[#This Row],[AI_FAC1]]</f>
        <v>9</v>
      </c>
      <c r="AB329" t="str">
        <f t="shared" si="141"/>
        <v>Support</v>
      </c>
      <c r="AC329">
        <f>survey_responses[[#This Row],[Các thủ tục khai báo thuế VÀ/HOẶC quy trình làm việc với cơ quan thuế đơn giản, tiện lợi, nhanh chóng hơn so với trước đây. - HUMAN-FAC1]]</f>
        <v>9</v>
      </c>
      <c r="AD329" t="str">
        <f t="shared" si="142"/>
        <v>Support</v>
      </c>
      <c r="AE329" s="32">
        <f t="shared" si="143"/>
        <v>0</v>
      </c>
      <c r="AF329">
        <f>step3_validation[[#This Row],[AI_FAC2]]</f>
        <v>8</v>
      </c>
      <c r="AG329" t="str">
        <f t="shared" si="144"/>
        <v>Support</v>
      </c>
      <c r="AH329">
        <f>survey_responses[[#This Row],[So với trước đây, tôi thấy cách tính thuế và các bậc thuế trong phương án mới đơn giản, dễ hiểu và dễ thực hiện hơn. - HUMAN-FAC2]]</f>
        <v>9</v>
      </c>
      <c r="AI329" t="str">
        <f t="shared" si="145"/>
        <v>Support</v>
      </c>
      <c r="AJ329" s="32">
        <f t="shared" si="146"/>
        <v>1</v>
      </c>
      <c r="AK329">
        <f>step3_validation[[#This Row],[AI_TRU1]]</f>
        <v>9</v>
      </c>
      <c r="AL329" t="str">
        <f t="shared" si="147"/>
        <v>Support</v>
      </c>
      <c r="AM329">
        <f>survey_responses[[#This Row],[Tôi tin rằng Nhà nước, cơ quan thuế sẽ thực thi chính sách mới một cách khách quan, công tâm và đối xử bình đẳng với mọi người nộp thuế.  - HUMAN-TRU1]]</f>
        <v>9</v>
      </c>
      <c r="AN329" t="str">
        <f t="shared" si="148"/>
        <v>Support</v>
      </c>
      <c r="AO329" s="32">
        <f t="shared" si="149"/>
        <v>0</v>
      </c>
      <c r="AP329">
        <f>step3_validation[[#This Row],[AI_TRU2]]</f>
        <v>8</v>
      </c>
      <c r="AQ329" t="str">
        <f t="shared" si="150"/>
        <v>Support</v>
      </c>
      <c r="AR329">
        <f>survey_responses[[#This Row],[Tôi thấy mức thuế tôi phải đóng theo phương án mới là công bằng (người thu nhập như tôi đóng mức này là hợp lý). - HUMAN-TRU2]]</f>
        <v>8</v>
      </c>
      <c r="AS329" t="str">
        <f t="shared" si="151"/>
        <v>Support</v>
      </c>
      <c r="AT329" s="32">
        <f t="shared" si="152"/>
        <v>0</v>
      </c>
      <c r="AU329">
        <f>step3_validation[[#This Row],[AI_TRU3]]</f>
        <v>9</v>
      </c>
      <c r="AV329" t="str">
        <f t="shared" si="153"/>
        <v>Support</v>
      </c>
      <c r="AW329">
        <f>survey_responses[[#This Row],[Tôi tin tưởng số tiền thuế tôi đóng sẽ được Nhà nước sử dụng hiệu quả để cải thiện dịch vụ công (y tế, đường xá...). - HUMAN-TRU3]]</f>
        <v>7</v>
      </c>
      <c r="AX329" t="str">
        <f t="shared" si="154"/>
        <v>Neutral</v>
      </c>
      <c r="AY329" s="32">
        <f t="shared" si="155"/>
        <v>2</v>
      </c>
      <c r="AZ329">
        <f>step3_validation[[#This Row],[AI_TRU4]]</f>
        <v>8</v>
      </c>
      <c r="BA329" t="str">
        <f t="shared" si="156"/>
        <v>Support</v>
      </c>
      <c r="BB329">
        <f>survey_responses[[#This Row],[Tôi thấy Nhà nước đã giải thích rõ ràng, minh bạch về lý do và mục tiêu của việc sửa đổi thuế lần này. - HUMAN-TRU4]]</f>
        <v>7</v>
      </c>
      <c r="BC329" t="str">
        <f t="shared" si="157"/>
        <v>Neutral</v>
      </c>
      <c r="BD329" s="32">
        <f t="shared" si="158"/>
        <v>1</v>
      </c>
      <c r="BE329">
        <f>step3_validation[[#This Row],[AI_OUT1]]</f>
        <v>9</v>
      </c>
      <c r="BF329" t="str">
        <f t="shared" si="159"/>
        <v>Support</v>
      </c>
      <c r="BG329">
        <f>survey_responses[[#This Row],[Sau khi xem xét các quyền lợi và nghĩa vụ, bạn có ủng hộ và tuân thủ chính sách mới hiện nay? - HUMAN-OUT1]]</f>
        <v>9</v>
      </c>
      <c r="BH329" t="str">
        <f t="shared" si="160"/>
        <v>Support</v>
      </c>
      <c r="BI329" s="32">
        <f t="shared" si="161"/>
        <v>0</v>
      </c>
    </row>
    <row r="330" spans="1:61" x14ac:dyDescent="0.45">
      <c r="A330" s="30">
        <f>step3_validation[[#This Row],[Persona_ID]]</f>
        <v>329</v>
      </c>
      <c r="B330" s="31">
        <f>step3_validation[[#This Row],[Used_Seed]]</f>
        <v>2354</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12.906355014656938</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7</v>
      </c>
      <c r="R330" t="str">
        <f t="shared" si="135"/>
        <v>Neutral</v>
      </c>
      <c r="S330">
        <f>survey_responses[[#This Row],[Tôi tin rằng với các quy định quản lý thuế hiện nay, hành vi gian lận hoặc trốn thuế sẽ dễ dàng bị phát hiện và xử lý nghiêm. - HUMAN-ENF1]]</f>
        <v>7</v>
      </c>
      <c r="T330" t="str">
        <f t="shared" si="136"/>
        <v>Neutral</v>
      </c>
      <c r="U330" s="32">
        <f t="shared" si="137"/>
        <v>0</v>
      </c>
      <c r="V330">
        <f>step3_validation[[#This Row],[AI_ENF2]]</f>
        <v>7</v>
      </c>
      <c r="W330" t="str">
        <f t="shared" si="138"/>
        <v>Neutral</v>
      </c>
      <c r="X330">
        <f>survey_responses[[#This Row],[Tôi tin rằng Nhà nước, cơ quan thuế có đủ khả năng và công nghệ để phát hiện, xử lý nghiêm các hành vi trốn thuế. - HUMAN-ENF2]]</f>
        <v>7</v>
      </c>
      <c r="Y330" t="str">
        <f t="shared" si="139"/>
        <v>Neutral</v>
      </c>
      <c r="Z330" s="32">
        <f t="shared" si="140"/>
        <v>0</v>
      </c>
      <c r="AA330">
        <f>step3_validation[[#This Row],[AI_FAC1]]</f>
        <v>9</v>
      </c>
      <c r="AB330" t="str">
        <f t="shared" si="141"/>
        <v>Support</v>
      </c>
      <c r="AC330">
        <f>survey_responses[[#This Row],[Các thủ tục khai báo thuế VÀ/HOẶC quy trình làm việc với cơ quan thuế đơn giản, tiện lợi, nhanh chóng hơn so với trước đây. - HUMAN-FAC1]]</f>
        <v>9</v>
      </c>
      <c r="AD330" t="str">
        <f t="shared" si="142"/>
        <v>Support</v>
      </c>
      <c r="AE330" s="32">
        <f t="shared" si="143"/>
        <v>0</v>
      </c>
      <c r="AF330">
        <f>step3_validation[[#This Row],[AI_FAC2]]</f>
        <v>9</v>
      </c>
      <c r="AG330" t="str">
        <f t="shared" si="144"/>
        <v>Support</v>
      </c>
      <c r="AH330">
        <f>survey_responses[[#This Row],[So với trước đây, tôi thấy cách tính thuế và các bậc thuế trong phương án mới đơn giản, dễ hiểu và dễ thực hiện hơn. - HUMAN-FAC2]]</f>
        <v>9</v>
      </c>
      <c r="AI330" t="str">
        <f t="shared" si="145"/>
        <v>Support</v>
      </c>
      <c r="AJ330" s="32">
        <f t="shared" si="146"/>
        <v>0</v>
      </c>
      <c r="AK330">
        <f>step3_validation[[#This Row],[AI_TRU1]]</f>
        <v>8</v>
      </c>
      <c r="AL330" t="str">
        <f t="shared" si="147"/>
        <v>Support</v>
      </c>
      <c r="AM330">
        <f>survey_responses[[#This Row],[Tôi tin rằng Nhà nước, cơ quan thuế sẽ thực thi chính sách mới một cách khách quan, công tâm và đối xử bình đẳng với mọi người nộp thuế.  - HUMAN-TRU1]]</f>
        <v>9</v>
      </c>
      <c r="AN330" t="str">
        <f t="shared" si="148"/>
        <v>Support</v>
      </c>
      <c r="AO330" s="32">
        <f t="shared" si="149"/>
        <v>1</v>
      </c>
      <c r="AP330">
        <f>step3_validation[[#This Row],[AI_TRU2]]</f>
        <v>8</v>
      </c>
      <c r="AQ330" t="str">
        <f t="shared" si="150"/>
        <v>Support</v>
      </c>
      <c r="AR330">
        <f>survey_responses[[#This Row],[Tôi thấy mức thuế tôi phải đóng theo phương án mới là công bằng (người thu nhập như tôi đóng mức này là hợp lý). - HUMAN-TRU2]]</f>
        <v>9</v>
      </c>
      <c r="AS330" t="str">
        <f t="shared" si="151"/>
        <v>Support</v>
      </c>
      <c r="AT330" s="32">
        <f t="shared" si="152"/>
        <v>1</v>
      </c>
      <c r="AU330">
        <f>step3_validation[[#This Row],[AI_TRU3]]</f>
        <v>9</v>
      </c>
      <c r="AV330" t="str">
        <f t="shared" si="153"/>
        <v>Support</v>
      </c>
      <c r="AW330">
        <f>survey_responses[[#This Row],[Tôi tin tưởng số tiền thuế tôi đóng sẽ được Nhà nước sử dụng hiệu quả để cải thiện dịch vụ công (y tế, đường xá...). - HUMAN-TRU3]]</f>
        <v>5</v>
      </c>
      <c r="AX330" t="str">
        <f t="shared" si="154"/>
        <v>Neutral</v>
      </c>
      <c r="AY330" s="32">
        <f t="shared" si="155"/>
        <v>4</v>
      </c>
      <c r="AZ330">
        <f>step3_validation[[#This Row],[AI_TRU4]]</f>
        <v>7</v>
      </c>
      <c r="BA330" t="str">
        <f t="shared" si="156"/>
        <v>Neutral</v>
      </c>
      <c r="BB330">
        <f>survey_responses[[#This Row],[Tôi thấy Nhà nước đã giải thích rõ ràng, minh bạch về lý do và mục tiêu của việc sửa đổi thuế lần này. - HUMAN-TRU4]]</f>
        <v>6</v>
      </c>
      <c r="BC330" t="str">
        <f t="shared" si="157"/>
        <v>Neutral</v>
      </c>
      <c r="BD330" s="32">
        <f t="shared" si="158"/>
        <v>1</v>
      </c>
      <c r="BE330">
        <f>step3_validation[[#This Row],[AI_OUT1]]</f>
        <v>9</v>
      </c>
      <c r="BF330" t="str">
        <f t="shared" si="159"/>
        <v>Support</v>
      </c>
      <c r="BG330">
        <f>survey_responses[[#This Row],[Sau khi xem xét các quyền lợi và nghĩa vụ, bạn có ủng hộ và tuân thủ chính sách mới hiện nay? - HUMAN-OUT1]]</f>
        <v>9</v>
      </c>
      <c r="BH330" t="str">
        <f t="shared" si="160"/>
        <v>Support</v>
      </c>
      <c r="BI330" s="32">
        <f t="shared" si="161"/>
        <v>0</v>
      </c>
    </row>
    <row r="331" spans="1:61" x14ac:dyDescent="0.45">
      <c r="A331" s="30">
        <f>step3_validation[[#This Row],[Persona_ID]]</f>
        <v>330</v>
      </c>
      <c r="B331" s="31">
        <f>step3_validation[[#This Row],[Used_Seed]]</f>
        <v>2355</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14.610230031752785</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7</v>
      </c>
      <c r="R331" t="str">
        <f t="shared" si="135"/>
        <v>Neutral</v>
      </c>
      <c r="S331">
        <f>survey_responses[[#This Row],[Tôi tin rằng với các quy định quản lý thuế hiện nay, hành vi gian lận hoặc trốn thuế sẽ dễ dàng bị phát hiện và xử lý nghiêm. - HUMAN-ENF1]]</f>
        <v>3</v>
      </c>
      <c r="T331" t="str">
        <f t="shared" si="136"/>
        <v>Oppose</v>
      </c>
      <c r="U331" s="32">
        <f t="shared" si="137"/>
        <v>4</v>
      </c>
      <c r="V331">
        <f>step3_validation[[#This Row],[AI_ENF2]]</f>
        <v>7</v>
      </c>
      <c r="W331" t="str">
        <f t="shared" si="138"/>
        <v>Neutral</v>
      </c>
      <c r="X331">
        <f>survey_responses[[#This Row],[Tôi tin rằng Nhà nước, cơ quan thuế có đủ khả năng và công nghệ để phát hiện, xử lý nghiêm các hành vi trốn thuế. - HUMAN-ENF2]]</f>
        <v>3</v>
      </c>
      <c r="Y331" t="str">
        <f t="shared" si="139"/>
        <v>Oppose</v>
      </c>
      <c r="Z331" s="32">
        <f t="shared" si="140"/>
        <v>4</v>
      </c>
      <c r="AA331">
        <f>step3_validation[[#This Row],[AI_FAC1]]</f>
        <v>8</v>
      </c>
      <c r="AB331" t="str">
        <f t="shared" si="141"/>
        <v>Support</v>
      </c>
      <c r="AC331">
        <f>survey_responses[[#This Row],[Các thủ tục khai báo thuế VÀ/HOẶC quy trình làm việc với cơ quan thuế đơn giản, tiện lợi, nhanh chóng hơn so với trước đây. - HUMAN-FAC1]]</f>
        <v>5</v>
      </c>
      <c r="AD331" t="str">
        <f t="shared" si="142"/>
        <v>Neutral</v>
      </c>
      <c r="AE331" s="32">
        <f t="shared" si="143"/>
        <v>3</v>
      </c>
      <c r="AF331">
        <f>step3_validation[[#This Row],[AI_FAC2]]</f>
        <v>9</v>
      </c>
      <c r="AG331" t="str">
        <f t="shared" si="144"/>
        <v>Support</v>
      </c>
      <c r="AH331">
        <f>survey_responses[[#This Row],[So với trước đây, tôi thấy cách tính thuế và các bậc thuế trong phương án mới đơn giản, dễ hiểu và dễ thực hiện hơn. - HUMAN-FAC2]]</f>
        <v>6</v>
      </c>
      <c r="AI331" t="str">
        <f t="shared" si="145"/>
        <v>Neutral</v>
      </c>
      <c r="AJ331" s="32">
        <f t="shared" si="146"/>
        <v>3</v>
      </c>
      <c r="AK331">
        <f>step3_validation[[#This Row],[AI_TRU1]]</f>
        <v>8</v>
      </c>
      <c r="AL331" t="str">
        <f t="shared" si="147"/>
        <v>Support</v>
      </c>
      <c r="AM331">
        <f>survey_responses[[#This Row],[Tôi tin rằng Nhà nước, cơ quan thuế sẽ thực thi chính sách mới một cách khách quan, công tâm và đối xử bình đẳng với mọi người nộp thuế.  - HUMAN-TRU1]]</f>
        <v>4</v>
      </c>
      <c r="AN331" t="str">
        <f t="shared" si="148"/>
        <v>Oppose</v>
      </c>
      <c r="AO331" s="32">
        <f t="shared" si="149"/>
        <v>4</v>
      </c>
      <c r="AP331">
        <f>step3_validation[[#This Row],[AI_TRU2]]</f>
        <v>9</v>
      </c>
      <c r="AQ331" t="str">
        <f t="shared" si="150"/>
        <v>Support</v>
      </c>
      <c r="AR331">
        <f>survey_responses[[#This Row],[Tôi thấy mức thuế tôi phải đóng theo phương án mới là công bằng (người thu nhập như tôi đóng mức này là hợp lý). - HUMAN-TRU2]]</f>
        <v>5</v>
      </c>
      <c r="AS331" t="str">
        <f t="shared" si="151"/>
        <v>Neutral</v>
      </c>
      <c r="AT331" s="32">
        <f t="shared" si="152"/>
        <v>4</v>
      </c>
      <c r="AU331">
        <f>step3_validation[[#This Row],[AI_TRU3]]</f>
        <v>8</v>
      </c>
      <c r="AV331" t="str">
        <f t="shared" si="153"/>
        <v>Support</v>
      </c>
      <c r="AW331">
        <f>survey_responses[[#This Row],[Tôi tin tưởng số tiền thuế tôi đóng sẽ được Nhà nước sử dụng hiệu quả để cải thiện dịch vụ công (y tế, đường xá...). - HUMAN-TRU3]]</f>
        <v>5</v>
      </c>
      <c r="AX331" t="str">
        <f t="shared" si="154"/>
        <v>Neutral</v>
      </c>
      <c r="AY331" s="32">
        <f t="shared" si="155"/>
        <v>3</v>
      </c>
      <c r="AZ331">
        <f>step3_validation[[#This Row],[AI_TRU4]]</f>
        <v>9</v>
      </c>
      <c r="BA331" t="str">
        <f t="shared" si="156"/>
        <v>Support</v>
      </c>
      <c r="BB331">
        <f>survey_responses[[#This Row],[Tôi thấy Nhà nước đã giải thích rõ ràng, minh bạch về lý do và mục tiêu của việc sửa đổi thuế lần này. - HUMAN-TRU4]]</f>
        <v>5</v>
      </c>
      <c r="BC331" t="str">
        <f t="shared" si="157"/>
        <v>Neutral</v>
      </c>
      <c r="BD331" s="32">
        <f t="shared" si="158"/>
        <v>4</v>
      </c>
      <c r="BE331">
        <f>step3_validation[[#This Row],[AI_OUT1]]</f>
        <v>8</v>
      </c>
      <c r="BF331" t="str">
        <f t="shared" si="159"/>
        <v>Support</v>
      </c>
      <c r="BG331">
        <f>survey_responses[[#This Row],[Sau khi xem xét các quyền lợi và nghĩa vụ, bạn có ủng hộ và tuân thủ chính sách mới hiện nay? - HUMAN-OUT1]]</f>
        <v>5</v>
      </c>
      <c r="BH331" t="str">
        <f t="shared" si="160"/>
        <v>Neutral</v>
      </c>
      <c r="BI331" s="32">
        <f t="shared" si="161"/>
        <v>3</v>
      </c>
    </row>
    <row r="332" spans="1:61" x14ac:dyDescent="0.45">
      <c r="A332" s="30">
        <f>step3_validation[[#This Row],[Persona_ID]]</f>
        <v>331</v>
      </c>
      <c r="B332" s="31">
        <f>step3_validation[[#This Row],[Used_Seed]]</f>
        <v>2356</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24.317590012924995</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6</v>
      </c>
      <c r="R332" t="str">
        <f t="shared" si="135"/>
        <v>Neutral</v>
      </c>
      <c r="S332">
        <f>survey_responses[[#This Row],[Tôi tin rằng với các quy định quản lý thuế hiện nay, hành vi gian lận hoặc trốn thuế sẽ dễ dàng bị phát hiện và xử lý nghiêm. - HUMAN-ENF1]]</f>
        <v>4</v>
      </c>
      <c r="T332" t="str">
        <f t="shared" si="136"/>
        <v>Oppose</v>
      </c>
      <c r="U332" s="32">
        <f t="shared" si="137"/>
        <v>2</v>
      </c>
      <c r="V332">
        <f>step3_validation[[#This Row],[AI_ENF2]]</f>
        <v>6</v>
      </c>
      <c r="W332" t="str">
        <f t="shared" si="138"/>
        <v>Neutral</v>
      </c>
      <c r="X332">
        <f>survey_responses[[#This Row],[Tôi tin rằng Nhà nước, cơ quan thuế có đủ khả năng và công nghệ để phát hiện, xử lý nghiêm các hành vi trốn thuế. - HUMAN-ENF2]]</f>
        <v>4</v>
      </c>
      <c r="Y332" t="str">
        <f t="shared" si="139"/>
        <v>Oppose</v>
      </c>
      <c r="Z332" s="32">
        <f t="shared" si="140"/>
        <v>2</v>
      </c>
      <c r="AA332">
        <f>step3_validation[[#This Row],[AI_FAC1]]</f>
        <v>9</v>
      </c>
      <c r="AB332" t="str">
        <f t="shared" si="141"/>
        <v>Support</v>
      </c>
      <c r="AC332">
        <f>survey_responses[[#This Row],[Các thủ tục khai báo thuế VÀ/HOẶC quy trình làm việc với cơ quan thuế đơn giản, tiện lợi, nhanh chóng hơn so với trước đây. - HUMAN-FAC1]]</f>
        <v>5</v>
      </c>
      <c r="AD332" t="str">
        <f t="shared" si="142"/>
        <v>Neutral</v>
      </c>
      <c r="AE332" s="32">
        <f t="shared" si="143"/>
        <v>4</v>
      </c>
      <c r="AF332">
        <f>step3_validation[[#This Row],[AI_FAC2]]</f>
        <v>8</v>
      </c>
      <c r="AG332" t="str">
        <f t="shared" si="144"/>
        <v>Support</v>
      </c>
      <c r="AH332">
        <f>survey_responses[[#This Row],[So với trước đây, tôi thấy cách tính thuế và các bậc thuế trong phương án mới đơn giản, dễ hiểu và dễ thực hiện hơn. - HUMAN-FAC2]]</f>
        <v>6</v>
      </c>
      <c r="AI332" t="str">
        <f t="shared" si="145"/>
        <v>Neutral</v>
      </c>
      <c r="AJ332" s="32">
        <f t="shared" si="146"/>
        <v>2</v>
      </c>
      <c r="AK332">
        <f>step3_validation[[#This Row],[AI_TRU1]]</f>
        <v>6</v>
      </c>
      <c r="AL332" t="str">
        <f t="shared" si="147"/>
        <v>Neutral</v>
      </c>
      <c r="AM332">
        <f>survey_responses[[#This Row],[Tôi tin rằng Nhà nước, cơ quan thuế sẽ thực thi chính sách mới một cách khách quan, công tâm và đối xử bình đẳng với mọi người nộp thuế.  - HUMAN-TRU1]]</f>
        <v>4</v>
      </c>
      <c r="AN332" t="str">
        <f t="shared" si="148"/>
        <v>Oppose</v>
      </c>
      <c r="AO332" s="32">
        <f t="shared" si="149"/>
        <v>2</v>
      </c>
      <c r="AP332">
        <f>step3_validation[[#This Row],[AI_TRU2]]</f>
        <v>8</v>
      </c>
      <c r="AQ332" t="str">
        <f t="shared" si="150"/>
        <v>Support</v>
      </c>
      <c r="AR332">
        <f>survey_responses[[#This Row],[Tôi thấy mức thuế tôi phải đóng theo phương án mới là công bằng (người thu nhập như tôi đóng mức này là hợp lý). - HUMAN-TRU2]]</f>
        <v>5</v>
      </c>
      <c r="AS332" t="str">
        <f t="shared" si="151"/>
        <v>Neutral</v>
      </c>
      <c r="AT332" s="32">
        <f t="shared" si="152"/>
        <v>3</v>
      </c>
      <c r="AU332">
        <f>step3_validation[[#This Row],[AI_TRU3]]</f>
        <v>6</v>
      </c>
      <c r="AV332" t="str">
        <f t="shared" si="153"/>
        <v>Neutral</v>
      </c>
      <c r="AW332">
        <f>survey_responses[[#This Row],[Tôi tin tưởng số tiền thuế tôi đóng sẽ được Nhà nước sử dụng hiệu quả để cải thiện dịch vụ công (y tế, đường xá...). - HUMAN-TRU3]]</f>
        <v>3</v>
      </c>
      <c r="AX332" t="str">
        <f t="shared" si="154"/>
        <v>Oppose</v>
      </c>
      <c r="AY332" s="32">
        <f t="shared" si="155"/>
        <v>3</v>
      </c>
      <c r="AZ332">
        <f>step3_validation[[#This Row],[AI_TRU4]]</f>
        <v>7</v>
      </c>
      <c r="BA332" t="str">
        <f t="shared" si="156"/>
        <v>Neutral</v>
      </c>
      <c r="BB332">
        <f>survey_responses[[#This Row],[Tôi thấy Nhà nước đã giải thích rõ ràng, minh bạch về lý do và mục tiêu của việc sửa đổi thuế lần này. - HUMAN-TRU4]]</f>
        <v>4</v>
      </c>
      <c r="BC332" t="str">
        <f t="shared" si="157"/>
        <v>Oppose</v>
      </c>
      <c r="BD332" s="32">
        <f t="shared" si="158"/>
        <v>3</v>
      </c>
      <c r="BE332">
        <f>step3_validation[[#This Row],[AI_OUT1]]</f>
        <v>6</v>
      </c>
      <c r="BF332" t="str">
        <f t="shared" si="159"/>
        <v>Neutral</v>
      </c>
      <c r="BG332">
        <f>survey_responses[[#This Row],[Sau khi xem xét các quyền lợi và nghĩa vụ, bạn có ủng hộ và tuân thủ chính sách mới hiện nay? - HUMAN-OUT1]]</f>
        <v>5</v>
      </c>
      <c r="BH332" t="str">
        <f t="shared" si="160"/>
        <v>Neutral</v>
      </c>
      <c r="BI332" s="32">
        <f t="shared" si="161"/>
        <v>1</v>
      </c>
    </row>
    <row r="333" spans="1:61" x14ac:dyDescent="0.45">
      <c r="A333" s="30">
        <f>step3_validation[[#This Row],[Persona_ID]]</f>
        <v>332</v>
      </c>
      <c r="B333" s="31">
        <f>step3_validation[[#This Row],[Used_Seed]]</f>
        <v>2357</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18.770659043386182</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7</v>
      </c>
      <c r="R333" t="str">
        <f t="shared" si="135"/>
        <v>Neutral</v>
      </c>
      <c r="S333">
        <f>survey_responses[[#This Row],[Tôi tin rằng với các quy định quản lý thuế hiện nay, hành vi gian lận hoặc trốn thuế sẽ dễ dàng bị phát hiện và xử lý nghiêm. - HUMAN-ENF1]]</f>
        <v>7</v>
      </c>
      <c r="T333" t="str">
        <f t="shared" si="136"/>
        <v>Neutral</v>
      </c>
      <c r="U333" s="32">
        <f t="shared" si="137"/>
        <v>0</v>
      </c>
      <c r="V333">
        <f>step3_validation[[#This Row],[AI_ENF2]]</f>
        <v>8</v>
      </c>
      <c r="W333" t="str">
        <f t="shared" si="138"/>
        <v>Support</v>
      </c>
      <c r="X333">
        <f>survey_responses[[#This Row],[Tôi tin rằng Nhà nước, cơ quan thuế có đủ khả năng và công nghệ để phát hiện, xử lý nghiêm các hành vi trốn thuế. - HUMAN-ENF2]]</f>
        <v>7</v>
      </c>
      <c r="Y333" t="str">
        <f t="shared" si="139"/>
        <v>Neutral</v>
      </c>
      <c r="Z333" s="32">
        <f t="shared" si="140"/>
        <v>1</v>
      </c>
      <c r="AA333">
        <f>step3_validation[[#This Row],[AI_FAC1]]</f>
        <v>7</v>
      </c>
      <c r="AB333" t="str">
        <f t="shared" si="141"/>
        <v>Neutral</v>
      </c>
      <c r="AC333">
        <f>survey_responses[[#This Row],[Các thủ tục khai báo thuế VÀ/HOẶC quy trình làm việc với cơ quan thuế đơn giản, tiện lợi, nhanh chóng hơn so với trước đây. - HUMAN-FAC1]]</f>
        <v>9</v>
      </c>
      <c r="AD333" t="str">
        <f t="shared" si="142"/>
        <v>Support</v>
      </c>
      <c r="AE333" s="32">
        <f t="shared" si="143"/>
        <v>2</v>
      </c>
      <c r="AF333">
        <f>step3_validation[[#This Row],[AI_FAC2]]</f>
        <v>9</v>
      </c>
      <c r="AG333" t="str">
        <f t="shared" si="144"/>
        <v>Support</v>
      </c>
      <c r="AH333">
        <f>survey_responses[[#This Row],[So với trước đây, tôi thấy cách tính thuế và các bậc thuế trong phương án mới đơn giản, dễ hiểu và dễ thực hiện hơn. - HUMAN-FAC2]]</f>
        <v>9</v>
      </c>
      <c r="AI333" t="str">
        <f t="shared" si="145"/>
        <v>Support</v>
      </c>
      <c r="AJ333" s="32">
        <f t="shared" si="146"/>
        <v>0</v>
      </c>
      <c r="AK333">
        <f>step3_validation[[#This Row],[AI_TRU1]]</f>
        <v>0</v>
      </c>
      <c r="AL333" t="str">
        <f t="shared" si="147"/>
        <v/>
      </c>
      <c r="AM333">
        <f>survey_responses[[#This Row],[Tôi tin rằng Nhà nước, cơ quan thuế sẽ thực thi chính sách mới một cách khách quan, công tâm và đối xử bình đẳng với mọi người nộp thuế.  - HUMAN-TRU1]]</f>
        <v>8</v>
      </c>
      <c r="AN333" t="str">
        <f t="shared" si="148"/>
        <v>Support</v>
      </c>
      <c r="AO333" s="32">
        <f t="shared" si="149"/>
        <v>8</v>
      </c>
      <c r="AP333">
        <f>step3_validation[[#This Row],[AI_TRU2]]</f>
        <v>0</v>
      </c>
      <c r="AQ333" t="str">
        <f t="shared" si="150"/>
        <v/>
      </c>
      <c r="AR333">
        <f>survey_responses[[#This Row],[Tôi thấy mức thuế tôi phải đóng theo phương án mới là công bằng (người thu nhập như tôi đóng mức này là hợp lý). - HUMAN-TRU2]]</f>
        <v>9</v>
      </c>
      <c r="AS333" t="str">
        <f t="shared" si="151"/>
        <v>Support</v>
      </c>
      <c r="AT333" s="32">
        <f t="shared" si="152"/>
        <v>9</v>
      </c>
      <c r="AU333">
        <f>step3_validation[[#This Row],[AI_TRU3]]</f>
        <v>0</v>
      </c>
      <c r="AV333" t="str">
        <f t="shared" si="153"/>
        <v/>
      </c>
      <c r="AW333">
        <f>survey_responses[[#This Row],[Tôi tin tưởng số tiền thuế tôi đóng sẽ được Nhà nước sử dụng hiệu quả để cải thiện dịch vụ công (y tế, đường xá...). - HUMAN-TRU3]]</f>
        <v>7</v>
      </c>
      <c r="AX333" t="str">
        <f t="shared" si="154"/>
        <v>Neutral</v>
      </c>
      <c r="AY333" s="32">
        <f t="shared" si="155"/>
        <v>7</v>
      </c>
      <c r="AZ333">
        <f>step3_validation[[#This Row],[AI_TRU4]]</f>
        <v>0</v>
      </c>
      <c r="BA333" t="str">
        <f t="shared" si="156"/>
        <v/>
      </c>
      <c r="BB333">
        <f>survey_responses[[#This Row],[Tôi thấy Nhà nước đã giải thích rõ ràng, minh bạch về lý do và mục tiêu của việc sửa đổi thuế lần này. - HUMAN-TRU4]]</f>
        <v>9</v>
      </c>
      <c r="BC333" t="str">
        <f t="shared" si="157"/>
        <v>Support</v>
      </c>
      <c r="BD333" s="32">
        <f t="shared" si="158"/>
        <v>9</v>
      </c>
      <c r="BE333">
        <f>step3_validation[[#This Row],[AI_OUT1]]</f>
        <v>0</v>
      </c>
      <c r="BF333" t="str">
        <f t="shared" si="159"/>
        <v/>
      </c>
      <c r="BG333">
        <f>survey_responses[[#This Row],[Sau khi xem xét các quyền lợi và nghĩa vụ, bạn có ủng hộ và tuân thủ chính sách mới hiện nay? - HUMAN-OUT1]]</f>
        <v>9</v>
      </c>
      <c r="BH333" t="str">
        <f t="shared" si="160"/>
        <v>Support</v>
      </c>
      <c r="BI333" s="32">
        <f t="shared" si="161"/>
        <v>9</v>
      </c>
    </row>
    <row r="334" spans="1:61" x14ac:dyDescent="0.45">
      <c r="A334" s="30">
        <f>step3_validation[[#This Row],[Persona_ID]]</f>
        <v>333</v>
      </c>
      <c r="B334" s="31">
        <f>step3_validation[[#This Row],[Used_Seed]]</f>
        <v>2358</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97.101931650904092</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6</v>
      </c>
      <c r="R334" t="str">
        <f t="shared" si="135"/>
        <v>Neutral</v>
      </c>
      <c r="S334">
        <f>survey_responses[[#This Row],[Tôi tin rằng với các quy định quản lý thuế hiện nay, hành vi gian lận hoặc trốn thuế sẽ dễ dàng bị phát hiện và xử lý nghiêm. - HUMAN-ENF1]]</f>
        <v>6</v>
      </c>
      <c r="T334" t="str">
        <f t="shared" si="136"/>
        <v>Neutral</v>
      </c>
      <c r="U334" s="32">
        <f t="shared" si="137"/>
        <v>0</v>
      </c>
      <c r="V334">
        <f>step3_validation[[#This Row],[AI_ENF2]]</f>
        <v>6</v>
      </c>
      <c r="W334" t="str">
        <f t="shared" si="138"/>
        <v>Neutral</v>
      </c>
      <c r="X334">
        <f>survey_responses[[#This Row],[Tôi tin rằng Nhà nước, cơ quan thuế có đủ khả năng và công nghệ để phát hiện, xử lý nghiêm các hành vi trốn thuế. - HUMAN-ENF2]]</f>
        <v>6</v>
      </c>
      <c r="Y334" t="str">
        <f t="shared" si="139"/>
        <v>Neutral</v>
      </c>
      <c r="Z334" s="32">
        <f t="shared" si="140"/>
        <v>0</v>
      </c>
      <c r="AA334">
        <f>step3_validation[[#This Row],[AI_FAC1]]</f>
        <v>8</v>
      </c>
      <c r="AB334" t="str">
        <f t="shared" si="141"/>
        <v>Support</v>
      </c>
      <c r="AC334">
        <f>survey_responses[[#This Row],[Các thủ tục khai báo thuế VÀ/HOẶC quy trình làm việc với cơ quan thuế đơn giản, tiện lợi, nhanh chóng hơn so với trước đây. - HUMAN-FAC1]]</f>
        <v>8</v>
      </c>
      <c r="AD334" t="str">
        <f t="shared" si="142"/>
        <v>Support</v>
      </c>
      <c r="AE334" s="32">
        <f t="shared" si="143"/>
        <v>0</v>
      </c>
      <c r="AF334">
        <f>step3_validation[[#This Row],[AI_FAC2]]</f>
        <v>9</v>
      </c>
      <c r="AG334" t="str">
        <f t="shared" si="144"/>
        <v>Support</v>
      </c>
      <c r="AH334">
        <f>survey_responses[[#This Row],[So với trước đây, tôi thấy cách tính thuế và các bậc thuế trong phương án mới đơn giản, dễ hiểu và dễ thực hiện hơn. - HUMAN-FAC2]]</f>
        <v>8</v>
      </c>
      <c r="AI334" t="str">
        <f t="shared" si="145"/>
        <v>Support</v>
      </c>
      <c r="AJ334" s="32">
        <f t="shared" si="146"/>
        <v>1</v>
      </c>
      <c r="AK334">
        <f>step3_validation[[#This Row],[AI_TRU1]]</f>
        <v>7</v>
      </c>
      <c r="AL334" t="str">
        <f t="shared" si="147"/>
        <v>Neutral</v>
      </c>
      <c r="AM334">
        <f>survey_responses[[#This Row],[Tôi tin rằng Nhà nước, cơ quan thuế sẽ thực thi chính sách mới một cách khách quan, công tâm và đối xử bình đẳng với mọi người nộp thuế.  - HUMAN-TRU1]]</f>
        <v>6</v>
      </c>
      <c r="AN334" t="str">
        <f t="shared" si="148"/>
        <v>Neutral</v>
      </c>
      <c r="AO334" s="32">
        <f t="shared" si="149"/>
        <v>1</v>
      </c>
      <c r="AP334">
        <f>step3_validation[[#This Row],[AI_TRU2]]</f>
        <v>8</v>
      </c>
      <c r="AQ334" t="str">
        <f t="shared" si="150"/>
        <v>Support</v>
      </c>
      <c r="AR334">
        <f>survey_responses[[#This Row],[Tôi thấy mức thuế tôi phải đóng theo phương án mới là công bằng (người thu nhập như tôi đóng mức này là hợp lý). - HUMAN-TRU2]]</f>
        <v>7</v>
      </c>
      <c r="AS334" t="str">
        <f t="shared" si="151"/>
        <v>Neutral</v>
      </c>
      <c r="AT334" s="32">
        <f t="shared" si="152"/>
        <v>1</v>
      </c>
      <c r="AU334">
        <f>step3_validation[[#This Row],[AI_TRU3]]</f>
        <v>7</v>
      </c>
      <c r="AV334" t="str">
        <f t="shared" si="153"/>
        <v>Neutral</v>
      </c>
      <c r="AW334">
        <f>survey_responses[[#This Row],[Tôi tin tưởng số tiền thuế tôi đóng sẽ được Nhà nước sử dụng hiệu quả để cải thiện dịch vụ công (y tế, đường xá...). - HUMAN-TRU3]]</f>
        <v>6</v>
      </c>
      <c r="AX334" t="str">
        <f t="shared" si="154"/>
        <v>Neutral</v>
      </c>
      <c r="AY334" s="32">
        <f t="shared" si="155"/>
        <v>1</v>
      </c>
      <c r="AZ334">
        <f>step3_validation[[#This Row],[AI_TRU4]]</f>
        <v>7</v>
      </c>
      <c r="BA334" t="str">
        <f t="shared" si="156"/>
        <v>Neutral</v>
      </c>
      <c r="BB334">
        <f>survey_responses[[#This Row],[Tôi thấy Nhà nước đã giải thích rõ ràng, minh bạch về lý do và mục tiêu của việc sửa đổi thuế lần này. - HUMAN-TRU4]]</f>
        <v>7</v>
      </c>
      <c r="BC334" t="str">
        <f t="shared" si="157"/>
        <v>Neutral</v>
      </c>
      <c r="BD334" s="32">
        <f t="shared" si="158"/>
        <v>0</v>
      </c>
      <c r="BE334">
        <f>step3_validation[[#This Row],[AI_OUT1]]</f>
        <v>8</v>
      </c>
      <c r="BF334" t="str">
        <f t="shared" si="159"/>
        <v>Support</v>
      </c>
      <c r="BG334">
        <f>survey_responses[[#This Row],[Sau khi xem xét các quyền lợi và nghĩa vụ, bạn có ủng hộ và tuân thủ chính sách mới hiện nay? - HUMAN-OUT1]]</f>
        <v>7</v>
      </c>
      <c r="BH334" t="str">
        <f t="shared" si="160"/>
        <v>Neutral</v>
      </c>
      <c r="BI334" s="32">
        <f t="shared" si="161"/>
        <v>1</v>
      </c>
    </row>
    <row r="335" spans="1:61" x14ac:dyDescent="0.45">
      <c r="A335" s="30">
        <f>step3_validation[[#This Row],[Persona_ID]]</f>
        <v>334</v>
      </c>
      <c r="B335" s="31">
        <f>step3_validation[[#This Row],[Used_Seed]]</f>
        <v>2359</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106.03814168985089</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8</v>
      </c>
      <c r="R335" t="str">
        <f t="shared" si="135"/>
        <v>Support</v>
      </c>
      <c r="S335">
        <f>survey_responses[[#This Row],[Tôi tin rằng với các quy định quản lý thuế hiện nay, hành vi gian lận hoặc trốn thuế sẽ dễ dàng bị phát hiện và xử lý nghiêm. - HUMAN-ENF1]]</f>
        <v>2</v>
      </c>
      <c r="T335" t="str">
        <f t="shared" si="136"/>
        <v>Oppose</v>
      </c>
      <c r="U335" s="32">
        <f t="shared" si="137"/>
        <v>6</v>
      </c>
      <c r="V335">
        <f>step3_validation[[#This Row],[AI_ENF2]]</f>
        <v>9</v>
      </c>
      <c r="W335" t="str">
        <f t="shared" si="138"/>
        <v>Support</v>
      </c>
      <c r="X335">
        <f>survey_responses[[#This Row],[Tôi tin rằng Nhà nước, cơ quan thuế có đủ khả năng và công nghệ để phát hiện, xử lý nghiêm các hành vi trốn thuế. - HUMAN-ENF2]]</f>
        <v>2</v>
      </c>
      <c r="Y335" t="str">
        <f t="shared" si="139"/>
        <v>Oppose</v>
      </c>
      <c r="Z335" s="32">
        <f t="shared" si="140"/>
        <v>7</v>
      </c>
      <c r="AA335">
        <f>step3_validation[[#This Row],[AI_FAC1]]</f>
        <v>7</v>
      </c>
      <c r="AB335" t="str">
        <f t="shared" si="141"/>
        <v>Neutral</v>
      </c>
      <c r="AC335">
        <f>survey_responses[[#This Row],[Các thủ tục khai báo thuế VÀ/HOẶC quy trình làm việc với cơ quan thuế đơn giản, tiện lợi, nhanh chóng hơn so với trước đây. - HUMAN-FAC1]]</f>
        <v>3</v>
      </c>
      <c r="AD335" t="str">
        <f t="shared" si="142"/>
        <v>Oppose</v>
      </c>
      <c r="AE335" s="32">
        <f t="shared" si="143"/>
        <v>4</v>
      </c>
      <c r="AF335">
        <f>step3_validation[[#This Row],[AI_FAC2]]</f>
        <v>8</v>
      </c>
      <c r="AG335" t="str">
        <f t="shared" si="144"/>
        <v>Support</v>
      </c>
      <c r="AH335">
        <f>survey_responses[[#This Row],[So với trước đây, tôi thấy cách tính thuế và các bậc thuế trong phương án mới đơn giản, dễ hiểu và dễ thực hiện hơn. - HUMAN-FAC2]]</f>
        <v>5</v>
      </c>
      <c r="AI335" t="str">
        <f t="shared" si="145"/>
        <v>Neutral</v>
      </c>
      <c r="AJ335" s="32">
        <f t="shared" si="146"/>
        <v>3</v>
      </c>
      <c r="AK335">
        <f>step3_validation[[#This Row],[AI_TRU1]]</f>
        <v>9</v>
      </c>
      <c r="AL335" t="str">
        <f t="shared" si="147"/>
        <v>Support</v>
      </c>
      <c r="AM335">
        <f>survey_responses[[#This Row],[Tôi tin rằng Nhà nước, cơ quan thuế sẽ thực thi chính sách mới một cách khách quan, công tâm và đối xử bình đẳng với mọi người nộp thuế.  - HUMAN-TRU1]]</f>
        <v>1</v>
      </c>
      <c r="AN335" t="str">
        <f t="shared" si="148"/>
        <v>Oppose</v>
      </c>
      <c r="AO335" s="32">
        <f t="shared" si="149"/>
        <v>8</v>
      </c>
      <c r="AP335">
        <f>step3_validation[[#This Row],[AI_TRU2]]</f>
        <v>8</v>
      </c>
      <c r="AQ335" t="str">
        <f t="shared" si="150"/>
        <v>Support</v>
      </c>
      <c r="AR335">
        <f>survey_responses[[#This Row],[Tôi thấy mức thuế tôi phải đóng theo phương án mới là công bằng (người thu nhập như tôi đóng mức này là hợp lý). - HUMAN-TRU2]]</f>
        <v>1</v>
      </c>
      <c r="AS335" t="str">
        <f t="shared" si="151"/>
        <v>Oppose</v>
      </c>
      <c r="AT335" s="32">
        <f t="shared" si="152"/>
        <v>7</v>
      </c>
      <c r="AU335">
        <f>step3_validation[[#This Row],[AI_TRU3]]</f>
        <v>9</v>
      </c>
      <c r="AV335" t="str">
        <f t="shared" si="153"/>
        <v>Support</v>
      </c>
      <c r="AW335">
        <f>survey_responses[[#This Row],[Tôi tin tưởng số tiền thuế tôi đóng sẽ được Nhà nước sử dụng hiệu quả để cải thiện dịch vụ công (y tế, đường xá...). - HUMAN-TRU3]]</f>
        <v>1</v>
      </c>
      <c r="AX335" t="str">
        <f t="shared" si="154"/>
        <v>Oppose</v>
      </c>
      <c r="AY335" s="32">
        <f t="shared" si="155"/>
        <v>8</v>
      </c>
      <c r="AZ335">
        <f>step3_validation[[#This Row],[AI_TRU4]]</f>
        <v>7</v>
      </c>
      <c r="BA335" t="str">
        <f t="shared" si="156"/>
        <v>Neutral</v>
      </c>
      <c r="BB335">
        <f>survey_responses[[#This Row],[Tôi thấy Nhà nước đã giải thích rõ ràng, minh bạch về lý do và mục tiêu của việc sửa đổi thuế lần này. - HUMAN-TRU4]]</f>
        <v>3</v>
      </c>
      <c r="BC335" t="str">
        <f t="shared" si="157"/>
        <v>Oppose</v>
      </c>
      <c r="BD335" s="32">
        <f t="shared" si="158"/>
        <v>4</v>
      </c>
      <c r="BE335">
        <f>step3_validation[[#This Row],[AI_OUT1]]</f>
        <v>9</v>
      </c>
      <c r="BF335" t="str">
        <f t="shared" si="159"/>
        <v>Support</v>
      </c>
      <c r="BG335">
        <f>survey_responses[[#This Row],[Sau khi xem xét các quyền lợi và nghĩa vụ, bạn có ủng hộ và tuân thủ chính sách mới hiện nay? - HUMAN-OUT1]]</f>
        <v>1</v>
      </c>
      <c r="BH335" t="str">
        <f t="shared" si="160"/>
        <v>Oppose</v>
      </c>
      <c r="BI335" s="32">
        <f t="shared" si="161"/>
        <v>8</v>
      </c>
    </row>
    <row r="336" spans="1:61" x14ac:dyDescent="0.45">
      <c r="A336" s="30">
        <f>step3_validation[[#This Row],[Persona_ID]]</f>
        <v>335</v>
      </c>
      <c r="B336" s="31">
        <f>step3_validation[[#This Row],[Used_Seed]]</f>
        <v>2360</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15.490245400546351</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7</v>
      </c>
      <c r="R336" t="str">
        <f t="shared" si="135"/>
        <v>Neutral</v>
      </c>
      <c r="S336">
        <f>survey_responses[[#This Row],[Tôi tin rằng với các quy định quản lý thuế hiện nay, hành vi gian lận hoặc trốn thuế sẽ dễ dàng bị phát hiện và xử lý nghiêm. - HUMAN-ENF1]]</f>
        <v>7</v>
      </c>
      <c r="T336" t="str">
        <f t="shared" si="136"/>
        <v>Neutral</v>
      </c>
      <c r="U336" s="32">
        <f t="shared" si="137"/>
        <v>0</v>
      </c>
      <c r="V336">
        <f>step3_validation[[#This Row],[AI_ENF2]]</f>
        <v>8</v>
      </c>
      <c r="W336" t="str">
        <f t="shared" si="138"/>
        <v>Support</v>
      </c>
      <c r="X336">
        <f>survey_responses[[#This Row],[Tôi tin rằng Nhà nước, cơ quan thuế có đủ khả năng và công nghệ để phát hiện, xử lý nghiêm các hành vi trốn thuế. - HUMAN-ENF2]]</f>
        <v>7</v>
      </c>
      <c r="Y336" t="str">
        <f t="shared" si="139"/>
        <v>Neutral</v>
      </c>
      <c r="Z336" s="32">
        <f t="shared" si="140"/>
        <v>1</v>
      </c>
      <c r="AA336">
        <f>step3_validation[[#This Row],[AI_FAC1]]</f>
        <v>9</v>
      </c>
      <c r="AB336" t="str">
        <f t="shared" si="141"/>
        <v>Support</v>
      </c>
      <c r="AC336">
        <f>survey_responses[[#This Row],[Các thủ tục khai báo thuế VÀ/HOẶC quy trình làm việc với cơ quan thuế đơn giản, tiện lợi, nhanh chóng hơn so với trước đây. - HUMAN-FAC1]]</f>
        <v>8</v>
      </c>
      <c r="AD336" t="str">
        <f t="shared" si="142"/>
        <v>Support</v>
      </c>
      <c r="AE336" s="32">
        <f t="shared" si="143"/>
        <v>1</v>
      </c>
      <c r="AF336">
        <f>step3_validation[[#This Row],[AI_FAC2]]</f>
        <v>9</v>
      </c>
      <c r="AG336" t="str">
        <f t="shared" si="144"/>
        <v>Support</v>
      </c>
      <c r="AH336">
        <f>survey_responses[[#This Row],[So với trước đây, tôi thấy cách tính thuế và các bậc thuế trong phương án mới đơn giản, dễ hiểu và dễ thực hiện hơn. - HUMAN-FAC2]]</f>
        <v>10</v>
      </c>
      <c r="AI336" t="str">
        <f t="shared" si="145"/>
        <v>Support</v>
      </c>
      <c r="AJ336" s="32">
        <f t="shared" si="146"/>
        <v>1</v>
      </c>
      <c r="AK336">
        <f>step3_validation[[#This Row],[AI_TRU1]]</f>
        <v>8</v>
      </c>
      <c r="AL336" t="str">
        <f t="shared" si="147"/>
        <v>Support</v>
      </c>
      <c r="AM336">
        <f>survey_responses[[#This Row],[Tôi tin rằng Nhà nước, cơ quan thuế sẽ thực thi chính sách mới một cách khách quan, công tâm và đối xử bình đẳng với mọi người nộp thuế.  - HUMAN-TRU1]]</f>
        <v>9</v>
      </c>
      <c r="AN336" t="str">
        <f t="shared" si="148"/>
        <v>Support</v>
      </c>
      <c r="AO336" s="32">
        <f t="shared" si="149"/>
        <v>1</v>
      </c>
      <c r="AP336">
        <f>step3_validation[[#This Row],[AI_TRU2]]</f>
        <v>8</v>
      </c>
      <c r="AQ336" t="str">
        <f t="shared" si="150"/>
        <v>Support</v>
      </c>
      <c r="AR336">
        <f>survey_responses[[#This Row],[Tôi thấy mức thuế tôi phải đóng theo phương án mới là công bằng (người thu nhập như tôi đóng mức này là hợp lý). - HUMAN-TRU2]]</f>
        <v>10</v>
      </c>
      <c r="AS336" t="str">
        <f t="shared" si="151"/>
        <v>Support</v>
      </c>
      <c r="AT336" s="32">
        <f t="shared" si="152"/>
        <v>2</v>
      </c>
      <c r="AU336">
        <f>step3_validation[[#This Row],[AI_TRU3]]</f>
        <v>7</v>
      </c>
      <c r="AV336" t="str">
        <f t="shared" si="153"/>
        <v>Neutral</v>
      </c>
      <c r="AW336">
        <f>survey_responses[[#This Row],[Tôi tin tưởng số tiền thuế tôi đóng sẽ được Nhà nước sử dụng hiệu quả để cải thiện dịch vụ công (y tế, đường xá...). - HUMAN-TRU3]]</f>
        <v>8</v>
      </c>
      <c r="AX336" t="str">
        <f t="shared" si="154"/>
        <v>Support</v>
      </c>
      <c r="AY336" s="32">
        <f t="shared" si="155"/>
        <v>1</v>
      </c>
      <c r="AZ336">
        <f>step3_validation[[#This Row],[AI_TRU4]]</f>
        <v>8</v>
      </c>
      <c r="BA336" t="str">
        <f t="shared" si="156"/>
        <v>Support</v>
      </c>
      <c r="BB336">
        <f>survey_responses[[#This Row],[Tôi thấy Nhà nước đã giải thích rõ ràng, minh bạch về lý do và mục tiêu của việc sửa đổi thuế lần này. - HUMAN-TRU4]]</f>
        <v>8</v>
      </c>
      <c r="BC336" t="str">
        <f t="shared" si="157"/>
        <v>Support</v>
      </c>
      <c r="BD336" s="32">
        <f t="shared" si="158"/>
        <v>0</v>
      </c>
      <c r="BE336">
        <f>step3_validation[[#This Row],[AI_OUT1]]</f>
        <v>9</v>
      </c>
      <c r="BF336" t="str">
        <f t="shared" si="159"/>
        <v>Support</v>
      </c>
      <c r="BG336">
        <f>survey_responses[[#This Row],[Sau khi xem xét các quyền lợi và nghĩa vụ, bạn có ủng hộ và tuân thủ chính sách mới hiện nay? - HUMAN-OUT1]]</f>
        <v>10</v>
      </c>
      <c r="BH336" t="str">
        <f t="shared" si="160"/>
        <v>Support</v>
      </c>
      <c r="BI336" s="32">
        <f t="shared" si="161"/>
        <v>1</v>
      </c>
    </row>
    <row r="337" spans="1:61" x14ac:dyDescent="0.45">
      <c r="A337" s="30">
        <f>step3_validation[[#This Row],[Persona_ID]]</f>
        <v>336</v>
      </c>
      <c r="B337" s="31">
        <f>step3_validation[[#This Row],[Used_Seed]]</f>
        <v>2361</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21.173110024966263</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7</v>
      </c>
      <c r="R337" t="str">
        <f t="shared" si="135"/>
        <v>Neutral</v>
      </c>
      <c r="S337">
        <f>survey_responses[[#This Row],[Tôi tin rằng với các quy định quản lý thuế hiện nay, hành vi gian lận hoặc trốn thuế sẽ dễ dàng bị phát hiện và xử lý nghiêm. - HUMAN-ENF1]]</f>
        <v>4</v>
      </c>
      <c r="T337" t="str">
        <f t="shared" si="136"/>
        <v>Oppose</v>
      </c>
      <c r="U337" s="32">
        <f t="shared" si="137"/>
        <v>3</v>
      </c>
      <c r="V337">
        <f>step3_validation[[#This Row],[AI_ENF2]]</f>
        <v>8</v>
      </c>
      <c r="W337" t="str">
        <f t="shared" si="138"/>
        <v>Support</v>
      </c>
      <c r="X337">
        <f>survey_responses[[#This Row],[Tôi tin rằng Nhà nước, cơ quan thuế có đủ khả năng và công nghệ để phát hiện, xử lý nghiêm các hành vi trốn thuế. - HUMAN-ENF2]]</f>
        <v>5</v>
      </c>
      <c r="Y337" t="str">
        <f t="shared" si="139"/>
        <v>Neutral</v>
      </c>
      <c r="Z337" s="32">
        <f t="shared" si="140"/>
        <v>3</v>
      </c>
      <c r="AA337">
        <f>step3_validation[[#This Row],[AI_FAC1]]</f>
        <v>9</v>
      </c>
      <c r="AB337" t="str">
        <f t="shared" si="141"/>
        <v>Support</v>
      </c>
      <c r="AC337">
        <f>survey_responses[[#This Row],[Các thủ tục khai báo thuế VÀ/HOẶC quy trình làm việc với cơ quan thuế đơn giản, tiện lợi, nhanh chóng hơn so với trước đây. - HUMAN-FAC1]]</f>
        <v>5</v>
      </c>
      <c r="AD337" t="str">
        <f t="shared" si="142"/>
        <v>Neutral</v>
      </c>
      <c r="AE337" s="32">
        <f t="shared" si="143"/>
        <v>4</v>
      </c>
      <c r="AF337">
        <f>step3_validation[[#This Row],[AI_FAC2]]</f>
        <v>10</v>
      </c>
      <c r="AG337" t="str">
        <f t="shared" si="144"/>
        <v>Support</v>
      </c>
      <c r="AH337">
        <f>survey_responses[[#This Row],[So với trước đây, tôi thấy cách tính thuế và các bậc thuế trong phương án mới đơn giản, dễ hiểu và dễ thực hiện hơn. - HUMAN-FAC2]]</f>
        <v>6</v>
      </c>
      <c r="AI337" t="str">
        <f t="shared" si="145"/>
        <v>Neutral</v>
      </c>
      <c r="AJ337" s="32">
        <f t="shared" si="146"/>
        <v>4</v>
      </c>
      <c r="AK337">
        <f>step3_validation[[#This Row],[AI_TRU1]]</f>
        <v>6</v>
      </c>
      <c r="AL337" t="str">
        <f t="shared" si="147"/>
        <v>Neutral</v>
      </c>
      <c r="AM337">
        <f>survey_responses[[#This Row],[Tôi tin rằng Nhà nước, cơ quan thuế sẽ thực thi chính sách mới một cách khách quan, công tâm và đối xử bình đẳng với mọi người nộp thuế.  - HUMAN-TRU1]]</f>
        <v>5</v>
      </c>
      <c r="AN337" t="str">
        <f t="shared" si="148"/>
        <v>Neutral</v>
      </c>
      <c r="AO337" s="32">
        <f t="shared" si="149"/>
        <v>1</v>
      </c>
      <c r="AP337">
        <f>step3_validation[[#This Row],[AI_TRU2]]</f>
        <v>9</v>
      </c>
      <c r="AQ337" t="str">
        <f t="shared" si="150"/>
        <v>Support</v>
      </c>
      <c r="AR337">
        <f>survey_responses[[#This Row],[Tôi thấy mức thuế tôi phải đóng theo phương án mới là công bằng (người thu nhập như tôi đóng mức này là hợp lý). - HUMAN-TRU2]]</f>
        <v>6</v>
      </c>
      <c r="AS337" t="str">
        <f t="shared" si="151"/>
        <v>Neutral</v>
      </c>
      <c r="AT337" s="32">
        <f t="shared" si="152"/>
        <v>3</v>
      </c>
      <c r="AU337">
        <f>step3_validation[[#This Row],[AI_TRU3]]</f>
        <v>7</v>
      </c>
      <c r="AV337" t="str">
        <f t="shared" si="153"/>
        <v>Neutral</v>
      </c>
      <c r="AW337">
        <f>survey_responses[[#This Row],[Tôi tin tưởng số tiền thuế tôi đóng sẽ được Nhà nước sử dụng hiệu quả để cải thiện dịch vụ công (y tế, đường xá...). - HUMAN-TRU3]]</f>
        <v>5</v>
      </c>
      <c r="AX337" t="str">
        <f t="shared" si="154"/>
        <v>Neutral</v>
      </c>
      <c r="AY337" s="32">
        <f t="shared" si="155"/>
        <v>2</v>
      </c>
      <c r="AZ337">
        <f>step3_validation[[#This Row],[AI_TRU4]]</f>
        <v>8</v>
      </c>
      <c r="BA337" t="str">
        <f t="shared" si="156"/>
        <v>Support</v>
      </c>
      <c r="BB337">
        <f>survey_responses[[#This Row],[Tôi thấy Nhà nước đã giải thích rõ ràng, minh bạch về lý do và mục tiêu của việc sửa đổi thuế lần này. - HUMAN-TRU4]]</f>
        <v>5</v>
      </c>
      <c r="BC337" t="str">
        <f t="shared" si="157"/>
        <v>Neutral</v>
      </c>
      <c r="BD337" s="32">
        <f t="shared" si="158"/>
        <v>3</v>
      </c>
      <c r="BE337">
        <f>step3_validation[[#This Row],[AI_OUT1]]</f>
        <v>9</v>
      </c>
      <c r="BF337" t="str">
        <f t="shared" si="159"/>
        <v>Support</v>
      </c>
      <c r="BG337">
        <f>survey_responses[[#This Row],[Sau khi xem xét các quyền lợi và nghĩa vụ, bạn có ủng hộ và tuân thủ chính sách mới hiện nay? - HUMAN-OUT1]]</f>
        <v>6</v>
      </c>
      <c r="BH337" t="str">
        <f t="shared" si="160"/>
        <v>Neutral</v>
      </c>
      <c r="BI337" s="32">
        <f t="shared" si="161"/>
        <v>3</v>
      </c>
    </row>
    <row r="338" spans="1:61" x14ac:dyDescent="0.45">
      <c r="A338" s="30">
        <f>step3_validation[[#This Row],[Persona_ID]]</f>
        <v>337</v>
      </c>
      <c r="B338" s="31">
        <f>step3_validation[[#This Row],[Used_Seed]]</f>
        <v>2362</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26.362871390405505</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6</v>
      </c>
      <c r="R338" t="str">
        <f t="shared" si="135"/>
        <v>Neutral</v>
      </c>
      <c r="S338">
        <f>survey_responses[[#This Row],[Tôi tin rằng với các quy định quản lý thuế hiện nay, hành vi gian lận hoặc trốn thuế sẽ dễ dàng bị phát hiện và xử lý nghiêm. - HUMAN-ENF1]]</f>
        <v>7</v>
      </c>
      <c r="T338" t="str">
        <f t="shared" si="136"/>
        <v>Neutral</v>
      </c>
      <c r="U338" s="32">
        <f t="shared" si="137"/>
        <v>1</v>
      </c>
      <c r="V338">
        <f>step3_validation[[#This Row],[AI_ENF2]]</f>
        <v>7</v>
      </c>
      <c r="W338" t="str">
        <f t="shared" si="138"/>
        <v>Neutral</v>
      </c>
      <c r="X338">
        <f>survey_responses[[#This Row],[Tôi tin rằng Nhà nước, cơ quan thuế có đủ khả năng và công nghệ để phát hiện, xử lý nghiêm các hành vi trốn thuế. - HUMAN-ENF2]]</f>
        <v>8</v>
      </c>
      <c r="Y338" t="str">
        <f t="shared" si="139"/>
        <v>Support</v>
      </c>
      <c r="Z338" s="32">
        <f t="shared" si="140"/>
        <v>1</v>
      </c>
      <c r="AA338">
        <f>step3_validation[[#This Row],[AI_FAC1]]</f>
        <v>9</v>
      </c>
      <c r="AB338" t="str">
        <f t="shared" si="141"/>
        <v>Support</v>
      </c>
      <c r="AC338">
        <f>survey_responses[[#This Row],[Các thủ tục khai báo thuế VÀ/HOẶC quy trình làm việc với cơ quan thuế đơn giản, tiện lợi, nhanh chóng hơn so với trước đây. - HUMAN-FAC1]]</f>
        <v>7</v>
      </c>
      <c r="AD338" t="str">
        <f t="shared" si="142"/>
        <v>Neutral</v>
      </c>
      <c r="AE338" s="32">
        <f t="shared" si="143"/>
        <v>2</v>
      </c>
      <c r="AF338">
        <f>step3_validation[[#This Row],[AI_FAC2]]</f>
        <v>8</v>
      </c>
      <c r="AG338" t="str">
        <f t="shared" si="144"/>
        <v>Support</v>
      </c>
      <c r="AH338">
        <f>survey_responses[[#This Row],[So với trước đây, tôi thấy cách tính thuế và các bậc thuế trong phương án mới đơn giản, dễ hiểu và dễ thực hiện hơn. - HUMAN-FAC2]]</f>
        <v>7</v>
      </c>
      <c r="AI338" t="str">
        <f t="shared" si="145"/>
        <v>Neutral</v>
      </c>
      <c r="AJ338" s="32">
        <f t="shared" si="146"/>
        <v>1</v>
      </c>
      <c r="AK338">
        <f>step3_validation[[#This Row],[AI_TRU1]]</f>
        <v>9</v>
      </c>
      <c r="AL338" t="str">
        <f t="shared" si="147"/>
        <v>Support</v>
      </c>
      <c r="AM338">
        <f>survey_responses[[#This Row],[Tôi tin rằng Nhà nước, cơ quan thuế sẽ thực thi chính sách mới một cách khách quan, công tâm và đối xử bình đẳng với mọi người nộp thuế.  - HUMAN-TRU1]]</f>
        <v>6</v>
      </c>
      <c r="AN338" t="str">
        <f t="shared" si="148"/>
        <v>Neutral</v>
      </c>
      <c r="AO338" s="32">
        <f t="shared" si="149"/>
        <v>3</v>
      </c>
      <c r="AP338">
        <f>step3_validation[[#This Row],[AI_TRU2]]</f>
        <v>8</v>
      </c>
      <c r="AQ338" t="str">
        <f t="shared" si="150"/>
        <v>Support</v>
      </c>
      <c r="AR338">
        <f>survey_responses[[#This Row],[Tôi thấy mức thuế tôi phải đóng theo phương án mới là công bằng (người thu nhập như tôi đóng mức này là hợp lý). - HUMAN-TRU2]]</f>
        <v>8</v>
      </c>
      <c r="AS338" t="str">
        <f t="shared" si="151"/>
        <v>Support</v>
      </c>
      <c r="AT338" s="32">
        <f t="shared" si="152"/>
        <v>0</v>
      </c>
      <c r="AU338">
        <f>step3_validation[[#This Row],[AI_TRU3]]</f>
        <v>9</v>
      </c>
      <c r="AV338" t="str">
        <f t="shared" si="153"/>
        <v>Support</v>
      </c>
      <c r="AW338">
        <f>survey_responses[[#This Row],[Tôi tin tưởng số tiền thuế tôi đóng sẽ được Nhà nước sử dụng hiệu quả để cải thiện dịch vụ công (y tế, đường xá...). - HUMAN-TRU3]]</f>
        <v>6</v>
      </c>
      <c r="AX338" t="str">
        <f t="shared" si="154"/>
        <v>Neutral</v>
      </c>
      <c r="AY338" s="32">
        <f t="shared" si="155"/>
        <v>3</v>
      </c>
      <c r="AZ338">
        <f>step3_validation[[#This Row],[AI_TRU4]]</f>
        <v>8</v>
      </c>
      <c r="BA338" t="str">
        <f t="shared" si="156"/>
        <v>Support</v>
      </c>
      <c r="BB338">
        <f>survey_responses[[#This Row],[Tôi thấy Nhà nước đã giải thích rõ ràng, minh bạch về lý do và mục tiêu của việc sửa đổi thuế lần này. - HUMAN-TRU4]]</f>
        <v>8</v>
      </c>
      <c r="BC338" t="str">
        <f t="shared" si="157"/>
        <v>Support</v>
      </c>
      <c r="BD338" s="32">
        <f t="shared" si="158"/>
        <v>0</v>
      </c>
      <c r="BE338">
        <f>step3_validation[[#This Row],[AI_OUT1]]</f>
        <v>9</v>
      </c>
      <c r="BF338" t="str">
        <f t="shared" si="159"/>
        <v>Support</v>
      </c>
      <c r="BG338">
        <f>survey_responses[[#This Row],[Sau khi xem xét các quyền lợi và nghĩa vụ, bạn có ủng hộ và tuân thủ chính sách mới hiện nay? - HUMAN-OUT1]]</f>
        <v>8</v>
      </c>
      <c r="BH338" t="str">
        <f t="shared" si="160"/>
        <v>Support</v>
      </c>
      <c r="BI338" s="32">
        <f t="shared" si="161"/>
        <v>1</v>
      </c>
    </row>
    <row r="339" spans="1:61" x14ac:dyDescent="0.45">
      <c r="A339" s="30">
        <f>step3_validation[[#This Row],[Persona_ID]]</f>
        <v>338</v>
      </c>
      <c r="B339" s="31">
        <f>step3_validation[[#This Row],[Used_Seed]]</f>
        <v>2363</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12.921975914739679</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7</v>
      </c>
      <c r="R339" t="str">
        <f t="shared" si="135"/>
        <v>Neutral</v>
      </c>
      <c r="S339">
        <f>survey_responses[[#This Row],[Tôi tin rằng với các quy định quản lý thuế hiện nay, hành vi gian lận hoặc trốn thuế sẽ dễ dàng bị phát hiện và xử lý nghiêm. - HUMAN-ENF1]]</f>
        <v>8</v>
      </c>
      <c r="T339" t="str">
        <f t="shared" si="136"/>
        <v>Support</v>
      </c>
      <c r="U339" s="32">
        <f t="shared" si="137"/>
        <v>1</v>
      </c>
      <c r="V339">
        <f>step3_validation[[#This Row],[AI_ENF2]]</f>
        <v>6</v>
      </c>
      <c r="W339" t="str">
        <f t="shared" si="138"/>
        <v>Neutral</v>
      </c>
      <c r="X339">
        <f>survey_responses[[#This Row],[Tôi tin rằng Nhà nước, cơ quan thuế có đủ khả năng và công nghệ để phát hiện, xử lý nghiêm các hành vi trốn thuế. - HUMAN-ENF2]]</f>
        <v>8</v>
      </c>
      <c r="Y339" t="str">
        <f t="shared" si="139"/>
        <v>Support</v>
      </c>
      <c r="Z339" s="32">
        <f t="shared" si="140"/>
        <v>2</v>
      </c>
      <c r="AA339">
        <f>step3_validation[[#This Row],[AI_FAC1]]</f>
        <v>8</v>
      </c>
      <c r="AB339" t="str">
        <f t="shared" si="141"/>
        <v>Support</v>
      </c>
      <c r="AC339">
        <f>survey_responses[[#This Row],[Các thủ tục khai báo thuế VÀ/HOẶC quy trình làm việc với cơ quan thuế đơn giản, tiện lợi, nhanh chóng hơn so với trước đây. - HUMAN-FAC1]]</f>
        <v>9</v>
      </c>
      <c r="AD339" t="str">
        <f t="shared" si="142"/>
        <v>Support</v>
      </c>
      <c r="AE339" s="32">
        <f t="shared" si="143"/>
        <v>1</v>
      </c>
      <c r="AF339">
        <f>step3_validation[[#This Row],[AI_FAC2]]</f>
        <v>9</v>
      </c>
      <c r="AG339" t="str">
        <f t="shared" si="144"/>
        <v>Support</v>
      </c>
      <c r="AH339">
        <f>survey_responses[[#This Row],[So với trước đây, tôi thấy cách tính thuế và các bậc thuế trong phương án mới đơn giản, dễ hiểu và dễ thực hiện hơn. - HUMAN-FAC2]]</f>
        <v>9</v>
      </c>
      <c r="AI339" t="str">
        <f t="shared" si="145"/>
        <v>Support</v>
      </c>
      <c r="AJ339" s="32">
        <f t="shared" si="146"/>
        <v>0</v>
      </c>
      <c r="AK339">
        <f>step3_validation[[#This Row],[AI_TRU1]]</f>
        <v>8</v>
      </c>
      <c r="AL339" t="str">
        <f t="shared" si="147"/>
        <v>Support</v>
      </c>
      <c r="AM339">
        <f>survey_responses[[#This Row],[Tôi tin rằng Nhà nước, cơ quan thuế sẽ thực thi chính sách mới một cách khách quan, công tâm và đối xử bình đẳng với mọi người nộp thuế.  - HUMAN-TRU1]]</f>
        <v>8</v>
      </c>
      <c r="AN339" t="str">
        <f t="shared" si="148"/>
        <v>Support</v>
      </c>
      <c r="AO339" s="32">
        <f t="shared" si="149"/>
        <v>0</v>
      </c>
      <c r="AP339">
        <f>step3_validation[[#This Row],[AI_TRU2]]</f>
        <v>9</v>
      </c>
      <c r="AQ339" t="str">
        <f t="shared" si="150"/>
        <v>Support</v>
      </c>
      <c r="AR339">
        <f>survey_responses[[#This Row],[Tôi thấy mức thuế tôi phải đóng theo phương án mới là công bằng (người thu nhập như tôi đóng mức này là hợp lý). - HUMAN-TRU2]]</f>
        <v>9</v>
      </c>
      <c r="AS339" t="str">
        <f t="shared" si="151"/>
        <v>Support</v>
      </c>
      <c r="AT339" s="32">
        <f t="shared" si="152"/>
        <v>0</v>
      </c>
      <c r="AU339">
        <f>step3_validation[[#This Row],[AI_TRU3]]</f>
        <v>8</v>
      </c>
      <c r="AV339" t="str">
        <f t="shared" si="153"/>
        <v>Support</v>
      </c>
      <c r="AW339">
        <f>survey_responses[[#This Row],[Tôi tin tưởng số tiền thuế tôi đóng sẽ được Nhà nước sử dụng hiệu quả để cải thiện dịch vụ công (y tế, đường xá...). - HUMAN-TRU3]]</f>
        <v>10</v>
      </c>
      <c r="AX339" t="str">
        <f t="shared" si="154"/>
        <v>Support</v>
      </c>
      <c r="AY339" s="32">
        <f t="shared" si="155"/>
        <v>2</v>
      </c>
      <c r="AZ339">
        <f>step3_validation[[#This Row],[AI_TRU4]]</f>
        <v>7</v>
      </c>
      <c r="BA339" t="str">
        <f t="shared" si="156"/>
        <v>Neutral</v>
      </c>
      <c r="BB339">
        <f>survey_responses[[#This Row],[Tôi thấy Nhà nước đã giải thích rõ ràng, minh bạch về lý do và mục tiêu của việc sửa đổi thuế lần này. - HUMAN-TRU4]]</f>
        <v>9</v>
      </c>
      <c r="BC339" t="str">
        <f t="shared" si="157"/>
        <v>Support</v>
      </c>
      <c r="BD339" s="32">
        <f t="shared" si="158"/>
        <v>2</v>
      </c>
      <c r="BE339">
        <f>step3_validation[[#This Row],[AI_OUT1]]</f>
        <v>9</v>
      </c>
      <c r="BF339" t="str">
        <f t="shared" si="159"/>
        <v>Support</v>
      </c>
      <c r="BG339">
        <f>survey_responses[[#This Row],[Sau khi xem xét các quyền lợi và nghĩa vụ, bạn có ủng hộ và tuân thủ chính sách mới hiện nay? - HUMAN-OUT1]]</f>
        <v>10</v>
      </c>
      <c r="BH339" t="str">
        <f t="shared" si="160"/>
        <v>Support</v>
      </c>
      <c r="BI339" s="32">
        <f t="shared" si="161"/>
        <v>1</v>
      </c>
    </row>
    <row r="340" spans="1:61" x14ac:dyDescent="0.45">
      <c r="A340" s="30">
        <f>step3_validation[[#This Row],[Persona_ID]]</f>
        <v>339</v>
      </c>
      <c r="B340" s="31">
        <f>step3_validation[[#This Row],[Used_Seed]]</f>
        <v>2364</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16.762164260845104</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8</v>
      </c>
      <c r="R340" t="str">
        <f t="shared" si="135"/>
        <v>Support</v>
      </c>
      <c r="S340">
        <f>survey_responses[[#This Row],[Tôi tin rằng với các quy định quản lý thuế hiện nay, hành vi gian lận hoặc trốn thuế sẽ dễ dàng bị phát hiện và xử lý nghiêm. - HUMAN-ENF1]]</f>
        <v>7</v>
      </c>
      <c r="T340" t="str">
        <f t="shared" si="136"/>
        <v>Neutral</v>
      </c>
      <c r="U340" s="32">
        <f t="shared" si="137"/>
        <v>1</v>
      </c>
      <c r="V340">
        <f>step3_validation[[#This Row],[AI_ENF2]]</f>
        <v>9</v>
      </c>
      <c r="W340" t="str">
        <f t="shared" si="138"/>
        <v>Support</v>
      </c>
      <c r="X340">
        <f>survey_responses[[#This Row],[Tôi tin rằng Nhà nước, cơ quan thuế có đủ khả năng và công nghệ để phát hiện, xử lý nghiêm các hành vi trốn thuế. - HUMAN-ENF2]]</f>
        <v>7</v>
      </c>
      <c r="Y340" t="str">
        <f t="shared" si="139"/>
        <v>Neutral</v>
      </c>
      <c r="Z340" s="32">
        <f t="shared" si="140"/>
        <v>2</v>
      </c>
      <c r="AA340">
        <f>step3_validation[[#This Row],[AI_FAC1]]</f>
        <v>8</v>
      </c>
      <c r="AB340" t="str">
        <f t="shared" si="141"/>
        <v>Support</v>
      </c>
      <c r="AC340">
        <f>survey_responses[[#This Row],[Các thủ tục khai báo thuế VÀ/HOẶC quy trình làm việc với cơ quan thuế đơn giản, tiện lợi, nhanh chóng hơn so với trước đây. - HUMAN-FAC1]]</f>
        <v>8</v>
      </c>
      <c r="AD340" t="str">
        <f t="shared" si="142"/>
        <v>Support</v>
      </c>
      <c r="AE340" s="32">
        <f t="shared" si="143"/>
        <v>0</v>
      </c>
      <c r="AF340">
        <f>step3_validation[[#This Row],[AI_FAC2]]</f>
        <v>9</v>
      </c>
      <c r="AG340" t="str">
        <f t="shared" si="144"/>
        <v>Support</v>
      </c>
      <c r="AH340">
        <f>survey_responses[[#This Row],[So với trước đây, tôi thấy cách tính thuế và các bậc thuế trong phương án mới đơn giản, dễ hiểu và dễ thực hiện hơn. - HUMAN-FAC2]]</f>
        <v>8</v>
      </c>
      <c r="AI340" t="str">
        <f t="shared" si="145"/>
        <v>Support</v>
      </c>
      <c r="AJ340" s="32">
        <f t="shared" si="146"/>
        <v>1</v>
      </c>
      <c r="AK340">
        <f>step3_validation[[#This Row],[AI_TRU1]]</f>
        <v>8</v>
      </c>
      <c r="AL340" t="str">
        <f t="shared" si="147"/>
        <v>Support</v>
      </c>
      <c r="AM340">
        <f>survey_responses[[#This Row],[Tôi tin rằng Nhà nước, cơ quan thuế sẽ thực thi chính sách mới một cách khách quan, công tâm và đối xử bình đẳng với mọi người nộp thuế.  - HUMAN-TRU1]]</f>
        <v>6</v>
      </c>
      <c r="AN340" t="str">
        <f t="shared" si="148"/>
        <v>Neutral</v>
      </c>
      <c r="AO340" s="32">
        <f t="shared" si="149"/>
        <v>2</v>
      </c>
      <c r="AP340">
        <f>step3_validation[[#This Row],[AI_TRU2]]</f>
        <v>9</v>
      </c>
      <c r="AQ340" t="str">
        <f t="shared" si="150"/>
        <v>Support</v>
      </c>
      <c r="AR340">
        <f>survey_responses[[#This Row],[Tôi thấy mức thuế tôi phải đóng theo phương án mới là công bằng (người thu nhập như tôi đóng mức này là hợp lý). - HUMAN-TRU2]]</f>
        <v>7</v>
      </c>
      <c r="AS340" t="str">
        <f t="shared" si="151"/>
        <v>Neutral</v>
      </c>
      <c r="AT340" s="32">
        <f t="shared" si="152"/>
        <v>2</v>
      </c>
      <c r="AU340">
        <f>step3_validation[[#This Row],[AI_TRU3]]</f>
        <v>8</v>
      </c>
      <c r="AV340" t="str">
        <f t="shared" si="153"/>
        <v>Support</v>
      </c>
      <c r="AW340">
        <f>survey_responses[[#This Row],[Tôi tin tưởng số tiền thuế tôi đóng sẽ được Nhà nước sử dụng hiệu quả để cải thiện dịch vụ công (y tế, đường xá...). - HUMAN-TRU3]]</f>
        <v>6</v>
      </c>
      <c r="AX340" t="str">
        <f t="shared" si="154"/>
        <v>Neutral</v>
      </c>
      <c r="AY340" s="32">
        <f t="shared" si="155"/>
        <v>2</v>
      </c>
      <c r="AZ340">
        <f>step3_validation[[#This Row],[AI_TRU4]]</f>
        <v>9</v>
      </c>
      <c r="BA340" t="str">
        <f t="shared" si="156"/>
        <v>Support</v>
      </c>
      <c r="BB340">
        <f>survey_responses[[#This Row],[Tôi thấy Nhà nước đã giải thích rõ ràng, minh bạch về lý do và mục tiêu của việc sửa đổi thuế lần này. - HUMAN-TRU4]]</f>
        <v>6</v>
      </c>
      <c r="BC340" t="str">
        <f t="shared" si="157"/>
        <v>Neutral</v>
      </c>
      <c r="BD340" s="32">
        <f t="shared" si="158"/>
        <v>3</v>
      </c>
      <c r="BE340">
        <f>step3_validation[[#This Row],[AI_OUT1]]</f>
        <v>9</v>
      </c>
      <c r="BF340" t="str">
        <f t="shared" si="159"/>
        <v>Support</v>
      </c>
      <c r="BG340">
        <f>survey_responses[[#This Row],[Sau khi xem xét các quyền lợi và nghĩa vụ, bạn có ủng hộ và tuân thủ chính sách mới hiện nay? - HUMAN-OUT1]]</f>
        <v>7</v>
      </c>
      <c r="BH340" t="str">
        <f t="shared" si="160"/>
        <v>Neutral</v>
      </c>
      <c r="BI340" s="32">
        <f t="shared" si="161"/>
        <v>2</v>
      </c>
    </row>
    <row r="341" spans="1:61" x14ac:dyDescent="0.45">
      <c r="A341" s="30">
        <f>step3_validation[[#This Row],[Persona_ID]]</f>
        <v>340</v>
      </c>
      <c r="B341" s="31">
        <f>step3_validation[[#This Row],[Used_Seed]]</f>
        <v>2365</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15.310713846595883</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7</v>
      </c>
      <c r="R341" t="str">
        <f t="shared" si="135"/>
        <v>Neutral</v>
      </c>
      <c r="S341">
        <f>survey_responses[[#This Row],[Tôi tin rằng với các quy định quản lý thuế hiện nay, hành vi gian lận hoặc trốn thuế sẽ dễ dàng bị phát hiện và xử lý nghiêm. - HUMAN-ENF1]]</f>
        <v>7</v>
      </c>
      <c r="T341" t="str">
        <f t="shared" si="136"/>
        <v>Neutral</v>
      </c>
      <c r="U341" s="32">
        <f t="shared" si="137"/>
        <v>0</v>
      </c>
      <c r="V341">
        <f>step3_validation[[#This Row],[AI_ENF2]]</f>
        <v>6</v>
      </c>
      <c r="W341" t="str">
        <f t="shared" si="138"/>
        <v>Neutral</v>
      </c>
      <c r="X341">
        <f>survey_responses[[#This Row],[Tôi tin rằng Nhà nước, cơ quan thuế có đủ khả năng và công nghệ để phát hiện, xử lý nghiêm các hành vi trốn thuế. - HUMAN-ENF2]]</f>
        <v>8</v>
      </c>
      <c r="Y341" t="str">
        <f t="shared" si="139"/>
        <v>Support</v>
      </c>
      <c r="Z341" s="32">
        <f t="shared" si="140"/>
        <v>2</v>
      </c>
      <c r="AA341">
        <f>step3_validation[[#This Row],[AI_FAC1]]</f>
        <v>9</v>
      </c>
      <c r="AB341" t="str">
        <f t="shared" si="141"/>
        <v>Support</v>
      </c>
      <c r="AC341">
        <f>survey_responses[[#This Row],[Các thủ tục khai báo thuế VÀ/HOẶC quy trình làm việc với cơ quan thuế đơn giản, tiện lợi, nhanh chóng hơn so với trước đây. - HUMAN-FAC1]]</f>
        <v>8</v>
      </c>
      <c r="AD341" t="str">
        <f t="shared" si="142"/>
        <v>Support</v>
      </c>
      <c r="AE341" s="32">
        <f t="shared" si="143"/>
        <v>1</v>
      </c>
      <c r="AF341">
        <f>step3_validation[[#This Row],[AI_FAC2]]</f>
        <v>8</v>
      </c>
      <c r="AG341" t="str">
        <f t="shared" si="144"/>
        <v>Support</v>
      </c>
      <c r="AH341">
        <f>survey_responses[[#This Row],[So với trước đây, tôi thấy cách tính thuế và các bậc thuế trong phương án mới đơn giản, dễ hiểu và dễ thực hiện hơn. - HUMAN-FAC2]]</f>
        <v>8</v>
      </c>
      <c r="AI341" t="str">
        <f t="shared" si="145"/>
        <v>Support</v>
      </c>
      <c r="AJ341" s="32">
        <f t="shared" si="146"/>
        <v>0</v>
      </c>
      <c r="AK341">
        <f>step3_validation[[#This Row],[AI_TRU1]]</f>
        <v>9</v>
      </c>
      <c r="AL341" t="str">
        <f t="shared" si="147"/>
        <v>Support</v>
      </c>
      <c r="AM341">
        <f>survey_responses[[#This Row],[Tôi tin rằng Nhà nước, cơ quan thuế sẽ thực thi chính sách mới một cách khách quan, công tâm và đối xử bình đẳng với mọi người nộp thuế.  - HUMAN-TRU1]]</f>
        <v>5</v>
      </c>
      <c r="AN341" t="str">
        <f t="shared" si="148"/>
        <v>Neutral</v>
      </c>
      <c r="AO341" s="32">
        <f t="shared" si="149"/>
        <v>4</v>
      </c>
      <c r="AP341">
        <f>step3_validation[[#This Row],[AI_TRU2]]</f>
        <v>9</v>
      </c>
      <c r="AQ341" t="str">
        <f t="shared" si="150"/>
        <v>Support</v>
      </c>
      <c r="AR341">
        <f>survey_responses[[#This Row],[Tôi thấy mức thuế tôi phải đóng theo phương án mới là công bằng (người thu nhập như tôi đóng mức này là hợp lý). - HUMAN-TRU2]]</f>
        <v>8</v>
      </c>
      <c r="AS341" t="str">
        <f t="shared" si="151"/>
        <v>Support</v>
      </c>
      <c r="AT341" s="32">
        <f t="shared" si="152"/>
        <v>1</v>
      </c>
      <c r="AU341">
        <f>step3_validation[[#This Row],[AI_TRU3]]</f>
        <v>8</v>
      </c>
      <c r="AV341" t="str">
        <f t="shared" si="153"/>
        <v>Support</v>
      </c>
      <c r="AW341">
        <f>survey_responses[[#This Row],[Tôi tin tưởng số tiền thuế tôi đóng sẽ được Nhà nước sử dụng hiệu quả để cải thiện dịch vụ công (y tế, đường xá...). - HUMAN-TRU3]]</f>
        <v>5</v>
      </c>
      <c r="AX341" t="str">
        <f t="shared" si="154"/>
        <v>Neutral</v>
      </c>
      <c r="AY341" s="32">
        <f t="shared" si="155"/>
        <v>3</v>
      </c>
      <c r="AZ341">
        <f>step3_validation[[#This Row],[AI_TRU4]]</f>
        <v>9</v>
      </c>
      <c r="BA341" t="str">
        <f t="shared" si="156"/>
        <v>Support</v>
      </c>
      <c r="BB341">
        <f>survey_responses[[#This Row],[Tôi thấy Nhà nước đã giải thích rõ ràng, minh bạch về lý do và mục tiêu của việc sửa đổi thuế lần này. - HUMAN-TRU4]]</f>
        <v>8</v>
      </c>
      <c r="BC341" t="str">
        <f t="shared" si="157"/>
        <v>Support</v>
      </c>
      <c r="BD341" s="32">
        <f t="shared" si="158"/>
        <v>1</v>
      </c>
      <c r="BE341">
        <f>step3_validation[[#This Row],[AI_OUT1]]</f>
        <v>8</v>
      </c>
      <c r="BF341" t="str">
        <f t="shared" si="159"/>
        <v>Support</v>
      </c>
      <c r="BG341">
        <f>survey_responses[[#This Row],[Sau khi xem xét các quyền lợi và nghĩa vụ, bạn có ủng hộ và tuân thủ chính sách mới hiện nay? - HUMAN-OUT1]]</f>
        <v>8</v>
      </c>
      <c r="BH341" t="str">
        <f t="shared" si="160"/>
        <v>Support</v>
      </c>
      <c r="BI341" s="32">
        <f t="shared" si="161"/>
        <v>0</v>
      </c>
    </row>
    <row r="342" spans="1:61" x14ac:dyDescent="0.45">
      <c r="A342" s="30">
        <f>step3_validation[[#This Row],[Persona_ID]]</f>
        <v>341</v>
      </c>
      <c r="B342" s="31">
        <f>step3_validation[[#This Row],[Used_Seed]]</f>
        <v>2366</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8</v>
      </c>
      <c r="R342" t="str">
        <f t="shared" si="135"/>
        <v>Support</v>
      </c>
      <c r="S342">
        <f>survey_responses[[#This Row],[Tôi tin rằng với các quy định quản lý thuế hiện nay, hành vi gian lận hoặc trốn thuế sẽ dễ dàng bị phát hiện và xử lý nghiêm. - HUMAN-ENF1]]</f>
        <v>8</v>
      </c>
      <c r="T342" t="str">
        <f t="shared" si="136"/>
        <v>Support</v>
      </c>
      <c r="U342" s="32">
        <f t="shared" si="137"/>
        <v>0</v>
      </c>
      <c r="V342">
        <f>step3_validation[[#This Row],[AI_ENF2]]</f>
        <v>7</v>
      </c>
      <c r="W342" t="str">
        <f t="shared" si="138"/>
        <v>Neutral</v>
      </c>
      <c r="X342">
        <f>survey_responses[[#This Row],[Tôi tin rằng Nhà nước, cơ quan thuế có đủ khả năng và công nghệ để phát hiện, xử lý nghiêm các hành vi trốn thuế. - HUMAN-ENF2]]</f>
        <v>8</v>
      </c>
      <c r="Y342" t="str">
        <f t="shared" si="139"/>
        <v>Support</v>
      </c>
      <c r="Z342" s="32">
        <f t="shared" si="140"/>
        <v>1</v>
      </c>
      <c r="AA342">
        <f>step3_validation[[#This Row],[AI_FAC1]]</f>
        <v>9</v>
      </c>
      <c r="AB342" t="str">
        <f t="shared" si="141"/>
        <v>Support</v>
      </c>
      <c r="AC342">
        <f>survey_responses[[#This Row],[Các thủ tục khai báo thuế VÀ/HOẶC quy trình làm việc với cơ quan thuế đơn giản, tiện lợi, nhanh chóng hơn so với trước đây. - HUMAN-FAC1]]</f>
        <v>8</v>
      </c>
      <c r="AD342" t="str">
        <f t="shared" si="142"/>
        <v>Support</v>
      </c>
      <c r="AE342" s="32">
        <f t="shared" si="143"/>
        <v>1</v>
      </c>
      <c r="AF342">
        <f>step3_validation[[#This Row],[AI_FAC2]]</f>
        <v>9</v>
      </c>
      <c r="AG342" t="str">
        <f t="shared" si="144"/>
        <v>Support</v>
      </c>
      <c r="AH342">
        <f>survey_responses[[#This Row],[So với trước đây, tôi thấy cách tính thuế và các bậc thuế trong phương án mới đơn giản, dễ hiểu và dễ thực hiện hơn. - HUMAN-FAC2]]</f>
        <v>9</v>
      </c>
      <c r="AI342" t="str">
        <f t="shared" si="145"/>
        <v>Support</v>
      </c>
      <c r="AJ342" s="32">
        <f t="shared" si="146"/>
        <v>0</v>
      </c>
      <c r="AK342">
        <f>step3_validation[[#This Row],[AI_TRU1]]</f>
        <v>8</v>
      </c>
      <c r="AL342" t="str">
        <f t="shared" si="147"/>
        <v>Support</v>
      </c>
      <c r="AM342">
        <f>survey_responses[[#This Row],[Tôi tin rằng Nhà nước, cơ quan thuế sẽ thực thi chính sách mới một cách khách quan, công tâm và đối xử bình đẳng với mọi người nộp thuế.  - HUMAN-TRU1]]</f>
        <v>8</v>
      </c>
      <c r="AN342" t="str">
        <f t="shared" si="148"/>
        <v>Support</v>
      </c>
      <c r="AO342" s="32">
        <f t="shared" si="149"/>
        <v>0</v>
      </c>
      <c r="AP342">
        <f>step3_validation[[#This Row],[AI_TRU2]]</f>
        <v>9</v>
      </c>
      <c r="AQ342" t="str">
        <f t="shared" si="150"/>
        <v>Support</v>
      </c>
      <c r="AR342">
        <f>survey_responses[[#This Row],[Tôi thấy mức thuế tôi phải đóng theo phương án mới là công bằng (người thu nhập như tôi đóng mức này là hợp lý). - HUMAN-TRU2]]</f>
        <v>8</v>
      </c>
      <c r="AS342" t="str">
        <f t="shared" si="151"/>
        <v>Support</v>
      </c>
      <c r="AT342" s="32">
        <f t="shared" si="152"/>
        <v>1</v>
      </c>
      <c r="AU342">
        <f>step3_validation[[#This Row],[AI_TRU3]]</f>
        <v>8</v>
      </c>
      <c r="AV342" t="str">
        <f t="shared" si="153"/>
        <v>Support</v>
      </c>
      <c r="AW342">
        <f>survey_responses[[#This Row],[Tôi tin tưởng số tiền thuế tôi đóng sẽ được Nhà nước sử dụng hiệu quả để cải thiện dịch vụ công (y tế, đường xá...). - HUMAN-TRU3]]</f>
        <v>7</v>
      </c>
      <c r="AX342" t="str">
        <f t="shared" si="154"/>
        <v>Neutral</v>
      </c>
      <c r="AY342" s="32">
        <f t="shared" si="155"/>
        <v>1</v>
      </c>
      <c r="AZ342">
        <f>step3_validation[[#This Row],[AI_TRU4]]</f>
        <v>7</v>
      </c>
      <c r="BA342" t="str">
        <f t="shared" si="156"/>
        <v>Neutral</v>
      </c>
      <c r="BB342">
        <f>survey_responses[[#This Row],[Tôi thấy Nhà nước đã giải thích rõ ràng, minh bạch về lý do và mục tiêu của việc sửa đổi thuế lần này. - HUMAN-TRU4]]</f>
        <v>7</v>
      </c>
      <c r="BC342" t="str">
        <f t="shared" si="157"/>
        <v>Neutral</v>
      </c>
      <c r="BD342" s="32">
        <f t="shared" si="158"/>
        <v>0</v>
      </c>
      <c r="BE342">
        <f>step3_validation[[#This Row],[AI_OUT1]]</f>
        <v>9</v>
      </c>
      <c r="BF342" t="str">
        <f t="shared" si="159"/>
        <v>Support</v>
      </c>
      <c r="BG342">
        <f>survey_responses[[#This Row],[Sau khi xem xét các quyền lợi và nghĩa vụ, bạn có ủng hộ và tuân thủ chính sách mới hiện nay? - HUMAN-OUT1]]</f>
        <v>8</v>
      </c>
      <c r="BH342" t="str">
        <f t="shared" si="160"/>
        <v>Support</v>
      </c>
      <c r="BI342" s="32">
        <f t="shared" si="161"/>
        <v>1</v>
      </c>
    </row>
    <row r="343" spans="1:61" x14ac:dyDescent="0.45">
      <c r="A343" s="30">
        <f>step3_validation[[#This Row],[Persona_ID]]</f>
        <v>342</v>
      </c>
      <c r="B343" s="31">
        <f>step3_validation[[#This Row],[Used_Seed]]</f>
        <v>2367</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7</v>
      </c>
      <c r="R343" t="str">
        <f t="shared" si="135"/>
        <v>Neutral</v>
      </c>
      <c r="S343">
        <f>survey_responses[[#This Row],[Tôi tin rằng với các quy định quản lý thuế hiện nay, hành vi gian lận hoặc trốn thuế sẽ dễ dàng bị phát hiện và xử lý nghiêm. - HUMAN-ENF1]]</f>
        <v>5</v>
      </c>
      <c r="T343" t="str">
        <f t="shared" si="136"/>
        <v>Neutral</v>
      </c>
      <c r="U343" s="32">
        <f t="shared" si="137"/>
        <v>2</v>
      </c>
      <c r="V343">
        <f>step3_validation[[#This Row],[AI_ENF2]]</f>
        <v>6</v>
      </c>
      <c r="W343" t="str">
        <f t="shared" si="138"/>
        <v>Neutral</v>
      </c>
      <c r="X343">
        <f>survey_responses[[#This Row],[Tôi tin rằng Nhà nước, cơ quan thuế có đủ khả năng và công nghệ để phát hiện, xử lý nghiêm các hành vi trốn thuế. - HUMAN-ENF2]]</f>
        <v>5</v>
      </c>
      <c r="Y343" t="str">
        <f t="shared" si="139"/>
        <v>Neutral</v>
      </c>
      <c r="Z343" s="32">
        <f t="shared" si="140"/>
        <v>1</v>
      </c>
      <c r="AA343">
        <f>step3_validation[[#This Row],[AI_FAC1]]</f>
        <v>8</v>
      </c>
      <c r="AB343" t="str">
        <f t="shared" si="141"/>
        <v>Support</v>
      </c>
      <c r="AC343">
        <f>survey_responses[[#This Row],[Các thủ tục khai báo thuế VÀ/HOẶC quy trình làm việc với cơ quan thuế đơn giản, tiện lợi, nhanh chóng hơn so với trước đây. - HUMAN-FAC1]]</f>
        <v>6</v>
      </c>
      <c r="AD343" t="str">
        <f t="shared" si="142"/>
        <v>Neutral</v>
      </c>
      <c r="AE343" s="32">
        <f t="shared" si="143"/>
        <v>2</v>
      </c>
      <c r="AF343">
        <f>step3_validation[[#This Row],[AI_FAC2]]</f>
        <v>9</v>
      </c>
      <c r="AG343" t="str">
        <f t="shared" si="144"/>
        <v>Support</v>
      </c>
      <c r="AH343">
        <f>survey_responses[[#This Row],[So với trước đây, tôi thấy cách tính thuế và các bậc thuế trong phương án mới đơn giản, dễ hiểu và dễ thực hiện hơn. - HUMAN-FAC2]]</f>
        <v>7</v>
      </c>
      <c r="AI343" t="str">
        <f t="shared" si="145"/>
        <v>Neutral</v>
      </c>
      <c r="AJ343" s="32">
        <f t="shared" si="146"/>
        <v>2</v>
      </c>
      <c r="AK343">
        <f>step3_validation[[#This Row],[AI_TRU1]]</f>
        <v>7</v>
      </c>
      <c r="AL343" t="str">
        <f t="shared" si="147"/>
        <v>Neutral</v>
      </c>
      <c r="AM343">
        <f>survey_responses[[#This Row],[Tôi tin rằng Nhà nước, cơ quan thuế sẽ thực thi chính sách mới một cách khách quan, công tâm và đối xử bình đẳng với mọi người nộp thuế.  - HUMAN-TRU1]]</f>
        <v>5</v>
      </c>
      <c r="AN343" t="str">
        <f t="shared" si="148"/>
        <v>Neutral</v>
      </c>
      <c r="AO343" s="32">
        <f t="shared" si="149"/>
        <v>2</v>
      </c>
      <c r="AP343">
        <f>step3_validation[[#This Row],[AI_TRU2]]</f>
        <v>8</v>
      </c>
      <c r="AQ343" t="str">
        <f t="shared" si="150"/>
        <v>Support</v>
      </c>
      <c r="AR343">
        <f>survey_responses[[#This Row],[Tôi thấy mức thuế tôi phải đóng theo phương án mới là công bằng (người thu nhập như tôi đóng mức này là hợp lý). - HUMAN-TRU2]]</f>
        <v>8</v>
      </c>
      <c r="AS343" t="str">
        <f t="shared" si="151"/>
        <v>Support</v>
      </c>
      <c r="AT343" s="32">
        <f t="shared" si="152"/>
        <v>0</v>
      </c>
      <c r="AU343">
        <f>step3_validation[[#This Row],[AI_TRU3]]</f>
        <v>7</v>
      </c>
      <c r="AV343" t="str">
        <f t="shared" si="153"/>
        <v>Neutral</v>
      </c>
      <c r="AW343">
        <f>survey_responses[[#This Row],[Tôi tin tưởng số tiền thuế tôi đóng sẽ được Nhà nước sử dụng hiệu quả để cải thiện dịch vụ công (y tế, đường xá...). - HUMAN-TRU3]]</f>
        <v>6</v>
      </c>
      <c r="AX343" t="str">
        <f t="shared" si="154"/>
        <v>Neutral</v>
      </c>
      <c r="AY343" s="32">
        <f t="shared" si="155"/>
        <v>1</v>
      </c>
      <c r="AZ343">
        <f>step3_validation[[#This Row],[AI_TRU4]]</f>
        <v>6</v>
      </c>
      <c r="BA343" t="str">
        <f t="shared" si="156"/>
        <v>Neutral</v>
      </c>
      <c r="BB343">
        <f>survey_responses[[#This Row],[Tôi thấy Nhà nước đã giải thích rõ ràng, minh bạch về lý do và mục tiêu của việc sửa đổi thuế lần này. - HUMAN-TRU4]]</f>
        <v>6</v>
      </c>
      <c r="BC343" t="str">
        <f t="shared" si="157"/>
        <v>Neutral</v>
      </c>
      <c r="BD343" s="32">
        <f t="shared" si="158"/>
        <v>0</v>
      </c>
      <c r="BE343">
        <f>step3_validation[[#This Row],[AI_OUT1]]</f>
        <v>8</v>
      </c>
      <c r="BF343" t="str">
        <f t="shared" si="159"/>
        <v>Support</v>
      </c>
      <c r="BG343">
        <f>survey_responses[[#This Row],[Sau khi xem xét các quyền lợi và nghĩa vụ, bạn có ủng hộ và tuân thủ chính sách mới hiện nay? - HUMAN-OUT1]]</f>
        <v>7</v>
      </c>
      <c r="BH343" t="str">
        <f t="shared" si="160"/>
        <v>Neutral</v>
      </c>
      <c r="BI343" s="32">
        <f t="shared" si="161"/>
        <v>1</v>
      </c>
    </row>
    <row r="344" spans="1:61" x14ac:dyDescent="0.45">
      <c r="A344" s="30">
        <f>step3_validation[[#This Row],[Persona_ID]]</f>
        <v>343</v>
      </c>
      <c r="B344" s="31">
        <f>step3_validation[[#This Row],[Used_Seed]]</f>
        <v>2368</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16.182461051297128</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7</v>
      </c>
      <c r="R344" t="str">
        <f t="shared" si="135"/>
        <v>Neutral</v>
      </c>
      <c r="S344">
        <f>survey_responses[[#This Row],[Tôi tin rằng với các quy định quản lý thuế hiện nay, hành vi gian lận hoặc trốn thuế sẽ dễ dàng bị phát hiện và xử lý nghiêm. - HUMAN-ENF1]]</f>
        <v>7</v>
      </c>
      <c r="T344" t="str">
        <f t="shared" si="136"/>
        <v>Neutral</v>
      </c>
      <c r="U344" s="32">
        <f t="shared" si="137"/>
        <v>0</v>
      </c>
      <c r="V344">
        <f>step3_validation[[#This Row],[AI_ENF2]]</f>
        <v>6</v>
      </c>
      <c r="W344" t="str">
        <f t="shared" si="138"/>
        <v>Neutral</v>
      </c>
      <c r="X344">
        <f>survey_responses[[#This Row],[Tôi tin rằng Nhà nước, cơ quan thuế có đủ khả năng và công nghệ để phát hiện, xử lý nghiêm các hành vi trốn thuế. - HUMAN-ENF2]]</f>
        <v>7</v>
      </c>
      <c r="Y344" t="str">
        <f t="shared" si="139"/>
        <v>Neutral</v>
      </c>
      <c r="Z344" s="32">
        <f t="shared" si="140"/>
        <v>1</v>
      </c>
      <c r="AA344">
        <f>step3_validation[[#This Row],[AI_FAC1]]</f>
        <v>8</v>
      </c>
      <c r="AB344" t="str">
        <f t="shared" si="141"/>
        <v>Support</v>
      </c>
      <c r="AC344">
        <f>survey_responses[[#This Row],[Các thủ tục khai báo thuế VÀ/HOẶC quy trình làm việc với cơ quan thuế đơn giản, tiện lợi, nhanh chóng hơn so với trước đây. - HUMAN-FAC1]]</f>
        <v>8</v>
      </c>
      <c r="AD344" t="str">
        <f t="shared" si="142"/>
        <v>Support</v>
      </c>
      <c r="AE344" s="32">
        <f t="shared" si="143"/>
        <v>0</v>
      </c>
      <c r="AF344">
        <f>step3_validation[[#This Row],[AI_FAC2]]</f>
        <v>9</v>
      </c>
      <c r="AG344" t="str">
        <f t="shared" si="144"/>
        <v>Support</v>
      </c>
      <c r="AH344">
        <f>survey_responses[[#This Row],[So với trước đây, tôi thấy cách tính thuế và các bậc thuế trong phương án mới đơn giản, dễ hiểu và dễ thực hiện hơn. - HUMAN-FAC2]]</f>
        <v>7</v>
      </c>
      <c r="AI344" t="str">
        <f t="shared" si="145"/>
        <v>Neutral</v>
      </c>
      <c r="AJ344" s="32">
        <f t="shared" si="146"/>
        <v>2</v>
      </c>
      <c r="AK344">
        <f>step3_validation[[#This Row],[AI_TRU1]]</f>
        <v>7</v>
      </c>
      <c r="AL344" t="str">
        <f t="shared" si="147"/>
        <v>Neutral</v>
      </c>
      <c r="AM344">
        <f>survey_responses[[#This Row],[Tôi tin rằng Nhà nước, cơ quan thuế sẽ thực thi chính sách mới một cách khách quan, công tâm và đối xử bình đẳng với mọi người nộp thuế.  - HUMAN-TRU1]]</f>
        <v>8</v>
      </c>
      <c r="AN344" t="str">
        <f t="shared" si="148"/>
        <v>Support</v>
      </c>
      <c r="AO344" s="32">
        <f t="shared" si="149"/>
        <v>1</v>
      </c>
      <c r="AP344">
        <f>step3_validation[[#This Row],[AI_TRU2]]</f>
        <v>8</v>
      </c>
      <c r="AQ344" t="str">
        <f t="shared" si="150"/>
        <v>Support</v>
      </c>
      <c r="AR344">
        <f>survey_responses[[#This Row],[Tôi thấy mức thuế tôi phải đóng theo phương án mới là công bằng (người thu nhập như tôi đóng mức này là hợp lý). - HUMAN-TRU2]]</f>
        <v>8</v>
      </c>
      <c r="AS344" t="str">
        <f t="shared" si="151"/>
        <v>Support</v>
      </c>
      <c r="AT344" s="32">
        <f t="shared" si="152"/>
        <v>0</v>
      </c>
      <c r="AU344">
        <f>step3_validation[[#This Row],[AI_TRU3]]</f>
        <v>7</v>
      </c>
      <c r="AV344" t="str">
        <f t="shared" si="153"/>
        <v>Neutral</v>
      </c>
      <c r="AW344">
        <f>survey_responses[[#This Row],[Tôi tin tưởng số tiền thuế tôi đóng sẽ được Nhà nước sử dụng hiệu quả để cải thiện dịch vụ công (y tế, đường xá...). - HUMAN-TRU3]]</f>
        <v>8</v>
      </c>
      <c r="AX344" t="str">
        <f t="shared" si="154"/>
        <v>Support</v>
      </c>
      <c r="AY344" s="32">
        <f t="shared" si="155"/>
        <v>1</v>
      </c>
      <c r="AZ344">
        <f>step3_validation[[#This Row],[AI_TRU4]]</f>
        <v>8</v>
      </c>
      <c r="BA344" t="str">
        <f t="shared" si="156"/>
        <v>Support</v>
      </c>
      <c r="BB344">
        <f>survey_responses[[#This Row],[Tôi thấy Nhà nước đã giải thích rõ ràng, minh bạch về lý do và mục tiêu của việc sửa đổi thuế lần này. - HUMAN-TRU4]]</f>
        <v>7</v>
      </c>
      <c r="BC344" t="str">
        <f t="shared" si="157"/>
        <v>Neutral</v>
      </c>
      <c r="BD344" s="32">
        <f t="shared" si="158"/>
        <v>1</v>
      </c>
      <c r="BE344">
        <f>step3_validation[[#This Row],[AI_OUT1]]</f>
        <v>9</v>
      </c>
      <c r="BF344" t="str">
        <f t="shared" si="159"/>
        <v>Support</v>
      </c>
      <c r="BG344">
        <f>survey_responses[[#This Row],[Sau khi xem xét các quyền lợi và nghĩa vụ, bạn có ủng hộ và tuân thủ chính sách mới hiện nay? - HUMAN-OUT1]]</f>
        <v>8</v>
      </c>
      <c r="BH344" t="str">
        <f t="shared" si="160"/>
        <v>Support</v>
      </c>
      <c r="BI344" s="32">
        <f t="shared" si="161"/>
        <v>1</v>
      </c>
    </row>
    <row r="345" spans="1:61" x14ac:dyDescent="0.45">
      <c r="A345" s="30">
        <f>step3_validation[[#This Row],[Persona_ID]]</f>
        <v>344</v>
      </c>
      <c r="B345" s="31">
        <f>step3_validation[[#This Row],[Used_Seed]]</f>
        <v>2369</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52.561832352581355</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9</v>
      </c>
      <c r="R345" t="str">
        <f t="shared" si="135"/>
        <v>Support</v>
      </c>
      <c r="S345">
        <f>survey_responses[[#This Row],[Tôi tin rằng với các quy định quản lý thuế hiện nay, hành vi gian lận hoặc trốn thuế sẽ dễ dàng bị phát hiện và xử lý nghiêm. - HUMAN-ENF1]]</f>
        <v>7</v>
      </c>
      <c r="T345" t="str">
        <f t="shared" si="136"/>
        <v>Neutral</v>
      </c>
      <c r="U345" s="32">
        <f t="shared" si="137"/>
        <v>2</v>
      </c>
      <c r="V345">
        <f>step3_validation[[#This Row],[AI_ENF2]]</f>
        <v>8</v>
      </c>
      <c r="W345" t="str">
        <f t="shared" si="138"/>
        <v>Support</v>
      </c>
      <c r="X345">
        <f>survey_responses[[#This Row],[Tôi tin rằng Nhà nước, cơ quan thuế có đủ khả năng và công nghệ để phát hiện, xử lý nghiêm các hành vi trốn thuế. - HUMAN-ENF2]]</f>
        <v>7</v>
      </c>
      <c r="Y345" t="str">
        <f t="shared" si="139"/>
        <v>Neutral</v>
      </c>
      <c r="Z345" s="32">
        <f t="shared" si="140"/>
        <v>1</v>
      </c>
      <c r="AA345">
        <f>step3_validation[[#This Row],[AI_FAC1]]</f>
        <v>9</v>
      </c>
      <c r="AB345" t="str">
        <f t="shared" si="141"/>
        <v>Support</v>
      </c>
      <c r="AC345">
        <f>survey_responses[[#This Row],[Các thủ tục khai báo thuế VÀ/HOẶC quy trình làm việc với cơ quan thuế đơn giản, tiện lợi, nhanh chóng hơn so với trước đây. - HUMAN-FAC1]]</f>
        <v>5</v>
      </c>
      <c r="AD345" t="str">
        <f t="shared" si="142"/>
        <v>Neutral</v>
      </c>
      <c r="AE345" s="32">
        <f t="shared" si="143"/>
        <v>4</v>
      </c>
      <c r="AF345">
        <f>step3_validation[[#This Row],[AI_FAC2]]</f>
        <v>8</v>
      </c>
      <c r="AG345" t="str">
        <f t="shared" si="144"/>
        <v>Support</v>
      </c>
      <c r="AH345">
        <f>survey_responses[[#This Row],[So với trước đây, tôi thấy cách tính thuế và các bậc thuế trong phương án mới đơn giản, dễ hiểu và dễ thực hiện hơn. - HUMAN-FAC2]]</f>
        <v>8</v>
      </c>
      <c r="AI345" t="str">
        <f t="shared" si="145"/>
        <v>Support</v>
      </c>
      <c r="AJ345" s="32">
        <f t="shared" si="146"/>
        <v>0</v>
      </c>
      <c r="AK345">
        <f>step3_validation[[#This Row],[AI_TRU1]]</f>
        <v>9</v>
      </c>
      <c r="AL345" t="str">
        <f t="shared" si="147"/>
        <v>Support</v>
      </c>
      <c r="AM345">
        <f>survey_responses[[#This Row],[Tôi tin rằng Nhà nước, cơ quan thuế sẽ thực thi chính sách mới một cách khách quan, công tâm và đối xử bình đẳng với mọi người nộp thuế.  - HUMAN-TRU1]]</f>
        <v>6</v>
      </c>
      <c r="AN345" t="str">
        <f t="shared" si="148"/>
        <v>Neutral</v>
      </c>
      <c r="AO345" s="32">
        <f t="shared" si="149"/>
        <v>3</v>
      </c>
      <c r="AP345">
        <f>step3_validation[[#This Row],[AI_TRU2]]</f>
        <v>8</v>
      </c>
      <c r="AQ345" t="str">
        <f t="shared" si="150"/>
        <v>Support</v>
      </c>
      <c r="AR345">
        <f>survey_responses[[#This Row],[Tôi thấy mức thuế tôi phải đóng theo phương án mới là công bằng (người thu nhập như tôi đóng mức này là hợp lý). - HUMAN-TRU2]]</f>
        <v>5</v>
      </c>
      <c r="AS345" t="str">
        <f t="shared" si="151"/>
        <v>Neutral</v>
      </c>
      <c r="AT345" s="32">
        <f t="shared" si="152"/>
        <v>3</v>
      </c>
      <c r="AU345">
        <f>step3_validation[[#This Row],[AI_TRU3]]</f>
        <v>9</v>
      </c>
      <c r="AV345" t="str">
        <f t="shared" si="153"/>
        <v>Support</v>
      </c>
      <c r="AW345">
        <f>survey_responses[[#This Row],[Tôi tin tưởng số tiền thuế tôi đóng sẽ được Nhà nước sử dụng hiệu quả để cải thiện dịch vụ công (y tế, đường xá...). - HUMAN-TRU3]]</f>
        <v>5</v>
      </c>
      <c r="AX345" t="str">
        <f t="shared" si="154"/>
        <v>Neutral</v>
      </c>
      <c r="AY345" s="32">
        <f t="shared" si="155"/>
        <v>4</v>
      </c>
      <c r="AZ345">
        <f>step3_validation[[#This Row],[AI_TRU4]]</f>
        <v>8</v>
      </c>
      <c r="BA345" t="str">
        <f t="shared" si="156"/>
        <v>Support</v>
      </c>
      <c r="BB345">
        <f>survey_responses[[#This Row],[Tôi thấy Nhà nước đã giải thích rõ ràng, minh bạch về lý do và mục tiêu của việc sửa đổi thuế lần này. - HUMAN-TRU4]]</f>
        <v>6</v>
      </c>
      <c r="BC345" t="str">
        <f t="shared" si="157"/>
        <v>Neutral</v>
      </c>
      <c r="BD345" s="32">
        <f t="shared" si="158"/>
        <v>2</v>
      </c>
      <c r="BE345">
        <f>step3_validation[[#This Row],[AI_OUT1]]</f>
        <v>9</v>
      </c>
      <c r="BF345" t="str">
        <f t="shared" si="159"/>
        <v>Support</v>
      </c>
      <c r="BG345">
        <f>survey_responses[[#This Row],[Sau khi xem xét các quyền lợi và nghĩa vụ, bạn có ủng hộ và tuân thủ chính sách mới hiện nay? - HUMAN-OUT1]]</f>
        <v>5</v>
      </c>
      <c r="BH345" t="str">
        <f t="shared" si="160"/>
        <v>Neutral</v>
      </c>
      <c r="BI345" s="32">
        <f t="shared" si="161"/>
        <v>4</v>
      </c>
    </row>
    <row r="346" spans="1:61" x14ac:dyDescent="0.45">
      <c r="A346" s="30">
        <f>step3_validation[[#This Row],[Persona_ID]]</f>
        <v>345</v>
      </c>
      <c r="B346" s="31">
        <f>step3_validation[[#This Row],[Used_Seed]]</f>
        <v>2370</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14.364728465204141</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6</v>
      </c>
      <c r="R346" t="str">
        <f t="shared" si="135"/>
        <v>Neutral</v>
      </c>
      <c r="S346">
        <f>survey_responses[[#This Row],[Tôi tin rằng với các quy định quản lý thuế hiện nay, hành vi gian lận hoặc trốn thuế sẽ dễ dàng bị phát hiện và xử lý nghiêm. - HUMAN-ENF1]]</f>
        <v>7</v>
      </c>
      <c r="T346" t="str">
        <f t="shared" si="136"/>
        <v>Neutral</v>
      </c>
      <c r="U346" s="32">
        <f t="shared" si="137"/>
        <v>1</v>
      </c>
      <c r="V346">
        <f>step3_validation[[#This Row],[AI_ENF2]]</f>
        <v>7</v>
      </c>
      <c r="W346" t="str">
        <f t="shared" si="138"/>
        <v>Neutral</v>
      </c>
      <c r="X346">
        <f>survey_responses[[#This Row],[Tôi tin rằng Nhà nước, cơ quan thuế có đủ khả năng và công nghệ để phát hiện, xử lý nghiêm các hành vi trốn thuế. - HUMAN-ENF2]]</f>
        <v>7</v>
      </c>
      <c r="Y346" t="str">
        <f t="shared" si="139"/>
        <v>Neutral</v>
      </c>
      <c r="Z346" s="32">
        <f t="shared" si="140"/>
        <v>0</v>
      </c>
      <c r="AA346">
        <f>step3_validation[[#This Row],[AI_FAC1]]</f>
        <v>9</v>
      </c>
      <c r="AB346" t="str">
        <f t="shared" si="141"/>
        <v>Support</v>
      </c>
      <c r="AC346">
        <f>survey_responses[[#This Row],[Các thủ tục khai báo thuế VÀ/HOẶC quy trình làm việc với cơ quan thuế đơn giản, tiện lợi, nhanh chóng hơn so với trước đây. - HUMAN-FAC1]]</f>
        <v>5</v>
      </c>
      <c r="AD346" t="str">
        <f t="shared" si="142"/>
        <v>Neutral</v>
      </c>
      <c r="AE346" s="32">
        <f t="shared" si="143"/>
        <v>4</v>
      </c>
      <c r="AF346">
        <f>step3_validation[[#This Row],[AI_FAC2]]</f>
        <v>10</v>
      </c>
      <c r="AG346" t="str">
        <f t="shared" si="144"/>
        <v>Support</v>
      </c>
      <c r="AH346">
        <f>survey_responses[[#This Row],[So với trước đây, tôi thấy cách tính thuế và các bậc thuế trong phương án mới đơn giản, dễ hiểu và dễ thực hiện hơn. - HUMAN-FAC2]]</f>
        <v>8</v>
      </c>
      <c r="AI346" t="str">
        <f t="shared" si="145"/>
        <v>Support</v>
      </c>
      <c r="AJ346" s="32">
        <f t="shared" si="146"/>
        <v>2</v>
      </c>
      <c r="AK346">
        <f>step3_validation[[#This Row],[AI_TRU1]]</f>
        <v>8</v>
      </c>
      <c r="AL346" t="str">
        <f t="shared" si="147"/>
        <v>Support</v>
      </c>
      <c r="AM346">
        <f>survey_responses[[#This Row],[Tôi tin rằng Nhà nước, cơ quan thuế sẽ thực thi chính sách mới một cách khách quan, công tâm và đối xử bình đẳng với mọi người nộp thuế.  - HUMAN-TRU1]]</f>
        <v>7</v>
      </c>
      <c r="AN346" t="str">
        <f t="shared" si="148"/>
        <v>Neutral</v>
      </c>
      <c r="AO346" s="32">
        <f t="shared" si="149"/>
        <v>1</v>
      </c>
      <c r="AP346">
        <f>step3_validation[[#This Row],[AI_TRU2]]</f>
        <v>9</v>
      </c>
      <c r="AQ346" t="str">
        <f t="shared" si="150"/>
        <v>Support</v>
      </c>
      <c r="AR346">
        <f>survey_responses[[#This Row],[Tôi thấy mức thuế tôi phải đóng theo phương án mới là công bằng (người thu nhập như tôi đóng mức này là hợp lý). - HUMAN-TRU2]]</f>
        <v>7</v>
      </c>
      <c r="AS346" t="str">
        <f t="shared" si="151"/>
        <v>Neutral</v>
      </c>
      <c r="AT346" s="32">
        <f t="shared" si="152"/>
        <v>2</v>
      </c>
      <c r="AU346">
        <f>step3_validation[[#This Row],[AI_TRU3]]</f>
        <v>7</v>
      </c>
      <c r="AV346" t="str">
        <f t="shared" si="153"/>
        <v>Neutral</v>
      </c>
      <c r="AW346">
        <f>survey_responses[[#This Row],[Tôi tin tưởng số tiền thuế tôi đóng sẽ được Nhà nước sử dụng hiệu quả để cải thiện dịch vụ công (y tế, đường xá...). - HUMAN-TRU3]]</f>
        <v>6</v>
      </c>
      <c r="AX346" t="str">
        <f t="shared" si="154"/>
        <v>Neutral</v>
      </c>
      <c r="AY346" s="32">
        <f t="shared" si="155"/>
        <v>1</v>
      </c>
      <c r="AZ346">
        <f>step3_validation[[#This Row],[AI_TRU4]]</f>
        <v>9</v>
      </c>
      <c r="BA346" t="str">
        <f t="shared" si="156"/>
        <v>Support</v>
      </c>
      <c r="BB346">
        <f>survey_responses[[#This Row],[Tôi thấy Nhà nước đã giải thích rõ ràng, minh bạch về lý do và mục tiêu của việc sửa đổi thuế lần này. - HUMAN-TRU4]]</f>
        <v>7</v>
      </c>
      <c r="BC346" t="str">
        <f t="shared" si="157"/>
        <v>Neutral</v>
      </c>
      <c r="BD346" s="32">
        <f t="shared" si="158"/>
        <v>2</v>
      </c>
      <c r="BE346">
        <f>step3_validation[[#This Row],[AI_OUT1]]</f>
        <v>9</v>
      </c>
      <c r="BF346" t="str">
        <f t="shared" si="159"/>
        <v>Support</v>
      </c>
      <c r="BG346">
        <f>survey_responses[[#This Row],[Sau khi xem xét các quyền lợi và nghĩa vụ, bạn có ủng hộ và tuân thủ chính sách mới hiện nay? - HUMAN-OUT1]]</f>
        <v>7</v>
      </c>
      <c r="BH346" t="str">
        <f t="shared" si="160"/>
        <v>Neutral</v>
      </c>
      <c r="BI346" s="32">
        <f t="shared" si="161"/>
        <v>2</v>
      </c>
    </row>
    <row r="347" spans="1:61" x14ac:dyDescent="0.45">
      <c r="A347" s="30">
        <f>step3_validation[[#This Row],[Persona_ID]]</f>
        <v>346</v>
      </c>
      <c r="B347" s="31">
        <f>step3_validation[[#This Row],[Used_Seed]]</f>
        <v>2371</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26.261207915766324</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9</v>
      </c>
      <c r="R347" t="str">
        <f t="shared" si="135"/>
        <v>Support</v>
      </c>
      <c r="S347">
        <f>survey_responses[[#This Row],[Tôi tin rằng với các quy định quản lý thuế hiện nay, hành vi gian lận hoặc trốn thuế sẽ dễ dàng bị phát hiện và xử lý nghiêm. - HUMAN-ENF1]]</f>
        <v>9</v>
      </c>
      <c r="T347" t="str">
        <f t="shared" si="136"/>
        <v>Support</v>
      </c>
      <c r="U347" s="32">
        <f t="shared" si="137"/>
        <v>0</v>
      </c>
      <c r="V347">
        <f>step3_validation[[#This Row],[AI_ENF2]]</f>
        <v>9</v>
      </c>
      <c r="W347" t="str">
        <f t="shared" si="138"/>
        <v>Support</v>
      </c>
      <c r="X347">
        <f>survey_responses[[#This Row],[Tôi tin rằng Nhà nước, cơ quan thuế có đủ khả năng và công nghệ để phát hiện, xử lý nghiêm các hành vi trốn thuế. - HUMAN-ENF2]]</f>
        <v>8</v>
      </c>
      <c r="Y347" t="str">
        <f t="shared" si="139"/>
        <v>Support</v>
      </c>
      <c r="Z347" s="32">
        <f t="shared" si="140"/>
        <v>1</v>
      </c>
      <c r="AA347">
        <f>step3_validation[[#This Row],[AI_FAC1]]</f>
        <v>8</v>
      </c>
      <c r="AB347" t="str">
        <f t="shared" si="141"/>
        <v>Support</v>
      </c>
      <c r="AC347">
        <f>survey_responses[[#This Row],[Các thủ tục khai báo thuế VÀ/HOẶC quy trình làm việc với cơ quan thuế đơn giản, tiện lợi, nhanh chóng hơn so với trước đây. - HUMAN-FAC1]]</f>
        <v>8</v>
      </c>
      <c r="AD347" t="str">
        <f t="shared" si="142"/>
        <v>Support</v>
      </c>
      <c r="AE347" s="32">
        <f t="shared" si="143"/>
        <v>0</v>
      </c>
      <c r="AF347">
        <f>step3_validation[[#This Row],[AI_FAC2]]</f>
        <v>8</v>
      </c>
      <c r="AG347" t="str">
        <f t="shared" si="144"/>
        <v>Support</v>
      </c>
      <c r="AH347">
        <f>survey_responses[[#This Row],[So với trước đây, tôi thấy cách tính thuế và các bậc thuế trong phương án mới đơn giản, dễ hiểu và dễ thực hiện hơn. - HUMAN-FAC2]]</f>
        <v>9</v>
      </c>
      <c r="AI347" t="str">
        <f t="shared" si="145"/>
        <v>Support</v>
      </c>
      <c r="AJ347" s="32">
        <f t="shared" si="146"/>
        <v>1</v>
      </c>
      <c r="AK347">
        <f>step3_validation[[#This Row],[AI_TRU1]]</f>
        <v>9</v>
      </c>
      <c r="AL347" t="str">
        <f t="shared" si="147"/>
        <v>Support</v>
      </c>
      <c r="AM347">
        <f>survey_responses[[#This Row],[Tôi tin rằng Nhà nước, cơ quan thuế sẽ thực thi chính sách mới một cách khách quan, công tâm và đối xử bình đẳng với mọi người nộp thuế.  - HUMAN-TRU1]]</f>
        <v>7</v>
      </c>
      <c r="AN347" t="str">
        <f t="shared" si="148"/>
        <v>Neutral</v>
      </c>
      <c r="AO347" s="32">
        <f t="shared" si="149"/>
        <v>2</v>
      </c>
      <c r="AP347">
        <f>step3_validation[[#This Row],[AI_TRU2]]</f>
        <v>9</v>
      </c>
      <c r="AQ347" t="str">
        <f t="shared" si="150"/>
        <v>Support</v>
      </c>
      <c r="AR347">
        <f>survey_responses[[#This Row],[Tôi thấy mức thuế tôi phải đóng theo phương án mới là công bằng (người thu nhập như tôi đóng mức này là hợp lý). - HUMAN-TRU2]]</f>
        <v>8</v>
      </c>
      <c r="AS347" t="str">
        <f t="shared" si="151"/>
        <v>Support</v>
      </c>
      <c r="AT347" s="32">
        <f t="shared" si="152"/>
        <v>1</v>
      </c>
      <c r="AU347">
        <f>step3_validation[[#This Row],[AI_TRU3]]</f>
        <v>8</v>
      </c>
      <c r="AV347" t="str">
        <f t="shared" si="153"/>
        <v>Support</v>
      </c>
      <c r="AW347">
        <f>survey_responses[[#This Row],[Tôi tin tưởng số tiền thuế tôi đóng sẽ được Nhà nước sử dụng hiệu quả để cải thiện dịch vụ công (y tế, đường xá...). - HUMAN-TRU3]]</f>
        <v>7</v>
      </c>
      <c r="AX347" t="str">
        <f t="shared" si="154"/>
        <v>Neutral</v>
      </c>
      <c r="AY347" s="32">
        <f t="shared" si="155"/>
        <v>1</v>
      </c>
      <c r="AZ347">
        <f>step3_validation[[#This Row],[AI_TRU4]]</f>
        <v>9</v>
      </c>
      <c r="BA347" t="str">
        <f t="shared" si="156"/>
        <v>Support</v>
      </c>
      <c r="BB347">
        <f>survey_responses[[#This Row],[Tôi thấy Nhà nước đã giải thích rõ ràng, minh bạch về lý do và mục tiêu của việc sửa đổi thuế lần này. - HUMAN-TRU4]]</f>
        <v>7</v>
      </c>
      <c r="BC347" t="str">
        <f t="shared" si="157"/>
        <v>Neutral</v>
      </c>
      <c r="BD347" s="32">
        <f t="shared" si="158"/>
        <v>2</v>
      </c>
      <c r="BE347">
        <f>step3_validation[[#This Row],[AI_OUT1]]</f>
        <v>9</v>
      </c>
      <c r="BF347" t="str">
        <f t="shared" si="159"/>
        <v>Support</v>
      </c>
      <c r="BG347">
        <f>survey_responses[[#This Row],[Sau khi xem xét các quyền lợi và nghĩa vụ, bạn có ủng hộ và tuân thủ chính sách mới hiện nay? - HUMAN-OUT1]]</f>
        <v>8</v>
      </c>
      <c r="BH347" t="str">
        <f t="shared" si="160"/>
        <v>Support</v>
      </c>
      <c r="BI347" s="32">
        <f t="shared" si="161"/>
        <v>1</v>
      </c>
    </row>
    <row r="348" spans="1:61" x14ac:dyDescent="0.45">
      <c r="A348" s="30">
        <f>step3_validation[[#This Row],[Persona_ID]]</f>
        <v>347</v>
      </c>
      <c r="B348" s="31">
        <f>step3_validation[[#This Row],[Used_Seed]]</f>
        <v>2372</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21.567787991110219</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6</v>
      </c>
      <c r="R348" t="str">
        <f t="shared" si="135"/>
        <v>Neutral</v>
      </c>
      <c r="S348">
        <f>survey_responses[[#This Row],[Tôi tin rằng với các quy định quản lý thuế hiện nay, hành vi gian lận hoặc trốn thuế sẽ dễ dàng bị phát hiện và xử lý nghiêm. - HUMAN-ENF1]]</f>
        <v>8</v>
      </c>
      <c r="T348" t="str">
        <f t="shared" si="136"/>
        <v>Support</v>
      </c>
      <c r="U348" s="32">
        <f t="shared" si="137"/>
        <v>2</v>
      </c>
      <c r="V348">
        <f>step3_validation[[#This Row],[AI_ENF2]]</f>
        <v>7</v>
      </c>
      <c r="W348" t="str">
        <f t="shared" si="138"/>
        <v>Neutral</v>
      </c>
      <c r="X348">
        <f>survey_responses[[#This Row],[Tôi tin rằng Nhà nước, cơ quan thuế có đủ khả năng và công nghệ để phát hiện, xử lý nghiêm các hành vi trốn thuế. - HUMAN-ENF2]]</f>
        <v>8</v>
      </c>
      <c r="Y348" t="str">
        <f t="shared" si="139"/>
        <v>Support</v>
      </c>
      <c r="Z348" s="32">
        <f t="shared" si="140"/>
        <v>1</v>
      </c>
      <c r="AA348">
        <f>step3_validation[[#This Row],[AI_FAC1]]</f>
        <v>8</v>
      </c>
      <c r="AB348" t="str">
        <f t="shared" si="141"/>
        <v>Support</v>
      </c>
      <c r="AC348">
        <f>survey_responses[[#This Row],[Các thủ tục khai báo thuế VÀ/HOẶC quy trình làm việc với cơ quan thuế đơn giản, tiện lợi, nhanh chóng hơn so với trước đây. - HUMAN-FAC1]]</f>
        <v>7</v>
      </c>
      <c r="AD348" t="str">
        <f t="shared" si="142"/>
        <v>Neutral</v>
      </c>
      <c r="AE348" s="32">
        <f t="shared" si="143"/>
        <v>1</v>
      </c>
      <c r="AF348">
        <f>step3_validation[[#This Row],[AI_FAC2]]</f>
        <v>9</v>
      </c>
      <c r="AG348" t="str">
        <f t="shared" si="144"/>
        <v>Support</v>
      </c>
      <c r="AH348">
        <f>survey_responses[[#This Row],[So với trước đây, tôi thấy cách tính thuế và các bậc thuế trong phương án mới đơn giản, dễ hiểu và dễ thực hiện hơn. - HUMAN-FAC2]]</f>
        <v>8</v>
      </c>
      <c r="AI348" t="str">
        <f t="shared" si="145"/>
        <v>Support</v>
      </c>
      <c r="AJ348" s="32">
        <f t="shared" si="146"/>
        <v>1</v>
      </c>
      <c r="AK348">
        <f>step3_validation[[#This Row],[AI_TRU1]]</f>
        <v>8</v>
      </c>
      <c r="AL348" t="str">
        <f t="shared" si="147"/>
        <v>Support</v>
      </c>
      <c r="AM348">
        <f>survey_responses[[#This Row],[Tôi tin rằng Nhà nước, cơ quan thuế sẽ thực thi chính sách mới một cách khách quan, công tâm và đối xử bình đẳng với mọi người nộp thuế.  - HUMAN-TRU1]]</f>
        <v>6</v>
      </c>
      <c r="AN348" t="str">
        <f t="shared" si="148"/>
        <v>Neutral</v>
      </c>
      <c r="AO348" s="32">
        <f t="shared" si="149"/>
        <v>2</v>
      </c>
      <c r="AP348">
        <f>step3_validation[[#This Row],[AI_TRU2]]</f>
        <v>7</v>
      </c>
      <c r="AQ348" t="str">
        <f t="shared" si="150"/>
        <v>Neutral</v>
      </c>
      <c r="AR348">
        <f>survey_responses[[#This Row],[Tôi thấy mức thuế tôi phải đóng theo phương án mới là công bằng (người thu nhập như tôi đóng mức này là hợp lý). - HUMAN-TRU2]]</f>
        <v>8</v>
      </c>
      <c r="AS348" t="str">
        <f t="shared" si="151"/>
        <v>Support</v>
      </c>
      <c r="AT348" s="32">
        <f t="shared" si="152"/>
        <v>1</v>
      </c>
      <c r="AU348">
        <f>step3_validation[[#This Row],[AI_TRU3]]</f>
        <v>8</v>
      </c>
      <c r="AV348" t="str">
        <f t="shared" si="153"/>
        <v>Support</v>
      </c>
      <c r="AW348">
        <f>survey_responses[[#This Row],[Tôi tin tưởng số tiền thuế tôi đóng sẽ được Nhà nước sử dụng hiệu quả để cải thiện dịch vụ công (y tế, đường xá...). - HUMAN-TRU3]]</f>
        <v>6</v>
      </c>
      <c r="AX348" t="str">
        <f t="shared" si="154"/>
        <v>Neutral</v>
      </c>
      <c r="AY348" s="32">
        <f t="shared" si="155"/>
        <v>2</v>
      </c>
      <c r="AZ348">
        <f>step3_validation[[#This Row],[AI_TRU4]]</f>
        <v>7</v>
      </c>
      <c r="BA348" t="str">
        <f t="shared" si="156"/>
        <v>Neutral</v>
      </c>
      <c r="BB348">
        <f>survey_responses[[#This Row],[Tôi thấy Nhà nước đã giải thích rõ ràng, minh bạch về lý do và mục tiêu của việc sửa đổi thuế lần này. - HUMAN-TRU4]]</f>
        <v>6</v>
      </c>
      <c r="BC348" t="str">
        <f t="shared" si="157"/>
        <v>Neutral</v>
      </c>
      <c r="BD348" s="32">
        <f t="shared" si="158"/>
        <v>1</v>
      </c>
      <c r="BE348">
        <f>step3_validation[[#This Row],[AI_OUT1]]</f>
        <v>9</v>
      </c>
      <c r="BF348" t="str">
        <f t="shared" si="159"/>
        <v>Support</v>
      </c>
      <c r="BG348">
        <f>survey_responses[[#This Row],[Sau khi xem xét các quyền lợi và nghĩa vụ, bạn có ủng hộ và tuân thủ chính sách mới hiện nay? - HUMAN-OUT1]]</f>
        <v>8</v>
      </c>
      <c r="BH348" t="str">
        <f t="shared" si="160"/>
        <v>Support</v>
      </c>
      <c r="BI348" s="32">
        <f t="shared" si="161"/>
        <v>1</v>
      </c>
    </row>
    <row r="349" spans="1:61" x14ac:dyDescent="0.45">
      <c r="A349" s="30">
        <f>step3_validation[[#This Row],[Persona_ID]]</f>
        <v>348</v>
      </c>
      <c r="B349" s="31">
        <f>step3_validation[[#This Row],[Used_Seed]]</f>
        <v>2373</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20.139827435595141</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6</v>
      </c>
      <c r="R349" t="str">
        <f t="shared" si="135"/>
        <v>Neutral</v>
      </c>
      <c r="S349">
        <f>survey_responses[[#This Row],[Tôi tin rằng với các quy định quản lý thuế hiện nay, hành vi gian lận hoặc trốn thuế sẽ dễ dàng bị phát hiện và xử lý nghiêm. - HUMAN-ENF1]]</f>
        <v>8</v>
      </c>
      <c r="T349" t="str">
        <f t="shared" si="136"/>
        <v>Support</v>
      </c>
      <c r="U349" s="32">
        <f t="shared" si="137"/>
        <v>2</v>
      </c>
      <c r="V349">
        <f>step3_validation[[#This Row],[AI_ENF2]]</f>
        <v>7</v>
      </c>
      <c r="W349" t="str">
        <f t="shared" si="138"/>
        <v>Neutral</v>
      </c>
      <c r="X349">
        <f>survey_responses[[#This Row],[Tôi tin rằng Nhà nước, cơ quan thuế có đủ khả năng và công nghệ để phát hiện, xử lý nghiêm các hành vi trốn thuế. - HUMAN-ENF2]]</f>
        <v>8</v>
      </c>
      <c r="Y349" t="str">
        <f t="shared" si="139"/>
        <v>Support</v>
      </c>
      <c r="Z349" s="32">
        <f t="shared" si="140"/>
        <v>1</v>
      </c>
      <c r="AA349">
        <f>step3_validation[[#This Row],[AI_FAC1]]</f>
        <v>9</v>
      </c>
      <c r="AB349" t="str">
        <f t="shared" si="141"/>
        <v>Support</v>
      </c>
      <c r="AC349">
        <f>survey_responses[[#This Row],[Các thủ tục khai báo thuế VÀ/HOẶC quy trình làm việc với cơ quan thuế đơn giản, tiện lợi, nhanh chóng hơn so với trước đây. - HUMAN-FAC1]]</f>
        <v>7</v>
      </c>
      <c r="AD349" t="str">
        <f t="shared" si="142"/>
        <v>Neutral</v>
      </c>
      <c r="AE349" s="32">
        <f t="shared" si="143"/>
        <v>2</v>
      </c>
      <c r="AF349">
        <f>step3_validation[[#This Row],[AI_FAC2]]</f>
        <v>8</v>
      </c>
      <c r="AG349" t="str">
        <f t="shared" si="144"/>
        <v>Support</v>
      </c>
      <c r="AH349">
        <f>survey_responses[[#This Row],[So với trước đây, tôi thấy cách tính thuế và các bậc thuế trong phương án mới đơn giản, dễ hiểu và dễ thực hiện hơn. - HUMAN-FAC2]]</f>
        <v>7</v>
      </c>
      <c r="AI349" t="str">
        <f t="shared" si="145"/>
        <v>Neutral</v>
      </c>
      <c r="AJ349" s="32">
        <f t="shared" si="146"/>
        <v>1</v>
      </c>
      <c r="AK349">
        <f>step3_validation[[#This Row],[AI_TRU1]]</f>
        <v>7</v>
      </c>
      <c r="AL349" t="str">
        <f t="shared" si="147"/>
        <v>Neutral</v>
      </c>
      <c r="AM349">
        <f>survey_responses[[#This Row],[Tôi tin rằng Nhà nước, cơ quan thuế sẽ thực thi chính sách mới một cách khách quan, công tâm và đối xử bình đẳng với mọi người nộp thuế.  - HUMAN-TRU1]]</f>
        <v>6</v>
      </c>
      <c r="AN349" t="str">
        <f t="shared" si="148"/>
        <v>Neutral</v>
      </c>
      <c r="AO349" s="32">
        <f t="shared" si="149"/>
        <v>1</v>
      </c>
      <c r="AP349">
        <f>step3_validation[[#This Row],[AI_TRU2]]</f>
        <v>9</v>
      </c>
      <c r="AQ349" t="str">
        <f t="shared" si="150"/>
        <v>Support</v>
      </c>
      <c r="AR349">
        <f>survey_responses[[#This Row],[Tôi thấy mức thuế tôi phải đóng theo phương án mới là công bằng (người thu nhập như tôi đóng mức này là hợp lý). - HUMAN-TRU2]]</f>
        <v>7</v>
      </c>
      <c r="AS349" t="str">
        <f t="shared" si="151"/>
        <v>Neutral</v>
      </c>
      <c r="AT349" s="32">
        <f t="shared" si="152"/>
        <v>2</v>
      </c>
      <c r="AU349">
        <f>step3_validation[[#This Row],[AI_TRU3]]</f>
        <v>8</v>
      </c>
      <c r="AV349" t="str">
        <f t="shared" si="153"/>
        <v>Support</v>
      </c>
      <c r="AW349">
        <f>survey_responses[[#This Row],[Tôi tin tưởng số tiền thuế tôi đóng sẽ được Nhà nước sử dụng hiệu quả để cải thiện dịch vụ công (y tế, đường xá...). - HUMAN-TRU3]]</f>
        <v>6</v>
      </c>
      <c r="AX349" t="str">
        <f t="shared" si="154"/>
        <v>Neutral</v>
      </c>
      <c r="AY349" s="32">
        <f t="shared" si="155"/>
        <v>2</v>
      </c>
      <c r="AZ349">
        <f>step3_validation[[#This Row],[AI_TRU4]]</f>
        <v>7</v>
      </c>
      <c r="BA349" t="str">
        <f t="shared" si="156"/>
        <v>Neutral</v>
      </c>
      <c r="BB349">
        <f>survey_responses[[#This Row],[Tôi thấy Nhà nước đã giải thích rõ ràng, minh bạch về lý do và mục tiêu của việc sửa đổi thuế lần này. - HUMAN-TRU4]]</f>
        <v>6</v>
      </c>
      <c r="BC349" t="str">
        <f t="shared" si="157"/>
        <v>Neutral</v>
      </c>
      <c r="BD349" s="32">
        <f t="shared" si="158"/>
        <v>1</v>
      </c>
      <c r="BE349">
        <f>step3_validation[[#This Row],[AI_OUT1]]</f>
        <v>9</v>
      </c>
      <c r="BF349" t="str">
        <f t="shared" si="159"/>
        <v>Support</v>
      </c>
      <c r="BG349">
        <f>survey_responses[[#This Row],[Sau khi xem xét các quyền lợi và nghĩa vụ, bạn có ủng hộ và tuân thủ chính sách mới hiện nay? - HUMAN-OUT1]]</f>
        <v>7</v>
      </c>
      <c r="BH349" t="str">
        <f t="shared" si="160"/>
        <v>Neutral</v>
      </c>
      <c r="BI349" s="32">
        <f t="shared" si="161"/>
        <v>2</v>
      </c>
    </row>
    <row r="350" spans="1:61" x14ac:dyDescent="0.45">
      <c r="A350" s="30">
        <f>step3_validation[[#This Row],[Persona_ID]]</f>
        <v>349</v>
      </c>
      <c r="B350" s="31">
        <f>step3_validation[[#This Row],[Used_Seed]]</f>
        <v>2374</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19.29241039779194</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7</v>
      </c>
      <c r="R350" t="str">
        <f t="shared" si="135"/>
        <v>Neutral</v>
      </c>
      <c r="S350">
        <f>survey_responses[[#This Row],[Tôi tin rằng với các quy định quản lý thuế hiện nay, hành vi gian lận hoặc trốn thuế sẽ dễ dàng bị phát hiện và xử lý nghiêm. - HUMAN-ENF1]]</f>
        <v>4</v>
      </c>
      <c r="T350" t="str">
        <f t="shared" si="136"/>
        <v>Oppose</v>
      </c>
      <c r="U350" s="32">
        <f t="shared" si="137"/>
        <v>3</v>
      </c>
      <c r="V350">
        <f>step3_validation[[#This Row],[AI_ENF2]]</f>
        <v>6</v>
      </c>
      <c r="W350" t="str">
        <f t="shared" si="138"/>
        <v>Neutral</v>
      </c>
      <c r="X350">
        <f>survey_responses[[#This Row],[Tôi tin rằng Nhà nước, cơ quan thuế có đủ khả năng và công nghệ để phát hiện, xử lý nghiêm các hành vi trốn thuế. - HUMAN-ENF2]]</f>
        <v>4</v>
      </c>
      <c r="Y350" t="str">
        <f t="shared" si="139"/>
        <v>Oppose</v>
      </c>
      <c r="Z350" s="32">
        <f t="shared" si="140"/>
        <v>2</v>
      </c>
      <c r="AA350">
        <f>step3_validation[[#This Row],[AI_FAC1]]</f>
        <v>9</v>
      </c>
      <c r="AB350" t="str">
        <f t="shared" si="141"/>
        <v>Support</v>
      </c>
      <c r="AC350">
        <f>survey_responses[[#This Row],[Các thủ tục khai báo thuế VÀ/HOẶC quy trình làm việc với cơ quan thuế đơn giản, tiện lợi, nhanh chóng hơn so với trước đây. - HUMAN-FAC1]]</f>
        <v>5</v>
      </c>
      <c r="AD350" t="str">
        <f t="shared" si="142"/>
        <v>Neutral</v>
      </c>
      <c r="AE350" s="32">
        <f t="shared" si="143"/>
        <v>4</v>
      </c>
      <c r="AF350">
        <f>step3_validation[[#This Row],[AI_FAC2]]</f>
        <v>8</v>
      </c>
      <c r="AG350" t="str">
        <f t="shared" si="144"/>
        <v>Support</v>
      </c>
      <c r="AH350">
        <f>survey_responses[[#This Row],[So với trước đây, tôi thấy cách tính thuế và các bậc thuế trong phương án mới đơn giản, dễ hiểu và dễ thực hiện hơn. - HUMAN-FAC2]]</f>
        <v>7</v>
      </c>
      <c r="AI350" t="str">
        <f t="shared" si="145"/>
        <v>Neutral</v>
      </c>
      <c r="AJ350" s="32">
        <f t="shared" si="146"/>
        <v>1</v>
      </c>
      <c r="AK350">
        <f>step3_validation[[#This Row],[AI_TRU1]]</f>
        <v>9</v>
      </c>
      <c r="AL350" t="str">
        <f t="shared" si="147"/>
        <v>Support</v>
      </c>
      <c r="AM350">
        <f>survey_responses[[#This Row],[Tôi tin rằng Nhà nước, cơ quan thuế sẽ thực thi chính sách mới một cách khách quan, công tâm và đối xử bình đẳng với mọi người nộp thuế.  - HUMAN-TRU1]]</f>
        <v>5</v>
      </c>
      <c r="AN350" t="str">
        <f t="shared" si="148"/>
        <v>Neutral</v>
      </c>
      <c r="AO350" s="32">
        <f t="shared" si="149"/>
        <v>4</v>
      </c>
      <c r="AP350">
        <f>step3_validation[[#This Row],[AI_TRU2]]</f>
        <v>9</v>
      </c>
      <c r="AQ350" t="str">
        <f t="shared" si="150"/>
        <v>Support</v>
      </c>
      <c r="AR350">
        <f>survey_responses[[#This Row],[Tôi thấy mức thuế tôi phải đóng theo phương án mới là công bằng (người thu nhập như tôi đóng mức này là hợp lý). - HUMAN-TRU2]]</f>
        <v>6</v>
      </c>
      <c r="AS350" t="str">
        <f t="shared" si="151"/>
        <v>Neutral</v>
      </c>
      <c r="AT350" s="32">
        <f t="shared" si="152"/>
        <v>3</v>
      </c>
      <c r="AU350">
        <f>step3_validation[[#This Row],[AI_TRU3]]</f>
        <v>9</v>
      </c>
      <c r="AV350" t="str">
        <f t="shared" si="153"/>
        <v>Support</v>
      </c>
      <c r="AW350">
        <f>survey_responses[[#This Row],[Tôi tin tưởng số tiền thuế tôi đóng sẽ được Nhà nước sử dụng hiệu quả để cải thiện dịch vụ công (y tế, đường xá...). - HUMAN-TRU3]]</f>
        <v>6</v>
      </c>
      <c r="AX350" t="str">
        <f t="shared" si="154"/>
        <v>Neutral</v>
      </c>
      <c r="AY350" s="32">
        <f t="shared" si="155"/>
        <v>3</v>
      </c>
      <c r="AZ350">
        <f>step3_validation[[#This Row],[AI_TRU4]]</f>
        <v>8</v>
      </c>
      <c r="BA350" t="str">
        <f t="shared" si="156"/>
        <v>Support</v>
      </c>
      <c r="BB350">
        <f>survey_responses[[#This Row],[Tôi thấy Nhà nước đã giải thích rõ ràng, minh bạch về lý do và mục tiêu của việc sửa đổi thuế lần này. - HUMAN-TRU4]]</f>
        <v>6</v>
      </c>
      <c r="BC350" t="str">
        <f t="shared" si="157"/>
        <v>Neutral</v>
      </c>
      <c r="BD350" s="32">
        <f t="shared" si="158"/>
        <v>2</v>
      </c>
      <c r="BE350">
        <f>step3_validation[[#This Row],[AI_OUT1]]</f>
        <v>9</v>
      </c>
      <c r="BF350" t="str">
        <f t="shared" si="159"/>
        <v>Support</v>
      </c>
      <c r="BG350">
        <f>survey_responses[[#This Row],[Sau khi xem xét các quyền lợi và nghĩa vụ, bạn có ủng hộ và tuân thủ chính sách mới hiện nay? - HUMAN-OUT1]]</f>
        <v>6</v>
      </c>
      <c r="BH350" t="str">
        <f t="shared" si="160"/>
        <v>Neutral</v>
      </c>
      <c r="BI350" s="32">
        <f t="shared" si="161"/>
        <v>3</v>
      </c>
    </row>
    <row r="351" spans="1:61" x14ac:dyDescent="0.45">
      <c r="A351" s="30">
        <f>step3_validation[[#This Row],[Persona_ID]]</f>
        <v>350</v>
      </c>
      <c r="B351" s="31">
        <f>step3_validation[[#This Row],[Used_Seed]]</f>
        <v>2375</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24.666298038630494</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6</v>
      </c>
      <c r="R351" t="str">
        <f t="shared" si="135"/>
        <v>Neutral</v>
      </c>
      <c r="S351">
        <f>survey_responses[[#This Row],[Tôi tin rằng với các quy định quản lý thuế hiện nay, hành vi gian lận hoặc trốn thuế sẽ dễ dàng bị phát hiện và xử lý nghiêm. - HUMAN-ENF1]]</f>
        <v>7</v>
      </c>
      <c r="T351" t="str">
        <f t="shared" si="136"/>
        <v>Neutral</v>
      </c>
      <c r="U351" s="32">
        <f t="shared" si="137"/>
        <v>1</v>
      </c>
      <c r="V351">
        <f>step3_validation[[#This Row],[AI_ENF2]]</f>
        <v>7</v>
      </c>
      <c r="W351" t="str">
        <f t="shared" si="138"/>
        <v>Neutral</v>
      </c>
      <c r="X351">
        <f>survey_responses[[#This Row],[Tôi tin rằng Nhà nước, cơ quan thuế có đủ khả năng và công nghệ để phát hiện, xử lý nghiêm các hành vi trốn thuế. - HUMAN-ENF2]]</f>
        <v>7</v>
      </c>
      <c r="Y351" t="str">
        <f t="shared" si="139"/>
        <v>Neutral</v>
      </c>
      <c r="Z351" s="32">
        <f t="shared" si="140"/>
        <v>0</v>
      </c>
      <c r="AA351">
        <f>step3_validation[[#This Row],[AI_FAC1]]</f>
        <v>9</v>
      </c>
      <c r="AB351" t="str">
        <f t="shared" si="141"/>
        <v>Support</v>
      </c>
      <c r="AC351">
        <f>survey_responses[[#This Row],[Các thủ tục khai báo thuế VÀ/HOẶC quy trình làm việc với cơ quan thuế đơn giản, tiện lợi, nhanh chóng hơn so với trước đây. - HUMAN-FAC1]]</f>
        <v>8</v>
      </c>
      <c r="AD351" t="str">
        <f t="shared" si="142"/>
        <v>Support</v>
      </c>
      <c r="AE351" s="32">
        <f t="shared" si="143"/>
        <v>1</v>
      </c>
      <c r="AF351">
        <f>step3_validation[[#This Row],[AI_FAC2]]</f>
        <v>8</v>
      </c>
      <c r="AG351" t="str">
        <f t="shared" si="144"/>
        <v>Support</v>
      </c>
      <c r="AH351">
        <f>survey_responses[[#This Row],[So với trước đây, tôi thấy cách tính thuế và các bậc thuế trong phương án mới đơn giản, dễ hiểu và dễ thực hiện hơn. - HUMAN-FAC2]]</f>
        <v>8</v>
      </c>
      <c r="AI351" t="str">
        <f t="shared" si="145"/>
        <v>Support</v>
      </c>
      <c r="AJ351" s="32">
        <f t="shared" si="146"/>
        <v>0</v>
      </c>
      <c r="AK351">
        <f>step3_validation[[#This Row],[AI_TRU1]]</f>
        <v>7</v>
      </c>
      <c r="AL351" t="str">
        <f t="shared" si="147"/>
        <v>Neutral</v>
      </c>
      <c r="AM351">
        <f>survey_responses[[#This Row],[Tôi tin rằng Nhà nước, cơ quan thuế sẽ thực thi chính sách mới một cách khách quan, công tâm và đối xử bình đẳng với mọi người nộp thuế.  - HUMAN-TRU1]]</f>
        <v>7</v>
      </c>
      <c r="AN351" t="str">
        <f t="shared" si="148"/>
        <v>Neutral</v>
      </c>
      <c r="AO351" s="32">
        <f t="shared" si="149"/>
        <v>0</v>
      </c>
      <c r="AP351">
        <f>step3_validation[[#This Row],[AI_TRU2]]</f>
        <v>9</v>
      </c>
      <c r="AQ351" t="str">
        <f t="shared" si="150"/>
        <v>Support</v>
      </c>
      <c r="AR351">
        <f>survey_responses[[#This Row],[Tôi thấy mức thuế tôi phải đóng theo phương án mới là công bằng (người thu nhập như tôi đóng mức này là hợp lý). - HUMAN-TRU2]]</f>
        <v>7</v>
      </c>
      <c r="AS351" t="str">
        <f t="shared" si="151"/>
        <v>Neutral</v>
      </c>
      <c r="AT351" s="32">
        <f t="shared" si="152"/>
        <v>2</v>
      </c>
      <c r="AU351">
        <f>step3_validation[[#This Row],[AI_TRU3]]</f>
        <v>7</v>
      </c>
      <c r="AV351" t="str">
        <f t="shared" si="153"/>
        <v>Neutral</v>
      </c>
      <c r="AW351">
        <f>survey_responses[[#This Row],[Tôi tin tưởng số tiền thuế tôi đóng sẽ được Nhà nước sử dụng hiệu quả để cải thiện dịch vụ công (y tế, đường xá...). - HUMAN-TRU3]]</f>
        <v>8</v>
      </c>
      <c r="AX351" t="str">
        <f t="shared" si="154"/>
        <v>Support</v>
      </c>
      <c r="AY351" s="32">
        <f t="shared" si="155"/>
        <v>1</v>
      </c>
      <c r="AZ351">
        <f>step3_validation[[#This Row],[AI_TRU4]]</f>
        <v>8</v>
      </c>
      <c r="BA351" t="str">
        <f t="shared" si="156"/>
        <v>Support</v>
      </c>
      <c r="BB351">
        <f>survey_responses[[#This Row],[Tôi thấy Nhà nước đã giải thích rõ ràng, minh bạch về lý do và mục tiêu của việc sửa đổi thuế lần này. - HUMAN-TRU4]]</f>
        <v>7</v>
      </c>
      <c r="BC351" t="str">
        <f t="shared" si="157"/>
        <v>Neutral</v>
      </c>
      <c r="BD351" s="32">
        <f t="shared" si="158"/>
        <v>1</v>
      </c>
      <c r="BE351">
        <f>step3_validation[[#This Row],[AI_OUT1]]</f>
        <v>9</v>
      </c>
      <c r="BF351" t="str">
        <f t="shared" si="159"/>
        <v>Support</v>
      </c>
      <c r="BG351">
        <f>survey_responses[[#This Row],[Sau khi xem xét các quyền lợi và nghĩa vụ, bạn có ủng hộ và tuân thủ chính sách mới hiện nay? - HUMAN-OUT1]]</f>
        <v>8</v>
      </c>
      <c r="BH351" t="str">
        <f t="shared" si="160"/>
        <v>Support</v>
      </c>
      <c r="BI351" s="32">
        <f t="shared" si="161"/>
        <v>1</v>
      </c>
    </row>
    <row r="352" spans="1:61" x14ac:dyDescent="0.45">
      <c r="A352" s="30">
        <f>step3_validation[[#This Row],[Persona_ID]]</f>
        <v>351</v>
      </c>
      <c r="B352" s="31">
        <f>step3_validation[[#This Row],[Used_Seed]]</f>
        <v>2376</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43.703455100039299</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7</v>
      </c>
      <c r="R352" t="str">
        <f t="shared" si="135"/>
        <v>Neutral</v>
      </c>
      <c r="S352">
        <f>survey_responses[[#This Row],[Tôi tin rằng với các quy định quản lý thuế hiện nay, hành vi gian lận hoặc trốn thuế sẽ dễ dàng bị phát hiện và xử lý nghiêm. - HUMAN-ENF1]]</f>
        <v>8</v>
      </c>
      <c r="T352" t="str">
        <f t="shared" si="136"/>
        <v>Support</v>
      </c>
      <c r="U352" s="32">
        <f t="shared" si="137"/>
        <v>1</v>
      </c>
      <c r="V352">
        <f>step3_validation[[#This Row],[AI_ENF2]]</f>
        <v>8</v>
      </c>
      <c r="W352" t="str">
        <f t="shared" si="138"/>
        <v>Support</v>
      </c>
      <c r="X352">
        <f>survey_responses[[#This Row],[Tôi tin rằng Nhà nước, cơ quan thuế có đủ khả năng và công nghệ để phát hiện, xử lý nghiêm các hành vi trốn thuế. - HUMAN-ENF2]]</f>
        <v>8</v>
      </c>
      <c r="Y352" t="str">
        <f t="shared" si="139"/>
        <v>Support</v>
      </c>
      <c r="Z352" s="32">
        <f t="shared" si="140"/>
        <v>0</v>
      </c>
      <c r="AA352">
        <f>step3_validation[[#This Row],[AI_FAC1]]</f>
        <v>7</v>
      </c>
      <c r="AB352" t="str">
        <f t="shared" si="141"/>
        <v>Neutral</v>
      </c>
      <c r="AC352">
        <f>survey_responses[[#This Row],[Các thủ tục khai báo thuế VÀ/HOẶC quy trình làm việc với cơ quan thuế đơn giản, tiện lợi, nhanh chóng hơn so với trước đây. - HUMAN-FAC1]]</f>
        <v>6</v>
      </c>
      <c r="AD352" t="str">
        <f t="shared" si="142"/>
        <v>Neutral</v>
      </c>
      <c r="AE352" s="32">
        <f t="shared" si="143"/>
        <v>1</v>
      </c>
      <c r="AF352">
        <f>step3_validation[[#This Row],[AI_FAC2]]</f>
        <v>9</v>
      </c>
      <c r="AG352" t="str">
        <f t="shared" si="144"/>
        <v>Support</v>
      </c>
      <c r="AH352">
        <f>survey_responses[[#This Row],[So với trước đây, tôi thấy cách tính thuế và các bậc thuế trong phương án mới đơn giản, dễ hiểu và dễ thực hiện hơn. - HUMAN-FAC2]]</f>
        <v>7</v>
      </c>
      <c r="AI352" t="str">
        <f t="shared" si="145"/>
        <v>Neutral</v>
      </c>
      <c r="AJ352" s="32">
        <f t="shared" si="146"/>
        <v>2</v>
      </c>
      <c r="AK352">
        <f>step3_validation[[#This Row],[AI_TRU1]]</f>
        <v>8</v>
      </c>
      <c r="AL352" t="str">
        <f t="shared" si="147"/>
        <v>Support</v>
      </c>
      <c r="AM352">
        <f>survey_responses[[#This Row],[Tôi tin rằng Nhà nước, cơ quan thuế sẽ thực thi chính sách mới một cách khách quan, công tâm và đối xử bình đẳng với mọi người nộp thuế.  - HUMAN-TRU1]]</f>
        <v>6</v>
      </c>
      <c r="AN352" t="str">
        <f t="shared" si="148"/>
        <v>Neutral</v>
      </c>
      <c r="AO352" s="32">
        <f t="shared" si="149"/>
        <v>2</v>
      </c>
      <c r="AP352">
        <f>step3_validation[[#This Row],[AI_TRU2]]</f>
        <v>9</v>
      </c>
      <c r="AQ352" t="str">
        <f t="shared" si="150"/>
        <v>Support</v>
      </c>
      <c r="AR352">
        <f>survey_responses[[#This Row],[Tôi thấy mức thuế tôi phải đóng theo phương án mới là công bằng (người thu nhập như tôi đóng mức này là hợp lý). - HUMAN-TRU2]]</f>
        <v>7</v>
      </c>
      <c r="AS352" t="str">
        <f t="shared" si="151"/>
        <v>Neutral</v>
      </c>
      <c r="AT352" s="32">
        <f t="shared" si="152"/>
        <v>2</v>
      </c>
      <c r="AU352">
        <f>step3_validation[[#This Row],[AI_TRU3]]</f>
        <v>8</v>
      </c>
      <c r="AV352" t="str">
        <f t="shared" si="153"/>
        <v>Support</v>
      </c>
      <c r="AW352">
        <f>survey_responses[[#This Row],[Tôi tin tưởng số tiền thuế tôi đóng sẽ được Nhà nước sử dụng hiệu quả để cải thiện dịch vụ công (y tế, đường xá...). - HUMAN-TRU3]]</f>
        <v>5</v>
      </c>
      <c r="AX352" t="str">
        <f t="shared" si="154"/>
        <v>Neutral</v>
      </c>
      <c r="AY352" s="32">
        <f t="shared" si="155"/>
        <v>3</v>
      </c>
      <c r="AZ352">
        <f>step3_validation[[#This Row],[AI_TRU4]]</f>
        <v>9</v>
      </c>
      <c r="BA352" t="str">
        <f t="shared" si="156"/>
        <v>Support</v>
      </c>
      <c r="BB352">
        <f>survey_responses[[#This Row],[Tôi thấy Nhà nước đã giải thích rõ ràng, minh bạch về lý do và mục tiêu của việc sửa đổi thuế lần này. - HUMAN-TRU4]]</f>
        <v>7</v>
      </c>
      <c r="BC352" t="str">
        <f t="shared" si="157"/>
        <v>Neutral</v>
      </c>
      <c r="BD352" s="32">
        <f t="shared" si="158"/>
        <v>2</v>
      </c>
      <c r="BE352">
        <f>step3_validation[[#This Row],[AI_OUT1]]</f>
        <v>10</v>
      </c>
      <c r="BF352" t="str">
        <f t="shared" si="159"/>
        <v>Support</v>
      </c>
      <c r="BG352">
        <f>survey_responses[[#This Row],[Sau khi xem xét các quyền lợi và nghĩa vụ, bạn có ủng hộ và tuân thủ chính sách mới hiện nay? - HUMAN-OUT1]]</f>
        <v>7</v>
      </c>
      <c r="BH352" t="str">
        <f t="shared" si="160"/>
        <v>Neutral</v>
      </c>
      <c r="BI352" s="32">
        <f t="shared" si="161"/>
        <v>3</v>
      </c>
    </row>
    <row r="353" spans="1:61" x14ac:dyDescent="0.45">
      <c r="A353" s="30">
        <f>step3_validation[[#This Row],[Persona_ID]]</f>
        <v>352</v>
      </c>
      <c r="B353" s="31">
        <f>step3_validation[[#This Row],[Used_Seed]]</f>
        <v>2377</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24.846831349678602</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8</v>
      </c>
      <c r="R353" t="str">
        <f t="shared" si="135"/>
        <v>Support</v>
      </c>
      <c r="S353">
        <f>survey_responses[[#This Row],[Tôi tin rằng với các quy định quản lý thuế hiện nay, hành vi gian lận hoặc trốn thuế sẽ dễ dàng bị phát hiện và xử lý nghiêm. - HUMAN-ENF1]]</f>
        <v>6</v>
      </c>
      <c r="T353" t="str">
        <f t="shared" si="136"/>
        <v>Neutral</v>
      </c>
      <c r="U353" s="32">
        <f t="shared" si="137"/>
        <v>2</v>
      </c>
      <c r="V353">
        <f>step3_validation[[#This Row],[AI_ENF2]]</f>
        <v>9</v>
      </c>
      <c r="W353" t="str">
        <f t="shared" si="138"/>
        <v>Support</v>
      </c>
      <c r="X353">
        <f>survey_responses[[#This Row],[Tôi tin rằng Nhà nước, cơ quan thuế có đủ khả năng và công nghệ để phát hiện, xử lý nghiêm các hành vi trốn thuế. - HUMAN-ENF2]]</f>
        <v>6</v>
      </c>
      <c r="Y353" t="str">
        <f t="shared" si="139"/>
        <v>Neutral</v>
      </c>
      <c r="Z353" s="32">
        <f t="shared" si="140"/>
        <v>3</v>
      </c>
      <c r="AA353">
        <f>step3_validation[[#This Row],[AI_FAC1]]</f>
        <v>8</v>
      </c>
      <c r="AB353" t="str">
        <f t="shared" si="141"/>
        <v>Support</v>
      </c>
      <c r="AC353">
        <f>survey_responses[[#This Row],[Các thủ tục khai báo thuế VÀ/HOẶC quy trình làm việc với cơ quan thuế đơn giản, tiện lợi, nhanh chóng hơn so với trước đây. - HUMAN-FAC1]]</f>
        <v>8</v>
      </c>
      <c r="AD353" t="str">
        <f t="shared" si="142"/>
        <v>Support</v>
      </c>
      <c r="AE353" s="32">
        <f t="shared" si="143"/>
        <v>0</v>
      </c>
      <c r="AF353">
        <f>step3_validation[[#This Row],[AI_FAC2]]</f>
        <v>9</v>
      </c>
      <c r="AG353" t="str">
        <f t="shared" si="144"/>
        <v>Support</v>
      </c>
      <c r="AH353">
        <f>survey_responses[[#This Row],[So với trước đây, tôi thấy cách tính thuế và các bậc thuế trong phương án mới đơn giản, dễ hiểu và dễ thực hiện hơn. - HUMAN-FAC2]]</f>
        <v>7</v>
      </c>
      <c r="AI353" t="str">
        <f t="shared" si="145"/>
        <v>Neutral</v>
      </c>
      <c r="AJ353" s="32">
        <f t="shared" si="146"/>
        <v>2</v>
      </c>
      <c r="AK353">
        <f>step3_validation[[#This Row],[AI_TRU1]]</f>
        <v>8</v>
      </c>
      <c r="AL353" t="str">
        <f t="shared" si="147"/>
        <v>Support</v>
      </c>
      <c r="AM353">
        <f>survey_responses[[#This Row],[Tôi tin rằng Nhà nước, cơ quan thuế sẽ thực thi chính sách mới một cách khách quan, công tâm và đối xử bình đẳng với mọi người nộp thuế.  - HUMAN-TRU1]]</f>
        <v>7</v>
      </c>
      <c r="AN353" t="str">
        <f t="shared" si="148"/>
        <v>Neutral</v>
      </c>
      <c r="AO353" s="32">
        <f t="shared" si="149"/>
        <v>1</v>
      </c>
      <c r="AP353">
        <f>step3_validation[[#This Row],[AI_TRU2]]</f>
        <v>9</v>
      </c>
      <c r="AQ353" t="str">
        <f t="shared" si="150"/>
        <v>Support</v>
      </c>
      <c r="AR353">
        <f>survey_responses[[#This Row],[Tôi thấy mức thuế tôi phải đóng theo phương án mới là công bằng (người thu nhập như tôi đóng mức này là hợp lý). - HUMAN-TRU2]]</f>
        <v>7</v>
      </c>
      <c r="AS353" t="str">
        <f t="shared" si="151"/>
        <v>Neutral</v>
      </c>
      <c r="AT353" s="32">
        <f t="shared" si="152"/>
        <v>2</v>
      </c>
      <c r="AU353">
        <f>step3_validation[[#This Row],[AI_TRU3]]</f>
        <v>8</v>
      </c>
      <c r="AV353" t="str">
        <f t="shared" si="153"/>
        <v>Support</v>
      </c>
      <c r="AW353">
        <f>survey_responses[[#This Row],[Tôi tin tưởng số tiền thuế tôi đóng sẽ được Nhà nước sử dụng hiệu quả để cải thiện dịch vụ công (y tế, đường xá...). - HUMAN-TRU3]]</f>
        <v>5</v>
      </c>
      <c r="AX353" t="str">
        <f t="shared" si="154"/>
        <v>Neutral</v>
      </c>
      <c r="AY353" s="32">
        <f t="shared" si="155"/>
        <v>3</v>
      </c>
      <c r="AZ353">
        <f>step3_validation[[#This Row],[AI_TRU4]]</f>
        <v>9</v>
      </c>
      <c r="BA353" t="str">
        <f t="shared" si="156"/>
        <v>Support</v>
      </c>
      <c r="BB353">
        <f>survey_responses[[#This Row],[Tôi thấy Nhà nước đã giải thích rõ ràng, minh bạch về lý do và mục tiêu của việc sửa đổi thuế lần này. - HUMAN-TRU4]]</f>
        <v>6</v>
      </c>
      <c r="BC353" t="str">
        <f t="shared" si="157"/>
        <v>Neutral</v>
      </c>
      <c r="BD353" s="32">
        <f t="shared" si="158"/>
        <v>3</v>
      </c>
      <c r="BE353">
        <f>step3_validation[[#This Row],[AI_OUT1]]</f>
        <v>9</v>
      </c>
      <c r="BF353" t="str">
        <f t="shared" si="159"/>
        <v>Support</v>
      </c>
      <c r="BG353">
        <f>survey_responses[[#This Row],[Sau khi xem xét các quyền lợi và nghĩa vụ, bạn có ủng hộ và tuân thủ chính sách mới hiện nay? - HUMAN-OUT1]]</f>
        <v>7</v>
      </c>
      <c r="BH353" t="str">
        <f t="shared" si="160"/>
        <v>Neutral</v>
      </c>
      <c r="BI353" s="32">
        <f t="shared" si="161"/>
        <v>2</v>
      </c>
    </row>
    <row r="354" spans="1:61" x14ac:dyDescent="0.45">
      <c r="A354" s="30">
        <f>step3_validation[[#This Row],[Persona_ID]]</f>
        <v>353</v>
      </c>
      <c r="B354" s="31">
        <f>step3_validation[[#This Row],[Used_Seed]]</f>
        <v>2378</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74.192576661986166</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7</v>
      </c>
      <c r="R354" t="str">
        <f t="shared" si="135"/>
        <v>Neutral</v>
      </c>
      <c r="S354">
        <f>survey_responses[[#This Row],[Tôi tin rằng với các quy định quản lý thuế hiện nay, hành vi gian lận hoặc trốn thuế sẽ dễ dàng bị phát hiện và xử lý nghiêm. - HUMAN-ENF1]]</f>
        <v>7</v>
      </c>
      <c r="T354" t="str">
        <f t="shared" si="136"/>
        <v>Neutral</v>
      </c>
      <c r="U354" s="32">
        <f t="shared" si="137"/>
        <v>0</v>
      </c>
      <c r="V354">
        <f>step3_validation[[#This Row],[AI_ENF2]]</f>
        <v>7</v>
      </c>
      <c r="W354" t="str">
        <f t="shared" si="138"/>
        <v>Neutral</v>
      </c>
      <c r="X354">
        <f>survey_responses[[#This Row],[Tôi tin rằng Nhà nước, cơ quan thuế có đủ khả năng và công nghệ để phát hiện, xử lý nghiêm các hành vi trốn thuế. - HUMAN-ENF2]]</f>
        <v>7</v>
      </c>
      <c r="Y354" t="str">
        <f t="shared" si="139"/>
        <v>Neutral</v>
      </c>
      <c r="Z354" s="32">
        <f t="shared" si="140"/>
        <v>0</v>
      </c>
      <c r="AA354">
        <f>step3_validation[[#This Row],[AI_FAC1]]</f>
        <v>9</v>
      </c>
      <c r="AB354" t="str">
        <f t="shared" si="141"/>
        <v>Support</v>
      </c>
      <c r="AC354">
        <f>survey_responses[[#This Row],[Các thủ tục khai báo thuế VÀ/HOẶC quy trình làm việc với cơ quan thuế đơn giản, tiện lợi, nhanh chóng hơn so với trước đây. - HUMAN-FAC1]]</f>
        <v>8</v>
      </c>
      <c r="AD354" t="str">
        <f t="shared" si="142"/>
        <v>Support</v>
      </c>
      <c r="AE354" s="32">
        <f t="shared" si="143"/>
        <v>1</v>
      </c>
      <c r="AF354">
        <f>step3_validation[[#This Row],[AI_FAC2]]</f>
        <v>8</v>
      </c>
      <c r="AG354" t="str">
        <f t="shared" si="144"/>
        <v>Support</v>
      </c>
      <c r="AH354">
        <f>survey_responses[[#This Row],[So với trước đây, tôi thấy cách tính thuế và các bậc thuế trong phương án mới đơn giản, dễ hiểu và dễ thực hiện hơn. - HUMAN-FAC2]]</f>
        <v>8</v>
      </c>
      <c r="AI354" t="str">
        <f t="shared" si="145"/>
        <v>Support</v>
      </c>
      <c r="AJ354" s="32">
        <f t="shared" si="146"/>
        <v>0</v>
      </c>
      <c r="AK354">
        <f>step3_validation[[#This Row],[AI_TRU1]]</f>
        <v>9</v>
      </c>
      <c r="AL354" t="str">
        <f t="shared" si="147"/>
        <v>Support</v>
      </c>
      <c r="AM354">
        <f>survey_responses[[#This Row],[Tôi tin rằng Nhà nước, cơ quan thuế sẽ thực thi chính sách mới một cách khách quan, công tâm và đối xử bình đẳng với mọi người nộp thuế.  - HUMAN-TRU1]]</f>
        <v>6</v>
      </c>
      <c r="AN354" t="str">
        <f t="shared" si="148"/>
        <v>Neutral</v>
      </c>
      <c r="AO354" s="32">
        <f t="shared" si="149"/>
        <v>3</v>
      </c>
      <c r="AP354">
        <f>step3_validation[[#This Row],[AI_TRU2]]</f>
        <v>8</v>
      </c>
      <c r="AQ354" t="str">
        <f t="shared" si="150"/>
        <v>Support</v>
      </c>
      <c r="AR354">
        <f>survey_responses[[#This Row],[Tôi thấy mức thuế tôi phải đóng theo phương án mới là công bằng (người thu nhập như tôi đóng mức này là hợp lý). - HUMAN-TRU2]]</f>
        <v>7</v>
      </c>
      <c r="AS354" t="str">
        <f t="shared" si="151"/>
        <v>Neutral</v>
      </c>
      <c r="AT354" s="32">
        <f t="shared" si="152"/>
        <v>1</v>
      </c>
      <c r="AU354">
        <f>step3_validation[[#This Row],[AI_TRU3]]</f>
        <v>9</v>
      </c>
      <c r="AV354" t="str">
        <f t="shared" si="153"/>
        <v>Support</v>
      </c>
      <c r="AW354">
        <f>survey_responses[[#This Row],[Tôi tin tưởng số tiền thuế tôi đóng sẽ được Nhà nước sử dụng hiệu quả để cải thiện dịch vụ công (y tế, đường xá...). - HUMAN-TRU3]]</f>
        <v>5</v>
      </c>
      <c r="AX354" t="str">
        <f t="shared" si="154"/>
        <v>Neutral</v>
      </c>
      <c r="AY354" s="32">
        <f t="shared" si="155"/>
        <v>4</v>
      </c>
      <c r="AZ354">
        <f>step3_validation[[#This Row],[AI_TRU4]]</f>
        <v>8</v>
      </c>
      <c r="BA354" t="str">
        <f t="shared" si="156"/>
        <v>Support</v>
      </c>
      <c r="BB354">
        <f>survey_responses[[#This Row],[Tôi thấy Nhà nước đã giải thích rõ ràng, minh bạch về lý do và mục tiêu của việc sửa đổi thuế lần này. - HUMAN-TRU4]]</f>
        <v>7</v>
      </c>
      <c r="BC354" t="str">
        <f t="shared" si="157"/>
        <v>Neutral</v>
      </c>
      <c r="BD354" s="32">
        <f t="shared" si="158"/>
        <v>1</v>
      </c>
      <c r="BE354">
        <f>step3_validation[[#This Row],[AI_OUT1]]</f>
        <v>9</v>
      </c>
      <c r="BF354" t="str">
        <f t="shared" si="159"/>
        <v>Support</v>
      </c>
      <c r="BG354">
        <f>survey_responses[[#This Row],[Sau khi xem xét các quyền lợi và nghĩa vụ, bạn có ủng hộ và tuân thủ chính sách mới hiện nay? - HUMAN-OUT1]]</f>
        <v>7</v>
      </c>
      <c r="BH354" t="str">
        <f t="shared" si="160"/>
        <v>Neutral</v>
      </c>
      <c r="BI354" s="32">
        <f t="shared" si="161"/>
        <v>2</v>
      </c>
    </row>
    <row r="355" spans="1:61" x14ac:dyDescent="0.45">
      <c r="A355" s="30">
        <f>step3_validation[[#This Row],[Persona_ID]]</f>
        <v>354</v>
      </c>
      <c r="B355" s="31">
        <f>step3_validation[[#This Row],[Used_Seed]]</f>
        <v>2379</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14.670256699648776</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3</v>
      </c>
      <c r="R355" t="str">
        <f t="shared" si="135"/>
        <v>Oppose</v>
      </c>
      <c r="S355">
        <f>survey_responses[[#This Row],[Tôi tin rằng với các quy định quản lý thuế hiện nay, hành vi gian lận hoặc trốn thuế sẽ dễ dàng bị phát hiện và xử lý nghiêm. - HUMAN-ENF1]]</f>
        <v>9</v>
      </c>
      <c r="T355" t="str">
        <f t="shared" si="136"/>
        <v>Support</v>
      </c>
      <c r="U355" s="32">
        <f t="shared" si="137"/>
        <v>6</v>
      </c>
      <c r="V355">
        <f>step3_validation[[#This Row],[AI_ENF2]]</f>
        <v>4</v>
      </c>
      <c r="W355" t="str">
        <f t="shared" si="138"/>
        <v>Oppose</v>
      </c>
      <c r="X355">
        <f>survey_responses[[#This Row],[Tôi tin rằng Nhà nước, cơ quan thuế có đủ khả năng và công nghệ để phát hiện, xử lý nghiêm các hành vi trốn thuế. - HUMAN-ENF2]]</f>
        <v>9</v>
      </c>
      <c r="Y355" t="str">
        <f t="shared" si="139"/>
        <v>Support</v>
      </c>
      <c r="Z355" s="32">
        <f t="shared" si="140"/>
        <v>5</v>
      </c>
      <c r="AA355">
        <f>step3_validation[[#This Row],[AI_FAC1]]</f>
        <v>6</v>
      </c>
      <c r="AB355" t="str">
        <f t="shared" si="141"/>
        <v>Neutral</v>
      </c>
      <c r="AC355">
        <f>survey_responses[[#This Row],[Các thủ tục khai báo thuế VÀ/HOẶC quy trình làm việc với cơ quan thuế đơn giản, tiện lợi, nhanh chóng hơn so với trước đây. - HUMAN-FAC1]]</f>
        <v>10</v>
      </c>
      <c r="AD355" t="str">
        <f t="shared" si="142"/>
        <v>Support</v>
      </c>
      <c r="AE355" s="32">
        <f t="shared" si="143"/>
        <v>4</v>
      </c>
      <c r="AF355">
        <f>step3_validation[[#This Row],[AI_FAC2]]</f>
        <v>7</v>
      </c>
      <c r="AG355" t="str">
        <f t="shared" si="144"/>
        <v>Neutral</v>
      </c>
      <c r="AH355">
        <f>survey_responses[[#This Row],[So với trước đây, tôi thấy cách tính thuế và các bậc thuế trong phương án mới đơn giản, dễ hiểu và dễ thực hiện hơn. - HUMAN-FAC2]]</f>
        <v>10</v>
      </c>
      <c r="AI355" t="str">
        <f t="shared" si="145"/>
        <v>Support</v>
      </c>
      <c r="AJ355" s="32">
        <f t="shared" si="146"/>
        <v>3</v>
      </c>
      <c r="AK355">
        <f>step3_validation[[#This Row],[AI_TRU1]]</f>
        <v>6</v>
      </c>
      <c r="AL355" t="str">
        <f t="shared" si="147"/>
        <v>Neutral</v>
      </c>
      <c r="AM355">
        <f>survey_responses[[#This Row],[Tôi tin rằng Nhà nước, cơ quan thuế sẽ thực thi chính sách mới một cách khách quan, công tâm và đối xử bình đẳng với mọi người nộp thuế.  - HUMAN-TRU1]]</f>
        <v>9</v>
      </c>
      <c r="AN355" t="str">
        <f t="shared" si="148"/>
        <v>Support</v>
      </c>
      <c r="AO355" s="32">
        <f t="shared" si="149"/>
        <v>3</v>
      </c>
      <c r="AP355">
        <f>step3_validation[[#This Row],[AI_TRU2]]</f>
        <v>6</v>
      </c>
      <c r="AQ355" t="str">
        <f t="shared" si="150"/>
        <v>Neutral</v>
      </c>
      <c r="AR355">
        <f>survey_responses[[#This Row],[Tôi thấy mức thuế tôi phải đóng theo phương án mới là công bằng (người thu nhập như tôi đóng mức này là hợp lý). - HUMAN-TRU2]]</f>
        <v>10</v>
      </c>
      <c r="AS355" t="str">
        <f t="shared" si="151"/>
        <v>Support</v>
      </c>
      <c r="AT355" s="32">
        <f t="shared" si="152"/>
        <v>4</v>
      </c>
      <c r="AU355">
        <f>step3_validation[[#This Row],[AI_TRU3]]</f>
        <v>5</v>
      </c>
      <c r="AV355" t="str">
        <f t="shared" si="153"/>
        <v>Neutral</v>
      </c>
      <c r="AW355">
        <f>survey_responses[[#This Row],[Tôi tin tưởng số tiền thuế tôi đóng sẽ được Nhà nước sử dụng hiệu quả để cải thiện dịch vụ công (y tế, đường xá...). - HUMAN-TRU3]]</f>
        <v>8</v>
      </c>
      <c r="AX355" t="str">
        <f t="shared" si="154"/>
        <v>Support</v>
      </c>
      <c r="AY355" s="32">
        <f t="shared" si="155"/>
        <v>3</v>
      </c>
      <c r="AZ355">
        <f>step3_validation[[#This Row],[AI_TRU4]]</f>
        <v>6</v>
      </c>
      <c r="BA355" t="str">
        <f t="shared" si="156"/>
        <v>Neutral</v>
      </c>
      <c r="BB355">
        <f>survey_responses[[#This Row],[Tôi thấy Nhà nước đã giải thích rõ ràng, minh bạch về lý do và mục tiêu của việc sửa đổi thuế lần này. - HUMAN-TRU4]]</f>
        <v>8</v>
      </c>
      <c r="BC355" t="str">
        <f t="shared" si="157"/>
        <v>Support</v>
      </c>
      <c r="BD355" s="32">
        <f t="shared" si="158"/>
        <v>2</v>
      </c>
      <c r="BE355">
        <f>step3_validation[[#This Row],[AI_OUT1]]</f>
        <v>8</v>
      </c>
      <c r="BF355" t="str">
        <f t="shared" si="159"/>
        <v>Support</v>
      </c>
      <c r="BG355">
        <f>survey_responses[[#This Row],[Sau khi xem xét các quyền lợi và nghĩa vụ, bạn có ủng hộ và tuân thủ chính sách mới hiện nay? - HUMAN-OUT1]]</f>
        <v>9</v>
      </c>
      <c r="BH355" t="str">
        <f t="shared" si="160"/>
        <v>Support</v>
      </c>
      <c r="BI355" s="32">
        <f t="shared" si="161"/>
        <v>1</v>
      </c>
    </row>
    <row r="356" spans="1:61" x14ac:dyDescent="0.45">
      <c r="A356" s="30">
        <f>step3_validation[[#This Row],[Persona_ID]]</f>
        <v>355</v>
      </c>
      <c r="B356" s="31">
        <f>step3_validation[[#This Row],[Used_Seed]]</f>
        <v>2380</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12.819759928225976</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7</v>
      </c>
      <c r="R356" t="str">
        <f t="shared" si="135"/>
        <v>Neutral</v>
      </c>
      <c r="S356">
        <f>survey_responses[[#This Row],[Tôi tin rằng với các quy định quản lý thuế hiện nay, hành vi gian lận hoặc trốn thuế sẽ dễ dàng bị phát hiện và xử lý nghiêm. - HUMAN-ENF1]]</f>
        <v>7</v>
      </c>
      <c r="T356" t="str">
        <f t="shared" si="136"/>
        <v>Neutral</v>
      </c>
      <c r="U356" s="32">
        <f t="shared" si="137"/>
        <v>0</v>
      </c>
      <c r="V356">
        <f>step3_validation[[#This Row],[AI_ENF2]]</f>
        <v>8</v>
      </c>
      <c r="W356" t="str">
        <f t="shared" si="138"/>
        <v>Support</v>
      </c>
      <c r="X356">
        <f>survey_responses[[#This Row],[Tôi tin rằng Nhà nước, cơ quan thuế có đủ khả năng và công nghệ để phát hiện, xử lý nghiêm các hành vi trốn thuế. - HUMAN-ENF2]]</f>
        <v>8</v>
      </c>
      <c r="Y356" t="str">
        <f t="shared" si="139"/>
        <v>Support</v>
      </c>
      <c r="Z356" s="32">
        <f t="shared" si="140"/>
        <v>0</v>
      </c>
      <c r="AA356">
        <f>step3_validation[[#This Row],[AI_FAC1]]</f>
        <v>9</v>
      </c>
      <c r="AB356" t="str">
        <f t="shared" si="141"/>
        <v>Support</v>
      </c>
      <c r="AC356">
        <f>survey_responses[[#This Row],[Các thủ tục khai báo thuế VÀ/HOẶC quy trình làm việc với cơ quan thuế đơn giản, tiện lợi, nhanh chóng hơn so với trước đây. - HUMAN-FAC1]]</f>
        <v>8</v>
      </c>
      <c r="AD356" t="str">
        <f t="shared" si="142"/>
        <v>Support</v>
      </c>
      <c r="AE356" s="32">
        <f t="shared" si="143"/>
        <v>1</v>
      </c>
      <c r="AF356">
        <f>step3_validation[[#This Row],[AI_FAC2]]</f>
        <v>9</v>
      </c>
      <c r="AG356" t="str">
        <f t="shared" si="144"/>
        <v>Support</v>
      </c>
      <c r="AH356">
        <f>survey_responses[[#This Row],[So với trước đây, tôi thấy cách tính thuế và các bậc thuế trong phương án mới đơn giản, dễ hiểu và dễ thực hiện hơn. - HUMAN-FAC2]]</f>
        <v>9</v>
      </c>
      <c r="AI356" t="str">
        <f t="shared" si="145"/>
        <v>Support</v>
      </c>
      <c r="AJ356" s="32">
        <f t="shared" si="146"/>
        <v>0</v>
      </c>
      <c r="AK356">
        <f>step3_validation[[#This Row],[AI_TRU1]]</f>
        <v>8</v>
      </c>
      <c r="AL356" t="str">
        <f t="shared" si="147"/>
        <v>Support</v>
      </c>
      <c r="AM356">
        <f>survey_responses[[#This Row],[Tôi tin rằng Nhà nước, cơ quan thuế sẽ thực thi chính sách mới một cách khách quan, công tâm và đối xử bình đẳng với mọi người nộp thuế.  - HUMAN-TRU1]]</f>
        <v>8</v>
      </c>
      <c r="AN356" t="str">
        <f t="shared" si="148"/>
        <v>Support</v>
      </c>
      <c r="AO356" s="32">
        <f t="shared" si="149"/>
        <v>0</v>
      </c>
      <c r="AP356">
        <f>step3_validation[[#This Row],[AI_TRU2]]</f>
        <v>7</v>
      </c>
      <c r="AQ356" t="str">
        <f t="shared" si="150"/>
        <v>Neutral</v>
      </c>
      <c r="AR356">
        <f>survey_responses[[#This Row],[Tôi thấy mức thuế tôi phải đóng theo phương án mới là công bằng (người thu nhập như tôi đóng mức này là hợp lý). - HUMAN-TRU2]]</f>
        <v>10</v>
      </c>
      <c r="AS356" t="str">
        <f t="shared" si="151"/>
        <v>Support</v>
      </c>
      <c r="AT356" s="32">
        <f t="shared" si="152"/>
        <v>3</v>
      </c>
      <c r="AU356">
        <f>step3_validation[[#This Row],[AI_TRU3]]</f>
        <v>8</v>
      </c>
      <c r="AV356" t="str">
        <f t="shared" si="153"/>
        <v>Support</v>
      </c>
      <c r="AW356">
        <f>survey_responses[[#This Row],[Tôi tin tưởng số tiền thuế tôi đóng sẽ được Nhà nước sử dụng hiệu quả để cải thiện dịch vụ công (y tế, đường xá...). - HUMAN-TRU3]]</f>
        <v>8</v>
      </c>
      <c r="AX356" t="str">
        <f t="shared" si="154"/>
        <v>Support</v>
      </c>
      <c r="AY356" s="32">
        <f t="shared" si="155"/>
        <v>0</v>
      </c>
      <c r="AZ356">
        <f>step3_validation[[#This Row],[AI_TRU4]]</f>
        <v>7</v>
      </c>
      <c r="BA356" t="str">
        <f t="shared" si="156"/>
        <v>Neutral</v>
      </c>
      <c r="BB356">
        <f>survey_responses[[#This Row],[Tôi thấy Nhà nước đã giải thích rõ ràng, minh bạch về lý do và mục tiêu của việc sửa đổi thuế lần này. - HUMAN-TRU4]]</f>
        <v>8</v>
      </c>
      <c r="BC356" t="str">
        <f t="shared" si="157"/>
        <v>Support</v>
      </c>
      <c r="BD356" s="32">
        <f t="shared" si="158"/>
        <v>1</v>
      </c>
      <c r="BE356">
        <f>step3_validation[[#This Row],[AI_OUT1]]</f>
        <v>9</v>
      </c>
      <c r="BF356" t="str">
        <f t="shared" si="159"/>
        <v>Support</v>
      </c>
      <c r="BG356">
        <f>survey_responses[[#This Row],[Sau khi xem xét các quyền lợi và nghĩa vụ, bạn có ủng hộ và tuân thủ chính sách mới hiện nay? - HUMAN-OUT1]]</f>
        <v>9</v>
      </c>
      <c r="BH356" t="str">
        <f t="shared" si="160"/>
        <v>Support</v>
      </c>
      <c r="BI356" s="32">
        <f t="shared" si="161"/>
        <v>0</v>
      </c>
    </row>
    <row r="357" spans="1:61" x14ac:dyDescent="0.45">
      <c r="A357" s="30">
        <f>step3_validation[[#This Row],[Persona_ID]]</f>
        <v>356</v>
      </c>
      <c r="B357" s="31">
        <f>step3_validation[[#This Row],[Used_Seed]]</f>
        <v>2381</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15.101688341676548</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7</v>
      </c>
      <c r="R357" t="str">
        <f t="shared" si="135"/>
        <v>Neutral</v>
      </c>
      <c r="S357">
        <f>survey_responses[[#This Row],[Tôi tin rằng với các quy định quản lý thuế hiện nay, hành vi gian lận hoặc trốn thuế sẽ dễ dàng bị phát hiện và xử lý nghiêm. - HUMAN-ENF1]]</f>
        <v>7</v>
      </c>
      <c r="T357" t="str">
        <f t="shared" si="136"/>
        <v>Neutral</v>
      </c>
      <c r="U357" s="32">
        <f t="shared" si="137"/>
        <v>0</v>
      </c>
      <c r="V357">
        <f>step3_validation[[#This Row],[AI_ENF2]]</f>
        <v>7</v>
      </c>
      <c r="W357" t="str">
        <f t="shared" si="138"/>
        <v>Neutral</v>
      </c>
      <c r="X357">
        <f>survey_responses[[#This Row],[Tôi tin rằng Nhà nước, cơ quan thuế có đủ khả năng và công nghệ để phát hiện, xử lý nghiêm các hành vi trốn thuế. - HUMAN-ENF2]]</f>
        <v>7</v>
      </c>
      <c r="Y357" t="str">
        <f t="shared" si="139"/>
        <v>Neutral</v>
      </c>
      <c r="Z357" s="32">
        <f t="shared" si="140"/>
        <v>0</v>
      </c>
      <c r="AA357">
        <f>step3_validation[[#This Row],[AI_FAC1]]</f>
        <v>9</v>
      </c>
      <c r="AB357" t="str">
        <f t="shared" si="141"/>
        <v>Support</v>
      </c>
      <c r="AC357">
        <f>survey_responses[[#This Row],[Các thủ tục khai báo thuế VÀ/HOẶC quy trình làm việc với cơ quan thuế đơn giản, tiện lợi, nhanh chóng hơn so với trước đây. - HUMAN-FAC1]]</f>
        <v>8</v>
      </c>
      <c r="AD357" t="str">
        <f t="shared" si="142"/>
        <v>Support</v>
      </c>
      <c r="AE357" s="32">
        <f t="shared" si="143"/>
        <v>1</v>
      </c>
      <c r="AF357">
        <f>step3_validation[[#This Row],[AI_FAC2]]</f>
        <v>9</v>
      </c>
      <c r="AG357" t="str">
        <f t="shared" si="144"/>
        <v>Support</v>
      </c>
      <c r="AH357">
        <f>survey_responses[[#This Row],[So với trước đây, tôi thấy cách tính thuế và các bậc thuế trong phương án mới đơn giản, dễ hiểu và dễ thực hiện hơn. - HUMAN-FAC2]]</f>
        <v>10</v>
      </c>
      <c r="AI357" t="str">
        <f t="shared" si="145"/>
        <v>Support</v>
      </c>
      <c r="AJ357" s="32">
        <f t="shared" si="146"/>
        <v>1</v>
      </c>
      <c r="AK357">
        <f>step3_validation[[#This Row],[AI_TRU1]]</f>
        <v>7</v>
      </c>
      <c r="AL357" t="str">
        <f t="shared" si="147"/>
        <v>Neutral</v>
      </c>
      <c r="AM357">
        <f>survey_responses[[#This Row],[Tôi tin rằng Nhà nước, cơ quan thuế sẽ thực thi chính sách mới một cách khách quan, công tâm và đối xử bình đẳng với mọi người nộp thuế.  - HUMAN-TRU1]]</f>
        <v>9</v>
      </c>
      <c r="AN357" t="str">
        <f t="shared" si="148"/>
        <v>Support</v>
      </c>
      <c r="AO357" s="32">
        <f t="shared" si="149"/>
        <v>2</v>
      </c>
      <c r="AP357">
        <f>step3_validation[[#This Row],[AI_TRU2]]</f>
        <v>9</v>
      </c>
      <c r="AQ357" t="str">
        <f t="shared" si="150"/>
        <v>Support</v>
      </c>
      <c r="AR357">
        <f>survey_responses[[#This Row],[Tôi thấy mức thuế tôi phải đóng theo phương án mới là công bằng (người thu nhập như tôi đóng mức này là hợp lý). - HUMAN-TRU2]]</f>
        <v>10</v>
      </c>
      <c r="AS357" t="str">
        <f t="shared" si="151"/>
        <v>Support</v>
      </c>
      <c r="AT357" s="32">
        <f t="shared" si="152"/>
        <v>1</v>
      </c>
      <c r="AU357">
        <f>step3_validation[[#This Row],[AI_TRU3]]</f>
        <v>8</v>
      </c>
      <c r="AV357" t="str">
        <f t="shared" si="153"/>
        <v>Support</v>
      </c>
      <c r="AW357">
        <f>survey_responses[[#This Row],[Tôi tin tưởng số tiền thuế tôi đóng sẽ được Nhà nước sử dụng hiệu quả để cải thiện dịch vụ công (y tế, đường xá...). - HUMAN-TRU3]]</f>
        <v>8</v>
      </c>
      <c r="AX357" t="str">
        <f t="shared" si="154"/>
        <v>Support</v>
      </c>
      <c r="AY357" s="32">
        <f t="shared" si="155"/>
        <v>0</v>
      </c>
      <c r="AZ357">
        <f>step3_validation[[#This Row],[AI_TRU4]]</f>
        <v>7</v>
      </c>
      <c r="BA357" t="str">
        <f t="shared" si="156"/>
        <v>Neutral</v>
      </c>
      <c r="BB357">
        <f>survey_responses[[#This Row],[Tôi thấy Nhà nước đã giải thích rõ ràng, minh bạch về lý do và mục tiêu của việc sửa đổi thuế lần này. - HUMAN-TRU4]]</f>
        <v>8</v>
      </c>
      <c r="BC357" t="str">
        <f t="shared" si="157"/>
        <v>Support</v>
      </c>
      <c r="BD357" s="32">
        <f t="shared" si="158"/>
        <v>1</v>
      </c>
      <c r="BE357">
        <f>step3_validation[[#This Row],[AI_OUT1]]</f>
        <v>9</v>
      </c>
      <c r="BF357" t="str">
        <f t="shared" si="159"/>
        <v>Support</v>
      </c>
      <c r="BG357">
        <f>survey_responses[[#This Row],[Sau khi xem xét các quyền lợi và nghĩa vụ, bạn có ủng hộ và tuân thủ chính sách mới hiện nay? - HUMAN-OUT1]]</f>
        <v>10</v>
      </c>
      <c r="BH357" t="str">
        <f t="shared" si="160"/>
        <v>Support</v>
      </c>
      <c r="BI357" s="32">
        <f t="shared" si="161"/>
        <v>1</v>
      </c>
    </row>
    <row r="358" spans="1:61" x14ac:dyDescent="0.45">
      <c r="A358" s="30">
        <f>step3_validation[[#This Row],[Persona_ID]]</f>
        <v>357</v>
      </c>
      <c r="B358" s="31">
        <f>step3_validation[[#This Row],[Used_Seed]]</f>
        <v>2382</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25.791080832098498</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7</v>
      </c>
      <c r="R358" t="str">
        <f t="shared" si="135"/>
        <v>Neutral</v>
      </c>
      <c r="S358">
        <f>survey_responses[[#This Row],[Tôi tin rằng với các quy định quản lý thuế hiện nay, hành vi gian lận hoặc trốn thuế sẽ dễ dàng bị phát hiện và xử lý nghiêm. - HUMAN-ENF1]]</f>
        <v>9</v>
      </c>
      <c r="T358" t="str">
        <f t="shared" si="136"/>
        <v>Support</v>
      </c>
      <c r="U358" s="32">
        <f t="shared" si="137"/>
        <v>2</v>
      </c>
      <c r="V358">
        <f>step3_validation[[#This Row],[AI_ENF2]]</f>
        <v>8</v>
      </c>
      <c r="W358" t="str">
        <f t="shared" si="138"/>
        <v>Support</v>
      </c>
      <c r="X358">
        <f>survey_responses[[#This Row],[Tôi tin rằng Nhà nước, cơ quan thuế có đủ khả năng và công nghệ để phát hiện, xử lý nghiêm các hành vi trốn thuế. - HUMAN-ENF2]]</f>
        <v>9</v>
      </c>
      <c r="Y358" t="str">
        <f t="shared" si="139"/>
        <v>Support</v>
      </c>
      <c r="Z358" s="32">
        <f t="shared" si="140"/>
        <v>1</v>
      </c>
      <c r="AA358">
        <f>step3_validation[[#This Row],[AI_FAC1]]</f>
        <v>9</v>
      </c>
      <c r="AB358" t="str">
        <f t="shared" si="141"/>
        <v>Support</v>
      </c>
      <c r="AC358">
        <f>survey_responses[[#This Row],[Các thủ tục khai báo thuế VÀ/HOẶC quy trình làm việc với cơ quan thuế đơn giản, tiện lợi, nhanh chóng hơn so với trước đây. - HUMAN-FAC1]]</f>
        <v>8</v>
      </c>
      <c r="AD358" t="str">
        <f t="shared" si="142"/>
        <v>Support</v>
      </c>
      <c r="AE358" s="32">
        <f t="shared" si="143"/>
        <v>1</v>
      </c>
      <c r="AF358">
        <f>step3_validation[[#This Row],[AI_FAC2]]</f>
        <v>10</v>
      </c>
      <c r="AG358" t="str">
        <f t="shared" si="144"/>
        <v>Support</v>
      </c>
      <c r="AH358">
        <f>survey_responses[[#This Row],[So với trước đây, tôi thấy cách tính thuế và các bậc thuế trong phương án mới đơn giản, dễ hiểu và dễ thực hiện hơn. - HUMAN-FAC2]]</f>
        <v>9</v>
      </c>
      <c r="AI358" t="str">
        <f t="shared" si="145"/>
        <v>Support</v>
      </c>
      <c r="AJ358" s="32">
        <f t="shared" si="146"/>
        <v>1</v>
      </c>
      <c r="AK358">
        <f>step3_validation[[#This Row],[AI_TRU1]]</f>
        <v>9</v>
      </c>
      <c r="AL358" t="str">
        <f t="shared" si="147"/>
        <v>Support</v>
      </c>
      <c r="AM358">
        <f>survey_responses[[#This Row],[Tôi tin rằng Nhà nước, cơ quan thuế sẽ thực thi chính sách mới một cách khách quan, công tâm và đối xử bình đẳng với mọi người nộp thuế.  - HUMAN-TRU1]]</f>
        <v>8</v>
      </c>
      <c r="AN358" t="str">
        <f t="shared" si="148"/>
        <v>Support</v>
      </c>
      <c r="AO358" s="32">
        <f t="shared" si="149"/>
        <v>1</v>
      </c>
      <c r="AP358">
        <f>step3_validation[[#This Row],[AI_TRU2]]</f>
        <v>9</v>
      </c>
      <c r="AQ358" t="str">
        <f t="shared" si="150"/>
        <v>Support</v>
      </c>
      <c r="AR358">
        <f>survey_responses[[#This Row],[Tôi thấy mức thuế tôi phải đóng theo phương án mới là công bằng (người thu nhập như tôi đóng mức này là hợp lý). - HUMAN-TRU2]]</f>
        <v>8</v>
      </c>
      <c r="AS358" t="str">
        <f t="shared" si="151"/>
        <v>Support</v>
      </c>
      <c r="AT358" s="32">
        <f t="shared" si="152"/>
        <v>1</v>
      </c>
      <c r="AU358">
        <f>step3_validation[[#This Row],[AI_TRU3]]</f>
        <v>8</v>
      </c>
      <c r="AV358" t="str">
        <f t="shared" si="153"/>
        <v>Support</v>
      </c>
      <c r="AW358">
        <f>survey_responses[[#This Row],[Tôi tin tưởng số tiền thuế tôi đóng sẽ được Nhà nước sử dụng hiệu quả để cải thiện dịch vụ công (y tế, đường xá...). - HUMAN-TRU3]]</f>
        <v>7</v>
      </c>
      <c r="AX358" t="str">
        <f t="shared" si="154"/>
        <v>Neutral</v>
      </c>
      <c r="AY358" s="32">
        <f t="shared" si="155"/>
        <v>1</v>
      </c>
      <c r="AZ358">
        <f>step3_validation[[#This Row],[AI_TRU4]]</f>
        <v>7</v>
      </c>
      <c r="BA358" t="str">
        <f t="shared" si="156"/>
        <v>Neutral</v>
      </c>
      <c r="BB358">
        <f>survey_responses[[#This Row],[Tôi thấy Nhà nước đã giải thích rõ ràng, minh bạch về lý do và mục tiêu của việc sửa đổi thuế lần này. - HUMAN-TRU4]]</f>
        <v>7</v>
      </c>
      <c r="BC358" t="str">
        <f t="shared" si="157"/>
        <v>Neutral</v>
      </c>
      <c r="BD358" s="32">
        <f t="shared" si="158"/>
        <v>0</v>
      </c>
      <c r="BE358">
        <f>step3_validation[[#This Row],[AI_OUT1]]</f>
        <v>9</v>
      </c>
      <c r="BF358" t="str">
        <f t="shared" si="159"/>
        <v>Support</v>
      </c>
      <c r="BG358">
        <f>survey_responses[[#This Row],[Sau khi xem xét các quyền lợi và nghĩa vụ, bạn có ủng hộ và tuân thủ chính sách mới hiện nay? - HUMAN-OUT1]]</f>
        <v>8</v>
      </c>
      <c r="BH358" t="str">
        <f t="shared" si="160"/>
        <v>Support</v>
      </c>
      <c r="BI358" s="32">
        <f t="shared" si="161"/>
        <v>1</v>
      </c>
    </row>
    <row r="359" spans="1:61" x14ac:dyDescent="0.45">
      <c r="A359" s="30">
        <f>step3_validation[[#This Row],[Persona_ID]]</f>
        <v>358</v>
      </c>
      <c r="B359" s="31">
        <f>step3_validation[[#This Row],[Used_Seed]]</f>
        <v>2383</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14.103980233284</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6</v>
      </c>
      <c r="R359" t="str">
        <f t="shared" si="135"/>
        <v>Neutral</v>
      </c>
      <c r="S359">
        <f>survey_responses[[#This Row],[Tôi tin rằng với các quy định quản lý thuế hiện nay, hành vi gian lận hoặc trốn thuế sẽ dễ dàng bị phát hiện và xử lý nghiêm. - HUMAN-ENF1]]</f>
        <v>7</v>
      </c>
      <c r="T359" t="str">
        <f t="shared" si="136"/>
        <v>Neutral</v>
      </c>
      <c r="U359" s="32">
        <f t="shared" si="137"/>
        <v>1</v>
      </c>
      <c r="V359">
        <f>step3_validation[[#This Row],[AI_ENF2]]</f>
        <v>6</v>
      </c>
      <c r="W359" t="str">
        <f t="shared" si="138"/>
        <v>Neutral</v>
      </c>
      <c r="X359">
        <f>survey_responses[[#This Row],[Tôi tin rằng Nhà nước, cơ quan thuế có đủ khả năng và công nghệ để phát hiện, xử lý nghiêm các hành vi trốn thuế. - HUMAN-ENF2]]</f>
        <v>7</v>
      </c>
      <c r="Y359" t="str">
        <f t="shared" si="139"/>
        <v>Neutral</v>
      </c>
      <c r="Z359" s="32">
        <f t="shared" si="140"/>
        <v>1</v>
      </c>
      <c r="AA359">
        <f>step3_validation[[#This Row],[AI_FAC1]]</f>
        <v>8</v>
      </c>
      <c r="AB359" t="str">
        <f t="shared" si="141"/>
        <v>Support</v>
      </c>
      <c r="AC359">
        <f>survey_responses[[#This Row],[Các thủ tục khai báo thuế VÀ/HOẶC quy trình làm việc với cơ quan thuế đơn giản, tiện lợi, nhanh chóng hơn so với trước đây. - HUMAN-FAC1]]</f>
        <v>7</v>
      </c>
      <c r="AD359" t="str">
        <f t="shared" si="142"/>
        <v>Neutral</v>
      </c>
      <c r="AE359" s="32">
        <f t="shared" si="143"/>
        <v>1</v>
      </c>
      <c r="AF359">
        <f>step3_validation[[#This Row],[AI_FAC2]]</f>
        <v>9</v>
      </c>
      <c r="AG359" t="str">
        <f t="shared" si="144"/>
        <v>Support</v>
      </c>
      <c r="AH359">
        <f>survey_responses[[#This Row],[So với trước đây, tôi thấy cách tính thuế và các bậc thuế trong phương án mới đơn giản, dễ hiểu và dễ thực hiện hơn. - HUMAN-FAC2]]</f>
        <v>8</v>
      </c>
      <c r="AI359" t="str">
        <f t="shared" si="145"/>
        <v>Support</v>
      </c>
      <c r="AJ359" s="32">
        <f t="shared" si="146"/>
        <v>1</v>
      </c>
      <c r="AK359">
        <f>step3_validation[[#This Row],[AI_TRU1]]</f>
        <v>7</v>
      </c>
      <c r="AL359" t="str">
        <f t="shared" si="147"/>
        <v>Neutral</v>
      </c>
      <c r="AM359">
        <f>survey_responses[[#This Row],[Tôi tin rằng Nhà nước, cơ quan thuế sẽ thực thi chính sách mới một cách khách quan, công tâm và đối xử bình đẳng với mọi người nộp thuế.  - HUMAN-TRU1]]</f>
        <v>7</v>
      </c>
      <c r="AN359" t="str">
        <f t="shared" si="148"/>
        <v>Neutral</v>
      </c>
      <c r="AO359" s="32">
        <f t="shared" si="149"/>
        <v>0</v>
      </c>
      <c r="AP359">
        <f>step3_validation[[#This Row],[AI_TRU2]]</f>
        <v>8</v>
      </c>
      <c r="AQ359" t="str">
        <f t="shared" si="150"/>
        <v>Support</v>
      </c>
      <c r="AR359">
        <f>survey_responses[[#This Row],[Tôi thấy mức thuế tôi phải đóng theo phương án mới là công bằng (người thu nhập như tôi đóng mức này là hợp lý). - HUMAN-TRU2]]</f>
        <v>9</v>
      </c>
      <c r="AS359" t="str">
        <f t="shared" si="151"/>
        <v>Support</v>
      </c>
      <c r="AT359" s="32">
        <f t="shared" si="152"/>
        <v>1</v>
      </c>
      <c r="AU359">
        <f>step3_validation[[#This Row],[AI_TRU3]]</f>
        <v>6</v>
      </c>
      <c r="AV359" t="str">
        <f t="shared" si="153"/>
        <v>Neutral</v>
      </c>
      <c r="AW359">
        <f>survey_responses[[#This Row],[Tôi tin tưởng số tiền thuế tôi đóng sẽ được Nhà nước sử dụng hiệu quả để cải thiện dịch vụ công (y tế, đường xá...). - HUMAN-TRU3]]</f>
        <v>8</v>
      </c>
      <c r="AX359" t="str">
        <f t="shared" si="154"/>
        <v>Support</v>
      </c>
      <c r="AY359" s="32">
        <f t="shared" si="155"/>
        <v>2</v>
      </c>
      <c r="AZ359">
        <f>step3_validation[[#This Row],[AI_TRU4]]</f>
        <v>8</v>
      </c>
      <c r="BA359" t="str">
        <f t="shared" si="156"/>
        <v>Support</v>
      </c>
      <c r="BB359">
        <f>survey_responses[[#This Row],[Tôi thấy Nhà nước đã giải thích rõ ràng, minh bạch về lý do và mục tiêu của việc sửa đổi thuế lần này. - HUMAN-TRU4]]</f>
        <v>8</v>
      </c>
      <c r="BC359" t="str">
        <f t="shared" si="157"/>
        <v>Support</v>
      </c>
      <c r="BD359" s="32">
        <f t="shared" si="158"/>
        <v>0</v>
      </c>
      <c r="BE359">
        <f>step3_validation[[#This Row],[AI_OUT1]]</f>
        <v>9</v>
      </c>
      <c r="BF359" t="str">
        <f t="shared" si="159"/>
        <v>Support</v>
      </c>
      <c r="BG359">
        <f>survey_responses[[#This Row],[Sau khi xem xét các quyền lợi và nghĩa vụ, bạn có ủng hộ và tuân thủ chính sách mới hiện nay? - HUMAN-OUT1]]</f>
        <v>8</v>
      </c>
      <c r="BH359" t="str">
        <f t="shared" si="160"/>
        <v>Support</v>
      </c>
      <c r="BI359" s="32">
        <f t="shared" si="161"/>
        <v>1</v>
      </c>
    </row>
    <row r="360" spans="1:61" x14ac:dyDescent="0.45">
      <c r="A360" s="30">
        <f>step3_validation[[#This Row],[Persona_ID]]</f>
        <v>359</v>
      </c>
      <c r="B360" s="31">
        <f>step3_validation[[#This Row],[Used_Seed]]</f>
        <v>2384</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21.382339391772106</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7</v>
      </c>
      <c r="R360" t="str">
        <f t="shared" si="135"/>
        <v>Neutral</v>
      </c>
      <c r="S360">
        <f>survey_responses[[#This Row],[Tôi tin rằng với các quy định quản lý thuế hiện nay, hành vi gian lận hoặc trốn thuế sẽ dễ dàng bị phát hiện và xử lý nghiêm. - HUMAN-ENF1]]</f>
        <v>4</v>
      </c>
      <c r="T360" t="str">
        <f t="shared" si="136"/>
        <v>Oppose</v>
      </c>
      <c r="U360" s="32">
        <f t="shared" si="137"/>
        <v>3</v>
      </c>
      <c r="V360">
        <f>step3_validation[[#This Row],[AI_ENF2]]</f>
        <v>8</v>
      </c>
      <c r="W360" t="str">
        <f t="shared" si="138"/>
        <v>Support</v>
      </c>
      <c r="X360">
        <f>survey_responses[[#This Row],[Tôi tin rằng Nhà nước, cơ quan thuế có đủ khả năng và công nghệ để phát hiện, xử lý nghiêm các hành vi trốn thuế. - HUMAN-ENF2]]</f>
        <v>5</v>
      </c>
      <c r="Y360" t="str">
        <f t="shared" si="139"/>
        <v>Neutral</v>
      </c>
      <c r="Z360" s="32">
        <f t="shared" si="140"/>
        <v>3</v>
      </c>
      <c r="AA360">
        <f>step3_validation[[#This Row],[AI_FAC1]]</f>
        <v>9</v>
      </c>
      <c r="AB360" t="str">
        <f t="shared" si="141"/>
        <v>Support</v>
      </c>
      <c r="AC360">
        <f>survey_responses[[#This Row],[Các thủ tục khai báo thuế VÀ/HOẶC quy trình làm việc với cơ quan thuế đơn giản, tiện lợi, nhanh chóng hơn so với trước đây. - HUMAN-FAC1]]</f>
        <v>6</v>
      </c>
      <c r="AD360" t="str">
        <f t="shared" si="142"/>
        <v>Neutral</v>
      </c>
      <c r="AE360" s="32">
        <f t="shared" si="143"/>
        <v>3</v>
      </c>
      <c r="AF360">
        <f>step3_validation[[#This Row],[AI_FAC2]]</f>
        <v>9</v>
      </c>
      <c r="AG360" t="str">
        <f t="shared" si="144"/>
        <v>Support</v>
      </c>
      <c r="AH360">
        <f>survey_responses[[#This Row],[So với trước đây, tôi thấy cách tính thuế và các bậc thuế trong phương án mới đơn giản, dễ hiểu và dễ thực hiện hơn. - HUMAN-FAC2]]</f>
        <v>7</v>
      </c>
      <c r="AI360" t="str">
        <f t="shared" si="145"/>
        <v>Neutral</v>
      </c>
      <c r="AJ360" s="32">
        <f t="shared" si="146"/>
        <v>2</v>
      </c>
      <c r="AK360">
        <f>step3_validation[[#This Row],[AI_TRU1]]</f>
        <v>6</v>
      </c>
      <c r="AL360" t="str">
        <f t="shared" si="147"/>
        <v>Neutral</v>
      </c>
      <c r="AM360">
        <f>survey_responses[[#This Row],[Tôi tin rằng Nhà nước, cơ quan thuế sẽ thực thi chính sách mới một cách khách quan, công tâm và đối xử bình đẳng với mọi người nộp thuế.  - HUMAN-TRU1]]</f>
        <v>7</v>
      </c>
      <c r="AN360" t="str">
        <f t="shared" si="148"/>
        <v>Neutral</v>
      </c>
      <c r="AO360" s="32">
        <f t="shared" si="149"/>
        <v>1</v>
      </c>
      <c r="AP360">
        <f>step3_validation[[#This Row],[AI_TRU2]]</f>
        <v>8</v>
      </c>
      <c r="AQ360" t="str">
        <f t="shared" si="150"/>
        <v>Support</v>
      </c>
      <c r="AR360">
        <f>survey_responses[[#This Row],[Tôi thấy mức thuế tôi phải đóng theo phương án mới là công bằng (người thu nhập như tôi đóng mức này là hợp lý). - HUMAN-TRU2]]</f>
        <v>6</v>
      </c>
      <c r="AS360" t="str">
        <f t="shared" si="151"/>
        <v>Neutral</v>
      </c>
      <c r="AT360" s="32">
        <f t="shared" si="152"/>
        <v>2</v>
      </c>
      <c r="AU360">
        <f>step3_validation[[#This Row],[AI_TRU3]]</f>
        <v>7</v>
      </c>
      <c r="AV360" t="str">
        <f t="shared" si="153"/>
        <v>Neutral</v>
      </c>
      <c r="AW360">
        <f>survey_responses[[#This Row],[Tôi tin tưởng số tiền thuế tôi đóng sẽ được Nhà nước sử dụng hiệu quả để cải thiện dịch vụ công (y tế, đường xá...). - HUMAN-TRU3]]</f>
        <v>4</v>
      </c>
      <c r="AX360" t="str">
        <f t="shared" si="154"/>
        <v>Oppose</v>
      </c>
      <c r="AY360" s="32">
        <f t="shared" si="155"/>
        <v>3</v>
      </c>
      <c r="AZ360">
        <f>step3_validation[[#This Row],[AI_TRU4]]</f>
        <v>6</v>
      </c>
      <c r="BA360" t="str">
        <f t="shared" si="156"/>
        <v>Neutral</v>
      </c>
      <c r="BB360">
        <f>survey_responses[[#This Row],[Tôi thấy Nhà nước đã giải thích rõ ràng, minh bạch về lý do và mục tiêu của việc sửa đổi thuế lần này. - HUMAN-TRU4]]</f>
        <v>6</v>
      </c>
      <c r="BC360" t="str">
        <f t="shared" si="157"/>
        <v>Neutral</v>
      </c>
      <c r="BD360" s="32">
        <f t="shared" si="158"/>
        <v>0</v>
      </c>
      <c r="BE360">
        <f>step3_validation[[#This Row],[AI_OUT1]]</f>
        <v>9</v>
      </c>
      <c r="BF360" t="str">
        <f t="shared" si="159"/>
        <v>Support</v>
      </c>
      <c r="BG360">
        <f>survey_responses[[#This Row],[Sau khi xem xét các quyền lợi và nghĩa vụ, bạn có ủng hộ và tuân thủ chính sách mới hiện nay? - HUMAN-OUT1]]</f>
        <v>7</v>
      </c>
      <c r="BH360" t="str">
        <f t="shared" si="160"/>
        <v>Neutral</v>
      </c>
      <c r="BI360" s="32">
        <f t="shared" si="161"/>
        <v>2</v>
      </c>
    </row>
    <row r="361" spans="1:61" x14ac:dyDescent="0.45">
      <c r="A361" s="30">
        <f>step3_validation[[#This Row],[Persona_ID]]</f>
        <v>360</v>
      </c>
      <c r="B361" s="31">
        <f>step3_validation[[#This Row],[Used_Seed]]</f>
        <v>2385</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19.383792059341289</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6</v>
      </c>
      <c r="R361" t="str">
        <f t="shared" si="135"/>
        <v>Neutral</v>
      </c>
      <c r="S361">
        <f>survey_responses[[#This Row],[Tôi tin rằng với các quy định quản lý thuế hiện nay, hành vi gian lận hoặc trốn thuế sẽ dễ dàng bị phát hiện và xử lý nghiêm. - HUMAN-ENF1]]</f>
        <v>9</v>
      </c>
      <c r="T361" t="str">
        <f t="shared" si="136"/>
        <v>Support</v>
      </c>
      <c r="U361" s="32">
        <f t="shared" si="137"/>
        <v>3</v>
      </c>
      <c r="V361">
        <f>step3_validation[[#This Row],[AI_ENF2]]</f>
        <v>7</v>
      </c>
      <c r="W361" t="str">
        <f t="shared" si="138"/>
        <v>Neutral</v>
      </c>
      <c r="X361">
        <f>survey_responses[[#This Row],[Tôi tin rằng Nhà nước, cơ quan thuế có đủ khả năng và công nghệ để phát hiện, xử lý nghiêm các hành vi trốn thuế. - HUMAN-ENF2]]</f>
        <v>8</v>
      </c>
      <c r="Y361" t="str">
        <f t="shared" si="139"/>
        <v>Support</v>
      </c>
      <c r="Z361" s="32">
        <f t="shared" si="140"/>
        <v>1</v>
      </c>
      <c r="AA361">
        <f>step3_validation[[#This Row],[AI_FAC1]]</f>
        <v>9</v>
      </c>
      <c r="AB361" t="str">
        <f t="shared" si="141"/>
        <v>Support</v>
      </c>
      <c r="AC361">
        <f>survey_responses[[#This Row],[Các thủ tục khai báo thuế VÀ/HOẶC quy trình làm việc với cơ quan thuế đơn giản, tiện lợi, nhanh chóng hơn so với trước đây. - HUMAN-FAC1]]</f>
        <v>8</v>
      </c>
      <c r="AD361" t="str">
        <f t="shared" si="142"/>
        <v>Support</v>
      </c>
      <c r="AE361" s="32">
        <f t="shared" si="143"/>
        <v>1</v>
      </c>
      <c r="AF361">
        <f>step3_validation[[#This Row],[AI_FAC2]]</f>
        <v>8</v>
      </c>
      <c r="AG361" t="str">
        <f t="shared" si="144"/>
        <v>Support</v>
      </c>
      <c r="AH361">
        <f>survey_responses[[#This Row],[So với trước đây, tôi thấy cách tính thuế và các bậc thuế trong phương án mới đơn giản, dễ hiểu và dễ thực hiện hơn. - HUMAN-FAC2]]</f>
        <v>8</v>
      </c>
      <c r="AI361" t="str">
        <f t="shared" si="145"/>
        <v>Support</v>
      </c>
      <c r="AJ361" s="32">
        <f t="shared" si="146"/>
        <v>0</v>
      </c>
      <c r="AK361">
        <f>step3_validation[[#This Row],[AI_TRU1]]</f>
        <v>7</v>
      </c>
      <c r="AL361" t="str">
        <f t="shared" si="147"/>
        <v>Neutral</v>
      </c>
      <c r="AM361">
        <f>survey_responses[[#This Row],[Tôi tin rằng Nhà nước, cơ quan thuế sẽ thực thi chính sách mới một cách khách quan, công tâm và đối xử bình đẳng với mọi người nộp thuế.  - HUMAN-TRU1]]</f>
        <v>7</v>
      </c>
      <c r="AN361" t="str">
        <f t="shared" si="148"/>
        <v>Neutral</v>
      </c>
      <c r="AO361" s="32">
        <f t="shared" si="149"/>
        <v>0</v>
      </c>
      <c r="AP361">
        <f>step3_validation[[#This Row],[AI_TRU2]]</f>
        <v>8</v>
      </c>
      <c r="AQ361" t="str">
        <f t="shared" si="150"/>
        <v>Support</v>
      </c>
      <c r="AR361">
        <f>survey_responses[[#This Row],[Tôi thấy mức thuế tôi phải đóng theo phương án mới là công bằng (người thu nhập như tôi đóng mức này là hợp lý). - HUMAN-TRU2]]</f>
        <v>7</v>
      </c>
      <c r="AS361" t="str">
        <f t="shared" si="151"/>
        <v>Neutral</v>
      </c>
      <c r="AT361" s="32">
        <f t="shared" si="152"/>
        <v>1</v>
      </c>
      <c r="AU361">
        <f>step3_validation[[#This Row],[AI_TRU3]]</f>
        <v>6</v>
      </c>
      <c r="AV361" t="str">
        <f t="shared" si="153"/>
        <v>Neutral</v>
      </c>
      <c r="AW361">
        <f>survey_responses[[#This Row],[Tôi tin tưởng số tiền thuế tôi đóng sẽ được Nhà nước sử dụng hiệu quả để cải thiện dịch vụ công (y tế, đường xá...). - HUMAN-TRU3]]</f>
        <v>6</v>
      </c>
      <c r="AX361" t="str">
        <f t="shared" si="154"/>
        <v>Neutral</v>
      </c>
      <c r="AY361" s="32">
        <f t="shared" si="155"/>
        <v>0</v>
      </c>
      <c r="AZ361">
        <f>step3_validation[[#This Row],[AI_TRU4]]</f>
        <v>7</v>
      </c>
      <c r="BA361" t="str">
        <f t="shared" si="156"/>
        <v>Neutral</v>
      </c>
      <c r="BB361">
        <f>survey_responses[[#This Row],[Tôi thấy Nhà nước đã giải thích rõ ràng, minh bạch về lý do và mục tiêu của việc sửa đổi thuế lần này. - HUMAN-TRU4]]</f>
        <v>7</v>
      </c>
      <c r="BC361" t="str">
        <f t="shared" si="157"/>
        <v>Neutral</v>
      </c>
      <c r="BD361" s="32">
        <f t="shared" si="158"/>
        <v>0</v>
      </c>
      <c r="BE361">
        <f>step3_validation[[#This Row],[AI_OUT1]]</f>
        <v>9</v>
      </c>
      <c r="BF361" t="str">
        <f t="shared" si="159"/>
        <v>Support</v>
      </c>
      <c r="BG361">
        <f>survey_responses[[#This Row],[Sau khi xem xét các quyền lợi và nghĩa vụ, bạn có ủng hộ và tuân thủ chính sách mới hiện nay? - HUMAN-OUT1]]</f>
        <v>8</v>
      </c>
      <c r="BH361" t="str">
        <f t="shared" si="160"/>
        <v>Support</v>
      </c>
      <c r="BI361" s="32">
        <f t="shared" si="161"/>
        <v>1</v>
      </c>
    </row>
    <row r="362" spans="1:61" x14ac:dyDescent="0.45">
      <c r="A362" s="30">
        <f>step3_validation[[#This Row],[Persona_ID]]</f>
        <v>361</v>
      </c>
      <c r="B362" s="31">
        <f>step3_validation[[#This Row],[Used_Seed]]</f>
        <v>2386</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8</v>
      </c>
      <c r="R362" t="str">
        <f t="shared" si="135"/>
        <v>Support</v>
      </c>
      <c r="S362">
        <f>survey_responses[[#This Row],[Tôi tin rằng với các quy định quản lý thuế hiện nay, hành vi gian lận hoặc trốn thuế sẽ dễ dàng bị phát hiện và xử lý nghiêm. - HUMAN-ENF1]]</f>
        <v>7</v>
      </c>
      <c r="T362" t="str">
        <f t="shared" si="136"/>
        <v>Neutral</v>
      </c>
      <c r="U362" s="32">
        <f t="shared" si="137"/>
        <v>1</v>
      </c>
      <c r="V362">
        <f>step3_validation[[#This Row],[AI_ENF2]]</f>
        <v>9</v>
      </c>
      <c r="W362" t="str">
        <f t="shared" si="138"/>
        <v>Support</v>
      </c>
      <c r="X362">
        <f>survey_responses[[#This Row],[Tôi tin rằng Nhà nước, cơ quan thuế có đủ khả năng và công nghệ để phát hiện, xử lý nghiêm các hành vi trốn thuế. - HUMAN-ENF2]]</f>
        <v>7</v>
      </c>
      <c r="Y362" t="str">
        <f t="shared" si="139"/>
        <v>Neutral</v>
      </c>
      <c r="Z362" s="32">
        <f t="shared" si="140"/>
        <v>2</v>
      </c>
      <c r="AA362">
        <f>step3_validation[[#This Row],[AI_FAC1]]</f>
        <v>8</v>
      </c>
      <c r="AB362" t="str">
        <f t="shared" si="141"/>
        <v>Support</v>
      </c>
      <c r="AC362">
        <f>survey_responses[[#This Row],[Các thủ tục khai báo thuế VÀ/HOẶC quy trình làm việc với cơ quan thuế đơn giản, tiện lợi, nhanh chóng hơn so với trước đây. - HUMAN-FAC1]]</f>
        <v>8</v>
      </c>
      <c r="AD362" t="str">
        <f t="shared" si="142"/>
        <v>Support</v>
      </c>
      <c r="AE362" s="32">
        <f t="shared" si="143"/>
        <v>0</v>
      </c>
      <c r="AF362">
        <f>step3_validation[[#This Row],[AI_FAC2]]</f>
        <v>9</v>
      </c>
      <c r="AG362" t="str">
        <f t="shared" si="144"/>
        <v>Support</v>
      </c>
      <c r="AH362">
        <f>survey_responses[[#This Row],[So với trước đây, tôi thấy cách tính thuế và các bậc thuế trong phương án mới đơn giản, dễ hiểu và dễ thực hiện hơn. - HUMAN-FAC2]]</f>
        <v>9</v>
      </c>
      <c r="AI362" t="str">
        <f t="shared" si="145"/>
        <v>Support</v>
      </c>
      <c r="AJ362" s="32">
        <f t="shared" si="146"/>
        <v>0</v>
      </c>
      <c r="AK362">
        <f>step3_validation[[#This Row],[AI_TRU1]]</f>
        <v>8</v>
      </c>
      <c r="AL362" t="str">
        <f t="shared" si="147"/>
        <v>Support</v>
      </c>
      <c r="AM362">
        <f>survey_responses[[#This Row],[Tôi tin rằng Nhà nước, cơ quan thuế sẽ thực thi chính sách mới một cách khách quan, công tâm và đối xử bình đẳng với mọi người nộp thuế.  - HUMAN-TRU1]]</f>
        <v>7</v>
      </c>
      <c r="AN362" t="str">
        <f t="shared" si="148"/>
        <v>Neutral</v>
      </c>
      <c r="AO362" s="32">
        <f t="shared" si="149"/>
        <v>1</v>
      </c>
      <c r="AP362">
        <f>step3_validation[[#This Row],[AI_TRU2]]</f>
        <v>9</v>
      </c>
      <c r="AQ362" t="str">
        <f t="shared" si="150"/>
        <v>Support</v>
      </c>
      <c r="AR362">
        <f>survey_responses[[#This Row],[Tôi thấy mức thuế tôi phải đóng theo phương án mới là công bằng (người thu nhập như tôi đóng mức này là hợp lý). - HUMAN-TRU2]]</f>
        <v>10</v>
      </c>
      <c r="AS362" t="str">
        <f t="shared" si="151"/>
        <v>Support</v>
      </c>
      <c r="AT362" s="32">
        <f t="shared" si="152"/>
        <v>1</v>
      </c>
      <c r="AU362">
        <f>step3_validation[[#This Row],[AI_TRU3]]</f>
        <v>8</v>
      </c>
      <c r="AV362" t="str">
        <f t="shared" si="153"/>
        <v>Support</v>
      </c>
      <c r="AW362">
        <f>survey_responses[[#This Row],[Tôi tin tưởng số tiền thuế tôi đóng sẽ được Nhà nước sử dụng hiệu quả để cải thiện dịch vụ công (y tế, đường xá...). - HUMAN-TRU3]]</f>
        <v>8</v>
      </c>
      <c r="AX362" t="str">
        <f t="shared" si="154"/>
        <v>Support</v>
      </c>
      <c r="AY362" s="32">
        <f t="shared" si="155"/>
        <v>0</v>
      </c>
      <c r="AZ362">
        <f>step3_validation[[#This Row],[AI_TRU4]]</f>
        <v>9</v>
      </c>
      <c r="BA362" t="str">
        <f t="shared" si="156"/>
        <v>Support</v>
      </c>
      <c r="BB362">
        <f>survey_responses[[#This Row],[Tôi thấy Nhà nước đã giải thích rõ ràng, minh bạch về lý do và mục tiêu của việc sửa đổi thuế lần này. - HUMAN-TRU4]]</f>
        <v>8</v>
      </c>
      <c r="BC362" t="str">
        <f t="shared" si="157"/>
        <v>Support</v>
      </c>
      <c r="BD362" s="32">
        <f t="shared" si="158"/>
        <v>1</v>
      </c>
      <c r="BE362">
        <f>step3_validation[[#This Row],[AI_OUT1]]</f>
        <v>9</v>
      </c>
      <c r="BF362" t="str">
        <f t="shared" si="159"/>
        <v>Support</v>
      </c>
      <c r="BG362">
        <f>survey_responses[[#This Row],[Sau khi xem xét các quyền lợi và nghĩa vụ, bạn có ủng hộ và tuân thủ chính sách mới hiện nay? - HUMAN-OUT1]]</f>
        <v>10</v>
      </c>
      <c r="BH362" t="str">
        <f t="shared" si="160"/>
        <v>Support</v>
      </c>
      <c r="BI362" s="32">
        <f t="shared" si="161"/>
        <v>1</v>
      </c>
    </row>
    <row r="363" spans="1:61" x14ac:dyDescent="0.45">
      <c r="A363" s="30">
        <f>step3_validation[[#This Row],[Persona_ID]]</f>
        <v>362</v>
      </c>
      <c r="B363" s="31">
        <f>step3_validation[[#This Row],[Used_Seed]]</f>
        <v>2387</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14.668958082490249</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6</v>
      </c>
      <c r="R363" t="str">
        <f t="shared" si="135"/>
        <v>Neutral</v>
      </c>
      <c r="S363">
        <f>survey_responses[[#This Row],[Tôi tin rằng với các quy định quản lý thuế hiện nay, hành vi gian lận hoặc trốn thuế sẽ dễ dàng bị phát hiện và xử lý nghiêm. - HUMAN-ENF1]]</f>
        <v>3</v>
      </c>
      <c r="T363" t="str">
        <f t="shared" si="136"/>
        <v>Oppose</v>
      </c>
      <c r="U363" s="32">
        <f t="shared" si="137"/>
        <v>3</v>
      </c>
      <c r="V363">
        <f>step3_validation[[#This Row],[AI_ENF2]]</f>
        <v>5</v>
      </c>
      <c r="W363" t="str">
        <f t="shared" si="138"/>
        <v>Neutral</v>
      </c>
      <c r="X363">
        <f>survey_responses[[#This Row],[Tôi tin rằng Nhà nước, cơ quan thuế có đủ khả năng và công nghệ để phát hiện, xử lý nghiêm các hành vi trốn thuế. - HUMAN-ENF2]]</f>
        <v>3</v>
      </c>
      <c r="Y363" t="str">
        <f t="shared" si="139"/>
        <v>Oppose</v>
      </c>
      <c r="Z363" s="32">
        <f t="shared" si="140"/>
        <v>2</v>
      </c>
      <c r="AA363">
        <f>step3_validation[[#This Row],[AI_FAC1]]</f>
        <v>8</v>
      </c>
      <c r="AB363" t="str">
        <f t="shared" si="141"/>
        <v>Support</v>
      </c>
      <c r="AC363">
        <f>survey_responses[[#This Row],[Các thủ tục khai báo thuế VÀ/HOẶC quy trình làm việc với cơ quan thuế đơn giản, tiện lợi, nhanh chóng hơn so với trước đây. - HUMAN-FAC1]]</f>
        <v>5</v>
      </c>
      <c r="AD363" t="str">
        <f t="shared" si="142"/>
        <v>Neutral</v>
      </c>
      <c r="AE363" s="32">
        <f t="shared" si="143"/>
        <v>3</v>
      </c>
      <c r="AF363">
        <f>step3_validation[[#This Row],[AI_FAC2]]</f>
        <v>9</v>
      </c>
      <c r="AG363" t="str">
        <f t="shared" si="144"/>
        <v>Support</v>
      </c>
      <c r="AH363">
        <f>survey_responses[[#This Row],[So với trước đây, tôi thấy cách tính thuế và các bậc thuế trong phương án mới đơn giản, dễ hiểu và dễ thực hiện hơn. - HUMAN-FAC2]]</f>
        <v>6</v>
      </c>
      <c r="AI363" t="str">
        <f t="shared" si="145"/>
        <v>Neutral</v>
      </c>
      <c r="AJ363" s="32">
        <f t="shared" si="146"/>
        <v>3</v>
      </c>
      <c r="AK363">
        <f>step3_validation[[#This Row],[AI_TRU1]]</f>
        <v>8</v>
      </c>
      <c r="AL363" t="str">
        <f t="shared" si="147"/>
        <v>Support</v>
      </c>
      <c r="AM363">
        <f>survey_responses[[#This Row],[Tôi tin rằng Nhà nước, cơ quan thuế sẽ thực thi chính sách mới một cách khách quan, công tâm và đối xử bình đẳng với mọi người nộp thuế.  - HUMAN-TRU1]]</f>
        <v>5</v>
      </c>
      <c r="AN363" t="str">
        <f t="shared" si="148"/>
        <v>Neutral</v>
      </c>
      <c r="AO363" s="32">
        <f t="shared" si="149"/>
        <v>3</v>
      </c>
      <c r="AP363">
        <f>step3_validation[[#This Row],[AI_TRU2]]</f>
        <v>9</v>
      </c>
      <c r="AQ363" t="str">
        <f t="shared" si="150"/>
        <v>Support</v>
      </c>
      <c r="AR363">
        <f>survey_responses[[#This Row],[Tôi thấy mức thuế tôi phải đóng theo phương án mới là công bằng (người thu nhập như tôi đóng mức này là hợp lý). - HUMAN-TRU2]]</f>
        <v>6</v>
      </c>
      <c r="AS363" t="str">
        <f t="shared" si="151"/>
        <v>Neutral</v>
      </c>
      <c r="AT363" s="32">
        <f t="shared" si="152"/>
        <v>3</v>
      </c>
      <c r="AU363">
        <f>step3_validation[[#This Row],[AI_TRU3]]</f>
        <v>8</v>
      </c>
      <c r="AV363" t="str">
        <f t="shared" si="153"/>
        <v>Support</v>
      </c>
      <c r="AW363">
        <f>survey_responses[[#This Row],[Tôi tin tưởng số tiền thuế tôi đóng sẽ được Nhà nước sử dụng hiệu quả để cải thiện dịch vụ công (y tế, đường xá...). - HUMAN-TRU3]]</f>
        <v>4</v>
      </c>
      <c r="AX363" t="str">
        <f t="shared" si="154"/>
        <v>Oppose</v>
      </c>
      <c r="AY363" s="32">
        <f t="shared" si="155"/>
        <v>4</v>
      </c>
      <c r="AZ363">
        <f>step3_validation[[#This Row],[AI_TRU4]]</f>
        <v>7</v>
      </c>
      <c r="BA363" t="str">
        <f t="shared" si="156"/>
        <v>Neutral</v>
      </c>
      <c r="BB363">
        <f>survey_responses[[#This Row],[Tôi thấy Nhà nước đã giải thích rõ ràng, minh bạch về lý do và mục tiêu của việc sửa đổi thuế lần này. - HUMAN-TRU4]]</f>
        <v>6</v>
      </c>
      <c r="BC363" t="str">
        <f t="shared" si="157"/>
        <v>Neutral</v>
      </c>
      <c r="BD363" s="32">
        <f t="shared" si="158"/>
        <v>1</v>
      </c>
      <c r="BE363">
        <f>step3_validation[[#This Row],[AI_OUT1]]</f>
        <v>9</v>
      </c>
      <c r="BF363" t="str">
        <f t="shared" si="159"/>
        <v>Support</v>
      </c>
      <c r="BG363">
        <f>survey_responses[[#This Row],[Sau khi xem xét các quyền lợi và nghĩa vụ, bạn có ủng hộ và tuân thủ chính sách mới hiện nay? - HUMAN-OUT1]]</f>
        <v>6</v>
      </c>
      <c r="BH363" t="str">
        <f t="shared" si="160"/>
        <v>Neutral</v>
      </c>
      <c r="BI363" s="32">
        <f t="shared" si="161"/>
        <v>3</v>
      </c>
    </row>
    <row r="364" spans="1:61" x14ac:dyDescent="0.45">
      <c r="A364" s="30">
        <f>step3_validation[[#This Row],[Persona_ID]]</f>
        <v>363</v>
      </c>
      <c r="B364" s="31">
        <f>step3_validation[[#This Row],[Used_Seed]]</f>
        <v>2388</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28.41884086070387</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9</v>
      </c>
      <c r="R364" t="str">
        <f t="shared" si="135"/>
        <v>Support</v>
      </c>
      <c r="S364">
        <f>survey_responses[[#This Row],[Tôi tin rằng với các quy định quản lý thuế hiện nay, hành vi gian lận hoặc trốn thuế sẽ dễ dàng bị phát hiện và xử lý nghiêm. - HUMAN-ENF1]]</f>
        <v>8</v>
      </c>
      <c r="T364" t="str">
        <f t="shared" si="136"/>
        <v>Support</v>
      </c>
      <c r="U364" s="32">
        <f t="shared" si="137"/>
        <v>1</v>
      </c>
      <c r="V364">
        <f>step3_validation[[#This Row],[AI_ENF2]]</f>
        <v>8</v>
      </c>
      <c r="W364" t="str">
        <f t="shared" si="138"/>
        <v>Support</v>
      </c>
      <c r="X364">
        <f>survey_responses[[#This Row],[Tôi tin rằng Nhà nước, cơ quan thuế có đủ khả năng và công nghệ để phát hiện, xử lý nghiêm các hành vi trốn thuế. - HUMAN-ENF2]]</f>
        <v>8</v>
      </c>
      <c r="Y364" t="str">
        <f t="shared" si="139"/>
        <v>Support</v>
      </c>
      <c r="Z364" s="32">
        <f t="shared" si="140"/>
        <v>0</v>
      </c>
      <c r="AA364">
        <f>step3_validation[[#This Row],[AI_FAC1]]</f>
        <v>9</v>
      </c>
      <c r="AB364" t="str">
        <f t="shared" si="141"/>
        <v>Support</v>
      </c>
      <c r="AC364">
        <f>survey_responses[[#This Row],[Các thủ tục khai báo thuế VÀ/HOẶC quy trình làm việc với cơ quan thuế đơn giản, tiện lợi, nhanh chóng hơn so với trước đây. - HUMAN-FAC1]]</f>
        <v>5</v>
      </c>
      <c r="AD364" t="str">
        <f t="shared" si="142"/>
        <v>Neutral</v>
      </c>
      <c r="AE364" s="32">
        <f t="shared" si="143"/>
        <v>4</v>
      </c>
      <c r="AF364">
        <f>step3_validation[[#This Row],[AI_FAC2]]</f>
        <v>10</v>
      </c>
      <c r="AG364" t="str">
        <f t="shared" si="144"/>
        <v>Support</v>
      </c>
      <c r="AH364">
        <f>survey_responses[[#This Row],[So với trước đây, tôi thấy cách tính thuế và các bậc thuế trong phương án mới đơn giản, dễ hiểu và dễ thực hiện hơn. - HUMAN-FAC2]]</f>
        <v>7</v>
      </c>
      <c r="AI364" t="str">
        <f t="shared" si="145"/>
        <v>Neutral</v>
      </c>
      <c r="AJ364" s="32">
        <f t="shared" si="146"/>
        <v>3</v>
      </c>
      <c r="AK364">
        <f>step3_validation[[#This Row],[AI_TRU1]]</f>
        <v>9</v>
      </c>
      <c r="AL364" t="str">
        <f t="shared" si="147"/>
        <v>Support</v>
      </c>
      <c r="AM364">
        <f>survey_responses[[#This Row],[Tôi tin rằng Nhà nước, cơ quan thuế sẽ thực thi chính sách mới một cách khách quan, công tâm và đối xử bình đẳng với mọi người nộp thuế.  - HUMAN-TRU1]]</f>
        <v>5</v>
      </c>
      <c r="AN364" t="str">
        <f t="shared" si="148"/>
        <v>Neutral</v>
      </c>
      <c r="AO364" s="32">
        <f t="shared" si="149"/>
        <v>4</v>
      </c>
      <c r="AP364">
        <f>step3_validation[[#This Row],[AI_TRU2]]</f>
        <v>8</v>
      </c>
      <c r="AQ364" t="str">
        <f t="shared" si="150"/>
        <v>Support</v>
      </c>
      <c r="AR364">
        <f>survey_responses[[#This Row],[Tôi thấy mức thuế tôi phải đóng theo phương án mới là công bằng (người thu nhập như tôi đóng mức này là hợp lý). - HUMAN-TRU2]]</f>
        <v>8</v>
      </c>
      <c r="AS364" t="str">
        <f t="shared" si="151"/>
        <v>Support</v>
      </c>
      <c r="AT364" s="32">
        <f t="shared" si="152"/>
        <v>0</v>
      </c>
      <c r="AU364">
        <f>step3_validation[[#This Row],[AI_TRU3]]</f>
        <v>9</v>
      </c>
      <c r="AV364" t="str">
        <f t="shared" si="153"/>
        <v>Support</v>
      </c>
      <c r="AW364">
        <f>survey_responses[[#This Row],[Tôi tin tưởng số tiền thuế tôi đóng sẽ được Nhà nước sử dụng hiệu quả để cải thiện dịch vụ công (y tế, đường xá...). - HUMAN-TRU3]]</f>
        <v>5</v>
      </c>
      <c r="AX364" t="str">
        <f t="shared" si="154"/>
        <v>Neutral</v>
      </c>
      <c r="AY364" s="32">
        <f t="shared" si="155"/>
        <v>4</v>
      </c>
      <c r="AZ364">
        <f>step3_validation[[#This Row],[AI_TRU4]]</f>
        <v>8</v>
      </c>
      <c r="BA364" t="str">
        <f t="shared" si="156"/>
        <v>Support</v>
      </c>
      <c r="BB364">
        <f>survey_responses[[#This Row],[Tôi thấy Nhà nước đã giải thích rõ ràng, minh bạch về lý do và mục tiêu của việc sửa đổi thuế lần này. - HUMAN-TRU4]]</f>
        <v>7</v>
      </c>
      <c r="BC364" t="str">
        <f t="shared" si="157"/>
        <v>Neutral</v>
      </c>
      <c r="BD364" s="32">
        <f t="shared" si="158"/>
        <v>1</v>
      </c>
      <c r="BE364">
        <f>step3_validation[[#This Row],[AI_OUT1]]</f>
        <v>9</v>
      </c>
      <c r="BF364" t="str">
        <f t="shared" si="159"/>
        <v>Support</v>
      </c>
      <c r="BG364">
        <f>survey_responses[[#This Row],[Sau khi xem xét các quyền lợi và nghĩa vụ, bạn có ủng hộ và tuân thủ chính sách mới hiện nay? - HUMAN-OUT1]]</f>
        <v>8</v>
      </c>
      <c r="BH364" t="str">
        <f t="shared" si="160"/>
        <v>Support</v>
      </c>
      <c r="BI364" s="32">
        <f t="shared" si="161"/>
        <v>1</v>
      </c>
    </row>
    <row r="365" spans="1:61" x14ac:dyDescent="0.45">
      <c r="A365" s="30">
        <f>step3_validation[[#This Row],[Persona_ID]]</f>
        <v>364</v>
      </c>
      <c r="B365" s="31">
        <f>step3_validation[[#This Row],[Used_Seed]]</f>
        <v>2389</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20.371936796111957</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6</v>
      </c>
      <c r="R365" t="str">
        <f t="shared" si="135"/>
        <v>Neutral</v>
      </c>
      <c r="S365">
        <f>survey_responses[[#This Row],[Tôi tin rằng với các quy định quản lý thuế hiện nay, hành vi gian lận hoặc trốn thuế sẽ dễ dàng bị phát hiện và xử lý nghiêm. - HUMAN-ENF1]]</f>
        <v>4</v>
      </c>
      <c r="T365" t="str">
        <f t="shared" si="136"/>
        <v>Oppose</v>
      </c>
      <c r="U365" s="32">
        <f t="shared" si="137"/>
        <v>2</v>
      </c>
      <c r="V365">
        <f>step3_validation[[#This Row],[AI_ENF2]]</f>
        <v>7</v>
      </c>
      <c r="W365" t="str">
        <f t="shared" si="138"/>
        <v>Neutral</v>
      </c>
      <c r="X365">
        <f>survey_responses[[#This Row],[Tôi tin rằng Nhà nước, cơ quan thuế có đủ khả năng và công nghệ để phát hiện, xử lý nghiêm các hành vi trốn thuế. - HUMAN-ENF2]]</f>
        <v>5</v>
      </c>
      <c r="Y365" t="str">
        <f t="shared" si="139"/>
        <v>Neutral</v>
      </c>
      <c r="Z365" s="32">
        <f t="shared" si="140"/>
        <v>2</v>
      </c>
      <c r="AA365">
        <f>step3_validation[[#This Row],[AI_FAC1]]</f>
        <v>9</v>
      </c>
      <c r="AB365" t="str">
        <f t="shared" si="141"/>
        <v>Support</v>
      </c>
      <c r="AC365">
        <f>survey_responses[[#This Row],[Các thủ tục khai báo thuế VÀ/HOẶC quy trình làm việc với cơ quan thuế đơn giản, tiện lợi, nhanh chóng hơn so với trước đây. - HUMAN-FAC1]]</f>
        <v>5</v>
      </c>
      <c r="AD365" t="str">
        <f t="shared" si="142"/>
        <v>Neutral</v>
      </c>
      <c r="AE365" s="32">
        <f t="shared" si="143"/>
        <v>4</v>
      </c>
      <c r="AF365">
        <f>step3_validation[[#This Row],[AI_FAC2]]</f>
        <v>8</v>
      </c>
      <c r="AG365" t="str">
        <f t="shared" si="144"/>
        <v>Support</v>
      </c>
      <c r="AH365">
        <f>survey_responses[[#This Row],[So với trước đây, tôi thấy cách tính thuế và các bậc thuế trong phương án mới đơn giản, dễ hiểu và dễ thực hiện hơn. - HUMAN-FAC2]]</f>
        <v>7</v>
      </c>
      <c r="AI365" t="str">
        <f t="shared" si="145"/>
        <v>Neutral</v>
      </c>
      <c r="AJ365" s="32">
        <f t="shared" si="146"/>
        <v>1</v>
      </c>
      <c r="AK365">
        <f>step3_validation[[#This Row],[AI_TRU1]]</f>
        <v>6</v>
      </c>
      <c r="AL365" t="str">
        <f t="shared" si="147"/>
        <v>Neutral</v>
      </c>
      <c r="AM365">
        <f>survey_responses[[#This Row],[Tôi tin rằng Nhà nước, cơ quan thuế sẽ thực thi chính sách mới một cách khách quan, công tâm và đối xử bình đẳng với mọi người nộp thuế.  - HUMAN-TRU1]]</f>
        <v>5</v>
      </c>
      <c r="AN365" t="str">
        <f t="shared" si="148"/>
        <v>Neutral</v>
      </c>
      <c r="AO365" s="32">
        <f t="shared" si="149"/>
        <v>1</v>
      </c>
      <c r="AP365">
        <f>step3_validation[[#This Row],[AI_TRU2]]</f>
        <v>8</v>
      </c>
      <c r="AQ365" t="str">
        <f t="shared" si="150"/>
        <v>Support</v>
      </c>
      <c r="AR365">
        <f>survey_responses[[#This Row],[Tôi thấy mức thuế tôi phải đóng theo phương án mới là công bằng (người thu nhập như tôi đóng mức này là hợp lý). - HUMAN-TRU2]]</f>
        <v>7</v>
      </c>
      <c r="AS365" t="str">
        <f t="shared" si="151"/>
        <v>Neutral</v>
      </c>
      <c r="AT365" s="32">
        <f t="shared" si="152"/>
        <v>1</v>
      </c>
      <c r="AU365">
        <f>step3_validation[[#This Row],[AI_TRU3]]</f>
        <v>7</v>
      </c>
      <c r="AV365" t="str">
        <f t="shared" si="153"/>
        <v>Neutral</v>
      </c>
      <c r="AW365">
        <f>survey_responses[[#This Row],[Tôi tin tưởng số tiền thuế tôi đóng sẽ được Nhà nước sử dụng hiệu quả để cải thiện dịch vụ công (y tế, đường xá...). - HUMAN-TRU3]]</f>
        <v>5</v>
      </c>
      <c r="AX365" t="str">
        <f t="shared" si="154"/>
        <v>Neutral</v>
      </c>
      <c r="AY365" s="32">
        <f t="shared" si="155"/>
        <v>2</v>
      </c>
      <c r="AZ365">
        <f>step3_validation[[#This Row],[AI_TRU4]]</f>
        <v>8</v>
      </c>
      <c r="BA365" t="str">
        <f t="shared" si="156"/>
        <v>Support</v>
      </c>
      <c r="BB365">
        <f>survey_responses[[#This Row],[Tôi thấy Nhà nước đã giải thích rõ ràng, minh bạch về lý do và mục tiêu của việc sửa đổi thuế lần này. - HUMAN-TRU4]]</f>
        <v>6</v>
      </c>
      <c r="BC365" t="str">
        <f t="shared" si="157"/>
        <v>Neutral</v>
      </c>
      <c r="BD365" s="32">
        <f t="shared" si="158"/>
        <v>2</v>
      </c>
      <c r="BE365">
        <f>step3_validation[[#This Row],[AI_OUT1]]</f>
        <v>9</v>
      </c>
      <c r="BF365" t="str">
        <f t="shared" si="159"/>
        <v>Support</v>
      </c>
      <c r="BG365">
        <f>survey_responses[[#This Row],[Sau khi xem xét các quyền lợi và nghĩa vụ, bạn có ủng hộ và tuân thủ chính sách mới hiện nay? - HUMAN-OUT1]]</f>
        <v>7</v>
      </c>
      <c r="BH365" t="str">
        <f t="shared" si="160"/>
        <v>Neutral</v>
      </c>
      <c r="BI365" s="32">
        <f t="shared" si="161"/>
        <v>2</v>
      </c>
    </row>
    <row r="366" spans="1:61" x14ac:dyDescent="0.45">
      <c r="A366" s="30">
        <f>step3_validation[[#This Row],[Persona_ID]]</f>
        <v>365</v>
      </c>
      <c r="B366" s="31">
        <f>step3_validation[[#This Row],[Used_Seed]]</f>
        <v>2390</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38.514138274483862</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7</v>
      </c>
      <c r="R366" t="str">
        <f t="shared" si="135"/>
        <v>Neutral</v>
      </c>
      <c r="S366">
        <f>survey_responses[[#This Row],[Tôi tin rằng với các quy định quản lý thuế hiện nay, hành vi gian lận hoặc trốn thuế sẽ dễ dàng bị phát hiện và xử lý nghiêm. - HUMAN-ENF1]]</f>
        <v>9</v>
      </c>
      <c r="T366" t="str">
        <f t="shared" si="136"/>
        <v>Support</v>
      </c>
      <c r="U366" s="32">
        <f t="shared" si="137"/>
        <v>2</v>
      </c>
      <c r="V366">
        <f>step3_validation[[#This Row],[AI_ENF2]]</f>
        <v>6</v>
      </c>
      <c r="W366" t="str">
        <f t="shared" si="138"/>
        <v>Neutral</v>
      </c>
      <c r="X366">
        <f>survey_responses[[#This Row],[Tôi tin rằng Nhà nước, cơ quan thuế có đủ khả năng và công nghệ để phát hiện, xử lý nghiêm các hành vi trốn thuế. - HUMAN-ENF2]]</f>
        <v>9</v>
      </c>
      <c r="Y366" t="str">
        <f t="shared" si="139"/>
        <v>Support</v>
      </c>
      <c r="Z366" s="32">
        <f t="shared" si="140"/>
        <v>3</v>
      </c>
      <c r="AA366">
        <f>step3_validation[[#This Row],[AI_FAC1]]</f>
        <v>8</v>
      </c>
      <c r="AB366" t="str">
        <f t="shared" si="141"/>
        <v>Support</v>
      </c>
      <c r="AC366">
        <f>survey_responses[[#This Row],[Các thủ tục khai báo thuế VÀ/HOẶC quy trình làm việc với cơ quan thuế đơn giản, tiện lợi, nhanh chóng hơn so với trước đây. - HUMAN-FAC1]]</f>
        <v>8</v>
      </c>
      <c r="AD366" t="str">
        <f t="shared" si="142"/>
        <v>Support</v>
      </c>
      <c r="AE366" s="32">
        <f t="shared" si="143"/>
        <v>0</v>
      </c>
      <c r="AF366">
        <f>step3_validation[[#This Row],[AI_FAC2]]</f>
        <v>9</v>
      </c>
      <c r="AG366" t="str">
        <f t="shared" si="144"/>
        <v>Support</v>
      </c>
      <c r="AH366">
        <f>survey_responses[[#This Row],[So với trước đây, tôi thấy cách tính thuế và các bậc thuế trong phương án mới đơn giản, dễ hiểu và dễ thực hiện hơn. - HUMAN-FAC2]]</f>
        <v>9</v>
      </c>
      <c r="AI366" t="str">
        <f t="shared" si="145"/>
        <v>Support</v>
      </c>
      <c r="AJ366" s="32">
        <f t="shared" si="146"/>
        <v>0</v>
      </c>
      <c r="AK366">
        <f>step3_validation[[#This Row],[AI_TRU1]]</f>
        <v>7</v>
      </c>
      <c r="AL366" t="str">
        <f t="shared" si="147"/>
        <v>Neutral</v>
      </c>
      <c r="AM366">
        <f>survey_responses[[#This Row],[Tôi tin rằng Nhà nước, cơ quan thuế sẽ thực thi chính sách mới một cách khách quan, công tâm và đối xử bình đẳng với mọi người nộp thuế.  - HUMAN-TRU1]]</f>
        <v>9</v>
      </c>
      <c r="AN366" t="str">
        <f t="shared" si="148"/>
        <v>Support</v>
      </c>
      <c r="AO366" s="32">
        <f t="shared" si="149"/>
        <v>2</v>
      </c>
      <c r="AP366">
        <f>step3_validation[[#This Row],[AI_TRU2]]</f>
        <v>9</v>
      </c>
      <c r="AQ366" t="str">
        <f t="shared" si="150"/>
        <v>Support</v>
      </c>
      <c r="AR366">
        <f>survey_responses[[#This Row],[Tôi thấy mức thuế tôi phải đóng theo phương án mới là công bằng (người thu nhập như tôi đóng mức này là hợp lý). - HUMAN-TRU2]]</f>
        <v>7</v>
      </c>
      <c r="AS366" t="str">
        <f t="shared" si="151"/>
        <v>Neutral</v>
      </c>
      <c r="AT366" s="32">
        <f t="shared" si="152"/>
        <v>2</v>
      </c>
      <c r="AU366">
        <f>step3_validation[[#This Row],[AI_TRU3]]</f>
        <v>7</v>
      </c>
      <c r="AV366" t="str">
        <f t="shared" si="153"/>
        <v>Neutral</v>
      </c>
      <c r="AW366">
        <f>survey_responses[[#This Row],[Tôi tin tưởng số tiền thuế tôi đóng sẽ được Nhà nước sử dụng hiệu quả để cải thiện dịch vụ công (y tế, đường xá...). - HUMAN-TRU3]]</f>
        <v>7</v>
      </c>
      <c r="AX366" t="str">
        <f t="shared" si="154"/>
        <v>Neutral</v>
      </c>
      <c r="AY366" s="32">
        <f t="shared" si="155"/>
        <v>0</v>
      </c>
      <c r="AZ366">
        <f>step3_validation[[#This Row],[AI_TRU4]]</f>
        <v>8</v>
      </c>
      <c r="BA366" t="str">
        <f t="shared" si="156"/>
        <v>Support</v>
      </c>
      <c r="BB366">
        <f>survey_responses[[#This Row],[Tôi thấy Nhà nước đã giải thích rõ ràng, minh bạch về lý do và mục tiêu của việc sửa đổi thuế lần này. - HUMAN-TRU4]]</f>
        <v>7</v>
      </c>
      <c r="BC366" t="str">
        <f t="shared" si="157"/>
        <v>Neutral</v>
      </c>
      <c r="BD366" s="32">
        <f t="shared" si="158"/>
        <v>1</v>
      </c>
      <c r="BE366">
        <f>step3_validation[[#This Row],[AI_OUT1]]</f>
        <v>9</v>
      </c>
      <c r="BF366" t="str">
        <f t="shared" si="159"/>
        <v>Support</v>
      </c>
      <c r="BG366">
        <f>survey_responses[[#This Row],[Sau khi xem xét các quyền lợi và nghĩa vụ, bạn có ủng hộ và tuân thủ chính sách mới hiện nay? - HUMAN-OUT1]]</f>
        <v>7</v>
      </c>
      <c r="BH366" t="str">
        <f t="shared" si="160"/>
        <v>Neutral</v>
      </c>
      <c r="BI366" s="32">
        <f t="shared" si="161"/>
        <v>2</v>
      </c>
    </row>
    <row r="367" spans="1:61" x14ac:dyDescent="0.45">
      <c r="A367" s="30">
        <f>step3_validation[[#This Row],[Persona_ID]]</f>
        <v>366</v>
      </c>
      <c r="B367" s="31">
        <f>step3_validation[[#This Row],[Used_Seed]]</f>
        <v>2391</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65.135412103010992</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7</v>
      </c>
      <c r="R367" t="str">
        <f t="shared" si="135"/>
        <v>Neutral</v>
      </c>
      <c r="S367">
        <f>survey_responses[[#This Row],[Tôi tin rằng với các quy định quản lý thuế hiện nay, hành vi gian lận hoặc trốn thuế sẽ dễ dàng bị phát hiện và xử lý nghiêm. - HUMAN-ENF1]]</f>
        <v>7</v>
      </c>
      <c r="T367" t="str">
        <f t="shared" si="136"/>
        <v>Neutral</v>
      </c>
      <c r="U367" s="32">
        <f t="shared" si="137"/>
        <v>0</v>
      </c>
      <c r="V367">
        <f>step3_validation[[#This Row],[AI_ENF2]]</f>
        <v>8</v>
      </c>
      <c r="W367" t="str">
        <f t="shared" si="138"/>
        <v>Support</v>
      </c>
      <c r="X367">
        <f>survey_responses[[#This Row],[Tôi tin rằng Nhà nước, cơ quan thuế có đủ khả năng và công nghệ để phát hiện, xử lý nghiêm các hành vi trốn thuế. - HUMAN-ENF2]]</f>
        <v>8</v>
      </c>
      <c r="Y367" t="str">
        <f t="shared" si="139"/>
        <v>Support</v>
      </c>
      <c r="Z367" s="32">
        <f t="shared" si="140"/>
        <v>0</v>
      </c>
      <c r="AA367">
        <f>step3_validation[[#This Row],[AI_FAC1]]</f>
        <v>6</v>
      </c>
      <c r="AB367" t="str">
        <f t="shared" si="141"/>
        <v>Neutral</v>
      </c>
      <c r="AC367">
        <f>survey_responses[[#This Row],[Các thủ tục khai báo thuế VÀ/HOẶC quy trình làm việc với cơ quan thuế đơn giản, tiện lợi, nhanh chóng hơn so với trước đây. - HUMAN-FAC1]]</f>
        <v>8</v>
      </c>
      <c r="AD367" t="str">
        <f t="shared" si="142"/>
        <v>Support</v>
      </c>
      <c r="AE367" s="32">
        <f t="shared" si="143"/>
        <v>2</v>
      </c>
      <c r="AF367">
        <f>step3_validation[[#This Row],[AI_FAC2]]</f>
        <v>9</v>
      </c>
      <c r="AG367" t="str">
        <f t="shared" si="144"/>
        <v>Support</v>
      </c>
      <c r="AH367">
        <f>survey_responses[[#This Row],[So với trước đây, tôi thấy cách tính thuế và các bậc thuế trong phương án mới đơn giản, dễ hiểu và dễ thực hiện hơn. - HUMAN-FAC2]]</f>
        <v>8</v>
      </c>
      <c r="AI367" t="str">
        <f t="shared" si="145"/>
        <v>Support</v>
      </c>
      <c r="AJ367" s="32">
        <f t="shared" si="146"/>
        <v>1</v>
      </c>
      <c r="AK367">
        <f>step3_validation[[#This Row],[AI_TRU1]]</f>
        <v>7</v>
      </c>
      <c r="AL367" t="str">
        <f t="shared" si="147"/>
        <v>Neutral</v>
      </c>
      <c r="AM367">
        <f>survey_responses[[#This Row],[Tôi tin rằng Nhà nước, cơ quan thuế sẽ thực thi chính sách mới một cách khách quan, công tâm và đối xử bình đẳng với mọi người nộp thuế.  - HUMAN-TRU1]]</f>
        <v>5</v>
      </c>
      <c r="AN367" t="str">
        <f t="shared" si="148"/>
        <v>Neutral</v>
      </c>
      <c r="AO367" s="32">
        <f t="shared" si="149"/>
        <v>2</v>
      </c>
      <c r="AP367">
        <f>step3_validation[[#This Row],[AI_TRU2]]</f>
        <v>7</v>
      </c>
      <c r="AQ367" t="str">
        <f t="shared" si="150"/>
        <v>Neutral</v>
      </c>
      <c r="AR367">
        <f>survey_responses[[#This Row],[Tôi thấy mức thuế tôi phải đóng theo phương án mới là công bằng (người thu nhập như tôi đóng mức này là hợp lý). - HUMAN-TRU2]]</f>
        <v>6</v>
      </c>
      <c r="AS367" t="str">
        <f t="shared" si="151"/>
        <v>Neutral</v>
      </c>
      <c r="AT367" s="32">
        <f t="shared" si="152"/>
        <v>1</v>
      </c>
      <c r="AU367">
        <f>step3_validation[[#This Row],[AI_TRU3]]</f>
        <v>6</v>
      </c>
      <c r="AV367" t="str">
        <f t="shared" si="153"/>
        <v>Neutral</v>
      </c>
      <c r="AW367">
        <f>survey_responses[[#This Row],[Tôi tin tưởng số tiền thuế tôi đóng sẽ được Nhà nước sử dụng hiệu quả để cải thiện dịch vụ công (y tế, đường xá...). - HUMAN-TRU3]]</f>
        <v>5</v>
      </c>
      <c r="AX367" t="str">
        <f t="shared" si="154"/>
        <v>Neutral</v>
      </c>
      <c r="AY367" s="32">
        <f t="shared" si="155"/>
        <v>1</v>
      </c>
      <c r="AZ367">
        <f>step3_validation[[#This Row],[AI_TRU4]]</f>
        <v>8</v>
      </c>
      <c r="BA367" t="str">
        <f t="shared" si="156"/>
        <v>Support</v>
      </c>
      <c r="BB367">
        <f>survey_responses[[#This Row],[Tôi thấy Nhà nước đã giải thích rõ ràng, minh bạch về lý do và mục tiêu của việc sửa đổi thuế lần này. - HUMAN-TRU4]]</f>
        <v>6</v>
      </c>
      <c r="BC367" t="str">
        <f t="shared" si="157"/>
        <v>Neutral</v>
      </c>
      <c r="BD367" s="32">
        <f t="shared" si="158"/>
        <v>2</v>
      </c>
      <c r="BE367">
        <f>step3_validation[[#This Row],[AI_OUT1]]</f>
        <v>7</v>
      </c>
      <c r="BF367" t="str">
        <f t="shared" si="159"/>
        <v>Neutral</v>
      </c>
      <c r="BG367">
        <f>survey_responses[[#This Row],[Sau khi xem xét các quyền lợi và nghĩa vụ, bạn có ủng hộ và tuân thủ chính sách mới hiện nay? - HUMAN-OUT1]]</f>
        <v>6</v>
      </c>
      <c r="BH367" t="str">
        <f t="shared" si="160"/>
        <v>Neutral</v>
      </c>
      <c r="BI367" s="32">
        <f t="shared" si="161"/>
        <v>1</v>
      </c>
    </row>
    <row r="368" spans="1:61" x14ac:dyDescent="0.45">
      <c r="A368" s="30">
        <f>step3_validation[[#This Row],[Persona_ID]]</f>
        <v>367</v>
      </c>
      <c r="B368" s="31">
        <f>step3_validation[[#This Row],[Used_Seed]]</f>
        <v>2392</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16.892988370761596</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5</v>
      </c>
      <c r="R368" t="str">
        <f t="shared" si="135"/>
        <v>Neutral</v>
      </c>
      <c r="S368">
        <f>survey_responses[[#This Row],[Tôi tin rằng với các quy định quản lý thuế hiện nay, hành vi gian lận hoặc trốn thuế sẽ dễ dàng bị phát hiện và xử lý nghiêm. - HUMAN-ENF1]]</f>
        <v>8</v>
      </c>
      <c r="T368" t="str">
        <f t="shared" si="136"/>
        <v>Support</v>
      </c>
      <c r="U368" s="32">
        <f t="shared" si="137"/>
        <v>3</v>
      </c>
      <c r="V368">
        <f>step3_validation[[#This Row],[AI_ENF2]]</f>
        <v>7</v>
      </c>
      <c r="W368" t="str">
        <f t="shared" si="138"/>
        <v>Neutral</v>
      </c>
      <c r="X368">
        <f>survey_responses[[#This Row],[Tôi tin rằng Nhà nước, cơ quan thuế có đủ khả năng và công nghệ để phát hiện, xử lý nghiêm các hành vi trốn thuế. - HUMAN-ENF2]]</f>
        <v>9</v>
      </c>
      <c r="Y368" t="str">
        <f t="shared" si="139"/>
        <v>Support</v>
      </c>
      <c r="Z368" s="32">
        <f t="shared" si="140"/>
        <v>2</v>
      </c>
      <c r="AA368">
        <f>step3_validation[[#This Row],[AI_FAC1]]</f>
        <v>8</v>
      </c>
      <c r="AB368" t="str">
        <f t="shared" si="141"/>
        <v>Support</v>
      </c>
      <c r="AC368">
        <f>survey_responses[[#This Row],[Các thủ tục khai báo thuế VÀ/HOẶC quy trình làm việc với cơ quan thuế đơn giản, tiện lợi, nhanh chóng hơn so với trước đây. - HUMAN-FAC1]]</f>
        <v>8</v>
      </c>
      <c r="AD368" t="str">
        <f t="shared" si="142"/>
        <v>Support</v>
      </c>
      <c r="AE368" s="32">
        <f t="shared" si="143"/>
        <v>0</v>
      </c>
      <c r="AF368">
        <f>step3_validation[[#This Row],[AI_FAC2]]</f>
        <v>9</v>
      </c>
      <c r="AG368" t="str">
        <f t="shared" si="144"/>
        <v>Support</v>
      </c>
      <c r="AH368">
        <f>survey_responses[[#This Row],[So với trước đây, tôi thấy cách tính thuế và các bậc thuế trong phương án mới đơn giản, dễ hiểu và dễ thực hiện hơn. - HUMAN-FAC2]]</f>
        <v>8</v>
      </c>
      <c r="AI368" t="str">
        <f t="shared" si="145"/>
        <v>Support</v>
      </c>
      <c r="AJ368" s="32">
        <f t="shared" si="146"/>
        <v>1</v>
      </c>
      <c r="AK368">
        <f>step3_validation[[#This Row],[AI_TRU1]]</f>
        <v>6</v>
      </c>
      <c r="AL368" t="str">
        <f t="shared" si="147"/>
        <v>Neutral</v>
      </c>
      <c r="AM368">
        <f>survey_responses[[#This Row],[Tôi tin rằng Nhà nước, cơ quan thuế sẽ thực thi chính sách mới một cách khách quan, công tâm và đối xử bình đẳng với mọi người nộp thuế.  - HUMAN-TRU1]]</f>
        <v>9</v>
      </c>
      <c r="AN368" t="str">
        <f t="shared" si="148"/>
        <v>Support</v>
      </c>
      <c r="AO368" s="32">
        <f t="shared" si="149"/>
        <v>3</v>
      </c>
      <c r="AP368">
        <f>step3_validation[[#This Row],[AI_TRU2]]</f>
        <v>8</v>
      </c>
      <c r="AQ368" t="str">
        <f t="shared" si="150"/>
        <v>Support</v>
      </c>
      <c r="AR368">
        <f>survey_responses[[#This Row],[Tôi thấy mức thuế tôi phải đóng theo phương án mới là công bằng (người thu nhập như tôi đóng mức này là hợp lý). - HUMAN-TRU2]]</f>
        <v>10</v>
      </c>
      <c r="AS368" t="str">
        <f t="shared" si="151"/>
        <v>Support</v>
      </c>
      <c r="AT368" s="32">
        <f t="shared" si="152"/>
        <v>2</v>
      </c>
      <c r="AU368">
        <f>step3_validation[[#This Row],[AI_TRU3]]</f>
        <v>7</v>
      </c>
      <c r="AV368" t="str">
        <f t="shared" si="153"/>
        <v>Neutral</v>
      </c>
      <c r="AW368">
        <f>survey_responses[[#This Row],[Tôi tin tưởng số tiền thuế tôi đóng sẽ được Nhà nước sử dụng hiệu quả để cải thiện dịch vụ công (y tế, đường xá...). - HUMAN-TRU3]]</f>
        <v>10</v>
      </c>
      <c r="AX368" t="str">
        <f t="shared" si="154"/>
        <v>Support</v>
      </c>
      <c r="AY368" s="32">
        <f t="shared" si="155"/>
        <v>3</v>
      </c>
      <c r="AZ368">
        <f>step3_validation[[#This Row],[AI_TRU4]]</f>
        <v>8</v>
      </c>
      <c r="BA368" t="str">
        <f t="shared" si="156"/>
        <v>Support</v>
      </c>
      <c r="BB368">
        <f>survey_responses[[#This Row],[Tôi thấy Nhà nước đã giải thích rõ ràng, minh bạch về lý do và mục tiêu của việc sửa đổi thuế lần này. - HUMAN-TRU4]]</f>
        <v>9</v>
      </c>
      <c r="BC368" t="str">
        <f t="shared" si="157"/>
        <v>Support</v>
      </c>
      <c r="BD368" s="32">
        <f t="shared" si="158"/>
        <v>1</v>
      </c>
      <c r="BE368">
        <f>step3_validation[[#This Row],[AI_OUT1]]</f>
        <v>9</v>
      </c>
      <c r="BF368" t="str">
        <f t="shared" si="159"/>
        <v>Support</v>
      </c>
      <c r="BG368">
        <f>survey_responses[[#This Row],[Sau khi xem xét các quyền lợi và nghĩa vụ, bạn có ủng hộ và tuân thủ chính sách mới hiện nay? - HUMAN-OUT1]]</f>
        <v>10</v>
      </c>
      <c r="BH368" t="str">
        <f t="shared" si="160"/>
        <v>Support</v>
      </c>
      <c r="BI368" s="32">
        <f t="shared" si="161"/>
        <v>1</v>
      </c>
    </row>
    <row r="369" spans="1:61" x14ac:dyDescent="0.45">
      <c r="A369" s="30">
        <f>step3_validation[[#This Row],[Persona_ID]]</f>
        <v>368</v>
      </c>
      <c r="B369" s="31">
        <f>step3_validation[[#This Row],[Used_Seed]]</f>
        <v>2393</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23.605855353203044</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6</v>
      </c>
      <c r="R369" t="str">
        <f t="shared" si="135"/>
        <v>Neutral</v>
      </c>
      <c r="S369">
        <f>survey_responses[[#This Row],[Tôi tin rằng với các quy định quản lý thuế hiện nay, hành vi gian lận hoặc trốn thuế sẽ dễ dàng bị phát hiện và xử lý nghiêm. - HUMAN-ENF1]]</f>
        <v>7</v>
      </c>
      <c r="T369" t="str">
        <f t="shared" si="136"/>
        <v>Neutral</v>
      </c>
      <c r="U369" s="32">
        <f t="shared" si="137"/>
        <v>1</v>
      </c>
      <c r="V369">
        <f>step3_validation[[#This Row],[AI_ENF2]]</f>
        <v>8</v>
      </c>
      <c r="W369" t="str">
        <f t="shared" si="138"/>
        <v>Support</v>
      </c>
      <c r="X369">
        <f>survey_responses[[#This Row],[Tôi tin rằng Nhà nước, cơ quan thuế có đủ khả năng và công nghệ để phát hiện, xử lý nghiêm các hành vi trốn thuế. - HUMAN-ENF2]]</f>
        <v>7</v>
      </c>
      <c r="Y369" t="str">
        <f t="shared" si="139"/>
        <v>Neutral</v>
      </c>
      <c r="Z369" s="32">
        <f t="shared" si="140"/>
        <v>1</v>
      </c>
      <c r="AA369">
        <f>step3_validation[[#This Row],[AI_FAC1]]</f>
        <v>9</v>
      </c>
      <c r="AB369" t="str">
        <f t="shared" si="141"/>
        <v>Support</v>
      </c>
      <c r="AC369">
        <f>survey_responses[[#This Row],[Các thủ tục khai báo thuế VÀ/HOẶC quy trình làm việc với cơ quan thuế đơn giản, tiện lợi, nhanh chóng hơn so với trước đây. - HUMAN-FAC1]]</f>
        <v>8</v>
      </c>
      <c r="AD369" t="str">
        <f t="shared" si="142"/>
        <v>Support</v>
      </c>
      <c r="AE369" s="32">
        <f t="shared" si="143"/>
        <v>1</v>
      </c>
      <c r="AF369">
        <f>step3_validation[[#This Row],[AI_FAC2]]</f>
        <v>9</v>
      </c>
      <c r="AG369" t="str">
        <f t="shared" si="144"/>
        <v>Support</v>
      </c>
      <c r="AH369">
        <f>survey_responses[[#This Row],[So với trước đây, tôi thấy cách tính thuế và các bậc thuế trong phương án mới đơn giản, dễ hiểu và dễ thực hiện hơn. - HUMAN-FAC2]]</f>
        <v>8</v>
      </c>
      <c r="AI369" t="str">
        <f t="shared" si="145"/>
        <v>Support</v>
      </c>
      <c r="AJ369" s="32">
        <f t="shared" si="146"/>
        <v>1</v>
      </c>
      <c r="AK369">
        <f>step3_validation[[#This Row],[AI_TRU1]]</f>
        <v>8</v>
      </c>
      <c r="AL369" t="str">
        <f t="shared" si="147"/>
        <v>Support</v>
      </c>
      <c r="AM369">
        <f>survey_responses[[#This Row],[Tôi tin rằng Nhà nước, cơ quan thuế sẽ thực thi chính sách mới một cách khách quan, công tâm và đối xử bình đẳng với mọi người nộp thuế.  - HUMAN-TRU1]]</f>
        <v>6</v>
      </c>
      <c r="AN369" t="str">
        <f t="shared" si="148"/>
        <v>Neutral</v>
      </c>
      <c r="AO369" s="32">
        <f t="shared" si="149"/>
        <v>2</v>
      </c>
      <c r="AP369">
        <f>step3_validation[[#This Row],[AI_TRU2]]</f>
        <v>9</v>
      </c>
      <c r="AQ369" t="str">
        <f t="shared" si="150"/>
        <v>Support</v>
      </c>
      <c r="AR369">
        <f>survey_responses[[#This Row],[Tôi thấy mức thuế tôi phải đóng theo phương án mới là công bằng (người thu nhập như tôi đóng mức này là hợp lý). - HUMAN-TRU2]]</f>
        <v>8</v>
      </c>
      <c r="AS369" t="str">
        <f t="shared" si="151"/>
        <v>Support</v>
      </c>
      <c r="AT369" s="32">
        <f t="shared" si="152"/>
        <v>1</v>
      </c>
      <c r="AU369">
        <f>step3_validation[[#This Row],[AI_TRU3]]</f>
        <v>8</v>
      </c>
      <c r="AV369" t="str">
        <f t="shared" si="153"/>
        <v>Support</v>
      </c>
      <c r="AW369">
        <f>survey_responses[[#This Row],[Tôi tin tưởng số tiền thuế tôi đóng sẽ được Nhà nước sử dụng hiệu quả để cải thiện dịch vụ công (y tế, đường xá...). - HUMAN-TRU3]]</f>
        <v>6</v>
      </c>
      <c r="AX369" t="str">
        <f t="shared" si="154"/>
        <v>Neutral</v>
      </c>
      <c r="AY369" s="32">
        <f t="shared" si="155"/>
        <v>2</v>
      </c>
      <c r="AZ369">
        <f>step3_validation[[#This Row],[AI_TRU4]]</f>
        <v>9</v>
      </c>
      <c r="BA369" t="str">
        <f t="shared" si="156"/>
        <v>Support</v>
      </c>
      <c r="BB369">
        <f>survey_responses[[#This Row],[Tôi thấy Nhà nước đã giải thích rõ ràng, minh bạch về lý do và mục tiêu của việc sửa đổi thuế lần này. - HUMAN-TRU4]]</f>
        <v>7</v>
      </c>
      <c r="BC369" t="str">
        <f t="shared" si="157"/>
        <v>Neutral</v>
      </c>
      <c r="BD369" s="32">
        <f t="shared" si="158"/>
        <v>2</v>
      </c>
      <c r="BE369">
        <f>step3_validation[[#This Row],[AI_OUT1]]</f>
        <v>8</v>
      </c>
      <c r="BF369" t="str">
        <f t="shared" si="159"/>
        <v>Support</v>
      </c>
      <c r="BG369">
        <f>survey_responses[[#This Row],[Sau khi xem xét các quyền lợi và nghĩa vụ, bạn có ủng hộ và tuân thủ chính sách mới hiện nay? - HUMAN-OUT1]]</f>
        <v>8</v>
      </c>
      <c r="BH369" t="str">
        <f t="shared" si="160"/>
        <v>Support</v>
      </c>
      <c r="BI369" s="32">
        <f t="shared" si="161"/>
        <v>0</v>
      </c>
    </row>
    <row r="370" spans="1:61" x14ac:dyDescent="0.45">
      <c r="A370" s="30">
        <f>step3_validation[[#This Row],[Persona_ID]]</f>
        <v>369</v>
      </c>
      <c r="B370" s="31">
        <f>step3_validation[[#This Row],[Used_Seed]]</f>
        <v>2394</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14.720926236722081</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6</v>
      </c>
      <c r="R370" t="str">
        <f t="shared" si="135"/>
        <v>Neutral</v>
      </c>
      <c r="S370">
        <f>survey_responses[[#This Row],[Tôi tin rằng với các quy định quản lý thuế hiện nay, hành vi gian lận hoặc trốn thuế sẽ dễ dàng bị phát hiện và xử lý nghiêm. - HUMAN-ENF1]]</f>
        <v>6</v>
      </c>
      <c r="T370" t="str">
        <f t="shared" si="136"/>
        <v>Neutral</v>
      </c>
      <c r="U370" s="32">
        <f t="shared" si="137"/>
        <v>0</v>
      </c>
      <c r="V370">
        <f>step3_validation[[#This Row],[AI_ENF2]]</f>
        <v>7</v>
      </c>
      <c r="W370" t="str">
        <f t="shared" si="138"/>
        <v>Neutral</v>
      </c>
      <c r="X370">
        <f>survey_responses[[#This Row],[Tôi tin rằng Nhà nước, cơ quan thuế có đủ khả năng và công nghệ để phát hiện, xử lý nghiêm các hành vi trốn thuế. - HUMAN-ENF2]]</f>
        <v>6</v>
      </c>
      <c r="Y370" t="str">
        <f t="shared" si="139"/>
        <v>Neutral</v>
      </c>
      <c r="Z370" s="32">
        <f t="shared" si="140"/>
        <v>1</v>
      </c>
      <c r="AA370">
        <f>step3_validation[[#This Row],[AI_FAC1]]</f>
        <v>9</v>
      </c>
      <c r="AB370" t="str">
        <f t="shared" si="141"/>
        <v>Support</v>
      </c>
      <c r="AC370">
        <f>survey_responses[[#This Row],[Các thủ tục khai báo thuế VÀ/HOẶC quy trình làm việc với cơ quan thuế đơn giản, tiện lợi, nhanh chóng hơn so với trước đây. - HUMAN-FAC1]]</f>
        <v>8</v>
      </c>
      <c r="AD370" t="str">
        <f t="shared" si="142"/>
        <v>Support</v>
      </c>
      <c r="AE370" s="32">
        <f t="shared" si="143"/>
        <v>1</v>
      </c>
      <c r="AF370">
        <f>step3_validation[[#This Row],[AI_FAC2]]</f>
        <v>8</v>
      </c>
      <c r="AG370" t="str">
        <f t="shared" si="144"/>
        <v>Support</v>
      </c>
      <c r="AH370">
        <f>survey_responses[[#This Row],[So với trước đây, tôi thấy cách tính thuế và các bậc thuế trong phương án mới đơn giản, dễ hiểu và dễ thực hiện hơn. - HUMAN-FAC2]]</f>
        <v>9</v>
      </c>
      <c r="AI370" t="str">
        <f t="shared" si="145"/>
        <v>Support</v>
      </c>
      <c r="AJ370" s="32">
        <f t="shared" si="146"/>
        <v>1</v>
      </c>
      <c r="AK370">
        <f>step3_validation[[#This Row],[AI_TRU1]]</f>
        <v>7</v>
      </c>
      <c r="AL370" t="str">
        <f t="shared" si="147"/>
        <v>Neutral</v>
      </c>
      <c r="AM370">
        <f>survey_responses[[#This Row],[Tôi tin rằng Nhà nước, cơ quan thuế sẽ thực thi chính sách mới một cách khách quan, công tâm và đối xử bình đẳng với mọi người nộp thuế.  - HUMAN-TRU1]]</f>
        <v>8</v>
      </c>
      <c r="AN370" t="str">
        <f t="shared" si="148"/>
        <v>Support</v>
      </c>
      <c r="AO370" s="32">
        <f t="shared" si="149"/>
        <v>1</v>
      </c>
      <c r="AP370">
        <f>step3_validation[[#This Row],[AI_TRU2]]</f>
        <v>8</v>
      </c>
      <c r="AQ370" t="str">
        <f t="shared" si="150"/>
        <v>Support</v>
      </c>
      <c r="AR370">
        <f>survey_responses[[#This Row],[Tôi thấy mức thuế tôi phải đóng theo phương án mới là công bằng (người thu nhập như tôi đóng mức này là hợp lý). - HUMAN-TRU2]]</f>
        <v>8</v>
      </c>
      <c r="AS370" t="str">
        <f t="shared" si="151"/>
        <v>Support</v>
      </c>
      <c r="AT370" s="32">
        <f t="shared" si="152"/>
        <v>0</v>
      </c>
      <c r="AU370">
        <f>step3_validation[[#This Row],[AI_TRU3]]</f>
        <v>7</v>
      </c>
      <c r="AV370" t="str">
        <f t="shared" si="153"/>
        <v>Neutral</v>
      </c>
      <c r="AW370">
        <f>survey_responses[[#This Row],[Tôi tin tưởng số tiền thuế tôi đóng sẽ được Nhà nước sử dụng hiệu quả để cải thiện dịch vụ công (y tế, đường xá...). - HUMAN-TRU3]]</f>
        <v>5</v>
      </c>
      <c r="AX370" t="str">
        <f t="shared" si="154"/>
        <v>Neutral</v>
      </c>
      <c r="AY370" s="32">
        <f t="shared" si="155"/>
        <v>2</v>
      </c>
      <c r="AZ370">
        <f>step3_validation[[#This Row],[AI_TRU4]]</f>
        <v>8</v>
      </c>
      <c r="BA370" t="str">
        <f t="shared" si="156"/>
        <v>Support</v>
      </c>
      <c r="BB370">
        <f>survey_responses[[#This Row],[Tôi thấy Nhà nước đã giải thích rõ ràng, minh bạch về lý do và mục tiêu của việc sửa đổi thuế lần này. - HUMAN-TRU4]]</f>
        <v>7</v>
      </c>
      <c r="BC370" t="str">
        <f t="shared" si="157"/>
        <v>Neutral</v>
      </c>
      <c r="BD370" s="32">
        <f t="shared" si="158"/>
        <v>1</v>
      </c>
      <c r="BE370">
        <f>step3_validation[[#This Row],[AI_OUT1]]</f>
        <v>9</v>
      </c>
      <c r="BF370" t="str">
        <f t="shared" si="159"/>
        <v>Support</v>
      </c>
      <c r="BG370">
        <f>survey_responses[[#This Row],[Sau khi xem xét các quyền lợi và nghĩa vụ, bạn có ủng hộ và tuân thủ chính sách mới hiện nay? - HUMAN-OUT1]]</f>
        <v>8</v>
      </c>
      <c r="BH370" t="str">
        <f t="shared" si="160"/>
        <v>Support</v>
      </c>
      <c r="BI370" s="32">
        <f t="shared" si="161"/>
        <v>1</v>
      </c>
    </row>
    <row r="371" spans="1:61" x14ac:dyDescent="0.45">
      <c r="A371" s="30">
        <f>step3_validation[[#This Row],[Persona_ID]]</f>
        <v>370</v>
      </c>
      <c r="B371" s="31">
        <f>step3_validation[[#This Row],[Used_Seed]]</f>
        <v>2395</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19.607543896702424</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7</v>
      </c>
      <c r="R371" t="str">
        <f t="shared" si="135"/>
        <v>Neutral</v>
      </c>
      <c r="S371">
        <f>survey_responses[[#This Row],[Tôi tin rằng với các quy định quản lý thuế hiện nay, hành vi gian lận hoặc trốn thuế sẽ dễ dàng bị phát hiện và xử lý nghiêm. - HUMAN-ENF1]]</f>
        <v>6</v>
      </c>
      <c r="T371" t="str">
        <f t="shared" si="136"/>
        <v>Neutral</v>
      </c>
      <c r="U371" s="32">
        <f t="shared" si="137"/>
        <v>1</v>
      </c>
      <c r="V371">
        <f>step3_validation[[#This Row],[AI_ENF2]]</f>
        <v>8</v>
      </c>
      <c r="W371" t="str">
        <f t="shared" si="138"/>
        <v>Support</v>
      </c>
      <c r="X371">
        <f>survey_responses[[#This Row],[Tôi tin rằng Nhà nước, cơ quan thuế có đủ khả năng và công nghệ để phát hiện, xử lý nghiêm các hành vi trốn thuế. - HUMAN-ENF2]]</f>
        <v>7</v>
      </c>
      <c r="Y371" t="str">
        <f t="shared" si="139"/>
        <v>Neutral</v>
      </c>
      <c r="Z371" s="32">
        <f t="shared" si="140"/>
        <v>1</v>
      </c>
      <c r="AA371">
        <f>step3_validation[[#This Row],[AI_FAC1]]</f>
        <v>6</v>
      </c>
      <c r="AB371" t="str">
        <f t="shared" si="141"/>
        <v>Neutral</v>
      </c>
      <c r="AC371">
        <f>survey_responses[[#This Row],[Các thủ tục khai báo thuế VÀ/HOẶC quy trình làm việc với cơ quan thuế đơn giản, tiện lợi, nhanh chóng hơn so với trước đây. - HUMAN-FAC1]]</f>
        <v>7</v>
      </c>
      <c r="AD371" t="str">
        <f t="shared" si="142"/>
        <v>Neutral</v>
      </c>
      <c r="AE371" s="32">
        <f t="shared" si="143"/>
        <v>1</v>
      </c>
      <c r="AF371">
        <f>step3_validation[[#This Row],[AI_FAC2]]</f>
        <v>9</v>
      </c>
      <c r="AG371" t="str">
        <f t="shared" si="144"/>
        <v>Support</v>
      </c>
      <c r="AH371">
        <f>survey_responses[[#This Row],[So với trước đây, tôi thấy cách tính thuế và các bậc thuế trong phương án mới đơn giản, dễ hiểu và dễ thực hiện hơn. - HUMAN-FAC2]]</f>
        <v>9</v>
      </c>
      <c r="AI371" t="str">
        <f t="shared" si="145"/>
        <v>Support</v>
      </c>
      <c r="AJ371" s="32">
        <f t="shared" si="146"/>
        <v>0</v>
      </c>
      <c r="AK371">
        <f>step3_validation[[#This Row],[AI_TRU1]]</f>
        <v>8</v>
      </c>
      <c r="AL371" t="str">
        <f t="shared" si="147"/>
        <v>Support</v>
      </c>
      <c r="AM371">
        <f>survey_responses[[#This Row],[Tôi tin rằng Nhà nước, cơ quan thuế sẽ thực thi chính sách mới một cách khách quan, công tâm và đối xử bình đẳng với mọi người nộp thuế.  - HUMAN-TRU1]]</f>
        <v>7</v>
      </c>
      <c r="AN371" t="str">
        <f t="shared" si="148"/>
        <v>Neutral</v>
      </c>
      <c r="AO371" s="32">
        <f t="shared" si="149"/>
        <v>1</v>
      </c>
      <c r="AP371">
        <f>step3_validation[[#This Row],[AI_TRU2]]</f>
        <v>9</v>
      </c>
      <c r="AQ371" t="str">
        <f t="shared" si="150"/>
        <v>Support</v>
      </c>
      <c r="AR371">
        <f>survey_responses[[#This Row],[Tôi thấy mức thuế tôi phải đóng theo phương án mới là công bằng (người thu nhập như tôi đóng mức này là hợp lý). - HUMAN-TRU2]]</f>
        <v>9</v>
      </c>
      <c r="AS371" t="str">
        <f t="shared" si="151"/>
        <v>Support</v>
      </c>
      <c r="AT371" s="32">
        <f t="shared" si="152"/>
        <v>0</v>
      </c>
      <c r="AU371">
        <f>step3_validation[[#This Row],[AI_TRU3]]</f>
        <v>8</v>
      </c>
      <c r="AV371" t="str">
        <f t="shared" si="153"/>
        <v>Support</v>
      </c>
      <c r="AW371">
        <f>survey_responses[[#This Row],[Tôi tin tưởng số tiền thuế tôi đóng sẽ được Nhà nước sử dụng hiệu quả để cải thiện dịch vụ công (y tế, đường xá...). - HUMAN-TRU3]]</f>
        <v>9</v>
      </c>
      <c r="AX371" t="str">
        <f t="shared" si="154"/>
        <v>Support</v>
      </c>
      <c r="AY371" s="32">
        <f t="shared" si="155"/>
        <v>1</v>
      </c>
      <c r="AZ371">
        <f>step3_validation[[#This Row],[AI_TRU4]]</f>
        <v>7</v>
      </c>
      <c r="BA371" t="str">
        <f t="shared" si="156"/>
        <v>Neutral</v>
      </c>
      <c r="BB371">
        <f>survey_responses[[#This Row],[Tôi thấy Nhà nước đã giải thích rõ ràng, minh bạch về lý do và mục tiêu của việc sửa đổi thuế lần này. - HUMAN-TRU4]]</f>
        <v>9</v>
      </c>
      <c r="BC371" t="str">
        <f t="shared" si="157"/>
        <v>Support</v>
      </c>
      <c r="BD371" s="32">
        <f t="shared" si="158"/>
        <v>2</v>
      </c>
      <c r="BE371">
        <f>step3_validation[[#This Row],[AI_OUT1]]</f>
        <v>9</v>
      </c>
      <c r="BF371" t="str">
        <f t="shared" si="159"/>
        <v>Support</v>
      </c>
      <c r="BG371">
        <f>survey_responses[[#This Row],[Sau khi xem xét các quyền lợi và nghĩa vụ, bạn có ủng hộ và tuân thủ chính sách mới hiện nay? - HUMAN-OUT1]]</f>
        <v>9</v>
      </c>
      <c r="BH371" t="str">
        <f t="shared" si="160"/>
        <v>Support</v>
      </c>
      <c r="BI371" s="32">
        <f t="shared" si="161"/>
        <v>0</v>
      </c>
    </row>
    <row r="372" spans="1:61" x14ac:dyDescent="0.45">
      <c r="A372" s="30">
        <f>step3_validation[[#This Row],[Persona_ID]]</f>
        <v>371</v>
      </c>
      <c r="B372" s="31">
        <f>step3_validation[[#This Row],[Used_Seed]]</f>
        <v>2396</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62.611071015687976</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8</v>
      </c>
      <c r="R372" t="str">
        <f t="shared" si="135"/>
        <v>Support</v>
      </c>
      <c r="S372">
        <f>survey_responses[[#This Row],[Tôi tin rằng với các quy định quản lý thuế hiện nay, hành vi gian lận hoặc trốn thuế sẽ dễ dàng bị phát hiện và xử lý nghiêm. - HUMAN-ENF1]]</f>
        <v>4</v>
      </c>
      <c r="T372" t="str">
        <f t="shared" si="136"/>
        <v>Oppose</v>
      </c>
      <c r="U372" s="32">
        <f t="shared" si="137"/>
        <v>4</v>
      </c>
      <c r="V372">
        <f>step3_validation[[#This Row],[AI_ENF2]]</f>
        <v>8</v>
      </c>
      <c r="W372" t="str">
        <f t="shared" si="138"/>
        <v>Support</v>
      </c>
      <c r="X372">
        <f>survey_responses[[#This Row],[Tôi tin rằng Nhà nước, cơ quan thuế có đủ khả năng và công nghệ để phát hiện, xử lý nghiêm các hành vi trốn thuế. - HUMAN-ENF2]]</f>
        <v>4</v>
      </c>
      <c r="Y372" t="str">
        <f t="shared" si="139"/>
        <v>Oppose</v>
      </c>
      <c r="Z372" s="32">
        <f t="shared" si="140"/>
        <v>4</v>
      </c>
      <c r="AA372">
        <f>step3_validation[[#This Row],[AI_FAC1]]</f>
        <v>7</v>
      </c>
      <c r="AB372" t="str">
        <f t="shared" si="141"/>
        <v>Neutral</v>
      </c>
      <c r="AC372">
        <f>survey_responses[[#This Row],[Các thủ tục khai báo thuế VÀ/HOẶC quy trình làm việc với cơ quan thuế đơn giản, tiện lợi, nhanh chóng hơn so với trước đây. - HUMAN-FAC1]]</f>
        <v>5</v>
      </c>
      <c r="AD372" t="str">
        <f t="shared" si="142"/>
        <v>Neutral</v>
      </c>
      <c r="AE372" s="32">
        <f t="shared" si="143"/>
        <v>2</v>
      </c>
      <c r="AF372">
        <f>step3_validation[[#This Row],[AI_FAC2]]</f>
        <v>9</v>
      </c>
      <c r="AG372" t="str">
        <f t="shared" si="144"/>
        <v>Support</v>
      </c>
      <c r="AH372">
        <f>survey_responses[[#This Row],[So với trước đây, tôi thấy cách tính thuế và các bậc thuế trong phương án mới đơn giản, dễ hiểu và dễ thực hiện hơn. - HUMAN-FAC2]]</f>
        <v>5</v>
      </c>
      <c r="AI372" t="str">
        <f t="shared" si="145"/>
        <v>Neutral</v>
      </c>
      <c r="AJ372" s="32">
        <f t="shared" si="146"/>
        <v>4</v>
      </c>
      <c r="AK372">
        <f>step3_validation[[#This Row],[AI_TRU1]]</f>
        <v>8</v>
      </c>
      <c r="AL372" t="str">
        <f t="shared" si="147"/>
        <v>Support</v>
      </c>
      <c r="AM372">
        <f>survey_responses[[#This Row],[Tôi tin rằng Nhà nước, cơ quan thuế sẽ thực thi chính sách mới một cách khách quan, công tâm và đối xử bình đẳng với mọi người nộp thuế.  - HUMAN-TRU1]]</f>
        <v>5</v>
      </c>
      <c r="AN372" t="str">
        <f t="shared" si="148"/>
        <v>Neutral</v>
      </c>
      <c r="AO372" s="32">
        <f t="shared" si="149"/>
        <v>3</v>
      </c>
      <c r="AP372">
        <f>step3_validation[[#This Row],[AI_TRU2]]</f>
        <v>9</v>
      </c>
      <c r="AQ372" t="str">
        <f t="shared" si="150"/>
        <v>Support</v>
      </c>
      <c r="AR372">
        <f>survey_responses[[#This Row],[Tôi thấy mức thuế tôi phải đóng theo phương án mới là công bằng (người thu nhập như tôi đóng mức này là hợp lý). - HUMAN-TRU2]]</f>
        <v>4</v>
      </c>
      <c r="AS372" t="str">
        <f t="shared" si="151"/>
        <v>Oppose</v>
      </c>
      <c r="AT372" s="32">
        <f t="shared" si="152"/>
        <v>5</v>
      </c>
      <c r="AU372">
        <f>step3_validation[[#This Row],[AI_TRU3]]</f>
        <v>8</v>
      </c>
      <c r="AV372" t="str">
        <f t="shared" si="153"/>
        <v>Support</v>
      </c>
      <c r="AW372">
        <f>survey_responses[[#This Row],[Tôi tin tưởng số tiền thuế tôi đóng sẽ được Nhà nước sử dụng hiệu quả để cải thiện dịch vụ công (y tế, đường xá...). - HUMAN-TRU3]]</f>
        <v>5</v>
      </c>
      <c r="AX372" t="str">
        <f t="shared" si="154"/>
        <v>Neutral</v>
      </c>
      <c r="AY372" s="32">
        <f t="shared" si="155"/>
        <v>3</v>
      </c>
      <c r="AZ372">
        <f>step3_validation[[#This Row],[AI_TRU4]]</f>
        <v>7</v>
      </c>
      <c r="BA372" t="str">
        <f t="shared" si="156"/>
        <v>Neutral</v>
      </c>
      <c r="BB372">
        <f>survey_responses[[#This Row],[Tôi thấy Nhà nước đã giải thích rõ ràng, minh bạch về lý do và mục tiêu của việc sửa đổi thuế lần này. - HUMAN-TRU4]]</f>
        <v>6</v>
      </c>
      <c r="BC372" t="str">
        <f t="shared" si="157"/>
        <v>Neutral</v>
      </c>
      <c r="BD372" s="32">
        <f t="shared" si="158"/>
        <v>1</v>
      </c>
      <c r="BE372">
        <f>step3_validation[[#This Row],[AI_OUT1]]</f>
        <v>8</v>
      </c>
      <c r="BF372" t="str">
        <f t="shared" si="159"/>
        <v>Support</v>
      </c>
      <c r="BG372">
        <f>survey_responses[[#This Row],[Sau khi xem xét các quyền lợi và nghĩa vụ, bạn có ủng hộ và tuân thủ chính sách mới hiện nay? - HUMAN-OUT1]]</f>
        <v>5</v>
      </c>
      <c r="BH372" t="str">
        <f t="shared" si="160"/>
        <v>Neutral</v>
      </c>
      <c r="BI372" s="32">
        <f t="shared" si="161"/>
        <v>3</v>
      </c>
    </row>
    <row r="373" spans="1:61" x14ac:dyDescent="0.45">
      <c r="A373" s="30">
        <f>step3_validation[[#This Row],[Persona_ID]]</f>
        <v>372</v>
      </c>
      <c r="B373" s="31">
        <f>step3_validation[[#This Row],[Used_Seed]]</f>
        <v>2397</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37.671974355279495</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6</v>
      </c>
      <c r="R373" t="str">
        <f t="shared" si="135"/>
        <v>Neutral</v>
      </c>
      <c r="S373">
        <f>survey_responses[[#This Row],[Tôi tin rằng với các quy định quản lý thuế hiện nay, hành vi gian lận hoặc trốn thuế sẽ dễ dàng bị phát hiện và xử lý nghiêm. - HUMAN-ENF1]]</f>
        <v>6</v>
      </c>
      <c r="T373" t="str">
        <f t="shared" si="136"/>
        <v>Neutral</v>
      </c>
      <c r="U373" s="32">
        <f t="shared" si="137"/>
        <v>0</v>
      </c>
      <c r="V373">
        <f>step3_validation[[#This Row],[AI_ENF2]]</f>
        <v>7</v>
      </c>
      <c r="W373" t="str">
        <f t="shared" si="138"/>
        <v>Neutral</v>
      </c>
      <c r="X373">
        <f>survey_responses[[#This Row],[Tôi tin rằng Nhà nước, cơ quan thuế có đủ khả năng và công nghệ để phát hiện, xử lý nghiêm các hành vi trốn thuế. - HUMAN-ENF2]]</f>
        <v>6</v>
      </c>
      <c r="Y373" t="str">
        <f t="shared" si="139"/>
        <v>Neutral</v>
      </c>
      <c r="Z373" s="32">
        <f t="shared" si="140"/>
        <v>1</v>
      </c>
      <c r="AA373">
        <f>step3_validation[[#This Row],[AI_FAC1]]</f>
        <v>8</v>
      </c>
      <c r="AB373" t="str">
        <f t="shared" si="141"/>
        <v>Support</v>
      </c>
      <c r="AC373">
        <f>survey_responses[[#This Row],[Các thủ tục khai báo thuế VÀ/HOẶC quy trình làm việc với cơ quan thuế đơn giản, tiện lợi, nhanh chóng hơn so với trước đây. - HUMAN-FAC1]]</f>
        <v>8</v>
      </c>
      <c r="AD373" t="str">
        <f t="shared" si="142"/>
        <v>Support</v>
      </c>
      <c r="AE373" s="32">
        <f t="shared" si="143"/>
        <v>0</v>
      </c>
      <c r="AF373">
        <f>step3_validation[[#This Row],[AI_FAC2]]</f>
        <v>9</v>
      </c>
      <c r="AG373" t="str">
        <f t="shared" si="144"/>
        <v>Support</v>
      </c>
      <c r="AH373">
        <f>survey_responses[[#This Row],[So với trước đây, tôi thấy cách tính thuế và các bậc thuế trong phương án mới đơn giản, dễ hiểu và dễ thực hiện hơn. - HUMAN-FAC2]]</f>
        <v>8</v>
      </c>
      <c r="AI373" t="str">
        <f t="shared" si="145"/>
        <v>Support</v>
      </c>
      <c r="AJ373" s="32">
        <f t="shared" si="146"/>
        <v>1</v>
      </c>
      <c r="AK373">
        <f>step3_validation[[#This Row],[AI_TRU1]]</f>
        <v>7</v>
      </c>
      <c r="AL373" t="str">
        <f t="shared" si="147"/>
        <v>Neutral</v>
      </c>
      <c r="AM373">
        <f>survey_responses[[#This Row],[Tôi tin rằng Nhà nước, cơ quan thuế sẽ thực thi chính sách mới một cách khách quan, công tâm và đối xử bình đẳng với mọi người nộp thuế.  - HUMAN-TRU1]]</f>
        <v>6</v>
      </c>
      <c r="AN373" t="str">
        <f t="shared" si="148"/>
        <v>Neutral</v>
      </c>
      <c r="AO373" s="32">
        <f t="shared" si="149"/>
        <v>1</v>
      </c>
      <c r="AP373">
        <f>step3_validation[[#This Row],[AI_TRU2]]</f>
        <v>9</v>
      </c>
      <c r="AQ373" t="str">
        <f t="shared" si="150"/>
        <v>Support</v>
      </c>
      <c r="AR373">
        <f>survey_responses[[#This Row],[Tôi thấy mức thuế tôi phải đóng theo phương án mới là công bằng (người thu nhập như tôi đóng mức này là hợp lý). - HUMAN-TRU2]]</f>
        <v>7</v>
      </c>
      <c r="AS373" t="str">
        <f t="shared" si="151"/>
        <v>Neutral</v>
      </c>
      <c r="AT373" s="32">
        <f t="shared" si="152"/>
        <v>2</v>
      </c>
      <c r="AU373">
        <f>step3_validation[[#This Row],[AI_TRU3]]</f>
        <v>6</v>
      </c>
      <c r="AV373" t="str">
        <f t="shared" si="153"/>
        <v>Neutral</v>
      </c>
      <c r="AW373">
        <f>survey_responses[[#This Row],[Tôi tin tưởng số tiền thuế tôi đóng sẽ được Nhà nước sử dụng hiệu quả để cải thiện dịch vụ công (y tế, đường xá...). - HUMAN-TRU3]]</f>
        <v>5</v>
      </c>
      <c r="AX373" t="str">
        <f t="shared" si="154"/>
        <v>Neutral</v>
      </c>
      <c r="AY373" s="32">
        <f t="shared" si="155"/>
        <v>1</v>
      </c>
      <c r="AZ373">
        <f>step3_validation[[#This Row],[AI_TRU4]]</f>
        <v>8</v>
      </c>
      <c r="BA373" t="str">
        <f t="shared" si="156"/>
        <v>Support</v>
      </c>
      <c r="BB373">
        <f>survey_responses[[#This Row],[Tôi thấy Nhà nước đã giải thích rõ ràng, minh bạch về lý do và mục tiêu của việc sửa đổi thuế lần này. - HUMAN-TRU4]]</f>
        <v>6</v>
      </c>
      <c r="BC373" t="str">
        <f t="shared" si="157"/>
        <v>Neutral</v>
      </c>
      <c r="BD373" s="32">
        <f t="shared" si="158"/>
        <v>2</v>
      </c>
      <c r="BE373">
        <f>step3_validation[[#This Row],[AI_OUT1]]</f>
        <v>9</v>
      </c>
      <c r="BF373" t="str">
        <f t="shared" si="159"/>
        <v>Support</v>
      </c>
      <c r="BG373">
        <f>survey_responses[[#This Row],[Sau khi xem xét các quyền lợi và nghĩa vụ, bạn có ủng hộ và tuân thủ chính sách mới hiện nay? - HUMAN-OUT1]]</f>
        <v>6</v>
      </c>
      <c r="BH373" t="str">
        <f t="shared" si="160"/>
        <v>Neutral</v>
      </c>
      <c r="BI373" s="32">
        <f t="shared" si="161"/>
        <v>3</v>
      </c>
    </row>
    <row r="374" spans="1:61" x14ac:dyDescent="0.45">
      <c r="A374" s="30">
        <f>step3_validation[[#This Row],[Persona_ID]]</f>
        <v>373</v>
      </c>
      <c r="B374" s="31">
        <f>step3_validation[[#This Row],[Used_Seed]]</f>
        <v>2398</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91.149672375335228</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8</v>
      </c>
      <c r="R374" t="str">
        <f t="shared" si="135"/>
        <v>Support</v>
      </c>
      <c r="S374">
        <f>survey_responses[[#This Row],[Tôi tin rằng với các quy định quản lý thuế hiện nay, hành vi gian lận hoặc trốn thuế sẽ dễ dàng bị phát hiện và xử lý nghiêm. - HUMAN-ENF1]]</f>
        <v>8</v>
      </c>
      <c r="T374" t="str">
        <f t="shared" si="136"/>
        <v>Support</v>
      </c>
      <c r="U374" s="32">
        <f t="shared" si="137"/>
        <v>0</v>
      </c>
      <c r="V374">
        <f>step3_validation[[#This Row],[AI_ENF2]]</f>
        <v>7</v>
      </c>
      <c r="W374" t="str">
        <f t="shared" si="138"/>
        <v>Neutral</v>
      </c>
      <c r="X374">
        <f>survey_responses[[#This Row],[Tôi tin rằng Nhà nước, cơ quan thuế có đủ khả năng và công nghệ để phát hiện, xử lý nghiêm các hành vi trốn thuế. - HUMAN-ENF2]]</f>
        <v>8</v>
      </c>
      <c r="Y374" t="str">
        <f t="shared" si="139"/>
        <v>Support</v>
      </c>
      <c r="Z374" s="32">
        <f t="shared" si="140"/>
        <v>1</v>
      </c>
      <c r="AA374">
        <f>step3_validation[[#This Row],[AI_FAC1]]</f>
        <v>9</v>
      </c>
      <c r="AB374" t="str">
        <f t="shared" si="141"/>
        <v>Support</v>
      </c>
      <c r="AC374">
        <f>survey_responses[[#This Row],[Các thủ tục khai báo thuế VÀ/HOẶC quy trình làm việc với cơ quan thuế đơn giản, tiện lợi, nhanh chóng hơn so với trước đây. - HUMAN-FAC1]]</f>
        <v>9</v>
      </c>
      <c r="AD374" t="str">
        <f t="shared" si="142"/>
        <v>Support</v>
      </c>
      <c r="AE374" s="32">
        <f t="shared" si="143"/>
        <v>0</v>
      </c>
      <c r="AF374">
        <f>step3_validation[[#This Row],[AI_FAC2]]</f>
        <v>8</v>
      </c>
      <c r="AG374" t="str">
        <f t="shared" si="144"/>
        <v>Support</v>
      </c>
      <c r="AH374">
        <f>survey_responses[[#This Row],[So với trước đây, tôi thấy cách tính thuế và các bậc thuế trong phương án mới đơn giản, dễ hiểu và dễ thực hiện hơn. - HUMAN-FAC2]]</f>
        <v>9</v>
      </c>
      <c r="AI374" t="str">
        <f t="shared" si="145"/>
        <v>Support</v>
      </c>
      <c r="AJ374" s="32">
        <f t="shared" si="146"/>
        <v>1</v>
      </c>
      <c r="AK374">
        <f>step3_validation[[#This Row],[AI_TRU1]]</f>
        <v>7</v>
      </c>
      <c r="AL374" t="str">
        <f t="shared" si="147"/>
        <v>Neutral</v>
      </c>
      <c r="AM374">
        <f>survey_responses[[#This Row],[Tôi tin rằng Nhà nước, cơ quan thuế sẽ thực thi chính sách mới một cách khách quan, công tâm và đối xử bình đẳng với mọi người nộp thuế.  - HUMAN-TRU1]]</f>
        <v>5</v>
      </c>
      <c r="AN374" t="str">
        <f t="shared" si="148"/>
        <v>Neutral</v>
      </c>
      <c r="AO374" s="32">
        <f t="shared" si="149"/>
        <v>2</v>
      </c>
      <c r="AP374">
        <f>step3_validation[[#This Row],[AI_TRU2]]</f>
        <v>9</v>
      </c>
      <c r="AQ374" t="str">
        <f t="shared" si="150"/>
        <v>Support</v>
      </c>
      <c r="AR374">
        <f>survey_responses[[#This Row],[Tôi thấy mức thuế tôi phải đóng theo phương án mới là công bằng (người thu nhập như tôi đóng mức này là hợp lý). - HUMAN-TRU2]]</f>
        <v>5</v>
      </c>
      <c r="AS374" t="str">
        <f t="shared" si="151"/>
        <v>Neutral</v>
      </c>
      <c r="AT374" s="32">
        <f t="shared" si="152"/>
        <v>4</v>
      </c>
      <c r="AU374">
        <f>step3_validation[[#This Row],[AI_TRU3]]</f>
        <v>8</v>
      </c>
      <c r="AV374" t="str">
        <f t="shared" si="153"/>
        <v>Support</v>
      </c>
      <c r="AW374">
        <f>survey_responses[[#This Row],[Tôi tin tưởng số tiền thuế tôi đóng sẽ được Nhà nước sử dụng hiệu quả để cải thiện dịch vụ công (y tế, đường xá...). - HUMAN-TRU3]]</f>
        <v>5</v>
      </c>
      <c r="AX374" t="str">
        <f t="shared" si="154"/>
        <v>Neutral</v>
      </c>
      <c r="AY374" s="32">
        <f t="shared" si="155"/>
        <v>3</v>
      </c>
      <c r="AZ374">
        <f>step3_validation[[#This Row],[AI_TRU4]]</f>
        <v>7</v>
      </c>
      <c r="BA374" t="str">
        <f t="shared" si="156"/>
        <v>Neutral</v>
      </c>
      <c r="BB374">
        <f>survey_responses[[#This Row],[Tôi thấy Nhà nước đã giải thích rõ ràng, minh bạch về lý do và mục tiêu của việc sửa đổi thuế lần này. - HUMAN-TRU4]]</f>
        <v>6</v>
      </c>
      <c r="BC374" t="str">
        <f t="shared" si="157"/>
        <v>Neutral</v>
      </c>
      <c r="BD374" s="32">
        <f t="shared" si="158"/>
        <v>1</v>
      </c>
      <c r="BE374">
        <f>step3_validation[[#This Row],[AI_OUT1]]</f>
        <v>9</v>
      </c>
      <c r="BF374" t="str">
        <f t="shared" si="159"/>
        <v>Support</v>
      </c>
      <c r="BG374">
        <f>survey_responses[[#This Row],[Sau khi xem xét các quyền lợi và nghĩa vụ, bạn có ủng hộ và tuân thủ chính sách mới hiện nay? - HUMAN-OUT1]]</f>
        <v>5</v>
      </c>
      <c r="BH374" t="str">
        <f t="shared" si="160"/>
        <v>Neutral</v>
      </c>
      <c r="BI374" s="32">
        <f t="shared" si="161"/>
        <v>4</v>
      </c>
    </row>
    <row r="375" spans="1:61" x14ac:dyDescent="0.45">
      <c r="A375" s="30">
        <f>step3_validation[[#This Row],[Persona_ID]]</f>
        <v>374</v>
      </c>
      <c r="B375" s="31">
        <f>step3_validation[[#This Row],[Used_Seed]]</f>
        <v>2399</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45.005889833381801</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6</v>
      </c>
      <c r="R375" t="str">
        <f t="shared" si="135"/>
        <v>Neutral</v>
      </c>
      <c r="S375">
        <f>survey_responses[[#This Row],[Tôi tin rằng với các quy định quản lý thuế hiện nay, hành vi gian lận hoặc trốn thuế sẽ dễ dàng bị phát hiện và xử lý nghiêm. - HUMAN-ENF1]]</f>
        <v>6</v>
      </c>
      <c r="T375" t="str">
        <f t="shared" si="136"/>
        <v>Neutral</v>
      </c>
      <c r="U375" s="32">
        <f t="shared" si="137"/>
        <v>0</v>
      </c>
      <c r="V375">
        <f>step3_validation[[#This Row],[AI_ENF2]]</f>
        <v>5</v>
      </c>
      <c r="W375" t="str">
        <f t="shared" si="138"/>
        <v>Neutral</v>
      </c>
      <c r="X375">
        <f>survey_responses[[#This Row],[Tôi tin rằng Nhà nước, cơ quan thuế có đủ khả năng và công nghệ để phát hiện, xử lý nghiêm các hành vi trốn thuế. - HUMAN-ENF2]]</f>
        <v>6</v>
      </c>
      <c r="Y375" t="str">
        <f t="shared" si="139"/>
        <v>Neutral</v>
      </c>
      <c r="Z375" s="32">
        <f t="shared" si="140"/>
        <v>1</v>
      </c>
      <c r="AA375">
        <f>step3_validation[[#This Row],[AI_FAC1]]</f>
        <v>7</v>
      </c>
      <c r="AB375" t="str">
        <f t="shared" si="141"/>
        <v>Neutral</v>
      </c>
      <c r="AC375">
        <f>survey_responses[[#This Row],[Các thủ tục khai báo thuế VÀ/HOẶC quy trình làm việc với cơ quan thuế đơn giản, tiện lợi, nhanh chóng hơn so với trước đây. - HUMAN-FAC1]]</f>
        <v>7</v>
      </c>
      <c r="AD375" t="str">
        <f t="shared" si="142"/>
        <v>Neutral</v>
      </c>
      <c r="AE375" s="32">
        <f t="shared" si="143"/>
        <v>0</v>
      </c>
      <c r="AF375">
        <f>step3_validation[[#This Row],[AI_FAC2]]</f>
        <v>9</v>
      </c>
      <c r="AG375" t="str">
        <f t="shared" si="144"/>
        <v>Support</v>
      </c>
      <c r="AH375">
        <f>survey_responses[[#This Row],[So với trước đây, tôi thấy cách tính thuế và các bậc thuế trong phương án mới đơn giản, dễ hiểu và dễ thực hiện hơn. - HUMAN-FAC2]]</f>
        <v>7</v>
      </c>
      <c r="AI375" t="str">
        <f t="shared" si="145"/>
        <v>Neutral</v>
      </c>
      <c r="AJ375" s="32">
        <f t="shared" si="146"/>
        <v>2</v>
      </c>
      <c r="AK375">
        <f>step3_validation[[#This Row],[AI_TRU1]]</f>
        <v>7</v>
      </c>
      <c r="AL375" t="str">
        <f t="shared" si="147"/>
        <v>Neutral</v>
      </c>
      <c r="AM375">
        <f>survey_responses[[#This Row],[Tôi tin rằng Nhà nước, cơ quan thuế sẽ thực thi chính sách mới một cách khách quan, công tâm và đối xử bình đẳng với mọi người nộp thuế.  - HUMAN-TRU1]]</f>
        <v>6</v>
      </c>
      <c r="AN375" t="str">
        <f t="shared" si="148"/>
        <v>Neutral</v>
      </c>
      <c r="AO375" s="32">
        <f t="shared" si="149"/>
        <v>1</v>
      </c>
      <c r="AP375">
        <f>step3_validation[[#This Row],[AI_TRU2]]</f>
        <v>8</v>
      </c>
      <c r="AQ375" t="str">
        <f t="shared" si="150"/>
        <v>Support</v>
      </c>
      <c r="AR375">
        <f>survey_responses[[#This Row],[Tôi thấy mức thuế tôi phải đóng theo phương án mới là công bằng (người thu nhập như tôi đóng mức này là hợp lý). - HUMAN-TRU2]]</f>
        <v>6</v>
      </c>
      <c r="AS375" t="str">
        <f t="shared" si="151"/>
        <v>Neutral</v>
      </c>
      <c r="AT375" s="32">
        <f t="shared" si="152"/>
        <v>2</v>
      </c>
      <c r="AU375">
        <f>step3_validation[[#This Row],[AI_TRU3]]</f>
        <v>8</v>
      </c>
      <c r="AV375" t="str">
        <f t="shared" si="153"/>
        <v>Support</v>
      </c>
      <c r="AW375">
        <f>survey_responses[[#This Row],[Tôi tin tưởng số tiền thuế tôi đóng sẽ được Nhà nước sử dụng hiệu quả để cải thiện dịch vụ công (y tế, đường xá...). - HUMAN-TRU3]]</f>
        <v>6</v>
      </c>
      <c r="AX375" t="str">
        <f t="shared" si="154"/>
        <v>Neutral</v>
      </c>
      <c r="AY375" s="32">
        <f t="shared" si="155"/>
        <v>2</v>
      </c>
      <c r="AZ375">
        <f>step3_validation[[#This Row],[AI_TRU4]]</f>
        <v>6</v>
      </c>
      <c r="BA375" t="str">
        <f t="shared" si="156"/>
        <v>Neutral</v>
      </c>
      <c r="BB375">
        <f>survey_responses[[#This Row],[Tôi thấy Nhà nước đã giải thích rõ ràng, minh bạch về lý do và mục tiêu của việc sửa đổi thuế lần này. - HUMAN-TRU4]]</f>
        <v>6</v>
      </c>
      <c r="BC375" t="str">
        <f t="shared" si="157"/>
        <v>Neutral</v>
      </c>
      <c r="BD375" s="32">
        <f t="shared" si="158"/>
        <v>0</v>
      </c>
      <c r="BE375">
        <f>step3_validation[[#This Row],[AI_OUT1]]</f>
        <v>8</v>
      </c>
      <c r="BF375" t="str">
        <f t="shared" si="159"/>
        <v>Support</v>
      </c>
      <c r="BG375">
        <f>survey_responses[[#This Row],[Sau khi xem xét các quyền lợi và nghĩa vụ, bạn có ủng hộ và tuân thủ chính sách mới hiện nay? - HUMAN-OUT1]]</f>
        <v>6</v>
      </c>
      <c r="BH375" t="str">
        <f t="shared" si="160"/>
        <v>Neutral</v>
      </c>
      <c r="BI375" s="32">
        <f t="shared" si="161"/>
        <v>2</v>
      </c>
    </row>
    <row r="376" spans="1:61" x14ac:dyDescent="0.45">
      <c r="A376" s="30">
        <f>step3_validation[[#This Row],[Persona_ID]]</f>
        <v>375</v>
      </c>
      <c r="B376" s="31">
        <f>step3_validation[[#This Row],[Used_Seed]]</f>
        <v>2400</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65.092784629886594</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8</v>
      </c>
      <c r="R376" t="str">
        <f t="shared" si="135"/>
        <v>Support</v>
      </c>
      <c r="S376">
        <f>survey_responses[[#This Row],[Tôi tin rằng với các quy định quản lý thuế hiện nay, hành vi gian lận hoặc trốn thuế sẽ dễ dàng bị phát hiện và xử lý nghiêm. - HUMAN-ENF1]]</f>
        <v>8</v>
      </c>
      <c r="T376" t="str">
        <f t="shared" si="136"/>
        <v>Support</v>
      </c>
      <c r="U376" s="32">
        <f t="shared" si="137"/>
        <v>0</v>
      </c>
      <c r="V376">
        <f>step3_validation[[#This Row],[AI_ENF2]]</f>
        <v>7</v>
      </c>
      <c r="W376" t="str">
        <f t="shared" si="138"/>
        <v>Neutral</v>
      </c>
      <c r="X376">
        <f>survey_responses[[#This Row],[Tôi tin rằng Nhà nước, cơ quan thuế có đủ khả năng và công nghệ để phát hiện, xử lý nghiêm các hành vi trốn thuế. - HUMAN-ENF2]]</f>
        <v>8</v>
      </c>
      <c r="Y376" t="str">
        <f t="shared" si="139"/>
        <v>Support</v>
      </c>
      <c r="Z376" s="32">
        <f t="shared" si="140"/>
        <v>1</v>
      </c>
      <c r="AA376">
        <f>step3_validation[[#This Row],[AI_FAC1]]</f>
        <v>9</v>
      </c>
      <c r="AB376" t="str">
        <f t="shared" si="141"/>
        <v>Support</v>
      </c>
      <c r="AC376">
        <f>survey_responses[[#This Row],[Các thủ tục khai báo thuế VÀ/HOẶC quy trình làm việc với cơ quan thuế đơn giản, tiện lợi, nhanh chóng hơn so với trước đây. - HUMAN-FAC1]]</f>
        <v>8</v>
      </c>
      <c r="AD376" t="str">
        <f t="shared" si="142"/>
        <v>Support</v>
      </c>
      <c r="AE376" s="32">
        <f t="shared" si="143"/>
        <v>1</v>
      </c>
      <c r="AF376">
        <f>step3_validation[[#This Row],[AI_FAC2]]</f>
        <v>8</v>
      </c>
      <c r="AG376" t="str">
        <f t="shared" si="144"/>
        <v>Support</v>
      </c>
      <c r="AH376">
        <f>survey_responses[[#This Row],[So với trước đây, tôi thấy cách tính thuế và các bậc thuế trong phương án mới đơn giản, dễ hiểu và dễ thực hiện hơn. - HUMAN-FAC2]]</f>
        <v>8</v>
      </c>
      <c r="AI376" t="str">
        <f t="shared" si="145"/>
        <v>Support</v>
      </c>
      <c r="AJ376" s="32">
        <f t="shared" si="146"/>
        <v>0</v>
      </c>
      <c r="AK376">
        <f>step3_validation[[#This Row],[AI_TRU1]]</f>
        <v>9</v>
      </c>
      <c r="AL376" t="str">
        <f t="shared" si="147"/>
        <v>Support</v>
      </c>
      <c r="AM376">
        <f>survey_responses[[#This Row],[Tôi tin rằng Nhà nước, cơ quan thuế sẽ thực thi chính sách mới một cách khách quan, công tâm và đối xử bình đẳng với mọi người nộp thuế.  - HUMAN-TRU1]]</f>
        <v>7</v>
      </c>
      <c r="AN376" t="str">
        <f t="shared" si="148"/>
        <v>Neutral</v>
      </c>
      <c r="AO376" s="32">
        <f t="shared" si="149"/>
        <v>2</v>
      </c>
      <c r="AP376">
        <f>step3_validation[[#This Row],[AI_TRU2]]</f>
        <v>8</v>
      </c>
      <c r="AQ376" t="str">
        <f t="shared" si="150"/>
        <v>Support</v>
      </c>
      <c r="AR376">
        <f>survey_responses[[#This Row],[Tôi thấy mức thuế tôi phải đóng theo phương án mới là công bằng (người thu nhập như tôi đóng mức này là hợp lý). - HUMAN-TRU2]]</f>
        <v>6</v>
      </c>
      <c r="AS376" t="str">
        <f t="shared" si="151"/>
        <v>Neutral</v>
      </c>
      <c r="AT376" s="32">
        <f t="shared" si="152"/>
        <v>2</v>
      </c>
      <c r="AU376">
        <f>step3_validation[[#This Row],[AI_TRU3]]</f>
        <v>9</v>
      </c>
      <c r="AV376" t="str">
        <f t="shared" si="153"/>
        <v>Support</v>
      </c>
      <c r="AW376">
        <f>survey_responses[[#This Row],[Tôi tin tưởng số tiền thuế tôi đóng sẽ được Nhà nước sử dụng hiệu quả để cải thiện dịch vụ công (y tế, đường xá...). - HUMAN-TRU3]]</f>
        <v>6</v>
      </c>
      <c r="AX376" t="str">
        <f t="shared" si="154"/>
        <v>Neutral</v>
      </c>
      <c r="AY376" s="32">
        <f t="shared" si="155"/>
        <v>3</v>
      </c>
      <c r="AZ376">
        <f>step3_validation[[#This Row],[AI_TRU4]]</f>
        <v>8</v>
      </c>
      <c r="BA376" t="str">
        <f t="shared" si="156"/>
        <v>Support</v>
      </c>
      <c r="BB376">
        <f>survey_responses[[#This Row],[Tôi thấy Nhà nước đã giải thích rõ ràng, minh bạch về lý do và mục tiêu của việc sửa đổi thuế lần này. - HUMAN-TRU4]]</f>
        <v>5</v>
      </c>
      <c r="BC376" t="str">
        <f t="shared" si="157"/>
        <v>Neutral</v>
      </c>
      <c r="BD376" s="32">
        <f t="shared" si="158"/>
        <v>3</v>
      </c>
      <c r="BE376">
        <f>step3_validation[[#This Row],[AI_OUT1]]</f>
        <v>9</v>
      </c>
      <c r="BF376" t="str">
        <f t="shared" si="159"/>
        <v>Support</v>
      </c>
      <c r="BG376">
        <f>survey_responses[[#This Row],[Sau khi xem xét các quyền lợi và nghĩa vụ, bạn có ủng hộ và tuân thủ chính sách mới hiện nay? - HUMAN-OUT1]]</f>
        <v>7</v>
      </c>
      <c r="BH376" t="str">
        <f t="shared" si="160"/>
        <v>Neutral</v>
      </c>
      <c r="BI376" s="32">
        <f t="shared" si="161"/>
        <v>2</v>
      </c>
    </row>
    <row r="377" spans="1:61" x14ac:dyDescent="0.45">
      <c r="A377" s="30">
        <f>step3_validation[[#This Row],[Persona_ID]]</f>
        <v>376</v>
      </c>
      <c r="B377" s="31">
        <f>step3_validation[[#This Row],[Used_Seed]]</f>
        <v>2401</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20.45492231162148</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7</v>
      </c>
      <c r="R377" t="str">
        <f t="shared" si="135"/>
        <v>Neutral</v>
      </c>
      <c r="S377">
        <f>survey_responses[[#This Row],[Tôi tin rằng với các quy định quản lý thuế hiện nay, hành vi gian lận hoặc trốn thuế sẽ dễ dàng bị phát hiện và xử lý nghiêm. - HUMAN-ENF1]]</f>
        <v>6</v>
      </c>
      <c r="T377" t="str">
        <f t="shared" si="136"/>
        <v>Neutral</v>
      </c>
      <c r="U377" s="32">
        <f t="shared" si="137"/>
        <v>1</v>
      </c>
      <c r="V377">
        <f>step3_validation[[#This Row],[AI_ENF2]]</f>
        <v>8</v>
      </c>
      <c r="W377" t="str">
        <f t="shared" si="138"/>
        <v>Support</v>
      </c>
      <c r="X377">
        <f>survey_responses[[#This Row],[Tôi tin rằng Nhà nước, cơ quan thuế có đủ khả năng và công nghệ để phát hiện, xử lý nghiêm các hành vi trốn thuế. - HUMAN-ENF2]]</f>
        <v>6</v>
      </c>
      <c r="Y377" t="str">
        <f t="shared" si="139"/>
        <v>Neutral</v>
      </c>
      <c r="Z377" s="32">
        <f t="shared" si="140"/>
        <v>2</v>
      </c>
      <c r="AA377">
        <f>step3_validation[[#This Row],[AI_FAC1]]</f>
        <v>6</v>
      </c>
      <c r="AB377" t="str">
        <f t="shared" si="141"/>
        <v>Neutral</v>
      </c>
      <c r="AC377">
        <f>survey_responses[[#This Row],[Các thủ tục khai báo thuế VÀ/HOẶC quy trình làm việc với cơ quan thuế đơn giản, tiện lợi, nhanh chóng hơn so với trước đây. - HUMAN-FAC1]]</f>
        <v>5</v>
      </c>
      <c r="AD377" t="str">
        <f t="shared" si="142"/>
        <v>Neutral</v>
      </c>
      <c r="AE377" s="32">
        <f t="shared" si="143"/>
        <v>1</v>
      </c>
      <c r="AF377">
        <f>step3_validation[[#This Row],[AI_FAC2]]</f>
        <v>9</v>
      </c>
      <c r="AG377" t="str">
        <f t="shared" si="144"/>
        <v>Support</v>
      </c>
      <c r="AH377">
        <f>survey_responses[[#This Row],[So với trước đây, tôi thấy cách tính thuế và các bậc thuế trong phương án mới đơn giản, dễ hiểu và dễ thực hiện hơn. - HUMAN-FAC2]]</f>
        <v>7</v>
      </c>
      <c r="AI377" t="str">
        <f t="shared" si="145"/>
        <v>Neutral</v>
      </c>
      <c r="AJ377" s="32">
        <f t="shared" si="146"/>
        <v>2</v>
      </c>
      <c r="AK377">
        <f>step3_validation[[#This Row],[AI_TRU1]]</f>
        <v>7</v>
      </c>
      <c r="AL377" t="str">
        <f t="shared" si="147"/>
        <v>Neutral</v>
      </c>
      <c r="AM377">
        <f>survey_responses[[#This Row],[Tôi tin rằng Nhà nước, cơ quan thuế sẽ thực thi chính sách mới một cách khách quan, công tâm và đối xử bình đẳng với mọi người nộp thuế.  - HUMAN-TRU1]]</f>
        <v>6</v>
      </c>
      <c r="AN377" t="str">
        <f t="shared" si="148"/>
        <v>Neutral</v>
      </c>
      <c r="AO377" s="32">
        <f t="shared" si="149"/>
        <v>1</v>
      </c>
      <c r="AP377">
        <f>step3_validation[[#This Row],[AI_TRU2]]</f>
        <v>8</v>
      </c>
      <c r="AQ377" t="str">
        <f t="shared" si="150"/>
        <v>Support</v>
      </c>
      <c r="AR377">
        <f>survey_responses[[#This Row],[Tôi thấy mức thuế tôi phải đóng theo phương án mới là công bằng (người thu nhập như tôi đóng mức này là hợp lý). - HUMAN-TRU2]]</f>
        <v>7</v>
      </c>
      <c r="AS377" t="str">
        <f t="shared" si="151"/>
        <v>Neutral</v>
      </c>
      <c r="AT377" s="32">
        <f t="shared" si="152"/>
        <v>1</v>
      </c>
      <c r="AU377">
        <f>step3_validation[[#This Row],[AI_TRU3]]</f>
        <v>7</v>
      </c>
      <c r="AV377" t="str">
        <f t="shared" si="153"/>
        <v>Neutral</v>
      </c>
      <c r="AW377">
        <f>survey_responses[[#This Row],[Tôi tin tưởng số tiền thuế tôi đóng sẽ được Nhà nước sử dụng hiệu quả để cải thiện dịch vụ công (y tế, đường xá...). - HUMAN-TRU3]]</f>
        <v>5</v>
      </c>
      <c r="AX377" t="str">
        <f t="shared" si="154"/>
        <v>Neutral</v>
      </c>
      <c r="AY377" s="32">
        <f t="shared" si="155"/>
        <v>2</v>
      </c>
      <c r="AZ377">
        <f>step3_validation[[#This Row],[AI_TRU4]]</f>
        <v>6</v>
      </c>
      <c r="BA377" t="str">
        <f t="shared" si="156"/>
        <v>Neutral</v>
      </c>
      <c r="BB377">
        <f>survey_responses[[#This Row],[Tôi thấy Nhà nước đã giải thích rõ ràng, minh bạch về lý do và mục tiêu của việc sửa đổi thuế lần này. - HUMAN-TRU4]]</f>
        <v>6</v>
      </c>
      <c r="BC377" t="str">
        <f t="shared" si="157"/>
        <v>Neutral</v>
      </c>
      <c r="BD377" s="32">
        <f t="shared" si="158"/>
        <v>0</v>
      </c>
      <c r="BE377">
        <f>step3_validation[[#This Row],[AI_OUT1]]</f>
        <v>8</v>
      </c>
      <c r="BF377" t="str">
        <f t="shared" si="159"/>
        <v>Support</v>
      </c>
      <c r="BG377">
        <f>survey_responses[[#This Row],[Sau khi xem xét các quyền lợi và nghĩa vụ, bạn có ủng hộ và tuân thủ chính sách mới hiện nay? - HUMAN-OUT1]]</f>
        <v>7</v>
      </c>
      <c r="BH377" t="str">
        <f t="shared" si="160"/>
        <v>Neutral</v>
      </c>
      <c r="BI377" s="32">
        <f t="shared" si="161"/>
        <v>1</v>
      </c>
    </row>
    <row r="378" spans="1:61" x14ac:dyDescent="0.45">
      <c r="A378" s="30">
        <f>step3_validation[[#This Row],[Persona_ID]]</f>
        <v>377</v>
      </c>
      <c r="B378" s="31">
        <f>step3_validation[[#This Row],[Used_Seed]]</f>
        <v>2402</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14.61537675247185</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7</v>
      </c>
      <c r="R378" t="str">
        <f t="shared" si="135"/>
        <v>Neutral</v>
      </c>
      <c r="S378">
        <f>survey_responses[[#This Row],[Tôi tin rằng với các quy định quản lý thuế hiện nay, hành vi gian lận hoặc trốn thuế sẽ dễ dàng bị phát hiện và xử lý nghiêm. - HUMAN-ENF1]]</f>
        <v>7</v>
      </c>
      <c r="T378" t="str">
        <f t="shared" si="136"/>
        <v>Neutral</v>
      </c>
      <c r="U378" s="32">
        <f t="shared" si="137"/>
        <v>0</v>
      </c>
      <c r="V378">
        <f>step3_validation[[#This Row],[AI_ENF2]]</f>
        <v>6</v>
      </c>
      <c r="W378" t="str">
        <f t="shared" si="138"/>
        <v>Neutral</v>
      </c>
      <c r="X378">
        <f>survey_responses[[#This Row],[Tôi tin rằng Nhà nước, cơ quan thuế có đủ khả năng và công nghệ để phát hiện, xử lý nghiêm các hành vi trốn thuế. - HUMAN-ENF2]]</f>
        <v>8</v>
      </c>
      <c r="Y378" t="str">
        <f t="shared" si="139"/>
        <v>Support</v>
      </c>
      <c r="Z378" s="32">
        <f t="shared" si="140"/>
        <v>2</v>
      </c>
      <c r="AA378">
        <f>step3_validation[[#This Row],[AI_FAC1]]</f>
        <v>9</v>
      </c>
      <c r="AB378" t="str">
        <f t="shared" si="141"/>
        <v>Support</v>
      </c>
      <c r="AC378">
        <f>survey_responses[[#This Row],[Các thủ tục khai báo thuế VÀ/HOẶC quy trình làm việc với cơ quan thuế đơn giản, tiện lợi, nhanh chóng hơn so với trước đây. - HUMAN-FAC1]]</f>
        <v>7</v>
      </c>
      <c r="AD378" t="str">
        <f t="shared" si="142"/>
        <v>Neutral</v>
      </c>
      <c r="AE378" s="32">
        <f t="shared" si="143"/>
        <v>2</v>
      </c>
      <c r="AF378">
        <f>step3_validation[[#This Row],[AI_FAC2]]</f>
        <v>8</v>
      </c>
      <c r="AG378" t="str">
        <f t="shared" si="144"/>
        <v>Support</v>
      </c>
      <c r="AH378">
        <f>survey_responses[[#This Row],[So với trước đây, tôi thấy cách tính thuế và các bậc thuế trong phương án mới đơn giản, dễ hiểu và dễ thực hiện hơn. - HUMAN-FAC2]]</f>
        <v>7</v>
      </c>
      <c r="AI378" t="str">
        <f t="shared" si="145"/>
        <v>Neutral</v>
      </c>
      <c r="AJ378" s="32">
        <f t="shared" si="146"/>
        <v>1</v>
      </c>
      <c r="AK378">
        <f>step3_validation[[#This Row],[AI_TRU1]]</f>
        <v>7</v>
      </c>
      <c r="AL378" t="str">
        <f t="shared" si="147"/>
        <v>Neutral</v>
      </c>
      <c r="AM378">
        <f>survey_responses[[#This Row],[Tôi tin rằng Nhà nước, cơ quan thuế sẽ thực thi chính sách mới một cách khách quan, công tâm và đối xử bình đẳng với mọi người nộp thuế.  - HUMAN-TRU1]]</f>
        <v>8</v>
      </c>
      <c r="AN378" t="str">
        <f t="shared" si="148"/>
        <v>Support</v>
      </c>
      <c r="AO378" s="32">
        <f t="shared" si="149"/>
        <v>1</v>
      </c>
      <c r="AP378">
        <f>step3_validation[[#This Row],[AI_TRU2]]</f>
        <v>9</v>
      </c>
      <c r="AQ378" t="str">
        <f t="shared" si="150"/>
        <v>Support</v>
      </c>
      <c r="AR378">
        <f>survey_responses[[#This Row],[Tôi thấy mức thuế tôi phải đóng theo phương án mới là công bằng (người thu nhập như tôi đóng mức này là hợp lý). - HUMAN-TRU2]]</f>
        <v>9</v>
      </c>
      <c r="AS378" t="str">
        <f t="shared" si="151"/>
        <v>Support</v>
      </c>
      <c r="AT378" s="32">
        <f t="shared" si="152"/>
        <v>0</v>
      </c>
      <c r="AU378">
        <f>step3_validation[[#This Row],[AI_TRU3]]</f>
        <v>8</v>
      </c>
      <c r="AV378" t="str">
        <f t="shared" si="153"/>
        <v>Support</v>
      </c>
      <c r="AW378">
        <f>survey_responses[[#This Row],[Tôi tin tưởng số tiền thuế tôi đóng sẽ được Nhà nước sử dụng hiệu quả để cải thiện dịch vụ công (y tế, đường xá...). - HUMAN-TRU3]]</f>
        <v>7</v>
      </c>
      <c r="AX378" t="str">
        <f t="shared" si="154"/>
        <v>Neutral</v>
      </c>
      <c r="AY378" s="32">
        <f t="shared" si="155"/>
        <v>1</v>
      </c>
      <c r="AZ378">
        <f>step3_validation[[#This Row],[AI_TRU4]]</f>
        <v>7</v>
      </c>
      <c r="BA378" t="str">
        <f t="shared" si="156"/>
        <v>Neutral</v>
      </c>
      <c r="BB378">
        <f>survey_responses[[#This Row],[Tôi thấy Nhà nước đã giải thích rõ ràng, minh bạch về lý do và mục tiêu của việc sửa đổi thuế lần này. - HUMAN-TRU4]]</f>
        <v>7</v>
      </c>
      <c r="BC378" t="str">
        <f t="shared" si="157"/>
        <v>Neutral</v>
      </c>
      <c r="BD378" s="32">
        <f t="shared" si="158"/>
        <v>0</v>
      </c>
      <c r="BE378">
        <f>step3_validation[[#This Row],[AI_OUT1]]</f>
        <v>9</v>
      </c>
      <c r="BF378" t="str">
        <f t="shared" si="159"/>
        <v>Support</v>
      </c>
      <c r="BG378">
        <f>survey_responses[[#This Row],[Sau khi xem xét các quyền lợi và nghĩa vụ, bạn có ủng hộ và tuân thủ chính sách mới hiện nay? - HUMAN-OUT1]]</f>
        <v>8</v>
      </c>
      <c r="BH378" t="str">
        <f t="shared" si="160"/>
        <v>Support</v>
      </c>
      <c r="BI378" s="32">
        <f t="shared" si="161"/>
        <v>1</v>
      </c>
    </row>
    <row r="379" spans="1:61" x14ac:dyDescent="0.45">
      <c r="A379" s="30">
        <f>step3_validation[[#This Row],[Persona_ID]]</f>
        <v>378</v>
      </c>
      <c r="B379" s="31">
        <f>step3_validation[[#This Row],[Used_Seed]]</f>
        <v>2403</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19.663740781343243</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6</v>
      </c>
      <c r="R379" t="str">
        <f t="shared" si="135"/>
        <v>Neutral</v>
      </c>
      <c r="S379">
        <f>survey_responses[[#This Row],[Tôi tin rằng với các quy định quản lý thuế hiện nay, hành vi gian lận hoặc trốn thuế sẽ dễ dàng bị phát hiện và xử lý nghiêm. - HUMAN-ENF1]]</f>
        <v>6</v>
      </c>
      <c r="T379" t="str">
        <f t="shared" si="136"/>
        <v>Neutral</v>
      </c>
      <c r="U379" s="32">
        <f t="shared" si="137"/>
        <v>0</v>
      </c>
      <c r="V379">
        <f>step3_validation[[#This Row],[AI_ENF2]]</f>
        <v>7</v>
      </c>
      <c r="W379" t="str">
        <f t="shared" si="138"/>
        <v>Neutral</v>
      </c>
      <c r="X379">
        <f>survey_responses[[#This Row],[Tôi tin rằng Nhà nước, cơ quan thuế có đủ khả năng và công nghệ để phát hiện, xử lý nghiêm các hành vi trốn thuế. - HUMAN-ENF2]]</f>
        <v>7</v>
      </c>
      <c r="Y379" t="str">
        <f t="shared" si="139"/>
        <v>Neutral</v>
      </c>
      <c r="Z379" s="32">
        <f t="shared" si="140"/>
        <v>0</v>
      </c>
      <c r="AA379">
        <f>step3_validation[[#This Row],[AI_FAC1]]</f>
        <v>9</v>
      </c>
      <c r="AB379" t="str">
        <f t="shared" si="141"/>
        <v>Support</v>
      </c>
      <c r="AC379">
        <f>survey_responses[[#This Row],[Các thủ tục khai báo thuế VÀ/HOẶC quy trình làm việc với cơ quan thuế đơn giản, tiện lợi, nhanh chóng hơn so với trước đây. - HUMAN-FAC1]]</f>
        <v>5</v>
      </c>
      <c r="AD379" t="str">
        <f t="shared" si="142"/>
        <v>Neutral</v>
      </c>
      <c r="AE379" s="32">
        <f t="shared" si="143"/>
        <v>4</v>
      </c>
      <c r="AF379">
        <f>step3_validation[[#This Row],[AI_FAC2]]</f>
        <v>9</v>
      </c>
      <c r="AG379" t="str">
        <f t="shared" si="144"/>
        <v>Support</v>
      </c>
      <c r="AH379">
        <f>survey_responses[[#This Row],[So với trước đây, tôi thấy cách tính thuế và các bậc thuế trong phương án mới đơn giản, dễ hiểu và dễ thực hiện hơn. - HUMAN-FAC2]]</f>
        <v>8</v>
      </c>
      <c r="AI379" t="str">
        <f t="shared" si="145"/>
        <v>Support</v>
      </c>
      <c r="AJ379" s="32">
        <f t="shared" si="146"/>
        <v>1</v>
      </c>
      <c r="AK379">
        <f>step3_validation[[#This Row],[AI_TRU1]]</f>
        <v>8</v>
      </c>
      <c r="AL379" t="str">
        <f t="shared" si="147"/>
        <v>Support</v>
      </c>
      <c r="AM379">
        <f>survey_responses[[#This Row],[Tôi tin rằng Nhà nước, cơ quan thuế sẽ thực thi chính sách mới một cách khách quan, công tâm và đối xử bình đẳng với mọi người nộp thuế.  - HUMAN-TRU1]]</f>
        <v>7</v>
      </c>
      <c r="AN379" t="str">
        <f t="shared" si="148"/>
        <v>Neutral</v>
      </c>
      <c r="AO379" s="32">
        <f t="shared" si="149"/>
        <v>1</v>
      </c>
      <c r="AP379">
        <f>step3_validation[[#This Row],[AI_TRU2]]</f>
        <v>9</v>
      </c>
      <c r="AQ379" t="str">
        <f t="shared" si="150"/>
        <v>Support</v>
      </c>
      <c r="AR379">
        <f>survey_responses[[#This Row],[Tôi thấy mức thuế tôi phải đóng theo phương án mới là công bằng (người thu nhập như tôi đóng mức này là hợp lý). - HUMAN-TRU2]]</f>
        <v>7</v>
      </c>
      <c r="AS379" t="str">
        <f t="shared" si="151"/>
        <v>Neutral</v>
      </c>
      <c r="AT379" s="32">
        <f t="shared" si="152"/>
        <v>2</v>
      </c>
      <c r="AU379">
        <f>step3_validation[[#This Row],[AI_TRU3]]</f>
        <v>8</v>
      </c>
      <c r="AV379" t="str">
        <f t="shared" si="153"/>
        <v>Support</v>
      </c>
      <c r="AW379">
        <f>survey_responses[[#This Row],[Tôi tin tưởng số tiền thuế tôi đóng sẽ được Nhà nước sử dụng hiệu quả để cải thiện dịch vụ công (y tế, đường xá...). - HUMAN-TRU3]]</f>
        <v>7</v>
      </c>
      <c r="AX379" t="str">
        <f t="shared" si="154"/>
        <v>Neutral</v>
      </c>
      <c r="AY379" s="32">
        <f t="shared" si="155"/>
        <v>1</v>
      </c>
      <c r="AZ379">
        <f>step3_validation[[#This Row],[AI_TRU4]]</f>
        <v>9</v>
      </c>
      <c r="BA379" t="str">
        <f t="shared" si="156"/>
        <v>Support</v>
      </c>
      <c r="BB379">
        <f>survey_responses[[#This Row],[Tôi thấy Nhà nước đã giải thích rõ ràng, minh bạch về lý do và mục tiêu của việc sửa đổi thuế lần này. - HUMAN-TRU4]]</f>
        <v>7</v>
      </c>
      <c r="BC379" t="str">
        <f t="shared" si="157"/>
        <v>Neutral</v>
      </c>
      <c r="BD379" s="32">
        <f t="shared" si="158"/>
        <v>2</v>
      </c>
      <c r="BE379">
        <f>step3_validation[[#This Row],[AI_OUT1]]</f>
        <v>8</v>
      </c>
      <c r="BF379" t="str">
        <f t="shared" si="159"/>
        <v>Support</v>
      </c>
      <c r="BG379">
        <f>survey_responses[[#This Row],[Sau khi xem xét các quyền lợi và nghĩa vụ, bạn có ủng hộ và tuân thủ chính sách mới hiện nay? - HUMAN-OUT1]]</f>
        <v>8</v>
      </c>
      <c r="BH379" t="str">
        <f t="shared" si="160"/>
        <v>Support</v>
      </c>
      <c r="BI379" s="32">
        <f t="shared" si="161"/>
        <v>0</v>
      </c>
    </row>
    <row r="380" spans="1:61" x14ac:dyDescent="0.45">
      <c r="A380" s="30">
        <f>step3_validation[[#This Row],[Persona_ID]]</f>
        <v>379</v>
      </c>
      <c r="B380" s="31">
        <f>step3_validation[[#This Row],[Used_Seed]]</f>
        <v>2404</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15.231577486275919</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6</v>
      </c>
      <c r="R380" t="str">
        <f t="shared" si="135"/>
        <v>Neutral</v>
      </c>
      <c r="S380">
        <f>survey_responses[[#This Row],[Tôi tin rằng với các quy định quản lý thuế hiện nay, hành vi gian lận hoặc trốn thuế sẽ dễ dàng bị phát hiện và xử lý nghiêm. - HUMAN-ENF1]]</f>
        <v>8</v>
      </c>
      <c r="T380" t="str">
        <f t="shared" si="136"/>
        <v>Support</v>
      </c>
      <c r="U380" s="32">
        <f t="shared" si="137"/>
        <v>2</v>
      </c>
      <c r="V380">
        <f>step3_validation[[#This Row],[AI_ENF2]]</f>
        <v>7</v>
      </c>
      <c r="W380" t="str">
        <f t="shared" si="138"/>
        <v>Neutral</v>
      </c>
      <c r="X380">
        <f>survey_responses[[#This Row],[Tôi tin rằng Nhà nước, cơ quan thuế có đủ khả năng và công nghệ để phát hiện, xử lý nghiêm các hành vi trốn thuế. - HUMAN-ENF2]]</f>
        <v>8</v>
      </c>
      <c r="Y380" t="str">
        <f t="shared" si="139"/>
        <v>Support</v>
      </c>
      <c r="Z380" s="32">
        <f t="shared" si="140"/>
        <v>1</v>
      </c>
      <c r="AA380">
        <f>step3_validation[[#This Row],[AI_FAC1]]</f>
        <v>9</v>
      </c>
      <c r="AB380" t="str">
        <f t="shared" si="141"/>
        <v>Support</v>
      </c>
      <c r="AC380">
        <f>survey_responses[[#This Row],[Các thủ tục khai báo thuế VÀ/HOẶC quy trình làm việc với cơ quan thuế đơn giản, tiện lợi, nhanh chóng hơn so với trước đây. - HUMAN-FAC1]]</f>
        <v>9</v>
      </c>
      <c r="AD380" t="str">
        <f t="shared" si="142"/>
        <v>Support</v>
      </c>
      <c r="AE380" s="32">
        <f t="shared" si="143"/>
        <v>0</v>
      </c>
      <c r="AF380">
        <f>step3_validation[[#This Row],[AI_FAC2]]</f>
        <v>9</v>
      </c>
      <c r="AG380" t="str">
        <f t="shared" si="144"/>
        <v>Support</v>
      </c>
      <c r="AH380">
        <f>survey_responses[[#This Row],[So với trước đây, tôi thấy cách tính thuế và các bậc thuế trong phương án mới đơn giản, dễ hiểu và dễ thực hiện hơn. - HUMAN-FAC2]]</f>
        <v>9</v>
      </c>
      <c r="AI380" t="str">
        <f t="shared" si="145"/>
        <v>Support</v>
      </c>
      <c r="AJ380" s="32">
        <f t="shared" si="146"/>
        <v>0</v>
      </c>
      <c r="AK380">
        <f>step3_validation[[#This Row],[AI_TRU1]]</f>
        <v>8</v>
      </c>
      <c r="AL380" t="str">
        <f t="shared" si="147"/>
        <v>Support</v>
      </c>
      <c r="AM380">
        <f>survey_responses[[#This Row],[Tôi tin rằng Nhà nước, cơ quan thuế sẽ thực thi chính sách mới một cách khách quan, công tâm và đối xử bình đẳng với mọi người nộp thuế.  - HUMAN-TRU1]]</f>
        <v>7</v>
      </c>
      <c r="AN380" t="str">
        <f t="shared" si="148"/>
        <v>Neutral</v>
      </c>
      <c r="AO380" s="32">
        <f t="shared" si="149"/>
        <v>1</v>
      </c>
      <c r="AP380">
        <f>step3_validation[[#This Row],[AI_TRU2]]</f>
        <v>9</v>
      </c>
      <c r="AQ380" t="str">
        <f t="shared" si="150"/>
        <v>Support</v>
      </c>
      <c r="AR380">
        <f>survey_responses[[#This Row],[Tôi thấy mức thuế tôi phải đóng theo phương án mới là công bằng (người thu nhập như tôi đóng mức này là hợp lý). - HUMAN-TRU2]]</f>
        <v>9</v>
      </c>
      <c r="AS380" t="str">
        <f t="shared" si="151"/>
        <v>Support</v>
      </c>
      <c r="AT380" s="32">
        <f t="shared" si="152"/>
        <v>0</v>
      </c>
      <c r="AU380">
        <f>step3_validation[[#This Row],[AI_TRU3]]</f>
        <v>8</v>
      </c>
      <c r="AV380" t="str">
        <f t="shared" si="153"/>
        <v>Support</v>
      </c>
      <c r="AW380">
        <f>survey_responses[[#This Row],[Tôi tin tưởng số tiền thuế tôi đóng sẽ được Nhà nước sử dụng hiệu quả để cải thiện dịch vụ công (y tế, đường xá...). - HUMAN-TRU3]]</f>
        <v>7</v>
      </c>
      <c r="AX380" t="str">
        <f t="shared" si="154"/>
        <v>Neutral</v>
      </c>
      <c r="AY380" s="32">
        <f t="shared" si="155"/>
        <v>1</v>
      </c>
      <c r="AZ380">
        <f>step3_validation[[#This Row],[AI_TRU4]]</f>
        <v>7</v>
      </c>
      <c r="BA380" t="str">
        <f t="shared" si="156"/>
        <v>Neutral</v>
      </c>
      <c r="BB380">
        <f>survey_responses[[#This Row],[Tôi thấy Nhà nước đã giải thích rõ ràng, minh bạch về lý do và mục tiêu của việc sửa đổi thuế lần này. - HUMAN-TRU4]]</f>
        <v>7</v>
      </c>
      <c r="BC380" t="str">
        <f t="shared" si="157"/>
        <v>Neutral</v>
      </c>
      <c r="BD380" s="32">
        <f t="shared" si="158"/>
        <v>0</v>
      </c>
      <c r="BE380">
        <f>step3_validation[[#This Row],[AI_OUT1]]</f>
        <v>9</v>
      </c>
      <c r="BF380" t="str">
        <f t="shared" si="159"/>
        <v>Support</v>
      </c>
      <c r="BG380">
        <f>survey_responses[[#This Row],[Sau khi xem xét các quyền lợi và nghĩa vụ, bạn có ủng hộ và tuân thủ chính sách mới hiện nay? - HUMAN-OUT1]]</f>
        <v>9</v>
      </c>
      <c r="BH380" t="str">
        <f t="shared" si="160"/>
        <v>Support</v>
      </c>
      <c r="BI380" s="32">
        <f t="shared" si="161"/>
        <v>0</v>
      </c>
    </row>
    <row r="381" spans="1:61" x14ac:dyDescent="0.45">
      <c r="A381" s="30">
        <f>step3_validation[[#This Row],[Persona_ID]]</f>
        <v>380</v>
      </c>
      <c r="B381" s="31">
        <f>step3_validation[[#This Row],[Used_Seed]]</f>
        <v>2405</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18.842273526529457</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7</v>
      </c>
      <c r="R381" t="str">
        <f t="shared" si="135"/>
        <v>Neutral</v>
      </c>
      <c r="S381">
        <f>survey_responses[[#This Row],[Tôi tin rằng với các quy định quản lý thuế hiện nay, hành vi gian lận hoặc trốn thuế sẽ dễ dàng bị phát hiện và xử lý nghiêm. - HUMAN-ENF1]]</f>
        <v>8</v>
      </c>
      <c r="T381" t="str">
        <f t="shared" si="136"/>
        <v>Support</v>
      </c>
      <c r="U381" s="32">
        <f t="shared" si="137"/>
        <v>1</v>
      </c>
      <c r="V381">
        <f>step3_validation[[#This Row],[AI_ENF2]]</f>
        <v>8</v>
      </c>
      <c r="W381" t="str">
        <f t="shared" si="138"/>
        <v>Support</v>
      </c>
      <c r="X381">
        <f>survey_responses[[#This Row],[Tôi tin rằng Nhà nước, cơ quan thuế có đủ khả năng và công nghệ để phát hiện, xử lý nghiêm các hành vi trốn thuế. - HUMAN-ENF2]]</f>
        <v>8</v>
      </c>
      <c r="Y381" t="str">
        <f t="shared" si="139"/>
        <v>Support</v>
      </c>
      <c r="Z381" s="32">
        <f t="shared" si="140"/>
        <v>0</v>
      </c>
      <c r="AA381">
        <f>step3_validation[[#This Row],[AI_FAC1]]</f>
        <v>6</v>
      </c>
      <c r="AB381" t="str">
        <f t="shared" si="141"/>
        <v>Neutral</v>
      </c>
      <c r="AC381">
        <f>survey_responses[[#This Row],[Các thủ tục khai báo thuế VÀ/HOẶC quy trình làm việc với cơ quan thuế đơn giản, tiện lợi, nhanh chóng hơn so với trước đây. - HUMAN-FAC1]]</f>
        <v>5</v>
      </c>
      <c r="AD381" t="str">
        <f t="shared" si="142"/>
        <v>Neutral</v>
      </c>
      <c r="AE381" s="32">
        <f t="shared" si="143"/>
        <v>1</v>
      </c>
      <c r="AF381">
        <f>step3_validation[[#This Row],[AI_FAC2]]</f>
        <v>9</v>
      </c>
      <c r="AG381" t="str">
        <f t="shared" si="144"/>
        <v>Support</v>
      </c>
      <c r="AH381">
        <f>survey_responses[[#This Row],[So với trước đây, tôi thấy cách tính thuế và các bậc thuế trong phương án mới đơn giản, dễ hiểu và dễ thực hiện hơn. - HUMAN-FAC2]]</f>
        <v>8</v>
      </c>
      <c r="AI381" t="str">
        <f t="shared" si="145"/>
        <v>Support</v>
      </c>
      <c r="AJ381" s="32">
        <f t="shared" si="146"/>
        <v>1</v>
      </c>
      <c r="AK381">
        <f>step3_validation[[#This Row],[AI_TRU1]]</f>
        <v>7</v>
      </c>
      <c r="AL381" t="str">
        <f t="shared" si="147"/>
        <v>Neutral</v>
      </c>
      <c r="AM381">
        <f>survey_responses[[#This Row],[Tôi tin rằng Nhà nước, cơ quan thuế sẽ thực thi chính sách mới một cách khách quan, công tâm và đối xử bình đẳng với mọi người nộp thuế.  - HUMAN-TRU1]]</f>
        <v>6</v>
      </c>
      <c r="AN381" t="str">
        <f t="shared" si="148"/>
        <v>Neutral</v>
      </c>
      <c r="AO381" s="32">
        <f t="shared" si="149"/>
        <v>1</v>
      </c>
      <c r="AP381">
        <f>step3_validation[[#This Row],[AI_TRU2]]</f>
        <v>9</v>
      </c>
      <c r="AQ381" t="str">
        <f t="shared" si="150"/>
        <v>Support</v>
      </c>
      <c r="AR381">
        <f>survey_responses[[#This Row],[Tôi thấy mức thuế tôi phải đóng theo phương án mới là công bằng (người thu nhập như tôi đóng mức này là hợp lý). - HUMAN-TRU2]]</f>
        <v>9</v>
      </c>
      <c r="AS381" t="str">
        <f t="shared" si="151"/>
        <v>Support</v>
      </c>
      <c r="AT381" s="32">
        <f t="shared" si="152"/>
        <v>0</v>
      </c>
      <c r="AU381">
        <f>step3_validation[[#This Row],[AI_TRU3]]</f>
        <v>8</v>
      </c>
      <c r="AV381" t="str">
        <f t="shared" si="153"/>
        <v>Support</v>
      </c>
      <c r="AW381">
        <f>survey_responses[[#This Row],[Tôi tin tưởng số tiền thuế tôi đóng sẽ được Nhà nước sử dụng hiệu quả để cải thiện dịch vụ công (y tế, đường xá...). - HUMAN-TRU3]]</f>
        <v>5</v>
      </c>
      <c r="AX381" t="str">
        <f t="shared" si="154"/>
        <v>Neutral</v>
      </c>
      <c r="AY381" s="32">
        <f t="shared" si="155"/>
        <v>3</v>
      </c>
      <c r="AZ381">
        <f>step3_validation[[#This Row],[AI_TRU4]]</f>
        <v>7</v>
      </c>
      <c r="BA381" t="str">
        <f t="shared" si="156"/>
        <v>Neutral</v>
      </c>
      <c r="BB381">
        <f>survey_responses[[#This Row],[Tôi thấy Nhà nước đã giải thích rõ ràng, minh bạch về lý do và mục tiêu của việc sửa đổi thuế lần này. - HUMAN-TRU4]]</f>
        <v>7</v>
      </c>
      <c r="BC381" t="str">
        <f t="shared" si="157"/>
        <v>Neutral</v>
      </c>
      <c r="BD381" s="32">
        <f t="shared" si="158"/>
        <v>0</v>
      </c>
      <c r="BE381">
        <f>step3_validation[[#This Row],[AI_OUT1]]</f>
        <v>8</v>
      </c>
      <c r="BF381" t="str">
        <f t="shared" si="159"/>
        <v>Support</v>
      </c>
      <c r="BG381">
        <f>survey_responses[[#This Row],[Sau khi xem xét các quyền lợi và nghĩa vụ, bạn có ủng hộ và tuân thủ chính sách mới hiện nay? - HUMAN-OUT1]]</f>
        <v>8</v>
      </c>
      <c r="BH381" t="str">
        <f t="shared" si="160"/>
        <v>Support</v>
      </c>
      <c r="BI381" s="32">
        <f t="shared" si="161"/>
        <v>0</v>
      </c>
    </row>
    <row r="382" spans="1:61" x14ac:dyDescent="0.45">
      <c r="A382" s="30">
        <f>step3_validation[[#This Row],[Persona_ID]]</f>
        <v>381</v>
      </c>
      <c r="B382" s="31">
        <f>step3_validation[[#This Row],[Used_Seed]]</f>
        <v>2406</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14.982028923382137</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8</v>
      </c>
      <c r="R382" t="str">
        <f t="shared" si="135"/>
        <v>Support</v>
      </c>
      <c r="S382">
        <f>survey_responses[[#This Row],[Tôi tin rằng với các quy định quản lý thuế hiện nay, hành vi gian lận hoặc trốn thuế sẽ dễ dàng bị phát hiện và xử lý nghiêm. - HUMAN-ENF1]]</f>
        <v>9</v>
      </c>
      <c r="T382" t="str">
        <f t="shared" si="136"/>
        <v>Support</v>
      </c>
      <c r="U382" s="32">
        <f t="shared" si="137"/>
        <v>1</v>
      </c>
      <c r="V382">
        <f>step3_validation[[#This Row],[AI_ENF2]]</f>
        <v>7</v>
      </c>
      <c r="W382" t="str">
        <f t="shared" si="138"/>
        <v>Neutral</v>
      </c>
      <c r="X382">
        <f>survey_responses[[#This Row],[Tôi tin rằng Nhà nước, cơ quan thuế có đủ khả năng và công nghệ để phát hiện, xử lý nghiêm các hành vi trốn thuế. - HUMAN-ENF2]]</f>
        <v>9</v>
      </c>
      <c r="Y382" t="str">
        <f t="shared" si="139"/>
        <v>Support</v>
      </c>
      <c r="Z382" s="32">
        <f t="shared" si="140"/>
        <v>2</v>
      </c>
      <c r="AA382">
        <f>step3_validation[[#This Row],[AI_FAC1]]</f>
        <v>9</v>
      </c>
      <c r="AB382" t="str">
        <f t="shared" si="141"/>
        <v>Support</v>
      </c>
      <c r="AC382">
        <f>survey_responses[[#This Row],[Các thủ tục khai báo thuế VÀ/HOẶC quy trình làm việc với cơ quan thuế đơn giản, tiện lợi, nhanh chóng hơn so với trước đây. - HUMAN-FAC1]]</f>
        <v>8</v>
      </c>
      <c r="AD382" t="str">
        <f t="shared" si="142"/>
        <v>Support</v>
      </c>
      <c r="AE382" s="32">
        <f t="shared" si="143"/>
        <v>1</v>
      </c>
      <c r="AF382">
        <f>step3_validation[[#This Row],[AI_FAC2]]</f>
        <v>8</v>
      </c>
      <c r="AG382" t="str">
        <f t="shared" si="144"/>
        <v>Support</v>
      </c>
      <c r="AH382">
        <f>survey_responses[[#This Row],[So với trước đây, tôi thấy cách tính thuế và các bậc thuế trong phương án mới đơn giản, dễ hiểu và dễ thực hiện hơn. - HUMAN-FAC2]]</f>
        <v>9</v>
      </c>
      <c r="AI382" t="str">
        <f t="shared" si="145"/>
        <v>Support</v>
      </c>
      <c r="AJ382" s="32">
        <f t="shared" si="146"/>
        <v>1</v>
      </c>
      <c r="AK382">
        <f>step3_validation[[#This Row],[AI_TRU1]]</f>
        <v>9</v>
      </c>
      <c r="AL382" t="str">
        <f t="shared" si="147"/>
        <v>Support</v>
      </c>
      <c r="AM382">
        <f>survey_responses[[#This Row],[Tôi tin rằng Nhà nước, cơ quan thuế sẽ thực thi chính sách mới một cách khách quan, công tâm và đối xử bình đẳng với mọi người nộp thuế.  - HUMAN-TRU1]]</f>
        <v>8</v>
      </c>
      <c r="AN382" t="str">
        <f t="shared" si="148"/>
        <v>Support</v>
      </c>
      <c r="AO382" s="32">
        <f t="shared" si="149"/>
        <v>1</v>
      </c>
      <c r="AP382">
        <f>step3_validation[[#This Row],[AI_TRU2]]</f>
        <v>9</v>
      </c>
      <c r="AQ382" t="str">
        <f t="shared" si="150"/>
        <v>Support</v>
      </c>
      <c r="AR382">
        <f>survey_responses[[#This Row],[Tôi thấy mức thuế tôi phải đóng theo phương án mới là công bằng (người thu nhập như tôi đóng mức này là hợp lý). - HUMAN-TRU2]]</f>
        <v>10</v>
      </c>
      <c r="AS382" t="str">
        <f t="shared" si="151"/>
        <v>Support</v>
      </c>
      <c r="AT382" s="32">
        <f t="shared" si="152"/>
        <v>1</v>
      </c>
      <c r="AU382">
        <f>step3_validation[[#This Row],[AI_TRU3]]</f>
        <v>8</v>
      </c>
      <c r="AV382" t="str">
        <f t="shared" si="153"/>
        <v>Support</v>
      </c>
      <c r="AW382">
        <f>survey_responses[[#This Row],[Tôi tin tưởng số tiền thuế tôi đóng sẽ được Nhà nước sử dụng hiệu quả để cải thiện dịch vụ công (y tế, đường xá...). - HUMAN-TRU3]]</f>
        <v>8</v>
      </c>
      <c r="AX382" t="str">
        <f t="shared" si="154"/>
        <v>Support</v>
      </c>
      <c r="AY382" s="32">
        <f t="shared" si="155"/>
        <v>0</v>
      </c>
      <c r="AZ382">
        <f>step3_validation[[#This Row],[AI_TRU4]]</f>
        <v>9</v>
      </c>
      <c r="BA382" t="str">
        <f t="shared" si="156"/>
        <v>Support</v>
      </c>
      <c r="BB382">
        <f>survey_responses[[#This Row],[Tôi thấy Nhà nước đã giải thích rõ ràng, minh bạch về lý do và mục tiêu của việc sửa đổi thuế lần này. - HUMAN-TRU4]]</f>
        <v>8</v>
      </c>
      <c r="BC382" t="str">
        <f t="shared" si="157"/>
        <v>Support</v>
      </c>
      <c r="BD382" s="32">
        <f t="shared" si="158"/>
        <v>1</v>
      </c>
      <c r="BE382">
        <f>step3_validation[[#This Row],[AI_OUT1]]</f>
        <v>9</v>
      </c>
      <c r="BF382" t="str">
        <f t="shared" si="159"/>
        <v>Support</v>
      </c>
      <c r="BG382">
        <f>survey_responses[[#This Row],[Sau khi xem xét các quyền lợi và nghĩa vụ, bạn có ủng hộ và tuân thủ chính sách mới hiện nay? - HUMAN-OUT1]]</f>
        <v>10</v>
      </c>
      <c r="BH382" t="str">
        <f t="shared" si="160"/>
        <v>Support</v>
      </c>
      <c r="BI382" s="32">
        <f t="shared" si="161"/>
        <v>1</v>
      </c>
    </row>
    <row r="383" spans="1:61" x14ac:dyDescent="0.45">
      <c r="A383" s="30">
        <f>step3_validation[[#This Row],[Persona_ID]]</f>
        <v>382</v>
      </c>
      <c r="B383" s="31">
        <f>step3_validation[[#This Row],[Used_Seed]]</f>
        <v>2407</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21.251208618702442</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5</v>
      </c>
      <c r="R383" t="str">
        <f t="shared" si="135"/>
        <v>Neutral</v>
      </c>
      <c r="S383">
        <f>survey_responses[[#This Row],[Tôi tin rằng với các quy định quản lý thuế hiện nay, hành vi gian lận hoặc trốn thuế sẽ dễ dàng bị phát hiện và xử lý nghiêm. - HUMAN-ENF1]]</f>
        <v>5</v>
      </c>
      <c r="T383" t="str">
        <f t="shared" si="136"/>
        <v>Neutral</v>
      </c>
      <c r="U383" s="32">
        <f t="shared" si="137"/>
        <v>0</v>
      </c>
      <c r="V383">
        <f>step3_validation[[#This Row],[AI_ENF2]]</f>
        <v>6</v>
      </c>
      <c r="W383" t="str">
        <f t="shared" si="138"/>
        <v>Neutral</v>
      </c>
      <c r="X383">
        <f>survey_responses[[#This Row],[Tôi tin rằng Nhà nước, cơ quan thuế có đủ khả năng và công nghệ để phát hiện, xử lý nghiêm các hành vi trốn thuế. - HUMAN-ENF2]]</f>
        <v>5</v>
      </c>
      <c r="Y383" t="str">
        <f t="shared" si="139"/>
        <v>Neutral</v>
      </c>
      <c r="Z383" s="32">
        <f t="shared" si="140"/>
        <v>1</v>
      </c>
      <c r="AA383">
        <f>step3_validation[[#This Row],[AI_FAC1]]</f>
        <v>8</v>
      </c>
      <c r="AB383" t="str">
        <f t="shared" si="141"/>
        <v>Support</v>
      </c>
      <c r="AC383">
        <f>survey_responses[[#This Row],[Các thủ tục khai báo thuế VÀ/HOẶC quy trình làm việc với cơ quan thuế đơn giản, tiện lợi, nhanh chóng hơn so với trước đây. - HUMAN-FAC1]]</f>
        <v>4</v>
      </c>
      <c r="AD383" t="str">
        <f t="shared" si="142"/>
        <v>Oppose</v>
      </c>
      <c r="AE383" s="32">
        <f t="shared" si="143"/>
        <v>4</v>
      </c>
      <c r="AF383">
        <f>step3_validation[[#This Row],[AI_FAC2]]</f>
        <v>9</v>
      </c>
      <c r="AG383" t="str">
        <f t="shared" si="144"/>
        <v>Support</v>
      </c>
      <c r="AH383">
        <f>survey_responses[[#This Row],[So với trước đây, tôi thấy cách tính thuế và các bậc thuế trong phương án mới đơn giản, dễ hiểu và dễ thực hiện hơn. - HUMAN-FAC2]]</f>
        <v>8</v>
      </c>
      <c r="AI383" t="str">
        <f t="shared" si="145"/>
        <v>Support</v>
      </c>
      <c r="AJ383" s="32">
        <f t="shared" si="146"/>
        <v>1</v>
      </c>
      <c r="AK383">
        <f>step3_validation[[#This Row],[AI_TRU1]]</f>
        <v>7</v>
      </c>
      <c r="AL383" t="str">
        <f t="shared" si="147"/>
        <v>Neutral</v>
      </c>
      <c r="AM383">
        <f>survey_responses[[#This Row],[Tôi tin rằng Nhà nước, cơ quan thuế sẽ thực thi chính sách mới một cách khách quan, công tâm và đối xử bình đẳng với mọi người nộp thuế.  - HUMAN-TRU1]]</f>
        <v>4</v>
      </c>
      <c r="AN383" t="str">
        <f t="shared" si="148"/>
        <v>Oppose</v>
      </c>
      <c r="AO383" s="32">
        <f t="shared" si="149"/>
        <v>3</v>
      </c>
      <c r="AP383">
        <f>step3_validation[[#This Row],[AI_TRU2]]</f>
        <v>8</v>
      </c>
      <c r="AQ383" t="str">
        <f t="shared" si="150"/>
        <v>Support</v>
      </c>
      <c r="AR383">
        <f>survey_responses[[#This Row],[Tôi thấy mức thuế tôi phải đóng theo phương án mới là công bằng (người thu nhập như tôi đóng mức này là hợp lý). - HUMAN-TRU2]]</f>
        <v>8</v>
      </c>
      <c r="AS383" t="str">
        <f t="shared" si="151"/>
        <v>Support</v>
      </c>
      <c r="AT383" s="32">
        <f t="shared" si="152"/>
        <v>0</v>
      </c>
      <c r="AU383">
        <f>step3_validation[[#This Row],[AI_TRU3]]</f>
        <v>7</v>
      </c>
      <c r="AV383" t="str">
        <f t="shared" si="153"/>
        <v>Neutral</v>
      </c>
      <c r="AW383">
        <f>survey_responses[[#This Row],[Tôi tin tưởng số tiền thuế tôi đóng sẽ được Nhà nước sử dụng hiệu quả để cải thiện dịch vụ công (y tế, đường xá...). - HUMAN-TRU3]]</f>
        <v>4</v>
      </c>
      <c r="AX383" t="str">
        <f t="shared" si="154"/>
        <v>Oppose</v>
      </c>
      <c r="AY383" s="32">
        <f t="shared" si="155"/>
        <v>3</v>
      </c>
      <c r="AZ383">
        <f>step3_validation[[#This Row],[AI_TRU4]]</f>
        <v>6</v>
      </c>
      <c r="BA383" t="str">
        <f t="shared" si="156"/>
        <v>Neutral</v>
      </c>
      <c r="BB383">
        <f>survey_responses[[#This Row],[Tôi thấy Nhà nước đã giải thích rõ ràng, minh bạch về lý do và mục tiêu của việc sửa đổi thuế lần này. - HUMAN-TRU4]]</f>
        <v>5</v>
      </c>
      <c r="BC383" t="str">
        <f t="shared" si="157"/>
        <v>Neutral</v>
      </c>
      <c r="BD383" s="32">
        <f t="shared" si="158"/>
        <v>1</v>
      </c>
      <c r="BE383">
        <f>step3_validation[[#This Row],[AI_OUT1]]</f>
        <v>9</v>
      </c>
      <c r="BF383" t="str">
        <f t="shared" si="159"/>
        <v>Support</v>
      </c>
      <c r="BG383">
        <f>survey_responses[[#This Row],[Sau khi xem xét các quyền lợi và nghĩa vụ, bạn có ủng hộ và tuân thủ chính sách mới hiện nay? - HUMAN-OUT1]]</f>
        <v>7</v>
      </c>
      <c r="BH383" t="str">
        <f t="shared" si="160"/>
        <v>Neutral</v>
      </c>
      <c r="BI383" s="32">
        <f t="shared" si="161"/>
        <v>2</v>
      </c>
    </row>
    <row r="384" spans="1:61" x14ac:dyDescent="0.45">
      <c r="A384" s="30">
        <f>step3_validation[[#This Row],[Persona_ID]]</f>
        <v>383</v>
      </c>
      <c r="B384" s="31">
        <f>step3_validation[[#This Row],[Used_Seed]]</f>
        <v>2408</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78.875972823497776</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8</v>
      </c>
      <c r="R384" t="str">
        <f t="shared" si="135"/>
        <v>Support</v>
      </c>
      <c r="S384">
        <f>survey_responses[[#This Row],[Tôi tin rằng với các quy định quản lý thuế hiện nay, hành vi gian lận hoặc trốn thuế sẽ dễ dàng bị phát hiện và xử lý nghiêm. - HUMAN-ENF1]]</f>
        <v>1</v>
      </c>
      <c r="T384" t="str">
        <f t="shared" si="136"/>
        <v>Oppose</v>
      </c>
      <c r="U384" s="32">
        <f t="shared" si="137"/>
        <v>7</v>
      </c>
      <c r="V384">
        <f>step3_validation[[#This Row],[AI_ENF2]]</f>
        <v>9</v>
      </c>
      <c r="W384" t="str">
        <f t="shared" si="138"/>
        <v>Support</v>
      </c>
      <c r="X384">
        <f>survey_responses[[#This Row],[Tôi tin rằng Nhà nước, cơ quan thuế có đủ khả năng và công nghệ để phát hiện, xử lý nghiêm các hành vi trốn thuế. - HUMAN-ENF2]]</f>
        <v>1</v>
      </c>
      <c r="Y384" t="str">
        <f t="shared" si="139"/>
        <v>Oppose</v>
      </c>
      <c r="Z384" s="32">
        <f t="shared" si="140"/>
        <v>8</v>
      </c>
      <c r="AA384">
        <f>step3_validation[[#This Row],[AI_FAC1]]</f>
        <v>10</v>
      </c>
      <c r="AB384" t="str">
        <f t="shared" si="141"/>
        <v>Support</v>
      </c>
      <c r="AC384">
        <f>survey_responses[[#This Row],[Các thủ tục khai báo thuế VÀ/HOẶC quy trình làm việc với cơ quan thuế đơn giản, tiện lợi, nhanh chóng hơn so với trước đây. - HUMAN-FAC1]]</f>
        <v>4</v>
      </c>
      <c r="AD384" t="str">
        <f t="shared" si="142"/>
        <v>Oppose</v>
      </c>
      <c r="AE384" s="32">
        <f t="shared" si="143"/>
        <v>6</v>
      </c>
      <c r="AF384">
        <f>step3_validation[[#This Row],[AI_FAC2]]</f>
        <v>10</v>
      </c>
      <c r="AG384" t="str">
        <f t="shared" si="144"/>
        <v>Support</v>
      </c>
      <c r="AH384">
        <f>survey_responses[[#This Row],[So với trước đây, tôi thấy cách tính thuế và các bậc thuế trong phương án mới đơn giản, dễ hiểu và dễ thực hiện hơn. - HUMAN-FAC2]]</f>
        <v>5</v>
      </c>
      <c r="AI384" t="str">
        <f t="shared" si="145"/>
        <v>Neutral</v>
      </c>
      <c r="AJ384" s="32">
        <f t="shared" si="146"/>
        <v>5</v>
      </c>
      <c r="AK384">
        <f>step3_validation[[#This Row],[AI_TRU1]]</f>
        <v>9</v>
      </c>
      <c r="AL384" t="str">
        <f t="shared" si="147"/>
        <v>Support</v>
      </c>
      <c r="AM384">
        <f>survey_responses[[#This Row],[Tôi tin rằng Nhà nước, cơ quan thuế sẽ thực thi chính sách mới một cách khách quan, công tâm và đối xử bình đẳng với mọi người nộp thuế.  - HUMAN-TRU1]]</f>
        <v>5</v>
      </c>
      <c r="AN384" t="str">
        <f t="shared" si="148"/>
        <v>Neutral</v>
      </c>
      <c r="AO384" s="32">
        <f t="shared" si="149"/>
        <v>4</v>
      </c>
      <c r="AP384">
        <f>step3_validation[[#This Row],[AI_TRU2]]</f>
        <v>9</v>
      </c>
      <c r="AQ384" t="str">
        <f t="shared" si="150"/>
        <v>Support</v>
      </c>
      <c r="AR384">
        <f>survey_responses[[#This Row],[Tôi thấy mức thuế tôi phải đóng theo phương án mới là công bằng (người thu nhập như tôi đóng mức này là hợp lý). - HUMAN-TRU2]]</f>
        <v>4</v>
      </c>
      <c r="AS384" t="str">
        <f t="shared" si="151"/>
        <v>Oppose</v>
      </c>
      <c r="AT384" s="32">
        <f t="shared" si="152"/>
        <v>5</v>
      </c>
      <c r="AU384">
        <f>step3_validation[[#This Row],[AI_TRU3]]</f>
        <v>8</v>
      </c>
      <c r="AV384" t="str">
        <f t="shared" si="153"/>
        <v>Support</v>
      </c>
      <c r="AW384">
        <f>survey_responses[[#This Row],[Tôi tin tưởng số tiền thuế tôi đóng sẽ được Nhà nước sử dụng hiệu quả để cải thiện dịch vụ công (y tế, đường xá...). - HUMAN-TRU3]]</f>
        <v>4</v>
      </c>
      <c r="AX384" t="str">
        <f t="shared" si="154"/>
        <v>Oppose</v>
      </c>
      <c r="AY384" s="32">
        <f t="shared" si="155"/>
        <v>4</v>
      </c>
      <c r="AZ384">
        <f>step3_validation[[#This Row],[AI_TRU4]]</f>
        <v>9</v>
      </c>
      <c r="BA384" t="str">
        <f t="shared" si="156"/>
        <v>Support</v>
      </c>
      <c r="BB384">
        <f>survey_responses[[#This Row],[Tôi thấy Nhà nước đã giải thích rõ ràng, minh bạch về lý do và mục tiêu của việc sửa đổi thuế lần này. - HUMAN-TRU4]]</f>
        <v>5</v>
      </c>
      <c r="BC384" t="str">
        <f t="shared" si="157"/>
        <v>Neutral</v>
      </c>
      <c r="BD384" s="32">
        <f t="shared" si="158"/>
        <v>4</v>
      </c>
      <c r="BE384">
        <f>step3_validation[[#This Row],[AI_OUT1]]</f>
        <v>10</v>
      </c>
      <c r="BF384" t="str">
        <f t="shared" si="159"/>
        <v>Support</v>
      </c>
      <c r="BG384">
        <f>survey_responses[[#This Row],[Sau khi xem xét các quyền lợi và nghĩa vụ, bạn có ủng hộ và tuân thủ chính sách mới hiện nay? - HUMAN-OUT1]]</f>
        <v>3</v>
      </c>
      <c r="BH384" t="str">
        <f t="shared" si="160"/>
        <v>Oppose</v>
      </c>
      <c r="BI384" s="32">
        <f t="shared" si="161"/>
        <v>7</v>
      </c>
    </row>
    <row r="385" spans="1:61" x14ac:dyDescent="0.45">
      <c r="A385" s="30">
        <f>step3_validation[[#This Row],[Persona_ID]]</f>
        <v>384</v>
      </c>
      <c r="B385" s="31">
        <f>step3_validation[[#This Row],[Used_Seed]]</f>
        <v>2409</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9</v>
      </c>
      <c r="R385" t="str">
        <f t="shared" si="135"/>
        <v>Support</v>
      </c>
      <c r="S385">
        <f>survey_responses[[#This Row],[Tôi tin rằng với các quy định quản lý thuế hiện nay, hành vi gian lận hoặc trốn thuế sẽ dễ dàng bị phát hiện và xử lý nghiêm. - HUMAN-ENF1]]</f>
        <v>7</v>
      </c>
      <c r="T385" t="str">
        <f t="shared" si="136"/>
        <v>Neutral</v>
      </c>
      <c r="U385" s="32">
        <f t="shared" si="137"/>
        <v>2</v>
      </c>
      <c r="V385">
        <f>step3_validation[[#This Row],[AI_ENF2]]</f>
        <v>8</v>
      </c>
      <c r="W385" t="str">
        <f t="shared" si="138"/>
        <v>Support</v>
      </c>
      <c r="X385">
        <f>survey_responses[[#This Row],[Tôi tin rằng Nhà nước, cơ quan thuế có đủ khả năng và công nghệ để phát hiện, xử lý nghiêm các hành vi trốn thuế. - HUMAN-ENF2]]</f>
        <v>7</v>
      </c>
      <c r="Y385" t="str">
        <f t="shared" si="139"/>
        <v>Neutral</v>
      </c>
      <c r="Z385" s="32">
        <f t="shared" si="140"/>
        <v>1</v>
      </c>
      <c r="AA385">
        <f>step3_validation[[#This Row],[AI_FAC1]]</f>
        <v>9</v>
      </c>
      <c r="AB385" t="str">
        <f t="shared" si="141"/>
        <v>Support</v>
      </c>
      <c r="AC385">
        <f>survey_responses[[#This Row],[Các thủ tục khai báo thuế VÀ/HOẶC quy trình làm việc với cơ quan thuế đơn giản, tiện lợi, nhanh chóng hơn so với trước đây. - HUMAN-FAC1]]</f>
        <v>7</v>
      </c>
      <c r="AD385" t="str">
        <f t="shared" si="142"/>
        <v>Neutral</v>
      </c>
      <c r="AE385" s="32">
        <f t="shared" si="143"/>
        <v>2</v>
      </c>
      <c r="AF385">
        <f>step3_validation[[#This Row],[AI_FAC2]]</f>
        <v>8</v>
      </c>
      <c r="AG385" t="str">
        <f t="shared" si="144"/>
        <v>Support</v>
      </c>
      <c r="AH385">
        <f>survey_responses[[#This Row],[So với trước đây, tôi thấy cách tính thuế và các bậc thuế trong phương án mới đơn giản, dễ hiểu và dễ thực hiện hơn. - HUMAN-FAC2]]</f>
        <v>9</v>
      </c>
      <c r="AI385" t="str">
        <f t="shared" si="145"/>
        <v>Support</v>
      </c>
      <c r="AJ385" s="32">
        <f t="shared" si="146"/>
        <v>1</v>
      </c>
      <c r="AK385">
        <f>step3_validation[[#This Row],[AI_TRU1]]</f>
        <v>7</v>
      </c>
      <c r="AL385" t="str">
        <f t="shared" si="147"/>
        <v>Neutral</v>
      </c>
      <c r="AM385">
        <f>survey_responses[[#This Row],[Tôi tin rằng Nhà nước, cơ quan thuế sẽ thực thi chính sách mới một cách khách quan, công tâm và đối xử bình đẳng với mọi người nộp thuế.  - HUMAN-TRU1]]</f>
        <v>8</v>
      </c>
      <c r="AN385" t="str">
        <f t="shared" si="148"/>
        <v>Support</v>
      </c>
      <c r="AO385" s="32">
        <f t="shared" si="149"/>
        <v>1</v>
      </c>
      <c r="AP385">
        <f>step3_validation[[#This Row],[AI_TRU2]]</f>
        <v>8</v>
      </c>
      <c r="AQ385" t="str">
        <f t="shared" si="150"/>
        <v>Support</v>
      </c>
      <c r="AR385">
        <f>survey_responses[[#This Row],[Tôi thấy mức thuế tôi phải đóng theo phương án mới là công bằng (người thu nhập như tôi đóng mức này là hợp lý). - HUMAN-TRU2]]</f>
        <v>10</v>
      </c>
      <c r="AS385" t="str">
        <f t="shared" si="151"/>
        <v>Support</v>
      </c>
      <c r="AT385" s="32">
        <f t="shared" si="152"/>
        <v>2</v>
      </c>
      <c r="AU385">
        <f>step3_validation[[#This Row],[AI_TRU3]]</f>
        <v>7</v>
      </c>
      <c r="AV385" t="str">
        <f t="shared" si="153"/>
        <v>Neutral</v>
      </c>
      <c r="AW385">
        <f>survey_responses[[#This Row],[Tôi tin tưởng số tiền thuế tôi đóng sẽ được Nhà nước sử dụng hiệu quả để cải thiện dịch vụ công (y tế, đường xá...). - HUMAN-TRU3]]</f>
        <v>8</v>
      </c>
      <c r="AX385" t="str">
        <f t="shared" si="154"/>
        <v>Support</v>
      </c>
      <c r="AY385" s="32">
        <f t="shared" si="155"/>
        <v>1</v>
      </c>
      <c r="AZ385">
        <f>step3_validation[[#This Row],[AI_TRU4]]</f>
        <v>8</v>
      </c>
      <c r="BA385" t="str">
        <f t="shared" si="156"/>
        <v>Support</v>
      </c>
      <c r="BB385">
        <f>survey_responses[[#This Row],[Tôi thấy Nhà nước đã giải thích rõ ràng, minh bạch về lý do và mục tiêu của việc sửa đổi thuế lần này. - HUMAN-TRU4]]</f>
        <v>7</v>
      </c>
      <c r="BC385" t="str">
        <f t="shared" si="157"/>
        <v>Neutral</v>
      </c>
      <c r="BD385" s="32">
        <f t="shared" si="158"/>
        <v>1</v>
      </c>
      <c r="BE385">
        <f>step3_validation[[#This Row],[AI_OUT1]]</f>
        <v>9</v>
      </c>
      <c r="BF385" t="str">
        <f t="shared" si="159"/>
        <v>Support</v>
      </c>
      <c r="BG385">
        <f>survey_responses[[#This Row],[Sau khi xem xét các quyền lợi và nghĩa vụ, bạn có ủng hộ và tuân thủ chính sách mới hiện nay? - HUMAN-OUT1]]</f>
        <v>10</v>
      </c>
      <c r="BH385" t="str">
        <f t="shared" si="160"/>
        <v>Support</v>
      </c>
      <c r="BI385" s="32">
        <f t="shared" si="161"/>
        <v>1</v>
      </c>
    </row>
    <row r="386" spans="1:61" x14ac:dyDescent="0.45">
      <c r="A386" s="30">
        <f>step3_validation[[#This Row],[Persona_ID]]</f>
        <v>385</v>
      </c>
      <c r="B386" s="31">
        <f>step3_validation[[#This Row],[Used_Seed]]</f>
        <v>2410</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35.16649069803632</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6</v>
      </c>
      <c r="R386" t="str">
        <f t="shared" si="135"/>
        <v>Neutral</v>
      </c>
      <c r="S386">
        <f>survey_responses[[#This Row],[Tôi tin rằng với các quy định quản lý thuế hiện nay, hành vi gian lận hoặc trốn thuế sẽ dễ dàng bị phát hiện và xử lý nghiêm. - HUMAN-ENF1]]</f>
        <v>3</v>
      </c>
      <c r="T386" t="str">
        <f t="shared" si="136"/>
        <v>Oppose</v>
      </c>
      <c r="U386" s="32">
        <f t="shared" si="137"/>
        <v>3</v>
      </c>
      <c r="V386">
        <f>step3_validation[[#This Row],[AI_ENF2]]</f>
        <v>7</v>
      </c>
      <c r="W386" t="str">
        <f t="shared" si="138"/>
        <v>Neutral</v>
      </c>
      <c r="X386">
        <f>survey_responses[[#This Row],[Tôi tin rằng Nhà nước, cơ quan thuế có đủ khả năng và công nghệ để phát hiện, xử lý nghiêm các hành vi trốn thuế. - HUMAN-ENF2]]</f>
        <v>3</v>
      </c>
      <c r="Y386" t="str">
        <f t="shared" si="139"/>
        <v>Oppose</v>
      </c>
      <c r="Z386" s="32">
        <f t="shared" si="140"/>
        <v>4</v>
      </c>
      <c r="AA386">
        <f>step3_validation[[#This Row],[AI_FAC1]]</f>
        <v>8</v>
      </c>
      <c r="AB386" t="str">
        <f t="shared" si="141"/>
        <v>Support</v>
      </c>
      <c r="AC386">
        <f>survey_responses[[#This Row],[Các thủ tục khai báo thuế VÀ/HOẶC quy trình làm việc với cơ quan thuế đơn giản, tiện lợi, nhanh chóng hơn so với trước đây. - HUMAN-FAC1]]</f>
        <v>4</v>
      </c>
      <c r="AD386" t="str">
        <f t="shared" si="142"/>
        <v>Oppose</v>
      </c>
      <c r="AE386" s="32">
        <f t="shared" si="143"/>
        <v>4</v>
      </c>
      <c r="AF386">
        <f>step3_validation[[#This Row],[AI_FAC2]]</f>
        <v>7</v>
      </c>
      <c r="AG386" t="str">
        <f t="shared" si="144"/>
        <v>Neutral</v>
      </c>
      <c r="AH386">
        <f>survey_responses[[#This Row],[So với trước đây, tôi thấy cách tính thuế và các bậc thuế trong phương án mới đơn giản, dễ hiểu và dễ thực hiện hơn. - HUMAN-FAC2]]</f>
        <v>6</v>
      </c>
      <c r="AI386" t="str">
        <f t="shared" si="145"/>
        <v>Neutral</v>
      </c>
      <c r="AJ386" s="32">
        <f t="shared" si="146"/>
        <v>1</v>
      </c>
      <c r="AK386">
        <f>step3_validation[[#This Row],[AI_TRU1]]</f>
        <v>6</v>
      </c>
      <c r="AL386" t="str">
        <f t="shared" si="147"/>
        <v>Neutral</v>
      </c>
      <c r="AM386">
        <f>survey_responses[[#This Row],[Tôi tin rằng Nhà nước, cơ quan thuế sẽ thực thi chính sách mới một cách khách quan, công tâm và đối xử bình đẳng với mọi người nộp thuế.  - HUMAN-TRU1]]</f>
        <v>4</v>
      </c>
      <c r="AN386" t="str">
        <f t="shared" si="148"/>
        <v>Oppose</v>
      </c>
      <c r="AO386" s="32">
        <f t="shared" si="149"/>
        <v>2</v>
      </c>
      <c r="AP386">
        <f>step3_validation[[#This Row],[AI_TRU2]]</f>
        <v>9</v>
      </c>
      <c r="AQ386" t="str">
        <f t="shared" si="150"/>
        <v>Support</v>
      </c>
      <c r="AR386">
        <f>survey_responses[[#This Row],[Tôi thấy mức thuế tôi phải đóng theo phương án mới là công bằng (người thu nhập như tôi đóng mức này là hợp lý). - HUMAN-TRU2]]</f>
        <v>5</v>
      </c>
      <c r="AS386" t="str">
        <f t="shared" si="151"/>
        <v>Neutral</v>
      </c>
      <c r="AT386" s="32">
        <f t="shared" si="152"/>
        <v>4</v>
      </c>
      <c r="AU386">
        <f>step3_validation[[#This Row],[AI_TRU3]]</f>
        <v>5</v>
      </c>
      <c r="AV386" t="str">
        <f t="shared" si="153"/>
        <v>Neutral</v>
      </c>
      <c r="AW386">
        <f>survey_responses[[#This Row],[Tôi tin tưởng số tiền thuế tôi đóng sẽ được Nhà nước sử dụng hiệu quả để cải thiện dịch vụ công (y tế, đường xá...). - HUMAN-TRU3]]</f>
        <v>4</v>
      </c>
      <c r="AX386" t="str">
        <f t="shared" si="154"/>
        <v>Oppose</v>
      </c>
      <c r="AY386" s="32">
        <f t="shared" si="155"/>
        <v>1</v>
      </c>
      <c r="AZ386">
        <f>step3_validation[[#This Row],[AI_TRU4]]</f>
        <v>7</v>
      </c>
      <c r="BA386" t="str">
        <f t="shared" si="156"/>
        <v>Neutral</v>
      </c>
      <c r="BB386">
        <f>survey_responses[[#This Row],[Tôi thấy Nhà nước đã giải thích rõ ràng, minh bạch về lý do và mục tiêu của việc sửa đổi thuế lần này. - HUMAN-TRU4]]</f>
        <v>5</v>
      </c>
      <c r="BC386" t="str">
        <f t="shared" si="157"/>
        <v>Neutral</v>
      </c>
      <c r="BD386" s="32">
        <f t="shared" si="158"/>
        <v>2</v>
      </c>
      <c r="BE386">
        <f>step3_validation[[#This Row],[AI_OUT1]]</f>
        <v>9</v>
      </c>
      <c r="BF386" t="str">
        <f t="shared" si="159"/>
        <v>Support</v>
      </c>
      <c r="BG386">
        <f>survey_responses[[#This Row],[Sau khi xem xét các quyền lợi và nghĩa vụ, bạn có ủng hộ và tuân thủ chính sách mới hiện nay? - HUMAN-OUT1]]</f>
        <v>5</v>
      </c>
      <c r="BH386" t="str">
        <f t="shared" si="160"/>
        <v>Neutral</v>
      </c>
      <c r="BI386" s="32">
        <f t="shared" si="161"/>
        <v>4</v>
      </c>
    </row>
    <row r="387" spans="1:61" x14ac:dyDescent="0.45">
      <c r="A387" s="30">
        <f>step3_validation[[#This Row],[Persona_ID]]</f>
        <v>386</v>
      </c>
      <c r="B387" s="31">
        <f>step3_validation[[#This Row],[Used_Seed]]</f>
        <v>2411</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28.730058768376939</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6</v>
      </c>
      <c r="R387" t="str">
        <f t="shared" ref="R387:R404" si="162">IF(AND(Q387&gt;=1,Q387&lt;5),"Oppose",IF(AND(Q387&gt;=5,Q387&lt;8),"Neutral",IF(AND(Q387&gt;=8,Q387&lt;=10),"Support","")))</f>
        <v>Neutral</v>
      </c>
      <c r="S387">
        <f>survey_responses[[#This Row],[Tôi tin rằng với các quy định quản lý thuế hiện nay, hành vi gian lận hoặc trốn thuế sẽ dễ dàng bị phát hiện và xử lý nghiêm. - HUMAN-ENF1]]</f>
        <v>8</v>
      </c>
      <c r="T387" t="str">
        <f t="shared" ref="T387:T404" si="163">IF(AND(S387&gt;=1,S387&lt;5),"Oppose",IF(AND(S387&gt;=5,S387&lt;8),"Neutral",IF(AND(S387&gt;=8,S387&lt;=10),"Support","")))</f>
        <v>Support</v>
      </c>
      <c r="U387" s="32">
        <f t="shared" ref="U387:U404" si="164">ABS(S387-Q387)</f>
        <v>2</v>
      </c>
      <c r="V387">
        <f>step3_validation[[#This Row],[AI_ENF2]]</f>
        <v>5</v>
      </c>
      <c r="W387" t="str">
        <f t="shared" ref="W387:W404" si="165">IF(AND(V387&gt;=1,V387&lt;5),"Oppose",IF(AND(V387&gt;=5,V387&lt;8),"Neutral",IF(AND(V387&gt;=8,V387&lt;=10),"Support","")))</f>
        <v>Neutral</v>
      </c>
      <c r="X387">
        <f>survey_responses[[#This Row],[Tôi tin rằng Nhà nước, cơ quan thuế có đủ khả năng và công nghệ để phát hiện, xử lý nghiêm các hành vi trốn thuế. - HUMAN-ENF2]]</f>
        <v>8</v>
      </c>
      <c r="Y387" t="str">
        <f t="shared" ref="Y387:Y404" si="166">IF(AND(X387&gt;=1,X387&lt;5),"Oppose",IF(AND(X387&gt;=5,X387&lt;8),"Neutral",IF(AND(X387&gt;=8,X387&lt;=10),"Support","")))</f>
        <v>Support</v>
      </c>
      <c r="Z387" s="32">
        <f t="shared" ref="Z387:Z404" si="167">ABS(X387-V387)</f>
        <v>3</v>
      </c>
      <c r="AA387">
        <f>step3_validation[[#This Row],[AI_FAC1]]</f>
        <v>7</v>
      </c>
      <c r="AB387" t="str">
        <f t="shared" ref="AB387:AB404" si="168">IF(AND(AA387&gt;=1,AA387&lt;5),"Oppose",IF(AND(AA387&gt;=5,AA387&lt;8),"Neutral",IF(AND(AA387&gt;=8,AA387&lt;=10),"Support","")))</f>
        <v>Neutral</v>
      </c>
      <c r="AC387">
        <f>survey_responses[[#This Row],[Các thủ tục khai báo thuế VÀ/HOẶC quy trình làm việc với cơ quan thuế đơn giản, tiện lợi, nhanh chóng hơn so với trước đây. - HUMAN-FAC1]]</f>
        <v>9</v>
      </c>
      <c r="AD387" t="str">
        <f t="shared" ref="AD387:AD404" si="169">IF(AND(AC387&gt;=1,AC387&lt;5),"Oppose",IF(AND(AC387&gt;=5,AC387&lt;8),"Neutral",IF(AND(AC387&gt;=8,AC387&lt;=10),"Support","")))</f>
        <v>Support</v>
      </c>
      <c r="AE387" s="32">
        <f t="shared" ref="AE387:AE404" si="170">ABS(AC387-AA387)</f>
        <v>2</v>
      </c>
      <c r="AF387">
        <f>step3_validation[[#This Row],[AI_FAC2]]</f>
        <v>9</v>
      </c>
      <c r="AG387" t="str">
        <f t="shared" ref="AG387:AG404" si="171">IF(AND(AF387&gt;=1,AF387&lt;5),"Oppose",IF(AND(AF387&gt;=5,AF387&lt;8),"Neutral",IF(AND(AF387&gt;=8,AF387&lt;=10),"Support","")))</f>
        <v>Support</v>
      </c>
      <c r="AH387">
        <f>survey_responses[[#This Row],[So với trước đây, tôi thấy cách tính thuế và các bậc thuế trong phương án mới đơn giản, dễ hiểu và dễ thực hiện hơn. - HUMAN-FAC2]]</f>
        <v>8</v>
      </c>
      <c r="AI387" t="str">
        <f t="shared" ref="AI387:AI404" si="172">IF(AND(AH387&gt;=1,AH387&lt;5),"Oppose",IF(AND(AH387&gt;=5,AH387&lt;8),"Neutral",IF(AND(AH387&gt;=8,AH387&lt;=10),"Support","")))</f>
        <v>Support</v>
      </c>
      <c r="AJ387" s="32">
        <f t="shared" ref="AJ387:AJ404" si="173">ABS(AH387-AF387)</f>
        <v>1</v>
      </c>
      <c r="AK387">
        <f>step3_validation[[#This Row],[AI_TRU1]]</f>
        <v>6</v>
      </c>
      <c r="AL387" t="str">
        <f t="shared" ref="AL387:AL404" si="174">IF(AND(AK387&gt;=1,AK387&lt;5),"Oppose",IF(AND(AK387&gt;=5,AK387&lt;8),"Neutral",IF(AND(AK387&gt;=8,AK387&lt;=10),"Support","")))</f>
        <v>Neutral</v>
      </c>
      <c r="AM387">
        <f>survey_responses[[#This Row],[Tôi tin rằng Nhà nước, cơ quan thuế sẽ thực thi chính sách mới một cách khách quan, công tâm và đối xử bình đẳng với mọi người nộp thuế.  - HUMAN-TRU1]]</f>
        <v>7</v>
      </c>
      <c r="AN387" t="str">
        <f t="shared" ref="AN387:AN404" si="175">IF(AND(AM387&gt;=1,AM387&lt;5),"Oppose",IF(AND(AM387&gt;=5,AM387&lt;8),"Neutral",IF(AND(AM387&gt;=8,AM387&lt;=10),"Support","")))</f>
        <v>Neutral</v>
      </c>
      <c r="AO387" s="32">
        <f t="shared" ref="AO387:AO404" si="176">ABS(AM387-AK387)</f>
        <v>1</v>
      </c>
      <c r="AP387">
        <f>step3_validation[[#This Row],[AI_TRU2]]</f>
        <v>9</v>
      </c>
      <c r="AQ387" t="str">
        <f t="shared" ref="AQ387:AQ404" si="177">IF(AND(AP387&gt;=1,AP387&lt;5),"Oppose",IF(AND(AP387&gt;=5,AP387&lt;8),"Neutral",IF(AND(AP387&gt;=8,AP387&lt;=10),"Support","")))</f>
        <v>Support</v>
      </c>
      <c r="AR387">
        <f>survey_responses[[#This Row],[Tôi thấy mức thuế tôi phải đóng theo phương án mới là công bằng (người thu nhập như tôi đóng mức này là hợp lý). - HUMAN-TRU2]]</f>
        <v>8</v>
      </c>
      <c r="AS387" t="str">
        <f t="shared" ref="AS387:AS404" si="178">IF(AND(AR387&gt;=1,AR387&lt;5),"Oppose",IF(AND(AR387&gt;=5,AR387&lt;8),"Neutral",IF(AND(AR387&gt;=8,AR387&lt;=10),"Support","")))</f>
        <v>Support</v>
      </c>
      <c r="AT387" s="32">
        <f t="shared" ref="AT387:AT404" si="179">ABS(AR387-AP387)</f>
        <v>1</v>
      </c>
      <c r="AU387">
        <f>step3_validation[[#This Row],[AI_TRU3]]</f>
        <v>7</v>
      </c>
      <c r="AV387" t="str">
        <f t="shared" ref="AV387:AV404" si="180">IF(AND(AU387&gt;=1,AU387&lt;5),"Oppose",IF(AND(AU387&gt;=5,AU387&lt;8),"Neutral",IF(AND(AU387&gt;=8,AU387&lt;=10),"Support","")))</f>
        <v>Neutral</v>
      </c>
      <c r="AW387">
        <f>survey_responses[[#This Row],[Tôi tin tưởng số tiền thuế tôi đóng sẽ được Nhà nước sử dụng hiệu quả để cải thiện dịch vụ công (y tế, đường xá...). - HUMAN-TRU3]]</f>
        <v>7</v>
      </c>
      <c r="AX387" t="str">
        <f t="shared" ref="AX387:AX404" si="181">IF(AND(AW387&gt;=1,AW387&lt;5),"Oppose",IF(AND(AW387&gt;=5,AW387&lt;8),"Neutral",IF(AND(AW387&gt;=8,AW387&lt;=10),"Support","")))</f>
        <v>Neutral</v>
      </c>
      <c r="AY387" s="32">
        <f t="shared" ref="AY387:AY404" si="182">ABS(AW387-AU387)</f>
        <v>0</v>
      </c>
      <c r="AZ387">
        <f>step3_validation[[#This Row],[AI_TRU4]]</f>
        <v>6</v>
      </c>
      <c r="BA387" t="str">
        <f t="shared" ref="BA387:BA404" si="183">IF(AND(AZ387&gt;=1,AZ387&lt;5),"Oppose",IF(AND(AZ387&gt;=5,AZ387&lt;8),"Neutral",IF(AND(AZ387&gt;=8,AZ387&lt;=10),"Support","")))</f>
        <v>Neutral</v>
      </c>
      <c r="BB387">
        <f>survey_responses[[#This Row],[Tôi thấy Nhà nước đã giải thích rõ ràng, minh bạch về lý do và mục tiêu của việc sửa đổi thuế lần này. - HUMAN-TRU4]]</f>
        <v>7</v>
      </c>
      <c r="BC387" t="str">
        <f t="shared" ref="BC387:BC404" si="184">IF(AND(BB387&gt;=1,BB387&lt;5),"Oppose",IF(AND(BB387&gt;=5,BB387&lt;8),"Neutral",IF(AND(BB387&gt;=8,BB387&lt;=10),"Support","")))</f>
        <v>Neutral</v>
      </c>
      <c r="BD387" s="32">
        <f t="shared" ref="BD387:BD404" si="185">ABS(BB387-AZ387)</f>
        <v>1</v>
      </c>
      <c r="BE387">
        <f>step3_validation[[#This Row],[AI_OUT1]]</f>
        <v>7</v>
      </c>
      <c r="BF387" t="str">
        <f t="shared" ref="BF387:BF404" si="186">IF(AND(BE387&gt;=1,BE387&lt;5),"Oppose",IF(AND(BE387&gt;=5,BE387&lt;8),"Neutral",IF(AND(BE387&gt;=8,BE387&lt;=10),"Support","")))</f>
        <v>Neutral</v>
      </c>
      <c r="BG387">
        <f>survey_responses[[#This Row],[Sau khi xem xét các quyền lợi và nghĩa vụ, bạn có ủng hộ và tuân thủ chính sách mới hiện nay? - HUMAN-OUT1]]</f>
        <v>8</v>
      </c>
      <c r="BH387" t="str">
        <f t="shared" ref="BH387:BH404" si="187">IF(AND(BG387&gt;=1,BG387&lt;5),"Oppose",IF(AND(BG387&gt;=5,BG387&lt;8),"Neutral",IF(AND(BG387&gt;=8,BG387&lt;=10),"Support","")))</f>
        <v>Support</v>
      </c>
      <c r="BI387" s="32">
        <f t="shared" ref="BI387:BI404" si="188">ABS(BG387-BE387)</f>
        <v>1</v>
      </c>
    </row>
    <row r="388" spans="1:61" x14ac:dyDescent="0.45">
      <c r="A388" s="30">
        <f>step3_validation[[#This Row],[Persona_ID]]</f>
        <v>387</v>
      </c>
      <c r="B388" s="31">
        <f>step3_validation[[#This Row],[Used_Seed]]</f>
        <v>2412</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49.714636506077611</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7</v>
      </c>
      <c r="R388" t="str">
        <f t="shared" si="162"/>
        <v>Neutral</v>
      </c>
      <c r="S388">
        <f>survey_responses[[#This Row],[Tôi tin rằng với các quy định quản lý thuế hiện nay, hành vi gian lận hoặc trốn thuế sẽ dễ dàng bị phát hiện và xử lý nghiêm. - HUMAN-ENF1]]</f>
        <v>5</v>
      </c>
      <c r="T388" t="str">
        <f t="shared" si="163"/>
        <v>Neutral</v>
      </c>
      <c r="U388" s="32">
        <f t="shared" si="164"/>
        <v>2</v>
      </c>
      <c r="V388">
        <f>step3_validation[[#This Row],[AI_ENF2]]</f>
        <v>8</v>
      </c>
      <c r="W388" t="str">
        <f t="shared" si="165"/>
        <v>Support</v>
      </c>
      <c r="X388">
        <f>survey_responses[[#This Row],[Tôi tin rằng Nhà nước, cơ quan thuế có đủ khả năng và công nghệ để phát hiện, xử lý nghiêm các hành vi trốn thuế. - HUMAN-ENF2]]</f>
        <v>5</v>
      </c>
      <c r="Y388" t="str">
        <f t="shared" si="166"/>
        <v>Neutral</v>
      </c>
      <c r="Z388" s="32">
        <f t="shared" si="167"/>
        <v>3</v>
      </c>
      <c r="AA388">
        <f>step3_validation[[#This Row],[AI_FAC1]]</f>
        <v>9</v>
      </c>
      <c r="AB388" t="str">
        <f t="shared" si="168"/>
        <v>Support</v>
      </c>
      <c r="AC388">
        <f>survey_responses[[#This Row],[Các thủ tục khai báo thuế VÀ/HOẶC quy trình làm việc với cơ quan thuế đơn giản, tiện lợi, nhanh chóng hơn so với trước đây. - HUMAN-FAC1]]</f>
        <v>5</v>
      </c>
      <c r="AD388" t="str">
        <f t="shared" si="169"/>
        <v>Neutral</v>
      </c>
      <c r="AE388" s="32">
        <f t="shared" si="170"/>
        <v>4</v>
      </c>
      <c r="AF388">
        <f>step3_validation[[#This Row],[AI_FAC2]]</f>
        <v>9</v>
      </c>
      <c r="AG388" t="str">
        <f t="shared" si="171"/>
        <v>Support</v>
      </c>
      <c r="AH388">
        <f>survey_responses[[#This Row],[So với trước đây, tôi thấy cách tính thuế và các bậc thuế trong phương án mới đơn giản, dễ hiểu và dễ thực hiện hơn. - HUMAN-FAC2]]</f>
        <v>5</v>
      </c>
      <c r="AI388" t="str">
        <f t="shared" si="172"/>
        <v>Neutral</v>
      </c>
      <c r="AJ388" s="32">
        <f t="shared" si="173"/>
        <v>4</v>
      </c>
      <c r="AK388">
        <f>step3_validation[[#This Row],[AI_TRU1]]</f>
        <v>6</v>
      </c>
      <c r="AL388" t="str">
        <f t="shared" si="174"/>
        <v>Neutral</v>
      </c>
      <c r="AM388">
        <f>survey_responses[[#This Row],[Tôi tin rằng Nhà nước, cơ quan thuế sẽ thực thi chính sách mới một cách khách quan, công tâm và đối xử bình đẳng với mọi người nộp thuế.  - HUMAN-TRU1]]</f>
        <v>5</v>
      </c>
      <c r="AN388" t="str">
        <f t="shared" si="175"/>
        <v>Neutral</v>
      </c>
      <c r="AO388" s="32">
        <f t="shared" si="176"/>
        <v>1</v>
      </c>
      <c r="AP388">
        <f>step3_validation[[#This Row],[AI_TRU2]]</f>
        <v>8</v>
      </c>
      <c r="AQ388" t="str">
        <f t="shared" si="177"/>
        <v>Support</v>
      </c>
      <c r="AR388">
        <f>survey_responses[[#This Row],[Tôi thấy mức thuế tôi phải đóng theo phương án mới là công bằng (người thu nhập như tôi đóng mức này là hợp lý). - HUMAN-TRU2]]</f>
        <v>5</v>
      </c>
      <c r="AS388" t="str">
        <f t="shared" si="178"/>
        <v>Neutral</v>
      </c>
      <c r="AT388" s="32">
        <f t="shared" si="179"/>
        <v>3</v>
      </c>
      <c r="AU388">
        <f>step3_validation[[#This Row],[AI_TRU3]]</f>
        <v>7</v>
      </c>
      <c r="AV388" t="str">
        <f t="shared" si="180"/>
        <v>Neutral</v>
      </c>
      <c r="AW388">
        <f>survey_responses[[#This Row],[Tôi tin tưởng số tiền thuế tôi đóng sẽ được Nhà nước sử dụng hiệu quả để cải thiện dịch vụ công (y tế, đường xá...). - HUMAN-TRU3]]</f>
        <v>5</v>
      </c>
      <c r="AX388" t="str">
        <f t="shared" si="181"/>
        <v>Neutral</v>
      </c>
      <c r="AY388" s="32">
        <f t="shared" si="182"/>
        <v>2</v>
      </c>
      <c r="AZ388">
        <f>step3_validation[[#This Row],[AI_TRU4]]</f>
        <v>6</v>
      </c>
      <c r="BA388" t="str">
        <f t="shared" si="183"/>
        <v>Neutral</v>
      </c>
      <c r="BB388">
        <f>survey_responses[[#This Row],[Tôi thấy Nhà nước đã giải thích rõ ràng, minh bạch về lý do và mục tiêu của việc sửa đổi thuế lần này. - HUMAN-TRU4]]</f>
        <v>5</v>
      </c>
      <c r="BC388" t="str">
        <f t="shared" si="184"/>
        <v>Neutral</v>
      </c>
      <c r="BD388" s="32">
        <f t="shared" si="185"/>
        <v>1</v>
      </c>
      <c r="BE388">
        <f>step3_validation[[#This Row],[AI_OUT1]]</f>
        <v>8</v>
      </c>
      <c r="BF388" t="str">
        <f t="shared" si="186"/>
        <v>Support</v>
      </c>
      <c r="BG388">
        <f>survey_responses[[#This Row],[Sau khi xem xét các quyền lợi và nghĩa vụ, bạn có ủng hộ và tuân thủ chính sách mới hiện nay? - HUMAN-OUT1]]</f>
        <v>5</v>
      </c>
      <c r="BH388" t="str">
        <f t="shared" si="187"/>
        <v>Neutral</v>
      </c>
      <c r="BI388" s="32">
        <f t="shared" si="188"/>
        <v>3</v>
      </c>
    </row>
    <row r="389" spans="1:61" x14ac:dyDescent="0.45">
      <c r="A389" s="30">
        <f>step3_validation[[#This Row],[Persona_ID]]</f>
        <v>388</v>
      </c>
      <c r="B389" s="31">
        <f>step3_validation[[#This Row],[Used_Seed]]</f>
        <v>2413</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12.429781028732824</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6</v>
      </c>
      <c r="R389" t="str">
        <f t="shared" si="162"/>
        <v>Neutral</v>
      </c>
      <c r="S389">
        <f>survey_responses[[#This Row],[Tôi tin rằng với các quy định quản lý thuế hiện nay, hành vi gian lận hoặc trốn thuế sẽ dễ dàng bị phát hiện và xử lý nghiêm. - HUMAN-ENF1]]</f>
        <v>7</v>
      </c>
      <c r="T389" t="str">
        <f t="shared" si="163"/>
        <v>Neutral</v>
      </c>
      <c r="U389" s="32">
        <f t="shared" si="164"/>
        <v>1</v>
      </c>
      <c r="V389">
        <f>step3_validation[[#This Row],[AI_ENF2]]</f>
        <v>7</v>
      </c>
      <c r="W389" t="str">
        <f t="shared" si="165"/>
        <v>Neutral</v>
      </c>
      <c r="X389">
        <f>survey_responses[[#This Row],[Tôi tin rằng Nhà nước, cơ quan thuế có đủ khả năng và công nghệ để phát hiện, xử lý nghiêm các hành vi trốn thuế. - HUMAN-ENF2]]</f>
        <v>7</v>
      </c>
      <c r="Y389" t="str">
        <f t="shared" si="166"/>
        <v>Neutral</v>
      </c>
      <c r="Z389" s="32">
        <f t="shared" si="167"/>
        <v>0</v>
      </c>
      <c r="AA389">
        <f>step3_validation[[#This Row],[AI_FAC1]]</f>
        <v>9</v>
      </c>
      <c r="AB389" t="str">
        <f t="shared" si="168"/>
        <v>Support</v>
      </c>
      <c r="AC389">
        <f>survey_responses[[#This Row],[Các thủ tục khai báo thuế VÀ/HOẶC quy trình làm việc với cơ quan thuế đơn giản, tiện lợi, nhanh chóng hơn so với trước đây. - HUMAN-FAC1]]</f>
        <v>5</v>
      </c>
      <c r="AD389" t="str">
        <f t="shared" si="169"/>
        <v>Neutral</v>
      </c>
      <c r="AE389" s="32">
        <f t="shared" si="170"/>
        <v>4</v>
      </c>
      <c r="AF389">
        <f>step3_validation[[#This Row],[AI_FAC2]]</f>
        <v>8</v>
      </c>
      <c r="AG389" t="str">
        <f t="shared" si="171"/>
        <v>Support</v>
      </c>
      <c r="AH389">
        <f>survey_responses[[#This Row],[So với trước đây, tôi thấy cách tính thuế và các bậc thuế trong phương án mới đơn giản, dễ hiểu và dễ thực hiện hơn. - HUMAN-FAC2]]</f>
        <v>8</v>
      </c>
      <c r="AI389" t="str">
        <f t="shared" si="172"/>
        <v>Support</v>
      </c>
      <c r="AJ389" s="32">
        <f t="shared" si="173"/>
        <v>0</v>
      </c>
      <c r="AK389">
        <f>step3_validation[[#This Row],[AI_TRU1]]</f>
        <v>7</v>
      </c>
      <c r="AL389" t="str">
        <f t="shared" si="174"/>
        <v>Neutral</v>
      </c>
      <c r="AM389">
        <f>survey_responses[[#This Row],[Tôi tin rằng Nhà nước, cơ quan thuế sẽ thực thi chính sách mới một cách khách quan, công tâm và đối xử bình đẳng với mọi người nộp thuế.  - HUMAN-TRU1]]</f>
        <v>6</v>
      </c>
      <c r="AN389" t="str">
        <f t="shared" si="175"/>
        <v>Neutral</v>
      </c>
      <c r="AO389" s="32">
        <f t="shared" si="176"/>
        <v>1</v>
      </c>
      <c r="AP389">
        <f>step3_validation[[#This Row],[AI_TRU2]]</f>
        <v>9</v>
      </c>
      <c r="AQ389" t="str">
        <f t="shared" si="177"/>
        <v>Support</v>
      </c>
      <c r="AR389">
        <f>survey_responses[[#This Row],[Tôi thấy mức thuế tôi phải đóng theo phương án mới là công bằng (người thu nhập như tôi đóng mức này là hợp lý). - HUMAN-TRU2]]</f>
        <v>8</v>
      </c>
      <c r="AS389" t="str">
        <f t="shared" si="178"/>
        <v>Support</v>
      </c>
      <c r="AT389" s="32">
        <f t="shared" si="179"/>
        <v>1</v>
      </c>
      <c r="AU389">
        <f>step3_validation[[#This Row],[AI_TRU3]]</f>
        <v>8</v>
      </c>
      <c r="AV389" t="str">
        <f t="shared" si="180"/>
        <v>Support</v>
      </c>
      <c r="AW389">
        <f>survey_responses[[#This Row],[Tôi tin tưởng số tiền thuế tôi đóng sẽ được Nhà nước sử dụng hiệu quả để cải thiện dịch vụ công (y tế, đường xá...). - HUMAN-TRU3]]</f>
        <v>5</v>
      </c>
      <c r="AX389" t="str">
        <f t="shared" si="181"/>
        <v>Neutral</v>
      </c>
      <c r="AY389" s="32">
        <f t="shared" si="182"/>
        <v>3</v>
      </c>
      <c r="AZ389">
        <f>step3_validation[[#This Row],[AI_TRU4]]</f>
        <v>9</v>
      </c>
      <c r="BA389" t="str">
        <f t="shared" si="183"/>
        <v>Support</v>
      </c>
      <c r="BB389">
        <f>survey_responses[[#This Row],[Tôi thấy Nhà nước đã giải thích rõ ràng, minh bạch về lý do và mục tiêu của việc sửa đổi thuế lần này. - HUMAN-TRU4]]</f>
        <v>5</v>
      </c>
      <c r="BC389" t="str">
        <f t="shared" si="184"/>
        <v>Neutral</v>
      </c>
      <c r="BD389" s="32">
        <f t="shared" si="185"/>
        <v>4</v>
      </c>
      <c r="BE389">
        <f>step3_validation[[#This Row],[AI_OUT1]]</f>
        <v>8</v>
      </c>
      <c r="BF389" t="str">
        <f t="shared" si="186"/>
        <v>Support</v>
      </c>
      <c r="BG389">
        <f>survey_responses[[#This Row],[Sau khi xem xét các quyền lợi và nghĩa vụ, bạn có ủng hộ và tuân thủ chính sách mới hiện nay? - HUMAN-OUT1]]</f>
        <v>8</v>
      </c>
      <c r="BH389" t="str">
        <f t="shared" si="187"/>
        <v>Support</v>
      </c>
      <c r="BI389" s="32">
        <f t="shared" si="188"/>
        <v>0</v>
      </c>
    </row>
    <row r="390" spans="1:61" x14ac:dyDescent="0.45">
      <c r="A390" s="30">
        <f>step3_validation[[#This Row],[Persona_ID]]</f>
        <v>389</v>
      </c>
      <c r="B390" s="31">
        <f>step3_validation[[#This Row],[Used_Seed]]</f>
        <v>2414</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21.624083852578508</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7</v>
      </c>
      <c r="R390" t="str">
        <f t="shared" si="162"/>
        <v>Neutral</v>
      </c>
      <c r="S390">
        <f>survey_responses[[#This Row],[Tôi tin rằng với các quy định quản lý thuế hiện nay, hành vi gian lận hoặc trốn thuế sẽ dễ dàng bị phát hiện và xử lý nghiêm. - HUMAN-ENF1]]</f>
        <v>6</v>
      </c>
      <c r="T390" t="str">
        <f t="shared" si="163"/>
        <v>Neutral</v>
      </c>
      <c r="U390" s="32">
        <f t="shared" si="164"/>
        <v>1</v>
      </c>
      <c r="V390">
        <f>step3_validation[[#This Row],[AI_ENF2]]</f>
        <v>8</v>
      </c>
      <c r="W390" t="str">
        <f t="shared" si="165"/>
        <v>Support</v>
      </c>
      <c r="X390">
        <f>survey_responses[[#This Row],[Tôi tin rằng Nhà nước, cơ quan thuế có đủ khả năng và công nghệ để phát hiện, xử lý nghiêm các hành vi trốn thuế. - HUMAN-ENF2]]</f>
        <v>8</v>
      </c>
      <c r="Y390" t="str">
        <f t="shared" si="166"/>
        <v>Support</v>
      </c>
      <c r="Z390" s="32">
        <f t="shared" si="167"/>
        <v>0</v>
      </c>
      <c r="AA390">
        <f>step3_validation[[#This Row],[AI_FAC1]]</f>
        <v>9</v>
      </c>
      <c r="AB390" t="str">
        <f t="shared" si="168"/>
        <v>Support</v>
      </c>
      <c r="AC390">
        <f>survey_responses[[#This Row],[Các thủ tục khai báo thuế VÀ/HOẶC quy trình làm việc với cơ quan thuế đơn giản, tiện lợi, nhanh chóng hơn so với trước đây. - HUMAN-FAC1]]</f>
        <v>7</v>
      </c>
      <c r="AD390" t="str">
        <f t="shared" si="169"/>
        <v>Neutral</v>
      </c>
      <c r="AE390" s="32">
        <f t="shared" si="170"/>
        <v>2</v>
      </c>
      <c r="AF390">
        <f>step3_validation[[#This Row],[AI_FAC2]]</f>
        <v>10</v>
      </c>
      <c r="AG390" t="str">
        <f t="shared" si="171"/>
        <v>Support</v>
      </c>
      <c r="AH390">
        <f>survey_responses[[#This Row],[So với trước đây, tôi thấy cách tính thuế và các bậc thuế trong phương án mới đơn giản, dễ hiểu và dễ thực hiện hơn. - HUMAN-FAC2]]</f>
        <v>8</v>
      </c>
      <c r="AI390" t="str">
        <f t="shared" si="172"/>
        <v>Support</v>
      </c>
      <c r="AJ390" s="32">
        <f t="shared" si="173"/>
        <v>2</v>
      </c>
      <c r="AK390">
        <f>step3_validation[[#This Row],[AI_TRU1]]</f>
        <v>6</v>
      </c>
      <c r="AL390" t="str">
        <f t="shared" si="174"/>
        <v>Neutral</v>
      </c>
      <c r="AM390">
        <f>survey_responses[[#This Row],[Tôi tin rằng Nhà nước, cơ quan thuế sẽ thực thi chính sách mới một cách khách quan, công tâm và đối xử bình đẳng với mọi người nộp thuế.  - HUMAN-TRU1]]</f>
        <v>6</v>
      </c>
      <c r="AN390" t="str">
        <f t="shared" si="175"/>
        <v>Neutral</v>
      </c>
      <c r="AO390" s="32">
        <f t="shared" si="176"/>
        <v>0</v>
      </c>
      <c r="AP390">
        <f>step3_validation[[#This Row],[AI_TRU2]]</f>
        <v>7</v>
      </c>
      <c r="AQ390" t="str">
        <f t="shared" si="177"/>
        <v>Neutral</v>
      </c>
      <c r="AR390">
        <f>survey_responses[[#This Row],[Tôi thấy mức thuế tôi phải đóng theo phương án mới là công bằng (người thu nhập như tôi đóng mức này là hợp lý). - HUMAN-TRU2]]</f>
        <v>8</v>
      </c>
      <c r="AS390" t="str">
        <f t="shared" si="178"/>
        <v>Support</v>
      </c>
      <c r="AT390" s="32">
        <f t="shared" si="179"/>
        <v>1</v>
      </c>
      <c r="AU390">
        <f>step3_validation[[#This Row],[AI_TRU3]]</f>
        <v>8</v>
      </c>
      <c r="AV390" t="str">
        <f t="shared" si="180"/>
        <v>Support</v>
      </c>
      <c r="AW390">
        <f>survey_responses[[#This Row],[Tôi tin tưởng số tiền thuế tôi đóng sẽ được Nhà nước sử dụng hiệu quả để cải thiện dịch vụ công (y tế, đường xá...). - HUMAN-TRU3]]</f>
        <v>5</v>
      </c>
      <c r="AX390" t="str">
        <f t="shared" si="181"/>
        <v>Neutral</v>
      </c>
      <c r="AY390" s="32">
        <f t="shared" si="182"/>
        <v>3</v>
      </c>
      <c r="AZ390">
        <f>step3_validation[[#This Row],[AI_TRU4]]</f>
        <v>6</v>
      </c>
      <c r="BA390" t="str">
        <f t="shared" si="183"/>
        <v>Neutral</v>
      </c>
      <c r="BB390">
        <f>survey_responses[[#This Row],[Tôi thấy Nhà nước đã giải thích rõ ràng, minh bạch về lý do và mục tiêu của việc sửa đổi thuế lần này. - HUMAN-TRU4]]</f>
        <v>5</v>
      </c>
      <c r="BC390" t="str">
        <f t="shared" si="184"/>
        <v>Neutral</v>
      </c>
      <c r="BD390" s="32">
        <f t="shared" si="185"/>
        <v>1</v>
      </c>
      <c r="BE390">
        <f>step3_validation[[#This Row],[AI_OUT1]]</f>
        <v>9</v>
      </c>
      <c r="BF390" t="str">
        <f t="shared" si="186"/>
        <v>Support</v>
      </c>
      <c r="BG390">
        <f>survey_responses[[#This Row],[Sau khi xem xét các quyền lợi và nghĩa vụ, bạn có ủng hộ và tuân thủ chính sách mới hiện nay? - HUMAN-OUT1]]</f>
        <v>8</v>
      </c>
      <c r="BH390" t="str">
        <f t="shared" si="187"/>
        <v>Support</v>
      </c>
      <c r="BI390" s="32">
        <f t="shared" si="188"/>
        <v>1</v>
      </c>
    </row>
    <row r="391" spans="1:61" x14ac:dyDescent="0.45">
      <c r="A391" s="30">
        <f>step3_validation[[#This Row],[Persona_ID]]</f>
        <v>390</v>
      </c>
      <c r="B391" s="31">
        <f>step3_validation[[#This Row],[Used_Seed]]</f>
        <v>2415</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36.651209464252382</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9</v>
      </c>
      <c r="R391" t="str">
        <f t="shared" si="162"/>
        <v>Support</v>
      </c>
      <c r="S391">
        <f>survey_responses[[#This Row],[Tôi tin rằng với các quy định quản lý thuế hiện nay, hành vi gian lận hoặc trốn thuế sẽ dễ dàng bị phát hiện và xử lý nghiêm. - HUMAN-ENF1]]</f>
        <v>10</v>
      </c>
      <c r="T391" t="str">
        <f t="shared" si="163"/>
        <v>Support</v>
      </c>
      <c r="U391" s="32">
        <f t="shared" si="164"/>
        <v>1</v>
      </c>
      <c r="V391">
        <f>step3_validation[[#This Row],[AI_ENF2]]</f>
        <v>8</v>
      </c>
      <c r="W391" t="str">
        <f t="shared" si="165"/>
        <v>Support</v>
      </c>
      <c r="X391">
        <f>survey_responses[[#This Row],[Tôi tin rằng Nhà nước, cơ quan thuế có đủ khả năng và công nghệ để phát hiện, xử lý nghiêm các hành vi trốn thuế. - HUMAN-ENF2]]</f>
        <v>10</v>
      </c>
      <c r="Y391" t="str">
        <f t="shared" si="166"/>
        <v>Support</v>
      </c>
      <c r="Z391" s="32">
        <f t="shared" si="167"/>
        <v>2</v>
      </c>
      <c r="AA391">
        <f>step3_validation[[#This Row],[AI_FAC1]]</f>
        <v>7</v>
      </c>
      <c r="AB391" t="str">
        <f t="shared" si="168"/>
        <v>Neutral</v>
      </c>
      <c r="AC391">
        <f>survey_responses[[#This Row],[Các thủ tục khai báo thuế VÀ/HOẶC quy trình làm việc với cơ quan thuế đơn giản, tiện lợi, nhanh chóng hơn so với trước đây. - HUMAN-FAC1]]</f>
        <v>5</v>
      </c>
      <c r="AD391" t="str">
        <f t="shared" si="169"/>
        <v>Neutral</v>
      </c>
      <c r="AE391" s="32">
        <f t="shared" si="170"/>
        <v>2</v>
      </c>
      <c r="AF391">
        <f>step3_validation[[#This Row],[AI_FAC2]]</f>
        <v>8</v>
      </c>
      <c r="AG391" t="str">
        <f t="shared" si="171"/>
        <v>Support</v>
      </c>
      <c r="AH391">
        <f>survey_responses[[#This Row],[So với trước đây, tôi thấy cách tính thuế và các bậc thuế trong phương án mới đơn giản, dễ hiểu và dễ thực hiện hơn. - HUMAN-FAC2]]</f>
        <v>9</v>
      </c>
      <c r="AI391" t="str">
        <f t="shared" si="172"/>
        <v>Support</v>
      </c>
      <c r="AJ391" s="32">
        <f t="shared" si="173"/>
        <v>1</v>
      </c>
      <c r="AK391">
        <f>step3_validation[[#This Row],[AI_TRU1]]</f>
        <v>9</v>
      </c>
      <c r="AL391" t="str">
        <f t="shared" si="174"/>
        <v>Support</v>
      </c>
      <c r="AM391">
        <f>survey_responses[[#This Row],[Tôi tin rằng Nhà nước, cơ quan thuế sẽ thực thi chính sách mới một cách khách quan, công tâm và đối xử bình đẳng với mọi người nộp thuế.  - HUMAN-TRU1]]</f>
        <v>7</v>
      </c>
      <c r="AN391" t="str">
        <f t="shared" si="175"/>
        <v>Neutral</v>
      </c>
      <c r="AO391" s="32">
        <f t="shared" si="176"/>
        <v>2</v>
      </c>
      <c r="AP391">
        <f>step3_validation[[#This Row],[AI_TRU2]]</f>
        <v>8</v>
      </c>
      <c r="AQ391" t="str">
        <f t="shared" si="177"/>
        <v>Support</v>
      </c>
      <c r="AR391">
        <f>survey_responses[[#This Row],[Tôi thấy mức thuế tôi phải đóng theo phương án mới là công bằng (người thu nhập như tôi đóng mức này là hợp lý). - HUMAN-TRU2]]</f>
        <v>8</v>
      </c>
      <c r="AS391" t="str">
        <f t="shared" si="178"/>
        <v>Support</v>
      </c>
      <c r="AT391" s="32">
        <f t="shared" si="179"/>
        <v>0</v>
      </c>
      <c r="AU391">
        <f>step3_validation[[#This Row],[AI_TRU3]]</f>
        <v>9</v>
      </c>
      <c r="AV391" t="str">
        <f t="shared" si="180"/>
        <v>Support</v>
      </c>
      <c r="AW391">
        <f>survey_responses[[#This Row],[Tôi tin tưởng số tiền thuế tôi đóng sẽ được Nhà nước sử dụng hiệu quả để cải thiện dịch vụ công (y tế, đường xá...). - HUMAN-TRU3]]</f>
        <v>5</v>
      </c>
      <c r="AX391" t="str">
        <f t="shared" si="181"/>
        <v>Neutral</v>
      </c>
      <c r="AY391" s="32">
        <f t="shared" si="182"/>
        <v>4</v>
      </c>
      <c r="AZ391">
        <f>step3_validation[[#This Row],[AI_TRU4]]</f>
        <v>8</v>
      </c>
      <c r="BA391" t="str">
        <f t="shared" si="183"/>
        <v>Support</v>
      </c>
      <c r="BB391">
        <f>survey_responses[[#This Row],[Tôi thấy Nhà nước đã giải thích rõ ràng, minh bạch về lý do và mục tiêu của việc sửa đổi thuế lần này. - HUMAN-TRU4]]</f>
        <v>5</v>
      </c>
      <c r="BC391" t="str">
        <f t="shared" si="184"/>
        <v>Neutral</v>
      </c>
      <c r="BD391" s="32">
        <f t="shared" si="185"/>
        <v>3</v>
      </c>
      <c r="BE391">
        <f>step3_validation[[#This Row],[AI_OUT1]]</f>
        <v>9</v>
      </c>
      <c r="BF391" t="str">
        <f t="shared" si="186"/>
        <v>Support</v>
      </c>
      <c r="BG391">
        <f>survey_responses[[#This Row],[Sau khi xem xét các quyền lợi và nghĩa vụ, bạn có ủng hộ và tuân thủ chính sách mới hiện nay? - HUMAN-OUT1]]</f>
        <v>8</v>
      </c>
      <c r="BH391" t="str">
        <f t="shared" si="187"/>
        <v>Support</v>
      </c>
      <c r="BI391" s="32">
        <f t="shared" si="188"/>
        <v>1</v>
      </c>
    </row>
    <row r="392" spans="1:61" x14ac:dyDescent="0.45">
      <c r="A392" s="30">
        <f>step3_validation[[#This Row],[Persona_ID]]</f>
        <v>391</v>
      </c>
      <c r="B392" s="31">
        <f>step3_validation[[#This Row],[Used_Seed]]</f>
        <v>2416</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13.303098066304376</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7</v>
      </c>
      <c r="R392" t="str">
        <f t="shared" si="162"/>
        <v>Neutral</v>
      </c>
      <c r="S392">
        <f>survey_responses[[#This Row],[Tôi tin rằng với các quy định quản lý thuế hiện nay, hành vi gian lận hoặc trốn thuế sẽ dễ dàng bị phát hiện và xử lý nghiêm. - HUMAN-ENF1]]</f>
        <v>4</v>
      </c>
      <c r="T392" t="str">
        <f t="shared" si="163"/>
        <v>Oppose</v>
      </c>
      <c r="U392" s="32">
        <f t="shared" si="164"/>
        <v>3</v>
      </c>
      <c r="V392">
        <f>step3_validation[[#This Row],[AI_ENF2]]</f>
        <v>8</v>
      </c>
      <c r="W392" t="str">
        <f t="shared" si="165"/>
        <v>Support</v>
      </c>
      <c r="X392">
        <f>survey_responses[[#This Row],[Tôi tin rằng Nhà nước, cơ quan thuế có đủ khả năng và công nghệ để phát hiện, xử lý nghiêm các hành vi trốn thuế. - HUMAN-ENF2]]</f>
        <v>5</v>
      </c>
      <c r="Y392" t="str">
        <f t="shared" si="166"/>
        <v>Neutral</v>
      </c>
      <c r="Z392" s="32">
        <f t="shared" si="167"/>
        <v>3</v>
      </c>
      <c r="AA392">
        <f>step3_validation[[#This Row],[AI_FAC1]]</f>
        <v>7</v>
      </c>
      <c r="AB392" t="str">
        <f t="shared" si="168"/>
        <v>Neutral</v>
      </c>
      <c r="AC392">
        <f>survey_responses[[#This Row],[Các thủ tục khai báo thuế VÀ/HOẶC quy trình làm việc với cơ quan thuế đơn giản, tiện lợi, nhanh chóng hơn so với trước đây. - HUMAN-FAC1]]</f>
        <v>7</v>
      </c>
      <c r="AD392" t="str">
        <f t="shared" si="169"/>
        <v>Neutral</v>
      </c>
      <c r="AE392" s="32">
        <f t="shared" si="170"/>
        <v>0</v>
      </c>
      <c r="AF392">
        <f>step3_validation[[#This Row],[AI_FAC2]]</f>
        <v>9</v>
      </c>
      <c r="AG392" t="str">
        <f t="shared" si="171"/>
        <v>Support</v>
      </c>
      <c r="AH392">
        <f>survey_responses[[#This Row],[So với trước đây, tôi thấy cách tính thuế và các bậc thuế trong phương án mới đơn giản, dễ hiểu và dễ thực hiện hơn. - HUMAN-FAC2]]</f>
        <v>7</v>
      </c>
      <c r="AI392" t="str">
        <f t="shared" si="172"/>
        <v>Neutral</v>
      </c>
      <c r="AJ392" s="32">
        <f t="shared" si="173"/>
        <v>2</v>
      </c>
      <c r="AK392">
        <f>step3_validation[[#This Row],[AI_TRU1]]</f>
        <v>6</v>
      </c>
      <c r="AL392" t="str">
        <f t="shared" si="174"/>
        <v>Neutral</v>
      </c>
      <c r="AM392">
        <f>survey_responses[[#This Row],[Tôi tin rằng Nhà nước, cơ quan thuế sẽ thực thi chính sách mới một cách khách quan, công tâm và đối xử bình đẳng với mọi người nộp thuế.  - HUMAN-TRU1]]</f>
        <v>5</v>
      </c>
      <c r="AN392" t="str">
        <f t="shared" si="175"/>
        <v>Neutral</v>
      </c>
      <c r="AO392" s="32">
        <f t="shared" si="176"/>
        <v>1</v>
      </c>
      <c r="AP392">
        <f>step3_validation[[#This Row],[AI_TRU2]]</f>
        <v>8</v>
      </c>
      <c r="AQ392" t="str">
        <f t="shared" si="177"/>
        <v>Support</v>
      </c>
      <c r="AR392">
        <f>survey_responses[[#This Row],[Tôi thấy mức thuế tôi phải đóng theo phương án mới là công bằng (người thu nhập như tôi đóng mức này là hợp lý). - HUMAN-TRU2]]</f>
        <v>7</v>
      </c>
      <c r="AS392" t="str">
        <f t="shared" si="178"/>
        <v>Neutral</v>
      </c>
      <c r="AT392" s="32">
        <f t="shared" si="179"/>
        <v>1</v>
      </c>
      <c r="AU392">
        <f>step3_validation[[#This Row],[AI_TRU3]]</f>
        <v>7</v>
      </c>
      <c r="AV392" t="str">
        <f t="shared" si="180"/>
        <v>Neutral</v>
      </c>
      <c r="AW392">
        <f>survey_responses[[#This Row],[Tôi tin tưởng số tiền thuế tôi đóng sẽ được Nhà nước sử dụng hiệu quả để cải thiện dịch vụ công (y tế, đường xá...). - HUMAN-TRU3]]</f>
        <v>5</v>
      </c>
      <c r="AX392" t="str">
        <f t="shared" si="181"/>
        <v>Neutral</v>
      </c>
      <c r="AY392" s="32">
        <f t="shared" si="182"/>
        <v>2</v>
      </c>
      <c r="AZ392">
        <f>step3_validation[[#This Row],[AI_TRU4]]</f>
        <v>8</v>
      </c>
      <c r="BA392" t="str">
        <f t="shared" si="183"/>
        <v>Support</v>
      </c>
      <c r="BB392">
        <f>survey_responses[[#This Row],[Tôi thấy Nhà nước đã giải thích rõ ràng, minh bạch về lý do và mục tiêu của việc sửa đổi thuế lần này. - HUMAN-TRU4]]</f>
        <v>5</v>
      </c>
      <c r="BC392" t="str">
        <f t="shared" si="184"/>
        <v>Neutral</v>
      </c>
      <c r="BD392" s="32">
        <f t="shared" si="185"/>
        <v>3</v>
      </c>
      <c r="BE392">
        <f>step3_validation[[#This Row],[AI_OUT1]]</f>
        <v>9</v>
      </c>
      <c r="BF392" t="str">
        <f t="shared" si="186"/>
        <v>Support</v>
      </c>
      <c r="BG392">
        <f>survey_responses[[#This Row],[Sau khi xem xét các quyền lợi và nghĩa vụ, bạn có ủng hộ và tuân thủ chính sách mới hiện nay? - HUMAN-OUT1]]</f>
        <v>7</v>
      </c>
      <c r="BH392" t="str">
        <f t="shared" si="187"/>
        <v>Neutral</v>
      </c>
      <c r="BI392" s="32">
        <f t="shared" si="188"/>
        <v>2</v>
      </c>
    </row>
    <row r="393" spans="1:61" x14ac:dyDescent="0.45">
      <c r="A393" s="30">
        <f>step3_validation[[#This Row],[Persona_ID]]</f>
        <v>392</v>
      </c>
      <c r="B393" s="31">
        <f>step3_validation[[#This Row],[Used_Seed]]</f>
        <v>2417</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166.38799073238403</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9</v>
      </c>
      <c r="R393" t="str">
        <f t="shared" si="162"/>
        <v>Support</v>
      </c>
      <c r="S393">
        <f>survey_responses[[#This Row],[Tôi tin rằng với các quy định quản lý thuế hiện nay, hành vi gian lận hoặc trốn thuế sẽ dễ dàng bị phát hiện và xử lý nghiêm. - HUMAN-ENF1]]</f>
        <v>2</v>
      </c>
      <c r="T393" t="str">
        <f t="shared" si="163"/>
        <v>Oppose</v>
      </c>
      <c r="U393" s="32">
        <f t="shared" si="164"/>
        <v>7</v>
      </c>
      <c r="V393">
        <f>step3_validation[[#This Row],[AI_ENF2]]</f>
        <v>8</v>
      </c>
      <c r="W393" t="str">
        <f t="shared" si="165"/>
        <v>Support</v>
      </c>
      <c r="X393">
        <f>survey_responses[[#This Row],[Tôi tin rằng Nhà nước, cơ quan thuế có đủ khả năng và công nghệ để phát hiện, xử lý nghiêm các hành vi trốn thuế. - HUMAN-ENF2]]</f>
        <v>3</v>
      </c>
      <c r="Y393" t="str">
        <f t="shared" si="166"/>
        <v>Oppose</v>
      </c>
      <c r="Z393" s="32">
        <f t="shared" si="167"/>
        <v>5</v>
      </c>
      <c r="AA393">
        <f>step3_validation[[#This Row],[AI_FAC1]]</f>
        <v>7</v>
      </c>
      <c r="AB393" t="str">
        <f t="shared" si="168"/>
        <v>Neutral</v>
      </c>
      <c r="AC393">
        <f>survey_responses[[#This Row],[Các thủ tục khai báo thuế VÀ/HOẶC quy trình làm việc với cơ quan thuế đơn giản, tiện lợi, nhanh chóng hơn so với trước đây. - HUMAN-FAC1]]</f>
        <v>3</v>
      </c>
      <c r="AD393" t="str">
        <f t="shared" si="169"/>
        <v>Oppose</v>
      </c>
      <c r="AE393" s="32">
        <f t="shared" si="170"/>
        <v>4</v>
      </c>
      <c r="AF393">
        <f>step3_validation[[#This Row],[AI_FAC2]]</f>
        <v>8</v>
      </c>
      <c r="AG393" t="str">
        <f t="shared" si="171"/>
        <v>Support</v>
      </c>
      <c r="AH393">
        <f>survey_responses[[#This Row],[So với trước đây, tôi thấy cách tính thuế và các bậc thuế trong phương án mới đơn giản, dễ hiểu và dễ thực hiện hơn. - HUMAN-FAC2]]</f>
        <v>6</v>
      </c>
      <c r="AI393" t="str">
        <f t="shared" si="172"/>
        <v>Neutral</v>
      </c>
      <c r="AJ393" s="32">
        <f t="shared" si="173"/>
        <v>2</v>
      </c>
      <c r="AK393">
        <f>step3_validation[[#This Row],[AI_TRU1]]</f>
        <v>9</v>
      </c>
      <c r="AL393" t="str">
        <f t="shared" si="174"/>
        <v>Support</v>
      </c>
      <c r="AM393">
        <f>survey_responses[[#This Row],[Tôi tin rằng Nhà nước, cơ quan thuế sẽ thực thi chính sách mới một cách khách quan, công tâm và đối xử bình đẳng với mọi người nộp thuế.  - HUMAN-TRU1]]</f>
        <v>5</v>
      </c>
      <c r="AN393" t="str">
        <f t="shared" si="175"/>
        <v>Neutral</v>
      </c>
      <c r="AO393" s="32">
        <f t="shared" si="176"/>
        <v>4</v>
      </c>
      <c r="AP393">
        <f>step3_validation[[#This Row],[AI_TRU2]]</f>
        <v>8</v>
      </c>
      <c r="AQ393" t="str">
        <f t="shared" si="177"/>
        <v>Support</v>
      </c>
      <c r="AR393">
        <f>survey_responses[[#This Row],[Tôi thấy mức thuế tôi phải đóng theo phương án mới là công bằng (người thu nhập như tôi đóng mức này là hợp lý). - HUMAN-TRU2]]</f>
        <v>5</v>
      </c>
      <c r="AS393" t="str">
        <f t="shared" si="178"/>
        <v>Neutral</v>
      </c>
      <c r="AT393" s="32">
        <f t="shared" si="179"/>
        <v>3</v>
      </c>
      <c r="AU393">
        <f>step3_validation[[#This Row],[AI_TRU3]]</f>
        <v>9</v>
      </c>
      <c r="AV393" t="str">
        <f t="shared" si="180"/>
        <v>Support</v>
      </c>
      <c r="AW393">
        <f>survey_responses[[#This Row],[Tôi tin tưởng số tiền thuế tôi đóng sẽ được Nhà nước sử dụng hiệu quả để cải thiện dịch vụ công (y tế, đường xá...). - HUMAN-TRU3]]</f>
        <v>5</v>
      </c>
      <c r="AX393" t="str">
        <f t="shared" si="181"/>
        <v>Neutral</v>
      </c>
      <c r="AY393" s="32">
        <f t="shared" si="182"/>
        <v>4</v>
      </c>
      <c r="AZ393">
        <f>step3_validation[[#This Row],[AI_TRU4]]</f>
        <v>7</v>
      </c>
      <c r="BA393" t="str">
        <f t="shared" si="183"/>
        <v>Neutral</v>
      </c>
      <c r="BB393">
        <f>survey_responses[[#This Row],[Tôi thấy Nhà nước đã giải thích rõ ràng, minh bạch về lý do và mục tiêu của việc sửa đổi thuế lần này. - HUMAN-TRU4]]</f>
        <v>5</v>
      </c>
      <c r="BC393" t="str">
        <f t="shared" si="184"/>
        <v>Neutral</v>
      </c>
      <c r="BD393" s="32">
        <f t="shared" si="185"/>
        <v>2</v>
      </c>
      <c r="BE393">
        <f>step3_validation[[#This Row],[AI_OUT1]]</f>
        <v>9</v>
      </c>
      <c r="BF393" t="str">
        <f t="shared" si="186"/>
        <v>Support</v>
      </c>
      <c r="BG393">
        <f>survey_responses[[#This Row],[Sau khi xem xét các quyền lợi và nghĩa vụ, bạn có ủng hộ và tuân thủ chính sách mới hiện nay? - HUMAN-OUT1]]</f>
        <v>5</v>
      </c>
      <c r="BH393" t="str">
        <f t="shared" si="187"/>
        <v>Neutral</v>
      </c>
      <c r="BI393" s="32">
        <f t="shared" si="188"/>
        <v>4</v>
      </c>
    </row>
    <row r="394" spans="1:61" x14ac:dyDescent="0.45">
      <c r="A394" s="30">
        <f>step3_validation[[#This Row],[Persona_ID]]</f>
        <v>393</v>
      </c>
      <c r="B394" s="31">
        <f>step3_validation[[#This Row],[Used_Seed]]</f>
        <v>2418</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26.434396836954384</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6</v>
      </c>
      <c r="R394" t="str">
        <f t="shared" si="162"/>
        <v>Neutral</v>
      </c>
      <c r="S394">
        <f>survey_responses[[#This Row],[Tôi tin rằng với các quy định quản lý thuế hiện nay, hành vi gian lận hoặc trốn thuế sẽ dễ dàng bị phát hiện và xử lý nghiêm. - HUMAN-ENF1]]</f>
        <v>7</v>
      </c>
      <c r="T394" t="str">
        <f t="shared" si="163"/>
        <v>Neutral</v>
      </c>
      <c r="U394" s="32">
        <f t="shared" si="164"/>
        <v>1</v>
      </c>
      <c r="V394">
        <f>step3_validation[[#This Row],[AI_ENF2]]</f>
        <v>7</v>
      </c>
      <c r="W394" t="str">
        <f t="shared" si="165"/>
        <v>Neutral</v>
      </c>
      <c r="X394">
        <f>survey_responses[[#This Row],[Tôi tin rằng Nhà nước, cơ quan thuế có đủ khả năng và công nghệ để phát hiện, xử lý nghiêm các hành vi trốn thuế. - HUMAN-ENF2]]</f>
        <v>7</v>
      </c>
      <c r="Y394" t="str">
        <f t="shared" si="166"/>
        <v>Neutral</v>
      </c>
      <c r="Z394" s="32">
        <f t="shared" si="167"/>
        <v>0</v>
      </c>
      <c r="AA394">
        <f>step3_validation[[#This Row],[AI_FAC1]]</f>
        <v>9</v>
      </c>
      <c r="AB394" t="str">
        <f t="shared" si="168"/>
        <v>Support</v>
      </c>
      <c r="AC394">
        <f>survey_responses[[#This Row],[Các thủ tục khai báo thuế VÀ/HOẶC quy trình làm việc với cơ quan thuế đơn giản, tiện lợi, nhanh chóng hơn so với trước đây. - HUMAN-FAC1]]</f>
        <v>5</v>
      </c>
      <c r="AD394" t="str">
        <f t="shared" si="169"/>
        <v>Neutral</v>
      </c>
      <c r="AE394" s="32">
        <f t="shared" si="170"/>
        <v>4</v>
      </c>
      <c r="AF394">
        <f>step3_validation[[#This Row],[AI_FAC2]]</f>
        <v>8</v>
      </c>
      <c r="AG394" t="str">
        <f t="shared" si="171"/>
        <v>Support</v>
      </c>
      <c r="AH394">
        <f>survey_responses[[#This Row],[So với trước đây, tôi thấy cách tính thuế và các bậc thuế trong phương án mới đơn giản, dễ hiểu và dễ thực hiện hơn. - HUMAN-FAC2]]</f>
        <v>8</v>
      </c>
      <c r="AI394" t="str">
        <f t="shared" si="172"/>
        <v>Support</v>
      </c>
      <c r="AJ394" s="32">
        <f t="shared" si="173"/>
        <v>0</v>
      </c>
      <c r="AK394">
        <f>step3_validation[[#This Row],[AI_TRU1]]</f>
        <v>7</v>
      </c>
      <c r="AL394" t="str">
        <f t="shared" si="174"/>
        <v>Neutral</v>
      </c>
      <c r="AM394">
        <f>survey_responses[[#This Row],[Tôi tin rằng Nhà nước, cơ quan thuế sẽ thực thi chính sách mới một cách khách quan, công tâm và đối xử bình đẳng với mọi người nộp thuế.  - HUMAN-TRU1]]</f>
        <v>7</v>
      </c>
      <c r="AN394" t="str">
        <f t="shared" si="175"/>
        <v>Neutral</v>
      </c>
      <c r="AO394" s="32">
        <f t="shared" si="176"/>
        <v>0</v>
      </c>
      <c r="AP394">
        <f>step3_validation[[#This Row],[AI_TRU2]]</f>
        <v>9</v>
      </c>
      <c r="AQ394" t="str">
        <f t="shared" si="177"/>
        <v>Support</v>
      </c>
      <c r="AR394">
        <f>survey_responses[[#This Row],[Tôi thấy mức thuế tôi phải đóng theo phương án mới là công bằng (người thu nhập như tôi đóng mức này là hợp lý). - HUMAN-TRU2]]</f>
        <v>7</v>
      </c>
      <c r="AS394" t="str">
        <f t="shared" si="178"/>
        <v>Neutral</v>
      </c>
      <c r="AT394" s="32">
        <f t="shared" si="179"/>
        <v>2</v>
      </c>
      <c r="AU394">
        <f>step3_validation[[#This Row],[AI_TRU3]]</f>
        <v>7</v>
      </c>
      <c r="AV394" t="str">
        <f t="shared" si="180"/>
        <v>Neutral</v>
      </c>
      <c r="AW394">
        <f>survey_responses[[#This Row],[Tôi tin tưởng số tiền thuế tôi đóng sẽ được Nhà nước sử dụng hiệu quả để cải thiện dịch vụ công (y tế, đường xá...). - HUMAN-TRU3]]</f>
        <v>5</v>
      </c>
      <c r="AX394" t="str">
        <f t="shared" si="181"/>
        <v>Neutral</v>
      </c>
      <c r="AY394" s="32">
        <f t="shared" si="182"/>
        <v>2</v>
      </c>
      <c r="AZ394">
        <f>step3_validation[[#This Row],[AI_TRU4]]</f>
        <v>8</v>
      </c>
      <c r="BA394" t="str">
        <f t="shared" si="183"/>
        <v>Support</v>
      </c>
      <c r="BB394">
        <f>survey_responses[[#This Row],[Tôi thấy Nhà nước đã giải thích rõ ràng, minh bạch về lý do và mục tiêu của việc sửa đổi thuế lần này. - HUMAN-TRU4]]</f>
        <v>6</v>
      </c>
      <c r="BC394" t="str">
        <f t="shared" si="184"/>
        <v>Neutral</v>
      </c>
      <c r="BD394" s="32">
        <f t="shared" si="185"/>
        <v>2</v>
      </c>
      <c r="BE394">
        <f>step3_validation[[#This Row],[AI_OUT1]]</f>
        <v>9</v>
      </c>
      <c r="BF394" t="str">
        <f t="shared" si="186"/>
        <v>Support</v>
      </c>
      <c r="BG394">
        <f>survey_responses[[#This Row],[Sau khi xem xét các quyền lợi và nghĩa vụ, bạn có ủng hộ và tuân thủ chính sách mới hiện nay? - HUMAN-OUT1]]</f>
        <v>7</v>
      </c>
      <c r="BH394" t="str">
        <f t="shared" si="187"/>
        <v>Neutral</v>
      </c>
      <c r="BI394" s="32">
        <f t="shared" si="188"/>
        <v>2</v>
      </c>
    </row>
    <row r="395" spans="1:61" x14ac:dyDescent="0.45">
      <c r="A395" s="30">
        <f>step3_validation[[#This Row],[Persona_ID]]</f>
        <v>394</v>
      </c>
      <c r="B395" s="31">
        <f>step3_validation[[#This Row],[Used_Seed]]</f>
        <v>2419</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7</v>
      </c>
      <c r="R395" t="str">
        <f t="shared" si="162"/>
        <v>Neutral</v>
      </c>
      <c r="S395">
        <f>survey_responses[[#This Row],[Tôi tin rằng với các quy định quản lý thuế hiện nay, hành vi gian lận hoặc trốn thuế sẽ dễ dàng bị phát hiện và xử lý nghiêm. - HUMAN-ENF1]]</f>
        <v>9</v>
      </c>
      <c r="T395" t="str">
        <f t="shared" si="163"/>
        <v>Support</v>
      </c>
      <c r="U395" s="32">
        <f t="shared" si="164"/>
        <v>2</v>
      </c>
      <c r="V395">
        <f>step3_validation[[#This Row],[AI_ENF2]]</f>
        <v>6</v>
      </c>
      <c r="W395" t="str">
        <f t="shared" si="165"/>
        <v>Neutral</v>
      </c>
      <c r="X395">
        <f>survey_responses[[#This Row],[Tôi tin rằng Nhà nước, cơ quan thuế có đủ khả năng và công nghệ để phát hiện, xử lý nghiêm các hành vi trốn thuế. - HUMAN-ENF2]]</f>
        <v>9</v>
      </c>
      <c r="Y395" t="str">
        <f t="shared" si="166"/>
        <v>Support</v>
      </c>
      <c r="Z395" s="32">
        <f t="shared" si="167"/>
        <v>3</v>
      </c>
      <c r="AA395">
        <f>step3_validation[[#This Row],[AI_FAC1]]</f>
        <v>8</v>
      </c>
      <c r="AB395" t="str">
        <f t="shared" si="168"/>
        <v>Support</v>
      </c>
      <c r="AC395">
        <f>survey_responses[[#This Row],[Các thủ tục khai báo thuế VÀ/HOẶC quy trình làm việc với cơ quan thuế đơn giản, tiện lợi, nhanh chóng hơn so với trước đây. - HUMAN-FAC1]]</f>
        <v>9</v>
      </c>
      <c r="AD395" t="str">
        <f t="shared" si="169"/>
        <v>Support</v>
      </c>
      <c r="AE395" s="32">
        <f t="shared" si="170"/>
        <v>1</v>
      </c>
      <c r="AF395">
        <f>step3_validation[[#This Row],[AI_FAC2]]</f>
        <v>9</v>
      </c>
      <c r="AG395" t="str">
        <f t="shared" si="171"/>
        <v>Support</v>
      </c>
      <c r="AH395">
        <f>survey_responses[[#This Row],[So với trước đây, tôi thấy cách tính thuế và các bậc thuế trong phương án mới đơn giản, dễ hiểu và dễ thực hiện hơn. - HUMAN-FAC2]]</f>
        <v>7</v>
      </c>
      <c r="AI395" t="str">
        <f t="shared" si="172"/>
        <v>Neutral</v>
      </c>
      <c r="AJ395" s="32">
        <f t="shared" si="173"/>
        <v>2</v>
      </c>
      <c r="AK395">
        <f>step3_validation[[#This Row],[AI_TRU1]]</f>
        <v>8</v>
      </c>
      <c r="AL395" t="str">
        <f t="shared" si="174"/>
        <v>Support</v>
      </c>
      <c r="AM395">
        <f>survey_responses[[#This Row],[Tôi tin rằng Nhà nước, cơ quan thuế sẽ thực thi chính sách mới một cách khách quan, công tâm và đối xử bình đẳng với mọi người nộp thuế.  - HUMAN-TRU1]]</f>
        <v>8</v>
      </c>
      <c r="AN395" t="str">
        <f t="shared" si="175"/>
        <v>Support</v>
      </c>
      <c r="AO395" s="32">
        <f t="shared" si="176"/>
        <v>0</v>
      </c>
      <c r="AP395">
        <f>step3_validation[[#This Row],[AI_TRU2]]</f>
        <v>9</v>
      </c>
      <c r="AQ395" t="str">
        <f t="shared" si="177"/>
        <v>Support</v>
      </c>
      <c r="AR395">
        <f>survey_responses[[#This Row],[Tôi thấy mức thuế tôi phải đóng theo phương án mới là công bằng (người thu nhập như tôi đóng mức này là hợp lý). - HUMAN-TRU2]]</f>
        <v>6</v>
      </c>
      <c r="AS395" t="str">
        <f t="shared" si="178"/>
        <v>Neutral</v>
      </c>
      <c r="AT395" s="32">
        <f t="shared" si="179"/>
        <v>3</v>
      </c>
      <c r="AU395">
        <f>step3_validation[[#This Row],[AI_TRU3]]</f>
        <v>8</v>
      </c>
      <c r="AV395" t="str">
        <f t="shared" si="180"/>
        <v>Support</v>
      </c>
      <c r="AW395">
        <f>survey_responses[[#This Row],[Tôi tin tưởng số tiền thuế tôi đóng sẽ được Nhà nước sử dụng hiệu quả để cải thiện dịch vụ công (y tế, đường xá...). - HUMAN-TRU3]]</f>
        <v>8</v>
      </c>
      <c r="AX395" t="str">
        <f t="shared" si="181"/>
        <v>Support</v>
      </c>
      <c r="AY395" s="32">
        <f t="shared" si="182"/>
        <v>0</v>
      </c>
      <c r="AZ395">
        <f>step3_validation[[#This Row],[AI_TRU4]]</f>
        <v>7</v>
      </c>
      <c r="BA395" t="str">
        <f t="shared" si="183"/>
        <v>Neutral</v>
      </c>
      <c r="BB395">
        <f>survey_responses[[#This Row],[Tôi thấy Nhà nước đã giải thích rõ ràng, minh bạch về lý do và mục tiêu của việc sửa đổi thuế lần này. - HUMAN-TRU4]]</f>
        <v>10</v>
      </c>
      <c r="BC395" t="str">
        <f t="shared" si="184"/>
        <v>Support</v>
      </c>
      <c r="BD395" s="32">
        <f t="shared" si="185"/>
        <v>3</v>
      </c>
      <c r="BE395">
        <f>step3_validation[[#This Row],[AI_OUT1]]</f>
        <v>9</v>
      </c>
      <c r="BF395" t="str">
        <f t="shared" si="186"/>
        <v>Support</v>
      </c>
      <c r="BG395">
        <f>survey_responses[[#This Row],[Sau khi xem xét các quyền lợi và nghĩa vụ, bạn có ủng hộ và tuân thủ chính sách mới hiện nay? - HUMAN-OUT1]]</f>
        <v>10</v>
      </c>
      <c r="BH395" t="str">
        <f t="shared" si="187"/>
        <v>Support</v>
      </c>
      <c r="BI395" s="32">
        <f t="shared" si="188"/>
        <v>1</v>
      </c>
    </row>
    <row r="396" spans="1:61" x14ac:dyDescent="0.45">
      <c r="A396" s="30">
        <f>step3_validation[[#This Row],[Persona_ID]]</f>
        <v>395</v>
      </c>
      <c r="B396" s="31">
        <f>step3_validation[[#This Row],[Used_Seed]]</f>
        <v>2420</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40.092622556986917</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9</v>
      </c>
      <c r="R396" t="str">
        <f t="shared" si="162"/>
        <v>Support</v>
      </c>
      <c r="S396">
        <f>survey_responses[[#This Row],[Tôi tin rằng với các quy định quản lý thuế hiện nay, hành vi gian lận hoặc trốn thuế sẽ dễ dàng bị phát hiện và xử lý nghiêm. - HUMAN-ENF1]]</f>
        <v>7</v>
      </c>
      <c r="T396" t="str">
        <f t="shared" si="163"/>
        <v>Neutral</v>
      </c>
      <c r="U396" s="32">
        <f t="shared" si="164"/>
        <v>2</v>
      </c>
      <c r="V396">
        <f>step3_validation[[#This Row],[AI_ENF2]]</f>
        <v>8</v>
      </c>
      <c r="W396" t="str">
        <f t="shared" si="165"/>
        <v>Support</v>
      </c>
      <c r="X396">
        <f>survey_responses[[#This Row],[Tôi tin rằng Nhà nước, cơ quan thuế có đủ khả năng và công nghệ để phát hiện, xử lý nghiêm các hành vi trốn thuế. - HUMAN-ENF2]]</f>
        <v>7</v>
      </c>
      <c r="Y396" t="str">
        <f t="shared" si="166"/>
        <v>Neutral</v>
      </c>
      <c r="Z396" s="32">
        <f t="shared" si="167"/>
        <v>1</v>
      </c>
      <c r="AA396">
        <f>step3_validation[[#This Row],[AI_FAC1]]</f>
        <v>9</v>
      </c>
      <c r="AB396" t="str">
        <f t="shared" si="168"/>
        <v>Support</v>
      </c>
      <c r="AC396">
        <f>survey_responses[[#This Row],[Các thủ tục khai báo thuế VÀ/HOẶC quy trình làm việc với cơ quan thuế đơn giản, tiện lợi, nhanh chóng hơn so với trước đây. - HUMAN-FAC1]]</f>
        <v>5</v>
      </c>
      <c r="AD396" t="str">
        <f t="shared" si="169"/>
        <v>Neutral</v>
      </c>
      <c r="AE396" s="32">
        <f t="shared" si="170"/>
        <v>4</v>
      </c>
      <c r="AF396">
        <f>step3_validation[[#This Row],[AI_FAC2]]</f>
        <v>8</v>
      </c>
      <c r="AG396" t="str">
        <f t="shared" si="171"/>
        <v>Support</v>
      </c>
      <c r="AH396">
        <f>survey_responses[[#This Row],[So với trước đây, tôi thấy cách tính thuế và các bậc thuế trong phương án mới đơn giản, dễ hiểu và dễ thực hiện hơn. - HUMAN-FAC2]]</f>
        <v>7</v>
      </c>
      <c r="AI396" t="str">
        <f t="shared" si="172"/>
        <v>Neutral</v>
      </c>
      <c r="AJ396" s="32">
        <f t="shared" si="173"/>
        <v>1</v>
      </c>
      <c r="AK396">
        <f>step3_validation[[#This Row],[AI_TRU1]]</f>
        <v>9</v>
      </c>
      <c r="AL396" t="str">
        <f t="shared" si="174"/>
        <v>Support</v>
      </c>
      <c r="AM396">
        <f>survey_responses[[#This Row],[Tôi tin rằng Nhà nước, cơ quan thuế sẽ thực thi chính sách mới một cách khách quan, công tâm và đối xử bình đẳng với mọi người nộp thuế.  - HUMAN-TRU1]]</f>
        <v>5</v>
      </c>
      <c r="AN396" t="str">
        <f t="shared" si="175"/>
        <v>Neutral</v>
      </c>
      <c r="AO396" s="32">
        <f t="shared" si="176"/>
        <v>4</v>
      </c>
      <c r="AP396">
        <f>step3_validation[[#This Row],[AI_TRU2]]</f>
        <v>8</v>
      </c>
      <c r="AQ396" t="str">
        <f t="shared" si="177"/>
        <v>Support</v>
      </c>
      <c r="AR396">
        <f>survey_responses[[#This Row],[Tôi thấy mức thuế tôi phải đóng theo phương án mới là công bằng (người thu nhập như tôi đóng mức này là hợp lý). - HUMAN-TRU2]]</f>
        <v>6</v>
      </c>
      <c r="AS396" t="str">
        <f t="shared" si="178"/>
        <v>Neutral</v>
      </c>
      <c r="AT396" s="32">
        <f t="shared" si="179"/>
        <v>2</v>
      </c>
      <c r="AU396">
        <f>step3_validation[[#This Row],[AI_TRU3]]</f>
        <v>9</v>
      </c>
      <c r="AV396" t="str">
        <f t="shared" si="180"/>
        <v>Support</v>
      </c>
      <c r="AW396">
        <f>survey_responses[[#This Row],[Tôi tin tưởng số tiền thuế tôi đóng sẽ được Nhà nước sử dụng hiệu quả để cải thiện dịch vụ công (y tế, đường xá...). - HUMAN-TRU3]]</f>
        <v>5</v>
      </c>
      <c r="AX396" t="str">
        <f t="shared" si="181"/>
        <v>Neutral</v>
      </c>
      <c r="AY396" s="32">
        <f t="shared" si="182"/>
        <v>4</v>
      </c>
      <c r="AZ396">
        <f>step3_validation[[#This Row],[AI_TRU4]]</f>
        <v>8</v>
      </c>
      <c r="BA396" t="str">
        <f t="shared" si="183"/>
        <v>Support</v>
      </c>
      <c r="BB396">
        <f>survey_responses[[#This Row],[Tôi thấy Nhà nước đã giải thích rõ ràng, minh bạch về lý do và mục tiêu của việc sửa đổi thuế lần này. - HUMAN-TRU4]]</f>
        <v>6</v>
      </c>
      <c r="BC396" t="str">
        <f t="shared" si="184"/>
        <v>Neutral</v>
      </c>
      <c r="BD396" s="32">
        <f t="shared" si="185"/>
        <v>2</v>
      </c>
      <c r="BE396">
        <f>step3_validation[[#This Row],[AI_OUT1]]</f>
        <v>9</v>
      </c>
      <c r="BF396" t="str">
        <f t="shared" si="186"/>
        <v>Support</v>
      </c>
      <c r="BG396">
        <f>survey_responses[[#This Row],[Sau khi xem xét các quyền lợi và nghĩa vụ, bạn có ủng hộ và tuân thủ chính sách mới hiện nay? - HUMAN-OUT1]]</f>
        <v>6</v>
      </c>
      <c r="BH396" t="str">
        <f t="shared" si="187"/>
        <v>Neutral</v>
      </c>
      <c r="BI396" s="32">
        <f t="shared" si="188"/>
        <v>3</v>
      </c>
    </row>
    <row r="397" spans="1:61" x14ac:dyDescent="0.45">
      <c r="A397" s="30">
        <f>step3_validation[[#This Row],[Persona_ID]]</f>
        <v>396</v>
      </c>
      <c r="B397" s="31">
        <f>step3_validation[[#This Row],[Used_Seed]]</f>
        <v>2421</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23.090094564224707</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6</v>
      </c>
      <c r="R397" t="str">
        <f t="shared" si="162"/>
        <v>Neutral</v>
      </c>
      <c r="S397">
        <f>survey_responses[[#This Row],[Tôi tin rằng với các quy định quản lý thuế hiện nay, hành vi gian lận hoặc trốn thuế sẽ dễ dàng bị phát hiện và xử lý nghiêm. - HUMAN-ENF1]]</f>
        <v>2</v>
      </c>
      <c r="T397" t="str">
        <f t="shared" si="163"/>
        <v>Oppose</v>
      </c>
      <c r="U397" s="32">
        <f t="shared" si="164"/>
        <v>4</v>
      </c>
      <c r="V397">
        <f>step3_validation[[#This Row],[AI_ENF2]]</f>
        <v>7</v>
      </c>
      <c r="W397" t="str">
        <f t="shared" si="165"/>
        <v>Neutral</v>
      </c>
      <c r="X397">
        <f>survey_responses[[#This Row],[Tôi tin rằng Nhà nước, cơ quan thuế có đủ khả năng và công nghệ để phát hiện, xử lý nghiêm các hành vi trốn thuế. - HUMAN-ENF2]]</f>
        <v>2</v>
      </c>
      <c r="Y397" t="str">
        <f t="shared" si="166"/>
        <v>Oppose</v>
      </c>
      <c r="Z397" s="32">
        <f t="shared" si="167"/>
        <v>5</v>
      </c>
      <c r="AA397">
        <f>step3_validation[[#This Row],[AI_FAC1]]</f>
        <v>9</v>
      </c>
      <c r="AB397" t="str">
        <f t="shared" si="168"/>
        <v>Support</v>
      </c>
      <c r="AC397">
        <f>survey_responses[[#This Row],[Các thủ tục khai báo thuế VÀ/HOẶC quy trình làm việc với cơ quan thuế đơn giản, tiện lợi, nhanh chóng hơn so với trước đây. - HUMAN-FAC1]]</f>
        <v>4</v>
      </c>
      <c r="AD397" t="str">
        <f t="shared" si="169"/>
        <v>Oppose</v>
      </c>
      <c r="AE397" s="32">
        <f t="shared" si="170"/>
        <v>5</v>
      </c>
      <c r="AF397">
        <f>step3_validation[[#This Row],[AI_FAC2]]</f>
        <v>8</v>
      </c>
      <c r="AG397" t="str">
        <f t="shared" si="171"/>
        <v>Support</v>
      </c>
      <c r="AH397">
        <f>survey_responses[[#This Row],[So với trước đây, tôi thấy cách tính thuế và các bậc thuế trong phương án mới đơn giản, dễ hiểu và dễ thực hiện hơn. - HUMAN-FAC2]]</f>
        <v>5</v>
      </c>
      <c r="AI397" t="str">
        <f t="shared" si="172"/>
        <v>Neutral</v>
      </c>
      <c r="AJ397" s="32">
        <f t="shared" si="173"/>
        <v>3</v>
      </c>
      <c r="AK397">
        <f>step3_validation[[#This Row],[AI_TRU1]]</f>
        <v>9</v>
      </c>
      <c r="AL397" t="str">
        <f t="shared" si="174"/>
        <v>Support</v>
      </c>
      <c r="AM397">
        <f>survey_responses[[#This Row],[Tôi tin rằng Nhà nước, cơ quan thuế sẽ thực thi chính sách mới một cách khách quan, công tâm và đối xử bình đẳng với mọi người nộp thuế.  - HUMAN-TRU1]]</f>
        <v>5</v>
      </c>
      <c r="AN397" t="str">
        <f t="shared" si="175"/>
        <v>Neutral</v>
      </c>
      <c r="AO397" s="32">
        <f t="shared" si="176"/>
        <v>4</v>
      </c>
      <c r="AP397">
        <f>step3_validation[[#This Row],[AI_TRU2]]</f>
        <v>8</v>
      </c>
      <c r="AQ397" t="str">
        <f t="shared" si="177"/>
        <v>Support</v>
      </c>
      <c r="AR397">
        <f>survey_responses[[#This Row],[Tôi thấy mức thuế tôi phải đóng theo phương án mới là công bằng (người thu nhập như tôi đóng mức này là hợp lý). - HUMAN-TRU2]]</f>
        <v>3</v>
      </c>
      <c r="AS397" t="str">
        <f t="shared" si="178"/>
        <v>Oppose</v>
      </c>
      <c r="AT397" s="32">
        <f t="shared" si="179"/>
        <v>5</v>
      </c>
      <c r="AU397">
        <f>step3_validation[[#This Row],[AI_TRU3]]</f>
        <v>9</v>
      </c>
      <c r="AV397" t="str">
        <f t="shared" si="180"/>
        <v>Support</v>
      </c>
      <c r="AW397">
        <f>survey_responses[[#This Row],[Tôi tin tưởng số tiền thuế tôi đóng sẽ được Nhà nước sử dụng hiệu quả để cải thiện dịch vụ công (y tế, đường xá...). - HUMAN-TRU3]]</f>
        <v>5</v>
      </c>
      <c r="AX397" t="str">
        <f t="shared" si="181"/>
        <v>Neutral</v>
      </c>
      <c r="AY397" s="32">
        <f t="shared" si="182"/>
        <v>4</v>
      </c>
      <c r="AZ397">
        <f>step3_validation[[#This Row],[AI_TRU4]]</f>
        <v>8</v>
      </c>
      <c r="BA397" t="str">
        <f t="shared" si="183"/>
        <v>Support</v>
      </c>
      <c r="BB397">
        <f>survey_responses[[#This Row],[Tôi thấy Nhà nước đã giải thích rõ ràng, minh bạch về lý do và mục tiêu của việc sửa đổi thuế lần này. - HUMAN-TRU4]]</f>
        <v>5</v>
      </c>
      <c r="BC397" t="str">
        <f t="shared" si="184"/>
        <v>Neutral</v>
      </c>
      <c r="BD397" s="32">
        <f t="shared" si="185"/>
        <v>3</v>
      </c>
      <c r="BE397">
        <f>step3_validation[[#This Row],[AI_OUT1]]</f>
        <v>9</v>
      </c>
      <c r="BF397" t="str">
        <f t="shared" si="186"/>
        <v>Support</v>
      </c>
      <c r="BG397">
        <f>survey_responses[[#This Row],[Sau khi xem xét các quyền lợi và nghĩa vụ, bạn có ủng hộ và tuân thủ chính sách mới hiện nay? - HUMAN-OUT1]]</f>
        <v>5</v>
      </c>
      <c r="BH397" t="str">
        <f t="shared" si="187"/>
        <v>Neutral</v>
      </c>
      <c r="BI397" s="32">
        <f t="shared" si="188"/>
        <v>4</v>
      </c>
    </row>
    <row r="398" spans="1:61" x14ac:dyDescent="0.45">
      <c r="A398" s="30">
        <f>step3_validation[[#This Row],[Persona_ID]]</f>
        <v>397</v>
      </c>
      <c r="B398" s="31">
        <f>step3_validation[[#This Row],[Used_Seed]]</f>
        <v>2422</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23.568901920151529</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7</v>
      </c>
      <c r="R398" t="str">
        <f t="shared" si="162"/>
        <v>Neutral</v>
      </c>
      <c r="S398">
        <f>survey_responses[[#This Row],[Tôi tin rằng với các quy định quản lý thuế hiện nay, hành vi gian lận hoặc trốn thuế sẽ dễ dàng bị phát hiện và xử lý nghiêm. - HUMAN-ENF1]]</f>
        <v>8</v>
      </c>
      <c r="T398" t="str">
        <f t="shared" si="163"/>
        <v>Support</v>
      </c>
      <c r="U398" s="32">
        <f t="shared" si="164"/>
        <v>1</v>
      </c>
      <c r="V398">
        <f>step3_validation[[#This Row],[AI_ENF2]]</f>
        <v>6</v>
      </c>
      <c r="W398" t="str">
        <f t="shared" si="165"/>
        <v>Neutral</v>
      </c>
      <c r="X398">
        <f>survey_responses[[#This Row],[Tôi tin rằng Nhà nước, cơ quan thuế có đủ khả năng và công nghệ để phát hiện, xử lý nghiêm các hành vi trốn thuế. - HUMAN-ENF2]]</f>
        <v>8</v>
      </c>
      <c r="Y398" t="str">
        <f t="shared" si="166"/>
        <v>Support</v>
      </c>
      <c r="Z398" s="32">
        <f t="shared" si="167"/>
        <v>2</v>
      </c>
      <c r="AA398">
        <f>step3_validation[[#This Row],[AI_FAC1]]</f>
        <v>7</v>
      </c>
      <c r="AB398" t="str">
        <f t="shared" si="168"/>
        <v>Neutral</v>
      </c>
      <c r="AC398">
        <f>survey_responses[[#This Row],[Các thủ tục khai báo thuế VÀ/HOẶC quy trình làm việc với cơ quan thuế đơn giản, tiện lợi, nhanh chóng hơn so với trước đây. - HUMAN-FAC1]]</f>
        <v>7</v>
      </c>
      <c r="AD398" t="str">
        <f t="shared" si="169"/>
        <v>Neutral</v>
      </c>
      <c r="AE398" s="32">
        <f t="shared" si="170"/>
        <v>0</v>
      </c>
      <c r="AF398">
        <f>step3_validation[[#This Row],[AI_FAC2]]</f>
        <v>8</v>
      </c>
      <c r="AG398" t="str">
        <f t="shared" si="171"/>
        <v>Support</v>
      </c>
      <c r="AH398">
        <f>survey_responses[[#This Row],[So với trước đây, tôi thấy cách tính thuế và các bậc thuế trong phương án mới đơn giản, dễ hiểu và dễ thực hiện hơn. - HUMAN-FAC2]]</f>
        <v>7</v>
      </c>
      <c r="AI398" t="str">
        <f t="shared" si="172"/>
        <v>Neutral</v>
      </c>
      <c r="AJ398" s="32">
        <f t="shared" si="173"/>
        <v>1</v>
      </c>
      <c r="AK398">
        <f>step3_validation[[#This Row],[AI_TRU1]]</f>
        <v>6</v>
      </c>
      <c r="AL398" t="str">
        <f t="shared" si="174"/>
        <v>Neutral</v>
      </c>
      <c r="AM398">
        <f>survey_responses[[#This Row],[Tôi tin rằng Nhà nước, cơ quan thuế sẽ thực thi chính sách mới một cách khách quan, công tâm và đối xử bình đẳng với mọi người nộp thuế.  - HUMAN-TRU1]]</f>
        <v>7</v>
      </c>
      <c r="AN398" t="str">
        <f t="shared" si="175"/>
        <v>Neutral</v>
      </c>
      <c r="AO398" s="32">
        <f t="shared" si="176"/>
        <v>1</v>
      </c>
      <c r="AP398">
        <f>step3_validation[[#This Row],[AI_TRU2]]</f>
        <v>9</v>
      </c>
      <c r="AQ398" t="str">
        <f t="shared" si="177"/>
        <v>Support</v>
      </c>
      <c r="AR398">
        <f>survey_responses[[#This Row],[Tôi thấy mức thuế tôi phải đóng theo phương án mới là công bằng (người thu nhập như tôi đóng mức này là hợp lý). - HUMAN-TRU2]]</f>
        <v>8</v>
      </c>
      <c r="AS398" t="str">
        <f t="shared" si="178"/>
        <v>Support</v>
      </c>
      <c r="AT398" s="32">
        <f t="shared" si="179"/>
        <v>1</v>
      </c>
      <c r="AU398">
        <f>step3_validation[[#This Row],[AI_TRU3]]</f>
        <v>7</v>
      </c>
      <c r="AV398" t="str">
        <f t="shared" si="180"/>
        <v>Neutral</v>
      </c>
      <c r="AW398">
        <f>survey_responses[[#This Row],[Tôi tin tưởng số tiền thuế tôi đóng sẽ được Nhà nước sử dụng hiệu quả để cải thiện dịch vụ công (y tế, đường xá...). - HUMAN-TRU3]]</f>
        <v>7</v>
      </c>
      <c r="AX398" t="str">
        <f t="shared" si="181"/>
        <v>Neutral</v>
      </c>
      <c r="AY398" s="32">
        <f t="shared" si="182"/>
        <v>0</v>
      </c>
      <c r="AZ398">
        <f>step3_validation[[#This Row],[AI_TRU4]]</f>
        <v>8</v>
      </c>
      <c r="BA398" t="str">
        <f t="shared" si="183"/>
        <v>Support</v>
      </c>
      <c r="BB398">
        <f>survey_responses[[#This Row],[Tôi thấy Nhà nước đã giải thích rõ ràng, minh bạch về lý do và mục tiêu của việc sửa đổi thuế lần này. - HUMAN-TRU4]]</f>
        <v>8</v>
      </c>
      <c r="BC398" t="str">
        <f t="shared" si="184"/>
        <v>Support</v>
      </c>
      <c r="BD398" s="32">
        <f t="shared" si="185"/>
        <v>0</v>
      </c>
      <c r="BE398">
        <f>step3_validation[[#This Row],[AI_OUT1]]</f>
        <v>9</v>
      </c>
      <c r="BF398" t="str">
        <f t="shared" si="186"/>
        <v>Support</v>
      </c>
      <c r="BG398">
        <f>survey_responses[[#This Row],[Sau khi xem xét các quyền lợi và nghĩa vụ, bạn có ủng hộ và tuân thủ chính sách mới hiện nay? - HUMAN-OUT1]]</f>
        <v>8</v>
      </c>
      <c r="BH398" t="str">
        <f t="shared" si="187"/>
        <v>Support</v>
      </c>
      <c r="BI398" s="32">
        <f t="shared" si="188"/>
        <v>1</v>
      </c>
    </row>
    <row r="399" spans="1:61" x14ac:dyDescent="0.45">
      <c r="A399" s="30">
        <f>step3_validation[[#This Row],[Persona_ID]]</f>
        <v>398</v>
      </c>
      <c r="B399" s="31">
        <f>step3_validation[[#This Row],[Used_Seed]]</f>
        <v>2423</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7</v>
      </c>
      <c r="R399" t="str">
        <f t="shared" si="162"/>
        <v>Neutral</v>
      </c>
      <c r="S399">
        <f>survey_responses[[#This Row],[Tôi tin rằng với các quy định quản lý thuế hiện nay, hành vi gian lận hoặc trốn thuế sẽ dễ dàng bị phát hiện và xử lý nghiêm. - HUMAN-ENF1]]</f>
        <v>9</v>
      </c>
      <c r="T399" t="str">
        <f t="shared" si="163"/>
        <v>Support</v>
      </c>
      <c r="U399" s="32">
        <f t="shared" si="164"/>
        <v>2</v>
      </c>
      <c r="V399">
        <f>step3_validation[[#This Row],[AI_ENF2]]</f>
        <v>6</v>
      </c>
      <c r="W399" t="str">
        <f t="shared" si="165"/>
        <v>Neutral</v>
      </c>
      <c r="X399">
        <f>survey_responses[[#This Row],[Tôi tin rằng Nhà nước, cơ quan thuế có đủ khả năng và công nghệ để phát hiện, xử lý nghiêm các hành vi trốn thuế. - HUMAN-ENF2]]</f>
        <v>9</v>
      </c>
      <c r="Y399" t="str">
        <f t="shared" si="166"/>
        <v>Support</v>
      </c>
      <c r="Z399" s="32">
        <f t="shared" si="167"/>
        <v>3</v>
      </c>
      <c r="AA399">
        <f>step3_validation[[#This Row],[AI_FAC1]]</f>
        <v>8</v>
      </c>
      <c r="AB399" t="str">
        <f t="shared" si="168"/>
        <v>Support</v>
      </c>
      <c r="AC399">
        <f>survey_responses[[#This Row],[Các thủ tục khai báo thuế VÀ/HOẶC quy trình làm việc với cơ quan thuế đơn giản, tiện lợi, nhanh chóng hơn so với trước đây. - HUMAN-FAC1]]</f>
        <v>8</v>
      </c>
      <c r="AD399" t="str">
        <f t="shared" si="169"/>
        <v>Support</v>
      </c>
      <c r="AE399" s="32">
        <f t="shared" si="170"/>
        <v>0</v>
      </c>
      <c r="AF399">
        <f>step3_validation[[#This Row],[AI_FAC2]]</f>
        <v>9</v>
      </c>
      <c r="AG399" t="str">
        <f t="shared" si="171"/>
        <v>Support</v>
      </c>
      <c r="AH399">
        <f>survey_responses[[#This Row],[So với trước đây, tôi thấy cách tính thuế và các bậc thuế trong phương án mới đơn giản, dễ hiểu và dễ thực hiện hơn. - HUMAN-FAC2]]</f>
        <v>9</v>
      </c>
      <c r="AI399" t="str">
        <f t="shared" si="172"/>
        <v>Support</v>
      </c>
      <c r="AJ399" s="32">
        <f t="shared" si="173"/>
        <v>0</v>
      </c>
      <c r="AK399">
        <f>step3_validation[[#This Row],[AI_TRU1]]</f>
        <v>7</v>
      </c>
      <c r="AL399" t="str">
        <f t="shared" si="174"/>
        <v>Neutral</v>
      </c>
      <c r="AM399">
        <f>survey_responses[[#This Row],[Tôi tin rằng Nhà nước, cơ quan thuế sẽ thực thi chính sách mới một cách khách quan, công tâm và đối xử bình đẳng với mọi người nộp thuế.  - HUMAN-TRU1]]</f>
        <v>7</v>
      </c>
      <c r="AN399" t="str">
        <f t="shared" si="175"/>
        <v>Neutral</v>
      </c>
      <c r="AO399" s="32">
        <f t="shared" si="176"/>
        <v>0</v>
      </c>
      <c r="AP399">
        <f>step3_validation[[#This Row],[AI_TRU2]]</f>
        <v>9</v>
      </c>
      <c r="AQ399" t="str">
        <f t="shared" si="177"/>
        <v>Support</v>
      </c>
      <c r="AR399">
        <f>survey_responses[[#This Row],[Tôi thấy mức thuế tôi phải đóng theo phương án mới là công bằng (người thu nhập như tôi đóng mức này là hợp lý). - HUMAN-TRU2]]</f>
        <v>9</v>
      </c>
      <c r="AS399" t="str">
        <f t="shared" si="178"/>
        <v>Support</v>
      </c>
      <c r="AT399" s="32">
        <f t="shared" si="179"/>
        <v>0</v>
      </c>
      <c r="AU399">
        <f>step3_validation[[#This Row],[AI_TRU3]]</f>
        <v>7</v>
      </c>
      <c r="AV399" t="str">
        <f t="shared" si="180"/>
        <v>Neutral</v>
      </c>
      <c r="AW399">
        <f>survey_responses[[#This Row],[Tôi tin tưởng số tiền thuế tôi đóng sẽ được Nhà nước sử dụng hiệu quả để cải thiện dịch vụ công (y tế, đường xá...). - HUMAN-TRU3]]</f>
        <v>8</v>
      </c>
      <c r="AX399" t="str">
        <f t="shared" si="181"/>
        <v>Support</v>
      </c>
      <c r="AY399" s="32">
        <f t="shared" si="182"/>
        <v>1</v>
      </c>
      <c r="AZ399">
        <f>step3_validation[[#This Row],[AI_TRU4]]</f>
        <v>6</v>
      </c>
      <c r="BA399" t="str">
        <f t="shared" si="183"/>
        <v>Neutral</v>
      </c>
      <c r="BB399">
        <f>survey_responses[[#This Row],[Tôi thấy Nhà nước đã giải thích rõ ràng, minh bạch về lý do và mục tiêu của việc sửa đổi thuế lần này. - HUMAN-TRU4]]</f>
        <v>8</v>
      </c>
      <c r="BC399" t="str">
        <f t="shared" si="184"/>
        <v>Support</v>
      </c>
      <c r="BD399" s="32">
        <f t="shared" si="185"/>
        <v>2</v>
      </c>
      <c r="BE399">
        <f>step3_validation[[#This Row],[AI_OUT1]]</f>
        <v>9</v>
      </c>
      <c r="BF399" t="str">
        <f t="shared" si="186"/>
        <v>Support</v>
      </c>
      <c r="BG399">
        <f>survey_responses[[#This Row],[Sau khi xem xét các quyền lợi và nghĩa vụ, bạn có ủng hộ và tuân thủ chính sách mới hiện nay? - HUMAN-OUT1]]</f>
        <v>8</v>
      </c>
      <c r="BH399" t="str">
        <f t="shared" si="187"/>
        <v>Support</v>
      </c>
      <c r="BI399" s="32">
        <f t="shared" si="188"/>
        <v>1</v>
      </c>
    </row>
    <row r="400" spans="1:61" x14ac:dyDescent="0.45">
      <c r="A400" s="30">
        <f>step3_validation[[#This Row],[Persona_ID]]</f>
        <v>399</v>
      </c>
      <c r="B400" s="31">
        <f>step3_validation[[#This Row],[Used_Seed]]</f>
        <v>2424</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27.523611214524191</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8</v>
      </c>
      <c r="R400" t="str">
        <f t="shared" si="162"/>
        <v>Support</v>
      </c>
      <c r="S400">
        <f>survey_responses[[#This Row],[Tôi tin rằng với các quy định quản lý thuế hiện nay, hành vi gian lận hoặc trốn thuế sẽ dễ dàng bị phát hiện và xử lý nghiêm. - HUMAN-ENF1]]</f>
        <v>7</v>
      </c>
      <c r="T400" t="str">
        <f t="shared" si="163"/>
        <v>Neutral</v>
      </c>
      <c r="U400" s="32">
        <f t="shared" si="164"/>
        <v>1</v>
      </c>
      <c r="V400">
        <f>step3_validation[[#This Row],[AI_ENF2]]</f>
        <v>9</v>
      </c>
      <c r="W400" t="str">
        <f t="shared" si="165"/>
        <v>Support</v>
      </c>
      <c r="X400">
        <f>survey_responses[[#This Row],[Tôi tin rằng Nhà nước, cơ quan thuế có đủ khả năng và công nghệ để phát hiện, xử lý nghiêm các hành vi trốn thuế. - HUMAN-ENF2]]</f>
        <v>7</v>
      </c>
      <c r="Y400" t="str">
        <f t="shared" si="166"/>
        <v>Neutral</v>
      </c>
      <c r="Z400" s="32">
        <f t="shared" si="167"/>
        <v>2</v>
      </c>
      <c r="AA400">
        <f>step3_validation[[#This Row],[AI_FAC1]]</f>
        <v>8</v>
      </c>
      <c r="AB400" t="str">
        <f t="shared" si="168"/>
        <v>Support</v>
      </c>
      <c r="AC400">
        <f>survey_responses[[#This Row],[Các thủ tục khai báo thuế VÀ/HOẶC quy trình làm việc với cơ quan thuế đơn giản, tiện lợi, nhanh chóng hơn so với trước đây. - HUMAN-FAC1]]</f>
        <v>5</v>
      </c>
      <c r="AD400" t="str">
        <f t="shared" si="169"/>
        <v>Neutral</v>
      </c>
      <c r="AE400" s="32">
        <f t="shared" si="170"/>
        <v>3</v>
      </c>
      <c r="AF400">
        <f>step3_validation[[#This Row],[AI_FAC2]]</f>
        <v>9</v>
      </c>
      <c r="AG400" t="str">
        <f t="shared" si="171"/>
        <v>Support</v>
      </c>
      <c r="AH400">
        <f>survey_responses[[#This Row],[So với trước đây, tôi thấy cách tính thuế và các bậc thuế trong phương án mới đơn giản, dễ hiểu và dễ thực hiện hơn. - HUMAN-FAC2]]</f>
        <v>8</v>
      </c>
      <c r="AI400" t="str">
        <f t="shared" si="172"/>
        <v>Support</v>
      </c>
      <c r="AJ400" s="32">
        <f t="shared" si="173"/>
        <v>1</v>
      </c>
      <c r="AK400">
        <f>step3_validation[[#This Row],[AI_TRU1]]</f>
        <v>8</v>
      </c>
      <c r="AL400" t="str">
        <f t="shared" si="174"/>
        <v>Support</v>
      </c>
      <c r="AM400">
        <f>survey_responses[[#This Row],[Tôi tin rằng Nhà nước, cơ quan thuế sẽ thực thi chính sách mới một cách khách quan, công tâm và đối xử bình đẳng với mọi người nộp thuế.  - HUMAN-TRU1]]</f>
        <v>7</v>
      </c>
      <c r="AN400" t="str">
        <f t="shared" si="175"/>
        <v>Neutral</v>
      </c>
      <c r="AO400" s="32">
        <f t="shared" si="176"/>
        <v>1</v>
      </c>
      <c r="AP400">
        <f>step3_validation[[#This Row],[AI_TRU2]]</f>
        <v>9</v>
      </c>
      <c r="AQ400" t="str">
        <f t="shared" si="177"/>
        <v>Support</v>
      </c>
      <c r="AR400">
        <f>survey_responses[[#This Row],[Tôi thấy mức thuế tôi phải đóng theo phương án mới là công bằng (người thu nhập như tôi đóng mức này là hợp lý). - HUMAN-TRU2]]</f>
        <v>8</v>
      </c>
      <c r="AS400" t="str">
        <f t="shared" si="178"/>
        <v>Support</v>
      </c>
      <c r="AT400" s="32">
        <f t="shared" si="179"/>
        <v>1</v>
      </c>
      <c r="AU400">
        <f>step3_validation[[#This Row],[AI_TRU3]]</f>
        <v>8</v>
      </c>
      <c r="AV400" t="str">
        <f t="shared" si="180"/>
        <v>Support</v>
      </c>
      <c r="AW400">
        <f>survey_responses[[#This Row],[Tôi tin tưởng số tiền thuế tôi đóng sẽ được Nhà nước sử dụng hiệu quả để cải thiện dịch vụ công (y tế, đường xá...). - HUMAN-TRU3]]</f>
        <v>6</v>
      </c>
      <c r="AX400" t="str">
        <f t="shared" si="181"/>
        <v>Neutral</v>
      </c>
      <c r="AY400" s="32">
        <f t="shared" si="182"/>
        <v>2</v>
      </c>
      <c r="AZ400">
        <f>step3_validation[[#This Row],[AI_TRU4]]</f>
        <v>9</v>
      </c>
      <c r="BA400" t="str">
        <f t="shared" si="183"/>
        <v>Support</v>
      </c>
      <c r="BB400">
        <f>survey_responses[[#This Row],[Tôi thấy Nhà nước đã giải thích rõ ràng, minh bạch về lý do và mục tiêu của việc sửa đổi thuế lần này. - HUMAN-TRU4]]</f>
        <v>6</v>
      </c>
      <c r="BC400" t="str">
        <f t="shared" si="184"/>
        <v>Neutral</v>
      </c>
      <c r="BD400" s="32">
        <f t="shared" si="185"/>
        <v>3</v>
      </c>
      <c r="BE400">
        <f>step3_validation[[#This Row],[AI_OUT1]]</f>
        <v>8</v>
      </c>
      <c r="BF400" t="str">
        <f t="shared" si="186"/>
        <v>Support</v>
      </c>
      <c r="BG400">
        <f>survey_responses[[#This Row],[Sau khi xem xét các quyền lợi và nghĩa vụ, bạn có ủng hộ và tuân thủ chính sách mới hiện nay? - HUMAN-OUT1]]</f>
        <v>8</v>
      </c>
      <c r="BH400" t="str">
        <f t="shared" si="187"/>
        <v>Support</v>
      </c>
      <c r="BI400" s="32">
        <f t="shared" si="188"/>
        <v>0</v>
      </c>
    </row>
    <row r="401" spans="1:61" x14ac:dyDescent="0.45">
      <c r="A401" s="30">
        <f>step3_validation[[#This Row],[Persona_ID]]</f>
        <v>400</v>
      </c>
      <c r="B401" s="31">
        <f>step3_validation[[#This Row],[Used_Seed]]</f>
        <v>2425</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46.95840109279473</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7</v>
      </c>
      <c r="R401" t="str">
        <f t="shared" si="162"/>
        <v>Neutral</v>
      </c>
      <c r="S401">
        <f>survey_responses[[#This Row],[Tôi tin rằng với các quy định quản lý thuế hiện nay, hành vi gian lận hoặc trốn thuế sẽ dễ dàng bị phát hiện và xử lý nghiêm. - HUMAN-ENF1]]</f>
        <v>8</v>
      </c>
      <c r="T401" t="str">
        <f t="shared" si="163"/>
        <v>Support</v>
      </c>
      <c r="U401" s="32">
        <f t="shared" si="164"/>
        <v>1</v>
      </c>
      <c r="V401">
        <f>step3_validation[[#This Row],[AI_ENF2]]</f>
        <v>7</v>
      </c>
      <c r="W401" t="str">
        <f t="shared" si="165"/>
        <v>Neutral</v>
      </c>
      <c r="X401">
        <f>survey_responses[[#This Row],[Tôi tin rằng Nhà nước, cơ quan thuế có đủ khả năng và công nghệ để phát hiện, xử lý nghiêm các hành vi trốn thuế. - HUMAN-ENF2]]</f>
        <v>9</v>
      </c>
      <c r="Y401" t="str">
        <f t="shared" si="166"/>
        <v>Support</v>
      </c>
      <c r="Z401" s="32">
        <f t="shared" si="167"/>
        <v>2</v>
      </c>
      <c r="AA401">
        <f>step3_validation[[#This Row],[AI_FAC1]]</f>
        <v>8</v>
      </c>
      <c r="AB401" t="str">
        <f t="shared" si="168"/>
        <v>Support</v>
      </c>
      <c r="AC401">
        <f>survey_responses[[#This Row],[Các thủ tục khai báo thuế VÀ/HOẶC quy trình làm việc với cơ quan thuế đơn giản, tiện lợi, nhanh chóng hơn so với trước đây. - HUMAN-FAC1]]</f>
        <v>8</v>
      </c>
      <c r="AD401" t="str">
        <f t="shared" si="169"/>
        <v>Support</v>
      </c>
      <c r="AE401" s="32">
        <f t="shared" si="170"/>
        <v>0</v>
      </c>
      <c r="AF401">
        <f>step3_validation[[#This Row],[AI_FAC2]]</f>
        <v>9</v>
      </c>
      <c r="AG401" t="str">
        <f t="shared" si="171"/>
        <v>Support</v>
      </c>
      <c r="AH401">
        <f>survey_responses[[#This Row],[So với trước đây, tôi thấy cách tính thuế và các bậc thuế trong phương án mới đơn giản, dễ hiểu và dễ thực hiện hơn. - HUMAN-FAC2]]</f>
        <v>8</v>
      </c>
      <c r="AI401" t="str">
        <f t="shared" si="172"/>
        <v>Support</v>
      </c>
      <c r="AJ401" s="32">
        <f t="shared" si="173"/>
        <v>1</v>
      </c>
      <c r="AK401">
        <f>step3_validation[[#This Row],[AI_TRU1]]</f>
        <v>8</v>
      </c>
      <c r="AL401" t="str">
        <f t="shared" si="174"/>
        <v>Support</v>
      </c>
      <c r="AM401">
        <f>survey_responses[[#This Row],[Tôi tin rằng Nhà nước, cơ quan thuế sẽ thực thi chính sách mới một cách khách quan, công tâm và đối xử bình đẳng với mọi người nộp thuế.  - HUMAN-TRU1]]</f>
        <v>7</v>
      </c>
      <c r="AN401" t="str">
        <f t="shared" si="175"/>
        <v>Neutral</v>
      </c>
      <c r="AO401" s="32">
        <f t="shared" si="176"/>
        <v>1</v>
      </c>
      <c r="AP401">
        <f>step3_validation[[#This Row],[AI_TRU2]]</f>
        <v>9</v>
      </c>
      <c r="AQ401" t="str">
        <f t="shared" si="177"/>
        <v>Support</v>
      </c>
      <c r="AR401">
        <f>survey_responses[[#This Row],[Tôi thấy mức thuế tôi phải đóng theo phương án mới là công bằng (người thu nhập như tôi đóng mức này là hợp lý). - HUMAN-TRU2]]</f>
        <v>7</v>
      </c>
      <c r="AS401" t="str">
        <f t="shared" si="178"/>
        <v>Neutral</v>
      </c>
      <c r="AT401" s="32">
        <f t="shared" si="179"/>
        <v>2</v>
      </c>
      <c r="AU401">
        <f>step3_validation[[#This Row],[AI_TRU3]]</f>
        <v>8</v>
      </c>
      <c r="AV401" t="str">
        <f t="shared" si="180"/>
        <v>Support</v>
      </c>
      <c r="AW401">
        <f>survey_responses[[#This Row],[Tôi tin tưởng số tiền thuế tôi đóng sẽ được Nhà nước sử dụng hiệu quả để cải thiện dịch vụ công (y tế, đường xá...). - HUMAN-TRU3]]</f>
        <v>7</v>
      </c>
      <c r="AX401" t="str">
        <f t="shared" si="181"/>
        <v>Neutral</v>
      </c>
      <c r="AY401" s="32">
        <f t="shared" si="182"/>
        <v>1</v>
      </c>
      <c r="AZ401">
        <f>step3_validation[[#This Row],[AI_TRU4]]</f>
        <v>7</v>
      </c>
      <c r="BA401" t="str">
        <f t="shared" si="183"/>
        <v>Neutral</v>
      </c>
      <c r="BB401">
        <f>survey_responses[[#This Row],[Tôi thấy Nhà nước đã giải thích rõ ràng, minh bạch về lý do và mục tiêu của việc sửa đổi thuế lần này. - HUMAN-TRU4]]</f>
        <v>7</v>
      </c>
      <c r="BC401" t="str">
        <f t="shared" si="184"/>
        <v>Neutral</v>
      </c>
      <c r="BD401" s="32">
        <f t="shared" si="185"/>
        <v>0</v>
      </c>
      <c r="BE401">
        <f>step3_validation[[#This Row],[AI_OUT1]]</f>
        <v>9</v>
      </c>
      <c r="BF401" t="str">
        <f t="shared" si="186"/>
        <v>Support</v>
      </c>
      <c r="BG401">
        <f>survey_responses[[#This Row],[Sau khi xem xét các quyền lợi và nghĩa vụ, bạn có ủng hộ và tuân thủ chính sách mới hiện nay? - HUMAN-OUT1]]</f>
        <v>8</v>
      </c>
      <c r="BH401" t="str">
        <f t="shared" si="187"/>
        <v>Support</v>
      </c>
      <c r="BI401" s="32">
        <f t="shared" si="188"/>
        <v>1</v>
      </c>
    </row>
    <row r="402" spans="1:61" x14ac:dyDescent="0.45">
      <c r="A402" s="30">
        <f>step3_validation[[#This Row],[Persona_ID]]</f>
        <v>401</v>
      </c>
      <c r="B402" s="31">
        <f>step3_validation[[#This Row],[Used_Seed]]</f>
        <v>2426</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16.315664989626608</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9</v>
      </c>
      <c r="R402" t="str">
        <f t="shared" si="162"/>
        <v>Support</v>
      </c>
      <c r="S402">
        <f>survey_responses[[#This Row],[Tôi tin rằng với các quy định quản lý thuế hiện nay, hành vi gian lận hoặc trốn thuế sẽ dễ dàng bị phát hiện và xử lý nghiêm. - HUMAN-ENF1]]</f>
        <v>4</v>
      </c>
      <c r="T402" t="str">
        <f t="shared" si="163"/>
        <v>Oppose</v>
      </c>
      <c r="U402" s="32">
        <f t="shared" si="164"/>
        <v>5</v>
      </c>
      <c r="V402">
        <f>step3_validation[[#This Row],[AI_ENF2]]</f>
        <v>8</v>
      </c>
      <c r="W402" t="str">
        <f t="shared" si="165"/>
        <v>Support</v>
      </c>
      <c r="X402">
        <f>survey_responses[[#This Row],[Tôi tin rằng Nhà nước, cơ quan thuế có đủ khả năng và công nghệ để phát hiện, xử lý nghiêm các hành vi trốn thuế. - HUMAN-ENF2]]</f>
        <v>4</v>
      </c>
      <c r="Y402" t="str">
        <f t="shared" si="166"/>
        <v>Oppose</v>
      </c>
      <c r="Z402" s="32">
        <f t="shared" si="167"/>
        <v>4</v>
      </c>
      <c r="AA402">
        <f>step3_validation[[#This Row],[AI_FAC1]]</f>
        <v>9</v>
      </c>
      <c r="AB402" t="str">
        <f t="shared" si="168"/>
        <v>Support</v>
      </c>
      <c r="AC402">
        <f>survey_responses[[#This Row],[Các thủ tục khai báo thuế VÀ/HOẶC quy trình làm việc với cơ quan thuế đơn giản, tiện lợi, nhanh chóng hơn so với trước đây. - HUMAN-FAC1]]</f>
        <v>3</v>
      </c>
      <c r="AD402" t="str">
        <f t="shared" si="169"/>
        <v>Oppose</v>
      </c>
      <c r="AE402" s="32">
        <f t="shared" si="170"/>
        <v>6</v>
      </c>
      <c r="AF402">
        <f>step3_validation[[#This Row],[AI_FAC2]]</f>
        <v>9</v>
      </c>
      <c r="AG402" t="str">
        <f t="shared" si="171"/>
        <v>Support</v>
      </c>
      <c r="AH402">
        <f>survey_responses[[#This Row],[So với trước đây, tôi thấy cách tính thuế và các bậc thuế trong phương án mới đơn giản, dễ hiểu và dễ thực hiện hơn. - HUMAN-FAC2]]</f>
        <v>5</v>
      </c>
      <c r="AI402" t="str">
        <f t="shared" si="172"/>
        <v>Neutral</v>
      </c>
      <c r="AJ402" s="32">
        <f t="shared" si="173"/>
        <v>4</v>
      </c>
      <c r="AK402">
        <f>step3_validation[[#This Row],[AI_TRU1]]</f>
        <v>8</v>
      </c>
      <c r="AL402" t="str">
        <f t="shared" si="174"/>
        <v>Support</v>
      </c>
      <c r="AM402">
        <f>survey_responses[[#This Row],[Tôi tin rằng Nhà nước, cơ quan thuế sẽ thực thi chính sách mới một cách khách quan, công tâm và đối xử bình đẳng với mọi người nộp thuế.  - HUMAN-TRU1]]</f>
        <v>5</v>
      </c>
      <c r="AN402" t="str">
        <f t="shared" si="175"/>
        <v>Neutral</v>
      </c>
      <c r="AO402" s="32">
        <f t="shared" si="176"/>
        <v>3</v>
      </c>
      <c r="AP402">
        <f>step3_validation[[#This Row],[AI_TRU2]]</f>
        <v>9</v>
      </c>
      <c r="AQ402" t="str">
        <f t="shared" si="177"/>
        <v>Support</v>
      </c>
      <c r="AR402">
        <f>survey_responses[[#This Row],[Tôi thấy mức thuế tôi phải đóng theo phương án mới là công bằng (người thu nhập như tôi đóng mức này là hợp lý). - HUMAN-TRU2]]</f>
        <v>2</v>
      </c>
      <c r="AS402" t="str">
        <f t="shared" si="178"/>
        <v>Oppose</v>
      </c>
      <c r="AT402" s="32">
        <f t="shared" si="179"/>
        <v>7</v>
      </c>
      <c r="AU402">
        <f>step3_validation[[#This Row],[AI_TRU3]]</f>
        <v>8</v>
      </c>
      <c r="AV402" t="str">
        <f t="shared" si="180"/>
        <v>Support</v>
      </c>
      <c r="AW402">
        <f>survey_responses[[#This Row],[Tôi tin tưởng số tiền thuế tôi đóng sẽ được Nhà nước sử dụng hiệu quả để cải thiện dịch vụ công (y tế, đường xá...). - HUMAN-TRU3]]</f>
        <v>2</v>
      </c>
      <c r="AX402" t="str">
        <f t="shared" si="181"/>
        <v>Oppose</v>
      </c>
      <c r="AY402" s="32">
        <f t="shared" si="182"/>
        <v>6</v>
      </c>
      <c r="AZ402">
        <f>step3_validation[[#This Row],[AI_TRU4]]</f>
        <v>9</v>
      </c>
      <c r="BA402" t="str">
        <f t="shared" si="183"/>
        <v>Support</v>
      </c>
      <c r="BB402">
        <f>survey_responses[[#This Row],[Tôi thấy Nhà nước đã giải thích rõ ràng, minh bạch về lý do và mục tiêu của việc sửa đổi thuế lần này. - HUMAN-TRU4]]</f>
        <v>5</v>
      </c>
      <c r="BC402" t="str">
        <f t="shared" si="184"/>
        <v>Neutral</v>
      </c>
      <c r="BD402" s="32">
        <f t="shared" si="185"/>
        <v>4</v>
      </c>
      <c r="BE402">
        <f>step3_validation[[#This Row],[AI_OUT1]]</f>
        <v>10</v>
      </c>
      <c r="BF402" t="str">
        <f t="shared" si="186"/>
        <v>Support</v>
      </c>
      <c r="BG402">
        <f>survey_responses[[#This Row],[Sau khi xem xét các quyền lợi và nghĩa vụ, bạn có ủng hộ và tuân thủ chính sách mới hiện nay? - HUMAN-OUT1]]</f>
        <v>2</v>
      </c>
      <c r="BH402" t="str">
        <f t="shared" si="187"/>
        <v>Oppose</v>
      </c>
      <c r="BI402" s="32">
        <f t="shared" si="188"/>
        <v>8</v>
      </c>
    </row>
    <row r="403" spans="1:61" x14ac:dyDescent="0.45">
      <c r="A403" s="30">
        <f>step3_validation[[#This Row],[Persona_ID]]</f>
        <v>402</v>
      </c>
      <c r="B403" s="31">
        <f>step3_validation[[#This Row],[Used_Seed]]</f>
        <v>2427</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132.78249495416784</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7</v>
      </c>
      <c r="R403" t="str">
        <f t="shared" si="162"/>
        <v>Neutral</v>
      </c>
      <c r="S403">
        <f>survey_responses[[#This Row],[Tôi tin rằng với các quy định quản lý thuế hiện nay, hành vi gian lận hoặc trốn thuế sẽ dễ dàng bị phát hiện và xử lý nghiêm. - HUMAN-ENF1]]</f>
        <v>7</v>
      </c>
      <c r="T403" t="str">
        <f t="shared" si="163"/>
        <v>Neutral</v>
      </c>
      <c r="U403" s="32">
        <f t="shared" si="164"/>
        <v>0</v>
      </c>
      <c r="V403">
        <f>step3_validation[[#This Row],[AI_ENF2]]</f>
        <v>8</v>
      </c>
      <c r="W403" t="str">
        <f t="shared" si="165"/>
        <v>Support</v>
      </c>
      <c r="X403">
        <f>survey_responses[[#This Row],[Tôi tin rằng Nhà nước, cơ quan thuế có đủ khả năng và công nghệ để phát hiện, xử lý nghiêm các hành vi trốn thuế. - HUMAN-ENF2]]</f>
        <v>7</v>
      </c>
      <c r="Y403" t="str">
        <f t="shared" si="166"/>
        <v>Neutral</v>
      </c>
      <c r="Z403" s="32">
        <f t="shared" si="167"/>
        <v>1</v>
      </c>
      <c r="AA403">
        <f>step3_validation[[#This Row],[AI_FAC1]]</f>
        <v>9</v>
      </c>
      <c r="AB403" t="str">
        <f t="shared" si="168"/>
        <v>Support</v>
      </c>
      <c r="AC403">
        <f>survey_responses[[#This Row],[Các thủ tục khai báo thuế VÀ/HOẶC quy trình làm việc với cơ quan thuế đơn giản, tiện lợi, nhanh chóng hơn so với trước đây. - HUMAN-FAC1]]</f>
        <v>4</v>
      </c>
      <c r="AD403" t="str">
        <f t="shared" si="169"/>
        <v>Oppose</v>
      </c>
      <c r="AE403" s="32">
        <f t="shared" si="170"/>
        <v>5</v>
      </c>
      <c r="AF403">
        <f>step3_validation[[#This Row],[AI_FAC2]]</f>
        <v>8</v>
      </c>
      <c r="AG403" t="str">
        <f t="shared" si="171"/>
        <v>Support</v>
      </c>
      <c r="AH403">
        <f>survey_responses[[#This Row],[So với trước đây, tôi thấy cách tính thuế và các bậc thuế trong phương án mới đơn giản, dễ hiểu và dễ thực hiện hơn. - HUMAN-FAC2]]</f>
        <v>6</v>
      </c>
      <c r="AI403" t="str">
        <f t="shared" si="172"/>
        <v>Neutral</v>
      </c>
      <c r="AJ403" s="32">
        <f t="shared" si="173"/>
        <v>2</v>
      </c>
      <c r="AK403">
        <f>step3_validation[[#This Row],[AI_TRU1]]</f>
        <v>6</v>
      </c>
      <c r="AL403" t="str">
        <f t="shared" si="174"/>
        <v>Neutral</v>
      </c>
      <c r="AM403">
        <f>survey_responses[[#This Row],[Tôi tin rằng Nhà nước, cơ quan thuế sẽ thực thi chính sách mới một cách khách quan, công tâm và đối xử bình đẳng với mọi người nộp thuế.  - HUMAN-TRU1]]</f>
        <v>5</v>
      </c>
      <c r="AN403" t="str">
        <f t="shared" si="175"/>
        <v>Neutral</v>
      </c>
      <c r="AO403" s="32">
        <f t="shared" si="176"/>
        <v>1</v>
      </c>
      <c r="AP403">
        <f>step3_validation[[#This Row],[AI_TRU2]]</f>
        <v>9</v>
      </c>
      <c r="AQ403" t="str">
        <f t="shared" si="177"/>
        <v>Support</v>
      </c>
      <c r="AR403">
        <f>survey_responses[[#This Row],[Tôi thấy mức thuế tôi phải đóng theo phương án mới là công bằng (người thu nhập như tôi đóng mức này là hợp lý). - HUMAN-TRU2]]</f>
        <v>4</v>
      </c>
      <c r="AS403" t="str">
        <f t="shared" si="178"/>
        <v>Oppose</v>
      </c>
      <c r="AT403" s="32">
        <f t="shared" si="179"/>
        <v>5</v>
      </c>
      <c r="AU403">
        <f>step3_validation[[#This Row],[AI_TRU3]]</f>
        <v>7</v>
      </c>
      <c r="AV403" t="str">
        <f t="shared" si="180"/>
        <v>Neutral</v>
      </c>
      <c r="AW403">
        <f>survey_responses[[#This Row],[Tôi tin tưởng số tiền thuế tôi đóng sẽ được Nhà nước sử dụng hiệu quả để cải thiện dịch vụ công (y tế, đường xá...). - HUMAN-TRU3]]</f>
        <v>5</v>
      </c>
      <c r="AX403" t="str">
        <f t="shared" si="181"/>
        <v>Neutral</v>
      </c>
      <c r="AY403" s="32">
        <f t="shared" si="182"/>
        <v>2</v>
      </c>
      <c r="AZ403">
        <f>step3_validation[[#This Row],[AI_TRU4]]</f>
        <v>8</v>
      </c>
      <c r="BA403" t="str">
        <f t="shared" si="183"/>
        <v>Support</v>
      </c>
      <c r="BB403">
        <f>survey_responses[[#This Row],[Tôi thấy Nhà nước đã giải thích rõ ràng, minh bạch về lý do và mục tiêu của việc sửa đổi thuế lần này. - HUMAN-TRU4]]</f>
        <v>5</v>
      </c>
      <c r="BC403" t="str">
        <f t="shared" si="184"/>
        <v>Neutral</v>
      </c>
      <c r="BD403" s="32">
        <f t="shared" si="185"/>
        <v>3</v>
      </c>
      <c r="BE403">
        <f>step3_validation[[#This Row],[AI_OUT1]]</f>
        <v>7</v>
      </c>
      <c r="BF403" t="str">
        <f t="shared" si="186"/>
        <v>Neutral</v>
      </c>
      <c r="BG403">
        <f>survey_responses[[#This Row],[Sau khi xem xét các quyền lợi và nghĩa vụ, bạn có ủng hộ và tuân thủ chính sách mới hiện nay? - HUMAN-OUT1]]</f>
        <v>5</v>
      </c>
      <c r="BH403" t="str">
        <f t="shared" si="187"/>
        <v>Neutral</v>
      </c>
      <c r="BI403" s="32">
        <f t="shared" si="188"/>
        <v>2</v>
      </c>
    </row>
    <row r="404" spans="1:61" x14ac:dyDescent="0.45">
      <c r="A404" s="30">
        <f>step3_validation[[#This Row],[Persona_ID]]</f>
        <v>403</v>
      </c>
      <c r="B404" s="31">
        <f>step3_validation[[#This Row],[Used_Seed]]</f>
        <v>2428</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30.55115045337438</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6</v>
      </c>
      <c r="R404" t="str">
        <f t="shared" si="162"/>
        <v>Neutral</v>
      </c>
      <c r="S404">
        <f>survey_responses[[#This Row],[Tôi tin rằng với các quy định quản lý thuế hiện nay, hành vi gian lận hoặc trốn thuế sẽ dễ dàng bị phát hiện và xử lý nghiêm. - HUMAN-ENF1]]</f>
        <v>7</v>
      </c>
      <c r="T404" t="str">
        <f t="shared" si="163"/>
        <v>Neutral</v>
      </c>
      <c r="U404" s="32">
        <f t="shared" si="164"/>
        <v>1</v>
      </c>
      <c r="V404">
        <f>step3_validation[[#This Row],[AI_ENF2]]</f>
        <v>8</v>
      </c>
      <c r="W404" t="str">
        <f t="shared" si="165"/>
        <v>Support</v>
      </c>
      <c r="X404">
        <f>survey_responses[[#This Row],[Tôi tin rằng Nhà nước, cơ quan thuế có đủ khả năng và công nghệ để phát hiện, xử lý nghiêm các hành vi trốn thuế. - HUMAN-ENF2]]</f>
        <v>7</v>
      </c>
      <c r="Y404" t="str">
        <f t="shared" si="166"/>
        <v>Neutral</v>
      </c>
      <c r="Z404" s="32">
        <f t="shared" si="167"/>
        <v>1</v>
      </c>
      <c r="AA404">
        <f>step3_validation[[#This Row],[AI_FAC1]]</f>
        <v>9</v>
      </c>
      <c r="AB404" t="str">
        <f t="shared" si="168"/>
        <v>Support</v>
      </c>
      <c r="AC404">
        <f>survey_responses[[#This Row],[Các thủ tục khai báo thuế VÀ/HOẶC quy trình làm việc với cơ quan thuế đơn giản, tiện lợi, nhanh chóng hơn so với trước đây. - HUMAN-FAC1]]</f>
        <v>7</v>
      </c>
      <c r="AD404" t="str">
        <f t="shared" si="169"/>
        <v>Neutral</v>
      </c>
      <c r="AE404" s="32">
        <f t="shared" si="170"/>
        <v>2</v>
      </c>
      <c r="AF404">
        <f>step3_validation[[#This Row],[AI_FAC2]]</f>
        <v>9</v>
      </c>
      <c r="AG404" t="str">
        <f t="shared" si="171"/>
        <v>Support</v>
      </c>
      <c r="AH404">
        <f>survey_responses[[#This Row],[So với trước đây, tôi thấy cách tính thuế và các bậc thuế trong phương án mới đơn giản, dễ hiểu và dễ thực hiện hơn. - HUMAN-FAC2]]</f>
        <v>7</v>
      </c>
      <c r="AI404" t="str">
        <f t="shared" si="172"/>
        <v>Neutral</v>
      </c>
      <c r="AJ404" s="32">
        <f t="shared" si="173"/>
        <v>2</v>
      </c>
      <c r="AK404">
        <f>step3_validation[[#This Row],[AI_TRU1]]</f>
        <v>8</v>
      </c>
      <c r="AL404" t="str">
        <f t="shared" si="174"/>
        <v>Support</v>
      </c>
      <c r="AM404">
        <f>survey_responses[[#This Row],[Tôi tin rằng Nhà nước, cơ quan thuế sẽ thực thi chính sách mới một cách khách quan, công tâm và đối xử bình đẳng với mọi người nộp thuế.  - HUMAN-TRU1]]</f>
        <v>7</v>
      </c>
      <c r="AN404" t="str">
        <f t="shared" si="175"/>
        <v>Neutral</v>
      </c>
      <c r="AO404" s="32">
        <f t="shared" si="176"/>
        <v>1</v>
      </c>
      <c r="AP404">
        <f>step3_validation[[#This Row],[AI_TRU2]]</f>
        <v>9</v>
      </c>
      <c r="AQ404" t="str">
        <f t="shared" si="177"/>
        <v>Support</v>
      </c>
      <c r="AR404">
        <f>survey_responses[[#This Row],[Tôi thấy mức thuế tôi phải đóng theo phương án mới là công bằng (người thu nhập như tôi đóng mức này là hợp lý). - HUMAN-TRU2]]</f>
        <v>7</v>
      </c>
      <c r="AS404" t="str">
        <f t="shared" si="178"/>
        <v>Neutral</v>
      </c>
      <c r="AT404" s="32">
        <f t="shared" si="179"/>
        <v>2</v>
      </c>
      <c r="AU404">
        <f>step3_validation[[#This Row],[AI_TRU3]]</f>
        <v>7</v>
      </c>
      <c r="AV404" t="str">
        <f t="shared" si="180"/>
        <v>Neutral</v>
      </c>
      <c r="AW404">
        <f>survey_responses[[#This Row],[Tôi tin tưởng số tiền thuế tôi đóng sẽ được Nhà nước sử dụng hiệu quả để cải thiện dịch vụ công (y tế, đường xá...). - HUMAN-TRU3]]</f>
        <v>7</v>
      </c>
      <c r="AX404" t="str">
        <f t="shared" si="181"/>
        <v>Neutral</v>
      </c>
      <c r="AY404" s="32">
        <f t="shared" si="182"/>
        <v>0</v>
      </c>
      <c r="AZ404">
        <f>step3_validation[[#This Row],[AI_TRU4]]</f>
        <v>6</v>
      </c>
      <c r="BA404" t="str">
        <f t="shared" si="183"/>
        <v>Neutral</v>
      </c>
      <c r="BB404">
        <f>survey_responses[[#This Row],[Tôi thấy Nhà nước đã giải thích rõ ràng, minh bạch về lý do và mục tiêu của việc sửa đổi thuế lần này. - HUMAN-TRU4]]</f>
        <v>7</v>
      </c>
      <c r="BC404" t="str">
        <f t="shared" si="184"/>
        <v>Neutral</v>
      </c>
      <c r="BD404" s="32">
        <f t="shared" si="185"/>
        <v>1</v>
      </c>
      <c r="BE404">
        <f>step3_validation[[#This Row],[AI_OUT1]]</f>
        <v>9</v>
      </c>
      <c r="BF404" t="str">
        <f t="shared" si="186"/>
        <v>Support</v>
      </c>
      <c r="BG404">
        <f>survey_responses[[#This Row],[Sau khi xem xét các quyền lợi và nghĩa vụ, bạn có ủng hộ và tuân thủ chính sách mới hiện nay? - HUMAN-OUT1]]</f>
        <v>7</v>
      </c>
      <c r="BH404" t="str">
        <f t="shared" si="187"/>
        <v>Neutral</v>
      </c>
      <c r="BI404" s="32">
        <f t="shared" si="188"/>
        <v>2</v>
      </c>
    </row>
    <row r="405" spans="1:61" x14ac:dyDescent="0.45">
      <c r="U405">
        <f>AVERAGE(U2:U404)</f>
        <v>1.8585607940446651</v>
      </c>
      <c r="Z405">
        <f>AVERAGE(Z2:Z404)</f>
        <v>1.8883374689826302</v>
      </c>
      <c r="AE405">
        <f>AVERAGE(AE2:AE404)</f>
        <v>2.5732009925558312</v>
      </c>
      <c r="AJ405">
        <f>AVERAGE(AJ2:AJ404)</f>
        <v>1.9131513647642679</v>
      </c>
      <c r="AO405">
        <f>AVERAGE(AO2:AO404)</f>
        <v>2.0024813895781639</v>
      </c>
      <c r="AT405">
        <f>AVERAGE(AT2:AT404)</f>
        <v>2.4739454094292803</v>
      </c>
      <c r="AY405">
        <f>AVERAGE(AY2:AY404)</f>
        <v>2.4069478908188584</v>
      </c>
      <c r="BD405">
        <f>AVERAGE(BD2:BD404)</f>
        <v>1.9875930521091811</v>
      </c>
      <c r="BI405">
        <f>AVERAGE(BI2:BI404)</f>
        <v>2.2059553349875931</v>
      </c>
    </row>
    <row r="406" spans="1:61" x14ac:dyDescent="0.45">
      <c r="Q406" t="s">
        <v>1</v>
      </c>
      <c r="R406">
        <f>COUNTIF($R$2:$R$404,"Oppose")</f>
        <v>1</v>
      </c>
      <c r="S406" t="s">
        <v>1</v>
      </c>
      <c r="T406">
        <f>COUNTIF($T$2:$T$404,"Oppose")</f>
        <v>55</v>
      </c>
      <c r="V406" t="s">
        <v>1</v>
      </c>
      <c r="W406">
        <f>COUNTIF($W$2:$W$404,"Oppose")</f>
        <v>3</v>
      </c>
      <c r="X406" t="s">
        <v>1</v>
      </c>
      <c r="Y406">
        <f>COUNTIF($Y$2:$Y$404,"Oppose")</f>
        <v>45</v>
      </c>
      <c r="AA406" t="s">
        <v>1</v>
      </c>
      <c r="AB406">
        <f>COUNTIF($AB$2:$AB$404,"Oppose")</f>
        <v>0</v>
      </c>
      <c r="AC406" t="s">
        <v>1</v>
      </c>
      <c r="AD406">
        <f>COUNTIF($AD$2:$AD$404,"Oppose")</f>
        <v>83</v>
      </c>
      <c r="AF406" t="s">
        <v>1</v>
      </c>
      <c r="AG406">
        <f>COUNTIF($AG$2:$AG$404,"Oppose")</f>
        <v>0</v>
      </c>
      <c r="AH406" t="s">
        <v>1</v>
      </c>
      <c r="AI406">
        <f>COUNTIF($AI$2:$AI$404,"Oppose")</f>
        <v>21</v>
      </c>
      <c r="AK406" t="s">
        <v>1</v>
      </c>
      <c r="AL406">
        <f>COUNTIF($AL$2:$AL$404,"Oppose")</f>
        <v>1</v>
      </c>
      <c r="AM406" t="s">
        <v>1</v>
      </c>
      <c r="AN406">
        <f>COUNTIF($AN$2:$AN$404,"Oppose")</f>
        <v>57</v>
      </c>
      <c r="AP406" t="s">
        <v>1</v>
      </c>
      <c r="AQ406">
        <f>COUNTIF($AQ$2:$AQ$404,"Oppose")</f>
        <v>0</v>
      </c>
      <c r="AR406" t="s">
        <v>1</v>
      </c>
      <c r="AS406">
        <f>COUNTIF($AS$2:$AS$404,"Oppose")</f>
        <v>70</v>
      </c>
      <c r="AU406" t="s">
        <v>1</v>
      </c>
      <c r="AV406">
        <f>COUNTIF($AV$2:$AV$404,"Oppose")</f>
        <v>0</v>
      </c>
      <c r="AW406" t="s">
        <v>1</v>
      </c>
      <c r="AX406">
        <f>COUNTIF($AX$2:$AX$404,"Oppose")</f>
        <v>72</v>
      </c>
      <c r="AZ406" t="s">
        <v>1</v>
      </c>
      <c r="BA406">
        <f>COUNTIF($BA$2:$BA$404,"Oppose")</f>
        <v>0</v>
      </c>
      <c r="BB406" t="s">
        <v>1</v>
      </c>
      <c r="BC406">
        <f>COUNTIF($BC$2:$BC$404,"Oppose")</f>
        <v>46</v>
      </c>
      <c r="BE406" t="s">
        <v>1</v>
      </c>
      <c r="BF406">
        <f>COUNTIF($BF$2:$BF$404,"Oppose")</f>
        <v>1</v>
      </c>
      <c r="BG406" t="s">
        <v>1</v>
      </c>
      <c r="BH406">
        <f>COUNTIF($BH$2:$BH$404,"Oppose")</f>
        <v>35</v>
      </c>
    </row>
    <row r="407" spans="1:61" x14ac:dyDescent="0.45">
      <c r="Q407" t="s">
        <v>2</v>
      </c>
      <c r="R407">
        <f>COUNTIF($R$2:$R$404,"Neutral")</f>
        <v>289</v>
      </c>
      <c r="S407" t="s">
        <v>2</v>
      </c>
      <c r="T407">
        <f>COUNTIF($T$2:$T$404,"Neutral")</f>
        <v>180</v>
      </c>
      <c r="V407" t="s">
        <v>2</v>
      </c>
      <c r="W407">
        <f>COUNTIF($W$2:$W$404,"Neutral")</f>
        <v>206</v>
      </c>
      <c r="X407" t="s">
        <v>2</v>
      </c>
      <c r="Y407">
        <f>COUNTIF($Y$2:$Y$404,"Neutral")</f>
        <v>166</v>
      </c>
      <c r="AA407" t="s">
        <v>2</v>
      </c>
      <c r="AB407">
        <f>COUNTIF($AB$2:$AB$404,"Neutral")</f>
        <v>94</v>
      </c>
      <c r="AC407" t="s">
        <v>2</v>
      </c>
      <c r="AD407">
        <f>COUNTIF($AD$2:$AD$404,"Neutral")</f>
        <v>177</v>
      </c>
      <c r="AF407" t="s">
        <v>2</v>
      </c>
      <c r="AG407">
        <f>COUNTIF($AG$2:$AG$404,"Neutral")</f>
        <v>16</v>
      </c>
      <c r="AH407" t="s">
        <v>2</v>
      </c>
      <c r="AI407">
        <f>COUNTIF($AI$2:$AI$404,"Neutral")</f>
        <v>185</v>
      </c>
      <c r="AK407" t="s">
        <v>2</v>
      </c>
      <c r="AL407">
        <f>COUNTIF($AL$2:$AL$404,"Neutral")</f>
        <v>202</v>
      </c>
      <c r="AM407" t="s">
        <v>2</v>
      </c>
      <c r="AN407">
        <f>COUNTIF($AN$2:$AN$404,"Neutral")</f>
        <v>218</v>
      </c>
      <c r="AP407" t="s">
        <v>2</v>
      </c>
      <c r="AQ407">
        <f>COUNTIF($AQ$2:$AQ$404,"Neutral")</f>
        <v>21</v>
      </c>
      <c r="AR407" t="s">
        <v>2</v>
      </c>
      <c r="AS407">
        <f>COUNTIF($AS$2:$AS$404,"Neutral")</f>
        <v>178</v>
      </c>
      <c r="AU407" t="s">
        <v>2</v>
      </c>
      <c r="AV407">
        <f>COUNTIF($AV$2:$AV$404,"Neutral")</f>
        <v>175</v>
      </c>
      <c r="AW407" t="s">
        <v>2</v>
      </c>
      <c r="AX407">
        <f>COUNTIF($AX$2:$AX$404,"Neutral")</f>
        <v>217</v>
      </c>
      <c r="AZ407" t="s">
        <v>2</v>
      </c>
      <c r="BA407">
        <f>COUNTIF($BA$2:$BA$404,"Neutral")</f>
        <v>204</v>
      </c>
      <c r="BB407" t="s">
        <v>2</v>
      </c>
      <c r="BC407">
        <f>COUNTIF($BC$2:$BC$404,"Neutral")</f>
        <v>235</v>
      </c>
      <c r="BE407" t="s">
        <v>2</v>
      </c>
      <c r="BF407">
        <f>COUNTIF($BF$2:$BF$404,"Neutral")</f>
        <v>20</v>
      </c>
      <c r="BG407" t="s">
        <v>2</v>
      </c>
      <c r="BH407">
        <f>COUNTIF($BH$2:$BH$404,"Neutral")</f>
        <v>194</v>
      </c>
    </row>
    <row r="408" spans="1:61" x14ac:dyDescent="0.45">
      <c r="Q408" t="s">
        <v>3</v>
      </c>
      <c r="R408">
        <f>COUNTIF($R$2:$R$404,"Support")</f>
        <v>113</v>
      </c>
      <c r="S408" t="s">
        <v>3</v>
      </c>
      <c r="T408">
        <f>COUNTIF($T$2:$T$404,"Support")</f>
        <v>168</v>
      </c>
      <c r="V408" t="s">
        <v>3</v>
      </c>
      <c r="W408">
        <f>COUNTIF($W$2:$W$404,"Support")</f>
        <v>194</v>
      </c>
      <c r="X408" t="s">
        <v>3</v>
      </c>
      <c r="Y408">
        <f>COUNTIF($Y$2:$Y$404,"Support")</f>
        <v>192</v>
      </c>
      <c r="AA408" t="s">
        <v>3</v>
      </c>
      <c r="AB408">
        <f>COUNTIF($AB$2:$AB$404,"Support")</f>
        <v>309</v>
      </c>
      <c r="AC408" t="s">
        <v>3</v>
      </c>
      <c r="AD408">
        <f>COUNTIF($AD$2:$AD$404,"Support")</f>
        <v>143</v>
      </c>
      <c r="AF408" t="s">
        <v>3</v>
      </c>
      <c r="AG408">
        <f>COUNTIF($AG$2:$AG$404,"Support")</f>
        <v>387</v>
      </c>
      <c r="AH408" t="s">
        <v>3</v>
      </c>
      <c r="AI408">
        <f>COUNTIF($AI$2:$AI$404,"Support")</f>
        <v>197</v>
      </c>
      <c r="AK408" t="s">
        <v>3</v>
      </c>
      <c r="AL408">
        <f>COUNTIF($AL$2:$AL$404,"Support")</f>
        <v>198</v>
      </c>
      <c r="AM408" t="s">
        <v>3</v>
      </c>
      <c r="AN408">
        <f>COUNTIF($AN$2:$AN$404,"Support")</f>
        <v>128</v>
      </c>
      <c r="AP408" t="s">
        <v>3</v>
      </c>
      <c r="AQ408">
        <f>COUNTIF($AQ$2:$AQ$404,"Support")</f>
        <v>380</v>
      </c>
      <c r="AR408" t="s">
        <v>3</v>
      </c>
      <c r="AS408">
        <f>COUNTIF($AS$2:$AS$404,"Support")</f>
        <v>155</v>
      </c>
      <c r="AU408" t="s">
        <v>3</v>
      </c>
      <c r="AV408">
        <f>COUNTIF($AV$2:$AV$404,"Support")</f>
        <v>226</v>
      </c>
      <c r="AW408" t="s">
        <v>3</v>
      </c>
      <c r="AX408">
        <f>COUNTIF($AX$2:$AX$404,"Support")</f>
        <v>114</v>
      </c>
      <c r="AZ408" t="s">
        <v>3</v>
      </c>
      <c r="BA408">
        <f>COUNTIF($BA$2:$BA$404,"Support")</f>
        <v>197</v>
      </c>
      <c r="BB408" t="s">
        <v>3</v>
      </c>
      <c r="BC408">
        <f>COUNTIF($BC$2:$BC$404,"Support")</f>
        <v>122</v>
      </c>
      <c r="BE408" t="s">
        <v>3</v>
      </c>
      <c r="BF408">
        <f>COUNTIF($BF$2:$BF$404,"Support")</f>
        <v>380</v>
      </c>
      <c r="BG408" t="s">
        <v>3</v>
      </c>
      <c r="BH408">
        <f>COUNTIF($BH$2:$BH$404,"Support")</f>
        <v>174</v>
      </c>
    </row>
    <row r="409" spans="1:61" x14ac:dyDescent="0.45">
      <c r="R409">
        <f>SUM(R406:R408)</f>
        <v>403</v>
      </c>
      <c r="T409">
        <f>SUM(T406:T408)</f>
        <v>403</v>
      </c>
      <c r="W409">
        <f>SUM(W406:W408)</f>
        <v>403</v>
      </c>
      <c r="Y409">
        <f>SUM(Y406:Y408)</f>
        <v>403</v>
      </c>
      <c r="AB409">
        <f>SUM(AB406:AB408)</f>
        <v>403</v>
      </c>
      <c r="AD409">
        <f>SUM(AD406:AD408)</f>
        <v>403</v>
      </c>
      <c r="AG409">
        <f>SUM(AG406:AG408)</f>
        <v>403</v>
      </c>
      <c r="AI409">
        <f>SUM(AI406:AI408)</f>
        <v>403</v>
      </c>
      <c r="AL409">
        <f>SUM(AL406:AL408)</f>
        <v>401</v>
      </c>
      <c r="AN409">
        <f>SUM(AN406:AN408)</f>
        <v>403</v>
      </c>
      <c r="AQ409">
        <f>SUM(AQ406:AQ408)</f>
        <v>401</v>
      </c>
      <c r="AS409">
        <f>SUM(AS406:AS408)</f>
        <v>403</v>
      </c>
      <c r="AV409">
        <f>SUM(AV406:AV408)</f>
        <v>401</v>
      </c>
      <c r="AX409">
        <f>SUM(AX406:AX408)</f>
        <v>403</v>
      </c>
      <c r="BA409">
        <f>SUM(BA406:BA408)</f>
        <v>401</v>
      </c>
      <c r="BC409">
        <f>SUM(BC406:BC408)</f>
        <v>403</v>
      </c>
      <c r="BF409">
        <f>SUM(BF406:BF408)</f>
        <v>401</v>
      </c>
      <c r="BH409">
        <f>SUM(BH406:BH408)</f>
        <v>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156B3-4301-4BDB-8555-EADDFD44B655}">
  <dimension ref="A1:BI405"/>
  <sheetViews>
    <sheetView topLeftCell="AP375" workbookViewId="0">
      <selection activeCell="BC405" sqref="BC405"/>
    </sheetView>
  </sheetViews>
  <sheetFormatPr defaultRowHeight="14.25" x14ac:dyDescent="0.45"/>
  <cols>
    <col min="1" max="16" width="0" hidden="1" customWidth="1"/>
  </cols>
  <sheetData>
    <row r="1" spans="1:61" s="23" customFormat="1" x14ac:dyDescent="0.45">
      <c r="A1" s="17" t="s">
        <v>37</v>
      </c>
      <c r="B1" s="18" t="s">
        <v>199</v>
      </c>
      <c r="C1" s="18" t="s">
        <v>112</v>
      </c>
      <c r="D1" s="18" t="s">
        <v>113</v>
      </c>
      <c r="E1" s="18" t="s">
        <v>114</v>
      </c>
      <c r="F1" s="18" t="s">
        <v>115</v>
      </c>
      <c r="G1" s="18" t="s">
        <v>116</v>
      </c>
      <c r="H1" s="18" t="s">
        <v>117</v>
      </c>
      <c r="I1" s="18" t="s">
        <v>118</v>
      </c>
      <c r="J1" s="18" t="s">
        <v>119</v>
      </c>
      <c r="K1" s="18" t="s">
        <v>120</v>
      </c>
      <c r="L1" s="18" t="s">
        <v>121</v>
      </c>
      <c r="M1" s="18" t="s">
        <v>122</v>
      </c>
      <c r="N1" s="18" t="s">
        <v>123</v>
      </c>
      <c r="O1" s="18" t="s">
        <v>124</v>
      </c>
      <c r="P1" s="18" t="s">
        <v>125</v>
      </c>
      <c r="Q1" s="21" t="s">
        <v>45</v>
      </c>
      <c r="R1" s="21" t="s">
        <v>226</v>
      </c>
      <c r="S1" s="21" t="s">
        <v>126</v>
      </c>
      <c r="T1" s="21" t="s">
        <v>227</v>
      </c>
      <c r="U1" s="22" t="s">
        <v>48</v>
      </c>
      <c r="V1" s="22" t="s">
        <v>228</v>
      </c>
      <c r="W1" s="22" t="s">
        <v>131</v>
      </c>
      <c r="X1" s="22" t="s">
        <v>229</v>
      </c>
      <c r="Y1" s="18" t="s">
        <v>243</v>
      </c>
      <c r="Z1" s="20" t="s">
        <v>244</v>
      </c>
      <c r="AA1" s="21" t="s">
        <v>51</v>
      </c>
      <c r="AB1" s="21" t="s">
        <v>230</v>
      </c>
      <c r="AC1" s="21" t="s">
        <v>135</v>
      </c>
      <c r="AD1" s="21" t="s">
        <v>231</v>
      </c>
      <c r="AE1" s="22" t="s">
        <v>54</v>
      </c>
      <c r="AF1" s="22" t="s">
        <v>232</v>
      </c>
      <c r="AG1" s="22" t="s">
        <v>139</v>
      </c>
      <c r="AH1" s="22" t="s">
        <v>233</v>
      </c>
      <c r="AI1" s="18" t="s">
        <v>245</v>
      </c>
      <c r="AJ1" s="22" t="s">
        <v>246</v>
      </c>
      <c r="AK1" s="21" t="s">
        <v>57</v>
      </c>
      <c r="AL1" s="21" t="s">
        <v>234</v>
      </c>
      <c r="AM1" s="21" t="s">
        <v>143</v>
      </c>
      <c r="AN1" s="21" t="s">
        <v>235</v>
      </c>
      <c r="AO1" s="22" t="s">
        <v>60</v>
      </c>
      <c r="AP1" s="22" t="s">
        <v>236</v>
      </c>
      <c r="AQ1" s="22" t="s">
        <v>147</v>
      </c>
      <c r="AR1" s="22" t="s">
        <v>237</v>
      </c>
      <c r="AS1" s="21" t="s">
        <v>63</v>
      </c>
      <c r="AT1" s="21" t="s">
        <v>238</v>
      </c>
      <c r="AU1" s="21" t="s">
        <v>151</v>
      </c>
      <c r="AV1" s="21" t="s">
        <v>239</v>
      </c>
      <c r="AW1" s="22" t="s">
        <v>66</v>
      </c>
      <c r="AX1" s="22" t="s">
        <v>240</v>
      </c>
      <c r="AY1" s="22" t="s">
        <v>155</v>
      </c>
      <c r="AZ1" s="22" t="s">
        <v>156</v>
      </c>
      <c r="BA1" s="21" t="s">
        <v>247</v>
      </c>
      <c r="BB1" s="22" t="s">
        <v>248</v>
      </c>
      <c r="BC1" s="22" t="s">
        <v>249</v>
      </c>
      <c r="BD1" s="22" t="s">
        <v>250</v>
      </c>
      <c r="BE1" s="21" t="s">
        <v>69</v>
      </c>
      <c r="BF1" s="21" t="s">
        <v>241</v>
      </c>
      <c r="BG1" s="21" t="s">
        <v>159</v>
      </c>
      <c r="BH1" s="21" t="s">
        <v>242</v>
      </c>
      <c r="BI1" s="21" t="s">
        <v>161</v>
      </c>
    </row>
    <row r="2" spans="1:61" x14ac:dyDescent="0.45">
      <c r="A2" s="30">
        <f>step3_validation[[#This Row],[Persona_ID]]</f>
        <v>1</v>
      </c>
      <c r="B2" s="31">
        <f>step3_validation[[#This Row],[Used_Seed]]</f>
        <v>2026</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12.894674068377181</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6</v>
      </c>
      <c r="R2">
        <f>(Q2-1)/9</f>
        <v>0.55555555555555558</v>
      </c>
      <c r="S2">
        <f>survey_responses[[#This Row],[Tôi tin rằng với các quy định quản lý thuế hiện nay, hành vi gian lận hoặc trốn thuế sẽ dễ dàng bị phát hiện và xử lý nghiêm. - HUMAN-ENF1]]</f>
        <v>10</v>
      </c>
      <c r="T2">
        <f>(S2-1)/9</f>
        <v>1</v>
      </c>
      <c r="U2">
        <f>step3_validation[[#This Row],[AI_ENF2]]</f>
        <v>8</v>
      </c>
      <c r="V2">
        <f>(U2-1)/9</f>
        <v>0.77777777777777779</v>
      </c>
      <c r="W2">
        <f>survey_responses[[#This Row],[Tôi tin rằng Nhà nước, cơ quan thuế có đủ khả năng và công nghệ để phát hiện, xử lý nghiêm các hành vi trốn thuế. - HUMAN-ENF2]]</f>
        <v>8</v>
      </c>
      <c r="X2">
        <f>(W2-1)/9</f>
        <v>0.77777777777777779</v>
      </c>
      <c r="Y2" s="32">
        <f>AVERAGE(R2,V2)</f>
        <v>0.66666666666666674</v>
      </c>
      <c r="Z2" s="32">
        <f>AVERAGE(T2,X2)</f>
        <v>0.88888888888888884</v>
      </c>
      <c r="AA2">
        <f>step3_validation[[#This Row],[AI_FAC1]]</f>
        <v>7</v>
      </c>
      <c r="AB2">
        <f>(AA2-1)/9</f>
        <v>0.66666666666666663</v>
      </c>
      <c r="AC2">
        <f>survey_responses[[#This Row],[Các thủ tục khai báo thuế VÀ/HOẶC quy trình làm việc với cơ quan thuế đơn giản, tiện lợi, nhanh chóng hơn so với trước đây. - HUMAN-FAC1]]</f>
        <v>5</v>
      </c>
      <c r="AD2">
        <f>(AC2-1)/9</f>
        <v>0.44444444444444442</v>
      </c>
      <c r="AE2">
        <f>step3_validation[[#This Row],[AI_FAC2]]</f>
        <v>9</v>
      </c>
      <c r="AF2">
        <f>(AE2-1)/9</f>
        <v>0.88888888888888884</v>
      </c>
      <c r="AG2">
        <f>survey_responses[[#This Row],[So với trước đây, tôi thấy cách tính thuế và các bậc thuế trong phương án mới đơn giản, dễ hiểu và dễ thực hiện hơn. - HUMAN-FAC2]]</f>
        <v>5</v>
      </c>
      <c r="AH2">
        <f>(AG2-1)/9</f>
        <v>0.44444444444444442</v>
      </c>
      <c r="AI2" s="32">
        <f>AVERAGE(AB2,AF2)</f>
        <v>0.77777777777777768</v>
      </c>
      <c r="AJ2" s="32">
        <f>AVERAGE(AD2,AH2)</f>
        <v>0.44444444444444442</v>
      </c>
      <c r="AK2">
        <f>step3_validation[[#This Row],[AI_TRU1]]</f>
        <v>5</v>
      </c>
      <c r="AL2">
        <f>(AK2-1)/9</f>
        <v>0.44444444444444442</v>
      </c>
      <c r="AM2">
        <f>survey_responses[[#This Row],[Tôi tin rằng Nhà nước, cơ quan thuế sẽ thực thi chính sách mới một cách khách quan, công tâm và đối xử bình đẳng với mọi người nộp thuế.  - HUMAN-TRU1]]</f>
        <v>10</v>
      </c>
      <c r="AN2">
        <f>(AM2-1)/9</f>
        <v>1</v>
      </c>
      <c r="AO2">
        <f>step3_validation[[#This Row],[AI_TRU2]]</f>
        <v>8</v>
      </c>
      <c r="AP2">
        <f>(AO2-1)/9</f>
        <v>0.77777777777777779</v>
      </c>
      <c r="AQ2">
        <f>survey_responses[[#This Row],[Tôi thấy mức thuế tôi phải đóng theo phương án mới là công bằng (người thu nhập như tôi đóng mức này là hợp lý). - HUMAN-TRU2]]</f>
        <v>10</v>
      </c>
      <c r="AR2">
        <f>(AQ2-1)/9</f>
        <v>1</v>
      </c>
      <c r="AS2">
        <f>step3_validation[[#This Row],[AI_TRU3]]</f>
        <v>7</v>
      </c>
      <c r="AT2">
        <f>(AS2-1)/9</f>
        <v>0.66666666666666663</v>
      </c>
      <c r="AU2">
        <f>survey_responses[[#This Row],[Tôi tin tưởng số tiền thuế tôi đóng sẽ được Nhà nước sử dụng hiệu quả để cải thiện dịch vụ công (y tế, đường xá...). - HUMAN-TRU3]]</f>
        <v>10</v>
      </c>
      <c r="AV2">
        <f>(AU2-1)/9</f>
        <v>1</v>
      </c>
      <c r="AW2">
        <f>step3_validation[[#This Row],[AI_TRU4]]</f>
        <v>6</v>
      </c>
      <c r="AX2">
        <f>(AW2-1)/9</f>
        <v>0.55555555555555558</v>
      </c>
      <c r="AY2">
        <f>survey_responses[[#This Row],[Tôi thấy Nhà nước đã giải thích rõ ràng, minh bạch về lý do và mục tiêu của việc sửa đổi thuế lần này. - HUMAN-TRU4]]</f>
        <v>10</v>
      </c>
      <c r="AZ2">
        <f>(AY2-1)/9</f>
        <v>1</v>
      </c>
      <c r="BA2" s="32">
        <f>AVERAGE(AL2,AP2,AT2,AX2)</f>
        <v>0.61111111111111116</v>
      </c>
      <c r="BB2" s="32">
        <f>AVERAGE(AN2,AR2,AV2,AZ2)</f>
        <v>1</v>
      </c>
      <c r="BC2" s="7">
        <f>(Y2+AI2+BA2)/3</f>
        <v>0.68518518518518512</v>
      </c>
      <c r="BD2" s="7">
        <f>(Z2+AJ2+BB2)/3</f>
        <v>0.77777777777777768</v>
      </c>
      <c r="BE2">
        <f>step3_validation[[#This Row],[AI_OUT1]]</f>
        <v>8</v>
      </c>
      <c r="BF2">
        <f>(BE2-1)/9</f>
        <v>0.77777777777777779</v>
      </c>
      <c r="BG2">
        <f>survey_responses[[#This Row],[Sau khi xem xét các quyền lợi và nghĩa vụ, bạn có ủng hộ và tuân thủ chính sách mới hiện nay? - HUMAN-OUT1]]</f>
        <v>10</v>
      </c>
      <c r="BH2">
        <f>(BG2-1)/9</f>
        <v>1</v>
      </c>
      <c r="BI2" s="32">
        <f>ABS(BG2-BE2)</f>
        <v>2</v>
      </c>
    </row>
    <row r="3" spans="1:61" x14ac:dyDescent="0.45">
      <c r="A3" s="30">
        <f>step3_validation[[#This Row],[Persona_ID]]</f>
        <v>2</v>
      </c>
      <c r="B3" s="31">
        <f>step3_validation[[#This Row],[Used_Seed]]</f>
        <v>2027</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12.040027302028836</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7</v>
      </c>
      <c r="R3">
        <f t="shared" ref="R3:R66" si="0">(Q3-1)/9</f>
        <v>0.66666666666666663</v>
      </c>
      <c r="S3">
        <f>survey_responses[[#This Row],[Tôi tin rằng với các quy định quản lý thuế hiện nay, hành vi gian lận hoặc trốn thuế sẽ dễ dàng bị phát hiện và xử lý nghiêm. - HUMAN-ENF1]]</f>
        <v>8</v>
      </c>
      <c r="T3">
        <f t="shared" ref="T3:T66" si="1">(S3-1)/9</f>
        <v>0.77777777777777779</v>
      </c>
      <c r="U3">
        <f>step3_validation[[#This Row],[AI_ENF2]]</f>
        <v>8</v>
      </c>
      <c r="V3">
        <f t="shared" ref="V3:V66" si="2">(U3-1)/9</f>
        <v>0.77777777777777779</v>
      </c>
      <c r="W3">
        <f>survey_responses[[#This Row],[Tôi tin rằng Nhà nước, cơ quan thuế có đủ khả năng và công nghệ để phát hiện, xử lý nghiêm các hành vi trốn thuế. - HUMAN-ENF2]]</f>
        <v>8</v>
      </c>
      <c r="X3">
        <f t="shared" ref="X3:X66" si="3">(W3-1)/9</f>
        <v>0.77777777777777779</v>
      </c>
      <c r="Y3" s="32">
        <f t="shared" ref="Y3:Y66" si="4">AVERAGE(R3,V3)</f>
        <v>0.72222222222222221</v>
      </c>
      <c r="Z3" s="32">
        <f t="shared" ref="Z3:Z66" si="5">AVERAGE(T3,X3)</f>
        <v>0.77777777777777779</v>
      </c>
      <c r="AA3">
        <f>step3_validation[[#This Row],[AI_FAC1]]</f>
        <v>9</v>
      </c>
      <c r="AB3">
        <f t="shared" ref="AB3:AB66" si="6">(AA3-1)/9</f>
        <v>0.88888888888888884</v>
      </c>
      <c r="AC3">
        <f>survey_responses[[#This Row],[Các thủ tục khai báo thuế VÀ/HOẶC quy trình làm việc với cơ quan thuế đơn giản, tiện lợi, nhanh chóng hơn so với trước đây. - HUMAN-FAC1]]</f>
        <v>6</v>
      </c>
      <c r="AD3">
        <f t="shared" ref="AD3:AD66" si="7">(AC3-1)/9</f>
        <v>0.55555555555555558</v>
      </c>
      <c r="AE3">
        <f>step3_validation[[#This Row],[AI_FAC2]]</f>
        <v>8</v>
      </c>
      <c r="AF3">
        <f t="shared" ref="AF3:AF66" si="8">(AE3-1)/9</f>
        <v>0.77777777777777779</v>
      </c>
      <c r="AG3">
        <f>survey_responses[[#This Row],[So với trước đây, tôi thấy cách tính thuế và các bậc thuế trong phương án mới đơn giản, dễ hiểu và dễ thực hiện hơn. - HUMAN-FAC2]]</f>
        <v>9</v>
      </c>
      <c r="AH3">
        <f t="shared" ref="AH3:AH66" si="9">(AG3-1)/9</f>
        <v>0.88888888888888884</v>
      </c>
      <c r="AI3" s="32">
        <f t="shared" ref="AI3:AI66" si="10">AVERAGE(AB3,AF3)</f>
        <v>0.83333333333333326</v>
      </c>
      <c r="AJ3" s="32">
        <f t="shared" ref="AJ3:AJ66" si="11">AVERAGE(AD3,AH3)</f>
        <v>0.72222222222222221</v>
      </c>
      <c r="AK3">
        <f>step3_validation[[#This Row],[AI_TRU1]]</f>
        <v>7</v>
      </c>
      <c r="AL3">
        <f t="shared" ref="AL3:AL66" si="12">(AK3-1)/9</f>
        <v>0.66666666666666663</v>
      </c>
      <c r="AM3">
        <f>survey_responses[[#This Row],[Tôi tin rằng Nhà nước, cơ quan thuế sẽ thực thi chính sách mới một cách khách quan, công tâm và đối xử bình đẳng với mọi người nộp thuế.  - HUMAN-TRU1]]</f>
        <v>10</v>
      </c>
      <c r="AN3">
        <f t="shared" ref="AN3:AN66" si="13">(AM3-1)/9</f>
        <v>1</v>
      </c>
      <c r="AO3">
        <f>step3_validation[[#This Row],[AI_TRU2]]</f>
        <v>8</v>
      </c>
      <c r="AP3">
        <f t="shared" ref="AP3:AP66" si="14">(AO3-1)/9</f>
        <v>0.77777777777777779</v>
      </c>
      <c r="AQ3">
        <f>survey_responses[[#This Row],[Tôi thấy mức thuế tôi phải đóng theo phương án mới là công bằng (người thu nhập như tôi đóng mức này là hợp lý). - HUMAN-TRU2]]</f>
        <v>9</v>
      </c>
      <c r="AR3">
        <f t="shared" ref="AR3:AR66" si="15">(AQ3-1)/9</f>
        <v>0.88888888888888884</v>
      </c>
      <c r="AS3">
        <f>step3_validation[[#This Row],[AI_TRU3]]</f>
        <v>7</v>
      </c>
      <c r="AT3">
        <f t="shared" ref="AT3:AT66" si="16">(AS3-1)/9</f>
        <v>0.66666666666666663</v>
      </c>
      <c r="AU3">
        <f>survey_responses[[#This Row],[Tôi tin tưởng số tiền thuế tôi đóng sẽ được Nhà nước sử dụng hiệu quả để cải thiện dịch vụ công (y tế, đường xá...). - HUMAN-TRU3]]</f>
        <v>8</v>
      </c>
      <c r="AV3">
        <f t="shared" ref="AV3:AV66" si="17">(AU3-1)/9</f>
        <v>0.77777777777777779</v>
      </c>
      <c r="AW3">
        <f>step3_validation[[#This Row],[AI_TRU4]]</f>
        <v>8</v>
      </c>
      <c r="AX3">
        <f t="shared" ref="AX3:AX66" si="18">(AW3-1)/9</f>
        <v>0.77777777777777779</v>
      </c>
      <c r="AY3">
        <f>survey_responses[[#This Row],[Tôi thấy Nhà nước đã giải thích rõ ràng, minh bạch về lý do và mục tiêu của việc sửa đổi thuế lần này. - HUMAN-TRU4]]</f>
        <v>9</v>
      </c>
      <c r="AZ3">
        <f t="shared" ref="AZ3:AZ66" si="19">(AY3-1)/9</f>
        <v>0.88888888888888884</v>
      </c>
      <c r="BA3" s="32">
        <f t="shared" ref="BA3:BA66" si="20">AVERAGE(AL3,AP3,AT3,AX3)</f>
        <v>0.72222222222222221</v>
      </c>
      <c r="BB3" s="32">
        <f t="shared" ref="BB3:BB66" si="21">AVERAGE(AN3,AR3,AV3,AZ3)</f>
        <v>0.88888888888888884</v>
      </c>
      <c r="BC3" s="7">
        <f t="shared" ref="BC3:BC66" si="22">(Y3+AI3+BA3)/3</f>
        <v>0.75925925925925919</v>
      </c>
      <c r="BD3" s="7">
        <f t="shared" ref="BD3:BD66" si="23">(Z3+AJ3+BB3)/3</f>
        <v>0.79629629629629628</v>
      </c>
      <c r="BE3">
        <f>step3_validation[[#This Row],[AI_OUT1]]</f>
        <v>9</v>
      </c>
      <c r="BF3">
        <f t="shared" ref="BF3:BF66" si="24">(BE3-1)/9</f>
        <v>0.88888888888888884</v>
      </c>
      <c r="BG3">
        <f>survey_responses[[#This Row],[Sau khi xem xét các quyền lợi và nghĩa vụ, bạn có ủng hộ và tuân thủ chính sách mới hiện nay? - HUMAN-OUT1]]</f>
        <v>10</v>
      </c>
      <c r="BH3">
        <f t="shared" ref="BH3:BH66" si="25">(BG3-1)/9</f>
        <v>1</v>
      </c>
      <c r="BI3" s="32">
        <f t="shared" ref="BI3:BI66" si="26">ABS(BG3-BE3)</f>
        <v>1</v>
      </c>
    </row>
    <row r="4" spans="1:61" x14ac:dyDescent="0.45">
      <c r="A4" s="30">
        <f>step3_validation[[#This Row],[Persona_ID]]</f>
        <v>3</v>
      </c>
      <c r="B4" s="31">
        <f>step3_validation[[#This Row],[Used_Seed]]</f>
        <v>2028</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56.121798619831388</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7</v>
      </c>
      <c r="R4">
        <f t="shared" si="0"/>
        <v>0.66666666666666663</v>
      </c>
      <c r="S4">
        <f>survey_responses[[#This Row],[Tôi tin rằng với các quy định quản lý thuế hiện nay, hành vi gian lận hoặc trốn thuế sẽ dễ dàng bị phát hiện và xử lý nghiêm. - HUMAN-ENF1]]</f>
        <v>6</v>
      </c>
      <c r="T4">
        <f t="shared" si="1"/>
        <v>0.55555555555555558</v>
      </c>
      <c r="U4">
        <f>step3_validation[[#This Row],[AI_ENF2]]</f>
        <v>6</v>
      </c>
      <c r="V4">
        <f t="shared" si="2"/>
        <v>0.55555555555555558</v>
      </c>
      <c r="W4">
        <f>survey_responses[[#This Row],[Tôi tin rằng Nhà nước, cơ quan thuế có đủ khả năng và công nghệ để phát hiện, xử lý nghiêm các hành vi trốn thuế. - HUMAN-ENF2]]</f>
        <v>5</v>
      </c>
      <c r="X4">
        <f t="shared" si="3"/>
        <v>0.44444444444444442</v>
      </c>
      <c r="Y4" s="32">
        <f t="shared" si="4"/>
        <v>0.61111111111111116</v>
      </c>
      <c r="Z4" s="32">
        <f t="shared" si="5"/>
        <v>0.5</v>
      </c>
      <c r="AA4">
        <f>step3_validation[[#This Row],[AI_FAC1]]</f>
        <v>7</v>
      </c>
      <c r="AB4">
        <f t="shared" si="6"/>
        <v>0.66666666666666663</v>
      </c>
      <c r="AC4">
        <f>survey_responses[[#This Row],[Các thủ tục khai báo thuế VÀ/HOẶC quy trình làm việc với cơ quan thuế đơn giản, tiện lợi, nhanh chóng hơn so với trước đây. - HUMAN-FAC1]]</f>
        <v>4</v>
      </c>
      <c r="AD4">
        <f t="shared" si="7"/>
        <v>0.33333333333333331</v>
      </c>
      <c r="AE4">
        <f>step3_validation[[#This Row],[AI_FAC2]]</f>
        <v>8</v>
      </c>
      <c r="AF4">
        <f t="shared" si="8"/>
        <v>0.77777777777777779</v>
      </c>
      <c r="AG4">
        <f>survey_responses[[#This Row],[So với trước đây, tôi thấy cách tính thuế và các bậc thuế trong phương án mới đơn giản, dễ hiểu và dễ thực hiện hơn. - HUMAN-FAC2]]</f>
        <v>5</v>
      </c>
      <c r="AH4">
        <f t="shared" si="9"/>
        <v>0.44444444444444442</v>
      </c>
      <c r="AI4" s="32">
        <f t="shared" si="10"/>
        <v>0.72222222222222221</v>
      </c>
      <c r="AJ4" s="32">
        <f t="shared" si="11"/>
        <v>0.38888888888888884</v>
      </c>
      <c r="AK4">
        <f>step3_validation[[#This Row],[AI_TRU1]]</f>
        <v>6</v>
      </c>
      <c r="AL4">
        <f t="shared" si="12"/>
        <v>0.55555555555555558</v>
      </c>
      <c r="AM4">
        <f>survey_responses[[#This Row],[Tôi tin rằng Nhà nước, cơ quan thuế sẽ thực thi chính sách mới một cách khách quan, công tâm và đối xử bình đẳng với mọi người nộp thuế.  - HUMAN-TRU1]]</f>
        <v>4</v>
      </c>
      <c r="AN4">
        <f t="shared" si="13"/>
        <v>0.33333333333333331</v>
      </c>
      <c r="AO4">
        <f>step3_validation[[#This Row],[AI_TRU2]]</f>
        <v>9</v>
      </c>
      <c r="AP4">
        <f t="shared" si="14"/>
        <v>0.88888888888888884</v>
      </c>
      <c r="AQ4">
        <f>survey_responses[[#This Row],[Tôi thấy mức thuế tôi phải đóng theo phương án mới là công bằng (người thu nhập như tôi đóng mức này là hợp lý). - HUMAN-TRU2]]</f>
        <v>4</v>
      </c>
      <c r="AR4">
        <f t="shared" si="15"/>
        <v>0.33333333333333331</v>
      </c>
      <c r="AS4">
        <f>step3_validation[[#This Row],[AI_TRU3]]</f>
        <v>7</v>
      </c>
      <c r="AT4">
        <f t="shared" si="16"/>
        <v>0.66666666666666663</v>
      </c>
      <c r="AU4">
        <f>survey_responses[[#This Row],[Tôi tin tưởng số tiền thuế tôi đóng sẽ được Nhà nước sử dụng hiệu quả để cải thiện dịch vụ công (y tế, đường xá...). - HUMAN-TRU3]]</f>
        <v>4</v>
      </c>
      <c r="AV4">
        <f t="shared" si="17"/>
        <v>0.33333333333333331</v>
      </c>
      <c r="AW4">
        <f>step3_validation[[#This Row],[AI_TRU4]]</f>
        <v>8</v>
      </c>
      <c r="AX4">
        <f t="shared" si="18"/>
        <v>0.77777777777777779</v>
      </c>
      <c r="AY4">
        <f>survey_responses[[#This Row],[Tôi thấy Nhà nước đã giải thích rõ ràng, minh bạch về lý do và mục tiêu của việc sửa đổi thuế lần này. - HUMAN-TRU4]]</f>
        <v>10</v>
      </c>
      <c r="AZ4">
        <f t="shared" si="19"/>
        <v>1</v>
      </c>
      <c r="BA4" s="32">
        <f t="shared" si="20"/>
        <v>0.72222222222222221</v>
      </c>
      <c r="BB4" s="32">
        <f t="shared" si="21"/>
        <v>0.5</v>
      </c>
      <c r="BC4" s="7">
        <f t="shared" si="22"/>
        <v>0.68518518518518523</v>
      </c>
      <c r="BD4" s="7">
        <f t="shared" si="23"/>
        <v>0.46296296296296297</v>
      </c>
      <c r="BE4">
        <f>step3_validation[[#This Row],[AI_OUT1]]</f>
        <v>9</v>
      </c>
      <c r="BF4">
        <f t="shared" si="24"/>
        <v>0.88888888888888884</v>
      </c>
      <c r="BG4">
        <f>survey_responses[[#This Row],[Sau khi xem xét các quyền lợi và nghĩa vụ, bạn có ủng hộ và tuân thủ chính sách mới hiện nay? - HUMAN-OUT1]]</f>
        <v>4</v>
      </c>
      <c r="BH4">
        <f t="shared" si="25"/>
        <v>0.33333333333333331</v>
      </c>
      <c r="BI4" s="32">
        <f t="shared" si="26"/>
        <v>5</v>
      </c>
    </row>
    <row r="5" spans="1:61" x14ac:dyDescent="0.45">
      <c r="A5" s="30">
        <f>step3_validation[[#This Row],[Persona_ID]]</f>
        <v>4</v>
      </c>
      <c r="B5" s="31">
        <f>step3_validation[[#This Row],[Used_Seed]]</f>
        <v>2029</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7</v>
      </c>
      <c r="R5">
        <f t="shared" si="0"/>
        <v>0.66666666666666663</v>
      </c>
      <c r="S5">
        <f>survey_responses[[#This Row],[Tôi tin rằng với các quy định quản lý thuế hiện nay, hành vi gian lận hoặc trốn thuế sẽ dễ dàng bị phát hiện và xử lý nghiêm. - HUMAN-ENF1]]</f>
        <v>10</v>
      </c>
      <c r="T5">
        <f t="shared" si="1"/>
        <v>1</v>
      </c>
      <c r="U5">
        <f>step3_validation[[#This Row],[AI_ENF2]]</f>
        <v>6</v>
      </c>
      <c r="V5">
        <f t="shared" si="2"/>
        <v>0.55555555555555558</v>
      </c>
      <c r="W5">
        <f>survey_responses[[#This Row],[Tôi tin rằng Nhà nước, cơ quan thuế có đủ khả năng và công nghệ để phát hiện, xử lý nghiêm các hành vi trốn thuế. - HUMAN-ENF2]]</f>
        <v>10</v>
      </c>
      <c r="X5">
        <f t="shared" si="3"/>
        <v>1</v>
      </c>
      <c r="Y5" s="32">
        <f t="shared" si="4"/>
        <v>0.61111111111111116</v>
      </c>
      <c r="Z5" s="32">
        <f t="shared" si="5"/>
        <v>1</v>
      </c>
      <c r="AA5">
        <f>step3_validation[[#This Row],[AI_FAC1]]</f>
        <v>8</v>
      </c>
      <c r="AB5">
        <f t="shared" si="6"/>
        <v>0.77777777777777779</v>
      </c>
      <c r="AC5">
        <f>survey_responses[[#This Row],[Các thủ tục khai báo thuế VÀ/HOẶC quy trình làm việc với cơ quan thuế đơn giản, tiện lợi, nhanh chóng hơn so với trước đây. - HUMAN-FAC1]]</f>
        <v>8</v>
      </c>
      <c r="AD5">
        <f t="shared" si="7"/>
        <v>0.77777777777777779</v>
      </c>
      <c r="AE5">
        <f>step3_validation[[#This Row],[AI_FAC2]]</f>
        <v>9</v>
      </c>
      <c r="AF5">
        <f t="shared" si="8"/>
        <v>0.88888888888888884</v>
      </c>
      <c r="AG5">
        <f>survey_responses[[#This Row],[So với trước đây, tôi thấy cách tính thuế và các bậc thuế trong phương án mới đơn giản, dễ hiểu và dễ thực hiện hơn. - HUMAN-FAC2]]</f>
        <v>9</v>
      </c>
      <c r="AH5">
        <f t="shared" si="9"/>
        <v>0.88888888888888884</v>
      </c>
      <c r="AI5" s="32">
        <f t="shared" si="10"/>
        <v>0.83333333333333326</v>
      </c>
      <c r="AJ5" s="32">
        <f t="shared" si="11"/>
        <v>0.83333333333333326</v>
      </c>
      <c r="AK5">
        <f>step3_validation[[#This Row],[AI_TRU1]]</f>
        <v>8</v>
      </c>
      <c r="AL5">
        <f t="shared" si="12"/>
        <v>0.77777777777777779</v>
      </c>
      <c r="AM5">
        <f>survey_responses[[#This Row],[Tôi tin rằng Nhà nước, cơ quan thuế sẽ thực thi chính sách mới một cách khách quan, công tâm và đối xử bình đẳng với mọi người nộp thuế.  - HUMAN-TRU1]]</f>
        <v>9</v>
      </c>
      <c r="AN5">
        <f t="shared" si="13"/>
        <v>0.88888888888888884</v>
      </c>
      <c r="AO5">
        <f>step3_validation[[#This Row],[AI_TRU2]]</f>
        <v>9</v>
      </c>
      <c r="AP5">
        <f t="shared" si="14"/>
        <v>0.88888888888888884</v>
      </c>
      <c r="AQ5">
        <f>survey_responses[[#This Row],[Tôi thấy mức thuế tôi phải đóng theo phương án mới là công bằng (người thu nhập như tôi đóng mức này là hợp lý). - HUMAN-TRU2]]</f>
        <v>7</v>
      </c>
      <c r="AR5">
        <f t="shared" si="15"/>
        <v>0.66666666666666663</v>
      </c>
      <c r="AS5">
        <f>step3_validation[[#This Row],[AI_TRU3]]</f>
        <v>8</v>
      </c>
      <c r="AT5">
        <f t="shared" si="16"/>
        <v>0.77777777777777779</v>
      </c>
      <c r="AU5">
        <f>survey_responses[[#This Row],[Tôi tin tưởng số tiền thuế tôi đóng sẽ được Nhà nước sử dụng hiệu quả để cải thiện dịch vụ công (y tế, đường xá...). - HUMAN-TRU3]]</f>
        <v>10</v>
      </c>
      <c r="AV5">
        <f t="shared" si="17"/>
        <v>1</v>
      </c>
      <c r="AW5">
        <f>step3_validation[[#This Row],[AI_TRU4]]</f>
        <v>9</v>
      </c>
      <c r="AX5">
        <f t="shared" si="18"/>
        <v>0.88888888888888884</v>
      </c>
      <c r="AY5">
        <f>survey_responses[[#This Row],[Tôi thấy Nhà nước đã giải thích rõ ràng, minh bạch về lý do và mục tiêu của việc sửa đổi thuế lần này. - HUMAN-TRU4]]</f>
        <v>7</v>
      </c>
      <c r="AZ5">
        <f t="shared" si="19"/>
        <v>0.66666666666666663</v>
      </c>
      <c r="BA5" s="32">
        <f t="shared" si="20"/>
        <v>0.83333333333333326</v>
      </c>
      <c r="BB5" s="32">
        <f t="shared" si="21"/>
        <v>0.80555555555555547</v>
      </c>
      <c r="BC5" s="7">
        <f t="shared" si="22"/>
        <v>0.75925925925925919</v>
      </c>
      <c r="BD5" s="7">
        <f t="shared" si="23"/>
        <v>0.87962962962962965</v>
      </c>
      <c r="BE5">
        <f>step3_validation[[#This Row],[AI_OUT1]]</f>
        <v>10</v>
      </c>
      <c r="BF5">
        <f t="shared" si="24"/>
        <v>1</v>
      </c>
      <c r="BG5">
        <f>survey_responses[[#This Row],[Sau khi xem xét các quyền lợi và nghĩa vụ, bạn có ủng hộ và tuân thủ chính sách mới hiện nay? - HUMAN-OUT1]]</f>
        <v>10</v>
      </c>
      <c r="BH5">
        <f t="shared" si="25"/>
        <v>1</v>
      </c>
      <c r="BI5" s="32">
        <f t="shared" si="26"/>
        <v>0</v>
      </c>
    </row>
    <row r="6" spans="1:61" x14ac:dyDescent="0.45">
      <c r="A6" s="30">
        <f>step3_validation[[#This Row],[Persona_ID]]</f>
        <v>5</v>
      </c>
      <c r="B6" s="31">
        <f>step3_validation[[#This Row],[Used_Seed]]</f>
        <v>2030</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7</v>
      </c>
      <c r="R6">
        <f t="shared" si="0"/>
        <v>0.66666666666666663</v>
      </c>
      <c r="S6">
        <f>survey_responses[[#This Row],[Tôi tin rằng với các quy định quản lý thuế hiện nay, hành vi gian lận hoặc trốn thuế sẽ dễ dàng bị phát hiện và xử lý nghiêm. - HUMAN-ENF1]]</f>
        <v>9</v>
      </c>
      <c r="T6">
        <f t="shared" si="1"/>
        <v>0.88888888888888884</v>
      </c>
      <c r="U6">
        <f>step3_validation[[#This Row],[AI_ENF2]]</f>
        <v>8</v>
      </c>
      <c r="V6">
        <f t="shared" si="2"/>
        <v>0.77777777777777779</v>
      </c>
      <c r="W6">
        <f>survey_responses[[#This Row],[Tôi tin rằng Nhà nước, cơ quan thuế có đủ khả năng và công nghệ để phát hiện, xử lý nghiêm các hành vi trốn thuế. - HUMAN-ENF2]]</f>
        <v>9</v>
      </c>
      <c r="X6">
        <f t="shared" si="3"/>
        <v>0.88888888888888884</v>
      </c>
      <c r="Y6" s="32">
        <f t="shared" si="4"/>
        <v>0.72222222222222221</v>
      </c>
      <c r="Z6" s="32">
        <f t="shared" si="5"/>
        <v>0.88888888888888884</v>
      </c>
      <c r="AA6">
        <f>step3_validation[[#This Row],[AI_FAC1]]</f>
        <v>6</v>
      </c>
      <c r="AB6">
        <f t="shared" si="6"/>
        <v>0.55555555555555558</v>
      </c>
      <c r="AC6">
        <f>survey_responses[[#This Row],[Các thủ tục khai báo thuế VÀ/HOẶC quy trình làm việc với cơ quan thuế đơn giản, tiện lợi, nhanh chóng hơn so với trước đây. - HUMAN-FAC1]]</f>
        <v>10</v>
      </c>
      <c r="AD6">
        <f t="shared" si="7"/>
        <v>1</v>
      </c>
      <c r="AE6">
        <f>step3_validation[[#This Row],[AI_FAC2]]</f>
        <v>9</v>
      </c>
      <c r="AF6">
        <f t="shared" si="8"/>
        <v>0.88888888888888884</v>
      </c>
      <c r="AG6">
        <f>survey_responses[[#This Row],[So với trước đây, tôi thấy cách tính thuế và các bậc thuế trong phương án mới đơn giản, dễ hiểu và dễ thực hiện hơn. - HUMAN-FAC2]]</f>
        <v>9</v>
      </c>
      <c r="AH6">
        <f t="shared" si="9"/>
        <v>0.88888888888888884</v>
      </c>
      <c r="AI6" s="32">
        <f t="shared" si="10"/>
        <v>0.72222222222222221</v>
      </c>
      <c r="AJ6" s="32">
        <f t="shared" si="11"/>
        <v>0.94444444444444442</v>
      </c>
      <c r="AK6">
        <f>step3_validation[[#This Row],[AI_TRU1]]</f>
        <v>8</v>
      </c>
      <c r="AL6">
        <f t="shared" si="12"/>
        <v>0.77777777777777779</v>
      </c>
      <c r="AM6">
        <f>survey_responses[[#This Row],[Tôi tin rằng Nhà nước, cơ quan thuế sẽ thực thi chính sách mới một cách khách quan, công tâm và đối xử bình đẳng với mọi người nộp thuế.  - HUMAN-TRU1]]</f>
        <v>9</v>
      </c>
      <c r="AN6">
        <f t="shared" si="13"/>
        <v>0.88888888888888884</v>
      </c>
      <c r="AO6">
        <f>step3_validation[[#This Row],[AI_TRU2]]</f>
        <v>9</v>
      </c>
      <c r="AP6">
        <f t="shared" si="14"/>
        <v>0.88888888888888884</v>
      </c>
      <c r="AQ6">
        <f>survey_responses[[#This Row],[Tôi thấy mức thuế tôi phải đóng theo phương án mới là công bằng (người thu nhập như tôi đóng mức này là hợp lý). - HUMAN-TRU2]]</f>
        <v>9</v>
      </c>
      <c r="AR6">
        <f t="shared" si="15"/>
        <v>0.88888888888888884</v>
      </c>
      <c r="AS6">
        <f>step3_validation[[#This Row],[AI_TRU3]]</f>
        <v>8</v>
      </c>
      <c r="AT6">
        <f t="shared" si="16"/>
        <v>0.77777777777777779</v>
      </c>
      <c r="AU6">
        <f>survey_responses[[#This Row],[Tôi tin tưởng số tiền thuế tôi đóng sẽ được Nhà nước sử dụng hiệu quả để cải thiện dịch vụ công (y tế, đường xá...). - HUMAN-TRU3]]</f>
        <v>9</v>
      </c>
      <c r="AV6">
        <f t="shared" si="17"/>
        <v>0.88888888888888884</v>
      </c>
      <c r="AW6">
        <f>step3_validation[[#This Row],[AI_TRU4]]</f>
        <v>7</v>
      </c>
      <c r="AX6">
        <f t="shared" si="18"/>
        <v>0.66666666666666663</v>
      </c>
      <c r="AY6">
        <f>survey_responses[[#This Row],[Tôi thấy Nhà nước đã giải thích rõ ràng, minh bạch về lý do và mục tiêu của việc sửa đổi thuế lần này. - HUMAN-TRU4]]</f>
        <v>9</v>
      </c>
      <c r="AZ6">
        <f t="shared" si="19"/>
        <v>0.88888888888888884</v>
      </c>
      <c r="BA6" s="32">
        <f t="shared" si="20"/>
        <v>0.77777777777777768</v>
      </c>
      <c r="BB6" s="32">
        <f t="shared" si="21"/>
        <v>0.88888888888888884</v>
      </c>
      <c r="BC6" s="7">
        <f t="shared" si="22"/>
        <v>0.74074074074074081</v>
      </c>
      <c r="BD6" s="7">
        <f t="shared" si="23"/>
        <v>0.90740740740740744</v>
      </c>
      <c r="BE6">
        <f>step3_validation[[#This Row],[AI_OUT1]]</f>
        <v>9</v>
      </c>
      <c r="BF6">
        <f t="shared" si="24"/>
        <v>0.88888888888888884</v>
      </c>
      <c r="BG6">
        <f>survey_responses[[#This Row],[Sau khi xem xét các quyền lợi và nghĩa vụ, bạn có ủng hộ và tuân thủ chính sách mới hiện nay? - HUMAN-OUT1]]</f>
        <v>9</v>
      </c>
      <c r="BH6">
        <f t="shared" si="25"/>
        <v>0.88888888888888884</v>
      </c>
      <c r="BI6" s="32">
        <f t="shared" si="26"/>
        <v>0</v>
      </c>
    </row>
    <row r="7" spans="1:61" x14ac:dyDescent="0.45">
      <c r="A7" s="30">
        <f>step3_validation[[#This Row],[Persona_ID]]</f>
        <v>6</v>
      </c>
      <c r="B7" s="31">
        <f>step3_validation[[#This Row],[Used_Seed]]</f>
        <v>2031</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81.953873229830037</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7</v>
      </c>
      <c r="R7">
        <f t="shared" si="0"/>
        <v>0.66666666666666663</v>
      </c>
      <c r="S7">
        <f>survey_responses[[#This Row],[Tôi tin rằng với các quy định quản lý thuế hiện nay, hành vi gian lận hoặc trốn thuế sẽ dễ dàng bị phát hiện và xử lý nghiêm. - HUMAN-ENF1]]</f>
        <v>8</v>
      </c>
      <c r="T7">
        <f t="shared" si="1"/>
        <v>0.77777777777777779</v>
      </c>
      <c r="U7">
        <f>step3_validation[[#This Row],[AI_ENF2]]</f>
        <v>7</v>
      </c>
      <c r="V7">
        <f t="shared" si="2"/>
        <v>0.66666666666666663</v>
      </c>
      <c r="W7">
        <f>survey_responses[[#This Row],[Tôi tin rằng Nhà nước, cơ quan thuế có đủ khả năng và công nghệ để phát hiện, xử lý nghiêm các hành vi trốn thuế. - HUMAN-ENF2]]</f>
        <v>8</v>
      </c>
      <c r="X7">
        <f t="shared" si="3"/>
        <v>0.77777777777777779</v>
      </c>
      <c r="Y7" s="32">
        <f t="shared" si="4"/>
        <v>0.66666666666666663</v>
      </c>
      <c r="Z7" s="32">
        <f t="shared" si="5"/>
        <v>0.77777777777777779</v>
      </c>
      <c r="AA7">
        <f>step3_validation[[#This Row],[AI_FAC1]]</f>
        <v>9</v>
      </c>
      <c r="AB7">
        <f t="shared" si="6"/>
        <v>0.88888888888888884</v>
      </c>
      <c r="AC7">
        <f>survey_responses[[#This Row],[Các thủ tục khai báo thuế VÀ/HOẶC quy trình làm việc với cơ quan thuế đơn giản, tiện lợi, nhanh chóng hơn so với trước đây. - HUMAN-FAC1]]</f>
        <v>5</v>
      </c>
      <c r="AD7">
        <f t="shared" si="7"/>
        <v>0.44444444444444442</v>
      </c>
      <c r="AE7">
        <f>step3_validation[[#This Row],[AI_FAC2]]</f>
        <v>9</v>
      </c>
      <c r="AF7">
        <f t="shared" si="8"/>
        <v>0.88888888888888884</v>
      </c>
      <c r="AG7">
        <f>survey_responses[[#This Row],[So với trước đây, tôi thấy cách tính thuế và các bậc thuế trong phương án mới đơn giản, dễ hiểu và dễ thực hiện hơn. - HUMAN-FAC2]]</f>
        <v>8</v>
      </c>
      <c r="AH7">
        <f t="shared" si="9"/>
        <v>0.77777777777777779</v>
      </c>
      <c r="AI7" s="32">
        <f t="shared" si="10"/>
        <v>0.88888888888888884</v>
      </c>
      <c r="AJ7" s="32">
        <f t="shared" si="11"/>
        <v>0.61111111111111116</v>
      </c>
      <c r="AK7">
        <f>step3_validation[[#This Row],[AI_TRU1]]</f>
        <v>6</v>
      </c>
      <c r="AL7">
        <f t="shared" si="12"/>
        <v>0.55555555555555558</v>
      </c>
      <c r="AM7">
        <f>survey_responses[[#This Row],[Tôi tin rằng Nhà nước, cơ quan thuế sẽ thực thi chính sách mới một cách khách quan, công tâm và đối xử bình đẳng với mọi người nộp thuế.  - HUMAN-TRU1]]</f>
        <v>6</v>
      </c>
      <c r="AN7">
        <f t="shared" si="13"/>
        <v>0.55555555555555558</v>
      </c>
      <c r="AO7">
        <f>step3_validation[[#This Row],[AI_TRU2]]</f>
        <v>7</v>
      </c>
      <c r="AP7">
        <f t="shared" si="14"/>
        <v>0.66666666666666663</v>
      </c>
      <c r="AQ7">
        <f>survey_responses[[#This Row],[Tôi thấy mức thuế tôi phải đóng theo phương án mới là công bằng (người thu nhập như tôi đóng mức này là hợp lý). - HUMAN-TRU2]]</f>
        <v>6</v>
      </c>
      <c r="AR7">
        <f t="shared" si="15"/>
        <v>0.55555555555555558</v>
      </c>
      <c r="AS7">
        <f>step3_validation[[#This Row],[AI_TRU3]]</f>
        <v>6</v>
      </c>
      <c r="AT7">
        <f t="shared" si="16"/>
        <v>0.55555555555555558</v>
      </c>
      <c r="AU7">
        <f>survey_responses[[#This Row],[Tôi tin tưởng số tiền thuế tôi đóng sẽ được Nhà nước sử dụng hiệu quả để cải thiện dịch vụ công (y tế, đường xá...). - HUMAN-TRU3]]</f>
        <v>4</v>
      </c>
      <c r="AV7">
        <f t="shared" si="17"/>
        <v>0.33333333333333331</v>
      </c>
      <c r="AW7">
        <f>step3_validation[[#This Row],[AI_TRU4]]</f>
        <v>7</v>
      </c>
      <c r="AX7">
        <f t="shared" si="18"/>
        <v>0.66666666666666663</v>
      </c>
      <c r="AY7">
        <f>survey_responses[[#This Row],[Tôi thấy Nhà nước đã giải thích rõ ràng, minh bạch về lý do và mục tiêu của việc sửa đổi thuế lần này. - HUMAN-TRU4]]</f>
        <v>5</v>
      </c>
      <c r="AZ7">
        <f t="shared" si="19"/>
        <v>0.44444444444444442</v>
      </c>
      <c r="BA7" s="32">
        <f t="shared" si="20"/>
        <v>0.61111111111111116</v>
      </c>
      <c r="BB7" s="32">
        <f t="shared" si="21"/>
        <v>0.47222222222222221</v>
      </c>
      <c r="BC7" s="7">
        <f t="shared" si="22"/>
        <v>0.72222222222222221</v>
      </c>
      <c r="BD7" s="7">
        <f t="shared" si="23"/>
        <v>0.62037037037037035</v>
      </c>
      <c r="BE7">
        <f>step3_validation[[#This Row],[AI_OUT1]]</f>
        <v>9</v>
      </c>
      <c r="BF7">
        <f t="shared" si="24"/>
        <v>0.88888888888888884</v>
      </c>
      <c r="BG7">
        <f>survey_responses[[#This Row],[Sau khi xem xét các quyền lợi và nghĩa vụ, bạn có ủng hộ và tuân thủ chính sách mới hiện nay? - HUMAN-OUT1]]</f>
        <v>6</v>
      </c>
      <c r="BH7">
        <f t="shared" si="25"/>
        <v>0.55555555555555558</v>
      </c>
      <c r="BI7" s="32">
        <f t="shared" si="26"/>
        <v>3</v>
      </c>
    </row>
    <row r="8" spans="1:61" x14ac:dyDescent="0.45">
      <c r="A8" s="30">
        <f>step3_validation[[#This Row],[Persona_ID]]</f>
        <v>7</v>
      </c>
      <c r="B8" s="31">
        <f>step3_validation[[#This Row],[Used_Seed]]</f>
        <v>2032</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20.066939675603614</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7</v>
      </c>
      <c r="R8">
        <f t="shared" si="0"/>
        <v>0.66666666666666663</v>
      </c>
      <c r="S8">
        <f>survey_responses[[#This Row],[Tôi tin rằng với các quy định quản lý thuế hiện nay, hành vi gian lận hoặc trốn thuế sẽ dễ dàng bị phát hiện và xử lý nghiêm. - HUMAN-ENF1]]</f>
        <v>5</v>
      </c>
      <c r="T8">
        <f t="shared" si="1"/>
        <v>0.44444444444444442</v>
      </c>
      <c r="U8">
        <f>step3_validation[[#This Row],[AI_ENF2]]</f>
        <v>6</v>
      </c>
      <c r="V8">
        <f t="shared" si="2"/>
        <v>0.55555555555555558</v>
      </c>
      <c r="W8">
        <f>survey_responses[[#This Row],[Tôi tin rằng Nhà nước, cơ quan thuế có đủ khả năng và công nghệ để phát hiện, xử lý nghiêm các hành vi trốn thuế. - HUMAN-ENF2]]</f>
        <v>4</v>
      </c>
      <c r="X8">
        <f t="shared" si="3"/>
        <v>0.33333333333333331</v>
      </c>
      <c r="Y8" s="32">
        <f t="shared" si="4"/>
        <v>0.61111111111111116</v>
      </c>
      <c r="Z8" s="32">
        <f t="shared" si="5"/>
        <v>0.38888888888888884</v>
      </c>
      <c r="AA8">
        <f>step3_validation[[#This Row],[AI_FAC1]]</f>
        <v>9</v>
      </c>
      <c r="AB8">
        <f t="shared" si="6"/>
        <v>0.88888888888888884</v>
      </c>
      <c r="AC8">
        <f>survey_responses[[#This Row],[Các thủ tục khai báo thuế VÀ/HOẶC quy trình làm việc với cơ quan thuế đơn giản, tiện lợi, nhanh chóng hơn so với trước đây. - HUMAN-FAC1]]</f>
        <v>4</v>
      </c>
      <c r="AD8">
        <f t="shared" si="7"/>
        <v>0.33333333333333331</v>
      </c>
      <c r="AE8">
        <f>step3_validation[[#This Row],[AI_FAC2]]</f>
        <v>8</v>
      </c>
      <c r="AF8">
        <f t="shared" si="8"/>
        <v>0.77777777777777779</v>
      </c>
      <c r="AG8">
        <f>survey_responses[[#This Row],[So với trước đây, tôi thấy cách tính thuế và các bậc thuế trong phương án mới đơn giản, dễ hiểu và dễ thực hiện hơn. - HUMAN-FAC2]]</f>
        <v>6</v>
      </c>
      <c r="AH8">
        <f t="shared" si="9"/>
        <v>0.55555555555555558</v>
      </c>
      <c r="AI8" s="32">
        <f t="shared" si="10"/>
        <v>0.83333333333333326</v>
      </c>
      <c r="AJ8" s="32">
        <f t="shared" si="11"/>
        <v>0.44444444444444442</v>
      </c>
      <c r="AK8">
        <f>step3_validation[[#This Row],[AI_TRU1]]</f>
        <v>9</v>
      </c>
      <c r="AL8">
        <f t="shared" si="12"/>
        <v>0.88888888888888884</v>
      </c>
      <c r="AM8">
        <f>survey_responses[[#This Row],[Tôi tin rằng Nhà nước, cơ quan thuế sẽ thực thi chính sách mới một cách khách quan, công tâm và đối xử bình đẳng với mọi người nộp thuế.  - HUMAN-TRU1]]</f>
        <v>6</v>
      </c>
      <c r="AN8">
        <f t="shared" si="13"/>
        <v>0.55555555555555558</v>
      </c>
      <c r="AO8">
        <f>step3_validation[[#This Row],[AI_TRU2]]</f>
        <v>8</v>
      </c>
      <c r="AP8">
        <f t="shared" si="14"/>
        <v>0.77777777777777779</v>
      </c>
      <c r="AQ8">
        <f>survey_responses[[#This Row],[Tôi thấy mức thuế tôi phải đóng theo phương án mới là công bằng (người thu nhập như tôi đóng mức này là hợp lý). - HUMAN-TRU2]]</f>
        <v>7</v>
      </c>
      <c r="AR8">
        <f t="shared" si="15"/>
        <v>0.66666666666666663</v>
      </c>
      <c r="AS8">
        <f>step3_validation[[#This Row],[AI_TRU3]]</f>
        <v>9</v>
      </c>
      <c r="AT8">
        <f t="shared" si="16"/>
        <v>0.88888888888888884</v>
      </c>
      <c r="AU8">
        <f>survey_responses[[#This Row],[Tôi tin tưởng số tiền thuế tôi đóng sẽ được Nhà nước sử dụng hiệu quả để cải thiện dịch vụ công (y tế, đường xá...). - HUMAN-TRU3]]</f>
        <v>2</v>
      </c>
      <c r="AV8">
        <f t="shared" si="17"/>
        <v>0.1111111111111111</v>
      </c>
      <c r="AW8">
        <f>step3_validation[[#This Row],[AI_TRU4]]</f>
        <v>7</v>
      </c>
      <c r="AX8">
        <f t="shared" si="18"/>
        <v>0.66666666666666663</v>
      </c>
      <c r="AY8">
        <f>survey_responses[[#This Row],[Tôi thấy Nhà nước đã giải thích rõ ràng, minh bạch về lý do và mục tiêu của việc sửa đổi thuế lần này. - HUMAN-TRU4]]</f>
        <v>4</v>
      </c>
      <c r="AZ8">
        <f t="shared" si="19"/>
        <v>0.33333333333333331</v>
      </c>
      <c r="BA8" s="32">
        <f t="shared" si="20"/>
        <v>0.80555555555555547</v>
      </c>
      <c r="BB8" s="32">
        <f t="shared" si="21"/>
        <v>0.41666666666666669</v>
      </c>
      <c r="BC8" s="7">
        <f t="shared" si="22"/>
        <v>0.75</v>
      </c>
      <c r="BD8" s="7">
        <f t="shared" si="23"/>
        <v>0.41666666666666669</v>
      </c>
      <c r="BE8">
        <f>step3_validation[[#This Row],[AI_OUT1]]</f>
        <v>9</v>
      </c>
      <c r="BF8">
        <f t="shared" si="24"/>
        <v>0.88888888888888884</v>
      </c>
      <c r="BG8">
        <f>survey_responses[[#This Row],[Sau khi xem xét các quyền lợi và nghĩa vụ, bạn có ủng hộ và tuân thủ chính sách mới hiện nay? - HUMAN-OUT1]]</f>
        <v>4</v>
      </c>
      <c r="BH8">
        <f t="shared" si="25"/>
        <v>0.33333333333333331</v>
      </c>
      <c r="BI8" s="32">
        <f t="shared" si="26"/>
        <v>5</v>
      </c>
    </row>
    <row r="9" spans="1:61" x14ac:dyDescent="0.45">
      <c r="A9" s="30">
        <f>step3_validation[[#This Row],[Persona_ID]]</f>
        <v>8</v>
      </c>
      <c r="B9" s="31">
        <f>step3_validation[[#This Row],[Used_Seed]]</f>
        <v>2033</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7</v>
      </c>
      <c r="R9">
        <f t="shared" si="0"/>
        <v>0.66666666666666663</v>
      </c>
      <c r="S9">
        <f>survey_responses[[#This Row],[Tôi tin rằng với các quy định quản lý thuế hiện nay, hành vi gian lận hoặc trốn thuế sẽ dễ dàng bị phát hiện và xử lý nghiêm. - HUMAN-ENF1]]</f>
        <v>1</v>
      </c>
      <c r="T9">
        <f t="shared" si="1"/>
        <v>0</v>
      </c>
      <c r="U9">
        <f>step3_validation[[#This Row],[AI_ENF2]]</f>
        <v>8</v>
      </c>
      <c r="V9">
        <f t="shared" si="2"/>
        <v>0.77777777777777779</v>
      </c>
      <c r="W9">
        <f>survey_responses[[#This Row],[Tôi tin rằng Nhà nước, cơ quan thuế có đủ khả năng và công nghệ để phát hiện, xử lý nghiêm các hành vi trốn thuế. - HUMAN-ENF2]]</f>
        <v>1</v>
      </c>
      <c r="X9">
        <f t="shared" si="3"/>
        <v>0</v>
      </c>
      <c r="Y9" s="32">
        <f t="shared" si="4"/>
        <v>0.72222222222222221</v>
      </c>
      <c r="Z9" s="32">
        <f t="shared" si="5"/>
        <v>0</v>
      </c>
      <c r="AA9">
        <f>step3_validation[[#This Row],[AI_FAC1]]</f>
        <v>9</v>
      </c>
      <c r="AB9">
        <f t="shared" si="6"/>
        <v>0.88888888888888884</v>
      </c>
      <c r="AC9">
        <f>survey_responses[[#This Row],[Các thủ tục khai báo thuế VÀ/HOẶC quy trình làm việc với cơ quan thuế đơn giản, tiện lợi, nhanh chóng hơn so với trước đây. - HUMAN-FAC1]]</f>
        <v>2</v>
      </c>
      <c r="AD9">
        <f t="shared" si="7"/>
        <v>0.1111111111111111</v>
      </c>
      <c r="AE9">
        <f>step3_validation[[#This Row],[AI_FAC2]]</f>
        <v>8</v>
      </c>
      <c r="AF9">
        <f t="shared" si="8"/>
        <v>0.77777777777777779</v>
      </c>
      <c r="AG9">
        <f>survey_responses[[#This Row],[So với trước đây, tôi thấy cách tính thuế và các bậc thuế trong phương án mới đơn giản, dễ hiểu và dễ thực hiện hơn. - HUMAN-FAC2]]</f>
        <v>3</v>
      </c>
      <c r="AH9">
        <f t="shared" si="9"/>
        <v>0.22222222222222221</v>
      </c>
      <c r="AI9" s="32">
        <f t="shared" si="10"/>
        <v>0.83333333333333326</v>
      </c>
      <c r="AJ9" s="32">
        <f t="shared" si="11"/>
        <v>0.16666666666666666</v>
      </c>
      <c r="AK9">
        <f>step3_validation[[#This Row],[AI_TRU1]]</f>
        <v>9</v>
      </c>
      <c r="AL9">
        <f t="shared" si="12"/>
        <v>0.88888888888888884</v>
      </c>
      <c r="AM9">
        <f>survey_responses[[#This Row],[Tôi tin rằng Nhà nước, cơ quan thuế sẽ thực thi chính sách mới một cách khách quan, công tâm và đối xử bình đẳng với mọi người nộp thuế.  - HUMAN-TRU1]]</f>
        <v>6</v>
      </c>
      <c r="AN9">
        <f t="shared" si="13"/>
        <v>0.55555555555555558</v>
      </c>
      <c r="AO9">
        <f>step3_validation[[#This Row],[AI_TRU2]]</f>
        <v>8</v>
      </c>
      <c r="AP9">
        <f t="shared" si="14"/>
        <v>0.77777777777777779</v>
      </c>
      <c r="AQ9">
        <f>survey_responses[[#This Row],[Tôi thấy mức thuế tôi phải đóng theo phương án mới là công bằng (người thu nhập như tôi đóng mức này là hợp lý). - HUMAN-TRU2]]</f>
        <v>2</v>
      </c>
      <c r="AR9">
        <f t="shared" si="15"/>
        <v>0.1111111111111111</v>
      </c>
      <c r="AS9">
        <f>step3_validation[[#This Row],[AI_TRU3]]</f>
        <v>9</v>
      </c>
      <c r="AT9">
        <f t="shared" si="16"/>
        <v>0.88888888888888884</v>
      </c>
      <c r="AU9">
        <f>survey_responses[[#This Row],[Tôi tin tưởng số tiền thuế tôi đóng sẽ được Nhà nước sử dụng hiệu quả để cải thiện dịch vụ công (y tế, đường xá...). - HUMAN-TRU3]]</f>
        <v>7</v>
      </c>
      <c r="AV9">
        <f t="shared" si="17"/>
        <v>0.66666666666666663</v>
      </c>
      <c r="AW9">
        <f>step3_validation[[#This Row],[AI_TRU4]]</f>
        <v>8</v>
      </c>
      <c r="AX9">
        <f t="shared" si="18"/>
        <v>0.77777777777777779</v>
      </c>
      <c r="AY9">
        <f>survey_responses[[#This Row],[Tôi thấy Nhà nước đã giải thích rõ ràng, minh bạch về lý do và mục tiêu của việc sửa đổi thuế lần này. - HUMAN-TRU4]]</f>
        <v>3</v>
      </c>
      <c r="AZ9">
        <f t="shared" si="19"/>
        <v>0.22222222222222221</v>
      </c>
      <c r="BA9" s="32">
        <f t="shared" si="20"/>
        <v>0.83333333333333326</v>
      </c>
      <c r="BB9" s="32">
        <f t="shared" si="21"/>
        <v>0.38888888888888895</v>
      </c>
      <c r="BC9" s="7">
        <f t="shared" si="22"/>
        <v>0.79629629629629617</v>
      </c>
      <c r="BD9" s="7">
        <f t="shared" si="23"/>
        <v>0.1851851851851852</v>
      </c>
      <c r="BE9">
        <f>step3_validation[[#This Row],[AI_OUT1]]</f>
        <v>9</v>
      </c>
      <c r="BF9">
        <f t="shared" si="24"/>
        <v>0.88888888888888884</v>
      </c>
      <c r="BG9">
        <f>survey_responses[[#This Row],[Sau khi xem xét các quyền lợi và nghĩa vụ, bạn có ủng hộ và tuân thủ chính sách mới hiện nay? - HUMAN-OUT1]]</f>
        <v>3</v>
      </c>
      <c r="BH9">
        <f t="shared" si="25"/>
        <v>0.22222222222222221</v>
      </c>
      <c r="BI9" s="32">
        <f t="shared" si="26"/>
        <v>6</v>
      </c>
    </row>
    <row r="10" spans="1:61" x14ac:dyDescent="0.45">
      <c r="A10" s="30">
        <f>step3_validation[[#This Row],[Persona_ID]]</f>
        <v>9</v>
      </c>
      <c r="B10" s="31">
        <f>step3_validation[[#This Row],[Used_Seed]]</f>
        <v>2034</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12.269456437626699</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6</v>
      </c>
      <c r="R10">
        <f t="shared" si="0"/>
        <v>0.55555555555555558</v>
      </c>
      <c r="S10">
        <f>survey_responses[[#This Row],[Tôi tin rằng với các quy định quản lý thuế hiện nay, hành vi gian lận hoặc trốn thuế sẽ dễ dàng bị phát hiện và xử lý nghiêm. - HUMAN-ENF1]]</f>
        <v>10</v>
      </c>
      <c r="T10">
        <f t="shared" si="1"/>
        <v>1</v>
      </c>
      <c r="U10">
        <f>step3_validation[[#This Row],[AI_ENF2]]</f>
        <v>7</v>
      </c>
      <c r="V10">
        <f t="shared" si="2"/>
        <v>0.66666666666666663</v>
      </c>
      <c r="W10">
        <f>survey_responses[[#This Row],[Tôi tin rằng Nhà nước, cơ quan thuế có đủ khả năng và công nghệ để phát hiện, xử lý nghiêm các hành vi trốn thuế. - HUMAN-ENF2]]</f>
        <v>10</v>
      </c>
      <c r="X10">
        <f t="shared" si="3"/>
        <v>1</v>
      </c>
      <c r="Y10" s="32">
        <f t="shared" si="4"/>
        <v>0.61111111111111116</v>
      </c>
      <c r="Z10" s="32">
        <f t="shared" si="5"/>
        <v>1</v>
      </c>
      <c r="AA10">
        <f>step3_validation[[#This Row],[AI_FAC1]]</f>
        <v>5</v>
      </c>
      <c r="AB10">
        <f t="shared" si="6"/>
        <v>0.44444444444444442</v>
      </c>
      <c r="AC10">
        <f>survey_responses[[#This Row],[Các thủ tục khai báo thuế VÀ/HOẶC quy trình làm việc với cơ quan thuế đơn giản, tiện lợi, nhanh chóng hơn so với trước đây. - HUMAN-FAC1]]</f>
        <v>8</v>
      </c>
      <c r="AD10">
        <f t="shared" si="7"/>
        <v>0.77777777777777779</v>
      </c>
      <c r="AE10">
        <f>step3_validation[[#This Row],[AI_FAC2]]</f>
        <v>8</v>
      </c>
      <c r="AF10">
        <f t="shared" si="8"/>
        <v>0.77777777777777779</v>
      </c>
      <c r="AG10">
        <f>survey_responses[[#This Row],[So với trước đây, tôi thấy cách tính thuế và các bậc thuế trong phương án mới đơn giản, dễ hiểu và dễ thực hiện hơn. - HUMAN-FAC2]]</f>
        <v>7</v>
      </c>
      <c r="AH10">
        <f t="shared" si="9"/>
        <v>0.66666666666666663</v>
      </c>
      <c r="AI10" s="32">
        <f t="shared" si="10"/>
        <v>0.61111111111111116</v>
      </c>
      <c r="AJ10" s="32">
        <f t="shared" si="11"/>
        <v>0.72222222222222221</v>
      </c>
      <c r="AK10">
        <f>step3_validation[[#This Row],[AI_TRU1]]</f>
        <v>7</v>
      </c>
      <c r="AL10">
        <f t="shared" si="12"/>
        <v>0.66666666666666663</v>
      </c>
      <c r="AM10">
        <f>survey_responses[[#This Row],[Tôi tin rằng Nhà nước, cơ quan thuế sẽ thực thi chính sách mới một cách khách quan, công tâm và đối xử bình đẳng với mọi người nộp thuế.  - HUMAN-TRU1]]</f>
        <v>7</v>
      </c>
      <c r="AN10">
        <f t="shared" si="13"/>
        <v>0.66666666666666663</v>
      </c>
      <c r="AO10">
        <f>step3_validation[[#This Row],[AI_TRU2]]</f>
        <v>9</v>
      </c>
      <c r="AP10">
        <f t="shared" si="14"/>
        <v>0.88888888888888884</v>
      </c>
      <c r="AQ10">
        <f>survey_responses[[#This Row],[Tôi thấy mức thuế tôi phải đóng theo phương án mới là công bằng (người thu nhập như tôi đóng mức này là hợp lý). - HUMAN-TRU2]]</f>
        <v>5</v>
      </c>
      <c r="AR10">
        <f t="shared" si="15"/>
        <v>0.44444444444444442</v>
      </c>
      <c r="AS10">
        <f>step3_validation[[#This Row],[AI_TRU3]]</f>
        <v>6</v>
      </c>
      <c r="AT10">
        <f t="shared" si="16"/>
        <v>0.55555555555555558</v>
      </c>
      <c r="AU10">
        <f>survey_responses[[#This Row],[Tôi tin tưởng số tiền thuế tôi đóng sẽ được Nhà nước sử dụng hiệu quả để cải thiện dịch vụ công (y tế, đường xá...). - HUMAN-TRU3]]</f>
        <v>5</v>
      </c>
      <c r="AV10">
        <f t="shared" si="17"/>
        <v>0.44444444444444442</v>
      </c>
      <c r="AW10">
        <f>step3_validation[[#This Row],[AI_TRU4]]</f>
        <v>7</v>
      </c>
      <c r="AX10">
        <f t="shared" si="18"/>
        <v>0.66666666666666663</v>
      </c>
      <c r="AY10">
        <f>survey_responses[[#This Row],[Tôi thấy Nhà nước đã giải thích rõ ràng, minh bạch về lý do và mục tiêu của việc sửa đổi thuế lần này. - HUMAN-TRU4]]</f>
        <v>9</v>
      </c>
      <c r="AZ10">
        <f t="shared" si="19"/>
        <v>0.88888888888888884</v>
      </c>
      <c r="BA10" s="32">
        <f t="shared" si="20"/>
        <v>0.69444444444444431</v>
      </c>
      <c r="BB10" s="32">
        <f t="shared" si="21"/>
        <v>0.61111111111111116</v>
      </c>
      <c r="BC10" s="7">
        <f t="shared" si="22"/>
        <v>0.63888888888888884</v>
      </c>
      <c r="BD10" s="7">
        <f t="shared" si="23"/>
        <v>0.77777777777777779</v>
      </c>
      <c r="BE10">
        <f>step3_validation[[#This Row],[AI_OUT1]]</f>
        <v>8</v>
      </c>
      <c r="BF10">
        <f t="shared" si="24"/>
        <v>0.77777777777777779</v>
      </c>
      <c r="BG10">
        <f>survey_responses[[#This Row],[Sau khi xem xét các quyền lợi và nghĩa vụ, bạn có ủng hộ và tuân thủ chính sách mới hiện nay? - HUMAN-OUT1]]</f>
        <v>8</v>
      </c>
      <c r="BH10">
        <f t="shared" si="25"/>
        <v>0.77777777777777779</v>
      </c>
      <c r="BI10" s="32">
        <f t="shared" si="26"/>
        <v>0</v>
      </c>
    </row>
    <row r="11" spans="1:61" x14ac:dyDescent="0.45">
      <c r="A11" s="30">
        <f>step3_validation[[#This Row],[Persona_ID]]</f>
        <v>10</v>
      </c>
      <c r="B11" s="31">
        <f>step3_validation[[#This Row],[Used_Seed]]</f>
        <v>2035</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18.680398603252097</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8</v>
      </c>
      <c r="R11">
        <f t="shared" si="0"/>
        <v>0.77777777777777779</v>
      </c>
      <c r="S11">
        <f>survey_responses[[#This Row],[Tôi tin rằng với các quy định quản lý thuế hiện nay, hành vi gian lận hoặc trốn thuế sẽ dễ dàng bị phát hiện và xử lý nghiêm. - HUMAN-ENF1]]</f>
        <v>7</v>
      </c>
      <c r="T11">
        <f t="shared" si="1"/>
        <v>0.66666666666666663</v>
      </c>
      <c r="U11">
        <f>step3_validation[[#This Row],[AI_ENF2]]</f>
        <v>9</v>
      </c>
      <c r="V11">
        <f t="shared" si="2"/>
        <v>0.88888888888888884</v>
      </c>
      <c r="W11">
        <f>survey_responses[[#This Row],[Tôi tin rằng Nhà nước, cơ quan thuế có đủ khả năng và công nghệ để phát hiện, xử lý nghiêm các hành vi trốn thuế. - HUMAN-ENF2]]</f>
        <v>10</v>
      </c>
      <c r="X11">
        <f t="shared" si="3"/>
        <v>1</v>
      </c>
      <c r="Y11" s="32">
        <f t="shared" si="4"/>
        <v>0.83333333333333326</v>
      </c>
      <c r="Z11" s="32">
        <f t="shared" si="5"/>
        <v>0.83333333333333326</v>
      </c>
      <c r="AA11">
        <f>step3_validation[[#This Row],[AI_FAC1]]</f>
        <v>7</v>
      </c>
      <c r="AB11">
        <f t="shared" si="6"/>
        <v>0.66666666666666663</v>
      </c>
      <c r="AC11">
        <f>survey_responses[[#This Row],[Các thủ tục khai báo thuế VÀ/HOẶC quy trình làm việc với cơ quan thuế đơn giản, tiện lợi, nhanh chóng hơn so với trước đây. - HUMAN-FAC1]]</f>
        <v>1</v>
      </c>
      <c r="AD11">
        <f t="shared" si="7"/>
        <v>0</v>
      </c>
      <c r="AE11">
        <f>step3_validation[[#This Row],[AI_FAC2]]</f>
        <v>9</v>
      </c>
      <c r="AF11">
        <f t="shared" si="8"/>
        <v>0.88888888888888884</v>
      </c>
      <c r="AG11">
        <f>survey_responses[[#This Row],[So với trước đây, tôi thấy cách tính thuế và các bậc thuế trong phương án mới đơn giản, dễ hiểu và dễ thực hiện hơn. - HUMAN-FAC2]]</f>
        <v>5</v>
      </c>
      <c r="AH11">
        <f t="shared" si="9"/>
        <v>0.44444444444444442</v>
      </c>
      <c r="AI11" s="32">
        <f t="shared" si="10"/>
        <v>0.77777777777777768</v>
      </c>
      <c r="AJ11" s="32">
        <f t="shared" si="11"/>
        <v>0.22222222222222221</v>
      </c>
      <c r="AK11">
        <f>step3_validation[[#This Row],[AI_TRU1]]</f>
        <v>7</v>
      </c>
      <c r="AL11">
        <f t="shared" si="12"/>
        <v>0.66666666666666663</v>
      </c>
      <c r="AM11">
        <f>survey_responses[[#This Row],[Tôi tin rằng Nhà nước, cơ quan thuế sẽ thực thi chính sách mới một cách khách quan, công tâm và đối xử bình đẳng với mọi người nộp thuế.  - HUMAN-TRU1]]</f>
        <v>8</v>
      </c>
      <c r="AN11">
        <f t="shared" si="13"/>
        <v>0.77777777777777779</v>
      </c>
      <c r="AO11">
        <f>step3_validation[[#This Row],[AI_TRU2]]</f>
        <v>8</v>
      </c>
      <c r="AP11">
        <f t="shared" si="14"/>
        <v>0.77777777777777779</v>
      </c>
      <c r="AQ11">
        <f>survey_responses[[#This Row],[Tôi thấy mức thuế tôi phải đóng theo phương án mới là công bằng (người thu nhập như tôi đóng mức này là hợp lý). - HUMAN-TRU2]]</f>
        <v>5</v>
      </c>
      <c r="AR11">
        <f t="shared" si="15"/>
        <v>0.44444444444444442</v>
      </c>
      <c r="AS11">
        <f>step3_validation[[#This Row],[AI_TRU3]]</f>
        <v>7</v>
      </c>
      <c r="AT11">
        <f t="shared" si="16"/>
        <v>0.66666666666666663</v>
      </c>
      <c r="AU11">
        <f>survey_responses[[#This Row],[Tôi tin tưởng số tiền thuế tôi đóng sẽ được Nhà nước sử dụng hiệu quả để cải thiện dịch vụ công (y tế, đường xá...). - HUMAN-TRU3]]</f>
        <v>5</v>
      </c>
      <c r="AV11">
        <f t="shared" si="17"/>
        <v>0.44444444444444442</v>
      </c>
      <c r="AW11">
        <f>step3_validation[[#This Row],[AI_TRU4]]</f>
        <v>8</v>
      </c>
      <c r="AX11">
        <f t="shared" si="18"/>
        <v>0.77777777777777779</v>
      </c>
      <c r="AY11">
        <f>survey_responses[[#This Row],[Tôi thấy Nhà nước đã giải thích rõ ràng, minh bạch về lý do và mục tiêu của việc sửa đổi thuế lần này. - HUMAN-TRU4]]</f>
        <v>5</v>
      </c>
      <c r="AZ11">
        <f t="shared" si="19"/>
        <v>0.44444444444444442</v>
      </c>
      <c r="BA11" s="32">
        <f t="shared" si="20"/>
        <v>0.72222222222222221</v>
      </c>
      <c r="BB11" s="32">
        <f t="shared" si="21"/>
        <v>0.52777777777777779</v>
      </c>
      <c r="BC11" s="7">
        <f t="shared" si="22"/>
        <v>0.77777777777777768</v>
      </c>
      <c r="BD11" s="7">
        <f t="shared" si="23"/>
        <v>0.52777777777777768</v>
      </c>
      <c r="BE11">
        <f>step3_validation[[#This Row],[AI_OUT1]]</f>
        <v>8</v>
      </c>
      <c r="BF11">
        <f t="shared" si="24"/>
        <v>0.77777777777777779</v>
      </c>
      <c r="BG11">
        <f>survey_responses[[#This Row],[Sau khi xem xét các quyền lợi và nghĩa vụ, bạn có ủng hộ và tuân thủ chính sách mới hiện nay? - HUMAN-OUT1]]</f>
        <v>10</v>
      </c>
      <c r="BH11">
        <f t="shared" si="25"/>
        <v>1</v>
      </c>
      <c r="BI11" s="32">
        <f t="shared" si="26"/>
        <v>2</v>
      </c>
    </row>
    <row r="12" spans="1:61" x14ac:dyDescent="0.45">
      <c r="A12" s="30">
        <f>step3_validation[[#This Row],[Persona_ID]]</f>
        <v>11</v>
      </c>
      <c r="B12" s="31">
        <f>step3_validation[[#This Row],[Used_Seed]]</f>
        <v>2036</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46.600349502335838</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6</v>
      </c>
      <c r="R12">
        <f t="shared" si="0"/>
        <v>0.55555555555555558</v>
      </c>
      <c r="S12">
        <f>survey_responses[[#This Row],[Tôi tin rằng với các quy định quản lý thuế hiện nay, hành vi gian lận hoặc trốn thuế sẽ dễ dàng bị phát hiện và xử lý nghiêm. - HUMAN-ENF1]]</f>
        <v>10</v>
      </c>
      <c r="T12">
        <f t="shared" si="1"/>
        <v>1</v>
      </c>
      <c r="U12">
        <f>step3_validation[[#This Row],[AI_ENF2]]</f>
        <v>5</v>
      </c>
      <c r="V12">
        <f t="shared" si="2"/>
        <v>0.44444444444444442</v>
      </c>
      <c r="W12">
        <f>survey_responses[[#This Row],[Tôi tin rằng Nhà nước, cơ quan thuế có đủ khả năng và công nghệ để phát hiện, xử lý nghiêm các hành vi trốn thuế. - HUMAN-ENF2]]</f>
        <v>3</v>
      </c>
      <c r="X12">
        <f t="shared" si="3"/>
        <v>0.22222222222222221</v>
      </c>
      <c r="Y12" s="32">
        <f t="shared" si="4"/>
        <v>0.5</v>
      </c>
      <c r="Z12" s="32">
        <f t="shared" si="5"/>
        <v>0.61111111111111116</v>
      </c>
      <c r="AA12">
        <f>step3_validation[[#This Row],[AI_FAC1]]</f>
        <v>6</v>
      </c>
      <c r="AB12">
        <f t="shared" si="6"/>
        <v>0.55555555555555558</v>
      </c>
      <c r="AC12">
        <f>survey_responses[[#This Row],[Các thủ tục khai báo thuế VÀ/HOẶC quy trình làm việc với cơ quan thuế đơn giản, tiện lợi, nhanh chóng hơn so với trước đây. - HUMAN-FAC1]]</f>
        <v>1</v>
      </c>
      <c r="AD12">
        <f t="shared" si="7"/>
        <v>0</v>
      </c>
      <c r="AE12">
        <f>step3_validation[[#This Row],[AI_FAC2]]</f>
        <v>8</v>
      </c>
      <c r="AF12">
        <f t="shared" si="8"/>
        <v>0.77777777777777779</v>
      </c>
      <c r="AG12">
        <f>survey_responses[[#This Row],[So với trước đây, tôi thấy cách tính thuế và các bậc thuế trong phương án mới đơn giản, dễ hiểu và dễ thực hiện hơn. - HUMAN-FAC2]]</f>
        <v>7</v>
      </c>
      <c r="AH12">
        <f t="shared" si="9"/>
        <v>0.66666666666666663</v>
      </c>
      <c r="AI12" s="32">
        <f t="shared" si="10"/>
        <v>0.66666666666666674</v>
      </c>
      <c r="AJ12" s="32">
        <f t="shared" si="11"/>
        <v>0.33333333333333331</v>
      </c>
      <c r="AK12">
        <f>step3_validation[[#This Row],[AI_TRU1]]</f>
        <v>7</v>
      </c>
      <c r="AL12">
        <f t="shared" si="12"/>
        <v>0.66666666666666663</v>
      </c>
      <c r="AM12">
        <f>survey_responses[[#This Row],[Tôi tin rằng Nhà nước, cơ quan thuế sẽ thực thi chính sách mới một cách khách quan, công tâm và đối xử bình đẳng với mọi người nộp thuế.  - HUMAN-TRU1]]</f>
        <v>1</v>
      </c>
      <c r="AN12">
        <f t="shared" si="13"/>
        <v>0</v>
      </c>
      <c r="AO12">
        <f>step3_validation[[#This Row],[AI_TRU2]]</f>
        <v>8</v>
      </c>
      <c r="AP12">
        <f t="shared" si="14"/>
        <v>0.77777777777777779</v>
      </c>
      <c r="AQ12">
        <f>survey_responses[[#This Row],[Tôi thấy mức thuế tôi phải đóng theo phương án mới là công bằng (người thu nhập như tôi đóng mức này là hợp lý). - HUMAN-TRU2]]</f>
        <v>5</v>
      </c>
      <c r="AR12">
        <f t="shared" si="15"/>
        <v>0.44444444444444442</v>
      </c>
      <c r="AS12">
        <f>step3_validation[[#This Row],[AI_TRU3]]</f>
        <v>7</v>
      </c>
      <c r="AT12">
        <f t="shared" si="16"/>
        <v>0.66666666666666663</v>
      </c>
      <c r="AU12">
        <f>survey_responses[[#This Row],[Tôi tin tưởng số tiền thuế tôi đóng sẽ được Nhà nước sử dụng hiệu quả để cải thiện dịch vụ công (y tế, đường xá...). - HUMAN-TRU3]]</f>
        <v>1</v>
      </c>
      <c r="AV12">
        <f t="shared" si="17"/>
        <v>0</v>
      </c>
      <c r="AW12">
        <f>step3_validation[[#This Row],[AI_TRU4]]</f>
        <v>6</v>
      </c>
      <c r="AX12">
        <f t="shared" si="18"/>
        <v>0.55555555555555558</v>
      </c>
      <c r="AY12">
        <f>survey_responses[[#This Row],[Tôi thấy Nhà nước đã giải thích rõ ràng, minh bạch về lý do và mục tiêu của việc sửa đổi thuế lần này. - HUMAN-TRU4]]</f>
        <v>8</v>
      </c>
      <c r="AZ12">
        <f t="shared" si="19"/>
        <v>0.77777777777777779</v>
      </c>
      <c r="BA12" s="32">
        <f t="shared" si="20"/>
        <v>0.66666666666666674</v>
      </c>
      <c r="BB12" s="32">
        <f t="shared" si="21"/>
        <v>0.30555555555555558</v>
      </c>
      <c r="BC12" s="7">
        <f t="shared" si="22"/>
        <v>0.61111111111111116</v>
      </c>
      <c r="BD12" s="7">
        <f t="shared" si="23"/>
        <v>0.41666666666666669</v>
      </c>
      <c r="BE12">
        <f>step3_validation[[#This Row],[AI_OUT1]]</f>
        <v>9</v>
      </c>
      <c r="BF12">
        <f t="shared" si="24"/>
        <v>0.88888888888888884</v>
      </c>
      <c r="BG12">
        <f>survey_responses[[#This Row],[Sau khi xem xét các quyền lợi và nghĩa vụ, bạn có ủng hộ và tuân thủ chính sách mới hiện nay? - HUMAN-OUT1]]</f>
        <v>6</v>
      </c>
      <c r="BH12">
        <f t="shared" si="25"/>
        <v>0.55555555555555558</v>
      </c>
      <c r="BI12" s="32">
        <f t="shared" si="26"/>
        <v>3</v>
      </c>
    </row>
    <row r="13" spans="1:61" x14ac:dyDescent="0.45">
      <c r="A13" s="30">
        <f>step3_validation[[#This Row],[Persona_ID]]</f>
        <v>12</v>
      </c>
      <c r="B13" s="31">
        <f>step3_validation[[#This Row],[Used_Seed]]</f>
        <v>2037</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9</v>
      </c>
      <c r="R13">
        <f t="shared" si="0"/>
        <v>0.88888888888888884</v>
      </c>
      <c r="S13">
        <f>survey_responses[[#This Row],[Tôi tin rằng với các quy định quản lý thuế hiện nay, hành vi gian lận hoặc trốn thuế sẽ dễ dàng bị phát hiện và xử lý nghiêm. - HUMAN-ENF1]]</f>
        <v>5</v>
      </c>
      <c r="T13">
        <f t="shared" si="1"/>
        <v>0.44444444444444442</v>
      </c>
      <c r="U13">
        <f>step3_validation[[#This Row],[AI_ENF2]]</f>
        <v>8</v>
      </c>
      <c r="V13">
        <f t="shared" si="2"/>
        <v>0.77777777777777779</v>
      </c>
      <c r="W13">
        <f>survey_responses[[#This Row],[Tôi tin rằng Nhà nước, cơ quan thuế có đủ khả năng và công nghệ để phát hiện, xử lý nghiêm các hành vi trốn thuế. - HUMAN-ENF2]]</f>
        <v>8</v>
      </c>
      <c r="X13">
        <f t="shared" si="3"/>
        <v>0.77777777777777779</v>
      </c>
      <c r="Y13" s="32">
        <f t="shared" si="4"/>
        <v>0.83333333333333326</v>
      </c>
      <c r="Z13" s="32">
        <f t="shared" si="5"/>
        <v>0.61111111111111116</v>
      </c>
      <c r="AA13">
        <f>step3_validation[[#This Row],[AI_FAC1]]</f>
        <v>9</v>
      </c>
      <c r="AB13">
        <f t="shared" si="6"/>
        <v>0.88888888888888884</v>
      </c>
      <c r="AC13">
        <f>survey_responses[[#This Row],[Các thủ tục khai báo thuế VÀ/HOẶC quy trình làm việc với cơ quan thuế đơn giản, tiện lợi, nhanh chóng hơn so với trước đây. - HUMAN-FAC1]]</f>
        <v>5</v>
      </c>
      <c r="AD13">
        <f t="shared" si="7"/>
        <v>0.44444444444444442</v>
      </c>
      <c r="AE13">
        <f>step3_validation[[#This Row],[AI_FAC2]]</f>
        <v>8</v>
      </c>
      <c r="AF13">
        <f t="shared" si="8"/>
        <v>0.77777777777777779</v>
      </c>
      <c r="AG13">
        <f>survey_responses[[#This Row],[So với trước đây, tôi thấy cách tính thuế và các bậc thuế trong phương án mới đơn giản, dễ hiểu và dễ thực hiện hơn. - HUMAN-FAC2]]</f>
        <v>5</v>
      </c>
      <c r="AH13">
        <f t="shared" si="9"/>
        <v>0.44444444444444442</v>
      </c>
      <c r="AI13" s="32">
        <f t="shared" si="10"/>
        <v>0.83333333333333326</v>
      </c>
      <c r="AJ13" s="32">
        <f t="shared" si="11"/>
        <v>0.44444444444444442</v>
      </c>
      <c r="AK13">
        <f>step3_validation[[#This Row],[AI_TRU1]]</f>
        <v>9</v>
      </c>
      <c r="AL13">
        <f t="shared" si="12"/>
        <v>0.88888888888888884</v>
      </c>
      <c r="AM13">
        <f>survey_responses[[#This Row],[Tôi tin rằng Nhà nước, cơ quan thuế sẽ thực thi chính sách mới một cách khách quan, công tâm và đối xử bình đẳng với mọi người nộp thuế.  - HUMAN-TRU1]]</f>
        <v>6</v>
      </c>
      <c r="AN13">
        <f t="shared" si="13"/>
        <v>0.55555555555555558</v>
      </c>
      <c r="AO13">
        <f>step3_validation[[#This Row],[AI_TRU2]]</f>
        <v>8</v>
      </c>
      <c r="AP13">
        <f t="shared" si="14"/>
        <v>0.77777777777777779</v>
      </c>
      <c r="AQ13">
        <f>survey_responses[[#This Row],[Tôi thấy mức thuế tôi phải đóng theo phương án mới là công bằng (người thu nhập như tôi đóng mức này là hợp lý). - HUMAN-TRU2]]</f>
        <v>5</v>
      </c>
      <c r="AR13">
        <f t="shared" si="15"/>
        <v>0.44444444444444442</v>
      </c>
      <c r="AS13">
        <f>step3_validation[[#This Row],[AI_TRU3]]</f>
        <v>9</v>
      </c>
      <c r="AT13">
        <f t="shared" si="16"/>
        <v>0.88888888888888884</v>
      </c>
      <c r="AU13">
        <f>survey_responses[[#This Row],[Tôi tin tưởng số tiền thuế tôi đóng sẽ được Nhà nước sử dụng hiệu quả để cải thiện dịch vụ công (y tế, đường xá...). - HUMAN-TRU3]]</f>
        <v>5</v>
      </c>
      <c r="AV13">
        <f t="shared" si="17"/>
        <v>0.44444444444444442</v>
      </c>
      <c r="AW13">
        <f>step3_validation[[#This Row],[AI_TRU4]]</f>
        <v>8</v>
      </c>
      <c r="AX13">
        <f t="shared" si="18"/>
        <v>0.77777777777777779</v>
      </c>
      <c r="AY13">
        <f>survey_responses[[#This Row],[Tôi thấy Nhà nước đã giải thích rõ ràng, minh bạch về lý do và mục tiêu của việc sửa đổi thuế lần này. - HUMAN-TRU4]]</f>
        <v>5</v>
      </c>
      <c r="AZ13">
        <f t="shared" si="19"/>
        <v>0.44444444444444442</v>
      </c>
      <c r="BA13" s="32">
        <f t="shared" si="20"/>
        <v>0.83333333333333326</v>
      </c>
      <c r="BB13" s="32">
        <f t="shared" si="21"/>
        <v>0.47222222222222221</v>
      </c>
      <c r="BC13" s="7">
        <f t="shared" si="22"/>
        <v>0.83333333333333337</v>
      </c>
      <c r="BD13" s="7">
        <f t="shared" si="23"/>
        <v>0.50925925925925919</v>
      </c>
      <c r="BE13">
        <f>step3_validation[[#This Row],[AI_OUT1]]</f>
        <v>9</v>
      </c>
      <c r="BF13">
        <f t="shared" si="24"/>
        <v>0.88888888888888884</v>
      </c>
      <c r="BG13">
        <f>survey_responses[[#This Row],[Sau khi xem xét các quyền lợi và nghĩa vụ, bạn có ủng hộ và tuân thủ chính sách mới hiện nay? - HUMAN-OUT1]]</f>
        <v>5</v>
      </c>
      <c r="BH13">
        <f t="shared" si="25"/>
        <v>0.44444444444444442</v>
      </c>
      <c r="BI13" s="32">
        <f t="shared" si="26"/>
        <v>4</v>
      </c>
    </row>
    <row r="14" spans="1:61" x14ac:dyDescent="0.45">
      <c r="A14" s="30">
        <f>step3_validation[[#This Row],[Persona_ID]]</f>
        <v>13</v>
      </c>
      <c r="B14" s="31">
        <f>step3_validation[[#This Row],[Used_Seed]]</f>
        <v>2038</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7</v>
      </c>
      <c r="R14">
        <f t="shared" si="0"/>
        <v>0.66666666666666663</v>
      </c>
      <c r="S14">
        <f>survey_responses[[#This Row],[Tôi tin rằng với các quy định quản lý thuế hiện nay, hành vi gian lận hoặc trốn thuế sẽ dễ dàng bị phát hiện và xử lý nghiêm. - HUMAN-ENF1]]</f>
        <v>8</v>
      </c>
      <c r="T14">
        <f t="shared" si="1"/>
        <v>0.77777777777777779</v>
      </c>
      <c r="U14">
        <f>step3_validation[[#This Row],[AI_ENF2]]</f>
        <v>8</v>
      </c>
      <c r="V14">
        <f t="shared" si="2"/>
        <v>0.77777777777777779</v>
      </c>
      <c r="W14">
        <f>survey_responses[[#This Row],[Tôi tin rằng Nhà nước, cơ quan thuế có đủ khả năng và công nghệ để phát hiện, xử lý nghiêm các hành vi trốn thuế. - HUMAN-ENF2]]</f>
        <v>7</v>
      </c>
      <c r="X14">
        <f t="shared" si="3"/>
        <v>0.66666666666666663</v>
      </c>
      <c r="Y14" s="32">
        <f t="shared" si="4"/>
        <v>0.72222222222222221</v>
      </c>
      <c r="Z14" s="32">
        <f t="shared" si="5"/>
        <v>0.72222222222222221</v>
      </c>
      <c r="AA14">
        <f>step3_validation[[#This Row],[AI_FAC1]]</f>
        <v>9</v>
      </c>
      <c r="AB14">
        <f t="shared" si="6"/>
        <v>0.88888888888888884</v>
      </c>
      <c r="AC14">
        <f>survey_responses[[#This Row],[Các thủ tục khai báo thuế VÀ/HOẶC quy trình làm việc với cơ quan thuế đơn giản, tiện lợi, nhanh chóng hơn so với trước đây. - HUMAN-FAC1]]</f>
        <v>7</v>
      </c>
      <c r="AD14">
        <f t="shared" si="7"/>
        <v>0.66666666666666663</v>
      </c>
      <c r="AE14">
        <f>step3_validation[[#This Row],[AI_FAC2]]</f>
        <v>10</v>
      </c>
      <c r="AF14">
        <f t="shared" si="8"/>
        <v>1</v>
      </c>
      <c r="AG14">
        <f>survey_responses[[#This Row],[So với trước đây, tôi thấy cách tính thuế và các bậc thuế trong phương án mới đơn giản, dễ hiểu và dễ thực hiện hơn. - HUMAN-FAC2]]</f>
        <v>7</v>
      </c>
      <c r="AH14">
        <f t="shared" si="9"/>
        <v>0.66666666666666663</v>
      </c>
      <c r="AI14" s="32">
        <f t="shared" si="10"/>
        <v>0.94444444444444442</v>
      </c>
      <c r="AJ14" s="32">
        <f t="shared" si="11"/>
        <v>0.66666666666666663</v>
      </c>
      <c r="AK14">
        <f>step3_validation[[#This Row],[AI_TRU1]]</f>
        <v>9</v>
      </c>
      <c r="AL14">
        <f t="shared" si="12"/>
        <v>0.88888888888888884</v>
      </c>
      <c r="AM14">
        <f>survey_responses[[#This Row],[Tôi tin rằng Nhà nước, cơ quan thuế sẽ thực thi chính sách mới một cách khách quan, công tâm và đối xử bình đẳng với mọi người nộp thuế.  - HUMAN-TRU1]]</f>
        <v>7</v>
      </c>
      <c r="AN14">
        <f t="shared" si="13"/>
        <v>0.66666666666666663</v>
      </c>
      <c r="AO14">
        <f>step3_validation[[#This Row],[AI_TRU2]]</f>
        <v>8</v>
      </c>
      <c r="AP14">
        <f t="shared" si="14"/>
        <v>0.77777777777777779</v>
      </c>
      <c r="AQ14">
        <f>survey_responses[[#This Row],[Tôi thấy mức thuế tôi phải đóng theo phương án mới là công bằng (người thu nhập như tôi đóng mức này là hợp lý). - HUMAN-TRU2]]</f>
        <v>8</v>
      </c>
      <c r="AR14">
        <f t="shared" si="15"/>
        <v>0.77777777777777779</v>
      </c>
      <c r="AS14">
        <f>step3_validation[[#This Row],[AI_TRU3]]</f>
        <v>7</v>
      </c>
      <c r="AT14">
        <f t="shared" si="16"/>
        <v>0.66666666666666663</v>
      </c>
      <c r="AU14">
        <f>survey_responses[[#This Row],[Tôi tin tưởng số tiền thuế tôi đóng sẽ được Nhà nước sử dụng hiệu quả để cải thiện dịch vụ công (y tế, đường xá...). - HUMAN-TRU3]]</f>
        <v>7</v>
      </c>
      <c r="AV14">
        <f t="shared" si="17"/>
        <v>0.66666666666666663</v>
      </c>
      <c r="AW14">
        <f>step3_validation[[#This Row],[AI_TRU4]]</f>
        <v>6</v>
      </c>
      <c r="AX14">
        <f t="shared" si="18"/>
        <v>0.55555555555555558</v>
      </c>
      <c r="AY14">
        <f>survey_responses[[#This Row],[Tôi thấy Nhà nước đã giải thích rõ ràng, minh bạch về lý do và mục tiêu của việc sửa đổi thuế lần này. - HUMAN-TRU4]]</f>
        <v>7</v>
      </c>
      <c r="AZ14">
        <f t="shared" si="19"/>
        <v>0.66666666666666663</v>
      </c>
      <c r="BA14" s="32">
        <f t="shared" si="20"/>
        <v>0.7222222222222221</v>
      </c>
      <c r="BB14" s="32">
        <f t="shared" si="21"/>
        <v>0.69444444444444442</v>
      </c>
      <c r="BC14" s="7">
        <f t="shared" si="22"/>
        <v>0.79629629629629617</v>
      </c>
      <c r="BD14" s="7">
        <f t="shared" si="23"/>
        <v>0.69444444444444431</v>
      </c>
      <c r="BE14">
        <f>step3_validation[[#This Row],[AI_OUT1]]</f>
        <v>9</v>
      </c>
      <c r="BF14">
        <f t="shared" si="24"/>
        <v>0.88888888888888884</v>
      </c>
      <c r="BG14">
        <f>survey_responses[[#This Row],[Sau khi xem xét các quyền lợi và nghĩa vụ, bạn có ủng hộ và tuân thủ chính sách mới hiện nay? - HUMAN-OUT1]]</f>
        <v>7</v>
      </c>
      <c r="BH14">
        <f t="shared" si="25"/>
        <v>0.66666666666666663</v>
      </c>
      <c r="BI14" s="32">
        <f t="shared" si="26"/>
        <v>2</v>
      </c>
    </row>
    <row r="15" spans="1:61" x14ac:dyDescent="0.45">
      <c r="A15" s="30">
        <f>step3_validation[[#This Row],[Persona_ID]]</f>
        <v>14</v>
      </c>
      <c r="B15" s="31">
        <f>step3_validation[[#This Row],[Used_Seed]]</f>
        <v>2039</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20.472077092976154</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7</v>
      </c>
      <c r="R15">
        <f t="shared" si="0"/>
        <v>0.66666666666666663</v>
      </c>
      <c r="S15">
        <f>survey_responses[[#This Row],[Tôi tin rằng với các quy định quản lý thuế hiện nay, hành vi gian lận hoặc trốn thuế sẽ dễ dàng bị phát hiện và xử lý nghiêm. - HUMAN-ENF1]]</f>
        <v>10</v>
      </c>
      <c r="T15">
        <f t="shared" si="1"/>
        <v>1</v>
      </c>
      <c r="U15">
        <f>step3_validation[[#This Row],[AI_ENF2]]</f>
        <v>8</v>
      </c>
      <c r="V15">
        <f t="shared" si="2"/>
        <v>0.77777777777777779</v>
      </c>
      <c r="W15">
        <f>survey_responses[[#This Row],[Tôi tin rằng Nhà nước, cơ quan thuế có đủ khả năng và công nghệ để phát hiện, xử lý nghiêm các hành vi trốn thuế. - HUMAN-ENF2]]</f>
        <v>10</v>
      </c>
      <c r="X15">
        <f t="shared" si="3"/>
        <v>1</v>
      </c>
      <c r="Y15" s="32">
        <f t="shared" si="4"/>
        <v>0.72222222222222221</v>
      </c>
      <c r="Z15" s="32">
        <f t="shared" si="5"/>
        <v>1</v>
      </c>
      <c r="AA15">
        <f>step3_validation[[#This Row],[AI_FAC1]]</f>
        <v>9</v>
      </c>
      <c r="AB15">
        <f t="shared" si="6"/>
        <v>0.88888888888888884</v>
      </c>
      <c r="AC15">
        <f>survey_responses[[#This Row],[Các thủ tục khai báo thuế VÀ/HOẶC quy trình làm việc với cơ quan thuế đơn giản, tiện lợi, nhanh chóng hơn so với trước đây. - HUMAN-FAC1]]</f>
        <v>8</v>
      </c>
      <c r="AD15">
        <f t="shared" si="7"/>
        <v>0.77777777777777779</v>
      </c>
      <c r="AE15">
        <f>step3_validation[[#This Row],[AI_FAC2]]</f>
        <v>8</v>
      </c>
      <c r="AF15">
        <f t="shared" si="8"/>
        <v>0.77777777777777779</v>
      </c>
      <c r="AG15">
        <f>survey_responses[[#This Row],[So với trước đây, tôi thấy cách tính thuế và các bậc thuế trong phương án mới đơn giản, dễ hiểu và dễ thực hiện hơn. - HUMAN-FAC2]]</f>
        <v>8</v>
      </c>
      <c r="AH15">
        <f t="shared" si="9"/>
        <v>0.77777777777777779</v>
      </c>
      <c r="AI15" s="32">
        <f t="shared" si="10"/>
        <v>0.83333333333333326</v>
      </c>
      <c r="AJ15" s="32">
        <f t="shared" si="11"/>
        <v>0.77777777777777779</v>
      </c>
      <c r="AK15">
        <f>step3_validation[[#This Row],[AI_TRU1]]</f>
        <v>7</v>
      </c>
      <c r="AL15">
        <f t="shared" si="12"/>
        <v>0.66666666666666663</v>
      </c>
      <c r="AM15">
        <f>survey_responses[[#This Row],[Tôi tin rằng Nhà nước, cơ quan thuế sẽ thực thi chính sách mới một cách khách quan, công tâm và đối xử bình đẳng với mọi người nộp thuế.  - HUMAN-TRU1]]</f>
        <v>8</v>
      </c>
      <c r="AN15">
        <f t="shared" si="13"/>
        <v>0.77777777777777779</v>
      </c>
      <c r="AO15">
        <f>step3_validation[[#This Row],[AI_TRU2]]</f>
        <v>9</v>
      </c>
      <c r="AP15">
        <f t="shared" si="14"/>
        <v>0.88888888888888884</v>
      </c>
      <c r="AQ15">
        <f>survey_responses[[#This Row],[Tôi thấy mức thuế tôi phải đóng theo phương án mới là công bằng (người thu nhập như tôi đóng mức này là hợp lý). - HUMAN-TRU2]]</f>
        <v>6</v>
      </c>
      <c r="AR15">
        <f t="shared" si="15"/>
        <v>0.55555555555555558</v>
      </c>
      <c r="AS15">
        <f>step3_validation[[#This Row],[AI_TRU3]]</f>
        <v>7</v>
      </c>
      <c r="AT15">
        <f t="shared" si="16"/>
        <v>0.66666666666666663</v>
      </c>
      <c r="AU15">
        <f>survey_responses[[#This Row],[Tôi tin tưởng số tiền thuế tôi đóng sẽ được Nhà nước sử dụng hiệu quả để cải thiện dịch vụ công (y tế, đường xá...). - HUMAN-TRU3]]</f>
        <v>6</v>
      </c>
      <c r="AV15">
        <f t="shared" si="17"/>
        <v>0.55555555555555558</v>
      </c>
      <c r="AW15">
        <f>step3_validation[[#This Row],[AI_TRU4]]</f>
        <v>9</v>
      </c>
      <c r="AX15">
        <f t="shared" si="18"/>
        <v>0.88888888888888884</v>
      </c>
      <c r="AY15">
        <f>survey_responses[[#This Row],[Tôi thấy Nhà nước đã giải thích rõ ràng, minh bạch về lý do và mục tiêu của việc sửa đổi thuế lần này. - HUMAN-TRU4]]</f>
        <v>5</v>
      </c>
      <c r="AZ15">
        <f t="shared" si="19"/>
        <v>0.44444444444444442</v>
      </c>
      <c r="BA15" s="32">
        <f t="shared" si="20"/>
        <v>0.77777777777777768</v>
      </c>
      <c r="BB15" s="32">
        <f t="shared" si="21"/>
        <v>0.58333333333333337</v>
      </c>
      <c r="BC15" s="7">
        <f t="shared" si="22"/>
        <v>0.77777777777777768</v>
      </c>
      <c r="BD15" s="7">
        <f t="shared" si="23"/>
        <v>0.78703703703703709</v>
      </c>
      <c r="BE15">
        <f>step3_validation[[#This Row],[AI_OUT1]]</f>
        <v>8</v>
      </c>
      <c r="BF15">
        <f t="shared" si="24"/>
        <v>0.77777777777777779</v>
      </c>
      <c r="BG15">
        <f>survey_responses[[#This Row],[Sau khi xem xét các quyền lợi và nghĩa vụ, bạn có ủng hộ và tuân thủ chính sách mới hiện nay? - HUMAN-OUT1]]</f>
        <v>5</v>
      </c>
      <c r="BH15">
        <f t="shared" si="25"/>
        <v>0.44444444444444442</v>
      </c>
      <c r="BI15" s="32">
        <f t="shared" si="26"/>
        <v>3</v>
      </c>
    </row>
    <row r="16" spans="1:61" x14ac:dyDescent="0.45">
      <c r="A16" s="30">
        <f>step3_validation[[#This Row],[Persona_ID]]</f>
        <v>15</v>
      </c>
      <c r="B16" s="31">
        <f>step3_validation[[#This Row],[Used_Seed]]</f>
        <v>2040</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42.31972795825854</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8</v>
      </c>
      <c r="R16">
        <f t="shared" si="0"/>
        <v>0.77777777777777779</v>
      </c>
      <c r="S16">
        <f>survey_responses[[#This Row],[Tôi tin rằng với các quy định quản lý thuế hiện nay, hành vi gian lận hoặc trốn thuế sẽ dễ dàng bị phát hiện và xử lý nghiêm. - HUMAN-ENF1]]</f>
        <v>7</v>
      </c>
      <c r="T16">
        <f t="shared" si="1"/>
        <v>0.66666666666666663</v>
      </c>
      <c r="U16">
        <f>step3_validation[[#This Row],[AI_ENF2]]</f>
        <v>6</v>
      </c>
      <c r="V16">
        <f t="shared" si="2"/>
        <v>0.55555555555555558</v>
      </c>
      <c r="W16">
        <f>survey_responses[[#This Row],[Tôi tin rằng Nhà nước, cơ quan thuế có đủ khả năng và công nghệ để phát hiện, xử lý nghiêm các hành vi trốn thuế. - HUMAN-ENF2]]</f>
        <v>9</v>
      </c>
      <c r="X16">
        <f t="shared" si="3"/>
        <v>0.88888888888888884</v>
      </c>
      <c r="Y16" s="32">
        <f t="shared" si="4"/>
        <v>0.66666666666666674</v>
      </c>
      <c r="Z16" s="32">
        <f t="shared" si="5"/>
        <v>0.77777777777777768</v>
      </c>
      <c r="AA16">
        <f>step3_validation[[#This Row],[AI_FAC1]]</f>
        <v>7</v>
      </c>
      <c r="AB16">
        <f t="shared" si="6"/>
        <v>0.66666666666666663</v>
      </c>
      <c r="AC16">
        <f>survey_responses[[#This Row],[Các thủ tục khai báo thuế VÀ/HOẶC quy trình làm việc với cơ quan thuế đơn giản, tiện lợi, nhanh chóng hơn so với trước đây. - HUMAN-FAC1]]</f>
        <v>3</v>
      </c>
      <c r="AD16">
        <f t="shared" si="7"/>
        <v>0.22222222222222221</v>
      </c>
      <c r="AE16">
        <f>step3_validation[[#This Row],[AI_FAC2]]</f>
        <v>9</v>
      </c>
      <c r="AF16">
        <f t="shared" si="8"/>
        <v>0.88888888888888884</v>
      </c>
      <c r="AG16">
        <f>survey_responses[[#This Row],[So với trước đây, tôi thấy cách tính thuế và các bậc thuế trong phương án mới đơn giản, dễ hiểu và dễ thực hiện hơn. - HUMAN-FAC2]]</f>
        <v>6</v>
      </c>
      <c r="AH16">
        <f t="shared" si="9"/>
        <v>0.55555555555555558</v>
      </c>
      <c r="AI16" s="32">
        <f t="shared" si="10"/>
        <v>0.77777777777777768</v>
      </c>
      <c r="AJ16" s="32">
        <f t="shared" si="11"/>
        <v>0.3888888888888889</v>
      </c>
      <c r="AK16">
        <f>step3_validation[[#This Row],[AI_TRU1]]</f>
        <v>8</v>
      </c>
      <c r="AL16">
        <f t="shared" si="12"/>
        <v>0.77777777777777779</v>
      </c>
      <c r="AM16">
        <f>survey_responses[[#This Row],[Tôi tin rằng Nhà nước, cơ quan thuế sẽ thực thi chính sách mới một cách khách quan, công tâm và đối xử bình đẳng với mọi người nộp thuế.  - HUMAN-TRU1]]</f>
        <v>1</v>
      </c>
      <c r="AN16">
        <f t="shared" si="13"/>
        <v>0</v>
      </c>
      <c r="AO16">
        <f>step3_validation[[#This Row],[AI_TRU2]]</f>
        <v>9</v>
      </c>
      <c r="AP16">
        <f t="shared" si="14"/>
        <v>0.88888888888888884</v>
      </c>
      <c r="AQ16">
        <f>survey_responses[[#This Row],[Tôi thấy mức thuế tôi phải đóng theo phương án mới là công bằng (người thu nhập như tôi đóng mức này là hợp lý). - HUMAN-TRU2]]</f>
        <v>1</v>
      </c>
      <c r="AR16">
        <f t="shared" si="15"/>
        <v>0</v>
      </c>
      <c r="AS16">
        <f>step3_validation[[#This Row],[AI_TRU3]]</f>
        <v>8</v>
      </c>
      <c r="AT16">
        <f t="shared" si="16"/>
        <v>0.77777777777777779</v>
      </c>
      <c r="AU16">
        <f>survey_responses[[#This Row],[Tôi tin tưởng số tiền thuế tôi đóng sẽ được Nhà nước sử dụng hiệu quả để cải thiện dịch vụ công (y tế, đường xá...). - HUMAN-TRU3]]</f>
        <v>1</v>
      </c>
      <c r="AV16">
        <f t="shared" si="17"/>
        <v>0</v>
      </c>
      <c r="AW16">
        <f>step3_validation[[#This Row],[AI_TRU4]]</f>
        <v>9</v>
      </c>
      <c r="AX16">
        <f t="shared" si="18"/>
        <v>0.88888888888888884</v>
      </c>
      <c r="AY16">
        <f>survey_responses[[#This Row],[Tôi thấy Nhà nước đã giải thích rõ ràng, minh bạch về lý do và mục tiêu của việc sửa đổi thuế lần này. - HUMAN-TRU4]]</f>
        <v>1</v>
      </c>
      <c r="AZ16">
        <f t="shared" si="19"/>
        <v>0</v>
      </c>
      <c r="BA16" s="32">
        <f t="shared" si="20"/>
        <v>0.83333333333333326</v>
      </c>
      <c r="BB16" s="32">
        <f t="shared" si="21"/>
        <v>0</v>
      </c>
      <c r="BC16" s="7">
        <f t="shared" si="22"/>
        <v>0.75925925925925919</v>
      </c>
      <c r="BD16" s="7">
        <f t="shared" si="23"/>
        <v>0.38888888888888884</v>
      </c>
      <c r="BE16">
        <f>step3_validation[[#This Row],[AI_OUT1]]</f>
        <v>8</v>
      </c>
      <c r="BF16">
        <f t="shared" si="24"/>
        <v>0.77777777777777779</v>
      </c>
      <c r="BG16">
        <f>survey_responses[[#This Row],[Sau khi xem xét các quyền lợi và nghĩa vụ, bạn có ủng hộ và tuân thủ chính sách mới hiện nay? - HUMAN-OUT1]]</f>
        <v>1</v>
      </c>
      <c r="BH16">
        <f t="shared" si="25"/>
        <v>0</v>
      </c>
      <c r="BI16" s="32">
        <f t="shared" si="26"/>
        <v>7</v>
      </c>
    </row>
    <row r="17" spans="1:61" x14ac:dyDescent="0.45">
      <c r="A17" s="30">
        <f>step3_validation[[#This Row],[Persona_ID]]</f>
        <v>16</v>
      </c>
      <c r="B17" s="31">
        <f>step3_validation[[#This Row],[Used_Seed]]</f>
        <v>2041</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87.979421474492696</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8</v>
      </c>
      <c r="R17">
        <f t="shared" si="0"/>
        <v>0.77777777777777779</v>
      </c>
      <c r="S17">
        <f>survey_responses[[#This Row],[Tôi tin rằng với các quy định quản lý thuế hiện nay, hành vi gian lận hoặc trốn thuế sẽ dễ dàng bị phát hiện và xử lý nghiêm. - HUMAN-ENF1]]</f>
        <v>8</v>
      </c>
      <c r="T17">
        <f t="shared" si="1"/>
        <v>0.77777777777777779</v>
      </c>
      <c r="U17">
        <f>step3_validation[[#This Row],[AI_ENF2]]</f>
        <v>9</v>
      </c>
      <c r="V17">
        <f t="shared" si="2"/>
        <v>0.88888888888888884</v>
      </c>
      <c r="W17">
        <f>survey_responses[[#This Row],[Tôi tin rằng Nhà nước, cơ quan thuế có đủ khả năng và công nghệ để phát hiện, xử lý nghiêm các hành vi trốn thuế. - HUMAN-ENF2]]</f>
        <v>8</v>
      </c>
      <c r="X17">
        <f t="shared" si="3"/>
        <v>0.77777777777777779</v>
      </c>
      <c r="Y17" s="32">
        <f t="shared" si="4"/>
        <v>0.83333333333333326</v>
      </c>
      <c r="Z17" s="32">
        <f t="shared" si="5"/>
        <v>0.77777777777777779</v>
      </c>
      <c r="AA17">
        <f>step3_validation[[#This Row],[AI_FAC1]]</f>
        <v>7</v>
      </c>
      <c r="AB17">
        <f t="shared" si="6"/>
        <v>0.66666666666666663</v>
      </c>
      <c r="AC17">
        <f>survey_responses[[#This Row],[Các thủ tục khai báo thuế VÀ/HOẶC quy trình làm việc với cơ quan thuế đơn giản, tiện lợi, nhanh chóng hơn so với trước đây. - HUMAN-FAC1]]</f>
        <v>8</v>
      </c>
      <c r="AD17">
        <f t="shared" si="7"/>
        <v>0.77777777777777779</v>
      </c>
      <c r="AE17">
        <f>step3_validation[[#This Row],[AI_FAC2]]</f>
        <v>9</v>
      </c>
      <c r="AF17">
        <f t="shared" si="8"/>
        <v>0.88888888888888884</v>
      </c>
      <c r="AG17">
        <f>survey_responses[[#This Row],[So với trước đây, tôi thấy cách tính thuế và các bậc thuế trong phương án mới đơn giản, dễ hiểu và dễ thực hiện hơn. - HUMAN-FAC2]]</f>
        <v>9</v>
      </c>
      <c r="AH17">
        <f t="shared" si="9"/>
        <v>0.88888888888888884</v>
      </c>
      <c r="AI17" s="32">
        <f t="shared" si="10"/>
        <v>0.77777777777777768</v>
      </c>
      <c r="AJ17" s="32">
        <f t="shared" si="11"/>
        <v>0.83333333333333326</v>
      </c>
      <c r="AK17">
        <f>step3_validation[[#This Row],[AI_TRU1]]</f>
        <v>8</v>
      </c>
      <c r="AL17">
        <f t="shared" si="12"/>
        <v>0.77777777777777779</v>
      </c>
      <c r="AM17">
        <f>survey_responses[[#This Row],[Tôi tin rằng Nhà nước, cơ quan thuế sẽ thực thi chính sách mới một cách khách quan, công tâm và đối xử bình đẳng với mọi người nộp thuế.  - HUMAN-TRU1]]</f>
        <v>7</v>
      </c>
      <c r="AN17">
        <f t="shared" si="13"/>
        <v>0.66666666666666663</v>
      </c>
      <c r="AO17">
        <f>step3_validation[[#This Row],[AI_TRU2]]</f>
        <v>9</v>
      </c>
      <c r="AP17">
        <f t="shared" si="14"/>
        <v>0.88888888888888884</v>
      </c>
      <c r="AQ17">
        <f>survey_responses[[#This Row],[Tôi thấy mức thuế tôi phải đóng theo phương án mới là công bằng (người thu nhập như tôi đóng mức này là hợp lý). - HUMAN-TRU2]]</f>
        <v>7</v>
      </c>
      <c r="AR17">
        <f t="shared" si="15"/>
        <v>0.66666666666666663</v>
      </c>
      <c r="AS17">
        <f>step3_validation[[#This Row],[AI_TRU3]]</f>
        <v>8</v>
      </c>
      <c r="AT17">
        <f t="shared" si="16"/>
        <v>0.77777777777777779</v>
      </c>
      <c r="AU17">
        <f>survey_responses[[#This Row],[Tôi tin tưởng số tiền thuế tôi đóng sẽ được Nhà nước sử dụng hiệu quả để cải thiện dịch vụ công (y tế, đường xá...). - HUMAN-TRU3]]</f>
        <v>9</v>
      </c>
      <c r="AV17">
        <f t="shared" si="17"/>
        <v>0.88888888888888884</v>
      </c>
      <c r="AW17">
        <f>step3_validation[[#This Row],[AI_TRU4]]</f>
        <v>9</v>
      </c>
      <c r="AX17">
        <f t="shared" si="18"/>
        <v>0.88888888888888884</v>
      </c>
      <c r="AY17">
        <f>survey_responses[[#This Row],[Tôi thấy Nhà nước đã giải thích rõ ràng, minh bạch về lý do và mục tiêu của việc sửa đổi thuế lần này. - HUMAN-TRU4]]</f>
        <v>8</v>
      </c>
      <c r="AZ17">
        <f t="shared" si="19"/>
        <v>0.77777777777777779</v>
      </c>
      <c r="BA17" s="32">
        <f t="shared" si="20"/>
        <v>0.83333333333333326</v>
      </c>
      <c r="BB17" s="32">
        <f t="shared" si="21"/>
        <v>0.75</v>
      </c>
      <c r="BC17" s="7">
        <f t="shared" si="22"/>
        <v>0.81481481481481477</v>
      </c>
      <c r="BD17" s="7">
        <f t="shared" si="23"/>
        <v>0.78703703703703709</v>
      </c>
      <c r="BE17">
        <f>step3_validation[[#This Row],[AI_OUT1]]</f>
        <v>9</v>
      </c>
      <c r="BF17">
        <f t="shared" si="24"/>
        <v>0.88888888888888884</v>
      </c>
      <c r="BG17">
        <f>survey_responses[[#This Row],[Sau khi xem xét các quyền lợi và nghĩa vụ, bạn có ủng hộ và tuân thủ chính sách mới hiện nay? - HUMAN-OUT1]]</f>
        <v>7</v>
      </c>
      <c r="BH17">
        <f t="shared" si="25"/>
        <v>0.66666666666666663</v>
      </c>
      <c r="BI17" s="32">
        <f t="shared" si="26"/>
        <v>2</v>
      </c>
    </row>
    <row r="18" spans="1:61" x14ac:dyDescent="0.45">
      <c r="A18" s="30">
        <f>step3_validation[[#This Row],[Persona_ID]]</f>
        <v>17</v>
      </c>
      <c r="B18" s="31">
        <f>step3_validation[[#This Row],[Used_Seed]]</f>
        <v>2042</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20.133872094292034</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6</v>
      </c>
      <c r="R18">
        <f t="shared" si="0"/>
        <v>0.55555555555555558</v>
      </c>
      <c r="S18">
        <f>survey_responses[[#This Row],[Tôi tin rằng với các quy định quản lý thuế hiện nay, hành vi gian lận hoặc trốn thuế sẽ dễ dàng bị phát hiện và xử lý nghiêm. - HUMAN-ENF1]]</f>
        <v>6</v>
      </c>
      <c r="T18">
        <f t="shared" si="1"/>
        <v>0.55555555555555558</v>
      </c>
      <c r="U18">
        <f>step3_validation[[#This Row],[AI_ENF2]]</f>
        <v>6</v>
      </c>
      <c r="V18">
        <f t="shared" si="2"/>
        <v>0.55555555555555558</v>
      </c>
      <c r="W18">
        <f>survey_responses[[#This Row],[Tôi tin rằng Nhà nước, cơ quan thuế có đủ khả năng và công nghệ để phát hiện, xử lý nghiêm các hành vi trốn thuế. - HUMAN-ENF2]]</f>
        <v>7</v>
      </c>
      <c r="X18">
        <f t="shared" si="3"/>
        <v>0.66666666666666663</v>
      </c>
      <c r="Y18" s="32">
        <f t="shared" si="4"/>
        <v>0.55555555555555558</v>
      </c>
      <c r="Z18" s="32">
        <f t="shared" si="5"/>
        <v>0.61111111111111116</v>
      </c>
      <c r="AA18">
        <f>step3_validation[[#This Row],[AI_FAC1]]</f>
        <v>7</v>
      </c>
      <c r="AB18">
        <f t="shared" si="6"/>
        <v>0.66666666666666663</v>
      </c>
      <c r="AC18">
        <f>survey_responses[[#This Row],[Các thủ tục khai báo thuế VÀ/HOẶC quy trình làm việc với cơ quan thuế đơn giản, tiện lợi, nhanh chóng hơn so với trước đây. - HUMAN-FAC1]]</f>
        <v>5</v>
      </c>
      <c r="AD18">
        <f t="shared" si="7"/>
        <v>0.44444444444444442</v>
      </c>
      <c r="AE18">
        <f>step3_validation[[#This Row],[AI_FAC2]]</f>
        <v>7</v>
      </c>
      <c r="AF18">
        <f t="shared" si="8"/>
        <v>0.66666666666666663</v>
      </c>
      <c r="AG18">
        <f>survey_responses[[#This Row],[So với trước đây, tôi thấy cách tính thuế và các bậc thuế trong phương án mới đơn giản, dễ hiểu và dễ thực hiện hơn. - HUMAN-FAC2]]</f>
        <v>5</v>
      </c>
      <c r="AH18">
        <f t="shared" si="9"/>
        <v>0.44444444444444442</v>
      </c>
      <c r="AI18" s="32">
        <f t="shared" si="10"/>
        <v>0.66666666666666663</v>
      </c>
      <c r="AJ18" s="32">
        <f t="shared" si="11"/>
        <v>0.44444444444444442</v>
      </c>
      <c r="AK18">
        <f>step3_validation[[#This Row],[AI_TRU1]]</f>
        <v>5</v>
      </c>
      <c r="AL18">
        <f t="shared" si="12"/>
        <v>0.44444444444444442</v>
      </c>
      <c r="AM18">
        <f>survey_responses[[#This Row],[Tôi tin rằng Nhà nước, cơ quan thuế sẽ thực thi chính sách mới một cách khách quan, công tâm và đối xử bình đẳng với mọi người nộp thuế.  - HUMAN-TRU1]]</f>
        <v>6</v>
      </c>
      <c r="AN18">
        <f t="shared" si="13"/>
        <v>0.55555555555555558</v>
      </c>
      <c r="AO18">
        <f>step3_validation[[#This Row],[AI_TRU2]]</f>
        <v>6</v>
      </c>
      <c r="AP18">
        <f t="shared" si="14"/>
        <v>0.55555555555555558</v>
      </c>
      <c r="AQ18">
        <f>survey_responses[[#This Row],[Tôi thấy mức thuế tôi phải đóng theo phương án mới là công bằng (người thu nhập như tôi đóng mức này là hợp lý). - HUMAN-TRU2]]</f>
        <v>7</v>
      </c>
      <c r="AR18">
        <f t="shared" si="15"/>
        <v>0.66666666666666663</v>
      </c>
      <c r="AS18">
        <f>step3_validation[[#This Row],[AI_TRU3]]</f>
        <v>5</v>
      </c>
      <c r="AT18">
        <f t="shared" si="16"/>
        <v>0.44444444444444442</v>
      </c>
      <c r="AU18">
        <f>survey_responses[[#This Row],[Tôi tin tưởng số tiền thuế tôi đóng sẽ được Nhà nước sử dụng hiệu quả để cải thiện dịch vụ công (y tế, đường xá...). - HUMAN-TRU3]]</f>
        <v>3</v>
      </c>
      <c r="AV18">
        <f t="shared" si="17"/>
        <v>0.22222222222222221</v>
      </c>
      <c r="AW18">
        <f>step3_validation[[#This Row],[AI_TRU4]]</f>
        <v>6</v>
      </c>
      <c r="AX18">
        <f t="shared" si="18"/>
        <v>0.55555555555555558</v>
      </c>
      <c r="AY18">
        <f>survey_responses[[#This Row],[Tôi thấy Nhà nước đã giải thích rõ ràng, minh bạch về lý do và mục tiêu của việc sửa đổi thuế lần này. - HUMAN-TRU4]]</f>
        <v>4</v>
      </c>
      <c r="AZ18">
        <f t="shared" si="19"/>
        <v>0.33333333333333331</v>
      </c>
      <c r="BA18" s="32">
        <f t="shared" si="20"/>
        <v>0.5</v>
      </c>
      <c r="BB18" s="32">
        <f t="shared" si="21"/>
        <v>0.44444444444444448</v>
      </c>
      <c r="BC18" s="7">
        <f t="shared" si="22"/>
        <v>0.57407407407407407</v>
      </c>
      <c r="BD18" s="7">
        <f t="shared" si="23"/>
        <v>0.5</v>
      </c>
      <c r="BE18">
        <f>step3_validation[[#This Row],[AI_OUT1]]</f>
        <v>7</v>
      </c>
      <c r="BF18">
        <f t="shared" si="24"/>
        <v>0.66666666666666663</v>
      </c>
      <c r="BG18">
        <f>survey_responses[[#This Row],[Sau khi xem xét các quyền lợi và nghĩa vụ, bạn có ủng hộ và tuân thủ chính sách mới hiện nay? - HUMAN-OUT1]]</f>
        <v>5</v>
      </c>
      <c r="BH18">
        <f t="shared" si="25"/>
        <v>0.44444444444444442</v>
      </c>
      <c r="BI18" s="32">
        <f t="shared" si="26"/>
        <v>2</v>
      </c>
    </row>
    <row r="19" spans="1:61" x14ac:dyDescent="0.45">
      <c r="A19" s="30">
        <f>step3_validation[[#This Row],[Persona_ID]]</f>
        <v>18</v>
      </c>
      <c r="B19" s="31">
        <f>step3_validation[[#This Row],[Used_Seed]]</f>
        <v>2043</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16.192287050442665</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7</v>
      </c>
      <c r="R19">
        <f t="shared" si="0"/>
        <v>0.66666666666666663</v>
      </c>
      <c r="S19">
        <f>survey_responses[[#This Row],[Tôi tin rằng với các quy định quản lý thuế hiện nay, hành vi gian lận hoặc trốn thuế sẽ dễ dàng bị phát hiện và xử lý nghiêm. - HUMAN-ENF1]]</f>
        <v>6</v>
      </c>
      <c r="T19">
        <f t="shared" si="1"/>
        <v>0.55555555555555558</v>
      </c>
      <c r="U19">
        <f>step3_validation[[#This Row],[AI_ENF2]]</f>
        <v>8</v>
      </c>
      <c r="V19">
        <f t="shared" si="2"/>
        <v>0.77777777777777779</v>
      </c>
      <c r="W19">
        <f>survey_responses[[#This Row],[Tôi tin rằng Nhà nước, cơ quan thuế có đủ khả năng và công nghệ để phát hiện, xử lý nghiêm các hành vi trốn thuế. - HUMAN-ENF2]]</f>
        <v>8</v>
      </c>
      <c r="X19">
        <f t="shared" si="3"/>
        <v>0.77777777777777779</v>
      </c>
      <c r="Y19" s="32">
        <f t="shared" si="4"/>
        <v>0.72222222222222221</v>
      </c>
      <c r="Z19" s="32">
        <f t="shared" si="5"/>
        <v>0.66666666666666674</v>
      </c>
      <c r="AA19">
        <f>step3_validation[[#This Row],[AI_FAC1]]</f>
        <v>6</v>
      </c>
      <c r="AB19">
        <f t="shared" si="6"/>
        <v>0.55555555555555558</v>
      </c>
      <c r="AC19">
        <f>survey_responses[[#This Row],[Các thủ tục khai báo thuế VÀ/HOẶC quy trình làm việc với cơ quan thuế đơn giản, tiện lợi, nhanh chóng hơn so với trước đây. - HUMAN-FAC1]]</f>
        <v>7</v>
      </c>
      <c r="AD19">
        <f t="shared" si="7"/>
        <v>0.66666666666666663</v>
      </c>
      <c r="AE19">
        <f>step3_validation[[#This Row],[AI_FAC2]]</f>
        <v>9</v>
      </c>
      <c r="AF19">
        <f t="shared" si="8"/>
        <v>0.88888888888888884</v>
      </c>
      <c r="AG19">
        <f>survey_responses[[#This Row],[So với trước đây, tôi thấy cách tính thuế và các bậc thuế trong phương án mới đơn giản, dễ hiểu và dễ thực hiện hơn. - HUMAN-FAC2]]</f>
        <v>8</v>
      </c>
      <c r="AH19">
        <f t="shared" si="9"/>
        <v>0.77777777777777779</v>
      </c>
      <c r="AI19" s="32">
        <f t="shared" si="10"/>
        <v>0.72222222222222221</v>
      </c>
      <c r="AJ19" s="32">
        <f t="shared" si="11"/>
        <v>0.72222222222222221</v>
      </c>
      <c r="AK19">
        <f>step3_validation[[#This Row],[AI_TRU1]]</f>
        <v>8</v>
      </c>
      <c r="AL19">
        <f t="shared" si="12"/>
        <v>0.77777777777777779</v>
      </c>
      <c r="AM19">
        <f>survey_responses[[#This Row],[Tôi tin rằng Nhà nước, cơ quan thuế sẽ thực thi chính sách mới một cách khách quan, công tâm và đối xử bình đẳng với mọi người nộp thuế.  - HUMAN-TRU1]]</f>
        <v>8</v>
      </c>
      <c r="AN19">
        <f t="shared" si="13"/>
        <v>0.77777777777777779</v>
      </c>
      <c r="AO19">
        <f>step3_validation[[#This Row],[AI_TRU2]]</f>
        <v>9</v>
      </c>
      <c r="AP19">
        <f t="shared" si="14"/>
        <v>0.88888888888888884</v>
      </c>
      <c r="AQ19">
        <f>survey_responses[[#This Row],[Tôi thấy mức thuế tôi phải đóng theo phương án mới là công bằng (người thu nhập như tôi đóng mức này là hợp lý). - HUMAN-TRU2]]</f>
        <v>7</v>
      </c>
      <c r="AR19">
        <f t="shared" si="15"/>
        <v>0.66666666666666663</v>
      </c>
      <c r="AS19">
        <f>step3_validation[[#This Row],[AI_TRU3]]</f>
        <v>8</v>
      </c>
      <c r="AT19">
        <f t="shared" si="16"/>
        <v>0.77777777777777779</v>
      </c>
      <c r="AU19">
        <f>survey_responses[[#This Row],[Tôi tin tưởng số tiền thuế tôi đóng sẽ được Nhà nước sử dụng hiệu quả để cải thiện dịch vụ công (y tế, đường xá...). - HUMAN-TRU3]]</f>
        <v>7</v>
      </c>
      <c r="AV19">
        <f t="shared" si="17"/>
        <v>0.66666666666666663</v>
      </c>
      <c r="AW19">
        <f>step3_validation[[#This Row],[AI_TRU4]]</f>
        <v>7</v>
      </c>
      <c r="AX19">
        <f t="shared" si="18"/>
        <v>0.66666666666666663</v>
      </c>
      <c r="AY19">
        <f>survey_responses[[#This Row],[Tôi thấy Nhà nước đã giải thích rõ ràng, minh bạch về lý do và mục tiêu của việc sửa đổi thuế lần này. - HUMAN-TRU4]]</f>
        <v>6</v>
      </c>
      <c r="AZ19">
        <f t="shared" si="19"/>
        <v>0.55555555555555558</v>
      </c>
      <c r="BA19" s="32">
        <f t="shared" si="20"/>
        <v>0.77777777777777768</v>
      </c>
      <c r="BB19" s="32">
        <f t="shared" si="21"/>
        <v>0.66666666666666674</v>
      </c>
      <c r="BC19" s="7">
        <f t="shared" si="22"/>
        <v>0.74074074074074081</v>
      </c>
      <c r="BD19" s="7">
        <f t="shared" si="23"/>
        <v>0.68518518518518512</v>
      </c>
      <c r="BE19">
        <f>step3_validation[[#This Row],[AI_OUT1]]</f>
        <v>9</v>
      </c>
      <c r="BF19">
        <f t="shared" si="24"/>
        <v>0.88888888888888884</v>
      </c>
      <c r="BG19">
        <f>survey_responses[[#This Row],[Sau khi xem xét các quyền lợi và nghĩa vụ, bạn có ủng hộ và tuân thủ chính sách mới hiện nay? - HUMAN-OUT1]]</f>
        <v>8</v>
      </c>
      <c r="BH19">
        <f t="shared" si="25"/>
        <v>0.77777777777777779</v>
      </c>
      <c r="BI19" s="32">
        <f t="shared" si="26"/>
        <v>1</v>
      </c>
    </row>
    <row r="20" spans="1:61" x14ac:dyDescent="0.45">
      <c r="A20" s="30">
        <f>step3_validation[[#This Row],[Persona_ID]]</f>
        <v>19</v>
      </c>
      <c r="B20" s="31">
        <f>step3_validation[[#This Row],[Used_Seed]]</f>
        <v>2044</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169.19246089071672</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7</v>
      </c>
      <c r="R20">
        <f t="shared" si="0"/>
        <v>0.66666666666666663</v>
      </c>
      <c r="S20">
        <f>survey_responses[[#This Row],[Tôi tin rằng với các quy định quản lý thuế hiện nay, hành vi gian lận hoặc trốn thuế sẽ dễ dàng bị phát hiện và xử lý nghiêm. - HUMAN-ENF1]]</f>
        <v>10</v>
      </c>
      <c r="T20">
        <f t="shared" si="1"/>
        <v>1</v>
      </c>
      <c r="U20">
        <f>step3_validation[[#This Row],[AI_ENF2]]</f>
        <v>9</v>
      </c>
      <c r="V20">
        <f t="shared" si="2"/>
        <v>0.88888888888888884</v>
      </c>
      <c r="W20">
        <f>survey_responses[[#This Row],[Tôi tin rằng Nhà nước, cơ quan thuế có đủ khả năng và công nghệ để phát hiện, xử lý nghiêm các hành vi trốn thuế. - HUMAN-ENF2]]</f>
        <v>10</v>
      </c>
      <c r="X20">
        <f t="shared" si="3"/>
        <v>1</v>
      </c>
      <c r="Y20" s="32">
        <f t="shared" si="4"/>
        <v>0.77777777777777768</v>
      </c>
      <c r="Z20" s="32">
        <f t="shared" si="5"/>
        <v>1</v>
      </c>
      <c r="AA20">
        <f>step3_validation[[#This Row],[AI_FAC1]]</f>
        <v>8</v>
      </c>
      <c r="AB20">
        <f t="shared" si="6"/>
        <v>0.77777777777777779</v>
      </c>
      <c r="AC20">
        <f>survey_responses[[#This Row],[Các thủ tục khai báo thuế VÀ/HOẶC quy trình làm việc với cơ quan thuế đơn giản, tiện lợi, nhanh chóng hơn so với trước đây. - HUMAN-FAC1]]</f>
        <v>5</v>
      </c>
      <c r="AD20">
        <f t="shared" si="7"/>
        <v>0.44444444444444442</v>
      </c>
      <c r="AE20">
        <f>step3_validation[[#This Row],[AI_FAC2]]</f>
        <v>9</v>
      </c>
      <c r="AF20">
        <f t="shared" si="8"/>
        <v>0.88888888888888884</v>
      </c>
      <c r="AG20">
        <f>survey_responses[[#This Row],[So với trước đây, tôi thấy cách tính thuế và các bậc thuế trong phương án mới đơn giản, dễ hiểu và dễ thực hiện hơn. - HUMAN-FAC2]]</f>
        <v>5</v>
      </c>
      <c r="AH20">
        <f t="shared" si="9"/>
        <v>0.44444444444444442</v>
      </c>
      <c r="AI20" s="32">
        <f t="shared" si="10"/>
        <v>0.83333333333333326</v>
      </c>
      <c r="AJ20" s="32">
        <f t="shared" si="11"/>
        <v>0.44444444444444442</v>
      </c>
      <c r="AK20">
        <f>step3_validation[[#This Row],[AI_TRU1]]</f>
        <v>8</v>
      </c>
      <c r="AL20">
        <f t="shared" si="12"/>
        <v>0.77777777777777779</v>
      </c>
      <c r="AM20">
        <f>survey_responses[[#This Row],[Tôi tin rằng Nhà nước, cơ quan thuế sẽ thực thi chính sách mới một cách khách quan, công tâm và đối xử bình đẳng với mọi người nộp thuế.  - HUMAN-TRU1]]</f>
        <v>5</v>
      </c>
      <c r="AN20">
        <f t="shared" si="13"/>
        <v>0.44444444444444442</v>
      </c>
      <c r="AO20">
        <f>step3_validation[[#This Row],[AI_TRU2]]</f>
        <v>8</v>
      </c>
      <c r="AP20">
        <f t="shared" si="14"/>
        <v>0.77777777777777779</v>
      </c>
      <c r="AQ20">
        <f>survey_responses[[#This Row],[Tôi thấy mức thuế tôi phải đóng theo phương án mới là công bằng (người thu nhập như tôi đóng mức này là hợp lý). - HUMAN-TRU2]]</f>
        <v>3</v>
      </c>
      <c r="AR20">
        <f t="shared" si="15"/>
        <v>0.22222222222222221</v>
      </c>
      <c r="AS20">
        <f>step3_validation[[#This Row],[AI_TRU3]]</f>
        <v>8</v>
      </c>
      <c r="AT20">
        <f t="shared" si="16"/>
        <v>0.77777777777777779</v>
      </c>
      <c r="AU20">
        <f>survey_responses[[#This Row],[Tôi tin tưởng số tiền thuế tôi đóng sẽ được Nhà nước sử dụng hiệu quả để cải thiện dịch vụ công (y tế, đường xá...). - HUMAN-TRU3]]</f>
        <v>2</v>
      </c>
      <c r="AV20">
        <f t="shared" si="17"/>
        <v>0.1111111111111111</v>
      </c>
      <c r="AW20">
        <f>step3_validation[[#This Row],[AI_TRU4]]</f>
        <v>9</v>
      </c>
      <c r="AX20">
        <f t="shared" si="18"/>
        <v>0.88888888888888884</v>
      </c>
      <c r="AY20">
        <f>survey_responses[[#This Row],[Tôi thấy Nhà nước đã giải thích rõ ràng, minh bạch về lý do và mục tiêu của việc sửa đổi thuế lần này. - HUMAN-TRU4]]</f>
        <v>5</v>
      </c>
      <c r="AZ20">
        <f t="shared" si="19"/>
        <v>0.44444444444444442</v>
      </c>
      <c r="BA20" s="32">
        <f t="shared" si="20"/>
        <v>0.80555555555555558</v>
      </c>
      <c r="BB20" s="32">
        <f t="shared" si="21"/>
        <v>0.30555555555555552</v>
      </c>
      <c r="BC20" s="7">
        <f t="shared" si="22"/>
        <v>0.80555555555555547</v>
      </c>
      <c r="BD20" s="7">
        <f t="shared" si="23"/>
        <v>0.58333333333333337</v>
      </c>
      <c r="BE20">
        <f>step3_validation[[#This Row],[AI_OUT1]]</f>
        <v>8</v>
      </c>
      <c r="BF20">
        <f t="shared" si="24"/>
        <v>0.77777777777777779</v>
      </c>
      <c r="BG20">
        <f>survey_responses[[#This Row],[Sau khi xem xét các quyền lợi và nghĩa vụ, bạn có ủng hộ và tuân thủ chính sách mới hiện nay? - HUMAN-OUT1]]</f>
        <v>8</v>
      </c>
      <c r="BH20">
        <f t="shared" si="25"/>
        <v>0.77777777777777779</v>
      </c>
      <c r="BI20" s="32">
        <f t="shared" si="26"/>
        <v>0</v>
      </c>
    </row>
    <row r="21" spans="1:61" x14ac:dyDescent="0.45">
      <c r="A21" s="30">
        <f>step3_validation[[#This Row],[Persona_ID]]</f>
        <v>20</v>
      </c>
      <c r="B21" s="31">
        <f>step3_validation[[#This Row],[Used_Seed]]</f>
        <v>2045</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67.237648934947359</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8</v>
      </c>
      <c r="R21">
        <f t="shared" si="0"/>
        <v>0.77777777777777779</v>
      </c>
      <c r="S21">
        <f>survey_responses[[#This Row],[Tôi tin rằng với các quy định quản lý thuế hiện nay, hành vi gian lận hoặc trốn thuế sẽ dễ dàng bị phát hiện và xử lý nghiêm. - HUMAN-ENF1]]</f>
        <v>9</v>
      </c>
      <c r="T21">
        <f t="shared" si="1"/>
        <v>0.88888888888888884</v>
      </c>
      <c r="U21">
        <f>step3_validation[[#This Row],[AI_ENF2]]</f>
        <v>9</v>
      </c>
      <c r="V21">
        <f t="shared" si="2"/>
        <v>0.88888888888888884</v>
      </c>
      <c r="W21">
        <f>survey_responses[[#This Row],[Tôi tin rằng Nhà nước, cơ quan thuế có đủ khả năng và công nghệ để phát hiện, xử lý nghiêm các hành vi trốn thuế. - HUMAN-ENF2]]</f>
        <v>9</v>
      </c>
      <c r="X21">
        <f t="shared" si="3"/>
        <v>0.88888888888888884</v>
      </c>
      <c r="Y21" s="32">
        <f t="shared" si="4"/>
        <v>0.83333333333333326</v>
      </c>
      <c r="Z21" s="32">
        <f t="shared" si="5"/>
        <v>0.88888888888888884</v>
      </c>
      <c r="AA21">
        <f>step3_validation[[#This Row],[AI_FAC1]]</f>
        <v>8</v>
      </c>
      <c r="AB21">
        <f t="shared" si="6"/>
        <v>0.77777777777777779</v>
      </c>
      <c r="AC21">
        <f>survey_responses[[#This Row],[Các thủ tục khai báo thuế VÀ/HOẶC quy trình làm việc với cơ quan thuế đơn giản, tiện lợi, nhanh chóng hơn so với trước đây. - HUMAN-FAC1]]</f>
        <v>7</v>
      </c>
      <c r="AD21">
        <f t="shared" si="7"/>
        <v>0.66666666666666663</v>
      </c>
      <c r="AE21">
        <f>step3_validation[[#This Row],[AI_FAC2]]</f>
        <v>9</v>
      </c>
      <c r="AF21">
        <f t="shared" si="8"/>
        <v>0.88888888888888884</v>
      </c>
      <c r="AG21">
        <f>survey_responses[[#This Row],[So với trước đây, tôi thấy cách tính thuế và các bậc thuế trong phương án mới đơn giản, dễ hiểu và dễ thực hiện hơn. - HUMAN-FAC2]]</f>
        <v>9</v>
      </c>
      <c r="AH21">
        <f t="shared" si="9"/>
        <v>0.88888888888888884</v>
      </c>
      <c r="AI21" s="32">
        <f t="shared" si="10"/>
        <v>0.83333333333333326</v>
      </c>
      <c r="AJ21" s="32">
        <f t="shared" si="11"/>
        <v>0.77777777777777768</v>
      </c>
      <c r="AK21">
        <f>step3_validation[[#This Row],[AI_TRU1]]</f>
        <v>8</v>
      </c>
      <c r="AL21">
        <f t="shared" si="12"/>
        <v>0.77777777777777779</v>
      </c>
      <c r="AM21">
        <f>survey_responses[[#This Row],[Tôi tin rằng Nhà nước, cơ quan thuế sẽ thực thi chính sách mới một cách khách quan, công tâm và đối xử bình đẳng với mọi người nộp thuế.  - HUMAN-TRU1]]</f>
        <v>7</v>
      </c>
      <c r="AN21">
        <f t="shared" si="13"/>
        <v>0.66666666666666663</v>
      </c>
      <c r="AO21">
        <f>step3_validation[[#This Row],[AI_TRU2]]</f>
        <v>9</v>
      </c>
      <c r="AP21">
        <f t="shared" si="14"/>
        <v>0.88888888888888884</v>
      </c>
      <c r="AQ21">
        <f>survey_responses[[#This Row],[Tôi thấy mức thuế tôi phải đóng theo phương án mới là công bằng (người thu nhập như tôi đóng mức này là hợp lý). - HUMAN-TRU2]]</f>
        <v>8</v>
      </c>
      <c r="AR21">
        <f t="shared" si="15"/>
        <v>0.77777777777777779</v>
      </c>
      <c r="AS21">
        <f>step3_validation[[#This Row],[AI_TRU3]]</f>
        <v>8</v>
      </c>
      <c r="AT21">
        <f t="shared" si="16"/>
        <v>0.77777777777777779</v>
      </c>
      <c r="AU21">
        <f>survey_responses[[#This Row],[Tôi tin tưởng số tiền thuế tôi đóng sẽ được Nhà nước sử dụng hiệu quả để cải thiện dịch vụ công (y tế, đường xá...). - HUMAN-TRU3]]</f>
        <v>5</v>
      </c>
      <c r="AV21">
        <f t="shared" si="17"/>
        <v>0.44444444444444442</v>
      </c>
      <c r="AW21">
        <f>step3_validation[[#This Row],[AI_TRU4]]</f>
        <v>9</v>
      </c>
      <c r="AX21">
        <f t="shared" si="18"/>
        <v>0.88888888888888884</v>
      </c>
      <c r="AY21">
        <f>survey_responses[[#This Row],[Tôi thấy Nhà nước đã giải thích rõ ràng, minh bạch về lý do và mục tiêu của việc sửa đổi thuế lần này. - HUMAN-TRU4]]</f>
        <v>5</v>
      </c>
      <c r="AZ21">
        <f t="shared" si="19"/>
        <v>0.44444444444444442</v>
      </c>
      <c r="BA21" s="32">
        <f t="shared" si="20"/>
        <v>0.83333333333333326</v>
      </c>
      <c r="BB21" s="32">
        <f t="shared" si="21"/>
        <v>0.58333333333333326</v>
      </c>
      <c r="BC21" s="7">
        <f t="shared" si="22"/>
        <v>0.83333333333333337</v>
      </c>
      <c r="BD21" s="7">
        <f t="shared" si="23"/>
        <v>0.75</v>
      </c>
      <c r="BE21">
        <f>step3_validation[[#This Row],[AI_OUT1]]</f>
        <v>8</v>
      </c>
      <c r="BF21">
        <f t="shared" si="24"/>
        <v>0.77777777777777779</v>
      </c>
      <c r="BG21">
        <f>survey_responses[[#This Row],[Sau khi xem xét các quyền lợi và nghĩa vụ, bạn có ủng hộ và tuân thủ chính sách mới hiện nay? - HUMAN-OUT1]]</f>
        <v>6</v>
      </c>
      <c r="BH21">
        <f t="shared" si="25"/>
        <v>0.55555555555555558</v>
      </c>
      <c r="BI21" s="32">
        <f t="shared" si="26"/>
        <v>2</v>
      </c>
    </row>
    <row r="22" spans="1:61" x14ac:dyDescent="0.45">
      <c r="A22" s="30">
        <f>step3_validation[[#This Row],[Persona_ID]]</f>
        <v>21</v>
      </c>
      <c r="B22" s="31">
        <f>step3_validation[[#This Row],[Used_Seed]]</f>
        <v>2046</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164.59881593036766</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8</v>
      </c>
      <c r="R22">
        <f t="shared" si="0"/>
        <v>0.77777777777777779</v>
      </c>
      <c r="S22">
        <f>survey_responses[[#This Row],[Tôi tin rằng với các quy định quản lý thuế hiện nay, hành vi gian lận hoặc trốn thuế sẽ dễ dàng bị phát hiện và xử lý nghiêm. - HUMAN-ENF1]]</f>
        <v>10</v>
      </c>
      <c r="T22">
        <f t="shared" si="1"/>
        <v>1</v>
      </c>
      <c r="U22">
        <f>step3_validation[[#This Row],[AI_ENF2]]</f>
        <v>9</v>
      </c>
      <c r="V22">
        <f t="shared" si="2"/>
        <v>0.88888888888888884</v>
      </c>
      <c r="W22">
        <f>survey_responses[[#This Row],[Tôi tin rằng Nhà nước, cơ quan thuế có đủ khả năng và công nghệ để phát hiện, xử lý nghiêm các hành vi trốn thuế. - HUMAN-ENF2]]</f>
        <v>10</v>
      </c>
      <c r="X22">
        <f t="shared" si="3"/>
        <v>1</v>
      </c>
      <c r="Y22" s="32">
        <f t="shared" si="4"/>
        <v>0.83333333333333326</v>
      </c>
      <c r="Z22" s="32">
        <f t="shared" si="5"/>
        <v>1</v>
      </c>
      <c r="AA22">
        <f>step3_validation[[#This Row],[AI_FAC1]]</f>
        <v>8</v>
      </c>
      <c r="AB22">
        <f t="shared" si="6"/>
        <v>0.77777777777777779</v>
      </c>
      <c r="AC22">
        <f>survey_responses[[#This Row],[Các thủ tục khai báo thuế VÀ/HOẶC quy trình làm việc với cơ quan thuế đơn giản, tiện lợi, nhanh chóng hơn so với trước đây. - HUMAN-FAC1]]</f>
        <v>8</v>
      </c>
      <c r="AD22">
        <f t="shared" si="7"/>
        <v>0.77777777777777779</v>
      </c>
      <c r="AE22">
        <f>step3_validation[[#This Row],[AI_FAC2]]</f>
        <v>9</v>
      </c>
      <c r="AF22">
        <f t="shared" si="8"/>
        <v>0.88888888888888884</v>
      </c>
      <c r="AG22">
        <f>survey_responses[[#This Row],[So với trước đây, tôi thấy cách tính thuế và các bậc thuế trong phương án mới đơn giản, dễ hiểu và dễ thực hiện hơn. - HUMAN-FAC2]]</f>
        <v>7</v>
      </c>
      <c r="AH22">
        <f t="shared" si="9"/>
        <v>0.66666666666666663</v>
      </c>
      <c r="AI22" s="32">
        <f t="shared" si="10"/>
        <v>0.83333333333333326</v>
      </c>
      <c r="AJ22" s="32">
        <f t="shared" si="11"/>
        <v>0.72222222222222221</v>
      </c>
      <c r="AK22">
        <f>step3_validation[[#This Row],[AI_TRU1]]</f>
        <v>9</v>
      </c>
      <c r="AL22">
        <f t="shared" si="12"/>
        <v>0.88888888888888884</v>
      </c>
      <c r="AM22">
        <f>survey_responses[[#This Row],[Tôi tin rằng Nhà nước, cơ quan thuế sẽ thực thi chính sách mới một cách khách quan, công tâm và đối xử bình đẳng với mọi người nộp thuế.  - HUMAN-TRU1]]</f>
        <v>7</v>
      </c>
      <c r="AN22">
        <f t="shared" si="13"/>
        <v>0.66666666666666663</v>
      </c>
      <c r="AO22">
        <f>step3_validation[[#This Row],[AI_TRU2]]</f>
        <v>9</v>
      </c>
      <c r="AP22">
        <f t="shared" si="14"/>
        <v>0.88888888888888884</v>
      </c>
      <c r="AQ22">
        <f>survey_responses[[#This Row],[Tôi thấy mức thuế tôi phải đóng theo phương án mới là công bằng (người thu nhập như tôi đóng mức này là hợp lý). - HUMAN-TRU2]]</f>
        <v>7</v>
      </c>
      <c r="AR22">
        <f t="shared" si="15"/>
        <v>0.66666666666666663</v>
      </c>
      <c r="AS22">
        <f>step3_validation[[#This Row],[AI_TRU3]]</f>
        <v>8</v>
      </c>
      <c r="AT22">
        <f t="shared" si="16"/>
        <v>0.77777777777777779</v>
      </c>
      <c r="AU22">
        <f>survey_responses[[#This Row],[Tôi tin tưởng số tiền thuế tôi đóng sẽ được Nhà nước sử dụng hiệu quả để cải thiện dịch vụ công (y tế, đường xá...). - HUMAN-TRU3]]</f>
        <v>2</v>
      </c>
      <c r="AV22">
        <f t="shared" si="17"/>
        <v>0.1111111111111111</v>
      </c>
      <c r="AW22">
        <f>step3_validation[[#This Row],[AI_TRU4]]</f>
        <v>7</v>
      </c>
      <c r="AX22">
        <f t="shared" si="18"/>
        <v>0.66666666666666663</v>
      </c>
      <c r="AY22">
        <f>survey_responses[[#This Row],[Tôi thấy Nhà nước đã giải thích rõ ràng, minh bạch về lý do và mục tiêu của việc sửa đổi thuế lần này. - HUMAN-TRU4]]</f>
        <v>3</v>
      </c>
      <c r="AZ22">
        <f t="shared" si="19"/>
        <v>0.22222222222222221</v>
      </c>
      <c r="BA22" s="32">
        <f t="shared" si="20"/>
        <v>0.80555555555555547</v>
      </c>
      <c r="BB22" s="32">
        <f t="shared" si="21"/>
        <v>0.41666666666666663</v>
      </c>
      <c r="BC22" s="7">
        <f t="shared" si="22"/>
        <v>0.82407407407407396</v>
      </c>
      <c r="BD22" s="7">
        <f t="shared" si="23"/>
        <v>0.71296296296296291</v>
      </c>
      <c r="BE22">
        <f>step3_validation[[#This Row],[AI_OUT1]]</f>
        <v>9</v>
      </c>
      <c r="BF22">
        <f t="shared" si="24"/>
        <v>0.88888888888888884</v>
      </c>
      <c r="BG22">
        <f>survey_responses[[#This Row],[Sau khi xem xét các quyền lợi và nghĩa vụ, bạn có ủng hộ và tuân thủ chính sách mới hiện nay? - HUMAN-OUT1]]</f>
        <v>3</v>
      </c>
      <c r="BH22">
        <f t="shared" si="25"/>
        <v>0.22222222222222221</v>
      </c>
      <c r="BI22" s="32">
        <f t="shared" si="26"/>
        <v>6</v>
      </c>
    </row>
    <row r="23" spans="1:61" x14ac:dyDescent="0.45">
      <c r="A23" s="30">
        <f>step3_validation[[#This Row],[Persona_ID]]</f>
        <v>22</v>
      </c>
      <c r="B23" s="31">
        <f>step3_validation[[#This Row],[Used_Seed]]</f>
        <v>2047</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14.434261083054142</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7</v>
      </c>
      <c r="R23">
        <f t="shared" si="0"/>
        <v>0.66666666666666663</v>
      </c>
      <c r="S23">
        <f>survey_responses[[#This Row],[Tôi tin rằng với các quy định quản lý thuế hiện nay, hành vi gian lận hoặc trốn thuế sẽ dễ dàng bị phát hiện và xử lý nghiêm. - HUMAN-ENF1]]</f>
        <v>8</v>
      </c>
      <c r="T23">
        <f t="shared" si="1"/>
        <v>0.77777777777777779</v>
      </c>
      <c r="U23">
        <f>step3_validation[[#This Row],[AI_ENF2]]</f>
        <v>6</v>
      </c>
      <c r="V23">
        <f t="shared" si="2"/>
        <v>0.55555555555555558</v>
      </c>
      <c r="W23">
        <f>survey_responses[[#This Row],[Tôi tin rằng Nhà nước, cơ quan thuế có đủ khả năng và công nghệ để phát hiện, xử lý nghiêm các hành vi trốn thuế. - HUMAN-ENF2]]</f>
        <v>8</v>
      </c>
      <c r="X23">
        <f t="shared" si="3"/>
        <v>0.77777777777777779</v>
      </c>
      <c r="Y23" s="32">
        <f t="shared" si="4"/>
        <v>0.61111111111111116</v>
      </c>
      <c r="Z23" s="32">
        <f t="shared" si="5"/>
        <v>0.77777777777777779</v>
      </c>
      <c r="AA23">
        <f>step3_validation[[#This Row],[AI_FAC1]]</f>
        <v>8</v>
      </c>
      <c r="AB23">
        <f t="shared" si="6"/>
        <v>0.77777777777777779</v>
      </c>
      <c r="AC23">
        <f>survey_responses[[#This Row],[Các thủ tục khai báo thuế VÀ/HOẶC quy trình làm việc với cơ quan thuế đơn giản, tiện lợi, nhanh chóng hơn so với trước đây. - HUMAN-FAC1]]</f>
        <v>5</v>
      </c>
      <c r="AD23">
        <f t="shared" si="7"/>
        <v>0.44444444444444442</v>
      </c>
      <c r="AE23">
        <f>step3_validation[[#This Row],[AI_FAC2]]</f>
        <v>9</v>
      </c>
      <c r="AF23">
        <f t="shared" si="8"/>
        <v>0.88888888888888884</v>
      </c>
      <c r="AG23">
        <f>survey_responses[[#This Row],[So với trước đây, tôi thấy cách tính thuế và các bậc thuế trong phương án mới đơn giản, dễ hiểu và dễ thực hiện hơn. - HUMAN-FAC2]]</f>
        <v>8</v>
      </c>
      <c r="AH23">
        <f t="shared" si="9"/>
        <v>0.77777777777777779</v>
      </c>
      <c r="AI23" s="32">
        <f t="shared" si="10"/>
        <v>0.83333333333333326</v>
      </c>
      <c r="AJ23" s="32">
        <f t="shared" si="11"/>
        <v>0.61111111111111116</v>
      </c>
      <c r="AK23">
        <f>step3_validation[[#This Row],[AI_TRU1]]</f>
        <v>7</v>
      </c>
      <c r="AL23">
        <f t="shared" si="12"/>
        <v>0.66666666666666663</v>
      </c>
      <c r="AM23">
        <f>survey_responses[[#This Row],[Tôi tin rằng Nhà nước, cơ quan thuế sẽ thực thi chính sách mới một cách khách quan, công tâm và đối xử bình đẳng với mọi người nộp thuế.  - HUMAN-TRU1]]</f>
        <v>8</v>
      </c>
      <c r="AN23">
        <f t="shared" si="13"/>
        <v>0.77777777777777779</v>
      </c>
      <c r="AO23">
        <f>step3_validation[[#This Row],[AI_TRU2]]</f>
        <v>9</v>
      </c>
      <c r="AP23">
        <f t="shared" si="14"/>
        <v>0.88888888888888884</v>
      </c>
      <c r="AQ23">
        <f>survey_responses[[#This Row],[Tôi thấy mức thuế tôi phải đóng theo phương án mới là công bằng (người thu nhập như tôi đóng mức này là hợp lý). - HUMAN-TRU2]]</f>
        <v>8</v>
      </c>
      <c r="AR23">
        <f t="shared" si="15"/>
        <v>0.77777777777777779</v>
      </c>
      <c r="AS23">
        <f>step3_validation[[#This Row],[AI_TRU3]]</f>
        <v>7</v>
      </c>
      <c r="AT23">
        <f t="shared" si="16"/>
        <v>0.66666666666666663</v>
      </c>
      <c r="AU23">
        <f>survey_responses[[#This Row],[Tôi tin tưởng số tiền thuế tôi đóng sẽ được Nhà nước sử dụng hiệu quả để cải thiện dịch vụ công (y tế, đường xá...). - HUMAN-TRU3]]</f>
        <v>8</v>
      </c>
      <c r="AV23">
        <f t="shared" si="17"/>
        <v>0.77777777777777779</v>
      </c>
      <c r="AW23">
        <f>step3_validation[[#This Row],[AI_TRU4]]</f>
        <v>6</v>
      </c>
      <c r="AX23">
        <f t="shared" si="18"/>
        <v>0.55555555555555558</v>
      </c>
      <c r="AY23">
        <f>survey_responses[[#This Row],[Tôi thấy Nhà nước đã giải thích rõ ràng, minh bạch về lý do và mục tiêu của việc sửa đổi thuế lần này. - HUMAN-TRU4]]</f>
        <v>8</v>
      </c>
      <c r="AZ23">
        <f t="shared" si="19"/>
        <v>0.77777777777777779</v>
      </c>
      <c r="BA23" s="32">
        <f t="shared" si="20"/>
        <v>0.69444444444444442</v>
      </c>
      <c r="BB23" s="32">
        <f t="shared" si="21"/>
        <v>0.77777777777777779</v>
      </c>
      <c r="BC23" s="7">
        <f t="shared" si="22"/>
        <v>0.71296296296296291</v>
      </c>
      <c r="BD23" s="7">
        <f t="shared" si="23"/>
        <v>0.72222222222222221</v>
      </c>
      <c r="BE23">
        <f>step3_validation[[#This Row],[AI_OUT1]]</f>
        <v>9</v>
      </c>
      <c r="BF23">
        <f t="shared" si="24"/>
        <v>0.88888888888888884</v>
      </c>
      <c r="BG23">
        <f>survey_responses[[#This Row],[Sau khi xem xét các quyền lợi và nghĩa vụ, bạn có ủng hộ và tuân thủ chính sách mới hiện nay? - HUMAN-OUT1]]</f>
        <v>8</v>
      </c>
      <c r="BH23">
        <f t="shared" si="25"/>
        <v>0.77777777777777779</v>
      </c>
      <c r="BI23" s="32">
        <f t="shared" si="26"/>
        <v>1</v>
      </c>
    </row>
    <row r="24" spans="1:61" x14ac:dyDescent="0.45">
      <c r="A24" s="30">
        <f>step3_validation[[#This Row],[Persona_ID]]</f>
        <v>23</v>
      </c>
      <c r="B24" s="31">
        <f>step3_validation[[#This Row],[Used_Seed]]</f>
        <v>2048</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94.131520402000504</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6</v>
      </c>
      <c r="R24">
        <f t="shared" si="0"/>
        <v>0.55555555555555558</v>
      </c>
      <c r="S24">
        <f>survey_responses[[#This Row],[Tôi tin rằng với các quy định quản lý thuế hiện nay, hành vi gian lận hoặc trốn thuế sẽ dễ dàng bị phát hiện và xử lý nghiêm. - HUMAN-ENF1]]</f>
        <v>5</v>
      </c>
      <c r="T24">
        <f t="shared" si="1"/>
        <v>0.44444444444444442</v>
      </c>
      <c r="U24">
        <f>step3_validation[[#This Row],[AI_ENF2]]</f>
        <v>7</v>
      </c>
      <c r="V24">
        <f t="shared" si="2"/>
        <v>0.66666666666666663</v>
      </c>
      <c r="W24">
        <f>survey_responses[[#This Row],[Tôi tin rằng Nhà nước, cơ quan thuế có đủ khả năng và công nghệ để phát hiện, xử lý nghiêm các hành vi trốn thuế. - HUMAN-ENF2]]</f>
        <v>5</v>
      </c>
      <c r="X24">
        <f t="shared" si="3"/>
        <v>0.44444444444444442</v>
      </c>
      <c r="Y24" s="32">
        <f t="shared" si="4"/>
        <v>0.61111111111111116</v>
      </c>
      <c r="Z24" s="32">
        <f t="shared" si="5"/>
        <v>0.44444444444444442</v>
      </c>
      <c r="AA24">
        <f>step3_validation[[#This Row],[AI_FAC1]]</f>
        <v>9</v>
      </c>
      <c r="AB24">
        <f t="shared" si="6"/>
        <v>0.88888888888888884</v>
      </c>
      <c r="AC24">
        <f>survey_responses[[#This Row],[Các thủ tục khai báo thuế VÀ/HOẶC quy trình làm việc với cơ quan thuế đơn giản, tiện lợi, nhanh chóng hơn so với trước đây. - HUMAN-FAC1]]</f>
        <v>5</v>
      </c>
      <c r="AD24">
        <f t="shared" si="7"/>
        <v>0.44444444444444442</v>
      </c>
      <c r="AE24">
        <f>step3_validation[[#This Row],[AI_FAC2]]</f>
        <v>8</v>
      </c>
      <c r="AF24">
        <f t="shared" si="8"/>
        <v>0.77777777777777779</v>
      </c>
      <c r="AG24">
        <f>survey_responses[[#This Row],[So với trước đây, tôi thấy cách tính thuế và các bậc thuế trong phương án mới đơn giản, dễ hiểu và dễ thực hiện hơn. - HUMAN-FAC2]]</f>
        <v>5</v>
      </c>
      <c r="AH24">
        <f t="shared" si="9"/>
        <v>0.44444444444444442</v>
      </c>
      <c r="AI24" s="32">
        <f t="shared" si="10"/>
        <v>0.83333333333333326</v>
      </c>
      <c r="AJ24" s="32">
        <f t="shared" si="11"/>
        <v>0.44444444444444442</v>
      </c>
      <c r="AK24">
        <f>step3_validation[[#This Row],[AI_TRU1]]</f>
        <v>7</v>
      </c>
      <c r="AL24">
        <f t="shared" si="12"/>
        <v>0.66666666666666663</v>
      </c>
      <c r="AM24">
        <f>survey_responses[[#This Row],[Tôi tin rằng Nhà nước, cơ quan thuế sẽ thực thi chính sách mới một cách khách quan, công tâm và đối xử bình đẳng với mọi người nộp thuế.  - HUMAN-TRU1]]</f>
        <v>5</v>
      </c>
      <c r="AN24">
        <f t="shared" si="13"/>
        <v>0.44444444444444442</v>
      </c>
      <c r="AO24">
        <f>step3_validation[[#This Row],[AI_TRU2]]</f>
        <v>9</v>
      </c>
      <c r="AP24">
        <f t="shared" si="14"/>
        <v>0.88888888888888884</v>
      </c>
      <c r="AQ24">
        <f>survey_responses[[#This Row],[Tôi thấy mức thuế tôi phải đóng theo phương án mới là công bằng (người thu nhập như tôi đóng mức này là hợp lý). - HUMAN-TRU2]]</f>
        <v>5</v>
      </c>
      <c r="AR24">
        <f t="shared" si="15"/>
        <v>0.44444444444444442</v>
      </c>
      <c r="AS24">
        <f>step3_validation[[#This Row],[AI_TRU3]]</f>
        <v>8</v>
      </c>
      <c r="AT24">
        <f t="shared" si="16"/>
        <v>0.77777777777777779</v>
      </c>
      <c r="AU24">
        <f>survey_responses[[#This Row],[Tôi tin tưởng số tiền thuế tôi đóng sẽ được Nhà nước sử dụng hiệu quả để cải thiện dịch vụ công (y tế, đường xá...). - HUMAN-TRU3]]</f>
        <v>5</v>
      </c>
      <c r="AV24">
        <f t="shared" si="17"/>
        <v>0.44444444444444442</v>
      </c>
      <c r="AW24">
        <f>step3_validation[[#This Row],[AI_TRU4]]</f>
        <v>9</v>
      </c>
      <c r="AX24">
        <f t="shared" si="18"/>
        <v>0.88888888888888884</v>
      </c>
      <c r="AY24">
        <f>survey_responses[[#This Row],[Tôi thấy Nhà nước đã giải thích rõ ràng, minh bạch về lý do và mục tiêu của việc sửa đổi thuế lần này. - HUMAN-TRU4]]</f>
        <v>5</v>
      </c>
      <c r="AZ24">
        <f t="shared" si="19"/>
        <v>0.44444444444444442</v>
      </c>
      <c r="BA24" s="32">
        <f t="shared" si="20"/>
        <v>0.80555555555555547</v>
      </c>
      <c r="BB24" s="32">
        <f t="shared" si="21"/>
        <v>0.44444444444444442</v>
      </c>
      <c r="BC24" s="7">
        <f t="shared" si="22"/>
        <v>0.75</v>
      </c>
      <c r="BD24" s="7">
        <f t="shared" si="23"/>
        <v>0.44444444444444442</v>
      </c>
      <c r="BE24">
        <f>step3_validation[[#This Row],[AI_OUT1]]</f>
        <v>8</v>
      </c>
      <c r="BF24">
        <f t="shared" si="24"/>
        <v>0.77777777777777779</v>
      </c>
      <c r="BG24">
        <f>survey_responses[[#This Row],[Sau khi xem xét các quyền lợi và nghĩa vụ, bạn có ủng hộ và tuân thủ chính sách mới hiện nay? - HUMAN-OUT1]]</f>
        <v>5</v>
      </c>
      <c r="BH24">
        <f t="shared" si="25"/>
        <v>0.44444444444444442</v>
      </c>
      <c r="BI24" s="32">
        <f t="shared" si="26"/>
        <v>3</v>
      </c>
    </row>
    <row r="25" spans="1:61" x14ac:dyDescent="0.45">
      <c r="A25" s="30">
        <f>step3_validation[[#This Row],[Persona_ID]]</f>
        <v>24</v>
      </c>
      <c r="B25" s="31">
        <f>step3_validation[[#This Row],[Used_Seed]]</f>
        <v>2049</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25.82109916600459</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7</v>
      </c>
      <c r="R25">
        <f t="shared" si="0"/>
        <v>0.66666666666666663</v>
      </c>
      <c r="S25">
        <f>survey_responses[[#This Row],[Tôi tin rằng với các quy định quản lý thuế hiện nay, hành vi gian lận hoặc trốn thuế sẽ dễ dàng bị phát hiện và xử lý nghiêm. - HUMAN-ENF1]]</f>
        <v>9</v>
      </c>
      <c r="T25">
        <f t="shared" si="1"/>
        <v>0.88888888888888884</v>
      </c>
      <c r="U25">
        <f>step3_validation[[#This Row],[AI_ENF2]]</f>
        <v>7</v>
      </c>
      <c r="V25">
        <f t="shared" si="2"/>
        <v>0.66666666666666663</v>
      </c>
      <c r="W25">
        <f>survey_responses[[#This Row],[Tôi tin rằng Nhà nước, cơ quan thuế có đủ khả năng và công nghệ để phát hiện, xử lý nghiêm các hành vi trốn thuế. - HUMAN-ENF2]]</f>
        <v>8</v>
      </c>
      <c r="X25">
        <f t="shared" si="3"/>
        <v>0.77777777777777779</v>
      </c>
      <c r="Y25" s="32">
        <f t="shared" si="4"/>
        <v>0.66666666666666663</v>
      </c>
      <c r="Z25" s="32">
        <f t="shared" si="5"/>
        <v>0.83333333333333326</v>
      </c>
      <c r="AA25">
        <f>step3_validation[[#This Row],[AI_FAC1]]</f>
        <v>6</v>
      </c>
      <c r="AB25">
        <f t="shared" si="6"/>
        <v>0.55555555555555558</v>
      </c>
      <c r="AC25">
        <f>survey_responses[[#This Row],[Các thủ tục khai báo thuế VÀ/HOẶC quy trình làm việc với cơ quan thuế đơn giản, tiện lợi, nhanh chóng hơn so với trước đây. - HUMAN-FAC1]]</f>
        <v>6</v>
      </c>
      <c r="AD25">
        <f t="shared" si="7"/>
        <v>0.55555555555555558</v>
      </c>
      <c r="AE25">
        <f>step3_validation[[#This Row],[AI_FAC2]]</f>
        <v>8</v>
      </c>
      <c r="AF25">
        <f t="shared" si="8"/>
        <v>0.77777777777777779</v>
      </c>
      <c r="AG25">
        <f>survey_responses[[#This Row],[So với trước đây, tôi thấy cách tính thuế và các bậc thuế trong phương án mới đơn giản, dễ hiểu và dễ thực hiện hơn. - HUMAN-FAC2]]</f>
        <v>9</v>
      </c>
      <c r="AH25">
        <f t="shared" si="9"/>
        <v>0.88888888888888884</v>
      </c>
      <c r="AI25" s="32">
        <f t="shared" si="10"/>
        <v>0.66666666666666674</v>
      </c>
      <c r="AJ25" s="32">
        <f t="shared" si="11"/>
        <v>0.72222222222222221</v>
      </c>
      <c r="AK25">
        <f>step3_validation[[#This Row],[AI_TRU1]]</f>
        <v>9</v>
      </c>
      <c r="AL25">
        <f t="shared" si="12"/>
        <v>0.88888888888888884</v>
      </c>
      <c r="AM25">
        <f>survey_responses[[#This Row],[Tôi tin rằng Nhà nước, cơ quan thuế sẽ thực thi chính sách mới một cách khách quan, công tâm và đối xử bình đẳng với mọi người nộp thuế.  - HUMAN-TRU1]]</f>
        <v>8</v>
      </c>
      <c r="AN25">
        <f t="shared" si="13"/>
        <v>0.77777777777777779</v>
      </c>
      <c r="AO25">
        <f>step3_validation[[#This Row],[AI_TRU2]]</f>
        <v>8</v>
      </c>
      <c r="AP25">
        <f t="shared" si="14"/>
        <v>0.77777777777777779</v>
      </c>
      <c r="AQ25">
        <f>survey_responses[[#This Row],[Tôi thấy mức thuế tôi phải đóng theo phương án mới là công bằng (người thu nhập như tôi đóng mức này là hợp lý). - HUMAN-TRU2]]</f>
        <v>10</v>
      </c>
      <c r="AR25">
        <f t="shared" si="15"/>
        <v>1</v>
      </c>
      <c r="AS25">
        <f>step3_validation[[#This Row],[AI_TRU3]]</f>
        <v>7</v>
      </c>
      <c r="AT25">
        <f t="shared" si="16"/>
        <v>0.66666666666666663</v>
      </c>
      <c r="AU25">
        <f>survey_responses[[#This Row],[Tôi tin tưởng số tiền thuế tôi đóng sẽ được Nhà nước sử dụng hiệu quả để cải thiện dịch vụ công (y tế, đường xá...). - HUMAN-TRU3]]</f>
        <v>6</v>
      </c>
      <c r="AV25">
        <f t="shared" si="17"/>
        <v>0.55555555555555558</v>
      </c>
      <c r="AW25">
        <f>step3_validation[[#This Row],[AI_TRU4]]</f>
        <v>8</v>
      </c>
      <c r="AX25">
        <f t="shared" si="18"/>
        <v>0.77777777777777779</v>
      </c>
      <c r="AY25">
        <f>survey_responses[[#This Row],[Tôi thấy Nhà nước đã giải thích rõ ràng, minh bạch về lý do và mục tiêu của việc sửa đổi thuế lần này. - HUMAN-TRU4]]</f>
        <v>6</v>
      </c>
      <c r="AZ25">
        <f t="shared" si="19"/>
        <v>0.55555555555555558</v>
      </c>
      <c r="BA25" s="32">
        <f t="shared" si="20"/>
        <v>0.77777777777777768</v>
      </c>
      <c r="BB25" s="32">
        <f t="shared" si="21"/>
        <v>0.7222222222222221</v>
      </c>
      <c r="BC25" s="7">
        <f t="shared" si="22"/>
        <v>0.70370370370370372</v>
      </c>
      <c r="BD25" s="7">
        <f t="shared" si="23"/>
        <v>0.75925925925925919</v>
      </c>
      <c r="BE25">
        <f>step3_validation[[#This Row],[AI_OUT1]]</f>
        <v>8</v>
      </c>
      <c r="BF25">
        <f t="shared" si="24"/>
        <v>0.77777777777777779</v>
      </c>
      <c r="BG25">
        <f>survey_responses[[#This Row],[Sau khi xem xét các quyền lợi và nghĩa vụ, bạn có ủng hộ và tuân thủ chính sách mới hiện nay? - HUMAN-OUT1]]</f>
        <v>8</v>
      </c>
      <c r="BH25">
        <f t="shared" si="25"/>
        <v>0.77777777777777779</v>
      </c>
      <c r="BI25" s="32">
        <f t="shared" si="26"/>
        <v>0</v>
      </c>
    </row>
    <row r="26" spans="1:61" x14ac:dyDescent="0.45">
      <c r="A26" s="30">
        <f>step3_validation[[#This Row],[Persona_ID]]</f>
        <v>25</v>
      </c>
      <c r="B26" s="31">
        <f>step3_validation[[#This Row],[Used_Seed]]</f>
        <v>2050</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44.699871122693587</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7</v>
      </c>
      <c r="R26">
        <f t="shared" si="0"/>
        <v>0.66666666666666663</v>
      </c>
      <c r="S26">
        <f>survey_responses[[#This Row],[Tôi tin rằng với các quy định quản lý thuế hiện nay, hành vi gian lận hoặc trốn thuế sẽ dễ dàng bị phát hiện và xử lý nghiêm. - HUMAN-ENF1]]</f>
        <v>6</v>
      </c>
      <c r="T26">
        <f t="shared" si="1"/>
        <v>0.55555555555555558</v>
      </c>
      <c r="U26">
        <f>step3_validation[[#This Row],[AI_ENF2]]</f>
        <v>8</v>
      </c>
      <c r="V26">
        <f t="shared" si="2"/>
        <v>0.77777777777777779</v>
      </c>
      <c r="W26">
        <f>survey_responses[[#This Row],[Tôi tin rằng Nhà nước, cơ quan thuế có đủ khả năng và công nghệ để phát hiện, xử lý nghiêm các hành vi trốn thuế. - HUMAN-ENF2]]</f>
        <v>7</v>
      </c>
      <c r="X26">
        <f t="shared" si="3"/>
        <v>0.66666666666666663</v>
      </c>
      <c r="Y26" s="32">
        <f t="shared" si="4"/>
        <v>0.72222222222222221</v>
      </c>
      <c r="Z26" s="32">
        <f t="shared" si="5"/>
        <v>0.61111111111111116</v>
      </c>
      <c r="AA26">
        <f>step3_validation[[#This Row],[AI_FAC1]]</f>
        <v>9</v>
      </c>
      <c r="AB26">
        <f t="shared" si="6"/>
        <v>0.88888888888888884</v>
      </c>
      <c r="AC26">
        <f>survey_responses[[#This Row],[Các thủ tục khai báo thuế VÀ/HOẶC quy trình làm việc với cơ quan thuế đơn giản, tiện lợi, nhanh chóng hơn so với trước đây. - HUMAN-FAC1]]</f>
        <v>5</v>
      </c>
      <c r="AD26">
        <f t="shared" si="7"/>
        <v>0.44444444444444442</v>
      </c>
      <c r="AE26">
        <f>step3_validation[[#This Row],[AI_FAC2]]</f>
        <v>9</v>
      </c>
      <c r="AF26">
        <f t="shared" si="8"/>
        <v>0.88888888888888884</v>
      </c>
      <c r="AG26">
        <f>survey_responses[[#This Row],[So với trước đây, tôi thấy cách tính thuế và các bậc thuế trong phương án mới đơn giản, dễ hiểu và dễ thực hiện hơn. - HUMAN-FAC2]]</f>
        <v>6</v>
      </c>
      <c r="AH26">
        <f t="shared" si="9"/>
        <v>0.55555555555555558</v>
      </c>
      <c r="AI26" s="32">
        <f t="shared" si="10"/>
        <v>0.88888888888888884</v>
      </c>
      <c r="AJ26" s="32">
        <f t="shared" si="11"/>
        <v>0.5</v>
      </c>
      <c r="AK26">
        <f>step3_validation[[#This Row],[AI_TRU1]]</f>
        <v>8</v>
      </c>
      <c r="AL26">
        <f t="shared" si="12"/>
        <v>0.77777777777777779</v>
      </c>
      <c r="AM26">
        <f>survey_responses[[#This Row],[Tôi tin rằng Nhà nước, cơ quan thuế sẽ thực thi chính sách mới một cách khách quan, công tâm và đối xử bình đẳng với mọi người nộp thuế.  - HUMAN-TRU1]]</f>
        <v>7</v>
      </c>
      <c r="AN26">
        <f t="shared" si="13"/>
        <v>0.66666666666666663</v>
      </c>
      <c r="AO26">
        <f>step3_validation[[#This Row],[AI_TRU2]]</f>
        <v>9</v>
      </c>
      <c r="AP26">
        <f t="shared" si="14"/>
        <v>0.88888888888888884</v>
      </c>
      <c r="AQ26">
        <f>survey_responses[[#This Row],[Tôi thấy mức thuế tôi phải đóng theo phương án mới là công bằng (người thu nhập như tôi đóng mức này là hợp lý). - HUMAN-TRU2]]</f>
        <v>7</v>
      </c>
      <c r="AR26">
        <f t="shared" si="15"/>
        <v>0.66666666666666663</v>
      </c>
      <c r="AS26">
        <f>step3_validation[[#This Row],[AI_TRU3]]</f>
        <v>8</v>
      </c>
      <c r="AT26">
        <f t="shared" si="16"/>
        <v>0.77777777777777779</v>
      </c>
      <c r="AU26">
        <f>survey_responses[[#This Row],[Tôi tin tưởng số tiền thuế tôi đóng sẽ được Nhà nước sử dụng hiệu quả để cải thiện dịch vụ công (y tế, đường xá...). - HUMAN-TRU3]]</f>
        <v>3</v>
      </c>
      <c r="AV26">
        <f t="shared" si="17"/>
        <v>0.22222222222222221</v>
      </c>
      <c r="AW26">
        <f>step3_validation[[#This Row],[AI_TRU4]]</f>
        <v>9</v>
      </c>
      <c r="AX26">
        <f t="shared" si="18"/>
        <v>0.88888888888888884</v>
      </c>
      <c r="AY26">
        <f>survey_responses[[#This Row],[Tôi thấy Nhà nước đã giải thích rõ ràng, minh bạch về lý do và mục tiêu của việc sửa đổi thuế lần này. - HUMAN-TRU4]]</f>
        <v>3</v>
      </c>
      <c r="AZ26">
        <f t="shared" si="19"/>
        <v>0.22222222222222221</v>
      </c>
      <c r="BA26" s="32">
        <f t="shared" si="20"/>
        <v>0.83333333333333326</v>
      </c>
      <c r="BB26" s="32">
        <f t="shared" si="21"/>
        <v>0.44444444444444442</v>
      </c>
      <c r="BC26" s="7">
        <f t="shared" si="22"/>
        <v>0.81481481481481488</v>
      </c>
      <c r="BD26" s="7">
        <f t="shared" si="23"/>
        <v>0.51851851851851849</v>
      </c>
      <c r="BE26">
        <f>step3_validation[[#This Row],[AI_OUT1]]</f>
        <v>8</v>
      </c>
      <c r="BF26">
        <f t="shared" si="24"/>
        <v>0.77777777777777779</v>
      </c>
      <c r="BG26">
        <f>survey_responses[[#This Row],[Sau khi xem xét các quyền lợi và nghĩa vụ, bạn có ủng hộ và tuân thủ chính sách mới hiện nay? - HUMAN-OUT1]]</f>
        <v>5</v>
      </c>
      <c r="BH26">
        <f t="shared" si="25"/>
        <v>0.44444444444444442</v>
      </c>
      <c r="BI26" s="32">
        <f t="shared" si="26"/>
        <v>3</v>
      </c>
    </row>
    <row r="27" spans="1:61" x14ac:dyDescent="0.45">
      <c r="A27" s="30">
        <f>step3_validation[[#This Row],[Persona_ID]]</f>
        <v>26</v>
      </c>
      <c r="B27" s="31">
        <f>step3_validation[[#This Row],[Used_Seed]]</f>
        <v>2051</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6</v>
      </c>
      <c r="R27">
        <f t="shared" si="0"/>
        <v>0.55555555555555558</v>
      </c>
      <c r="S27">
        <f>survey_responses[[#This Row],[Tôi tin rằng với các quy định quản lý thuế hiện nay, hành vi gian lận hoặc trốn thuế sẽ dễ dàng bị phát hiện và xử lý nghiêm. - HUMAN-ENF1]]</f>
        <v>10</v>
      </c>
      <c r="T27">
        <f t="shared" si="1"/>
        <v>1</v>
      </c>
      <c r="U27">
        <f>step3_validation[[#This Row],[AI_ENF2]]</f>
        <v>7</v>
      </c>
      <c r="V27">
        <f t="shared" si="2"/>
        <v>0.66666666666666663</v>
      </c>
      <c r="W27">
        <f>survey_responses[[#This Row],[Tôi tin rằng Nhà nước, cơ quan thuế có đủ khả năng và công nghệ để phát hiện, xử lý nghiêm các hành vi trốn thuế. - HUMAN-ENF2]]</f>
        <v>10</v>
      </c>
      <c r="X27">
        <f t="shared" si="3"/>
        <v>1</v>
      </c>
      <c r="Y27" s="32">
        <f t="shared" si="4"/>
        <v>0.61111111111111116</v>
      </c>
      <c r="Z27" s="32">
        <f t="shared" si="5"/>
        <v>1</v>
      </c>
      <c r="AA27">
        <f>step3_validation[[#This Row],[AI_FAC1]]</f>
        <v>8</v>
      </c>
      <c r="AB27">
        <f t="shared" si="6"/>
        <v>0.77777777777777779</v>
      </c>
      <c r="AC27">
        <f>survey_responses[[#This Row],[Các thủ tục khai báo thuế VÀ/HOẶC quy trình làm việc với cơ quan thuế đơn giản, tiện lợi, nhanh chóng hơn so với trước đây. - HUMAN-FAC1]]</f>
        <v>10</v>
      </c>
      <c r="AD27">
        <f t="shared" si="7"/>
        <v>1</v>
      </c>
      <c r="AE27">
        <f>step3_validation[[#This Row],[AI_FAC2]]</f>
        <v>9</v>
      </c>
      <c r="AF27">
        <f t="shared" si="8"/>
        <v>0.88888888888888884</v>
      </c>
      <c r="AG27">
        <f>survey_responses[[#This Row],[So với trước đây, tôi thấy cách tính thuế và các bậc thuế trong phương án mới đơn giản, dễ hiểu và dễ thực hiện hơn. - HUMAN-FAC2]]</f>
        <v>6</v>
      </c>
      <c r="AH27">
        <f t="shared" si="9"/>
        <v>0.55555555555555558</v>
      </c>
      <c r="AI27" s="32">
        <f t="shared" si="10"/>
        <v>0.83333333333333326</v>
      </c>
      <c r="AJ27" s="32">
        <f t="shared" si="11"/>
        <v>0.77777777777777779</v>
      </c>
      <c r="AK27">
        <f>step3_validation[[#This Row],[AI_TRU1]]</f>
        <v>8</v>
      </c>
      <c r="AL27">
        <f t="shared" si="12"/>
        <v>0.77777777777777779</v>
      </c>
      <c r="AM27">
        <f>survey_responses[[#This Row],[Tôi tin rằng Nhà nước, cơ quan thuế sẽ thực thi chính sách mới một cách khách quan, công tâm và đối xử bình đẳng với mọi người nộp thuế.  - HUMAN-TRU1]]</f>
        <v>6</v>
      </c>
      <c r="AN27">
        <f t="shared" si="13"/>
        <v>0.55555555555555558</v>
      </c>
      <c r="AO27">
        <f>step3_validation[[#This Row],[AI_TRU2]]</f>
        <v>9</v>
      </c>
      <c r="AP27">
        <f t="shared" si="14"/>
        <v>0.88888888888888884</v>
      </c>
      <c r="AQ27">
        <f>survey_responses[[#This Row],[Tôi thấy mức thuế tôi phải đóng theo phương án mới là công bằng (người thu nhập như tôi đóng mức này là hợp lý). - HUMAN-TRU2]]</f>
        <v>10</v>
      </c>
      <c r="AR27">
        <f t="shared" si="15"/>
        <v>1</v>
      </c>
      <c r="AS27">
        <f>step3_validation[[#This Row],[AI_TRU3]]</f>
        <v>8</v>
      </c>
      <c r="AT27">
        <f t="shared" si="16"/>
        <v>0.77777777777777779</v>
      </c>
      <c r="AU27">
        <f>survey_responses[[#This Row],[Tôi tin tưởng số tiền thuế tôi đóng sẽ được Nhà nước sử dụng hiệu quả để cải thiện dịch vụ công (y tế, đường xá...). - HUMAN-TRU3]]</f>
        <v>1</v>
      </c>
      <c r="AV27">
        <f t="shared" si="17"/>
        <v>0</v>
      </c>
      <c r="AW27">
        <f>step3_validation[[#This Row],[AI_TRU4]]</f>
        <v>9</v>
      </c>
      <c r="AX27">
        <f t="shared" si="18"/>
        <v>0.88888888888888884</v>
      </c>
      <c r="AY27">
        <f>survey_responses[[#This Row],[Tôi thấy Nhà nước đã giải thích rõ ràng, minh bạch về lý do và mục tiêu của việc sửa đổi thuế lần này. - HUMAN-TRU4]]</f>
        <v>4</v>
      </c>
      <c r="AZ27">
        <f t="shared" si="19"/>
        <v>0.33333333333333331</v>
      </c>
      <c r="BA27" s="32">
        <f t="shared" si="20"/>
        <v>0.83333333333333326</v>
      </c>
      <c r="BB27" s="32">
        <f t="shared" si="21"/>
        <v>0.47222222222222221</v>
      </c>
      <c r="BC27" s="7">
        <f t="shared" si="22"/>
        <v>0.75925925925925919</v>
      </c>
      <c r="BD27" s="7">
        <f t="shared" si="23"/>
        <v>0.75</v>
      </c>
      <c r="BE27">
        <f>step3_validation[[#This Row],[AI_OUT1]]</f>
        <v>8</v>
      </c>
      <c r="BF27">
        <f t="shared" si="24"/>
        <v>0.77777777777777779</v>
      </c>
      <c r="BG27">
        <f>survey_responses[[#This Row],[Sau khi xem xét các quyền lợi và nghĩa vụ, bạn có ủng hộ và tuân thủ chính sách mới hiện nay? - HUMAN-OUT1]]</f>
        <v>10</v>
      </c>
      <c r="BH27">
        <f t="shared" si="25"/>
        <v>1</v>
      </c>
      <c r="BI27" s="32">
        <f t="shared" si="26"/>
        <v>2</v>
      </c>
    </row>
    <row r="28" spans="1:61" x14ac:dyDescent="0.45">
      <c r="A28" s="30">
        <f>step3_validation[[#This Row],[Persona_ID]]</f>
        <v>27</v>
      </c>
      <c r="B28" s="31">
        <f>step3_validation[[#This Row],[Used_Seed]]</f>
        <v>2052</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7</v>
      </c>
      <c r="R28">
        <f t="shared" si="0"/>
        <v>0.66666666666666663</v>
      </c>
      <c r="S28">
        <f>survey_responses[[#This Row],[Tôi tin rằng với các quy định quản lý thuế hiện nay, hành vi gian lận hoặc trốn thuế sẽ dễ dàng bị phát hiện và xử lý nghiêm. - HUMAN-ENF1]]</f>
        <v>1</v>
      </c>
      <c r="T28">
        <f t="shared" si="1"/>
        <v>0</v>
      </c>
      <c r="U28">
        <f>step3_validation[[#This Row],[AI_ENF2]]</f>
        <v>8</v>
      </c>
      <c r="V28">
        <f t="shared" si="2"/>
        <v>0.77777777777777779</v>
      </c>
      <c r="W28">
        <f>survey_responses[[#This Row],[Tôi tin rằng Nhà nước, cơ quan thuế có đủ khả năng và công nghệ để phát hiện, xử lý nghiêm các hành vi trốn thuế. - HUMAN-ENF2]]</f>
        <v>1</v>
      </c>
      <c r="X28">
        <f t="shared" si="3"/>
        <v>0</v>
      </c>
      <c r="Y28" s="32">
        <f t="shared" si="4"/>
        <v>0.72222222222222221</v>
      </c>
      <c r="Z28" s="32">
        <f t="shared" si="5"/>
        <v>0</v>
      </c>
      <c r="AA28">
        <f>step3_validation[[#This Row],[AI_FAC1]]</f>
        <v>7</v>
      </c>
      <c r="AB28">
        <f t="shared" si="6"/>
        <v>0.66666666666666663</v>
      </c>
      <c r="AC28">
        <f>survey_responses[[#This Row],[Các thủ tục khai báo thuế VÀ/HOẶC quy trình làm việc với cơ quan thuế đơn giản, tiện lợi, nhanh chóng hơn so với trước đây. - HUMAN-FAC1]]</f>
        <v>1</v>
      </c>
      <c r="AD28">
        <f t="shared" si="7"/>
        <v>0</v>
      </c>
      <c r="AE28">
        <f>step3_validation[[#This Row],[AI_FAC2]]</f>
        <v>9</v>
      </c>
      <c r="AF28">
        <f t="shared" si="8"/>
        <v>0.88888888888888884</v>
      </c>
      <c r="AG28">
        <f>survey_responses[[#This Row],[So với trước đây, tôi thấy cách tính thuế và các bậc thuế trong phương án mới đơn giản, dễ hiểu và dễ thực hiện hơn. - HUMAN-FAC2]]</f>
        <v>1</v>
      </c>
      <c r="AH28">
        <f t="shared" si="9"/>
        <v>0</v>
      </c>
      <c r="AI28" s="32">
        <f t="shared" si="10"/>
        <v>0.77777777777777768</v>
      </c>
      <c r="AJ28" s="32">
        <f t="shared" si="11"/>
        <v>0</v>
      </c>
      <c r="AK28">
        <f>step3_validation[[#This Row],[AI_TRU1]]</f>
        <v>0</v>
      </c>
      <c r="AL28">
        <f t="shared" si="12"/>
        <v>-0.1111111111111111</v>
      </c>
      <c r="AM28">
        <f>survey_responses[[#This Row],[Tôi tin rằng Nhà nước, cơ quan thuế sẽ thực thi chính sách mới một cách khách quan, công tâm và đối xử bình đẳng với mọi người nộp thuế.  - HUMAN-TRU1]]</f>
        <v>1</v>
      </c>
      <c r="AN28">
        <f t="shared" si="13"/>
        <v>0</v>
      </c>
      <c r="AO28">
        <f>step3_validation[[#This Row],[AI_TRU2]]</f>
        <v>0</v>
      </c>
      <c r="AP28">
        <f t="shared" si="14"/>
        <v>-0.1111111111111111</v>
      </c>
      <c r="AQ28">
        <f>survey_responses[[#This Row],[Tôi thấy mức thuế tôi phải đóng theo phương án mới là công bằng (người thu nhập như tôi đóng mức này là hợp lý). - HUMAN-TRU2]]</f>
        <v>1</v>
      </c>
      <c r="AR28">
        <f t="shared" si="15"/>
        <v>0</v>
      </c>
      <c r="AS28">
        <f>step3_validation[[#This Row],[AI_TRU3]]</f>
        <v>0</v>
      </c>
      <c r="AT28">
        <f t="shared" si="16"/>
        <v>-0.1111111111111111</v>
      </c>
      <c r="AU28">
        <f>survey_responses[[#This Row],[Tôi tin tưởng số tiền thuế tôi đóng sẽ được Nhà nước sử dụng hiệu quả để cải thiện dịch vụ công (y tế, đường xá...). - HUMAN-TRU3]]</f>
        <v>1</v>
      </c>
      <c r="AV28">
        <f t="shared" si="17"/>
        <v>0</v>
      </c>
      <c r="AW28">
        <f>step3_validation[[#This Row],[AI_TRU4]]</f>
        <v>0</v>
      </c>
      <c r="AX28">
        <f t="shared" si="18"/>
        <v>-0.1111111111111111</v>
      </c>
      <c r="AY28">
        <f>survey_responses[[#This Row],[Tôi thấy Nhà nước đã giải thích rõ ràng, minh bạch về lý do và mục tiêu của việc sửa đổi thuế lần này. - HUMAN-TRU4]]</f>
        <v>1</v>
      </c>
      <c r="AZ28">
        <f t="shared" si="19"/>
        <v>0</v>
      </c>
      <c r="BA28" s="32">
        <f t="shared" si="20"/>
        <v>-0.1111111111111111</v>
      </c>
      <c r="BB28" s="32">
        <f t="shared" si="21"/>
        <v>0</v>
      </c>
      <c r="BC28" s="7">
        <f t="shared" si="22"/>
        <v>0.46296296296296297</v>
      </c>
      <c r="BD28" s="7">
        <f t="shared" si="23"/>
        <v>0</v>
      </c>
      <c r="BE28">
        <f>step3_validation[[#This Row],[AI_OUT1]]</f>
        <v>0</v>
      </c>
      <c r="BF28">
        <f t="shared" si="24"/>
        <v>-0.1111111111111111</v>
      </c>
      <c r="BG28">
        <f>survey_responses[[#This Row],[Sau khi xem xét các quyền lợi và nghĩa vụ, bạn có ủng hộ và tuân thủ chính sách mới hiện nay? - HUMAN-OUT1]]</f>
        <v>1</v>
      </c>
      <c r="BH28">
        <f t="shared" si="25"/>
        <v>0</v>
      </c>
      <c r="BI28" s="32">
        <f t="shared" si="26"/>
        <v>1</v>
      </c>
    </row>
    <row r="29" spans="1:61" x14ac:dyDescent="0.45">
      <c r="A29" s="30">
        <f>step3_validation[[#This Row],[Persona_ID]]</f>
        <v>28</v>
      </c>
      <c r="B29" s="31">
        <f>step3_validation[[#This Row],[Used_Seed]]</f>
        <v>2053</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15.826589278218485</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7</v>
      </c>
      <c r="R29">
        <f t="shared" si="0"/>
        <v>0.66666666666666663</v>
      </c>
      <c r="S29">
        <f>survey_responses[[#This Row],[Tôi tin rằng với các quy định quản lý thuế hiện nay, hành vi gian lận hoặc trốn thuế sẽ dễ dàng bị phát hiện và xử lý nghiêm. - HUMAN-ENF1]]</f>
        <v>1</v>
      </c>
      <c r="T29">
        <f t="shared" si="1"/>
        <v>0</v>
      </c>
      <c r="U29">
        <f>step3_validation[[#This Row],[AI_ENF2]]</f>
        <v>8</v>
      </c>
      <c r="V29">
        <f t="shared" si="2"/>
        <v>0.77777777777777779</v>
      </c>
      <c r="W29">
        <f>survey_responses[[#This Row],[Tôi tin rằng Nhà nước, cơ quan thuế có đủ khả năng và công nghệ để phát hiện, xử lý nghiêm các hành vi trốn thuế. - HUMAN-ENF2]]</f>
        <v>1</v>
      </c>
      <c r="X29">
        <f t="shared" si="3"/>
        <v>0</v>
      </c>
      <c r="Y29" s="32">
        <f t="shared" si="4"/>
        <v>0.72222222222222221</v>
      </c>
      <c r="Z29" s="32">
        <f t="shared" si="5"/>
        <v>0</v>
      </c>
      <c r="AA29">
        <f>step3_validation[[#This Row],[AI_FAC1]]</f>
        <v>6</v>
      </c>
      <c r="AB29">
        <f t="shared" si="6"/>
        <v>0.55555555555555558</v>
      </c>
      <c r="AC29">
        <f>survey_responses[[#This Row],[Các thủ tục khai báo thuế VÀ/HOẶC quy trình làm việc với cơ quan thuế đơn giản, tiện lợi, nhanh chóng hơn so với trước đây. - HUMAN-FAC1]]</f>
        <v>1</v>
      </c>
      <c r="AD29">
        <f t="shared" si="7"/>
        <v>0</v>
      </c>
      <c r="AE29">
        <f>step3_validation[[#This Row],[AI_FAC2]]</f>
        <v>8</v>
      </c>
      <c r="AF29">
        <f t="shared" si="8"/>
        <v>0.77777777777777779</v>
      </c>
      <c r="AG29">
        <f>survey_responses[[#This Row],[So với trước đây, tôi thấy cách tính thuế và các bậc thuế trong phương án mới đơn giản, dễ hiểu và dễ thực hiện hơn. - HUMAN-FAC2]]</f>
        <v>1</v>
      </c>
      <c r="AH29">
        <f t="shared" si="9"/>
        <v>0</v>
      </c>
      <c r="AI29" s="32">
        <f t="shared" si="10"/>
        <v>0.66666666666666674</v>
      </c>
      <c r="AJ29" s="32">
        <f t="shared" si="11"/>
        <v>0</v>
      </c>
      <c r="AK29">
        <f>step3_validation[[#This Row],[AI_TRU1]]</f>
        <v>7</v>
      </c>
      <c r="AL29">
        <f t="shared" si="12"/>
        <v>0.66666666666666663</v>
      </c>
      <c r="AM29">
        <f>survey_responses[[#This Row],[Tôi tin rằng Nhà nước, cơ quan thuế sẽ thực thi chính sách mới một cách khách quan, công tâm và đối xử bình đẳng với mọi người nộp thuế.  - HUMAN-TRU1]]</f>
        <v>1</v>
      </c>
      <c r="AN29">
        <f t="shared" si="13"/>
        <v>0</v>
      </c>
      <c r="AO29">
        <f>step3_validation[[#This Row],[AI_TRU2]]</f>
        <v>9</v>
      </c>
      <c r="AP29">
        <f t="shared" si="14"/>
        <v>0.88888888888888884</v>
      </c>
      <c r="AQ29">
        <f>survey_responses[[#This Row],[Tôi thấy mức thuế tôi phải đóng theo phương án mới là công bằng (người thu nhập như tôi đóng mức này là hợp lý). - HUMAN-TRU2]]</f>
        <v>1</v>
      </c>
      <c r="AR29">
        <f t="shared" si="15"/>
        <v>0</v>
      </c>
      <c r="AS29">
        <f>step3_validation[[#This Row],[AI_TRU3]]</f>
        <v>6</v>
      </c>
      <c r="AT29">
        <f t="shared" si="16"/>
        <v>0.55555555555555558</v>
      </c>
      <c r="AU29">
        <f>survey_responses[[#This Row],[Tôi tin tưởng số tiền thuế tôi đóng sẽ được Nhà nước sử dụng hiệu quả để cải thiện dịch vụ công (y tế, đường xá...). - HUMAN-TRU3]]</f>
        <v>1</v>
      </c>
      <c r="AV29">
        <f t="shared" si="17"/>
        <v>0</v>
      </c>
      <c r="AW29">
        <f>step3_validation[[#This Row],[AI_TRU4]]</f>
        <v>7</v>
      </c>
      <c r="AX29">
        <f t="shared" si="18"/>
        <v>0.66666666666666663</v>
      </c>
      <c r="AY29">
        <f>survey_responses[[#This Row],[Tôi thấy Nhà nước đã giải thích rõ ràng, minh bạch về lý do và mục tiêu của việc sửa đổi thuế lần này. - HUMAN-TRU4]]</f>
        <v>1</v>
      </c>
      <c r="AZ29">
        <f t="shared" si="19"/>
        <v>0</v>
      </c>
      <c r="BA29" s="32">
        <f t="shared" si="20"/>
        <v>0.69444444444444431</v>
      </c>
      <c r="BB29" s="32">
        <f t="shared" si="21"/>
        <v>0</v>
      </c>
      <c r="BC29" s="7">
        <f t="shared" si="22"/>
        <v>0.69444444444444431</v>
      </c>
      <c r="BD29" s="7">
        <f t="shared" si="23"/>
        <v>0</v>
      </c>
      <c r="BE29">
        <f>step3_validation[[#This Row],[AI_OUT1]]</f>
        <v>8</v>
      </c>
      <c r="BF29">
        <f t="shared" si="24"/>
        <v>0.77777777777777779</v>
      </c>
      <c r="BG29">
        <f>survey_responses[[#This Row],[Sau khi xem xét các quyền lợi và nghĩa vụ, bạn có ủng hộ và tuân thủ chính sách mới hiện nay? - HUMAN-OUT1]]</f>
        <v>1</v>
      </c>
      <c r="BH29">
        <f t="shared" si="25"/>
        <v>0</v>
      </c>
      <c r="BI29" s="32">
        <f t="shared" si="26"/>
        <v>7</v>
      </c>
    </row>
    <row r="30" spans="1:61" x14ac:dyDescent="0.45">
      <c r="A30" s="30">
        <f>step3_validation[[#This Row],[Persona_ID]]</f>
        <v>29</v>
      </c>
      <c r="B30" s="31">
        <f>step3_validation[[#This Row],[Used_Seed]]</f>
        <v>2054</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14.516807367423905</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8</v>
      </c>
      <c r="R30">
        <f t="shared" si="0"/>
        <v>0.77777777777777779</v>
      </c>
      <c r="S30">
        <f>survey_responses[[#This Row],[Tôi tin rằng với các quy định quản lý thuế hiện nay, hành vi gian lận hoặc trốn thuế sẽ dễ dàng bị phát hiện và xử lý nghiêm. - HUMAN-ENF1]]</f>
        <v>10</v>
      </c>
      <c r="T30">
        <f t="shared" si="1"/>
        <v>1</v>
      </c>
      <c r="U30">
        <f>step3_validation[[#This Row],[AI_ENF2]]</f>
        <v>9</v>
      </c>
      <c r="V30">
        <f t="shared" si="2"/>
        <v>0.88888888888888884</v>
      </c>
      <c r="W30">
        <f>survey_responses[[#This Row],[Tôi tin rằng Nhà nước, cơ quan thuế có đủ khả năng và công nghệ để phát hiện, xử lý nghiêm các hành vi trốn thuế. - HUMAN-ENF2]]</f>
        <v>10</v>
      </c>
      <c r="X30">
        <f t="shared" si="3"/>
        <v>1</v>
      </c>
      <c r="Y30" s="32">
        <f t="shared" si="4"/>
        <v>0.83333333333333326</v>
      </c>
      <c r="Z30" s="32">
        <f t="shared" si="5"/>
        <v>1</v>
      </c>
      <c r="AA30">
        <f>step3_validation[[#This Row],[AI_FAC1]]</f>
        <v>8</v>
      </c>
      <c r="AB30">
        <f t="shared" si="6"/>
        <v>0.77777777777777779</v>
      </c>
      <c r="AC30">
        <f>survey_responses[[#This Row],[Các thủ tục khai báo thuế VÀ/HOẶC quy trình làm việc với cơ quan thuế đơn giản, tiện lợi, nhanh chóng hơn so với trước đây. - HUMAN-FAC1]]</f>
        <v>9</v>
      </c>
      <c r="AD30">
        <f t="shared" si="7"/>
        <v>0.88888888888888884</v>
      </c>
      <c r="AE30">
        <f>step3_validation[[#This Row],[AI_FAC2]]</f>
        <v>9</v>
      </c>
      <c r="AF30">
        <f t="shared" si="8"/>
        <v>0.88888888888888884</v>
      </c>
      <c r="AG30">
        <f>survey_responses[[#This Row],[So với trước đây, tôi thấy cách tính thuế và các bậc thuế trong phương án mới đơn giản, dễ hiểu và dễ thực hiện hơn. - HUMAN-FAC2]]</f>
        <v>10</v>
      </c>
      <c r="AH30">
        <f t="shared" si="9"/>
        <v>1</v>
      </c>
      <c r="AI30" s="32">
        <f t="shared" si="10"/>
        <v>0.83333333333333326</v>
      </c>
      <c r="AJ30" s="32">
        <f t="shared" si="11"/>
        <v>0.94444444444444442</v>
      </c>
      <c r="AK30">
        <f>step3_validation[[#This Row],[AI_TRU1]]</f>
        <v>8</v>
      </c>
      <c r="AL30">
        <f t="shared" si="12"/>
        <v>0.77777777777777779</v>
      </c>
      <c r="AM30">
        <f>survey_responses[[#This Row],[Tôi tin rằng Nhà nước, cơ quan thuế sẽ thực thi chính sách mới một cách khách quan, công tâm và đối xử bình đẳng với mọi người nộp thuế.  - HUMAN-TRU1]]</f>
        <v>10</v>
      </c>
      <c r="AN30">
        <f t="shared" si="13"/>
        <v>1</v>
      </c>
      <c r="AO30">
        <f>step3_validation[[#This Row],[AI_TRU2]]</f>
        <v>9</v>
      </c>
      <c r="AP30">
        <f t="shared" si="14"/>
        <v>0.88888888888888884</v>
      </c>
      <c r="AQ30">
        <f>survey_responses[[#This Row],[Tôi thấy mức thuế tôi phải đóng theo phương án mới là công bằng (người thu nhập như tôi đóng mức này là hợp lý). - HUMAN-TRU2]]</f>
        <v>9</v>
      </c>
      <c r="AR30">
        <f t="shared" si="15"/>
        <v>0.88888888888888884</v>
      </c>
      <c r="AS30">
        <f>step3_validation[[#This Row],[AI_TRU3]]</f>
        <v>8</v>
      </c>
      <c r="AT30">
        <f t="shared" si="16"/>
        <v>0.77777777777777779</v>
      </c>
      <c r="AU30">
        <f>survey_responses[[#This Row],[Tôi tin tưởng số tiền thuế tôi đóng sẽ được Nhà nước sử dụng hiệu quả để cải thiện dịch vụ công (y tế, đường xá...). - HUMAN-TRU3]]</f>
        <v>10</v>
      </c>
      <c r="AV30">
        <f t="shared" si="17"/>
        <v>1</v>
      </c>
      <c r="AW30">
        <f>step3_validation[[#This Row],[AI_TRU4]]</f>
        <v>9</v>
      </c>
      <c r="AX30">
        <f t="shared" si="18"/>
        <v>0.88888888888888884</v>
      </c>
      <c r="AY30">
        <f>survey_responses[[#This Row],[Tôi thấy Nhà nước đã giải thích rõ ràng, minh bạch về lý do và mục tiêu của việc sửa đổi thuế lần này. - HUMAN-TRU4]]</f>
        <v>10</v>
      </c>
      <c r="AZ30">
        <f t="shared" si="19"/>
        <v>1</v>
      </c>
      <c r="BA30" s="32">
        <f t="shared" si="20"/>
        <v>0.83333333333333326</v>
      </c>
      <c r="BB30" s="32">
        <f t="shared" si="21"/>
        <v>0.97222222222222221</v>
      </c>
      <c r="BC30" s="7">
        <f t="shared" si="22"/>
        <v>0.83333333333333337</v>
      </c>
      <c r="BD30" s="7">
        <f t="shared" si="23"/>
        <v>0.97222222222222221</v>
      </c>
      <c r="BE30">
        <f>step3_validation[[#This Row],[AI_OUT1]]</f>
        <v>9</v>
      </c>
      <c r="BF30">
        <f t="shared" si="24"/>
        <v>0.88888888888888884</v>
      </c>
      <c r="BG30">
        <f>survey_responses[[#This Row],[Sau khi xem xét các quyền lợi và nghĩa vụ, bạn có ủng hộ và tuân thủ chính sách mới hiện nay? - HUMAN-OUT1]]</f>
        <v>10</v>
      </c>
      <c r="BH30">
        <f t="shared" si="25"/>
        <v>1</v>
      </c>
      <c r="BI30" s="32">
        <f t="shared" si="26"/>
        <v>1</v>
      </c>
    </row>
    <row r="31" spans="1:61" x14ac:dyDescent="0.45">
      <c r="A31" s="30">
        <f>step3_validation[[#This Row],[Persona_ID]]</f>
        <v>30</v>
      </c>
      <c r="B31" s="31">
        <f>step3_validation[[#This Row],[Used_Seed]]</f>
        <v>2055</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15.744568233524205</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8</v>
      </c>
      <c r="R31">
        <f t="shared" si="0"/>
        <v>0.77777777777777779</v>
      </c>
      <c r="S31">
        <f>survey_responses[[#This Row],[Tôi tin rằng với các quy định quản lý thuế hiện nay, hành vi gian lận hoặc trốn thuế sẽ dễ dàng bị phát hiện và xử lý nghiêm. - HUMAN-ENF1]]</f>
        <v>10</v>
      </c>
      <c r="T31">
        <f t="shared" si="1"/>
        <v>1</v>
      </c>
      <c r="U31">
        <f>step3_validation[[#This Row],[AI_ENF2]]</f>
        <v>9</v>
      </c>
      <c r="V31">
        <f t="shared" si="2"/>
        <v>0.88888888888888884</v>
      </c>
      <c r="W31">
        <f>survey_responses[[#This Row],[Tôi tin rằng Nhà nước, cơ quan thuế có đủ khả năng và công nghệ để phát hiện, xử lý nghiêm các hành vi trốn thuế. - HUMAN-ENF2]]</f>
        <v>10</v>
      </c>
      <c r="X31">
        <f t="shared" si="3"/>
        <v>1</v>
      </c>
      <c r="Y31" s="32">
        <f t="shared" si="4"/>
        <v>0.83333333333333326</v>
      </c>
      <c r="Z31" s="32">
        <f t="shared" si="5"/>
        <v>1</v>
      </c>
      <c r="AA31">
        <f>step3_validation[[#This Row],[AI_FAC1]]</f>
        <v>8</v>
      </c>
      <c r="AB31">
        <f t="shared" si="6"/>
        <v>0.77777777777777779</v>
      </c>
      <c r="AC31">
        <f>survey_responses[[#This Row],[Các thủ tục khai báo thuế VÀ/HOẶC quy trình làm việc với cơ quan thuế đơn giản, tiện lợi, nhanh chóng hơn so với trước đây. - HUMAN-FAC1]]</f>
        <v>9</v>
      </c>
      <c r="AD31">
        <f t="shared" si="7"/>
        <v>0.88888888888888884</v>
      </c>
      <c r="AE31">
        <f>step3_validation[[#This Row],[AI_FAC2]]</f>
        <v>9</v>
      </c>
      <c r="AF31">
        <f t="shared" si="8"/>
        <v>0.88888888888888884</v>
      </c>
      <c r="AG31">
        <f>survey_responses[[#This Row],[So với trước đây, tôi thấy cách tính thuế và các bậc thuế trong phương án mới đơn giản, dễ hiểu và dễ thực hiện hơn. - HUMAN-FAC2]]</f>
        <v>10</v>
      </c>
      <c r="AH31">
        <f t="shared" si="9"/>
        <v>1</v>
      </c>
      <c r="AI31" s="32">
        <f t="shared" si="10"/>
        <v>0.83333333333333326</v>
      </c>
      <c r="AJ31" s="32">
        <f t="shared" si="11"/>
        <v>0.94444444444444442</v>
      </c>
      <c r="AK31">
        <f>step3_validation[[#This Row],[AI_TRU1]]</f>
        <v>8</v>
      </c>
      <c r="AL31">
        <f t="shared" si="12"/>
        <v>0.77777777777777779</v>
      </c>
      <c r="AM31">
        <f>survey_responses[[#This Row],[Tôi tin rằng Nhà nước, cơ quan thuế sẽ thực thi chính sách mới một cách khách quan, công tâm và đối xử bình đẳng với mọi người nộp thuế.  - HUMAN-TRU1]]</f>
        <v>10</v>
      </c>
      <c r="AN31">
        <f t="shared" si="13"/>
        <v>1</v>
      </c>
      <c r="AO31">
        <f>step3_validation[[#This Row],[AI_TRU2]]</f>
        <v>9</v>
      </c>
      <c r="AP31">
        <f t="shared" si="14"/>
        <v>0.88888888888888884</v>
      </c>
      <c r="AQ31">
        <f>survey_responses[[#This Row],[Tôi thấy mức thuế tôi phải đóng theo phương án mới là công bằng (người thu nhập như tôi đóng mức này là hợp lý). - HUMAN-TRU2]]</f>
        <v>10</v>
      </c>
      <c r="AR31">
        <f t="shared" si="15"/>
        <v>1</v>
      </c>
      <c r="AS31">
        <f>step3_validation[[#This Row],[AI_TRU3]]</f>
        <v>8</v>
      </c>
      <c r="AT31">
        <f t="shared" si="16"/>
        <v>0.77777777777777779</v>
      </c>
      <c r="AU31">
        <f>survey_responses[[#This Row],[Tôi tin tưởng số tiền thuế tôi đóng sẽ được Nhà nước sử dụng hiệu quả để cải thiện dịch vụ công (y tế, đường xá...). - HUMAN-TRU3]]</f>
        <v>10</v>
      </c>
      <c r="AV31">
        <f t="shared" si="17"/>
        <v>1</v>
      </c>
      <c r="AW31">
        <f>step3_validation[[#This Row],[AI_TRU4]]</f>
        <v>9</v>
      </c>
      <c r="AX31">
        <f t="shared" si="18"/>
        <v>0.88888888888888884</v>
      </c>
      <c r="AY31">
        <f>survey_responses[[#This Row],[Tôi thấy Nhà nước đã giải thích rõ ràng, minh bạch về lý do và mục tiêu của việc sửa đổi thuế lần này. - HUMAN-TRU4]]</f>
        <v>10</v>
      </c>
      <c r="AZ31">
        <f t="shared" si="19"/>
        <v>1</v>
      </c>
      <c r="BA31" s="32">
        <f t="shared" si="20"/>
        <v>0.83333333333333326</v>
      </c>
      <c r="BB31" s="32">
        <f t="shared" si="21"/>
        <v>1</v>
      </c>
      <c r="BC31" s="7">
        <f t="shared" si="22"/>
        <v>0.83333333333333337</v>
      </c>
      <c r="BD31" s="7">
        <f t="shared" si="23"/>
        <v>0.98148148148148151</v>
      </c>
      <c r="BE31">
        <f>step3_validation[[#This Row],[AI_OUT1]]</f>
        <v>8</v>
      </c>
      <c r="BF31">
        <f t="shared" si="24"/>
        <v>0.77777777777777779</v>
      </c>
      <c r="BG31">
        <f>survey_responses[[#This Row],[Sau khi xem xét các quyền lợi và nghĩa vụ, bạn có ủng hộ và tuân thủ chính sách mới hiện nay? - HUMAN-OUT1]]</f>
        <v>10</v>
      </c>
      <c r="BH31">
        <f t="shared" si="25"/>
        <v>1</v>
      </c>
      <c r="BI31" s="32">
        <f t="shared" si="26"/>
        <v>2</v>
      </c>
    </row>
    <row r="32" spans="1:61" x14ac:dyDescent="0.45">
      <c r="A32" s="30">
        <f>step3_validation[[#This Row],[Persona_ID]]</f>
        <v>31</v>
      </c>
      <c r="B32" s="31">
        <f>step3_validation[[#This Row],[Used_Seed]]</f>
        <v>2056</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29.762060784767023</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6</v>
      </c>
      <c r="R32">
        <f t="shared" si="0"/>
        <v>0.55555555555555558</v>
      </c>
      <c r="S32">
        <f>survey_responses[[#This Row],[Tôi tin rằng với các quy định quản lý thuế hiện nay, hành vi gian lận hoặc trốn thuế sẽ dễ dàng bị phát hiện và xử lý nghiêm. - HUMAN-ENF1]]</f>
        <v>10</v>
      </c>
      <c r="T32">
        <f t="shared" si="1"/>
        <v>1</v>
      </c>
      <c r="U32">
        <f>step3_validation[[#This Row],[AI_ENF2]]</f>
        <v>7</v>
      </c>
      <c r="V32">
        <f t="shared" si="2"/>
        <v>0.66666666666666663</v>
      </c>
      <c r="W32">
        <f>survey_responses[[#This Row],[Tôi tin rằng Nhà nước, cơ quan thuế có đủ khả năng và công nghệ để phát hiện, xử lý nghiêm các hành vi trốn thuế. - HUMAN-ENF2]]</f>
        <v>7</v>
      </c>
      <c r="X32">
        <f t="shared" si="3"/>
        <v>0.66666666666666663</v>
      </c>
      <c r="Y32" s="32">
        <f t="shared" si="4"/>
        <v>0.61111111111111116</v>
      </c>
      <c r="Z32" s="32">
        <f t="shared" si="5"/>
        <v>0.83333333333333326</v>
      </c>
      <c r="AA32">
        <f>step3_validation[[#This Row],[AI_FAC1]]</f>
        <v>9</v>
      </c>
      <c r="AB32">
        <f t="shared" si="6"/>
        <v>0.88888888888888884</v>
      </c>
      <c r="AC32">
        <f>survey_responses[[#This Row],[Các thủ tục khai báo thuế VÀ/HOẶC quy trình làm việc với cơ quan thuế đơn giản, tiện lợi, nhanh chóng hơn so với trước đây. - HUMAN-FAC1]]</f>
        <v>10</v>
      </c>
      <c r="AD32">
        <f t="shared" si="7"/>
        <v>1</v>
      </c>
      <c r="AE32">
        <f>step3_validation[[#This Row],[AI_FAC2]]</f>
        <v>8</v>
      </c>
      <c r="AF32">
        <f t="shared" si="8"/>
        <v>0.77777777777777779</v>
      </c>
      <c r="AG32">
        <f>survey_responses[[#This Row],[So với trước đây, tôi thấy cách tính thuế và các bậc thuế trong phương án mới đơn giản, dễ hiểu và dễ thực hiện hơn. - HUMAN-FAC2]]</f>
        <v>7</v>
      </c>
      <c r="AH32">
        <f t="shared" si="9"/>
        <v>0.66666666666666663</v>
      </c>
      <c r="AI32" s="32">
        <f t="shared" si="10"/>
        <v>0.83333333333333326</v>
      </c>
      <c r="AJ32" s="32">
        <f t="shared" si="11"/>
        <v>0.83333333333333326</v>
      </c>
      <c r="AK32">
        <f>step3_validation[[#This Row],[AI_TRU1]]</f>
        <v>7</v>
      </c>
      <c r="AL32">
        <f t="shared" si="12"/>
        <v>0.66666666666666663</v>
      </c>
      <c r="AM32">
        <f>survey_responses[[#This Row],[Tôi tin rằng Nhà nước, cơ quan thuế sẽ thực thi chính sách mới một cách khách quan, công tâm và đối xử bình đẳng với mọi người nộp thuế.  - HUMAN-TRU1]]</f>
        <v>10</v>
      </c>
      <c r="AN32">
        <f t="shared" si="13"/>
        <v>1</v>
      </c>
      <c r="AO32">
        <f>step3_validation[[#This Row],[AI_TRU2]]</f>
        <v>8</v>
      </c>
      <c r="AP32">
        <f t="shared" si="14"/>
        <v>0.77777777777777779</v>
      </c>
      <c r="AQ32">
        <f>survey_responses[[#This Row],[Tôi thấy mức thuế tôi phải đóng theo phương án mới là công bằng (người thu nhập như tôi đóng mức này là hợp lý). - HUMAN-TRU2]]</f>
        <v>10</v>
      </c>
      <c r="AR32">
        <f t="shared" si="15"/>
        <v>1</v>
      </c>
      <c r="AS32">
        <f>step3_validation[[#This Row],[AI_TRU3]]</f>
        <v>7</v>
      </c>
      <c r="AT32">
        <f t="shared" si="16"/>
        <v>0.66666666666666663</v>
      </c>
      <c r="AU32">
        <f>survey_responses[[#This Row],[Tôi tin tưởng số tiền thuế tôi đóng sẽ được Nhà nước sử dụng hiệu quả để cải thiện dịch vụ công (y tế, đường xá...). - HUMAN-TRU3]]</f>
        <v>3</v>
      </c>
      <c r="AV32">
        <f t="shared" si="17"/>
        <v>0.22222222222222221</v>
      </c>
      <c r="AW32">
        <f>step3_validation[[#This Row],[AI_TRU4]]</f>
        <v>8</v>
      </c>
      <c r="AX32">
        <f t="shared" si="18"/>
        <v>0.77777777777777779</v>
      </c>
      <c r="AY32">
        <f>survey_responses[[#This Row],[Tôi thấy Nhà nước đã giải thích rõ ràng, minh bạch về lý do và mục tiêu của việc sửa đổi thuế lần này. - HUMAN-TRU4]]</f>
        <v>5</v>
      </c>
      <c r="AZ32">
        <f t="shared" si="19"/>
        <v>0.44444444444444442</v>
      </c>
      <c r="BA32" s="32">
        <f t="shared" si="20"/>
        <v>0.72222222222222221</v>
      </c>
      <c r="BB32" s="32">
        <f t="shared" si="21"/>
        <v>0.66666666666666674</v>
      </c>
      <c r="BC32" s="7">
        <f t="shared" si="22"/>
        <v>0.72222222222222221</v>
      </c>
      <c r="BD32" s="7">
        <f t="shared" si="23"/>
        <v>0.77777777777777768</v>
      </c>
      <c r="BE32">
        <f>step3_validation[[#This Row],[AI_OUT1]]</f>
        <v>9</v>
      </c>
      <c r="BF32">
        <f t="shared" si="24"/>
        <v>0.88888888888888884</v>
      </c>
      <c r="BG32">
        <f>survey_responses[[#This Row],[Sau khi xem xét các quyền lợi và nghĩa vụ, bạn có ủng hộ và tuân thủ chính sách mới hiện nay? - HUMAN-OUT1]]</f>
        <v>8</v>
      </c>
      <c r="BH32">
        <f t="shared" si="25"/>
        <v>0.77777777777777779</v>
      </c>
      <c r="BI32" s="32">
        <f t="shared" si="26"/>
        <v>1</v>
      </c>
    </row>
    <row r="33" spans="1:61" x14ac:dyDescent="0.45">
      <c r="A33" s="30">
        <f>step3_validation[[#This Row],[Persona_ID]]</f>
        <v>32</v>
      </c>
      <c r="B33" s="31">
        <f>step3_validation[[#This Row],[Used_Seed]]</f>
        <v>2057</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30.638065812473538</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7</v>
      </c>
      <c r="R33">
        <f t="shared" si="0"/>
        <v>0.66666666666666663</v>
      </c>
      <c r="S33">
        <f>survey_responses[[#This Row],[Tôi tin rằng với các quy định quản lý thuế hiện nay, hành vi gian lận hoặc trốn thuế sẽ dễ dàng bị phát hiện và xử lý nghiêm. - HUMAN-ENF1]]</f>
        <v>5</v>
      </c>
      <c r="T33">
        <f t="shared" si="1"/>
        <v>0.44444444444444442</v>
      </c>
      <c r="U33">
        <f>step3_validation[[#This Row],[AI_ENF2]]</f>
        <v>8</v>
      </c>
      <c r="V33">
        <f t="shared" si="2"/>
        <v>0.77777777777777779</v>
      </c>
      <c r="W33">
        <f>survey_responses[[#This Row],[Tôi tin rằng Nhà nước, cơ quan thuế có đủ khả năng và công nghệ để phát hiện, xử lý nghiêm các hành vi trốn thuế. - HUMAN-ENF2]]</f>
        <v>5</v>
      </c>
      <c r="X33">
        <f t="shared" si="3"/>
        <v>0.44444444444444442</v>
      </c>
      <c r="Y33" s="32">
        <f t="shared" si="4"/>
        <v>0.72222222222222221</v>
      </c>
      <c r="Z33" s="32">
        <f t="shared" si="5"/>
        <v>0.44444444444444442</v>
      </c>
      <c r="AA33">
        <f>step3_validation[[#This Row],[AI_FAC1]]</f>
        <v>9</v>
      </c>
      <c r="AB33">
        <f t="shared" si="6"/>
        <v>0.88888888888888884</v>
      </c>
      <c r="AC33">
        <f>survey_responses[[#This Row],[Các thủ tục khai báo thuế VÀ/HOẶC quy trình làm việc với cơ quan thuế đơn giản, tiện lợi, nhanh chóng hơn so với trước đây. - HUMAN-FAC1]]</f>
        <v>5</v>
      </c>
      <c r="AD33">
        <f t="shared" si="7"/>
        <v>0.44444444444444442</v>
      </c>
      <c r="AE33">
        <f>step3_validation[[#This Row],[AI_FAC2]]</f>
        <v>9</v>
      </c>
      <c r="AF33">
        <f t="shared" si="8"/>
        <v>0.88888888888888884</v>
      </c>
      <c r="AG33">
        <f>survey_responses[[#This Row],[So với trước đây, tôi thấy cách tính thuế và các bậc thuế trong phương án mới đơn giản, dễ hiểu và dễ thực hiện hơn. - HUMAN-FAC2]]</f>
        <v>5</v>
      </c>
      <c r="AH33">
        <f t="shared" si="9"/>
        <v>0.44444444444444442</v>
      </c>
      <c r="AI33" s="32">
        <f t="shared" si="10"/>
        <v>0.88888888888888884</v>
      </c>
      <c r="AJ33" s="32">
        <f t="shared" si="11"/>
        <v>0.44444444444444442</v>
      </c>
      <c r="AK33">
        <f>step3_validation[[#This Row],[AI_TRU1]]</f>
        <v>7</v>
      </c>
      <c r="AL33">
        <f t="shared" si="12"/>
        <v>0.66666666666666663</v>
      </c>
      <c r="AM33">
        <f>survey_responses[[#This Row],[Tôi tin rằng Nhà nước, cơ quan thuế sẽ thực thi chính sách mới một cách khách quan, công tâm và đối xử bình đẳng với mọi người nộp thuế.  - HUMAN-TRU1]]</f>
        <v>5</v>
      </c>
      <c r="AN33">
        <f t="shared" si="13"/>
        <v>0.44444444444444442</v>
      </c>
      <c r="AO33">
        <f>step3_validation[[#This Row],[AI_TRU2]]</f>
        <v>9</v>
      </c>
      <c r="AP33">
        <f t="shared" si="14"/>
        <v>0.88888888888888884</v>
      </c>
      <c r="AQ33">
        <f>survey_responses[[#This Row],[Tôi thấy mức thuế tôi phải đóng theo phương án mới là công bằng (người thu nhập như tôi đóng mức này là hợp lý). - HUMAN-TRU2]]</f>
        <v>5</v>
      </c>
      <c r="AR33">
        <f t="shared" si="15"/>
        <v>0.44444444444444442</v>
      </c>
      <c r="AS33">
        <f>step3_validation[[#This Row],[AI_TRU3]]</f>
        <v>7</v>
      </c>
      <c r="AT33">
        <f t="shared" si="16"/>
        <v>0.66666666666666663</v>
      </c>
      <c r="AU33">
        <f>survey_responses[[#This Row],[Tôi tin tưởng số tiền thuế tôi đóng sẽ được Nhà nước sử dụng hiệu quả để cải thiện dịch vụ công (y tế, đường xá...). - HUMAN-TRU3]]</f>
        <v>5</v>
      </c>
      <c r="AV33">
        <f t="shared" si="17"/>
        <v>0.44444444444444442</v>
      </c>
      <c r="AW33">
        <f>step3_validation[[#This Row],[AI_TRU4]]</f>
        <v>8</v>
      </c>
      <c r="AX33">
        <f t="shared" si="18"/>
        <v>0.77777777777777779</v>
      </c>
      <c r="AY33">
        <f>survey_responses[[#This Row],[Tôi thấy Nhà nước đã giải thích rõ ràng, minh bạch về lý do và mục tiêu của việc sửa đổi thuế lần này. - HUMAN-TRU4]]</f>
        <v>5</v>
      </c>
      <c r="AZ33">
        <f t="shared" si="19"/>
        <v>0.44444444444444442</v>
      </c>
      <c r="BA33" s="32">
        <f t="shared" si="20"/>
        <v>0.74999999999999989</v>
      </c>
      <c r="BB33" s="32">
        <f t="shared" si="21"/>
        <v>0.44444444444444442</v>
      </c>
      <c r="BC33" s="7">
        <f t="shared" si="22"/>
        <v>0.78703703703703709</v>
      </c>
      <c r="BD33" s="7">
        <f t="shared" si="23"/>
        <v>0.44444444444444442</v>
      </c>
      <c r="BE33">
        <f>step3_validation[[#This Row],[AI_OUT1]]</f>
        <v>9</v>
      </c>
      <c r="BF33">
        <f t="shared" si="24"/>
        <v>0.88888888888888884</v>
      </c>
      <c r="BG33">
        <f>survey_responses[[#This Row],[Sau khi xem xét các quyền lợi và nghĩa vụ, bạn có ủng hộ và tuân thủ chính sách mới hiện nay? - HUMAN-OUT1]]</f>
        <v>5</v>
      </c>
      <c r="BH33">
        <f t="shared" si="25"/>
        <v>0.44444444444444442</v>
      </c>
      <c r="BI33" s="32">
        <f t="shared" si="26"/>
        <v>4</v>
      </c>
    </row>
    <row r="34" spans="1:61" x14ac:dyDescent="0.45">
      <c r="A34" s="30">
        <f>step3_validation[[#This Row],[Persona_ID]]</f>
        <v>33</v>
      </c>
      <c r="B34" s="31">
        <f>step3_validation[[#This Row],[Used_Seed]]</f>
        <v>2058</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27.734032954208029</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7</v>
      </c>
      <c r="R34">
        <f t="shared" si="0"/>
        <v>0.66666666666666663</v>
      </c>
      <c r="S34">
        <f>survey_responses[[#This Row],[Tôi tin rằng với các quy định quản lý thuế hiện nay, hành vi gian lận hoặc trốn thuế sẽ dễ dàng bị phát hiện và xử lý nghiêm. - HUMAN-ENF1]]</f>
        <v>8</v>
      </c>
      <c r="T34">
        <f t="shared" si="1"/>
        <v>0.77777777777777779</v>
      </c>
      <c r="U34">
        <f>step3_validation[[#This Row],[AI_ENF2]]</f>
        <v>6</v>
      </c>
      <c r="V34">
        <f t="shared" si="2"/>
        <v>0.55555555555555558</v>
      </c>
      <c r="W34">
        <f>survey_responses[[#This Row],[Tôi tin rằng Nhà nước, cơ quan thuế có đủ khả năng và công nghệ để phát hiện, xử lý nghiêm các hành vi trốn thuế. - HUMAN-ENF2]]</f>
        <v>9</v>
      </c>
      <c r="X34">
        <f t="shared" si="3"/>
        <v>0.88888888888888884</v>
      </c>
      <c r="Y34" s="32">
        <f t="shared" si="4"/>
        <v>0.61111111111111116</v>
      </c>
      <c r="Z34" s="32">
        <f t="shared" si="5"/>
        <v>0.83333333333333326</v>
      </c>
      <c r="AA34">
        <f>step3_validation[[#This Row],[AI_FAC1]]</f>
        <v>7</v>
      </c>
      <c r="AB34">
        <f t="shared" si="6"/>
        <v>0.66666666666666663</v>
      </c>
      <c r="AC34">
        <f>survey_responses[[#This Row],[Các thủ tục khai báo thuế VÀ/HOẶC quy trình làm việc với cơ quan thuế đơn giản, tiện lợi, nhanh chóng hơn so với trước đây. - HUMAN-FAC1]]</f>
        <v>7</v>
      </c>
      <c r="AD34">
        <f t="shared" si="7"/>
        <v>0.66666666666666663</v>
      </c>
      <c r="AE34">
        <f>step3_validation[[#This Row],[AI_FAC2]]</f>
        <v>9</v>
      </c>
      <c r="AF34">
        <f t="shared" si="8"/>
        <v>0.88888888888888884</v>
      </c>
      <c r="AG34">
        <f>survey_responses[[#This Row],[So với trước đây, tôi thấy cách tính thuế và các bậc thuế trong phương án mới đơn giản, dễ hiểu và dễ thực hiện hơn. - HUMAN-FAC2]]</f>
        <v>8</v>
      </c>
      <c r="AH34">
        <f t="shared" si="9"/>
        <v>0.77777777777777779</v>
      </c>
      <c r="AI34" s="32">
        <f t="shared" si="10"/>
        <v>0.77777777777777768</v>
      </c>
      <c r="AJ34" s="32">
        <f t="shared" si="11"/>
        <v>0.72222222222222221</v>
      </c>
      <c r="AK34">
        <f>step3_validation[[#This Row],[AI_TRU1]]</f>
        <v>8</v>
      </c>
      <c r="AL34">
        <f t="shared" si="12"/>
        <v>0.77777777777777779</v>
      </c>
      <c r="AM34">
        <f>survey_responses[[#This Row],[Tôi tin rằng Nhà nước, cơ quan thuế sẽ thực thi chính sách mới một cách khách quan, công tâm và đối xử bình đẳng với mọi người nộp thuế.  - HUMAN-TRU1]]</f>
        <v>8</v>
      </c>
      <c r="AN34">
        <f t="shared" si="13"/>
        <v>0.77777777777777779</v>
      </c>
      <c r="AO34">
        <f>step3_validation[[#This Row],[AI_TRU2]]</f>
        <v>7</v>
      </c>
      <c r="AP34">
        <f t="shared" si="14"/>
        <v>0.66666666666666663</v>
      </c>
      <c r="AQ34">
        <f>survey_responses[[#This Row],[Tôi thấy mức thuế tôi phải đóng theo phương án mới là công bằng (người thu nhập như tôi đóng mức này là hợp lý). - HUMAN-TRU2]]</f>
        <v>8</v>
      </c>
      <c r="AR34">
        <f t="shared" si="15"/>
        <v>0.77777777777777779</v>
      </c>
      <c r="AS34">
        <f>step3_validation[[#This Row],[AI_TRU3]]</f>
        <v>6</v>
      </c>
      <c r="AT34">
        <f t="shared" si="16"/>
        <v>0.55555555555555558</v>
      </c>
      <c r="AU34">
        <f>survey_responses[[#This Row],[Tôi tin tưởng số tiền thuế tôi đóng sẽ được Nhà nước sử dụng hiệu quả để cải thiện dịch vụ công (y tế, đường xá...). - HUMAN-TRU3]]</f>
        <v>3</v>
      </c>
      <c r="AV34">
        <f t="shared" si="17"/>
        <v>0.22222222222222221</v>
      </c>
      <c r="AW34">
        <f>step3_validation[[#This Row],[AI_TRU4]]</f>
        <v>7</v>
      </c>
      <c r="AX34">
        <f t="shared" si="18"/>
        <v>0.66666666666666663</v>
      </c>
      <c r="AY34">
        <f>survey_responses[[#This Row],[Tôi thấy Nhà nước đã giải thích rõ ràng, minh bạch về lý do và mục tiêu của việc sửa đổi thuế lần này. - HUMAN-TRU4]]</f>
        <v>6</v>
      </c>
      <c r="AZ34">
        <f t="shared" si="19"/>
        <v>0.55555555555555558</v>
      </c>
      <c r="BA34" s="32">
        <f t="shared" si="20"/>
        <v>0.66666666666666663</v>
      </c>
      <c r="BB34" s="32">
        <f t="shared" si="21"/>
        <v>0.58333333333333326</v>
      </c>
      <c r="BC34" s="7">
        <f t="shared" si="22"/>
        <v>0.68518518518518512</v>
      </c>
      <c r="BD34" s="7">
        <f t="shared" si="23"/>
        <v>0.7129629629629628</v>
      </c>
      <c r="BE34">
        <f>step3_validation[[#This Row],[AI_OUT1]]</f>
        <v>8</v>
      </c>
      <c r="BF34">
        <f t="shared" si="24"/>
        <v>0.77777777777777779</v>
      </c>
      <c r="BG34">
        <f>survey_responses[[#This Row],[Sau khi xem xét các quyền lợi và nghĩa vụ, bạn có ủng hộ và tuân thủ chính sách mới hiện nay? - HUMAN-OUT1]]</f>
        <v>7</v>
      </c>
      <c r="BH34">
        <f t="shared" si="25"/>
        <v>0.66666666666666663</v>
      </c>
      <c r="BI34" s="32">
        <f t="shared" si="26"/>
        <v>1</v>
      </c>
    </row>
    <row r="35" spans="1:61" x14ac:dyDescent="0.45">
      <c r="A35" s="30">
        <f>step3_validation[[#This Row],[Persona_ID]]</f>
        <v>34</v>
      </c>
      <c r="B35" s="31">
        <f>step3_validation[[#This Row],[Used_Seed]]</f>
        <v>2059</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13.397145814734863</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6</v>
      </c>
      <c r="R35">
        <f t="shared" si="0"/>
        <v>0.55555555555555558</v>
      </c>
      <c r="S35">
        <f>survey_responses[[#This Row],[Tôi tin rằng với các quy định quản lý thuế hiện nay, hành vi gian lận hoặc trốn thuế sẽ dễ dàng bị phát hiện và xử lý nghiêm. - HUMAN-ENF1]]</f>
        <v>10</v>
      </c>
      <c r="T35">
        <f t="shared" si="1"/>
        <v>1</v>
      </c>
      <c r="U35">
        <f>step3_validation[[#This Row],[AI_ENF2]]</f>
        <v>7</v>
      </c>
      <c r="V35">
        <f t="shared" si="2"/>
        <v>0.66666666666666663</v>
      </c>
      <c r="W35">
        <f>survey_responses[[#This Row],[Tôi tin rằng Nhà nước, cơ quan thuế có đủ khả năng và công nghệ để phát hiện, xử lý nghiêm các hành vi trốn thuế. - HUMAN-ENF2]]</f>
        <v>10</v>
      </c>
      <c r="X35">
        <f t="shared" si="3"/>
        <v>1</v>
      </c>
      <c r="Y35" s="32">
        <f t="shared" si="4"/>
        <v>0.61111111111111116</v>
      </c>
      <c r="Z35" s="32">
        <f t="shared" si="5"/>
        <v>1</v>
      </c>
      <c r="AA35">
        <f>step3_validation[[#This Row],[AI_FAC1]]</f>
        <v>8</v>
      </c>
      <c r="AB35">
        <f t="shared" si="6"/>
        <v>0.77777777777777779</v>
      </c>
      <c r="AC35">
        <f>survey_responses[[#This Row],[Các thủ tục khai báo thuế VÀ/HOẶC quy trình làm việc với cơ quan thuế đơn giản, tiện lợi, nhanh chóng hơn so với trước đây. - HUMAN-FAC1]]</f>
        <v>10</v>
      </c>
      <c r="AD35">
        <f t="shared" si="7"/>
        <v>1</v>
      </c>
      <c r="AE35">
        <f>step3_validation[[#This Row],[AI_FAC2]]</f>
        <v>9</v>
      </c>
      <c r="AF35">
        <f t="shared" si="8"/>
        <v>0.88888888888888884</v>
      </c>
      <c r="AG35">
        <f>survey_responses[[#This Row],[So với trước đây, tôi thấy cách tính thuế và các bậc thuế trong phương án mới đơn giản, dễ hiểu và dễ thực hiện hơn. - HUMAN-FAC2]]</f>
        <v>10</v>
      </c>
      <c r="AH35">
        <f t="shared" si="9"/>
        <v>1</v>
      </c>
      <c r="AI35" s="32">
        <f t="shared" si="10"/>
        <v>0.83333333333333326</v>
      </c>
      <c r="AJ35" s="32">
        <f t="shared" si="11"/>
        <v>1</v>
      </c>
      <c r="AK35">
        <f>step3_validation[[#This Row],[AI_TRU1]]</f>
        <v>7</v>
      </c>
      <c r="AL35">
        <f t="shared" si="12"/>
        <v>0.66666666666666663</v>
      </c>
      <c r="AM35">
        <f>survey_responses[[#This Row],[Tôi tin rằng Nhà nước, cơ quan thuế sẽ thực thi chính sách mới một cách khách quan, công tâm và đối xử bình đẳng với mọi người nộp thuế.  - HUMAN-TRU1]]</f>
        <v>10</v>
      </c>
      <c r="AN35">
        <f t="shared" si="13"/>
        <v>1</v>
      </c>
      <c r="AO35">
        <f>step3_validation[[#This Row],[AI_TRU2]]</f>
        <v>8</v>
      </c>
      <c r="AP35">
        <f t="shared" si="14"/>
        <v>0.77777777777777779</v>
      </c>
      <c r="AQ35">
        <f>survey_responses[[#This Row],[Tôi thấy mức thuế tôi phải đóng theo phương án mới là công bằng (người thu nhập như tôi đóng mức này là hợp lý). - HUMAN-TRU2]]</f>
        <v>10</v>
      </c>
      <c r="AR35">
        <f t="shared" si="15"/>
        <v>1</v>
      </c>
      <c r="AS35">
        <f>step3_validation[[#This Row],[AI_TRU3]]</f>
        <v>7</v>
      </c>
      <c r="AT35">
        <f t="shared" si="16"/>
        <v>0.66666666666666663</v>
      </c>
      <c r="AU35">
        <f>survey_responses[[#This Row],[Tôi tin tưởng số tiền thuế tôi đóng sẽ được Nhà nước sử dụng hiệu quả để cải thiện dịch vụ công (y tế, đường xá...). - HUMAN-TRU3]]</f>
        <v>10</v>
      </c>
      <c r="AV35">
        <f t="shared" si="17"/>
        <v>1</v>
      </c>
      <c r="AW35">
        <f>step3_validation[[#This Row],[AI_TRU4]]</f>
        <v>8</v>
      </c>
      <c r="AX35">
        <f t="shared" si="18"/>
        <v>0.77777777777777779</v>
      </c>
      <c r="AY35">
        <f>survey_responses[[#This Row],[Tôi thấy Nhà nước đã giải thích rõ ràng, minh bạch về lý do và mục tiêu của việc sửa đổi thuế lần này. - HUMAN-TRU4]]</f>
        <v>10</v>
      </c>
      <c r="AZ35">
        <f t="shared" si="19"/>
        <v>1</v>
      </c>
      <c r="BA35" s="32">
        <f t="shared" si="20"/>
        <v>0.72222222222222221</v>
      </c>
      <c r="BB35" s="32">
        <f t="shared" si="21"/>
        <v>1</v>
      </c>
      <c r="BC35" s="7">
        <f t="shared" si="22"/>
        <v>0.72222222222222221</v>
      </c>
      <c r="BD35" s="7">
        <f t="shared" si="23"/>
        <v>1</v>
      </c>
      <c r="BE35">
        <f>step3_validation[[#This Row],[AI_OUT1]]</f>
        <v>8</v>
      </c>
      <c r="BF35">
        <f t="shared" si="24"/>
        <v>0.77777777777777779</v>
      </c>
      <c r="BG35">
        <f>survey_responses[[#This Row],[Sau khi xem xét các quyền lợi và nghĩa vụ, bạn có ủng hộ và tuân thủ chính sách mới hiện nay? - HUMAN-OUT1]]</f>
        <v>10</v>
      </c>
      <c r="BH35">
        <f t="shared" si="25"/>
        <v>1</v>
      </c>
      <c r="BI35" s="32">
        <f t="shared" si="26"/>
        <v>2</v>
      </c>
    </row>
    <row r="36" spans="1:61" x14ac:dyDescent="0.45">
      <c r="A36" s="30">
        <f>step3_validation[[#This Row],[Persona_ID]]</f>
        <v>35</v>
      </c>
      <c r="B36" s="31">
        <f>step3_validation[[#This Row],[Used_Seed]]</f>
        <v>2060</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16.904640139034235</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8</v>
      </c>
      <c r="R36">
        <f t="shared" si="0"/>
        <v>0.77777777777777779</v>
      </c>
      <c r="S36">
        <f>survey_responses[[#This Row],[Tôi tin rằng với các quy định quản lý thuế hiện nay, hành vi gian lận hoặc trốn thuế sẽ dễ dàng bị phát hiện và xử lý nghiêm. - HUMAN-ENF1]]</f>
        <v>10</v>
      </c>
      <c r="T36">
        <f t="shared" si="1"/>
        <v>1</v>
      </c>
      <c r="U36">
        <f>step3_validation[[#This Row],[AI_ENF2]]</f>
        <v>8</v>
      </c>
      <c r="V36">
        <f t="shared" si="2"/>
        <v>0.77777777777777779</v>
      </c>
      <c r="W36">
        <f>survey_responses[[#This Row],[Tôi tin rằng Nhà nước, cơ quan thuế có đủ khả năng và công nghệ để phát hiện, xử lý nghiêm các hành vi trốn thuế. - HUMAN-ENF2]]</f>
        <v>10</v>
      </c>
      <c r="X36">
        <f t="shared" si="3"/>
        <v>1</v>
      </c>
      <c r="Y36" s="32">
        <f t="shared" si="4"/>
        <v>0.77777777777777779</v>
      </c>
      <c r="Z36" s="32">
        <f t="shared" si="5"/>
        <v>1</v>
      </c>
      <c r="AA36">
        <f>step3_validation[[#This Row],[AI_FAC1]]</f>
        <v>9</v>
      </c>
      <c r="AB36">
        <f t="shared" si="6"/>
        <v>0.88888888888888884</v>
      </c>
      <c r="AC36">
        <f>survey_responses[[#This Row],[Các thủ tục khai báo thuế VÀ/HOẶC quy trình làm việc với cơ quan thuế đơn giản, tiện lợi, nhanh chóng hơn so với trước đây. - HUMAN-FAC1]]</f>
        <v>10</v>
      </c>
      <c r="AD36">
        <f t="shared" si="7"/>
        <v>1</v>
      </c>
      <c r="AE36">
        <f>step3_validation[[#This Row],[AI_FAC2]]</f>
        <v>9</v>
      </c>
      <c r="AF36">
        <f t="shared" si="8"/>
        <v>0.88888888888888884</v>
      </c>
      <c r="AG36">
        <f>survey_responses[[#This Row],[So với trước đây, tôi thấy cách tính thuế và các bậc thuế trong phương án mới đơn giản, dễ hiểu và dễ thực hiện hơn. - HUMAN-FAC2]]</f>
        <v>10</v>
      </c>
      <c r="AH36">
        <f t="shared" si="9"/>
        <v>1</v>
      </c>
      <c r="AI36" s="32">
        <f t="shared" si="10"/>
        <v>0.88888888888888884</v>
      </c>
      <c r="AJ36" s="32">
        <f t="shared" si="11"/>
        <v>1</v>
      </c>
      <c r="AK36">
        <f>step3_validation[[#This Row],[AI_TRU1]]</f>
        <v>9</v>
      </c>
      <c r="AL36">
        <f t="shared" si="12"/>
        <v>0.88888888888888884</v>
      </c>
      <c r="AM36">
        <f>survey_responses[[#This Row],[Tôi tin rằng Nhà nước, cơ quan thuế sẽ thực thi chính sách mới một cách khách quan, công tâm và đối xử bình đẳng với mọi người nộp thuế.  - HUMAN-TRU1]]</f>
        <v>10</v>
      </c>
      <c r="AN36">
        <f t="shared" si="13"/>
        <v>1</v>
      </c>
      <c r="AO36">
        <f>step3_validation[[#This Row],[AI_TRU2]]</f>
        <v>8</v>
      </c>
      <c r="AP36">
        <f t="shared" si="14"/>
        <v>0.77777777777777779</v>
      </c>
      <c r="AQ36">
        <f>survey_responses[[#This Row],[Tôi thấy mức thuế tôi phải đóng theo phương án mới là công bằng (người thu nhập như tôi đóng mức này là hợp lý). - HUMAN-TRU2]]</f>
        <v>10</v>
      </c>
      <c r="AR36">
        <f t="shared" si="15"/>
        <v>1</v>
      </c>
      <c r="AS36">
        <f>step3_validation[[#This Row],[AI_TRU3]]</f>
        <v>9</v>
      </c>
      <c r="AT36">
        <f t="shared" si="16"/>
        <v>0.88888888888888884</v>
      </c>
      <c r="AU36">
        <f>survey_responses[[#This Row],[Tôi tin tưởng số tiền thuế tôi đóng sẽ được Nhà nước sử dụng hiệu quả để cải thiện dịch vụ công (y tế, đường xá...). - HUMAN-TRU3]]</f>
        <v>10</v>
      </c>
      <c r="AV36">
        <f t="shared" si="17"/>
        <v>1</v>
      </c>
      <c r="AW36">
        <f>step3_validation[[#This Row],[AI_TRU4]]</f>
        <v>8</v>
      </c>
      <c r="AX36">
        <f t="shared" si="18"/>
        <v>0.77777777777777779</v>
      </c>
      <c r="AY36">
        <f>survey_responses[[#This Row],[Tôi thấy Nhà nước đã giải thích rõ ràng, minh bạch về lý do và mục tiêu của việc sửa đổi thuế lần này. - HUMAN-TRU4]]</f>
        <v>10</v>
      </c>
      <c r="AZ36">
        <f t="shared" si="19"/>
        <v>1</v>
      </c>
      <c r="BA36" s="32">
        <f t="shared" si="20"/>
        <v>0.83333333333333326</v>
      </c>
      <c r="BB36" s="32">
        <f t="shared" si="21"/>
        <v>1</v>
      </c>
      <c r="BC36" s="7">
        <f t="shared" si="22"/>
        <v>0.83333333333333337</v>
      </c>
      <c r="BD36" s="7">
        <f t="shared" si="23"/>
        <v>1</v>
      </c>
      <c r="BE36">
        <f>step3_validation[[#This Row],[AI_OUT1]]</f>
        <v>9</v>
      </c>
      <c r="BF36">
        <f t="shared" si="24"/>
        <v>0.88888888888888884</v>
      </c>
      <c r="BG36">
        <f>survey_responses[[#This Row],[Sau khi xem xét các quyền lợi và nghĩa vụ, bạn có ủng hộ và tuân thủ chính sách mới hiện nay? - HUMAN-OUT1]]</f>
        <v>10</v>
      </c>
      <c r="BH36">
        <f t="shared" si="25"/>
        <v>1</v>
      </c>
      <c r="BI36" s="32">
        <f t="shared" si="26"/>
        <v>1</v>
      </c>
    </row>
    <row r="37" spans="1:61" x14ac:dyDescent="0.45">
      <c r="A37" s="30">
        <f>step3_validation[[#This Row],[Persona_ID]]</f>
        <v>36</v>
      </c>
      <c r="B37" s="31">
        <f>step3_validation[[#This Row],[Used_Seed]]</f>
        <v>2061</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12.766162122864227</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7</v>
      </c>
      <c r="R37">
        <f t="shared" si="0"/>
        <v>0.66666666666666663</v>
      </c>
      <c r="S37">
        <f>survey_responses[[#This Row],[Tôi tin rằng với các quy định quản lý thuế hiện nay, hành vi gian lận hoặc trốn thuế sẽ dễ dàng bị phát hiện và xử lý nghiêm. - HUMAN-ENF1]]</f>
        <v>10</v>
      </c>
      <c r="T37">
        <f t="shared" si="1"/>
        <v>1</v>
      </c>
      <c r="U37">
        <f>step3_validation[[#This Row],[AI_ENF2]]</f>
        <v>6</v>
      </c>
      <c r="V37">
        <f t="shared" si="2"/>
        <v>0.55555555555555558</v>
      </c>
      <c r="W37">
        <f>survey_responses[[#This Row],[Tôi tin rằng Nhà nước, cơ quan thuế có đủ khả năng và công nghệ để phát hiện, xử lý nghiêm các hành vi trốn thuế. - HUMAN-ENF2]]</f>
        <v>9</v>
      </c>
      <c r="X37">
        <f t="shared" si="3"/>
        <v>0.88888888888888884</v>
      </c>
      <c r="Y37" s="32">
        <f t="shared" si="4"/>
        <v>0.61111111111111116</v>
      </c>
      <c r="Z37" s="32">
        <f t="shared" si="5"/>
        <v>0.94444444444444442</v>
      </c>
      <c r="AA37">
        <f>step3_validation[[#This Row],[AI_FAC1]]</f>
        <v>9</v>
      </c>
      <c r="AB37">
        <f t="shared" si="6"/>
        <v>0.88888888888888884</v>
      </c>
      <c r="AC37">
        <f>survey_responses[[#This Row],[Các thủ tục khai báo thuế VÀ/HOẶC quy trình làm việc với cơ quan thuế đơn giản, tiện lợi, nhanh chóng hơn so với trước đây. - HUMAN-FAC1]]</f>
        <v>10</v>
      </c>
      <c r="AD37">
        <f t="shared" si="7"/>
        <v>1</v>
      </c>
      <c r="AE37">
        <f>step3_validation[[#This Row],[AI_FAC2]]</f>
        <v>8</v>
      </c>
      <c r="AF37">
        <f t="shared" si="8"/>
        <v>0.77777777777777779</v>
      </c>
      <c r="AG37">
        <f>survey_responses[[#This Row],[So với trước đây, tôi thấy cách tính thuế và các bậc thuế trong phương án mới đơn giản, dễ hiểu và dễ thực hiện hơn. - HUMAN-FAC2]]</f>
        <v>8</v>
      </c>
      <c r="AH37">
        <f t="shared" si="9"/>
        <v>0.77777777777777779</v>
      </c>
      <c r="AI37" s="32">
        <f t="shared" si="10"/>
        <v>0.83333333333333326</v>
      </c>
      <c r="AJ37" s="32">
        <f t="shared" si="11"/>
        <v>0.88888888888888884</v>
      </c>
      <c r="AK37">
        <f>step3_validation[[#This Row],[AI_TRU1]]</f>
        <v>7</v>
      </c>
      <c r="AL37">
        <f t="shared" si="12"/>
        <v>0.66666666666666663</v>
      </c>
      <c r="AM37">
        <f>survey_responses[[#This Row],[Tôi tin rằng Nhà nước, cơ quan thuế sẽ thực thi chính sách mới một cách khách quan, công tâm và đối xử bình đẳng với mọi người nộp thuế.  - HUMAN-TRU1]]</f>
        <v>10</v>
      </c>
      <c r="AN37">
        <f t="shared" si="13"/>
        <v>1</v>
      </c>
      <c r="AO37">
        <f>step3_validation[[#This Row],[AI_TRU2]]</f>
        <v>8</v>
      </c>
      <c r="AP37">
        <f t="shared" si="14"/>
        <v>0.77777777777777779</v>
      </c>
      <c r="AQ37">
        <f>survey_responses[[#This Row],[Tôi thấy mức thuế tôi phải đóng theo phương án mới là công bằng (người thu nhập như tôi đóng mức này là hợp lý). - HUMAN-TRU2]]</f>
        <v>9</v>
      </c>
      <c r="AR37">
        <f t="shared" si="15"/>
        <v>0.88888888888888884</v>
      </c>
      <c r="AS37">
        <f>step3_validation[[#This Row],[AI_TRU3]]</f>
        <v>7</v>
      </c>
      <c r="AT37">
        <f t="shared" si="16"/>
        <v>0.66666666666666663</v>
      </c>
      <c r="AU37">
        <f>survey_responses[[#This Row],[Tôi tin tưởng số tiền thuế tôi đóng sẽ được Nhà nước sử dụng hiệu quả để cải thiện dịch vụ công (y tế, đường xá...). - HUMAN-TRU3]]</f>
        <v>10</v>
      </c>
      <c r="AV37">
        <f t="shared" si="17"/>
        <v>1</v>
      </c>
      <c r="AW37">
        <f>step3_validation[[#This Row],[AI_TRU4]]</f>
        <v>6</v>
      </c>
      <c r="AX37">
        <f t="shared" si="18"/>
        <v>0.55555555555555558</v>
      </c>
      <c r="AY37">
        <f>survey_responses[[#This Row],[Tôi thấy Nhà nước đã giải thích rõ ràng, minh bạch về lý do và mục tiêu của việc sửa đổi thuế lần này. - HUMAN-TRU4]]</f>
        <v>10</v>
      </c>
      <c r="AZ37">
        <f t="shared" si="19"/>
        <v>1</v>
      </c>
      <c r="BA37" s="32">
        <f t="shared" si="20"/>
        <v>0.66666666666666674</v>
      </c>
      <c r="BB37" s="32">
        <f t="shared" si="21"/>
        <v>0.97222222222222221</v>
      </c>
      <c r="BC37" s="7">
        <f t="shared" si="22"/>
        <v>0.70370370370370372</v>
      </c>
      <c r="BD37" s="7">
        <f t="shared" si="23"/>
        <v>0.93518518518518512</v>
      </c>
      <c r="BE37">
        <f>step3_validation[[#This Row],[AI_OUT1]]</f>
        <v>8</v>
      </c>
      <c r="BF37">
        <f t="shared" si="24"/>
        <v>0.77777777777777779</v>
      </c>
      <c r="BG37">
        <f>survey_responses[[#This Row],[Sau khi xem xét các quyền lợi và nghĩa vụ, bạn có ủng hộ và tuân thủ chính sách mới hiện nay? - HUMAN-OUT1]]</f>
        <v>10</v>
      </c>
      <c r="BH37">
        <f t="shared" si="25"/>
        <v>1</v>
      </c>
      <c r="BI37" s="32">
        <f t="shared" si="26"/>
        <v>2</v>
      </c>
    </row>
    <row r="38" spans="1:61" x14ac:dyDescent="0.45">
      <c r="A38" s="30">
        <f>step3_validation[[#This Row],[Persona_ID]]</f>
        <v>37</v>
      </c>
      <c r="B38" s="31">
        <f>step3_validation[[#This Row],[Used_Seed]]</f>
        <v>2062</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16.417761124094746</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6</v>
      </c>
      <c r="R38">
        <f t="shared" si="0"/>
        <v>0.55555555555555558</v>
      </c>
      <c r="S38">
        <f>survey_responses[[#This Row],[Tôi tin rằng với các quy định quản lý thuế hiện nay, hành vi gian lận hoặc trốn thuế sẽ dễ dàng bị phát hiện và xử lý nghiêm. - HUMAN-ENF1]]</f>
        <v>10</v>
      </c>
      <c r="T38">
        <f t="shared" si="1"/>
        <v>1</v>
      </c>
      <c r="U38">
        <f>step3_validation[[#This Row],[AI_ENF2]]</f>
        <v>8</v>
      </c>
      <c r="V38">
        <f t="shared" si="2"/>
        <v>0.77777777777777779</v>
      </c>
      <c r="W38">
        <f>survey_responses[[#This Row],[Tôi tin rằng Nhà nước, cơ quan thuế có đủ khả năng và công nghệ để phát hiện, xử lý nghiêm các hành vi trốn thuế. - HUMAN-ENF2]]</f>
        <v>10</v>
      </c>
      <c r="X38">
        <f t="shared" si="3"/>
        <v>1</v>
      </c>
      <c r="Y38" s="32">
        <f t="shared" si="4"/>
        <v>0.66666666666666674</v>
      </c>
      <c r="Z38" s="32">
        <f t="shared" si="5"/>
        <v>1</v>
      </c>
      <c r="AA38">
        <f>step3_validation[[#This Row],[AI_FAC1]]</f>
        <v>9</v>
      </c>
      <c r="AB38">
        <f t="shared" si="6"/>
        <v>0.88888888888888884</v>
      </c>
      <c r="AC38">
        <f>survey_responses[[#This Row],[Các thủ tục khai báo thuế VÀ/HOẶC quy trình làm việc với cơ quan thuế đơn giản, tiện lợi, nhanh chóng hơn so với trước đây. - HUMAN-FAC1]]</f>
        <v>10</v>
      </c>
      <c r="AD38">
        <f t="shared" si="7"/>
        <v>1</v>
      </c>
      <c r="AE38">
        <f>step3_validation[[#This Row],[AI_FAC2]]</f>
        <v>10</v>
      </c>
      <c r="AF38">
        <f t="shared" si="8"/>
        <v>1</v>
      </c>
      <c r="AG38">
        <f>survey_responses[[#This Row],[So với trước đây, tôi thấy cách tính thuế và các bậc thuế trong phương án mới đơn giản, dễ hiểu và dễ thực hiện hơn. - HUMAN-FAC2]]</f>
        <v>10</v>
      </c>
      <c r="AH38">
        <f t="shared" si="9"/>
        <v>1</v>
      </c>
      <c r="AI38" s="32">
        <f t="shared" si="10"/>
        <v>0.94444444444444442</v>
      </c>
      <c r="AJ38" s="32">
        <f t="shared" si="11"/>
        <v>1</v>
      </c>
      <c r="AK38">
        <f>step3_validation[[#This Row],[AI_TRU1]]</f>
        <v>8</v>
      </c>
      <c r="AL38">
        <f t="shared" si="12"/>
        <v>0.77777777777777779</v>
      </c>
      <c r="AM38">
        <f>survey_responses[[#This Row],[Tôi tin rằng Nhà nước, cơ quan thuế sẽ thực thi chính sách mới một cách khách quan, công tâm và đối xử bình đẳng với mọi người nộp thuế.  - HUMAN-TRU1]]</f>
        <v>9</v>
      </c>
      <c r="AN38">
        <f t="shared" si="13"/>
        <v>0.88888888888888884</v>
      </c>
      <c r="AO38">
        <f>step3_validation[[#This Row],[AI_TRU2]]</f>
        <v>9</v>
      </c>
      <c r="AP38">
        <f t="shared" si="14"/>
        <v>0.88888888888888884</v>
      </c>
      <c r="AQ38">
        <f>survey_responses[[#This Row],[Tôi thấy mức thuế tôi phải đóng theo phương án mới là công bằng (người thu nhập như tôi đóng mức này là hợp lý). - HUMAN-TRU2]]</f>
        <v>9</v>
      </c>
      <c r="AR38">
        <f t="shared" si="15"/>
        <v>0.88888888888888884</v>
      </c>
      <c r="AS38">
        <f>step3_validation[[#This Row],[AI_TRU3]]</f>
        <v>8</v>
      </c>
      <c r="AT38">
        <f t="shared" si="16"/>
        <v>0.77777777777777779</v>
      </c>
      <c r="AU38">
        <f>survey_responses[[#This Row],[Tôi tin tưởng số tiền thuế tôi đóng sẽ được Nhà nước sử dụng hiệu quả để cải thiện dịch vụ công (y tế, đường xá...). - HUMAN-TRU3]]</f>
        <v>9</v>
      </c>
      <c r="AV38">
        <f t="shared" si="17"/>
        <v>0.88888888888888884</v>
      </c>
      <c r="AW38">
        <f>step3_validation[[#This Row],[AI_TRU4]]</f>
        <v>7</v>
      </c>
      <c r="AX38">
        <f t="shared" si="18"/>
        <v>0.66666666666666663</v>
      </c>
      <c r="AY38">
        <f>survey_responses[[#This Row],[Tôi thấy Nhà nước đã giải thích rõ ràng, minh bạch về lý do và mục tiêu của việc sửa đổi thuế lần này. - HUMAN-TRU4]]</f>
        <v>9</v>
      </c>
      <c r="AZ38">
        <f t="shared" si="19"/>
        <v>0.88888888888888884</v>
      </c>
      <c r="BA38" s="32">
        <f t="shared" si="20"/>
        <v>0.77777777777777768</v>
      </c>
      <c r="BB38" s="32">
        <f t="shared" si="21"/>
        <v>0.88888888888888884</v>
      </c>
      <c r="BC38" s="7">
        <f t="shared" si="22"/>
        <v>0.79629629629629628</v>
      </c>
      <c r="BD38" s="7">
        <f t="shared" si="23"/>
        <v>0.96296296296296291</v>
      </c>
      <c r="BE38">
        <f>step3_validation[[#This Row],[AI_OUT1]]</f>
        <v>9</v>
      </c>
      <c r="BF38">
        <f t="shared" si="24"/>
        <v>0.88888888888888884</v>
      </c>
      <c r="BG38">
        <f>survey_responses[[#This Row],[Sau khi xem xét các quyền lợi và nghĩa vụ, bạn có ủng hộ và tuân thủ chính sách mới hiện nay? - HUMAN-OUT1]]</f>
        <v>8</v>
      </c>
      <c r="BH38">
        <f t="shared" si="25"/>
        <v>0.77777777777777779</v>
      </c>
      <c r="BI38" s="32">
        <f t="shared" si="26"/>
        <v>1</v>
      </c>
    </row>
    <row r="39" spans="1:61" x14ac:dyDescent="0.45">
      <c r="A39" s="30">
        <f>step3_validation[[#This Row],[Persona_ID]]</f>
        <v>38</v>
      </c>
      <c r="B39" s="31">
        <f>step3_validation[[#This Row],[Used_Seed]]</f>
        <v>2063</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36.770758499302943</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7</v>
      </c>
      <c r="R39">
        <f t="shared" si="0"/>
        <v>0.66666666666666663</v>
      </c>
      <c r="S39">
        <f>survey_responses[[#This Row],[Tôi tin rằng với các quy định quản lý thuế hiện nay, hành vi gian lận hoặc trốn thuế sẽ dễ dàng bị phát hiện và xử lý nghiêm. - HUMAN-ENF1]]</f>
        <v>8</v>
      </c>
      <c r="T39">
        <f t="shared" si="1"/>
        <v>0.77777777777777779</v>
      </c>
      <c r="U39">
        <f>step3_validation[[#This Row],[AI_ENF2]]</f>
        <v>8</v>
      </c>
      <c r="V39">
        <f t="shared" si="2"/>
        <v>0.77777777777777779</v>
      </c>
      <c r="W39">
        <f>survey_responses[[#This Row],[Tôi tin rằng Nhà nước, cơ quan thuế có đủ khả năng và công nghệ để phát hiện, xử lý nghiêm các hành vi trốn thuế. - HUMAN-ENF2]]</f>
        <v>8</v>
      </c>
      <c r="X39">
        <f t="shared" si="3"/>
        <v>0.77777777777777779</v>
      </c>
      <c r="Y39" s="32">
        <f t="shared" si="4"/>
        <v>0.72222222222222221</v>
      </c>
      <c r="Z39" s="32">
        <f t="shared" si="5"/>
        <v>0.77777777777777779</v>
      </c>
      <c r="AA39">
        <f>step3_validation[[#This Row],[AI_FAC1]]</f>
        <v>6</v>
      </c>
      <c r="AB39">
        <f t="shared" si="6"/>
        <v>0.55555555555555558</v>
      </c>
      <c r="AC39">
        <f>survey_responses[[#This Row],[Các thủ tục khai báo thuế VÀ/HOẶC quy trình làm việc với cơ quan thuế đơn giản, tiện lợi, nhanh chóng hơn so với trước đây. - HUMAN-FAC1]]</f>
        <v>8</v>
      </c>
      <c r="AD39">
        <f t="shared" si="7"/>
        <v>0.77777777777777779</v>
      </c>
      <c r="AE39">
        <f>step3_validation[[#This Row],[AI_FAC2]]</f>
        <v>9</v>
      </c>
      <c r="AF39">
        <f t="shared" si="8"/>
        <v>0.88888888888888884</v>
      </c>
      <c r="AG39">
        <f>survey_responses[[#This Row],[So với trước đây, tôi thấy cách tính thuế và các bậc thuế trong phương án mới đơn giản, dễ hiểu và dễ thực hiện hơn. - HUMAN-FAC2]]</f>
        <v>8</v>
      </c>
      <c r="AH39">
        <f t="shared" si="9"/>
        <v>0.77777777777777779</v>
      </c>
      <c r="AI39" s="32">
        <f t="shared" si="10"/>
        <v>0.72222222222222221</v>
      </c>
      <c r="AJ39" s="32">
        <f t="shared" si="11"/>
        <v>0.77777777777777779</v>
      </c>
      <c r="AK39">
        <f>step3_validation[[#This Row],[AI_TRU1]]</f>
        <v>8</v>
      </c>
      <c r="AL39">
        <f t="shared" si="12"/>
        <v>0.77777777777777779</v>
      </c>
      <c r="AM39">
        <f>survey_responses[[#This Row],[Tôi tin rằng Nhà nước, cơ quan thuế sẽ thực thi chính sách mới một cách khách quan, công tâm và đối xử bình đẳng với mọi người nộp thuế.  - HUMAN-TRU1]]</f>
        <v>8</v>
      </c>
      <c r="AN39">
        <f t="shared" si="13"/>
        <v>0.77777777777777779</v>
      </c>
      <c r="AO39">
        <f>step3_validation[[#This Row],[AI_TRU2]]</f>
        <v>7</v>
      </c>
      <c r="AP39">
        <f t="shared" si="14"/>
        <v>0.66666666666666663</v>
      </c>
      <c r="AQ39">
        <f>survey_responses[[#This Row],[Tôi thấy mức thuế tôi phải đóng theo phương án mới là công bằng (người thu nhập như tôi đóng mức này là hợp lý). - HUMAN-TRU2]]</f>
        <v>8</v>
      </c>
      <c r="AR39">
        <f t="shared" si="15"/>
        <v>0.77777777777777779</v>
      </c>
      <c r="AS39">
        <f>step3_validation[[#This Row],[AI_TRU3]]</f>
        <v>6</v>
      </c>
      <c r="AT39">
        <f t="shared" si="16"/>
        <v>0.55555555555555558</v>
      </c>
      <c r="AU39">
        <f>survey_responses[[#This Row],[Tôi tin tưởng số tiền thuế tôi đóng sẽ được Nhà nước sử dụng hiệu quả để cải thiện dịch vụ công (y tế, đường xá...). - HUMAN-TRU3]]</f>
        <v>8</v>
      </c>
      <c r="AV39">
        <f t="shared" si="17"/>
        <v>0.77777777777777779</v>
      </c>
      <c r="AW39">
        <f>step3_validation[[#This Row],[AI_TRU4]]</f>
        <v>7</v>
      </c>
      <c r="AX39">
        <f t="shared" si="18"/>
        <v>0.66666666666666663</v>
      </c>
      <c r="AY39">
        <f>survey_responses[[#This Row],[Tôi thấy Nhà nước đã giải thích rõ ràng, minh bạch về lý do và mục tiêu của việc sửa đổi thuế lần này. - HUMAN-TRU4]]</f>
        <v>8</v>
      </c>
      <c r="AZ39">
        <f t="shared" si="19"/>
        <v>0.77777777777777779</v>
      </c>
      <c r="BA39" s="32">
        <f t="shared" si="20"/>
        <v>0.66666666666666663</v>
      </c>
      <c r="BB39" s="32">
        <f t="shared" si="21"/>
        <v>0.77777777777777779</v>
      </c>
      <c r="BC39" s="7">
        <f t="shared" si="22"/>
        <v>0.70370370370370372</v>
      </c>
      <c r="BD39" s="7">
        <f t="shared" si="23"/>
        <v>0.77777777777777779</v>
      </c>
      <c r="BE39">
        <f>step3_validation[[#This Row],[AI_OUT1]]</f>
        <v>9</v>
      </c>
      <c r="BF39">
        <f t="shared" si="24"/>
        <v>0.88888888888888884</v>
      </c>
      <c r="BG39">
        <f>survey_responses[[#This Row],[Sau khi xem xét các quyền lợi và nghĩa vụ, bạn có ủng hộ và tuân thủ chính sách mới hiện nay? - HUMAN-OUT1]]</f>
        <v>8</v>
      </c>
      <c r="BH39">
        <f t="shared" si="25"/>
        <v>0.77777777777777779</v>
      </c>
      <c r="BI39" s="32">
        <f t="shared" si="26"/>
        <v>1</v>
      </c>
    </row>
    <row r="40" spans="1:61" x14ac:dyDescent="0.45">
      <c r="A40" s="30">
        <f>step3_validation[[#This Row],[Persona_ID]]</f>
        <v>39</v>
      </c>
      <c r="B40" s="31">
        <f>step3_validation[[#This Row],[Used_Seed]]</f>
        <v>2064</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15.260241947641184</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6</v>
      </c>
      <c r="R40">
        <f t="shared" si="0"/>
        <v>0.55555555555555558</v>
      </c>
      <c r="S40">
        <f>survey_responses[[#This Row],[Tôi tin rằng với các quy định quản lý thuế hiện nay, hành vi gian lận hoặc trốn thuế sẽ dễ dàng bị phát hiện và xử lý nghiêm. - HUMAN-ENF1]]</f>
        <v>10</v>
      </c>
      <c r="T40">
        <f t="shared" si="1"/>
        <v>1</v>
      </c>
      <c r="U40">
        <f>step3_validation[[#This Row],[AI_ENF2]]</f>
        <v>5</v>
      </c>
      <c r="V40">
        <f t="shared" si="2"/>
        <v>0.44444444444444442</v>
      </c>
      <c r="W40">
        <f>survey_responses[[#This Row],[Tôi tin rằng Nhà nước, cơ quan thuế có đủ khả năng và công nghệ để phát hiện, xử lý nghiêm các hành vi trốn thuế. - HUMAN-ENF2]]</f>
        <v>10</v>
      </c>
      <c r="X40">
        <f t="shared" si="3"/>
        <v>1</v>
      </c>
      <c r="Y40" s="32">
        <f t="shared" si="4"/>
        <v>0.5</v>
      </c>
      <c r="Z40" s="32">
        <f t="shared" si="5"/>
        <v>1</v>
      </c>
      <c r="AA40">
        <f>step3_validation[[#This Row],[AI_FAC1]]</f>
        <v>9</v>
      </c>
      <c r="AB40">
        <f t="shared" si="6"/>
        <v>0.88888888888888884</v>
      </c>
      <c r="AC40">
        <f>survey_responses[[#This Row],[Các thủ tục khai báo thuế VÀ/HOẶC quy trình làm việc với cơ quan thuế đơn giản, tiện lợi, nhanh chóng hơn so với trước đây. - HUMAN-FAC1]]</f>
        <v>10</v>
      </c>
      <c r="AD40">
        <f t="shared" si="7"/>
        <v>1</v>
      </c>
      <c r="AE40">
        <f>step3_validation[[#This Row],[AI_FAC2]]</f>
        <v>10</v>
      </c>
      <c r="AF40">
        <f t="shared" si="8"/>
        <v>1</v>
      </c>
      <c r="AG40">
        <f>survey_responses[[#This Row],[So với trước đây, tôi thấy cách tính thuế và các bậc thuế trong phương án mới đơn giản, dễ hiểu và dễ thực hiện hơn. - HUMAN-FAC2]]</f>
        <v>10</v>
      </c>
      <c r="AH40">
        <f t="shared" si="9"/>
        <v>1</v>
      </c>
      <c r="AI40" s="32">
        <f t="shared" si="10"/>
        <v>0.94444444444444442</v>
      </c>
      <c r="AJ40" s="32">
        <f t="shared" si="11"/>
        <v>1</v>
      </c>
      <c r="AK40">
        <f>step3_validation[[#This Row],[AI_TRU1]]</f>
        <v>8</v>
      </c>
      <c r="AL40">
        <f t="shared" si="12"/>
        <v>0.77777777777777779</v>
      </c>
      <c r="AM40">
        <f>survey_responses[[#This Row],[Tôi tin rằng Nhà nước, cơ quan thuế sẽ thực thi chính sách mới một cách khách quan, công tâm và đối xử bình đẳng với mọi người nộp thuế.  - HUMAN-TRU1]]</f>
        <v>10</v>
      </c>
      <c r="AN40">
        <f t="shared" si="13"/>
        <v>1</v>
      </c>
      <c r="AO40">
        <f>step3_validation[[#This Row],[AI_TRU2]]</f>
        <v>9</v>
      </c>
      <c r="AP40">
        <f t="shared" si="14"/>
        <v>0.88888888888888884</v>
      </c>
      <c r="AQ40">
        <f>survey_responses[[#This Row],[Tôi thấy mức thuế tôi phải đóng theo phương án mới là công bằng (người thu nhập như tôi đóng mức này là hợp lý). - HUMAN-TRU2]]</f>
        <v>10</v>
      </c>
      <c r="AR40">
        <f t="shared" si="15"/>
        <v>1</v>
      </c>
      <c r="AS40">
        <f>step3_validation[[#This Row],[AI_TRU3]]</f>
        <v>7</v>
      </c>
      <c r="AT40">
        <f t="shared" si="16"/>
        <v>0.66666666666666663</v>
      </c>
      <c r="AU40">
        <f>survey_responses[[#This Row],[Tôi tin tưởng số tiền thuế tôi đóng sẽ được Nhà nước sử dụng hiệu quả để cải thiện dịch vụ công (y tế, đường xá...). - HUMAN-TRU3]]</f>
        <v>10</v>
      </c>
      <c r="AV40">
        <f t="shared" si="17"/>
        <v>1</v>
      </c>
      <c r="AW40">
        <f>step3_validation[[#This Row],[AI_TRU4]]</f>
        <v>8</v>
      </c>
      <c r="AX40">
        <f t="shared" si="18"/>
        <v>0.77777777777777779</v>
      </c>
      <c r="AY40">
        <f>survey_responses[[#This Row],[Tôi thấy Nhà nước đã giải thích rõ ràng, minh bạch về lý do và mục tiêu của việc sửa đổi thuế lần này. - HUMAN-TRU4]]</f>
        <v>10</v>
      </c>
      <c r="AZ40">
        <f t="shared" si="19"/>
        <v>1</v>
      </c>
      <c r="BA40" s="32">
        <f t="shared" si="20"/>
        <v>0.77777777777777768</v>
      </c>
      <c r="BB40" s="32">
        <f t="shared" si="21"/>
        <v>1</v>
      </c>
      <c r="BC40" s="7">
        <f t="shared" si="22"/>
        <v>0.74074074074074081</v>
      </c>
      <c r="BD40" s="7">
        <f t="shared" si="23"/>
        <v>1</v>
      </c>
      <c r="BE40">
        <f>step3_validation[[#This Row],[AI_OUT1]]</f>
        <v>9</v>
      </c>
      <c r="BF40">
        <f t="shared" si="24"/>
        <v>0.88888888888888884</v>
      </c>
      <c r="BG40">
        <f>survey_responses[[#This Row],[Sau khi xem xét các quyền lợi và nghĩa vụ, bạn có ủng hộ và tuân thủ chính sách mới hiện nay? - HUMAN-OUT1]]</f>
        <v>10</v>
      </c>
      <c r="BH40">
        <f t="shared" si="25"/>
        <v>1</v>
      </c>
      <c r="BI40" s="32">
        <f t="shared" si="26"/>
        <v>1</v>
      </c>
    </row>
    <row r="41" spans="1:61" x14ac:dyDescent="0.45">
      <c r="A41" s="30">
        <f>step3_validation[[#This Row],[Persona_ID]]</f>
        <v>40</v>
      </c>
      <c r="B41" s="31">
        <f>step3_validation[[#This Row],[Used_Seed]]</f>
        <v>2065</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213.1129214539863</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9</v>
      </c>
      <c r="R41">
        <f t="shared" si="0"/>
        <v>0.88888888888888884</v>
      </c>
      <c r="S41">
        <f>survey_responses[[#This Row],[Tôi tin rằng với các quy định quản lý thuế hiện nay, hành vi gian lận hoặc trốn thuế sẽ dễ dàng bị phát hiện và xử lý nghiêm. - HUMAN-ENF1]]</f>
        <v>8</v>
      </c>
      <c r="T41">
        <f t="shared" si="1"/>
        <v>0.77777777777777779</v>
      </c>
      <c r="U41">
        <f>step3_validation[[#This Row],[AI_ENF2]]</f>
        <v>8</v>
      </c>
      <c r="V41">
        <f t="shared" si="2"/>
        <v>0.77777777777777779</v>
      </c>
      <c r="W41">
        <f>survey_responses[[#This Row],[Tôi tin rằng Nhà nước, cơ quan thuế có đủ khả năng và công nghệ để phát hiện, xử lý nghiêm các hành vi trốn thuế. - HUMAN-ENF2]]</f>
        <v>8</v>
      </c>
      <c r="X41">
        <f t="shared" si="3"/>
        <v>0.77777777777777779</v>
      </c>
      <c r="Y41" s="32">
        <f t="shared" si="4"/>
        <v>0.83333333333333326</v>
      </c>
      <c r="Z41" s="32">
        <f t="shared" si="5"/>
        <v>0.77777777777777779</v>
      </c>
      <c r="AA41">
        <f>step3_validation[[#This Row],[AI_FAC1]]</f>
        <v>9</v>
      </c>
      <c r="AB41">
        <f t="shared" si="6"/>
        <v>0.88888888888888884</v>
      </c>
      <c r="AC41">
        <f>survey_responses[[#This Row],[Các thủ tục khai báo thuế VÀ/HOẶC quy trình làm việc với cơ quan thuế đơn giản, tiện lợi, nhanh chóng hơn so với trước đây. - HUMAN-FAC1]]</f>
        <v>6</v>
      </c>
      <c r="AD41">
        <f t="shared" si="7"/>
        <v>0.55555555555555558</v>
      </c>
      <c r="AE41">
        <f>step3_validation[[#This Row],[AI_FAC2]]</f>
        <v>8</v>
      </c>
      <c r="AF41">
        <f t="shared" si="8"/>
        <v>0.77777777777777779</v>
      </c>
      <c r="AG41">
        <f>survey_responses[[#This Row],[So với trước đây, tôi thấy cách tính thuế và các bậc thuế trong phương án mới đơn giản, dễ hiểu và dễ thực hiện hơn. - HUMAN-FAC2]]</f>
        <v>8</v>
      </c>
      <c r="AH41">
        <f t="shared" si="9"/>
        <v>0.77777777777777779</v>
      </c>
      <c r="AI41" s="32">
        <f t="shared" si="10"/>
        <v>0.83333333333333326</v>
      </c>
      <c r="AJ41" s="32">
        <f t="shared" si="11"/>
        <v>0.66666666666666674</v>
      </c>
      <c r="AK41">
        <f>step3_validation[[#This Row],[AI_TRU1]]</f>
        <v>9</v>
      </c>
      <c r="AL41">
        <f t="shared" si="12"/>
        <v>0.88888888888888884</v>
      </c>
      <c r="AM41">
        <f>survey_responses[[#This Row],[Tôi tin rằng Nhà nước, cơ quan thuế sẽ thực thi chính sách mới một cách khách quan, công tâm và đối xử bình đẳng với mọi người nộp thuế.  - HUMAN-TRU1]]</f>
        <v>7</v>
      </c>
      <c r="AN41">
        <f t="shared" si="13"/>
        <v>0.66666666666666663</v>
      </c>
      <c r="AO41">
        <f>step3_validation[[#This Row],[AI_TRU2]]</f>
        <v>8</v>
      </c>
      <c r="AP41">
        <f t="shared" si="14"/>
        <v>0.77777777777777779</v>
      </c>
      <c r="AQ41">
        <f>survey_responses[[#This Row],[Tôi thấy mức thuế tôi phải đóng theo phương án mới là công bằng (người thu nhập như tôi đóng mức này là hợp lý). - HUMAN-TRU2]]</f>
        <v>8</v>
      </c>
      <c r="AR41">
        <f t="shared" si="15"/>
        <v>0.77777777777777779</v>
      </c>
      <c r="AS41">
        <f>step3_validation[[#This Row],[AI_TRU3]]</f>
        <v>9</v>
      </c>
      <c r="AT41">
        <f t="shared" si="16"/>
        <v>0.88888888888888884</v>
      </c>
      <c r="AU41">
        <f>survey_responses[[#This Row],[Tôi tin tưởng số tiền thuế tôi đóng sẽ được Nhà nước sử dụng hiệu quả để cải thiện dịch vụ công (y tế, đường xá...). - HUMAN-TRU3]]</f>
        <v>5</v>
      </c>
      <c r="AV41">
        <f t="shared" si="17"/>
        <v>0.44444444444444442</v>
      </c>
      <c r="AW41">
        <f>step3_validation[[#This Row],[AI_TRU4]]</f>
        <v>8</v>
      </c>
      <c r="AX41">
        <f t="shared" si="18"/>
        <v>0.77777777777777779</v>
      </c>
      <c r="AY41">
        <f>survey_responses[[#This Row],[Tôi thấy Nhà nước đã giải thích rõ ràng, minh bạch về lý do và mục tiêu của việc sửa đổi thuế lần này. - HUMAN-TRU4]]</f>
        <v>6</v>
      </c>
      <c r="AZ41">
        <f t="shared" si="19"/>
        <v>0.55555555555555558</v>
      </c>
      <c r="BA41" s="32">
        <f t="shared" si="20"/>
        <v>0.83333333333333326</v>
      </c>
      <c r="BB41" s="32">
        <f t="shared" si="21"/>
        <v>0.61111111111111116</v>
      </c>
      <c r="BC41" s="7">
        <f t="shared" si="22"/>
        <v>0.83333333333333337</v>
      </c>
      <c r="BD41" s="7">
        <f t="shared" si="23"/>
        <v>0.68518518518518523</v>
      </c>
      <c r="BE41">
        <f>step3_validation[[#This Row],[AI_OUT1]]</f>
        <v>9</v>
      </c>
      <c r="BF41">
        <f t="shared" si="24"/>
        <v>0.88888888888888884</v>
      </c>
      <c r="BG41">
        <f>survey_responses[[#This Row],[Sau khi xem xét các quyền lợi và nghĩa vụ, bạn có ủng hộ và tuân thủ chính sách mới hiện nay? - HUMAN-OUT1]]</f>
        <v>7</v>
      </c>
      <c r="BH41">
        <f t="shared" si="25"/>
        <v>0.66666666666666663</v>
      </c>
      <c r="BI41" s="32">
        <f t="shared" si="26"/>
        <v>2</v>
      </c>
    </row>
    <row r="42" spans="1:61" x14ac:dyDescent="0.45">
      <c r="A42" s="30">
        <f>step3_validation[[#This Row],[Persona_ID]]</f>
        <v>41</v>
      </c>
      <c r="B42" s="31">
        <f>step3_validation[[#This Row],[Used_Seed]]</f>
        <v>2066</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70.305033061748276</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8</v>
      </c>
      <c r="R42">
        <f t="shared" si="0"/>
        <v>0.77777777777777779</v>
      </c>
      <c r="S42">
        <f>survey_responses[[#This Row],[Tôi tin rằng với các quy định quản lý thuế hiện nay, hành vi gian lận hoặc trốn thuế sẽ dễ dàng bị phát hiện và xử lý nghiêm. - HUMAN-ENF1]]</f>
        <v>9</v>
      </c>
      <c r="T42">
        <f t="shared" si="1"/>
        <v>0.88888888888888884</v>
      </c>
      <c r="U42">
        <f>step3_validation[[#This Row],[AI_ENF2]]</f>
        <v>9</v>
      </c>
      <c r="V42">
        <f t="shared" si="2"/>
        <v>0.88888888888888884</v>
      </c>
      <c r="W42">
        <f>survey_responses[[#This Row],[Tôi tin rằng Nhà nước, cơ quan thuế có đủ khả năng và công nghệ để phát hiện, xử lý nghiêm các hành vi trốn thuế. - HUMAN-ENF2]]</f>
        <v>8</v>
      </c>
      <c r="X42">
        <f t="shared" si="3"/>
        <v>0.77777777777777779</v>
      </c>
      <c r="Y42" s="32">
        <f t="shared" si="4"/>
        <v>0.83333333333333326</v>
      </c>
      <c r="Z42" s="32">
        <f t="shared" si="5"/>
        <v>0.83333333333333326</v>
      </c>
      <c r="AA42">
        <f>step3_validation[[#This Row],[AI_FAC1]]</f>
        <v>8</v>
      </c>
      <c r="AB42">
        <f t="shared" si="6"/>
        <v>0.77777777777777779</v>
      </c>
      <c r="AC42">
        <f>survey_responses[[#This Row],[Các thủ tục khai báo thuế VÀ/HOẶC quy trình làm việc với cơ quan thuế đơn giản, tiện lợi, nhanh chóng hơn so với trước đây. - HUMAN-FAC1]]</f>
        <v>7</v>
      </c>
      <c r="AD42">
        <f t="shared" si="7"/>
        <v>0.66666666666666663</v>
      </c>
      <c r="AE42">
        <f>step3_validation[[#This Row],[AI_FAC2]]</f>
        <v>9</v>
      </c>
      <c r="AF42">
        <f t="shared" si="8"/>
        <v>0.88888888888888884</v>
      </c>
      <c r="AG42">
        <f>survey_responses[[#This Row],[So với trước đây, tôi thấy cách tính thuế và các bậc thuế trong phương án mới đơn giản, dễ hiểu và dễ thực hiện hơn. - HUMAN-FAC2]]</f>
        <v>8</v>
      </c>
      <c r="AH42">
        <f t="shared" si="9"/>
        <v>0.77777777777777779</v>
      </c>
      <c r="AI42" s="32">
        <f t="shared" si="10"/>
        <v>0.83333333333333326</v>
      </c>
      <c r="AJ42" s="32">
        <f t="shared" si="11"/>
        <v>0.72222222222222221</v>
      </c>
      <c r="AK42">
        <f>step3_validation[[#This Row],[AI_TRU1]]</f>
        <v>8</v>
      </c>
      <c r="AL42">
        <f t="shared" si="12"/>
        <v>0.77777777777777779</v>
      </c>
      <c r="AM42">
        <f>survey_responses[[#This Row],[Tôi tin rằng Nhà nước, cơ quan thuế sẽ thực thi chính sách mới một cách khách quan, công tâm và đối xử bình đẳng với mọi người nộp thuế.  - HUMAN-TRU1]]</f>
        <v>7</v>
      </c>
      <c r="AN42">
        <f t="shared" si="13"/>
        <v>0.66666666666666663</v>
      </c>
      <c r="AO42">
        <f>step3_validation[[#This Row],[AI_TRU2]]</f>
        <v>9</v>
      </c>
      <c r="AP42">
        <f t="shared" si="14"/>
        <v>0.88888888888888884</v>
      </c>
      <c r="AQ42">
        <f>survey_responses[[#This Row],[Tôi thấy mức thuế tôi phải đóng theo phương án mới là công bằng (người thu nhập như tôi đóng mức này là hợp lý). - HUMAN-TRU2]]</f>
        <v>4</v>
      </c>
      <c r="AR42">
        <f t="shared" si="15"/>
        <v>0.33333333333333331</v>
      </c>
      <c r="AS42">
        <f>step3_validation[[#This Row],[AI_TRU3]]</f>
        <v>8</v>
      </c>
      <c r="AT42">
        <f t="shared" si="16"/>
        <v>0.77777777777777779</v>
      </c>
      <c r="AU42">
        <f>survey_responses[[#This Row],[Tôi tin tưởng số tiền thuế tôi đóng sẽ được Nhà nước sử dụng hiệu quả để cải thiện dịch vụ công (y tế, đường xá...). - HUMAN-TRU3]]</f>
        <v>2</v>
      </c>
      <c r="AV42">
        <f t="shared" si="17"/>
        <v>0.1111111111111111</v>
      </c>
      <c r="AW42">
        <f>step3_validation[[#This Row],[AI_TRU4]]</f>
        <v>9</v>
      </c>
      <c r="AX42">
        <f t="shared" si="18"/>
        <v>0.88888888888888884</v>
      </c>
      <c r="AY42">
        <f>survey_responses[[#This Row],[Tôi thấy Nhà nước đã giải thích rõ ràng, minh bạch về lý do và mục tiêu của việc sửa đổi thuế lần này. - HUMAN-TRU4]]</f>
        <v>8</v>
      </c>
      <c r="AZ42">
        <f t="shared" si="19"/>
        <v>0.77777777777777779</v>
      </c>
      <c r="BA42" s="32">
        <f t="shared" si="20"/>
        <v>0.83333333333333326</v>
      </c>
      <c r="BB42" s="32">
        <f t="shared" si="21"/>
        <v>0.47222222222222221</v>
      </c>
      <c r="BC42" s="7">
        <f t="shared" si="22"/>
        <v>0.83333333333333337</v>
      </c>
      <c r="BD42" s="7">
        <f t="shared" si="23"/>
        <v>0.67592592592592593</v>
      </c>
      <c r="BE42">
        <f>step3_validation[[#This Row],[AI_OUT1]]</f>
        <v>10</v>
      </c>
      <c r="BF42">
        <f t="shared" si="24"/>
        <v>1</v>
      </c>
      <c r="BG42">
        <f>survey_responses[[#This Row],[Sau khi xem xét các quyền lợi và nghĩa vụ, bạn có ủng hộ và tuân thủ chính sách mới hiện nay? - HUMAN-OUT1]]</f>
        <v>8</v>
      </c>
      <c r="BH42">
        <f t="shared" si="25"/>
        <v>0.77777777777777779</v>
      </c>
      <c r="BI42" s="32">
        <f t="shared" si="26"/>
        <v>2</v>
      </c>
    </row>
    <row r="43" spans="1:61" x14ac:dyDescent="0.45">
      <c r="A43" s="30">
        <f>step3_validation[[#This Row],[Persona_ID]]</f>
        <v>42</v>
      </c>
      <c r="B43" s="31">
        <f>step3_validation[[#This Row],[Used_Seed]]</f>
        <v>2067</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44.491598483886804</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7</v>
      </c>
      <c r="R43">
        <f t="shared" si="0"/>
        <v>0.66666666666666663</v>
      </c>
      <c r="S43">
        <f>survey_responses[[#This Row],[Tôi tin rằng với các quy định quản lý thuế hiện nay, hành vi gian lận hoặc trốn thuế sẽ dễ dàng bị phát hiện và xử lý nghiêm. - HUMAN-ENF1]]</f>
        <v>10</v>
      </c>
      <c r="T43">
        <f t="shared" si="1"/>
        <v>1</v>
      </c>
      <c r="U43">
        <f>step3_validation[[#This Row],[AI_ENF2]]</f>
        <v>8</v>
      </c>
      <c r="V43">
        <f t="shared" si="2"/>
        <v>0.77777777777777779</v>
      </c>
      <c r="W43">
        <f>survey_responses[[#This Row],[Tôi tin rằng Nhà nước, cơ quan thuế có đủ khả năng và công nghệ để phát hiện, xử lý nghiêm các hành vi trốn thuế. - HUMAN-ENF2]]</f>
        <v>10</v>
      </c>
      <c r="X43">
        <f t="shared" si="3"/>
        <v>1</v>
      </c>
      <c r="Y43" s="32">
        <f t="shared" si="4"/>
        <v>0.72222222222222221</v>
      </c>
      <c r="Z43" s="32">
        <f t="shared" si="5"/>
        <v>1</v>
      </c>
      <c r="AA43">
        <f>step3_validation[[#This Row],[AI_FAC1]]</f>
        <v>9</v>
      </c>
      <c r="AB43">
        <f t="shared" si="6"/>
        <v>0.88888888888888884</v>
      </c>
      <c r="AC43">
        <f>survey_responses[[#This Row],[Các thủ tục khai báo thuế VÀ/HOẶC quy trình làm việc với cơ quan thuế đơn giản, tiện lợi, nhanh chóng hơn so với trước đây. - HUMAN-FAC1]]</f>
        <v>9</v>
      </c>
      <c r="AD43">
        <f t="shared" si="7"/>
        <v>0.88888888888888884</v>
      </c>
      <c r="AE43">
        <f>step3_validation[[#This Row],[AI_FAC2]]</f>
        <v>9</v>
      </c>
      <c r="AF43">
        <f t="shared" si="8"/>
        <v>0.88888888888888884</v>
      </c>
      <c r="AG43">
        <f>survey_responses[[#This Row],[So với trước đây, tôi thấy cách tính thuế và các bậc thuế trong phương án mới đơn giản, dễ hiểu và dễ thực hiện hơn. - HUMAN-FAC2]]</f>
        <v>8</v>
      </c>
      <c r="AH43">
        <f t="shared" si="9"/>
        <v>0.77777777777777779</v>
      </c>
      <c r="AI43" s="32">
        <f t="shared" si="10"/>
        <v>0.88888888888888884</v>
      </c>
      <c r="AJ43" s="32">
        <f t="shared" si="11"/>
        <v>0.83333333333333326</v>
      </c>
      <c r="AK43">
        <f>step3_validation[[#This Row],[AI_TRU1]]</f>
        <v>8</v>
      </c>
      <c r="AL43">
        <f t="shared" si="12"/>
        <v>0.77777777777777779</v>
      </c>
      <c r="AM43">
        <f>survey_responses[[#This Row],[Tôi tin rằng Nhà nước, cơ quan thuế sẽ thực thi chính sách mới một cách khách quan, công tâm và đối xử bình đẳng với mọi người nộp thuế.  - HUMAN-TRU1]]</f>
        <v>7</v>
      </c>
      <c r="AN43">
        <f t="shared" si="13"/>
        <v>0.66666666666666663</v>
      </c>
      <c r="AO43">
        <f>step3_validation[[#This Row],[AI_TRU2]]</f>
        <v>9</v>
      </c>
      <c r="AP43">
        <f t="shared" si="14"/>
        <v>0.88888888888888884</v>
      </c>
      <c r="AQ43">
        <f>survey_responses[[#This Row],[Tôi thấy mức thuế tôi phải đóng theo phương án mới là công bằng (người thu nhập như tôi đóng mức này là hợp lý). - HUMAN-TRU2]]</f>
        <v>9</v>
      </c>
      <c r="AR43">
        <f t="shared" si="15"/>
        <v>0.88888888888888884</v>
      </c>
      <c r="AS43">
        <f>step3_validation[[#This Row],[AI_TRU3]]</f>
        <v>7</v>
      </c>
      <c r="AT43">
        <f t="shared" si="16"/>
        <v>0.66666666666666663</v>
      </c>
      <c r="AU43">
        <f>survey_responses[[#This Row],[Tôi tin tưởng số tiền thuế tôi đóng sẽ được Nhà nước sử dụng hiệu quả để cải thiện dịch vụ công (y tế, đường xá...). - HUMAN-TRU3]]</f>
        <v>9</v>
      </c>
      <c r="AV43">
        <f t="shared" si="17"/>
        <v>0.88888888888888884</v>
      </c>
      <c r="AW43">
        <f>step3_validation[[#This Row],[AI_TRU4]]</f>
        <v>8</v>
      </c>
      <c r="AX43">
        <f t="shared" si="18"/>
        <v>0.77777777777777779</v>
      </c>
      <c r="AY43">
        <f>survey_responses[[#This Row],[Tôi thấy Nhà nước đã giải thích rõ ràng, minh bạch về lý do và mục tiêu của việc sửa đổi thuế lần này. - HUMAN-TRU4]]</f>
        <v>8</v>
      </c>
      <c r="AZ43">
        <f t="shared" si="19"/>
        <v>0.77777777777777779</v>
      </c>
      <c r="BA43" s="32">
        <f t="shared" si="20"/>
        <v>0.77777777777777768</v>
      </c>
      <c r="BB43" s="32">
        <f t="shared" si="21"/>
        <v>0.80555555555555547</v>
      </c>
      <c r="BC43" s="7">
        <f t="shared" si="22"/>
        <v>0.79629629629629628</v>
      </c>
      <c r="BD43" s="7">
        <f t="shared" si="23"/>
        <v>0.87962962962962965</v>
      </c>
      <c r="BE43">
        <f>step3_validation[[#This Row],[AI_OUT1]]</f>
        <v>9</v>
      </c>
      <c r="BF43">
        <f t="shared" si="24"/>
        <v>0.88888888888888884</v>
      </c>
      <c r="BG43">
        <f>survey_responses[[#This Row],[Sau khi xem xét các quyền lợi và nghĩa vụ, bạn có ủng hộ và tuân thủ chính sách mới hiện nay? - HUMAN-OUT1]]</f>
        <v>8</v>
      </c>
      <c r="BH43">
        <f t="shared" si="25"/>
        <v>0.77777777777777779</v>
      </c>
      <c r="BI43" s="32">
        <f t="shared" si="26"/>
        <v>1</v>
      </c>
    </row>
    <row r="44" spans="1:61" x14ac:dyDescent="0.45">
      <c r="A44" s="30">
        <f>step3_validation[[#This Row],[Persona_ID]]</f>
        <v>43</v>
      </c>
      <c r="B44" s="31">
        <f>step3_validation[[#This Row],[Used_Seed]]</f>
        <v>2068</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219.69463858226527</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6</v>
      </c>
      <c r="R44">
        <f t="shared" si="0"/>
        <v>0.55555555555555558</v>
      </c>
      <c r="S44">
        <f>survey_responses[[#This Row],[Tôi tin rằng với các quy định quản lý thuế hiện nay, hành vi gian lận hoặc trốn thuế sẽ dễ dàng bị phát hiện và xử lý nghiêm. - HUMAN-ENF1]]</f>
        <v>6</v>
      </c>
      <c r="T44">
        <f t="shared" si="1"/>
        <v>0.55555555555555558</v>
      </c>
      <c r="U44">
        <f>step3_validation[[#This Row],[AI_ENF2]]</f>
        <v>7</v>
      </c>
      <c r="V44">
        <f t="shared" si="2"/>
        <v>0.66666666666666663</v>
      </c>
      <c r="W44">
        <f>survey_responses[[#This Row],[Tôi tin rằng Nhà nước, cơ quan thuế có đủ khả năng và công nghệ để phát hiện, xử lý nghiêm các hành vi trốn thuế. - HUMAN-ENF2]]</f>
        <v>6</v>
      </c>
      <c r="X44">
        <f t="shared" si="3"/>
        <v>0.55555555555555558</v>
      </c>
      <c r="Y44" s="32">
        <f t="shared" si="4"/>
        <v>0.61111111111111116</v>
      </c>
      <c r="Z44" s="32">
        <f t="shared" si="5"/>
        <v>0.55555555555555558</v>
      </c>
      <c r="AA44">
        <f>step3_validation[[#This Row],[AI_FAC1]]</f>
        <v>8</v>
      </c>
      <c r="AB44">
        <f t="shared" si="6"/>
        <v>0.77777777777777779</v>
      </c>
      <c r="AC44">
        <f>survey_responses[[#This Row],[Các thủ tục khai báo thuế VÀ/HOẶC quy trình làm việc với cơ quan thuế đơn giản, tiện lợi, nhanh chóng hơn so với trước đây. - HUMAN-FAC1]]</f>
        <v>8</v>
      </c>
      <c r="AD44">
        <f t="shared" si="7"/>
        <v>0.77777777777777779</v>
      </c>
      <c r="AE44">
        <f>step3_validation[[#This Row],[AI_FAC2]]</f>
        <v>9</v>
      </c>
      <c r="AF44">
        <f t="shared" si="8"/>
        <v>0.88888888888888884</v>
      </c>
      <c r="AG44">
        <f>survey_responses[[#This Row],[So với trước đây, tôi thấy cách tính thuế và các bậc thuế trong phương án mới đơn giản, dễ hiểu và dễ thực hiện hơn. - HUMAN-FAC2]]</f>
        <v>10</v>
      </c>
      <c r="AH44">
        <f t="shared" si="9"/>
        <v>1</v>
      </c>
      <c r="AI44" s="32">
        <f t="shared" si="10"/>
        <v>0.83333333333333326</v>
      </c>
      <c r="AJ44" s="32">
        <f t="shared" si="11"/>
        <v>0.88888888888888884</v>
      </c>
      <c r="AK44">
        <f>step3_validation[[#This Row],[AI_TRU1]]</f>
        <v>8</v>
      </c>
      <c r="AL44">
        <f t="shared" si="12"/>
        <v>0.77777777777777779</v>
      </c>
      <c r="AM44">
        <f>survey_responses[[#This Row],[Tôi tin rằng Nhà nước, cơ quan thuế sẽ thực thi chính sách mới một cách khách quan, công tâm và đối xử bình đẳng với mọi người nộp thuế.  - HUMAN-TRU1]]</f>
        <v>9</v>
      </c>
      <c r="AN44">
        <f t="shared" si="13"/>
        <v>0.88888888888888884</v>
      </c>
      <c r="AO44">
        <f>step3_validation[[#This Row],[AI_TRU2]]</f>
        <v>9</v>
      </c>
      <c r="AP44">
        <f t="shared" si="14"/>
        <v>0.88888888888888884</v>
      </c>
      <c r="AQ44">
        <f>survey_responses[[#This Row],[Tôi thấy mức thuế tôi phải đóng theo phương án mới là công bằng (người thu nhập như tôi đóng mức này là hợp lý). - HUMAN-TRU2]]</f>
        <v>1</v>
      </c>
      <c r="AR44">
        <f t="shared" si="15"/>
        <v>0</v>
      </c>
      <c r="AS44">
        <f>step3_validation[[#This Row],[AI_TRU3]]</f>
        <v>8</v>
      </c>
      <c r="AT44">
        <f t="shared" si="16"/>
        <v>0.77777777777777779</v>
      </c>
      <c r="AU44">
        <f>survey_responses[[#This Row],[Tôi tin tưởng số tiền thuế tôi đóng sẽ được Nhà nước sử dụng hiệu quả để cải thiện dịch vụ công (y tế, đường xá...). - HUMAN-TRU3]]</f>
        <v>7</v>
      </c>
      <c r="AV44">
        <f t="shared" si="17"/>
        <v>0.66666666666666663</v>
      </c>
      <c r="AW44">
        <f>step3_validation[[#This Row],[AI_TRU4]]</f>
        <v>9</v>
      </c>
      <c r="AX44">
        <f t="shared" si="18"/>
        <v>0.88888888888888884</v>
      </c>
      <c r="AY44">
        <f>survey_responses[[#This Row],[Tôi thấy Nhà nước đã giải thích rõ ràng, minh bạch về lý do và mục tiêu của việc sửa đổi thuế lần này. - HUMAN-TRU4]]</f>
        <v>7</v>
      </c>
      <c r="AZ44">
        <f t="shared" si="19"/>
        <v>0.66666666666666663</v>
      </c>
      <c r="BA44" s="32">
        <f t="shared" si="20"/>
        <v>0.83333333333333326</v>
      </c>
      <c r="BB44" s="32">
        <f t="shared" si="21"/>
        <v>0.55555555555555547</v>
      </c>
      <c r="BC44" s="7">
        <f t="shared" si="22"/>
        <v>0.75925925925925919</v>
      </c>
      <c r="BD44" s="7">
        <f t="shared" si="23"/>
        <v>0.66666666666666663</v>
      </c>
      <c r="BE44">
        <f>step3_validation[[#This Row],[AI_OUT1]]</f>
        <v>9</v>
      </c>
      <c r="BF44">
        <f t="shared" si="24"/>
        <v>0.88888888888888884</v>
      </c>
      <c r="BG44">
        <f>survey_responses[[#This Row],[Sau khi xem xét các quyền lợi và nghĩa vụ, bạn có ủng hộ và tuân thủ chính sách mới hiện nay? - HUMAN-OUT1]]</f>
        <v>8</v>
      </c>
      <c r="BH44">
        <f t="shared" si="25"/>
        <v>0.77777777777777779</v>
      </c>
      <c r="BI44" s="32">
        <f t="shared" si="26"/>
        <v>1</v>
      </c>
    </row>
    <row r="45" spans="1:61" x14ac:dyDescent="0.45">
      <c r="A45" s="30">
        <f>step3_validation[[#This Row],[Persona_ID]]</f>
        <v>44</v>
      </c>
      <c r="B45" s="31">
        <f>step3_validation[[#This Row],[Used_Seed]]</f>
        <v>2069</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25.502999772061084</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7</v>
      </c>
      <c r="R45">
        <f t="shared" si="0"/>
        <v>0.66666666666666663</v>
      </c>
      <c r="S45">
        <f>survey_responses[[#This Row],[Tôi tin rằng với các quy định quản lý thuế hiện nay, hành vi gian lận hoặc trốn thuế sẽ dễ dàng bị phát hiện và xử lý nghiêm. - HUMAN-ENF1]]</f>
        <v>8</v>
      </c>
      <c r="T45">
        <f t="shared" si="1"/>
        <v>0.77777777777777779</v>
      </c>
      <c r="U45">
        <f>step3_validation[[#This Row],[AI_ENF2]]</f>
        <v>8</v>
      </c>
      <c r="V45">
        <f t="shared" si="2"/>
        <v>0.77777777777777779</v>
      </c>
      <c r="W45">
        <f>survey_responses[[#This Row],[Tôi tin rằng Nhà nước, cơ quan thuế có đủ khả năng và công nghệ để phát hiện, xử lý nghiêm các hành vi trốn thuế. - HUMAN-ENF2]]</f>
        <v>8</v>
      </c>
      <c r="X45">
        <f t="shared" si="3"/>
        <v>0.77777777777777779</v>
      </c>
      <c r="Y45" s="32">
        <f t="shared" si="4"/>
        <v>0.72222222222222221</v>
      </c>
      <c r="Z45" s="32">
        <f t="shared" si="5"/>
        <v>0.77777777777777779</v>
      </c>
      <c r="AA45">
        <f>step3_validation[[#This Row],[AI_FAC1]]</f>
        <v>9</v>
      </c>
      <c r="AB45">
        <f t="shared" si="6"/>
        <v>0.88888888888888884</v>
      </c>
      <c r="AC45">
        <f>survey_responses[[#This Row],[Các thủ tục khai báo thuế VÀ/HOẶC quy trình làm việc với cơ quan thuế đơn giản, tiện lợi, nhanh chóng hơn so với trước đây. - HUMAN-FAC1]]</f>
        <v>8</v>
      </c>
      <c r="AD45">
        <f t="shared" si="7"/>
        <v>0.77777777777777779</v>
      </c>
      <c r="AE45">
        <f>step3_validation[[#This Row],[AI_FAC2]]</f>
        <v>10</v>
      </c>
      <c r="AF45">
        <f t="shared" si="8"/>
        <v>1</v>
      </c>
      <c r="AG45">
        <f>survey_responses[[#This Row],[So với trước đây, tôi thấy cách tính thuế và các bậc thuế trong phương án mới đơn giản, dễ hiểu và dễ thực hiện hơn. - HUMAN-FAC2]]</f>
        <v>8</v>
      </c>
      <c r="AH45">
        <f t="shared" si="9"/>
        <v>0.77777777777777779</v>
      </c>
      <c r="AI45" s="32">
        <f t="shared" si="10"/>
        <v>0.94444444444444442</v>
      </c>
      <c r="AJ45" s="32">
        <f t="shared" si="11"/>
        <v>0.77777777777777779</v>
      </c>
      <c r="AK45">
        <f>step3_validation[[#This Row],[AI_TRU1]]</f>
        <v>9</v>
      </c>
      <c r="AL45">
        <f t="shared" si="12"/>
        <v>0.88888888888888884</v>
      </c>
      <c r="AM45">
        <f>survey_responses[[#This Row],[Tôi tin rằng Nhà nước, cơ quan thuế sẽ thực thi chính sách mới một cách khách quan, công tâm và đối xử bình đẳng với mọi người nộp thuế.  - HUMAN-TRU1]]</f>
        <v>8</v>
      </c>
      <c r="AN45">
        <f t="shared" si="13"/>
        <v>0.77777777777777779</v>
      </c>
      <c r="AO45">
        <f>step3_validation[[#This Row],[AI_TRU2]]</f>
        <v>8</v>
      </c>
      <c r="AP45">
        <f t="shared" si="14"/>
        <v>0.77777777777777779</v>
      </c>
      <c r="AQ45">
        <f>survey_responses[[#This Row],[Tôi thấy mức thuế tôi phải đóng theo phương án mới là công bằng (người thu nhập như tôi đóng mức này là hợp lý). - HUMAN-TRU2]]</f>
        <v>8</v>
      </c>
      <c r="AR45">
        <f t="shared" si="15"/>
        <v>0.77777777777777779</v>
      </c>
      <c r="AS45">
        <f>step3_validation[[#This Row],[AI_TRU3]]</f>
        <v>9</v>
      </c>
      <c r="AT45">
        <f t="shared" si="16"/>
        <v>0.88888888888888884</v>
      </c>
      <c r="AU45">
        <f>survey_responses[[#This Row],[Tôi tin tưởng số tiền thuế tôi đóng sẽ được Nhà nước sử dụng hiệu quả để cải thiện dịch vụ công (y tế, đường xá...). - HUMAN-TRU3]]</f>
        <v>9</v>
      </c>
      <c r="AV45">
        <f t="shared" si="17"/>
        <v>0.88888888888888884</v>
      </c>
      <c r="AW45">
        <f>step3_validation[[#This Row],[AI_TRU4]]</f>
        <v>8</v>
      </c>
      <c r="AX45">
        <f t="shared" si="18"/>
        <v>0.77777777777777779</v>
      </c>
      <c r="AY45">
        <f>survey_responses[[#This Row],[Tôi thấy Nhà nước đã giải thích rõ ràng, minh bạch về lý do và mục tiêu của việc sửa đổi thuế lần này. - HUMAN-TRU4]]</f>
        <v>5</v>
      </c>
      <c r="AZ45">
        <f t="shared" si="19"/>
        <v>0.44444444444444442</v>
      </c>
      <c r="BA45" s="32">
        <f t="shared" si="20"/>
        <v>0.83333333333333326</v>
      </c>
      <c r="BB45" s="32">
        <f t="shared" si="21"/>
        <v>0.72222222222222232</v>
      </c>
      <c r="BC45" s="7">
        <f t="shared" si="22"/>
        <v>0.83333333333333337</v>
      </c>
      <c r="BD45" s="7">
        <f t="shared" si="23"/>
        <v>0.75925925925925919</v>
      </c>
      <c r="BE45">
        <f>step3_validation[[#This Row],[AI_OUT1]]</f>
        <v>9</v>
      </c>
      <c r="BF45">
        <f t="shared" si="24"/>
        <v>0.88888888888888884</v>
      </c>
      <c r="BG45">
        <f>survey_responses[[#This Row],[Sau khi xem xét các quyền lợi và nghĩa vụ, bạn có ủng hộ và tuân thủ chính sách mới hiện nay? - HUMAN-OUT1]]</f>
        <v>9</v>
      </c>
      <c r="BH45">
        <f t="shared" si="25"/>
        <v>0.88888888888888884</v>
      </c>
      <c r="BI45" s="32">
        <f t="shared" si="26"/>
        <v>0</v>
      </c>
    </row>
    <row r="46" spans="1:61" x14ac:dyDescent="0.45">
      <c r="A46" s="30">
        <f>step3_validation[[#This Row],[Persona_ID]]</f>
        <v>45</v>
      </c>
      <c r="B46" s="31">
        <f>step3_validation[[#This Row],[Used_Seed]]</f>
        <v>2070</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25.014512247536622</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8</v>
      </c>
      <c r="R46">
        <f t="shared" si="0"/>
        <v>0.77777777777777779</v>
      </c>
      <c r="S46">
        <f>survey_responses[[#This Row],[Tôi tin rằng với các quy định quản lý thuế hiện nay, hành vi gian lận hoặc trốn thuế sẽ dễ dàng bị phát hiện và xử lý nghiêm. - HUMAN-ENF1]]</f>
        <v>10</v>
      </c>
      <c r="T46">
        <f t="shared" si="1"/>
        <v>1</v>
      </c>
      <c r="U46">
        <f>step3_validation[[#This Row],[AI_ENF2]]</f>
        <v>7</v>
      </c>
      <c r="V46">
        <f t="shared" si="2"/>
        <v>0.66666666666666663</v>
      </c>
      <c r="W46">
        <f>survey_responses[[#This Row],[Tôi tin rằng Nhà nước, cơ quan thuế có đủ khả năng và công nghệ để phát hiện, xử lý nghiêm các hành vi trốn thuế. - HUMAN-ENF2]]</f>
        <v>10</v>
      </c>
      <c r="X46">
        <f t="shared" si="3"/>
        <v>1</v>
      </c>
      <c r="Y46" s="32">
        <f t="shared" si="4"/>
        <v>0.72222222222222221</v>
      </c>
      <c r="Z46" s="32">
        <f t="shared" si="5"/>
        <v>1</v>
      </c>
      <c r="AA46">
        <f>step3_validation[[#This Row],[AI_FAC1]]</f>
        <v>6</v>
      </c>
      <c r="AB46">
        <f t="shared" si="6"/>
        <v>0.55555555555555558</v>
      </c>
      <c r="AC46">
        <f>survey_responses[[#This Row],[Các thủ tục khai báo thuế VÀ/HOẶC quy trình làm việc với cơ quan thuế đơn giản, tiện lợi, nhanh chóng hơn so với trước đây. - HUMAN-FAC1]]</f>
        <v>10</v>
      </c>
      <c r="AD46">
        <f t="shared" si="7"/>
        <v>1</v>
      </c>
      <c r="AE46">
        <f>step3_validation[[#This Row],[AI_FAC2]]</f>
        <v>9</v>
      </c>
      <c r="AF46">
        <f t="shared" si="8"/>
        <v>0.88888888888888884</v>
      </c>
      <c r="AG46">
        <f>survey_responses[[#This Row],[So với trước đây, tôi thấy cách tính thuế và các bậc thuế trong phương án mới đơn giản, dễ hiểu và dễ thực hiện hơn. - HUMAN-FAC2]]</f>
        <v>9</v>
      </c>
      <c r="AH46">
        <f t="shared" si="9"/>
        <v>0.88888888888888884</v>
      </c>
      <c r="AI46" s="32">
        <f t="shared" si="10"/>
        <v>0.72222222222222221</v>
      </c>
      <c r="AJ46" s="32">
        <f t="shared" si="11"/>
        <v>0.94444444444444442</v>
      </c>
      <c r="AK46">
        <f>step3_validation[[#This Row],[AI_TRU1]]</f>
        <v>7</v>
      </c>
      <c r="AL46">
        <f t="shared" si="12"/>
        <v>0.66666666666666663</v>
      </c>
      <c r="AM46">
        <f>survey_responses[[#This Row],[Tôi tin rằng Nhà nước, cơ quan thuế sẽ thực thi chính sách mới một cách khách quan, công tâm và đối xử bình đẳng với mọi người nộp thuế.  - HUMAN-TRU1]]</f>
        <v>10</v>
      </c>
      <c r="AN46">
        <f t="shared" si="13"/>
        <v>1</v>
      </c>
      <c r="AO46">
        <f>step3_validation[[#This Row],[AI_TRU2]]</f>
        <v>9</v>
      </c>
      <c r="AP46">
        <f t="shared" si="14"/>
        <v>0.88888888888888884</v>
      </c>
      <c r="AQ46">
        <f>survey_responses[[#This Row],[Tôi thấy mức thuế tôi phải đóng theo phương án mới là công bằng (người thu nhập như tôi đóng mức này là hợp lý). - HUMAN-TRU2]]</f>
        <v>10</v>
      </c>
      <c r="AR46">
        <f t="shared" si="15"/>
        <v>1</v>
      </c>
      <c r="AS46">
        <f>step3_validation[[#This Row],[AI_TRU3]]</f>
        <v>7</v>
      </c>
      <c r="AT46">
        <f t="shared" si="16"/>
        <v>0.66666666666666663</v>
      </c>
      <c r="AU46">
        <f>survey_responses[[#This Row],[Tôi tin tưởng số tiền thuế tôi đóng sẽ được Nhà nước sử dụng hiệu quả để cải thiện dịch vụ công (y tế, đường xá...). - HUMAN-TRU3]]</f>
        <v>10</v>
      </c>
      <c r="AV46">
        <f t="shared" si="17"/>
        <v>1</v>
      </c>
      <c r="AW46">
        <f>step3_validation[[#This Row],[AI_TRU4]]</f>
        <v>6</v>
      </c>
      <c r="AX46">
        <f t="shared" si="18"/>
        <v>0.55555555555555558</v>
      </c>
      <c r="AY46">
        <f>survey_responses[[#This Row],[Tôi thấy Nhà nước đã giải thích rõ ràng, minh bạch về lý do và mục tiêu của việc sửa đổi thuế lần này. - HUMAN-TRU4]]</f>
        <v>10</v>
      </c>
      <c r="AZ46">
        <f t="shared" si="19"/>
        <v>1</v>
      </c>
      <c r="BA46" s="32">
        <f t="shared" si="20"/>
        <v>0.69444444444444442</v>
      </c>
      <c r="BB46" s="32">
        <f t="shared" si="21"/>
        <v>1</v>
      </c>
      <c r="BC46" s="7">
        <f t="shared" si="22"/>
        <v>0.71296296296296291</v>
      </c>
      <c r="BD46" s="7">
        <f t="shared" si="23"/>
        <v>0.98148148148148151</v>
      </c>
      <c r="BE46">
        <f>step3_validation[[#This Row],[AI_OUT1]]</f>
        <v>9</v>
      </c>
      <c r="BF46">
        <f t="shared" si="24"/>
        <v>0.88888888888888884</v>
      </c>
      <c r="BG46">
        <f>survey_responses[[#This Row],[Sau khi xem xét các quyền lợi và nghĩa vụ, bạn có ủng hộ và tuân thủ chính sách mới hiện nay? - HUMAN-OUT1]]</f>
        <v>10</v>
      </c>
      <c r="BH46">
        <f t="shared" si="25"/>
        <v>1</v>
      </c>
      <c r="BI46" s="32">
        <f t="shared" si="26"/>
        <v>1</v>
      </c>
    </row>
    <row r="47" spans="1:61" x14ac:dyDescent="0.45">
      <c r="A47" s="30">
        <f>step3_validation[[#This Row],[Persona_ID]]</f>
        <v>46</v>
      </c>
      <c r="B47" s="31">
        <f>step3_validation[[#This Row],[Used_Seed]]</f>
        <v>2071</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7</v>
      </c>
      <c r="R47">
        <f t="shared" si="0"/>
        <v>0.66666666666666663</v>
      </c>
      <c r="S47">
        <f>survey_responses[[#This Row],[Tôi tin rằng với các quy định quản lý thuế hiện nay, hành vi gian lận hoặc trốn thuế sẽ dễ dàng bị phát hiện và xử lý nghiêm. - HUMAN-ENF1]]</f>
        <v>1</v>
      </c>
      <c r="T47">
        <f t="shared" si="1"/>
        <v>0</v>
      </c>
      <c r="U47">
        <f>step3_validation[[#This Row],[AI_ENF2]]</f>
        <v>6</v>
      </c>
      <c r="V47">
        <f t="shared" si="2"/>
        <v>0.55555555555555558</v>
      </c>
      <c r="W47">
        <f>survey_responses[[#This Row],[Tôi tin rằng Nhà nước, cơ quan thuế có đủ khả năng và công nghệ để phát hiện, xử lý nghiêm các hành vi trốn thuế. - HUMAN-ENF2]]</f>
        <v>1</v>
      </c>
      <c r="X47">
        <f t="shared" si="3"/>
        <v>0</v>
      </c>
      <c r="Y47" s="32">
        <f t="shared" si="4"/>
        <v>0.61111111111111116</v>
      </c>
      <c r="Z47" s="32">
        <f t="shared" si="5"/>
        <v>0</v>
      </c>
      <c r="AA47">
        <f>step3_validation[[#This Row],[AI_FAC1]]</f>
        <v>8</v>
      </c>
      <c r="AB47">
        <f t="shared" si="6"/>
        <v>0.77777777777777779</v>
      </c>
      <c r="AC47">
        <f>survey_responses[[#This Row],[Các thủ tục khai báo thuế VÀ/HOẶC quy trình làm việc với cơ quan thuế đơn giản, tiện lợi, nhanh chóng hơn so với trước đây. - HUMAN-FAC1]]</f>
        <v>2</v>
      </c>
      <c r="AD47">
        <f t="shared" si="7"/>
        <v>0.1111111111111111</v>
      </c>
      <c r="AE47">
        <f>step3_validation[[#This Row],[AI_FAC2]]</f>
        <v>9</v>
      </c>
      <c r="AF47">
        <f t="shared" si="8"/>
        <v>0.88888888888888884</v>
      </c>
      <c r="AG47">
        <f>survey_responses[[#This Row],[So với trước đây, tôi thấy cách tính thuế và các bậc thuế trong phương án mới đơn giản, dễ hiểu và dễ thực hiện hơn. - HUMAN-FAC2]]</f>
        <v>1</v>
      </c>
      <c r="AH47">
        <f t="shared" si="9"/>
        <v>0</v>
      </c>
      <c r="AI47" s="32">
        <f t="shared" si="10"/>
        <v>0.83333333333333326</v>
      </c>
      <c r="AJ47" s="32">
        <f t="shared" si="11"/>
        <v>5.5555555555555552E-2</v>
      </c>
      <c r="AK47">
        <f>step3_validation[[#This Row],[AI_TRU1]]</f>
        <v>8</v>
      </c>
      <c r="AL47">
        <f t="shared" si="12"/>
        <v>0.77777777777777779</v>
      </c>
      <c r="AM47">
        <f>survey_responses[[#This Row],[Tôi tin rằng Nhà nước, cơ quan thuế sẽ thực thi chính sách mới một cách khách quan, công tâm và đối xử bình đẳng với mọi người nộp thuế.  - HUMAN-TRU1]]</f>
        <v>1</v>
      </c>
      <c r="AN47">
        <f t="shared" si="13"/>
        <v>0</v>
      </c>
      <c r="AO47">
        <f>step3_validation[[#This Row],[AI_TRU2]]</f>
        <v>9</v>
      </c>
      <c r="AP47">
        <f t="shared" si="14"/>
        <v>0.88888888888888884</v>
      </c>
      <c r="AQ47">
        <f>survey_responses[[#This Row],[Tôi thấy mức thuế tôi phải đóng theo phương án mới là công bằng (người thu nhập như tôi đóng mức này là hợp lý). - HUMAN-TRU2]]</f>
        <v>1</v>
      </c>
      <c r="AR47">
        <f t="shared" si="15"/>
        <v>0</v>
      </c>
      <c r="AS47">
        <f>step3_validation[[#This Row],[AI_TRU3]]</f>
        <v>8</v>
      </c>
      <c r="AT47">
        <f t="shared" si="16"/>
        <v>0.77777777777777779</v>
      </c>
      <c r="AU47">
        <f>survey_responses[[#This Row],[Tôi tin tưởng số tiền thuế tôi đóng sẽ được Nhà nước sử dụng hiệu quả để cải thiện dịch vụ công (y tế, đường xá...). - HUMAN-TRU3]]</f>
        <v>1</v>
      </c>
      <c r="AV47">
        <f t="shared" si="17"/>
        <v>0</v>
      </c>
      <c r="AW47">
        <f>step3_validation[[#This Row],[AI_TRU4]]</f>
        <v>7</v>
      </c>
      <c r="AX47">
        <f t="shared" si="18"/>
        <v>0.66666666666666663</v>
      </c>
      <c r="AY47">
        <f>survey_responses[[#This Row],[Tôi thấy Nhà nước đã giải thích rõ ràng, minh bạch về lý do và mục tiêu của việc sửa đổi thuế lần này. - HUMAN-TRU4]]</f>
        <v>1</v>
      </c>
      <c r="AZ47">
        <f t="shared" si="19"/>
        <v>0</v>
      </c>
      <c r="BA47" s="32">
        <f t="shared" si="20"/>
        <v>0.77777777777777768</v>
      </c>
      <c r="BB47" s="32">
        <f t="shared" si="21"/>
        <v>0</v>
      </c>
      <c r="BC47" s="7">
        <f t="shared" si="22"/>
        <v>0.74074074074074081</v>
      </c>
      <c r="BD47" s="7">
        <f t="shared" si="23"/>
        <v>1.8518518518518517E-2</v>
      </c>
      <c r="BE47">
        <f>step3_validation[[#This Row],[AI_OUT1]]</f>
        <v>9</v>
      </c>
      <c r="BF47">
        <f t="shared" si="24"/>
        <v>0.88888888888888884</v>
      </c>
      <c r="BG47">
        <f>survey_responses[[#This Row],[Sau khi xem xét các quyền lợi và nghĩa vụ, bạn có ủng hộ và tuân thủ chính sách mới hiện nay? - HUMAN-OUT1]]</f>
        <v>1</v>
      </c>
      <c r="BH47">
        <f t="shared" si="25"/>
        <v>0</v>
      </c>
      <c r="BI47" s="32">
        <f t="shared" si="26"/>
        <v>8</v>
      </c>
    </row>
    <row r="48" spans="1:61" x14ac:dyDescent="0.45">
      <c r="A48" s="30">
        <f>step3_validation[[#This Row],[Persona_ID]]</f>
        <v>47</v>
      </c>
      <c r="B48" s="31">
        <f>step3_validation[[#This Row],[Used_Seed]]</f>
        <v>2072</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6</v>
      </c>
      <c r="R48">
        <f t="shared" si="0"/>
        <v>0.55555555555555558</v>
      </c>
      <c r="S48">
        <f>survey_responses[[#This Row],[Tôi tin rằng với các quy định quản lý thuế hiện nay, hành vi gian lận hoặc trốn thuế sẽ dễ dàng bị phát hiện và xử lý nghiêm. - HUMAN-ENF1]]</f>
        <v>8</v>
      </c>
      <c r="T48">
        <f t="shared" si="1"/>
        <v>0.77777777777777779</v>
      </c>
      <c r="U48">
        <f>step3_validation[[#This Row],[AI_ENF2]]</f>
        <v>7</v>
      </c>
      <c r="V48">
        <f t="shared" si="2"/>
        <v>0.66666666666666663</v>
      </c>
      <c r="W48">
        <f>survey_responses[[#This Row],[Tôi tin rằng Nhà nước, cơ quan thuế có đủ khả năng và công nghệ để phát hiện, xử lý nghiêm các hành vi trốn thuế. - HUMAN-ENF2]]</f>
        <v>8</v>
      </c>
      <c r="X48">
        <f t="shared" si="3"/>
        <v>0.77777777777777779</v>
      </c>
      <c r="Y48" s="32">
        <f t="shared" si="4"/>
        <v>0.61111111111111116</v>
      </c>
      <c r="Z48" s="32">
        <f t="shared" si="5"/>
        <v>0.77777777777777779</v>
      </c>
      <c r="AA48">
        <f>step3_validation[[#This Row],[AI_FAC1]]</f>
        <v>8</v>
      </c>
      <c r="AB48">
        <f t="shared" si="6"/>
        <v>0.77777777777777779</v>
      </c>
      <c r="AC48">
        <f>survey_responses[[#This Row],[Các thủ tục khai báo thuế VÀ/HOẶC quy trình làm việc với cơ quan thuế đơn giản, tiện lợi, nhanh chóng hơn so với trước đây. - HUMAN-FAC1]]</f>
        <v>8</v>
      </c>
      <c r="AD48">
        <f t="shared" si="7"/>
        <v>0.77777777777777779</v>
      </c>
      <c r="AE48">
        <f>step3_validation[[#This Row],[AI_FAC2]]</f>
        <v>9</v>
      </c>
      <c r="AF48">
        <f t="shared" si="8"/>
        <v>0.88888888888888884</v>
      </c>
      <c r="AG48">
        <f>survey_responses[[#This Row],[So với trước đây, tôi thấy cách tính thuế và các bậc thuế trong phương án mới đơn giản, dễ hiểu và dễ thực hiện hơn. - HUMAN-FAC2]]</f>
        <v>7</v>
      </c>
      <c r="AH48">
        <f t="shared" si="9"/>
        <v>0.66666666666666663</v>
      </c>
      <c r="AI48" s="32">
        <f t="shared" si="10"/>
        <v>0.83333333333333326</v>
      </c>
      <c r="AJ48" s="32">
        <f t="shared" si="11"/>
        <v>0.72222222222222221</v>
      </c>
      <c r="AK48">
        <f>step3_validation[[#This Row],[AI_TRU1]]</f>
        <v>7</v>
      </c>
      <c r="AL48">
        <f t="shared" si="12"/>
        <v>0.66666666666666663</v>
      </c>
      <c r="AM48">
        <f>survey_responses[[#This Row],[Tôi tin rằng Nhà nước, cơ quan thuế sẽ thực thi chính sách mới một cách khách quan, công tâm và đối xử bình đẳng với mọi người nộp thuế.  - HUMAN-TRU1]]</f>
        <v>6</v>
      </c>
      <c r="AN48">
        <f t="shared" si="13"/>
        <v>0.55555555555555558</v>
      </c>
      <c r="AO48">
        <f>step3_validation[[#This Row],[AI_TRU2]]</f>
        <v>8</v>
      </c>
      <c r="AP48">
        <f t="shared" si="14"/>
        <v>0.77777777777777779</v>
      </c>
      <c r="AQ48">
        <f>survey_responses[[#This Row],[Tôi thấy mức thuế tôi phải đóng theo phương án mới là công bằng (người thu nhập như tôi đóng mức này là hợp lý). - HUMAN-TRU2]]</f>
        <v>8</v>
      </c>
      <c r="AR48">
        <f t="shared" si="15"/>
        <v>0.77777777777777779</v>
      </c>
      <c r="AS48">
        <f>step3_validation[[#This Row],[AI_TRU3]]</f>
        <v>7</v>
      </c>
      <c r="AT48">
        <f t="shared" si="16"/>
        <v>0.66666666666666663</v>
      </c>
      <c r="AU48">
        <f>survey_responses[[#This Row],[Tôi tin tưởng số tiền thuế tôi đóng sẽ được Nhà nước sử dụng hiệu quả để cải thiện dịch vụ công (y tế, đường xá...). - HUMAN-TRU3]]</f>
        <v>8</v>
      </c>
      <c r="AV48">
        <f t="shared" si="17"/>
        <v>0.77777777777777779</v>
      </c>
      <c r="AW48">
        <f>step3_validation[[#This Row],[AI_TRU4]]</f>
        <v>6</v>
      </c>
      <c r="AX48">
        <f t="shared" si="18"/>
        <v>0.55555555555555558</v>
      </c>
      <c r="AY48">
        <f>survey_responses[[#This Row],[Tôi thấy Nhà nước đã giải thích rõ ràng, minh bạch về lý do và mục tiêu của việc sửa đổi thuế lần này. - HUMAN-TRU4]]</f>
        <v>9</v>
      </c>
      <c r="AZ48">
        <f t="shared" si="19"/>
        <v>0.88888888888888884</v>
      </c>
      <c r="BA48" s="32">
        <f t="shared" si="20"/>
        <v>0.66666666666666674</v>
      </c>
      <c r="BB48" s="32">
        <f t="shared" si="21"/>
        <v>0.75</v>
      </c>
      <c r="BC48" s="7">
        <f t="shared" si="22"/>
        <v>0.70370370370370372</v>
      </c>
      <c r="BD48" s="7">
        <f t="shared" si="23"/>
        <v>0.75</v>
      </c>
      <c r="BE48">
        <f>step3_validation[[#This Row],[AI_OUT1]]</f>
        <v>9</v>
      </c>
      <c r="BF48">
        <f t="shared" si="24"/>
        <v>0.88888888888888884</v>
      </c>
      <c r="BG48">
        <f>survey_responses[[#This Row],[Sau khi xem xét các quyền lợi và nghĩa vụ, bạn có ủng hộ và tuân thủ chính sách mới hiện nay? - HUMAN-OUT1]]</f>
        <v>8</v>
      </c>
      <c r="BH48">
        <f t="shared" si="25"/>
        <v>0.77777777777777779</v>
      </c>
      <c r="BI48" s="32">
        <f t="shared" si="26"/>
        <v>1</v>
      </c>
    </row>
    <row r="49" spans="1:61" x14ac:dyDescent="0.45">
      <c r="A49" s="30">
        <f>step3_validation[[#This Row],[Persona_ID]]</f>
        <v>48</v>
      </c>
      <c r="B49" s="31">
        <f>step3_validation[[#This Row],[Used_Seed]]</f>
        <v>2073</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46.731063330532756</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8</v>
      </c>
      <c r="R49">
        <f t="shared" si="0"/>
        <v>0.77777777777777779</v>
      </c>
      <c r="S49">
        <f>survey_responses[[#This Row],[Tôi tin rằng với các quy định quản lý thuế hiện nay, hành vi gian lận hoặc trốn thuế sẽ dễ dàng bị phát hiện và xử lý nghiêm. - HUMAN-ENF1]]</f>
        <v>10</v>
      </c>
      <c r="T49">
        <f t="shared" si="1"/>
        <v>1</v>
      </c>
      <c r="U49">
        <f>step3_validation[[#This Row],[AI_ENF2]]</f>
        <v>8</v>
      </c>
      <c r="V49">
        <f t="shared" si="2"/>
        <v>0.77777777777777779</v>
      </c>
      <c r="W49">
        <f>survey_responses[[#This Row],[Tôi tin rằng Nhà nước, cơ quan thuế có đủ khả năng và công nghệ để phát hiện, xử lý nghiêm các hành vi trốn thuế. - HUMAN-ENF2]]</f>
        <v>10</v>
      </c>
      <c r="X49">
        <f t="shared" si="3"/>
        <v>1</v>
      </c>
      <c r="Y49" s="32">
        <f t="shared" si="4"/>
        <v>0.77777777777777779</v>
      </c>
      <c r="Z49" s="32">
        <f t="shared" si="5"/>
        <v>1</v>
      </c>
      <c r="AA49">
        <f>step3_validation[[#This Row],[AI_FAC1]]</f>
        <v>9</v>
      </c>
      <c r="AB49">
        <f t="shared" si="6"/>
        <v>0.88888888888888884</v>
      </c>
      <c r="AC49">
        <f>survey_responses[[#This Row],[Các thủ tục khai báo thuế VÀ/HOẶC quy trình làm việc với cơ quan thuế đơn giản, tiện lợi, nhanh chóng hơn so với trước đây. - HUMAN-FAC1]]</f>
        <v>10</v>
      </c>
      <c r="AD49">
        <f t="shared" si="7"/>
        <v>1</v>
      </c>
      <c r="AE49">
        <f>step3_validation[[#This Row],[AI_FAC2]]</f>
        <v>9</v>
      </c>
      <c r="AF49">
        <f t="shared" si="8"/>
        <v>0.88888888888888884</v>
      </c>
      <c r="AG49">
        <f>survey_responses[[#This Row],[So với trước đây, tôi thấy cách tính thuế và các bậc thuế trong phương án mới đơn giản, dễ hiểu và dễ thực hiện hơn. - HUMAN-FAC2]]</f>
        <v>10</v>
      </c>
      <c r="AH49">
        <f t="shared" si="9"/>
        <v>1</v>
      </c>
      <c r="AI49" s="32">
        <f t="shared" si="10"/>
        <v>0.88888888888888884</v>
      </c>
      <c r="AJ49" s="32">
        <f t="shared" si="11"/>
        <v>1</v>
      </c>
      <c r="AK49">
        <f>step3_validation[[#This Row],[AI_TRU1]]</f>
        <v>7</v>
      </c>
      <c r="AL49">
        <f t="shared" si="12"/>
        <v>0.66666666666666663</v>
      </c>
      <c r="AM49">
        <f>survey_responses[[#This Row],[Tôi tin rằng Nhà nước, cơ quan thuế sẽ thực thi chính sách mới một cách khách quan, công tâm và đối xử bình đẳng với mọi người nộp thuế.  - HUMAN-TRU1]]</f>
        <v>10</v>
      </c>
      <c r="AN49">
        <f t="shared" si="13"/>
        <v>1</v>
      </c>
      <c r="AO49">
        <f>step3_validation[[#This Row],[AI_TRU2]]</f>
        <v>9</v>
      </c>
      <c r="AP49">
        <f t="shared" si="14"/>
        <v>0.88888888888888884</v>
      </c>
      <c r="AQ49">
        <f>survey_responses[[#This Row],[Tôi thấy mức thuế tôi phải đóng theo phương án mới là công bằng (người thu nhập như tôi đóng mức này là hợp lý). - HUMAN-TRU2]]</f>
        <v>10</v>
      </c>
      <c r="AR49">
        <f t="shared" si="15"/>
        <v>1</v>
      </c>
      <c r="AS49">
        <f>step3_validation[[#This Row],[AI_TRU3]]</f>
        <v>8</v>
      </c>
      <c r="AT49">
        <f t="shared" si="16"/>
        <v>0.77777777777777779</v>
      </c>
      <c r="AU49">
        <f>survey_responses[[#This Row],[Tôi tin tưởng số tiền thuế tôi đóng sẽ được Nhà nước sử dụng hiệu quả để cải thiện dịch vụ công (y tế, đường xá...). - HUMAN-TRU3]]</f>
        <v>10</v>
      </c>
      <c r="AV49">
        <f t="shared" si="17"/>
        <v>1</v>
      </c>
      <c r="AW49">
        <f>step3_validation[[#This Row],[AI_TRU4]]</f>
        <v>8</v>
      </c>
      <c r="AX49">
        <f t="shared" si="18"/>
        <v>0.77777777777777779</v>
      </c>
      <c r="AY49">
        <f>survey_responses[[#This Row],[Tôi thấy Nhà nước đã giải thích rõ ràng, minh bạch về lý do và mục tiêu của việc sửa đổi thuế lần này. - HUMAN-TRU4]]</f>
        <v>10</v>
      </c>
      <c r="AZ49">
        <f t="shared" si="19"/>
        <v>1</v>
      </c>
      <c r="BA49" s="32">
        <f t="shared" si="20"/>
        <v>0.77777777777777768</v>
      </c>
      <c r="BB49" s="32">
        <f t="shared" si="21"/>
        <v>1</v>
      </c>
      <c r="BC49" s="7">
        <f t="shared" si="22"/>
        <v>0.81481481481481477</v>
      </c>
      <c r="BD49" s="7">
        <f t="shared" si="23"/>
        <v>1</v>
      </c>
      <c r="BE49">
        <f>step3_validation[[#This Row],[AI_OUT1]]</f>
        <v>8</v>
      </c>
      <c r="BF49">
        <f t="shared" si="24"/>
        <v>0.77777777777777779</v>
      </c>
      <c r="BG49">
        <f>survey_responses[[#This Row],[Sau khi xem xét các quyền lợi và nghĩa vụ, bạn có ủng hộ và tuân thủ chính sách mới hiện nay? - HUMAN-OUT1]]</f>
        <v>10</v>
      </c>
      <c r="BH49">
        <f t="shared" si="25"/>
        <v>1</v>
      </c>
      <c r="BI49" s="32">
        <f t="shared" si="26"/>
        <v>2</v>
      </c>
    </row>
    <row r="50" spans="1:61" x14ac:dyDescent="0.45">
      <c r="A50" s="30">
        <f>step3_validation[[#This Row],[Persona_ID]]</f>
        <v>49</v>
      </c>
      <c r="B50" s="31">
        <f>step3_validation[[#This Row],[Used_Seed]]</f>
        <v>2074</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127.15811609299585</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7</v>
      </c>
      <c r="R50">
        <f t="shared" si="0"/>
        <v>0.66666666666666663</v>
      </c>
      <c r="S50">
        <f>survey_responses[[#This Row],[Tôi tin rằng với các quy định quản lý thuế hiện nay, hành vi gian lận hoặc trốn thuế sẽ dễ dàng bị phát hiện và xử lý nghiêm. - HUMAN-ENF1]]</f>
        <v>8</v>
      </c>
      <c r="T50">
        <f t="shared" si="1"/>
        <v>0.77777777777777779</v>
      </c>
      <c r="U50">
        <f>step3_validation[[#This Row],[AI_ENF2]]</f>
        <v>8</v>
      </c>
      <c r="V50">
        <f t="shared" si="2"/>
        <v>0.77777777777777779</v>
      </c>
      <c r="W50">
        <f>survey_responses[[#This Row],[Tôi tin rằng Nhà nước, cơ quan thuế có đủ khả năng và công nghệ để phát hiện, xử lý nghiêm các hành vi trốn thuế. - HUMAN-ENF2]]</f>
        <v>8</v>
      </c>
      <c r="X50">
        <f t="shared" si="3"/>
        <v>0.77777777777777779</v>
      </c>
      <c r="Y50" s="32">
        <f t="shared" si="4"/>
        <v>0.72222222222222221</v>
      </c>
      <c r="Z50" s="32">
        <f t="shared" si="5"/>
        <v>0.77777777777777779</v>
      </c>
      <c r="AA50">
        <f>step3_validation[[#This Row],[AI_FAC1]]</f>
        <v>9</v>
      </c>
      <c r="AB50">
        <f t="shared" si="6"/>
        <v>0.88888888888888884</v>
      </c>
      <c r="AC50">
        <f>survey_responses[[#This Row],[Các thủ tục khai báo thuế VÀ/HOẶC quy trình làm việc với cơ quan thuế đơn giản, tiện lợi, nhanh chóng hơn so với trước đây. - HUMAN-FAC1]]</f>
        <v>7</v>
      </c>
      <c r="AD50">
        <f t="shared" si="7"/>
        <v>0.66666666666666663</v>
      </c>
      <c r="AE50">
        <f>step3_validation[[#This Row],[AI_FAC2]]</f>
        <v>10</v>
      </c>
      <c r="AF50">
        <f t="shared" si="8"/>
        <v>1</v>
      </c>
      <c r="AG50">
        <f>survey_responses[[#This Row],[So với trước đây, tôi thấy cách tính thuế và các bậc thuế trong phương án mới đơn giản, dễ hiểu và dễ thực hiện hơn. - HUMAN-FAC2]]</f>
        <v>8</v>
      </c>
      <c r="AH50">
        <f t="shared" si="9"/>
        <v>0.77777777777777779</v>
      </c>
      <c r="AI50" s="32">
        <f t="shared" si="10"/>
        <v>0.94444444444444442</v>
      </c>
      <c r="AJ50" s="32">
        <f t="shared" si="11"/>
        <v>0.72222222222222221</v>
      </c>
      <c r="AK50">
        <f>step3_validation[[#This Row],[AI_TRU1]]</f>
        <v>7</v>
      </c>
      <c r="AL50">
        <f t="shared" si="12"/>
        <v>0.66666666666666663</v>
      </c>
      <c r="AM50">
        <f>survey_responses[[#This Row],[Tôi tin rằng Nhà nước, cơ quan thuế sẽ thực thi chính sách mới một cách khách quan, công tâm và đối xử bình đẳng với mọi người nộp thuế.  - HUMAN-TRU1]]</f>
        <v>6</v>
      </c>
      <c r="AN50">
        <f t="shared" si="13"/>
        <v>0.55555555555555558</v>
      </c>
      <c r="AO50">
        <f>step3_validation[[#This Row],[AI_TRU2]]</f>
        <v>9</v>
      </c>
      <c r="AP50">
        <f t="shared" si="14"/>
        <v>0.88888888888888884</v>
      </c>
      <c r="AQ50">
        <f>survey_responses[[#This Row],[Tôi thấy mức thuế tôi phải đóng theo phương án mới là công bằng (người thu nhập như tôi đóng mức này là hợp lý). - HUMAN-TRU2]]</f>
        <v>8</v>
      </c>
      <c r="AR50">
        <f t="shared" si="15"/>
        <v>0.77777777777777779</v>
      </c>
      <c r="AS50">
        <f>step3_validation[[#This Row],[AI_TRU3]]</f>
        <v>8</v>
      </c>
      <c r="AT50">
        <f t="shared" si="16"/>
        <v>0.77777777777777779</v>
      </c>
      <c r="AU50">
        <f>survey_responses[[#This Row],[Tôi tin tưởng số tiền thuế tôi đóng sẽ được Nhà nước sử dụng hiệu quả để cải thiện dịch vụ công (y tế, đường xá...). - HUMAN-TRU3]]</f>
        <v>6</v>
      </c>
      <c r="AV50">
        <f t="shared" si="17"/>
        <v>0.55555555555555558</v>
      </c>
      <c r="AW50">
        <f>step3_validation[[#This Row],[AI_TRU4]]</f>
        <v>7</v>
      </c>
      <c r="AX50">
        <f t="shared" si="18"/>
        <v>0.66666666666666663</v>
      </c>
      <c r="AY50">
        <f>survey_responses[[#This Row],[Tôi thấy Nhà nước đã giải thích rõ ràng, minh bạch về lý do và mục tiêu của việc sửa đổi thuế lần này. - HUMAN-TRU4]]</f>
        <v>5</v>
      </c>
      <c r="AZ50">
        <f t="shared" si="19"/>
        <v>0.44444444444444442</v>
      </c>
      <c r="BA50" s="32">
        <f t="shared" si="20"/>
        <v>0.74999999999999989</v>
      </c>
      <c r="BB50" s="32">
        <f t="shared" si="21"/>
        <v>0.58333333333333337</v>
      </c>
      <c r="BC50" s="7">
        <f t="shared" si="22"/>
        <v>0.80555555555555547</v>
      </c>
      <c r="BD50" s="7">
        <f t="shared" si="23"/>
        <v>0.69444444444444453</v>
      </c>
      <c r="BE50">
        <f>step3_validation[[#This Row],[AI_OUT1]]</f>
        <v>9</v>
      </c>
      <c r="BF50">
        <f t="shared" si="24"/>
        <v>0.88888888888888884</v>
      </c>
      <c r="BG50">
        <f>survey_responses[[#This Row],[Sau khi xem xét các quyền lợi và nghĩa vụ, bạn có ủng hộ và tuân thủ chính sách mới hiện nay? - HUMAN-OUT1]]</f>
        <v>8</v>
      </c>
      <c r="BH50">
        <f t="shared" si="25"/>
        <v>0.77777777777777779</v>
      </c>
      <c r="BI50" s="32">
        <f t="shared" si="26"/>
        <v>1</v>
      </c>
    </row>
    <row r="51" spans="1:61" x14ac:dyDescent="0.45">
      <c r="A51" s="30">
        <f>step3_validation[[#This Row],[Persona_ID]]</f>
        <v>50</v>
      </c>
      <c r="B51" s="31">
        <f>step3_validation[[#This Row],[Used_Seed]]</f>
        <v>2075</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20.537467236225865</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8</v>
      </c>
      <c r="R51">
        <f t="shared" si="0"/>
        <v>0.77777777777777779</v>
      </c>
      <c r="S51">
        <f>survey_responses[[#This Row],[Tôi tin rằng với các quy định quản lý thuế hiện nay, hành vi gian lận hoặc trốn thuế sẽ dễ dàng bị phát hiện và xử lý nghiêm. - HUMAN-ENF1]]</f>
        <v>10</v>
      </c>
      <c r="T51">
        <f t="shared" si="1"/>
        <v>1</v>
      </c>
      <c r="U51">
        <f>step3_validation[[#This Row],[AI_ENF2]]</f>
        <v>9</v>
      </c>
      <c r="V51">
        <f t="shared" si="2"/>
        <v>0.88888888888888884</v>
      </c>
      <c r="W51">
        <f>survey_responses[[#This Row],[Tôi tin rằng Nhà nước, cơ quan thuế có đủ khả năng và công nghệ để phát hiện, xử lý nghiêm các hành vi trốn thuế. - HUMAN-ENF2]]</f>
        <v>10</v>
      </c>
      <c r="X51">
        <f t="shared" si="3"/>
        <v>1</v>
      </c>
      <c r="Y51" s="32">
        <f t="shared" si="4"/>
        <v>0.83333333333333326</v>
      </c>
      <c r="Z51" s="32">
        <f t="shared" si="5"/>
        <v>1</v>
      </c>
      <c r="AA51">
        <f>step3_validation[[#This Row],[AI_FAC1]]</f>
        <v>8</v>
      </c>
      <c r="AB51">
        <f t="shared" si="6"/>
        <v>0.77777777777777779</v>
      </c>
      <c r="AC51">
        <f>survey_responses[[#This Row],[Các thủ tục khai báo thuế VÀ/HOẶC quy trình làm việc với cơ quan thuế đơn giản, tiện lợi, nhanh chóng hơn so với trước đây. - HUMAN-FAC1]]</f>
        <v>10</v>
      </c>
      <c r="AD51">
        <f t="shared" si="7"/>
        <v>1</v>
      </c>
      <c r="AE51">
        <f>step3_validation[[#This Row],[AI_FAC2]]</f>
        <v>9</v>
      </c>
      <c r="AF51">
        <f t="shared" si="8"/>
        <v>0.88888888888888884</v>
      </c>
      <c r="AG51">
        <f>survey_responses[[#This Row],[So với trước đây, tôi thấy cách tính thuế và các bậc thuế trong phương án mới đơn giản, dễ hiểu và dễ thực hiện hơn. - HUMAN-FAC2]]</f>
        <v>8</v>
      </c>
      <c r="AH51">
        <f t="shared" si="9"/>
        <v>0.77777777777777779</v>
      </c>
      <c r="AI51" s="32">
        <f t="shared" si="10"/>
        <v>0.83333333333333326</v>
      </c>
      <c r="AJ51" s="32">
        <f t="shared" si="11"/>
        <v>0.88888888888888884</v>
      </c>
      <c r="AK51">
        <f>step3_validation[[#This Row],[AI_TRU1]]</f>
        <v>8</v>
      </c>
      <c r="AL51">
        <f t="shared" si="12"/>
        <v>0.77777777777777779</v>
      </c>
      <c r="AM51">
        <f>survey_responses[[#This Row],[Tôi tin rằng Nhà nước, cơ quan thuế sẽ thực thi chính sách mới một cách khách quan, công tâm và đối xử bình đẳng với mọi người nộp thuế.  - HUMAN-TRU1]]</f>
        <v>8</v>
      </c>
      <c r="AN51">
        <f t="shared" si="13"/>
        <v>0.77777777777777779</v>
      </c>
      <c r="AO51">
        <f>step3_validation[[#This Row],[AI_TRU2]]</f>
        <v>9</v>
      </c>
      <c r="AP51">
        <f t="shared" si="14"/>
        <v>0.88888888888888884</v>
      </c>
      <c r="AQ51">
        <f>survey_responses[[#This Row],[Tôi thấy mức thuế tôi phải đóng theo phương án mới là công bằng (người thu nhập như tôi đóng mức này là hợp lý). - HUMAN-TRU2]]</f>
        <v>8</v>
      </c>
      <c r="AR51">
        <f t="shared" si="15"/>
        <v>0.77777777777777779</v>
      </c>
      <c r="AS51">
        <f>step3_validation[[#This Row],[AI_TRU3]]</f>
        <v>8</v>
      </c>
      <c r="AT51">
        <f t="shared" si="16"/>
        <v>0.77777777777777779</v>
      </c>
      <c r="AU51">
        <f>survey_responses[[#This Row],[Tôi tin tưởng số tiền thuế tôi đóng sẽ được Nhà nước sử dụng hiệu quả để cải thiện dịch vụ công (y tế, đường xá...). - HUMAN-TRU3]]</f>
        <v>8</v>
      </c>
      <c r="AV51">
        <f t="shared" si="17"/>
        <v>0.77777777777777779</v>
      </c>
      <c r="AW51">
        <f>step3_validation[[#This Row],[AI_TRU4]]</f>
        <v>9</v>
      </c>
      <c r="AX51">
        <f t="shared" si="18"/>
        <v>0.88888888888888884</v>
      </c>
      <c r="AY51">
        <f>survey_responses[[#This Row],[Tôi thấy Nhà nước đã giải thích rõ ràng, minh bạch về lý do và mục tiêu của việc sửa đổi thuế lần này. - HUMAN-TRU4]]</f>
        <v>8</v>
      </c>
      <c r="AZ51">
        <f t="shared" si="19"/>
        <v>0.77777777777777779</v>
      </c>
      <c r="BA51" s="32">
        <f t="shared" si="20"/>
        <v>0.83333333333333326</v>
      </c>
      <c r="BB51" s="32">
        <f t="shared" si="21"/>
        <v>0.77777777777777779</v>
      </c>
      <c r="BC51" s="7">
        <f t="shared" si="22"/>
        <v>0.83333333333333337</v>
      </c>
      <c r="BD51" s="7">
        <f t="shared" si="23"/>
        <v>0.88888888888888884</v>
      </c>
      <c r="BE51">
        <f>step3_validation[[#This Row],[AI_OUT1]]</f>
        <v>8</v>
      </c>
      <c r="BF51">
        <f t="shared" si="24"/>
        <v>0.77777777777777779</v>
      </c>
      <c r="BG51">
        <f>survey_responses[[#This Row],[Sau khi xem xét các quyền lợi và nghĩa vụ, bạn có ủng hộ và tuân thủ chính sách mới hiện nay? - HUMAN-OUT1]]</f>
        <v>8</v>
      </c>
      <c r="BH51">
        <f t="shared" si="25"/>
        <v>0.77777777777777779</v>
      </c>
      <c r="BI51" s="32">
        <f t="shared" si="26"/>
        <v>0</v>
      </c>
    </row>
    <row r="52" spans="1:61" x14ac:dyDescent="0.45">
      <c r="A52" s="30">
        <f>step3_validation[[#This Row],[Persona_ID]]</f>
        <v>51</v>
      </c>
      <c r="B52" s="31">
        <f>step3_validation[[#This Row],[Used_Seed]]</f>
        <v>2076</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12.678193407051058</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6</v>
      </c>
      <c r="R52">
        <f t="shared" si="0"/>
        <v>0.55555555555555558</v>
      </c>
      <c r="S52">
        <f>survey_responses[[#This Row],[Tôi tin rằng với các quy định quản lý thuế hiện nay, hành vi gian lận hoặc trốn thuế sẽ dễ dàng bị phát hiện và xử lý nghiêm. - HUMAN-ENF1]]</f>
        <v>10</v>
      </c>
      <c r="T52">
        <f t="shared" si="1"/>
        <v>1</v>
      </c>
      <c r="U52">
        <f>step3_validation[[#This Row],[AI_ENF2]]</f>
        <v>6</v>
      </c>
      <c r="V52">
        <f t="shared" si="2"/>
        <v>0.55555555555555558</v>
      </c>
      <c r="W52">
        <f>survey_responses[[#This Row],[Tôi tin rằng Nhà nước, cơ quan thuế có đủ khả năng và công nghệ để phát hiện, xử lý nghiêm các hành vi trốn thuế. - HUMAN-ENF2]]</f>
        <v>10</v>
      </c>
      <c r="X52">
        <f t="shared" si="3"/>
        <v>1</v>
      </c>
      <c r="Y52" s="32">
        <f t="shared" si="4"/>
        <v>0.55555555555555558</v>
      </c>
      <c r="Z52" s="32">
        <f t="shared" si="5"/>
        <v>1</v>
      </c>
      <c r="AA52">
        <f>step3_validation[[#This Row],[AI_FAC1]]</f>
        <v>7</v>
      </c>
      <c r="AB52">
        <f t="shared" si="6"/>
        <v>0.66666666666666663</v>
      </c>
      <c r="AC52">
        <f>survey_responses[[#This Row],[Các thủ tục khai báo thuế VÀ/HOẶC quy trình làm việc với cơ quan thuế đơn giản, tiện lợi, nhanh chóng hơn so với trước đây. - HUMAN-FAC1]]</f>
        <v>10</v>
      </c>
      <c r="AD52">
        <f t="shared" si="7"/>
        <v>1</v>
      </c>
      <c r="AE52">
        <f>step3_validation[[#This Row],[AI_FAC2]]</f>
        <v>9</v>
      </c>
      <c r="AF52">
        <f t="shared" si="8"/>
        <v>0.88888888888888884</v>
      </c>
      <c r="AG52">
        <f>survey_responses[[#This Row],[So với trước đây, tôi thấy cách tính thuế và các bậc thuế trong phương án mới đơn giản, dễ hiểu và dễ thực hiện hơn. - HUMAN-FAC2]]</f>
        <v>10</v>
      </c>
      <c r="AH52">
        <f t="shared" si="9"/>
        <v>1</v>
      </c>
      <c r="AI52" s="32">
        <f t="shared" si="10"/>
        <v>0.77777777777777768</v>
      </c>
      <c r="AJ52" s="32">
        <f t="shared" si="11"/>
        <v>1</v>
      </c>
      <c r="AK52">
        <f>step3_validation[[#This Row],[AI_TRU1]]</f>
        <v>7</v>
      </c>
      <c r="AL52">
        <f t="shared" si="12"/>
        <v>0.66666666666666663</v>
      </c>
      <c r="AM52">
        <f>survey_responses[[#This Row],[Tôi tin rằng Nhà nước, cơ quan thuế sẽ thực thi chính sách mới một cách khách quan, công tâm và đối xử bình đẳng với mọi người nộp thuế.  - HUMAN-TRU1]]</f>
        <v>10</v>
      </c>
      <c r="AN52">
        <f t="shared" si="13"/>
        <v>1</v>
      </c>
      <c r="AO52">
        <f>step3_validation[[#This Row],[AI_TRU2]]</f>
        <v>9</v>
      </c>
      <c r="AP52">
        <f t="shared" si="14"/>
        <v>0.88888888888888884</v>
      </c>
      <c r="AQ52">
        <f>survey_responses[[#This Row],[Tôi thấy mức thuế tôi phải đóng theo phương án mới là công bằng (người thu nhập như tôi đóng mức này là hợp lý). - HUMAN-TRU2]]</f>
        <v>10</v>
      </c>
      <c r="AR52">
        <f t="shared" si="15"/>
        <v>1</v>
      </c>
      <c r="AS52">
        <f>step3_validation[[#This Row],[AI_TRU3]]</f>
        <v>7</v>
      </c>
      <c r="AT52">
        <f t="shared" si="16"/>
        <v>0.66666666666666663</v>
      </c>
      <c r="AU52">
        <f>survey_responses[[#This Row],[Tôi tin tưởng số tiền thuế tôi đóng sẽ được Nhà nước sử dụng hiệu quả để cải thiện dịch vụ công (y tế, đường xá...). - HUMAN-TRU3]]</f>
        <v>10</v>
      </c>
      <c r="AV52">
        <f t="shared" si="17"/>
        <v>1</v>
      </c>
      <c r="AW52">
        <f>step3_validation[[#This Row],[AI_TRU4]]</f>
        <v>8</v>
      </c>
      <c r="AX52">
        <f t="shared" si="18"/>
        <v>0.77777777777777779</v>
      </c>
      <c r="AY52">
        <f>survey_responses[[#This Row],[Tôi thấy Nhà nước đã giải thích rõ ràng, minh bạch về lý do và mục tiêu của việc sửa đổi thuế lần này. - HUMAN-TRU4]]</f>
        <v>10</v>
      </c>
      <c r="AZ52">
        <f t="shared" si="19"/>
        <v>1</v>
      </c>
      <c r="BA52" s="32">
        <f t="shared" si="20"/>
        <v>0.74999999999999989</v>
      </c>
      <c r="BB52" s="32">
        <f t="shared" si="21"/>
        <v>1</v>
      </c>
      <c r="BC52" s="7">
        <f t="shared" si="22"/>
        <v>0.69444444444444431</v>
      </c>
      <c r="BD52" s="7">
        <f t="shared" si="23"/>
        <v>1</v>
      </c>
      <c r="BE52">
        <f>step3_validation[[#This Row],[AI_OUT1]]</f>
        <v>9</v>
      </c>
      <c r="BF52">
        <f t="shared" si="24"/>
        <v>0.88888888888888884</v>
      </c>
      <c r="BG52">
        <f>survey_responses[[#This Row],[Sau khi xem xét các quyền lợi và nghĩa vụ, bạn có ủng hộ và tuân thủ chính sách mới hiện nay? - HUMAN-OUT1]]</f>
        <v>10</v>
      </c>
      <c r="BH52">
        <f t="shared" si="25"/>
        <v>1</v>
      </c>
      <c r="BI52" s="32">
        <f t="shared" si="26"/>
        <v>1</v>
      </c>
    </row>
    <row r="53" spans="1:61" x14ac:dyDescent="0.45">
      <c r="A53" s="30">
        <f>step3_validation[[#This Row],[Persona_ID]]</f>
        <v>52</v>
      </c>
      <c r="B53" s="31">
        <f>step3_validation[[#This Row],[Used_Seed]]</f>
        <v>2077</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21.908318374234778</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7</v>
      </c>
      <c r="R53">
        <f t="shared" si="0"/>
        <v>0.66666666666666663</v>
      </c>
      <c r="S53">
        <f>survey_responses[[#This Row],[Tôi tin rằng với các quy định quản lý thuế hiện nay, hành vi gian lận hoặc trốn thuế sẽ dễ dàng bị phát hiện và xử lý nghiêm. - HUMAN-ENF1]]</f>
        <v>10</v>
      </c>
      <c r="T53">
        <f t="shared" si="1"/>
        <v>1</v>
      </c>
      <c r="U53">
        <f>step3_validation[[#This Row],[AI_ENF2]]</f>
        <v>6</v>
      </c>
      <c r="V53">
        <f t="shared" si="2"/>
        <v>0.55555555555555558</v>
      </c>
      <c r="W53">
        <f>survey_responses[[#This Row],[Tôi tin rằng Nhà nước, cơ quan thuế có đủ khả năng và công nghệ để phát hiện, xử lý nghiêm các hành vi trốn thuế. - HUMAN-ENF2]]</f>
        <v>10</v>
      </c>
      <c r="X53">
        <f t="shared" si="3"/>
        <v>1</v>
      </c>
      <c r="Y53" s="32">
        <f t="shared" si="4"/>
        <v>0.61111111111111116</v>
      </c>
      <c r="Z53" s="32">
        <f t="shared" si="5"/>
        <v>1</v>
      </c>
      <c r="AA53">
        <f>step3_validation[[#This Row],[AI_FAC1]]</f>
        <v>8</v>
      </c>
      <c r="AB53">
        <f t="shared" si="6"/>
        <v>0.77777777777777779</v>
      </c>
      <c r="AC53">
        <f>survey_responses[[#This Row],[Các thủ tục khai báo thuế VÀ/HOẶC quy trình làm việc với cơ quan thuế đơn giản, tiện lợi, nhanh chóng hơn so với trước đây. - HUMAN-FAC1]]</f>
        <v>10</v>
      </c>
      <c r="AD53">
        <f t="shared" si="7"/>
        <v>1</v>
      </c>
      <c r="AE53">
        <f>step3_validation[[#This Row],[AI_FAC2]]</f>
        <v>9</v>
      </c>
      <c r="AF53">
        <f t="shared" si="8"/>
        <v>0.88888888888888884</v>
      </c>
      <c r="AG53">
        <f>survey_responses[[#This Row],[So với trước đây, tôi thấy cách tính thuế và các bậc thuế trong phương án mới đơn giản, dễ hiểu và dễ thực hiện hơn. - HUMAN-FAC2]]</f>
        <v>10</v>
      </c>
      <c r="AH53">
        <f t="shared" si="9"/>
        <v>1</v>
      </c>
      <c r="AI53" s="32">
        <f t="shared" si="10"/>
        <v>0.83333333333333326</v>
      </c>
      <c r="AJ53" s="32">
        <f t="shared" si="11"/>
        <v>1</v>
      </c>
      <c r="AK53">
        <f>step3_validation[[#This Row],[AI_TRU1]]</f>
        <v>7</v>
      </c>
      <c r="AL53">
        <f t="shared" si="12"/>
        <v>0.66666666666666663</v>
      </c>
      <c r="AM53">
        <f>survey_responses[[#This Row],[Tôi tin rằng Nhà nước, cơ quan thuế sẽ thực thi chính sách mới một cách khách quan, công tâm và đối xử bình đẳng với mọi người nộp thuế.  - HUMAN-TRU1]]</f>
        <v>10</v>
      </c>
      <c r="AN53">
        <f t="shared" si="13"/>
        <v>1</v>
      </c>
      <c r="AO53">
        <f>step3_validation[[#This Row],[AI_TRU2]]</f>
        <v>9</v>
      </c>
      <c r="AP53">
        <f t="shared" si="14"/>
        <v>0.88888888888888884</v>
      </c>
      <c r="AQ53">
        <f>survey_responses[[#This Row],[Tôi thấy mức thuế tôi phải đóng theo phương án mới là công bằng (người thu nhập như tôi đóng mức này là hợp lý). - HUMAN-TRU2]]</f>
        <v>10</v>
      </c>
      <c r="AR53">
        <f t="shared" si="15"/>
        <v>1</v>
      </c>
      <c r="AS53">
        <f>step3_validation[[#This Row],[AI_TRU3]]</f>
        <v>8</v>
      </c>
      <c r="AT53">
        <f t="shared" si="16"/>
        <v>0.77777777777777779</v>
      </c>
      <c r="AU53">
        <f>survey_responses[[#This Row],[Tôi tin tưởng số tiền thuế tôi đóng sẽ được Nhà nước sử dụng hiệu quả để cải thiện dịch vụ công (y tế, đường xá...). - HUMAN-TRU3]]</f>
        <v>10</v>
      </c>
      <c r="AV53">
        <f t="shared" si="17"/>
        <v>1</v>
      </c>
      <c r="AW53">
        <f>step3_validation[[#This Row],[AI_TRU4]]</f>
        <v>7</v>
      </c>
      <c r="AX53">
        <f t="shared" si="18"/>
        <v>0.66666666666666663</v>
      </c>
      <c r="AY53">
        <f>survey_responses[[#This Row],[Tôi thấy Nhà nước đã giải thích rõ ràng, minh bạch về lý do và mục tiêu của việc sửa đổi thuế lần này. - HUMAN-TRU4]]</f>
        <v>10</v>
      </c>
      <c r="AZ53">
        <f t="shared" si="19"/>
        <v>1</v>
      </c>
      <c r="BA53" s="32">
        <f t="shared" si="20"/>
        <v>0.74999999999999989</v>
      </c>
      <c r="BB53" s="32">
        <f t="shared" si="21"/>
        <v>1</v>
      </c>
      <c r="BC53" s="7">
        <f t="shared" si="22"/>
        <v>0.7314814814814814</v>
      </c>
      <c r="BD53" s="7">
        <f t="shared" si="23"/>
        <v>1</v>
      </c>
      <c r="BE53">
        <f>step3_validation[[#This Row],[AI_OUT1]]</f>
        <v>8</v>
      </c>
      <c r="BF53">
        <f t="shared" si="24"/>
        <v>0.77777777777777779</v>
      </c>
      <c r="BG53">
        <f>survey_responses[[#This Row],[Sau khi xem xét các quyền lợi và nghĩa vụ, bạn có ủng hộ và tuân thủ chính sách mới hiện nay? - HUMAN-OUT1]]</f>
        <v>8</v>
      </c>
      <c r="BH53">
        <f t="shared" si="25"/>
        <v>0.77777777777777779</v>
      </c>
      <c r="BI53" s="32">
        <f t="shared" si="26"/>
        <v>0</v>
      </c>
    </row>
    <row r="54" spans="1:61" x14ac:dyDescent="0.45">
      <c r="A54" s="30">
        <f>step3_validation[[#This Row],[Persona_ID]]</f>
        <v>53</v>
      </c>
      <c r="B54" s="31">
        <f>step3_validation[[#This Row],[Used_Seed]]</f>
        <v>2078</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14.483188240647426</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8</v>
      </c>
      <c r="R54">
        <f t="shared" si="0"/>
        <v>0.77777777777777779</v>
      </c>
      <c r="S54">
        <f>survey_responses[[#This Row],[Tôi tin rằng với các quy định quản lý thuế hiện nay, hành vi gian lận hoặc trốn thuế sẽ dễ dàng bị phát hiện và xử lý nghiêm. - HUMAN-ENF1]]</f>
        <v>10</v>
      </c>
      <c r="T54">
        <f t="shared" si="1"/>
        <v>1</v>
      </c>
      <c r="U54">
        <f>step3_validation[[#This Row],[AI_ENF2]]</f>
        <v>9</v>
      </c>
      <c r="V54">
        <f t="shared" si="2"/>
        <v>0.88888888888888884</v>
      </c>
      <c r="W54">
        <f>survey_responses[[#This Row],[Tôi tin rằng Nhà nước, cơ quan thuế có đủ khả năng và công nghệ để phát hiện, xử lý nghiêm các hành vi trốn thuế. - HUMAN-ENF2]]</f>
        <v>10</v>
      </c>
      <c r="X54">
        <f t="shared" si="3"/>
        <v>1</v>
      </c>
      <c r="Y54" s="32">
        <f t="shared" si="4"/>
        <v>0.83333333333333326</v>
      </c>
      <c r="Z54" s="32">
        <f t="shared" si="5"/>
        <v>1</v>
      </c>
      <c r="AA54">
        <f>step3_validation[[#This Row],[AI_FAC1]]</f>
        <v>7</v>
      </c>
      <c r="AB54">
        <f t="shared" si="6"/>
        <v>0.66666666666666663</v>
      </c>
      <c r="AC54">
        <f>survey_responses[[#This Row],[Các thủ tục khai báo thuế VÀ/HOẶC quy trình làm việc với cơ quan thuế đơn giản, tiện lợi, nhanh chóng hơn so với trước đây. - HUMAN-FAC1]]</f>
        <v>10</v>
      </c>
      <c r="AD54">
        <f t="shared" si="7"/>
        <v>1</v>
      </c>
      <c r="AE54">
        <f>step3_validation[[#This Row],[AI_FAC2]]</f>
        <v>6</v>
      </c>
      <c r="AF54">
        <f t="shared" si="8"/>
        <v>0.55555555555555558</v>
      </c>
      <c r="AG54">
        <f>survey_responses[[#This Row],[So với trước đây, tôi thấy cách tính thuế và các bậc thuế trong phương án mới đơn giản, dễ hiểu và dễ thực hiện hơn. - HUMAN-FAC2]]</f>
        <v>10</v>
      </c>
      <c r="AH54">
        <f t="shared" si="9"/>
        <v>1</v>
      </c>
      <c r="AI54" s="32">
        <f t="shared" si="10"/>
        <v>0.61111111111111116</v>
      </c>
      <c r="AJ54" s="32">
        <f t="shared" si="11"/>
        <v>1</v>
      </c>
      <c r="AK54">
        <f>step3_validation[[#This Row],[AI_TRU1]]</f>
        <v>9</v>
      </c>
      <c r="AL54">
        <f t="shared" si="12"/>
        <v>0.88888888888888884</v>
      </c>
      <c r="AM54">
        <f>survey_responses[[#This Row],[Tôi tin rằng Nhà nước, cơ quan thuế sẽ thực thi chính sách mới một cách khách quan, công tâm và đối xử bình đẳng với mọi người nộp thuế.  - HUMAN-TRU1]]</f>
        <v>10</v>
      </c>
      <c r="AN54">
        <f t="shared" si="13"/>
        <v>1</v>
      </c>
      <c r="AO54">
        <f>step3_validation[[#This Row],[AI_TRU2]]</f>
        <v>8</v>
      </c>
      <c r="AP54">
        <f t="shared" si="14"/>
        <v>0.77777777777777779</v>
      </c>
      <c r="AQ54">
        <f>survey_responses[[#This Row],[Tôi thấy mức thuế tôi phải đóng theo phương án mới là công bằng (người thu nhập như tôi đóng mức này là hợp lý). - HUMAN-TRU2]]</f>
        <v>10</v>
      </c>
      <c r="AR54">
        <f t="shared" si="15"/>
        <v>1</v>
      </c>
      <c r="AS54">
        <f>step3_validation[[#This Row],[AI_TRU3]]</f>
        <v>7</v>
      </c>
      <c r="AT54">
        <f t="shared" si="16"/>
        <v>0.66666666666666663</v>
      </c>
      <c r="AU54">
        <f>survey_responses[[#This Row],[Tôi tin tưởng số tiền thuế tôi đóng sẽ được Nhà nước sử dụng hiệu quả để cải thiện dịch vụ công (y tế, đường xá...). - HUMAN-TRU3]]</f>
        <v>10</v>
      </c>
      <c r="AV54">
        <f t="shared" si="17"/>
        <v>1</v>
      </c>
      <c r="AW54">
        <f>step3_validation[[#This Row],[AI_TRU4]]</f>
        <v>8</v>
      </c>
      <c r="AX54">
        <f t="shared" si="18"/>
        <v>0.77777777777777779</v>
      </c>
      <c r="AY54">
        <f>survey_responses[[#This Row],[Tôi thấy Nhà nước đã giải thích rõ ràng, minh bạch về lý do và mục tiêu của việc sửa đổi thuế lần này. - HUMAN-TRU4]]</f>
        <v>10</v>
      </c>
      <c r="AZ54">
        <f t="shared" si="19"/>
        <v>1</v>
      </c>
      <c r="BA54" s="32">
        <f t="shared" si="20"/>
        <v>0.77777777777777768</v>
      </c>
      <c r="BB54" s="32">
        <f t="shared" si="21"/>
        <v>1</v>
      </c>
      <c r="BC54" s="7">
        <f t="shared" si="22"/>
        <v>0.74074074074074081</v>
      </c>
      <c r="BD54" s="7">
        <f t="shared" si="23"/>
        <v>1</v>
      </c>
      <c r="BE54">
        <f>step3_validation[[#This Row],[AI_OUT1]]</f>
        <v>9</v>
      </c>
      <c r="BF54">
        <f t="shared" si="24"/>
        <v>0.88888888888888884</v>
      </c>
      <c r="BG54">
        <f>survey_responses[[#This Row],[Sau khi xem xét các quyền lợi và nghĩa vụ, bạn có ủng hộ và tuân thủ chính sách mới hiện nay? - HUMAN-OUT1]]</f>
        <v>10</v>
      </c>
      <c r="BH54">
        <f t="shared" si="25"/>
        <v>1</v>
      </c>
      <c r="BI54" s="32">
        <f t="shared" si="26"/>
        <v>1</v>
      </c>
    </row>
    <row r="55" spans="1:61" x14ac:dyDescent="0.45">
      <c r="A55" s="30">
        <f>step3_validation[[#This Row],[Persona_ID]]</f>
        <v>54</v>
      </c>
      <c r="B55" s="31">
        <f>step3_validation[[#This Row],[Used_Seed]]</f>
        <v>2079</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39.885700409580231</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7</v>
      </c>
      <c r="R55">
        <f t="shared" si="0"/>
        <v>0.66666666666666663</v>
      </c>
      <c r="S55">
        <f>survey_responses[[#This Row],[Tôi tin rằng với các quy định quản lý thuế hiện nay, hành vi gian lận hoặc trốn thuế sẽ dễ dàng bị phát hiện và xử lý nghiêm. - HUMAN-ENF1]]</f>
        <v>8</v>
      </c>
      <c r="T55">
        <f t="shared" si="1"/>
        <v>0.77777777777777779</v>
      </c>
      <c r="U55">
        <f>step3_validation[[#This Row],[AI_ENF2]]</f>
        <v>6</v>
      </c>
      <c r="V55">
        <f t="shared" si="2"/>
        <v>0.55555555555555558</v>
      </c>
      <c r="W55">
        <f>survey_responses[[#This Row],[Tôi tin rằng Nhà nước, cơ quan thuế có đủ khả năng và công nghệ để phát hiện, xử lý nghiêm các hành vi trốn thuế. - HUMAN-ENF2]]</f>
        <v>7</v>
      </c>
      <c r="X55">
        <f t="shared" si="3"/>
        <v>0.66666666666666663</v>
      </c>
      <c r="Y55" s="32">
        <f t="shared" si="4"/>
        <v>0.61111111111111116</v>
      </c>
      <c r="Z55" s="32">
        <f t="shared" si="5"/>
        <v>0.72222222222222221</v>
      </c>
      <c r="AA55">
        <f>step3_validation[[#This Row],[AI_FAC1]]</f>
        <v>8</v>
      </c>
      <c r="AB55">
        <f t="shared" si="6"/>
        <v>0.77777777777777779</v>
      </c>
      <c r="AC55">
        <f>survey_responses[[#This Row],[Các thủ tục khai báo thuế VÀ/HOẶC quy trình làm việc với cơ quan thuế đơn giản, tiện lợi, nhanh chóng hơn so với trước đây. - HUMAN-FAC1]]</f>
        <v>7</v>
      </c>
      <c r="AD55">
        <f t="shared" si="7"/>
        <v>0.66666666666666663</v>
      </c>
      <c r="AE55">
        <f>step3_validation[[#This Row],[AI_FAC2]]</f>
        <v>9</v>
      </c>
      <c r="AF55">
        <f t="shared" si="8"/>
        <v>0.88888888888888884</v>
      </c>
      <c r="AG55">
        <f>survey_responses[[#This Row],[So với trước đây, tôi thấy cách tính thuế và các bậc thuế trong phương án mới đơn giản, dễ hiểu và dễ thực hiện hơn. - HUMAN-FAC2]]</f>
        <v>8</v>
      </c>
      <c r="AH55">
        <f t="shared" si="9"/>
        <v>0.77777777777777779</v>
      </c>
      <c r="AI55" s="32">
        <f t="shared" si="10"/>
        <v>0.83333333333333326</v>
      </c>
      <c r="AJ55" s="32">
        <f t="shared" si="11"/>
        <v>0.72222222222222221</v>
      </c>
      <c r="AK55">
        <f>step3_validation[[#This Row],[AI_TRU1]]</f>
        <v>7</v>
      </c>
      <c r="AL55">
        <f t="shared" si="12"/>
        <v>0.66666666666666663</v>
      </c>
      <c r="AM55">
        <f>survey_responses[[#This Row],[Tôi tin rằng Nhà nước, cơ quan thuế sẽ thực thi chính sách mới một cách khách quan, công tâm và đối xử bình đẳng với mọi người nộp thuế.  - HUMAN-TRU1]]</f>
        <v>7</v>
      </c>
      <c r="AN55">
        <f t="shared" si="13"/>
        <v>0.66666666666666663</v>
      </c>
      <c r="AO55">
        <f>step3_validation[[#This Row],[AI_TRU2]]</f>
        <v>8</v>
      </c>
      <c r="AP55">
        <f t="shared" si="14"/>
        <v>0.77777777777777779</v>
      </c>
      <c r="AQ55">
        <f>survey_responses[[#This Row],[Tôi thấy mức thuế tôi phải đóng theo phương án mới là công bằng (người thu nhập như tôi đóng mức này là hợp lý). - HUMAN-TRU2]]</f>
        <v>8</v>
      </c>
      <c r="AR55">
        <f t="shared" si="15"/>
        <v>0.77777777777777779</v>
      </c>
      <c r="AS55">
        <f>step3_validation[[#This Row],[AI_TRU3]]</f>
        <v>6</v>
      </c>
      <c r="AT55">
        <f t="shared" si="16"/>
        <v>0.55555555555555558</v>
      </c>
      <c r="AU55">
        <f>survey_responses[[#This Row],[Tôi tin tưởng số tiền thuế tôi đóng sẽ được Nhà nước sử dụng hiệu quả để cải thiện dịch vụ công (y tế, đường xá...). - HUMAN-TRU3]]</f>
        <v>7</v>
      </c>
      <c r="AV55">
        <f t="shared" si="17"/>
        <v>0.66666666666666663</v>
      </c>
      <c r="AW55">
        <f>step3_validation[[#This Row],[AI_TRU4]]</f>
        <v>7</v>
      </c>
      <c r="AX55">
        <f t="shared" si="18"/>
        <v>0.66666666666666663</v>
      </c>
      <c r="AY55">
        <f>survey_responses[[#This Row],[Tôi thấy Nhà nước đã giải thích rõ ràng, minh bạch về lý do và mục tiêu của việc sửa đổi thuế lần này. - HUMAN-TRU4]]</f>
        <v>7</v>
      </c>
      <c r="AZ55">
        <f t="shared" si="19"/>
        <v>0.66666666666666663</v>
      </c>
      <c r="BA55" s="32">
        <f t="shared" si="20"/>
        <v>0.66666666666666663</v>
      </c>
      <c r="BB55" s="32">
        <f t="shared" si="21"/>
        <v>0.69444444444444442</v>
      </c>
      <c r="BC55" s="7">
        <f t="shared" si="22"/>
        <v>0.70370370370370372</v>
      </c>
      <c r="BD55" s="7">
        <f t="shared" si="23"/>
        <v>0.71296296296296291</v>
      </c>
      <c r="BE55">
        <f>step3_validation[[#This Row],[AI_OUT1]]</f>
        <v>8</v>
      </c>
      <c r="BF55">
        <f t="shared" si="24"/>
        <v>0.77777777777777779</v>
      </c>
      <c r="BG55">
        <f>survey_responses[[#This Row],[Sau khi xem xét các quyền lợi và nghĩa vụ, bạn có ủng hộ và tuân thủ chính sách mới hiện nay? - HUMAN-OUT1]]</f>
        <v>8</v>
      </c>
      <c r="BH55">
        <f t="shared" si="25"/>
        <v>0.77777777777777779</v>
      </c>
      <c r="BI55" s="32">
        <f t="shared" si="26"/>
        <v>0</v>
      </c>
    </row>
    <row r="56" spans="1:61" x14ac:dyDescent="0.45">
      <c r="A56" s="30">
        <f>step3_validation[[#This Row],[Persona_ID]]</f>
        <v>55</v>
      </c>
      <c r="B56" s="31">
        <f>step3_validation[[#This Row],[Used_Seed]]</f>
        <v>2080</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33.623516564615294</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9</v>
      </c>
      <c r="R56">
        <f t="shared" si="0"/>
        <v>0.88888888888888884</v>
      </c>
      <c r="S56">
        <f>survey_responses[[#This Row],[Tôi tin rằng với các quy định quản lý thuế hiện nay, hành vi gian lận hoặc trốn thuế sẽ dễ dàng bị phát hiện và xử lý nghiêm. - HUMAN-ENF1]]</f>
        <v>10</v>
      </c>
      <c r="T56">
        <f t="shared" si="1"/>
        <v>1</v>
      </c>
      <c r="U56">
        <f>step3_validation[[#This Row],[AI_ENF2]]</f>
        <v>9</v>
      </c>
      <c r="V56">
        <f t="shared" si="2"/>
        <v>0.88888888888888884</v>
      </c>
      <c r="W56">
        <f>survey_responses[[#This Row],[Tôi tin rằng Nhà nước, cơ quan thuế có đủ khả năng và công nghệ để phát hiện, xử lý nghiêm các hành vi trốn thuế. - HUMAN-ENF2]]</f>
        <v>9</v>
      </c>
      <c r="X56">
        <f t="shared" si="3"/>
        <v>0.88888888888888884</v>
      </c>
      <c r="Y56" s="32">
        <f t="shared" si="4"/>
        <v>0.88888888888888884</v>
      </c>
      <c r="Z56" s="32">
        <f t="shared" si="5"/>
        <v>0.94444444444444442</v>
      </c>
      <c r="AA56">
        <f>step3_validation[[#This Row],[AI_FAC1]]</f>
        <v>8</v>
      </c>
      <c r="AB56">
        <f t="shared" si="6"/>
        <v>0.77777777777777779</v>
      </c>
      <c r="AC56">
        <f>survey_responses[[#This Row],[Các thủ tục khai báo thuế VÀ/HOẶC quy trình làm việc với cơ quan thuế đơn giản, tiện lợi, nhanh chóng hơn so với trước đây. - HUMAN-FAC1]]</f>
        <v>3</v>
      </c>
      <c r="AD56">
        <f t="shared" si="7"/>
        <v>0.22222222222222221</v>
      </c>
      <c r="AE56">
        <f>step3_validation[[#This Row],[AI_FAC2]]</f>
        <v>9</v>
      </c>
      <c r="AF56">
        <f t="shared" si="8"/>
        <v>0.88888888888888884</v>
      </c>
      <c r="AG56">
        <f>survey_responses[[#This Row],[So với trước đây, tôi thấy cách tính thuế và các bậc thuế trong phương án mới đơn giản, dễ hiểu và dễ thực hiện hơn. - HUMAN-FAC2]]</f>
        <v>4</v>
      </c>
      <c r="AH56">
        <f t="shared" si="9"/>
        <v>0.33333333333333331</v>
      </c>
      <c r="AI56" s="32">
        <f t="shared" si="10"/>
        <v>0.83333333333333326</v>
      </c>
      <c r="AJ56" s="32">
        <f t="shared" si="11"/>
        <v>0.27777777777777779</v>
      </c>
      <c r="AK56">
        <f>step3_validation[[#This Row],[AI_TRU1]]</f>
        <v>8</v>
      </c>
      <c r="AL56">
        <f t="shared" si="12"/>
        <v>0.77777777777777779</v>
      </c>
      <c r="AM56">
        <f>survey_responses[[#This Row],[Tôi tin rằng Nhà nước, cơ quan thuế sẽ thực thi chính sách mới một cách khách quan, công tâm và đối xử bình đẳng với mọi người nộp thuế.  - HUMAN-TRU1]]</f>
        <v>3</v>
      </c>
      <c r="AN56">
        <f t="shared" si="13"/>
        <v>0.22222222222222221</v>
      </c>
      <c r="AO56">
        <f>step3_validation[[#This Row],[AI_TRU2]]</f>
        <v>9</v>
      </c>
      <c r="AP56">
        <f t="shared" si="14"/>
        <v>0.88888888888888884</v>
      </c>
      <c r="AQ56">
        <f>survey_responses[[#This Row],[Tôi thấy mức thuế tôi phải đóng theo phương án mới là công bằng (người thu nhập như tôi đóng mức này là hợp lý). - HUMAN-TRU2]]</f>
        <v>3</v>
      </c>
      <c r="AR56">
        <f t="shared" si="15"/>
        <v>0.22222222222222221</v>
      </c>
      <c r="AS56">
        <f>step3_validation[[#This Row],[AI_TRU3]]</f>
        <v>8</v>
      </c>
      <c r="AT56">
        <f t="shared" si="16"/>
        <v>0.77777777777777779</v>
      </c>
      <c r="AU56">
        <f>survey_responses[[#This Row],[Tôi tin tưởng số tiền thuế tôi đóng sẽ được Nhà nước sử dụng hiệu quả để cải thiện dịch vụ công (y tế, đường xá...). - HUMAN-TRU3]]</f>
        <v>1</v>
      </c>
      <c r="AV56">
        <f t="shared" si="17"/>
        <v>0</v>
      </c>
      <c r="AW56">
        <f>step3_validation[[#This Row],[AI_TRU4]]</f>
        <v>9</v>
      </c>
      <c r="AX56">
        <f t="shared" si="18"/>
        <v>0.88888888888888884</v>
      </c>
      <c r="AY56">
        <f>survey_responses[[#This Row],[Tôi thấy Nhà nước đã giải thích rõ ràng, minh bạch về lý do và mục tiêu của việc sửa đổi thuế lần này. - HUMAN-TRU4]]</f>
        <v>1</v>
      </c>
      <c r="AZ56">
        <f t="shared" si="19"/>
        <v>0</v>
      </c>
      <c r="BA56" s="32">
        <f t="shared" si="20"/>
        <v>0.83333333333333326</v>
      </c>
      <c r="BB56" s="32">
        <f t="shared" si="21"/>
        <v>0.1111111111111111</v>
      </c>
      <c r="BC56" s="7">
        <f t="shared" si="22"/>
        <v>0.85185185185185175</v>
      </c>
      <c r="BD56" s="7">
        <f t="shared" si="23"/>
        <v>0.44444444444444448</v>
      </c>
      <c r="BE56">
        <f>step3_validation[[#This Row],[AI_OUT1]]</f>
        <v>9</v>
      </c>
      <c r="BF56">
        <f t="shared" si="24"/>
        <v>0.88888888888888884</v>
      </c>
      <c r="BG56">
        <f>survey_responses[[#This Row],[Sau khi xem xét các quyền lợi và nghĩa vụ, bạn có ủng hộ và tuân thủ chính sách mới hiện nay? - HUMAN-OUT1]]</f>
        <v>3</v>
      </c>
      <c r="BH56">
        <f t="shared" si="25"/>
        <v>0.22222222222222221</v>
      </c>
      <c r="BI56" s="32">
        <f t="shared" si="26"/>
        <v>6</v>
      </c>
    </row>
    <row r="57" spans="1:61" x14ac:dyDescent="0.45">
      <c r="A57" s="30">
        <f>step3_validation[[#This Row],[Persona_ID]]</f>
        <v>56</v>
      </c>
      <c r="B57" s="31">
        <f>step3_validation[[#This Row],[Used_Seed]]</f>
        <v>2081</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6</v>
      </c>
      <c r="R57">
        <f t="shared" si="0"/>
        <v>0.55555555555555558</v>
      </c>
      <c r="S57">
        <f>survey_responses[[#This Row],[Tôi tin rằng với các quy định quản lý thuế hiện nay, hành vi gian lận hoặc trốn thuế sẽ dễ dàng bị phát hiện và xử lý nghiêm. - HUMAN-ENF1]]</f>
        <v>10</v>
      </c>
      <c r="T57">
        <f t="shared" si="1"/>
        <v>1</v>
      </c>
      <c r="U57">
        <f>step3_validation[[#This Row],[AI_ENF2]]</f>
        <v>6</v>
      </c>
      <c r="V57">
        <f t="shared" si="2"/>
        <v>0.55555555555555558</v>
      </c>
      <c r="W57">
        <f>survey_responses[[#This Row],[Tôi tin rằng Nhà nước, cơ quan thuế có đủ khả năng và công nghệ để phát hiện, xử lý nghiêm các hành vi trốn thuế. - HUMAN-ENF2]]</f>
        <v>10</v>
      </c>
      <c r="X57">
        <f t="shared" si="3"/>
        <v>1</v>
      </c>
      <c r="Y57" s="32">
        <f t="shared" si="4"/>
        <v>0.55555555555555558</v>
      </c>
      <c r="Z57" s="32">
        <f t="shared" si="5"/>
        <v>1</v>
      </c>
      <c r="AA57">
        <f>step3_validation[[#This Row],[AI_FAC1]]</f>
        <v>8</v>
      </c>
      <c r="AB57">
        <f t="shared" si="6"/>
        <v>0.77777777777777779</v>
      </c>
      <c r="AC57">
        <f>survey_responses[[#This Row],[Các thủ tục khai báo thuế VÀ/HOẶC quy trình làm việc với cơ quan thuế đơn giản, tiện lợi, nhanh chóng hơn so với trước đây. - HUMAN-FAC1]]</f>
        <v>9</v>
      </c>
      <c r="AD57">
        <f t="shared" si="7"/>
        <v>0.88888888888888884</v>
      </c>
      <c r="AE57">
        <f>step3_validation[[#This Row],[AI_FAC2]]</f>
        <v>9</v>
      </c>
      <c r="AF57">
        <f t="shared" si="8"/>
        <v>0.88888888888888884</v>
      </c>
      <c r="AG57">
        <f>survey_responses[[#This Row],[So với trước đây, tôi thấy cách tính thuế và các bậc thuế trong phương án mới đơn giản, dễ hiểu và dễ thực hiện hơn. - HUMAN-FAC2]]</f>
        <v>10</v>
      </c>
      <c r="AH57">
        <f t="shared" si="9"/>
        <v>1</v>
      </c>
      <c r="AI57" s="32">
        <f t="shared" si="10"/>
        <v>0.83333333333333326</v>
      </c>
      <c r="AJ57" s="32">
        <f t="shared" si="11"/>
        <v>0.94444444444444442</v>
      </c>
      <c r="AK57">
        <f>step3_validation[[#This Row],[AI_TRU1]]</f>
        <v>6</v>
      </c>
      <c r="AL57">
        <f t="shared" si="12"/>
        <v>0.55555555555555558</v>
      </c>
      <c r="AM57">
        <f>survey_responses[[#This Row],[Tôi tin rằng Nhà nước, cơ quan thuế sẽ thực thi chính sách mới một cách khách quan, công tâm và đối xử bình đẳng với mọi người nộp thuế.  - HUMAN-TRU1]]</f>
        <v>9</v>
      </c>
      <c r="AN57">
        <f t="shared" si="13"/>
        <v>0.88888888888888884</v>
      </c>
      <c r="AO57">
        <f>step3_validation[[#This Row],[AI_TRU2]]</f>
        <v>7</v>
      </c>
      <c r="AP57">
        <f t="shared" si="14"/>
        <v>0.66666666666666663</v>
      </c>
      <c r="AQ57">
        <f>survey_responses[[#This Row],[Tôi thấy mức thuế tôi phải đóng theo phương án mới là công bằng (người thu nhập như tôi đóng mức này là hợp lý). - HUMAN-TRU2]]</f>
        <v>10</v>
      </c>
      <c r="AR57">
        <f t="shared" si="15"/>
        <v>1</v>
      </c>
      <c r="AS57">
        <f>step3_validation[[#This Row],[AI_TRU3]]</f>
        <v>6</v>
      </c>
      <c r="AT57">
        <f t="shared" si="16"/>
        <v>0.55555555555555558</v>
      </c>
      <c r="AU57">
        <f>survey_responses[[#This Row],[Tôi tin tưởng số tiền thuế tôi đóng sẽ được Nhà nước sử dụng hiệu quả để cải thiện dịch vụ công (y tế, đường xá...). - HUMAN-TRU3]]</f>
        <v>9</v>
      </c>
      <c r="AV57">
        <f t="shared" si="17"/>
        <v>0.88888888888888884</v>
      </c>
      <c r="AW57">
        <f>step3_validation[[#This Row],[AI_TRU4]]</f>
        <v>6</v>
      </c>
      <c r="AX57">
        <f t="shared" si="18"/>
        <v>0.55555555555555558</v>
      </c>
      <c r="AY57">
        <f>survey_responses[[#This Row],[Tôi thấy Nhà nước đã giải thích rõ ràng, minh bạch về lý do và mục tiêu của việc sửa đổi thuế lần này. - HUMAN-TRU4]]</f>
        <v>10</v>
      </c>
      <c r="AZ57">
        <f t="shared" si="19"/>
        <v>1</v>
      </c>
      <c r="BA57" s="32">
        <f t="shared" si="20"/>
        <v>0.58333333333333337</v>
      </c>
      <c r="BB57" s="32">
        <f t="shared" si="21"/>
        <v>0.94444444444444442</v>
      </c>
      <c r="BC57" s="7">
        <f t="shared" si="22"/>
        <v>0.65740740740740744</v>
      </c>
      <c r="BD57" s="7">
        <f t="shared" si="23"/>
        <v>0.96296296296296291</v>
      </c>
      <c r="BE57">
        <f>step3_validation[[#This Row],[AI_OUT1]]</f>
        <v>7</v>
      </c>
      <c r="BF57">
        <f t="shared" si="24"/>
        <v>0.66666666666666663</v>
      </c>
      <c r="BG57">
        <f>survey_responses[[#This Row],[Sau khi xem xét các quyền lợi và nghĩa vụ, bạn có ủng hộ và tuân thủ chính sách mới hiện nay? - HUMAN-OUT1]]</f>
        <v>9</v>
      </c>
      <c r="BH57">
        <f t="shared" si="25"/>
        <v>0.88888888888888884</v>
      </c>
      <c r="BI57" s="32">
        <f t="shared" si="26"/>
        <v>2</v>
      </c>
    </row>
    <row r="58" spans="1:61" x14ac:dyDescent="0.45">
      <c r="A58" s="30">
        <f>step3_validation[[#This Row],[Persona_ID]]</f>
        <v>57</v>
      </c>
      <c r="B58" s="31">
        <f>step3_validation[[#This Row],[Used_Seed]]</f>
        <v>2082</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14.286362299942033</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7</v>
      </c>
      <c r="R58">
        <f t="shared" si="0"/>
        <v>0.66666666666666663</v>
      </c>
      <c r="S58">
        <f>survey_responses[[#This Row],[Tôi tin rằng với các quy định quản lý thuế hiện nay, hành vi gian lận hoặc trốn thuế sẽ dễ dàng bị phát hiện và xử lý nghiêm. - HUMAN-ENF1]]</f>
        <v>10</v>
      </c>
      <c r="T58">
        <f t="shared" si="1"/>
        <v>1</v>
      </c>
      <c r="U58">
        <f>step3_validation[[#This Row],[AI_ENF2]]</f>
        <v>6</v>
      </c>
      <c r="V58">
        <f t="shared" si="2"/>
        <v>0.55555555555555558</v>
      </c>
      <c r="W58">
        <f>survey_responses[[#This Row],[Tôi tin rằng Nhà nước, cơ quan thuế có đủ khả năng và công nghệ để phát hiện, xử lý nghiêm các hành vi trốn thuế. - HUMAN-ENF2]]</f>
        <v>10</v>
      </c>
      <c r="X58">
        <f t="shared" si="3"/>
        <v>1</v>
      </c>
      <c r="Y58" s="32">
        <f t="shared" si="4"/>
        <v>0.61111111111111116</v>
      </c>
      <c r="Z58" s="32">
        <f t="shared" si="5"/>
        <v>1</v>
      </c>
      <c r="AA58">
        <f>step3_validation[[#This Row],[AI_FAC1]]</f>
        <v>9</v>
      </c>
      <c r="AB58">
        <f t="shared" si="6"/>
        <v>0.88888888888888884</v>
      </c>
      <c r="AC58">
        <f>survey_responses[[#This Row],[Các thủ tục khai báo thuế VÀ/HOẶC quy trình làm việc với cơ quan thuế đơn giản, tiện lợi, nhanh chóng hơn so với trước đây. - HUMAN-FAC1]]</f>
        <v>1</v>
      </c>
      <c r="AD58">
        <f t="shared" si="7"/>
        <v>0</v>
      </c>
      <c r="AE58">
        <f>step3_validation[[#This Row],[AI_FAC2]]</f>
        <v>9</v>
      </c>
      <c r="AF58">
        <f t="shared" si="8"/>
        <v>0.88888888888888884</v>
      </c>
      <c r="AG58">
        <f>survey_responses[[#This Row],[So với trước đây, tôi thấy cách tính thuế và các bậc thuế trong phương án mới đơn giản, dễ hiểu và dễ thực hiện hơn. - HUMAN-FAC2]]</f>
        <v>5</v>
      </c>
      <c r="AH58">
        <f t="shared" si="9"/>
        <v>0.44444444444444442</v>
      </c>
      <c r="AI58" s="32">
        <f t="shared" si="10"/>
        <v>0.88888888888888884</v>
      </c>
      <c r="AJ58" s="32">
        <f t="shared" si="11"/>
        <v>0.22222222222222221</v>
      </c>
      <c r="AK58">
        <f>step3_validation[[#This Row],[AI_TRU1]]</f>
        <v>8</v>
      </c>
      <c r="AL58">
        <f t="shared" si="12"/>
        <v>0.77777777777777779</v>
      </c>
      <c r="AM58">
        <f>survey_responses[[#This Row],[Tôi tin rằng Nhà nước, cơ quan thuế sẽ thực thi chính sách mới một cách khách quan, công tâm và đối xử bình đẳng với mọi người nộp thuế.  - HUMAN-TRU1]]</f>
        <v>7</v>
      </c>
      <c r="AN58">
        <f t="shared" si="13"/>
        <v>0.66666666666666663</v>
      </c>
      <c r="AO58">
        <f>step3_validation[[#This Row],[AI_TRU2]]</f>
        <v>9</v>
      </c>
      <c r="AP58">
        <f t="shared" si="14"/>
        <v>0.88888888888888884</v>
      </c>
      <c r="AQ58">
        <f>survey_responses[[#This Row],[Tôi thấy mức thuế tôi phải đóng theo phương án mới là công bằng (người thu nhập như tôi đóng mức này là hợp lý). - HUMAN-TRU2]]</f>
        <v>10</v>
      </c>
      <c r="AR58">
        <f t="shared" si="15"/>
        <v>1</v>
      </c>
      <c r="AS58">
        <f>step3_validation[[#This Row],[AI_TRU3]]</f>
        <v>8</v>
      </c>
      <c r="AT58">
        <f t="shared" si="16"/>
        <v>0.77777777777777779</v>
      </c>
      <c r="AU58">
        <f>survey_responses[[#This Row],[Tôi tin tưởng số tiền thuế tôi đóng sẽ được Nhà nước sử dụng hiệu quả để cải thiện dịch vụ công (y tế, đường xá...). - HUMAN-TRU3]]</f>
        <v>9</v>
      </c>
      <c r="AV58">
        <f t="shared" si="17"/>
        <v>0.88888888888888884</v>
      </c>
      <c r="AW58">
        <f>step3_validation[[#This Row],[AI_TRU4]]</f>
        <v>7</v>
      </c>
      <c r="AX58">
        <f t="shared" si="18"/>
        <v>0.66666666666666663</v>
      </c>
      <c r="AY58">
        <f>survey_responses[[#This Row],[Tôi thấy Nhà nước đã giải thích rõ ràng, minh bạch về lý do và mục tiêu của việc sửa đổi thuế lần này. - HUMAN-TRU4]]</f>
        <v>9</v>
      </c>
      <c r="AZ58">
        <f t="shared" si="19"/>
        <v>0.88888888888888884</v>
      </c>
      <c r="BA58" s="32">
        <f t="shared" si="20"/>
        <v>0.77777777777777768</v>
      </c>
      <c r="BB58" s="32">
        <f t="shared" si="21"/>
        <v>0.86111111111111105</v>
      </c>
      <c r="BC58" s="7">
        <f t="shared" si="22"/>
        <v>0.75925925925925919</v>
      </c>
      <c r="BD58" s="7">
        <f t="shared" si="23"/>
        <v>0.69444444444444453</v>
      </c>
      <c r="BE58">
        <f>step3_validation[[#This Row],[AI_OUT1]]</f>
        <v>9</v>
      </c>
      <c r="BF58">
        <f t="shared" si="24"/>
        <v>0.88888888888888884</v>
      </c>
      <c r="BG58">
        <f>survey_responses[[#This Row],[Sau khi xem xét các quyền lợi và nghĩa vụ, bạn có ủng hộ và tuân thủ chính sách mới hiện nay? - HUMAN-OUT1]]</f>
        <v>10</v>
      </c>
      <c r="BH58">
        <f t="shared" si="25"/>
        <v>1</v>
      </c>
      <c r="BI58" s="32">
        <f t="shared" si="26"/>
        <v>1</v>
      </c>
    </row>
    <row r="59" spans="1:61" x14ac:dyDescent="0.45">
      <c r="A59" s="30">
        <f>step3_validation[[#This Row],[Persona_ID]]</f>
        <v>58</v>
      </c>
      <c r="B59" s="31">
        <f>step3_validation[[#This Row],[Used_Seed]]</f>
        <v>2083</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30.771428466564885</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7</v>
      </c>
      <c r="R59">
        <f t="shared" si="0"/>
        <v>0.66666666666666663</v>
      </c>
      <c r="S59">
        <f>survey_responses[[#This Row],[Tôi tin rằng với các quy định quản lý thuế hiện nay, hành vi gian lận hoặc trốn thuế sẽ dễ dàng bị phát hiện và xử lý nghiêm. - HUMAN-ENF1]]</f>
        <v>5</v>
      </c>
      <c r="T59">
        <f t="shared" si="1"/>
        <v>0.44444444444444442</v>
      </c>
      <c r="U59">
        <f>step3_validation[[#This Row],[AI_ENF2]]</f>
        <v>8</v>
      </c>
      <c r="V59">
        <f t="shared" si="2"/>
        <v>0.77777777777777779</v>
      </c>
      <c r="W59">
        <f>survey_responses[[#This Row],[Tôi tin rằng Nhà nước, cơ quan thuế có đủ khả năng và công nghệ để phát hiện, xử lý nghiêm các hành vi trốn thuế. - HUMAN-ENF2]]</f>
        <v>5</v>
      </c>
      <c r="X59">
        <f t="shared" si="3"/>
        <v>0.44444444444444442</v>
      </c>
      <c r="Y59" s="32">
        <f t="shared" si="4"/>
        <v>0.72222222222222221</v>
      </c>
      <c r="Z59" s="32">
        <f t="shared" si="5"/>
        <v>0.44444444444444442</v>
      </c>
      <c r="AA59">
        <f>step3_validation[[#This Row],[AI_FAC1]]</f>
        <v>6</v>
      </c>
      <c r="AB59">
        <f t="shared" si="6"/>
        <v>0.55555555555555558</v>
      </c>
      <c r="AC59">
        <f>survey_responses[[#This Row],[Các thủ tục khai báo thuế VÀ/HOẶC quy trình làm việc với cơ quan thuế đơn giản, tiện lợi, nhanh chóng hơn so với trước đây. - HUMAN-FAC1]]</f>
        <v>4</v>
      </c>
      <c r="AD59">
        <f t="shared" si="7"/>
        <v>0.33333333333333331</v>
      </c>
      <c r="AE59">
        <f>step3_validation[[#This Row],[AI_FAC2]]</f>
        <v>9</v>
      </c>
      <c r="AF59">
        <f t="shared" si="8"/>
        <v>0.88888888888888884</v>
      </c>
      <c r="AG59">
        <f>survey_responses[[#This Row],[So với trước đây, tôi thấy cách tính thuế và các bậc thuế trong phương án mới đơn giản, dễ hiểu và dễ thực hiện hơn. - HUMAN-FAC2]]</f>
        <v>8</v>
      </c>
      <c r="AH59">
        <f t="shared" si="9"/>
        <v>0.77777777777777779</v>
      </c>
      <c r="AI59" s="32">
        <f t="shared" si="10"/>
        <v>0.72222222222222221</v>
      </c>
      <c r="AJ59" s="32">
        <f t="shared" si="11"/>
        <v>0.55555555555555558</v>
      </c>
      <c r="AK59">
        <f>step3_validation[[#This Row],[AI_TRU1]]</f>
        <v>7</v>
      </c>
      <c r="AL59">
        <f t="shared" si="12"/>
        <v>0.66666666666666663</v>
      </c>
      <c r="AM59">
        <f>survey_responses[[#This Row],[Tôi tin rằng Nhà nước, cơ quan thuế sẽ thực thi chính sách mới một cách khách quan, công tâm và đối xử bình đẳng với mọi người nộp thuế.  - HUMAN-TRU1]]</f>
        <v>5</v>
      </c>
      <c r="AN59">
        <f t="shared" si="13"/>
        <v>0.44444444444444442</v>
      </c>
      <c r="AO59">
        <f>step3_validation[[#This Row],[AI_TRU2]]</f>
        <v>9</v>
      </c>
      <c r="AP59">
        <f t="shared" si="14"/>
        <v>0.88888888888888884</v>
      </c>
      <c r="AQ59">
        <f>survey_responses[[#This Row],[Tôi thấy mức thuế tôi phải đóng theo phương án mới là công bằng (người thu nhập như tôi đóng mức này là hợp lý). - HUMAN-TRU2]]</f>
        <v>7</v>
      </c>
      <c r="AR59">
        <f t="shared" si="15"/>
        <v>0.66666666666666663</v>
      </c>
      <c r="AS59">
        <f>step3_validation[[#This Row],[AI_TRU3]]</f>
        <v>7</v>
      </c>
      <c r="AT59">
        <f t="shared" si="16"/>
        <v>0.66666666666666663</v>
      </c>
      <c r="AU59">
        <f>survey_responses[[#This Row],[Tôi tin tưởng số tiền thuế tôi đóng sẽ được Nhà nước sử dụng hiệu quả để cải thiện dịch vụ công (y tế, đường xá...). - HUMAN-TRU3]]</f>
        <v>7</v>
      </c>
      <c r="AV59">
        <f t="shared" si="17"/>
        <v>0.66666666666666663</v>
      </c>
      <c r="AW59">
        <f>step3_validation[[#This Row],[AI_TRU4]]</f>
        <v>8</v>
      </c>
      <c r="AX59">
        <f t="shared" si="18"/>
        <v>0.77777777777777779</v>
      </c>
      <c r="AY59">
        <f>survey_responses[[#This Row],[Tôi thấy Nhà nước đã giải thích rõ ràng, minh bạch về lý do và mục tiêu của việc sửa đổi thuế lần này. - HUMAN-TRU4]]</f>
        <v>7</v>
      </c>
      <c r="AZ59">
        <f t="shared" si="19"/>
        <v>0.66666666666666663</v>
      </c>
      <c r="BA59" s="32">
        <f t="shared" si="20"/>
        <v>0.74999999999999989</v>
      </c>
      <c r="BB59" s="32">
        <f t="shared" si="21"/>
        <v>0.61111111111111105</v>
      </c>
      <c r="BC59" s="7">
        <f t="shared" si="22"/>
        <v>0.7314814814814814</v>
      </c>
      <c r="BD59" s="7">
        <f t="shared" si="23"/>
        <v>0.53703703703703709</v>
      </c>
      <c r="BE59">
        <f>step3_validation[[#This Row],[AI_OUT1]]</f>
        <v>9</v>
      </c>
      <c r="BF59">
        <f t="shared" si="24"/>
        <v>0.88888888888888884</v>
      </c>
      <c r="BG59">
        <f>survey_responses[[#This Row],[Sau khi xem xét các quyền lợi và nghĩa vụ, bạn có ủng hộ và tuân thủ chính sách mới hiện nay? - HUMAN-OUT1]]</f>
        <v>7</v>
      </c>
      <c r="BH59">
        <f t="shared" si="25"/>
        <v>0.66666666666666663</v>
      </c>
      <c r="BI59" s="32">
        <f t="shared" si="26"/>
        <v>2</v>
      </c>
    </row>
    <row r="60" spans="1:61" x14ac:dyDescent="0.45">
      <c r="A60" s="30">
        <f>step3_validation[[#This Row],[Persona_ID]]</f>
        <v>59</v>
      </c>
      <c r="B60" s="31">
        <f>step3_validation[[#This Row],[Used_Seed]]</f>
        <v>2084</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7</v>
      </c>
      <c r="R60">
        <f t="shared" si="0"/>
        <v>0.66666666666666663</v>
      </c>
      <c r="S60">
        <f>survey_responses[[#This Row],[Tôi tin rằng với các quy định quản lý thuế hiện nay, hành vi gian lận hoặc trốn thuế sẽ dễ dàng bị phát hiện và xử lý nghiêm. - HUMAN-ENF1]]</f>
        <v>9</v>
      </c>
      <c r="T60">
        <f t="shared" si="1"/>
        <v>0.88888888888888884</v>
      </c>
      <c r="U60">
        <f>step3_validation[[#This Row],[AI_ENF2]]</f>
        <v>6</v>
      </c>
      <c r="V60">
        <f t="shared" si="2"/>
        <v>0.55555555555555558</v>
      </c>
      <c r="W60">
        <f>survey_responses[[#This Row],[Tôi tin rằng Nhà nước, cơ quan thuế có đủ khả năng và công nghệ để phát hiện, xử lý nghiêm các hành vi trốn thuế. - HUMAN-ENF2]]</f>
        <v>9</v>
      </c>
      <c r="X60">
        <f t="shared" si="3"/>
        <v>0.88888888888888884</v>
      </c>
      <c r="Y60" s="32">
        <f t="shared" si="4"/>
        <v>0.61111111111111116</v>
      </c>
      <c r="Z60" s="32">
        <f t="shared" si="5"/>
        <v>0.88888888888888884</v>
      </c>
      <c r="AA60">
        <f>step3_validation[[#This Row],[AI_FAC1]]</f>
        <v>9</v>
      </c>
      <c r="AB60">
        <f t="shared" si="6"/>
        <v>0.88888888888888884</v>
      </c>
      <c r="AC60">
        <f>survey_responses[[#This Row],[Các thủ tục khai báo thuế VÀ/HOẶC quy trình làm việc với cơ quan thuế đơn giản, tiện lợi, nhanh chóng hơn so với trước đây. - HUMAN-FAC1]]</f>
        <v>9</v>
      </c>
      <c r="AD60">
        <f t="shared" si="7"/>
        <v>0.88888888888888884</v>
      </c>
      <c r="AE60">
        <f>step3_validation[[#This Row],[AI_FAC2]]</f>
        <v>8</v>
      </c>
      <c r="AF60">
        <f t="shared" si="8"/>
        <v>0.77777777777777779</v>
      </c>
      <c r="AG60">
        <f>survey_responses[[#This Row],[So với trước đây, tôi thấy cách tính thuế và các bậc thuế trong phương án mới đơn giản, dễ hiểu và dễ thực hiện hơn. - HUMAN-FAC2]]</f>
        <v>7</v>
      </c>
      <c r="AH60">
        <f t="shared" si="9"/>
        <v>0.66666666666666663</v>
      </c>
      <c r="AI60" s="32">
        <f t="shared" si="10"/>
        <v>0.83333333333333326</v>
      </c>
      <c r="AJ60" s="32">
        <f t="shared" si="11"/>
        <v>0.77777777777777768</v>
      </c>
      <c r="AK60">
        <f>step3_validation[[#This Row],[AI_TRU1]]</f>
        <v>7</v>
      </c>
      <c r="AL60">
        <f t="shared" si="12"/>
        <v>0.66666666666666663</v>
      </c>
      <c r="AM60">
        <f>survey_responses[[#This Row],[Tôi tin rằng Nhà nước, cơ quan thuế sẽ thực thi chính sách mới một cách khách quan, công tâm và đối xử bình đẳng với mọi người nộp thuế.  - HUMAN-TRU1]]</f>
        <v>7</v>
      </c>
      <c r="AN60">
        <f t="shared" si="13"/>
        <v>0.66666666666666663</v>
      </c>
      <c r="AO60">
        <f>step3_validation[[#This Row],[AI_TRU2]]</f>
        <v>8</v>
      </c>
      <c r="AP60">
        <f t="shared" si="14"/>
        <v>0.77777777777777779</v>
      </c>
      <c r="AQ60">
        <f>survey_responses[[#This Row],[Tôi thấy mức thuế tôi phải đóng theo phương án mới là công bằng (người thu nhập như tôi đóng mức này là hợp lý). - HUMAN-TRU2]]</f>
        <v>8</v>
      </c>
      <c r="AR60">
        <f t="shared" si="15"/>
        <v>0.77777777777777779</v>
      </c>
      <c r="AS60">
        <f>step3_validation[[#This Row],[AI_TRU3]]</f>
        <v>6</v>
      </c>
      <c r="AT60">
        <f t="shared" si="16"/>
        <v>0.55555555555555558</v>
      </c>
      <c r="AU60">
        <f>survey_responses[[#This Row],[Tôi tin tưởng số tiền thuế tôi đóng sẽ được Nhà nước sử dụng hiệu quả để cải thiện dịch vụ công (y tế, đường xá...). - HUMAN-TRU3]]</f>
        <v>8</v>
      </c>
      <c r="AV60">
        <f t="shared" si="17"/>
        <v>0.77777777777777779</v>
      </c>
      <c r="AW60">
        <f>step3_validation[[#This Row],[AI_TRU4]]</f>
        <v>5</v>
      </c>
      <c r="AX60">
        <f t="shared" si="18"/>
        <v>0.44444444444444442</v>
      </c>
      <c r="AY60">
        <f>survey_responses[[#This Row],[Tôi thấy Nhà nước đã giải thích rõ ràng, minh bạch về lý do và mục tiêu của việc sửa đổi thuế lần này. - HUMAN-TRU4]]</f>
        <v>6</v>
      </c>
      <c r="AZ60">
        <f t="shared" si="19"/>
        <v>0.55555555555555558</v>
      </c>
      <c r="BA60" s="32">
        <f t="shared" si="20"/>
        <v>0.61111111111111116</v>
      </c>
      <c r="BB60" s="32">
        <f t="shared" si="21"/>
        <v>0.69444444444444442</v>
      </c>
      <c r="BC60" s="7">
        <f t="shared" si="22"/>
        <v>0.68518518518518512</v>
      </c>
      <c r="BD60" s="7">
        <f t="shared" si="23"/>
        <v>0.78703703703703687</v>
      </c>
      <c r="BE60">
        <f>step3_validation[[#This Row],[AI_OUT1]]</f>
        <v>8</v>
      </c>
      <c r="BF60">
        <f t="shared" si="24"/>
        <v>0.77777777777777779</v>
      </c>
      <c r="BG60">
        <f>survey_responses[[#This Row],[Sau khi xem xét các quyền lợi và nghĩa vụ, bạn có ủng hộ và tuân thủ chính sách mới hiện nay? - HUMAN-OUT1]]</f>
        <v>5</v>
      </c>
      <c r="BH60">
        <f t="shared" si="25"/>
        <v>0.44444444444444442</v>
      </c>
      <c r="BI60" s="32">
        <f t="shared" si="26"/>
        <v>3</v>
      </c>
    </row>
    <row r="61" spans="1:61" x14ac:dyDescent="0.45">
      <c r="A61" s="30">
        <f>step3_validation[[#This Row],[Persona_ID]]</f>
        <v>60</v>
      </c>
      <c r="B61" s="31">
        <f>step3_validation[[#This Row],[Used_Seed]]</f>
        <v>2085</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15.02703303822214</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8</v>
      </c>
      <c r="R61">
        <f t="shared" si="0"/>
        <v>0.77777777777777779</v>
      </c>
      <c r="S61">
        <f>survey_responses[[#This Row],[Tôi tin rằng với các quy định quản lý thuế hiện nay, hành vi gian lận hoặc trốn thuế sẽ dễ dàng bị phát hiện và xử lý nghiêm. - HUMAN-ENF1]]</f>
        <v>5</v>
      </c>
      <c r="T61">
        <f t="shared" si="1"/>
        <v>0.44444444444444442</v>
      </c>
      <c r="U61">
        <f>step3_validation[[#This Row],[AI_ENF2]]</f>
        <v>8</v>
      </c>
      <c r="V61">
        <f t="shared" si="2"/>
        <v>0.77777777777777779</v>
      </c>
      <c r="W61">
        <f>survey_responses[[#This Row],[Tôi tin rằng Nhà nước, cơ quan thuế có đủ khả năng và công nghệ để phát hiện, xử lý nghiêm các hành vi trốn thuế. - HUMAN-ENF2]]</f>
        <v>5</v>
      </c>
      <c r="X61">
        <f t="shared" si="3"/>
        <v>0.44444444444444442</v>
      </c>
      <c r="Y61" s="32">
        <f t="shared" si="4"/>
        <v>0.77777777777777779</v>
      </c>
      <c r="Z61" s="32">
        <f t="shared" si="5"/>
        <v>0.44444444444444442</v>
      </c>
      <c r="AA61">
        <f>step3_validation[[#This Row],[AI_FAC1]]</f>
        <v>9</v>
      </c>
      <c r="AB61">
        <f t="shared" si="6"/>
        <v>0.88888888888888884</v>
      </c>
      <c r="AC61">
        <f>survey_responses[[#This Row],[Các thủ tục khai báo thuế VÀ/HOẶC quy trình làm việc với cơ quan thuế đơn giản, tiện lợi, nhanh chóng hơn so với trước đây. - HUMAN-FAC1]]</f>
        <v>5</v>
      </c>
      <c r="AD61">
        <f t="shared" si="7"/>
        <v>0.44444444444444442</v>
      </c>
      <c r="AE61">
        <f>step3_validation[[#This Row],[AI_FAC2]]</f>
        <v>9</v>
      </c>
      <c r="AF61">
        <f t="shared" si="8"/>
        <v>0.88888888888888884</v>
      </c>
      <c r="AG61">
        <f>survey_responses[[#This Row],[So với trước đây, tôi thấy cách tính thuế và các bậc thuế trong phương án mới đơn giản, dễ hiểu và dễ thực hiện hơn. - HUMAN-FAC2]]</f>
        <v>5</v>
      </c>
      <c r="AH61">
        <f t="shared" si="9"/>
        <v>0.44444444444444442</v>
      </c>
      <c r="AI61" s="32">
        <f t="shared" si="10"/>
        <v>0.88888888888888884</v>
      </c>
      <c r="AJ61" s="32">
        <f t="shared" si="11"/>
        <v>0.44444444444444442</v>
      </c>
      <c r="AK61">
        <f>step3_validation[[#This Row],[AI_TRU1]]</f>
        <v>8</v>
      </c>
      <c r="AL61">
        <f t="shared" si="12"/>
        <v>0.77777777777777779</v>
      </c>
      <c r="AM61">
        <f>survey_responses[[#This Row],[Tôi tin rằng Nhà nước, cơ quan thuế sẽ thực thi chính sách mới một cách khách quan, công tâm và đối xử bình đẳng với mọi người nộp thuế.  - HUMAN-TRU1]]</f>
        <v>5</v>
      </c>
      <c r="AN61">
        <f t="shared" si="13"/>
        <v>0.44444444444444442</v>
      </c>
      <c r="AO61">
        <f>step3_validation[[#This Row],[AI_TRU2]]</f>
        <v>9</v>
      </c>
      <c r="AP61">
        <f t="shared" si="14"/>
        <v>0.88888888888888884</v>
      </c>
      <c r="AQ61">
        <f>survey_responses[[#This Row],[Tôi thấy mức thuế tôi phải đóng theo phương án mới là công bằng (người thu nhập như tôi đóng mức này là hợp lý). - HUMAN-TRU2]]</f>
        <v>8</v>
      </c>
      <c r="AR61">
        <f t="shared" si="15"/>
        <v>0.77777777777777779</v>
      </c>
      <c r="AS61">
        <f>step3_validation[[#This Row],[AI_TRU3]]</f>
        <v>8</v>
      </c>
      <c r="AT61">
        <f t="shared" si="16"/>
        <v>0.77777777777777779</v>
      </c>
      <c r="AU61">
        <f>survey_responses[[#This Row],[Tôi tin tưởng số tiền thuế tôi đóng sẽ được Nhà nước sử dụng hiệu quả để cải thiện dịch vụ công (y tế, đường xá...). - HUMAN-TRU3]]</f>
        <v>4</v>
      </c>
      <c r="AV61">
        <f t="shared" si="17"/>
        <v>0.33333333333333331</v>
      </c>
      <c r="AW61">
        <f>step3_validation[[#This Row],[AI_TRU4]]</f>
        <v>7</v>
      </c>
      <c r="AX61">
        <f t="shared" si="18"/>
        <v>0.66666666666666663</v>
      </c>
      <c r="AY61">
        <f>survey_responses[[#This Row],[Tôi thấy Nhà nước đã giải thích rõ ràng, minh bạch về lý do và mục tiêu của việc sửa đổi thuế lần này. - HUMAN-TRU4]]</f>
        <v>5</v>
      </c>
      <c r="AZ61">
        <f t="shared" si="19"/>
        <v>0.44444444444444442</v>
      </c>
      <c r="BA61" s="32">
        <f t="shared" si="20"/>
        <v>0.77777777777777768</v>
      </c>
      <c r="BB61" s="32">
        <f t="shared" si="21"/>
        <v>0.5</v>
      </c>
      <c r="BC61" s="7">
        <f t="shared" si="22"/>
        <v>0.81481481481481477</v>
      </c>
      <c r="BD61" s="7">
        <f t="shared" si="23"/>
        <v>0.46296296296296297</v>
      </c>
      <c r="BE61">
        <f>step3_validation[[#This Row],[AI_OUT1]]</f>
        <v>9</v>
      </c>
      <c r="BF61">
        <f t="shared" si="24"/>
        <v>0.88888888888888884</v>
      </c>
      <c r="BG61">
        <f>survey_responses[[#This Row],[Sau khi xem xét các quyền lợi và nghĩa vụ, bạn có ủng hộ và tuân thủ chính sách mới hiện nay? - HUMAN-OUT1]]</f>
        <v>5</v>
      </c>
      <c r="BH61">
        <f t="shared" si="25"/>
        <v>0.44444444444444442</v>
      </c>
      <c r="BI61" s="32">
        <f t="shared" si="26"/>
        <v>4</v>
      </c>
    </row>
    <row r="62" spans="1:61" x14ac:dyDescent="0.45">
      <c r="A62" s="30">
        <f>step3_validation[[#This Row],[Persona_ID]]</f>
        <v>61</v>
      </c>
      <c r="B62" s="31">
        <f>step3_validation[[#This Row],[Used_Seed]]</f>
        <v>2086</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18.332078427425902</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8</v>
      </c>
      <c r="R62">
        <f t="shared" si="0"/>
        <v>0.77777777777777779</v>
      </c>
      <c r="S62">
        <f>survey_responses[[#This Row],[Tôi tin rằng với các quy định quản lý thuế hiện nay, hành vi gian lận hoặc trốn thuế sẽ dễ dàng bị phát hiện và xử lý nghiêm. - HUMAN-ENF1]]</f>
        <v>8</v>
      </c>
      <c r="T62">
        <f t="shared" si="1"/>
        <v>0.77777777777777779</v>
      </c>
      <c r="U62">
        <f>step3_validation[[#This Row],[AI_ENF2]]</f>
        <v>7</v>
      </c>
      <c r="V62">
        <f t="shared" si="2"/>
        <v>0.66666666666666663</v>
      </c>
      <c r="W62">
        <f>survey_responses[[#This Row],[Tôi tin rằng Nhà nước, cơ quan thuế có đủ khả năng và công nghệ để phát hiện, xử lý nghiêm các hành vi trốn thuế. - HUMAN-ENF2]]</f>
        <v>9</v>
      </c>
      <c r="X62">
        <f t="shared" si="3"/>
        <v>0.88888888888888884</v>
      </c>
      <c r="Y62" s="32">
        <f t="shared" si="4"/>
        <v>0.72222222222222221</v>
      </c>
      <c r="Z62" s="32">
        <f t="shared" si="5"/>
        <v>0.83333333333333326</v>
      </c>
      <c r="AA62">
        <f>step3_validation[[#This Row],[AI_FAC1]]</f>
        <v>8</v>
      </c>
      <c r="AB62">
        <f t="shared" si="6"/>
        <v>0.77777777777777779</v>
      </c>
      <c r="AC62">
        <f>survey_responses[[#This Row],[Các thủ tục khai báo thuế VÀ/HOẶC quy trình làm việc với cơ quan thuế đơn giản, tiện lợi, nhanh chóng hơn so với trước đây. - HUMAN-FAC1]]</f>
        <v>9</v>
      </c>
      <c r="AD62">
        <f t="shared" si="7"/>
        <v>0.88888888888888884</v>
      </c>
      <c r="AE62">
        <f>step3_validation[[#This Row],[AI_FAC2]]</f>
        <v>9</v>
      </c>
      <c r="AF62">
        <f t="shared" si="8"/>
        <v>0.88888888888888884</v>
      </c>
      <c r="AG62">
        <f>survey_responses[[#This Row],[So với trước đây, tôi thấy cách tính thuế và các bậc thuế trong phương án mới đơn giản, dễ hiểu và dễ thực hiện hơn. - HUMAN-FAC2]]</f>
        <v>9</v>
      </c>
      <c r="AH62">
        <f t="shared" si="9"/>
        <v>0.88888888888888884</v>
      </c>
      <c r="AI62" s="32">
        <f t="shared" si="10"/>
        <v>0.83333333333333326</v>
      </c>
      <c r="AJ62" s="32">
        <f t="shared" si="11"/>
        <v>0.88888888888888884</v>
      </c>
      <c r="AK62">
        <f>step3_validation[[#This Row],[AI_TRU1]]</f>
        <v>7</v>
      </c>
      <c r="AL62">
        <f t="shared" si="12"/>
        <v>0.66666666666666663</v>
      </c>
      <c r="AM62">
        <f>survey_responses[[#This Row],[Tôi tin rằng Nhà nước, cơ quan thuế sẽ thực thi chính sách mới một cách khách quan, công tâm và đối xử bình đẳng với mọi người nộp thuế.  - HUMAN-TRU1]]</f>
        <v>9</v>
      </c>
      <c r="AN62">
        <f t="shared" si="13"/>
        <v>0.88888888888888884</v>
      </c>
      <c r="AO62">
        <f>step3_validation[[#This Row],[AI_TRU2]]</f>
        <v>8</v>
      </c>
      <c r="AP62">
        <f t="shared" si="14"/>
        <v>0.77777777777777779</v>
      </c>
      <c r="AQ62">
        <f>survey_responses[[#This Row],[Tôi thấy mức thuế tôi phải đóng theo phương án mới là công bằng (người thu nhập như tôi đóng mức này là hợp lý). - HUMAN-TRU2]]</f>
        <v>8</v>
      </c>
      <c r="AR62">
        <f t="shared" si="15"/>
        <v>0.77777777777777779</v>
      </c>
      <c r="AS62">
        <f>step3_validation[[#This Row],[AI_TRU3]]</f>
        <v>7</v>
      </c>
      <c r="AT62">
        <f t="shared" si="16"/>
        <v>0.66666666666666663</v>
      </c>
      <c r="AU62">
        <f>survey_responses[[#This Row],[Tôi tin tưởng số tiền thuế tôi đóng sẽ được Nhà nước sử dụng hiệu quả để cải thiện dịch vụ công (y tế, đường xá...). - HUMAN-TRU3]]</f>
        <v>8</v>
      </c>
      <c r="AV62">
        <f t="shared" si="17"/>
        <v>0.77777777777777779</v>
      </c>
      <c r="AW62">
        <f>step3_validation[[#This Row],[AI_TRU4]]</f>
        <v>6</v>
      </c>
      <c r="AX62">
        <f t="shared" si="18"/>
        <v>0.55555555555555558</v>
      </c>
      <c r="AY62">
        <f>survey_responses[[#This Row],[Tôi thấy Nhà nước đã giải thích rõ ràng, minh bạch về lý do và mục tiêu của việc sửa đổi thuế lần này. - HUMAN-TRU4]]</f>
        <v>8</v>
      </c>
      <c r="AZ62">
        <f t="shared" si="19"/>
        <v>0.77777777777777779</v>
      </c>
      <c r="BA62" s="32">
        <f t="shared" si="20"/>
        <v>0.66666666666666674</v>
      </c>
      <c r="BB62" s="32">
        <f t="shared" si="21"/>
        <v>0.80555555555555547</v>
      </c>
      <c r="BC62" s="7">
        <f t="shared" si="22"/>
        <v>0.74074074074074081</v>
      </c>
      <c r="BD62" s="7">
        <f t="shared" si="23"/>
        <v>0.84259259259259256</v>
      </c>
      <c r="BE62">
        <f>step3_validation[[#This Row],[AI_OUT1]]</f>
        <v>7</v>
      </c>
      <c r="BF62">
        <f t="shared" si="24"/>
        <v>0.66666666666666663</v>
      </c>
      <c r="BG62">
        <f>survey_responses[[#This Row],[Sau khi xem xét các quyền lợi và nghĩa vụ, bạn có ủng hộ và tuân thủ chính sách mới hiện nay? - HUMAN-OUT1]]</f>
        <v>9</v>
      </c>
      <c r="BH62">
        <f t="shared" si="25"/>
        <v>0.88888888888888884</v>
      </c>
      <c r="BI62" s="32">
        <f t="shared" si="26"/>
        <v>2</v>
      </c>
    </row>
    <row r="63" spans="1:61" x14ac:dyDescent="0.45">
      <c r="A63" s="30">
        <f>step3_validation[[#This Row],[Persona_ID]]</f>
        <v>62</v>
      </c>
      <c r="B63" s="31">
        <f>step3_validation[[#This Row],[Used_Seed]]</f>
        <v>2087</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26.341976997812576</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6</v>
      </c>
      <c r="R63">
        <f t="shared" si="0"/>
        <v>0.55555555555555558</v>
      </c>
      <c r="S63">
        <f>survey_responses[[#This Row],[Tôi tin rằng với các quy định quản lý thuế hiện nay, hành vi gian lận hoặc trốn thuế sẽ dễ dàng bị phát hiện và xử lý nghiêm. - HUMAN-ENF1]]</f>
        <v>9</v>
      </c>
      <c r="T63">
        <f t="shared" si="1"/>
        <v>0.88888888888888884</v>
      </c>
      <c r="U63">
        <f>step3_validation[[#This Row],[AI_ENF2]]</f>
        <v>7</v>
      </c>
      <c r="V63">
        <f t="shared" si="2"/>
        <v>0.66666666666666663</v>
      </c>
      <c r="W63">
        <f>survey_responses[[#This Row],[Tôi tin rằng Nhà nước, cơ quan thuế có đủ khả năng và công nghệ để phát hiện, xử lý nghiêm các hành vi trốn thuế. - HUMAN-ENF2]]</f>
        <v>9</v>
      </c>
      <c r="X63">
        <f t="shared" si="3"/>
        <v>0.88888888888888884</v>
      </c>
      <c r="Y63" s="32">
        <f t="shared" si="4"/>
        <v>0.61111111111111116</v>
      </c>
      <c r="Z63" s="32">
        <f t="shared" si="5"/>
        <v>0.88888888888888884</v>
      </c>
      <c r="AA63">
        <f>step3_validation[[#This Row],[AI_FAC1]]</f>
        <v>9</v>
      </c>
      <c r="AB63">
        <f t="shared" si="6"/>
        <v>0.88888888888888884</v>
      </c>
      <c r="AC63">
        <f>survey_responses[[#This Row],[Các thủ tục khai báo thuế VÀ/HOẶC quy trình làm việc với cơ quan thuế đơn giản, tiện lợi, nhanh chóng hơn so với trước đây. - HUMAN-FAC1]]</f>
        <v>7</v>
      </c>
      <c r="AD63">
        <f t="shared" si="7"/>
        <v>0.66666666666666663</v>
      </c>
      <c r="AE63">
        <f>step3_validation[[#This Row],[AI_FAC2]]</f>
        <v>8</v>
      </c>
      <c r="AF63">
        <f t="shared" si="8"/>
        <v>0.77777777777777779</v>
      </c>
      <c r="AG63">
        <f>survey_responses[[#This Row],[So với trước đây, tôi thấy cách tính thuế và các bậc thuế trong phương án mới đơn giản, dễ hiểu và dễ thực hiện hơn. - HUMAN-FAC2]]</f>
        <v>6</v>
      </c>
      <c r="AH63">
        <f t="shared" si="9"/>
        <v>0.55555555555555558</v>
      </c>
      <c r="AI63" s="32">
        <f t="shared" si="10"/>
        <v>0.83333333333333326</v>
      </c>
      <c r="AJ63" s="32">
        <f t="shared" si="11"/>
        <v>0.61111111111111116</v>
      </c>
      <c r="AK63">
        <f>step3_validation[[#This Row],[AI_TRU1]]</f>
        <v>7</v>
      </c>
      <c r="AL63">
        <f t="shared" si="12"/>
        <v>0.66666666666666663</v>
      </c>
      <c r="AM63">
        <f>survey_responses[[#This Row],[Tôi tin rằng Nhà nước, cơ quan thuế sẽ thực thi chính sách mới một cách khách quan, công tâm và đối xử bình đẳng với mọi người nộp thuế.  - HUMAN-TRU1]]</f>
        <v>7</v>
      </c>
      <c r="AN63">
        <f t="shared" si="13"/>
        <v>0.66666666666666663</v>
      </c>
      <c r="AO63">
        <f>step3_validation[[#This Row],[AI_TRU2]]</f>
        <v>9</v>
      </c>
      <c r="AP63">
        <f t="shared" si="14"/>
        <v>0.88888888888888884</v>
      </c>
      <c r="AQ63">
        <f>survey_responses[[#This Row],[Tôi thấy mức thuế tôi phải đóng theo phương án mới là công bằng (người thu nhập như tôi đóng mức này là hợp lý). - HUMAN-TRU2]]</f>
        <v>5</v>
      </c>
      <c r="AR63">
        <f t="shared" si="15"/>
        <v>0.44444444444444442</v>
      </c>
      <c r="AS63">
        <f>step3_validation[[#This Row],[AI_TRU3]]</f>
        <v>6</v>
      </c>
      <c r="AT63">
        <f t="shared" si="16"/>
        <v>0.55555555555555558</v>
      </c>
      <c r="AU63">
        <f>survey_responses[[#This Row],[Tôi tin tưởng số tiền thuế tôi đóng sẽ được Nhà nước sử dụng hiệu quả để cải thiện dịch vụ công (y tế, đường xá...). - HUMAN-TRU3]]</f>
        <v>6</v>
      </c>
      <c r="AV63">
        <f t="shared" si="17"/>
        <v>0.55555555555555558</v>
      </c>
      <c r="AW63">
        <f>step3_validation[[#This Row],[AI_TRU4]]</f>
        <v>7</v>
      </c>
      <c r="AX63">
        <f t="shared" si="18"/>
        <v>0.66666666666666663</v>
      </c>
      <c r="AY63">
        <f>survey_responses[[#This Row],[Tôi thấy Nhà nước đã giải thích rõ ràng, minh bạch về lý do và mục tiêu của việc sửa đổi thuế lần này. - HUMAN-TRU4]]</f>
        <v>8</v>
      </c>
      <c r="AZ63">
        <f t="shared" si="19"/>
        <v>0.77777777777777779</v>
      </c>
      <c r="BA63" s="32">
        <f t="shared" si="20"/>
        <v>0.69444444444444431</v>
      </c>
      <c r="BB63" s="32">
        <f t="shared" si="21"/>
        <v>0.61111111111111116</v>
      </c>
      <c r="BC63" s="7">
        <f t="shared" si="22"/>
        <v>0.71296296296296291</v>
      </c>
      <c r="BD63" s="7">
        <f t="shared" si="23"/>
        <v>0.70370370370370372</v>
      </c>
      <c r="BE63">
        <f>step3_validation[[#This Row],[AI_OUT1]]</f>
        <v>8</v>
      </c>
      <c r="BF63">
        <f t="shared" si="24"/>
        <v>0.77777777777777779</v>
      </c>
      <c r="BG63">
        <f>survey_responses[[#This Row],[Sau khi xem xét các quyền lợi và nghĩa vụ, bạn có ủng hộ và tuân thủ chính sách mới hiện nay? - HUMAN-OUT1]]</f>
        <v>5</v>
      </c>
      <c r="BH63">
        <f t="shared" si="25"/>
        <v>0.44444444444444442</v>
      </c>
      <c r="BI63" s="32">
        <f t="shared" si="26"/>
        <v>3</v>
      </c>
    </row>
    <row r="64" spans="1:61" x14ac:dyDescent="0.45">
      <c r="A64" s="30">
        <f>step3_validation[[#This Row],[Persona_ID]]</f>
        <v>63</v>
      </c>
      <c r="B64" s="31">
        <f>step3_validation[[#This Row],[Used_Seed]]</f>
        <v>2088</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19.176103235392247</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7</v>
      </c>
      <c r="R64">
        <f t="shared" si="0"/>
        <v>0.66666666666666663</v>
      </c>
      <c r="S64">
        <f>survey_responses[[#This Row],[Tôi tin rằng với các quy định quản lý thuế hiện nay, hành vi gian lận hoặc trốn thuế sẽ dễ dàng bị phát hiện và xử lý nghiêm. - HUMAN-ENF1]]</f>
        <v>9</v>
      </c>
      <c r="T64">
        <f t="shared" si="1"/>
        <v>0.88888888888888884</v>
      </c>
      <c r="U64">
        <f>step3_validation[[#This Row],[AI_ENF2]]</f>
        <v>8</v>
      </c>
      <c r="V64">
        <f t="shared" si="2"/>
        <v>0.77777777777777779</v>
      </c>
      <c r="W64">
        <f>survey_responses[[#This Row],[Tôi tin rằng Nhà nước, cơ quan thuế có đủ khả năng và công nghệ để phát hiện, xử lý nghiêm các hành vi trốn thuế. - HUMAN-ENF2]]</f>
        <v>9</v>
      </c>
      <c r="X64">
        <f t="shared" si="3"/>
        <v>0.88888888888888884</v>
      </c>
      <c r="Y64" s="32">
        <f t="shared" si="4"/>
        <v>0.72222222222222221</v>
      </c>
      <c r="Z64" s="32">
        <f t="shared" si="5"/>
        <v>0.88888888888888884</v>
      </c>
      <c r="AA64">
        <f>step3_validation[[#This Row],[AI_FAC1]]</f>
        <v>9</v>
      </c>
      <c r="AB64">
        <f t="shared" si="6"/>
        <v>0.88888888888888884</v>
      </c>
      <c r="AC64">
        <f>survey_responses[[#This Row],[Các thủ tục khai báo thuế VÀ/HOẶC quy trình làm việc với cơ quan thuế đơn giản, tiện lợi, nhanh chóng hơn so với trước đây. - HUMAN-FAC1]]</f>
        <v>9</v>
      </c>
      <c r="AD64">
        <f t="shared" si="7"/>
        <v>0.88888888888888884</v>
      </c>
      <c r="AE64">
        <f>step3_validation[[#This Row],[AI_FAC2]]</f>
        <v>10</v>
      </c>
      <c r="AF64">
        <f t="shared" si="8"/>
        <v>1</v>
      </c>
      <c r="AG64">
        <f>survey_responses[[#This Row],[So với trước đây, tôi thấy cách tính thuế và các bậc thuế trong phương án mới đơn giản, dễ hiểu và dễ thực hiện hơn. - HUMAN-FAC2]]</f>
        <v>9</v>
      </c>
      <c r="AH64">
        <f t="shared" si="9"/>
        <v>0.88888888888888884</v>
      </c>
      <c r="AI64" s="32">
        <f t="shared" si="10"/>
        <v>0.94444444444444442</v>
      </c>
      <c r="AJ64" s="32">
        <f t="shared" si="11"/>
        <v>0.88888888888888884</v>
      </c>
      <c r="AK64">
        <f>step3_validation[[#This Row],[AI_TRU1]]</f>
        <v>9</v>
      </c>
      <c r="AL64">
        <f t="shared" si="12"/>
        <v>0.88888888888888884</v>
      </c>
      <c r="AM64">
        <f>survey_responses[[#This Row],[Tôi tin rằng Nhà nước, cơ quan thuế sẽ thực thi chính sách mới một cách khách quan, công tâm và đối xử bình đẳng với mọi người nộp thuế.  - HUMAN-TRU1]]</f>
        <v>8</v>
      </c>
      <c r="AN64">
        <f t="shared" si="13"/>
        <v>0.77777777777777779</v>
      </c>
      <c r="AO64">
        <f>step3_validation[[#This Row],[AI_TRU2]]</f>
        <v>10</v>
      </c>
      <c r="AP64">
        <f t="shared" si="14"/>
        <v>1</v>
      </c>
      <c r="AQ64">
        <f>survey_responses[[#This Row],[Tôi thấy mức thuế tôi phải đóng theo phương án mới là công bằng (người thu nhập như tôi đóng mức này là hợp lý). - HUMAN-TRU2]]</f>
        <v>9</v>
      </c>
      <c r="AR64">
        <f t="shared" si="15"/>
        <v>0.88888888888888884</v>
      </c>
      <c r="AS64">
        <f>step3_validation[[#This Row],[AI_TRU3]]</f>
        <v>9</v>
      </c>
      <c r="AT64">
        <f t="shared" si="16"/>
        <v>0.88888888888888884</v>
      </c>
      <c r="AU64">
        <f>survey_responses[[#This Row],[Tôi tin tưởng số tiền thuế tôi đóng sẽ được Nhà nước sử dụng hiệu quả để cải thiện dịch vụ công (y tế, đường xá...). - HUMAN-TRU3]]</f>
        <v>9</v>
      </c>
      <c r="AV64">
        <f t="shared" si="17"/>
        <v>0.88888888888888884</v>
      </c>
      <c r="AW64">
        <f>step3_validation[[#This Row],[AI_TRU4]]</f>
        <v>8</v>
      </c>
      <c r="AX64">
        <f t="shared" si="18"/>
        <v>0.77777777777777779</v>
      </c>
      <c r="AY64">
        <f>survey_responses[[#This Row],[Tôi thấy Nhà nước đã giải thích rõ ràng, minh bạch về lý do và mục tiêu của việc sửa đổi thuế lần này. - HUMAN-TRU4]]</f>
        <v>8</v>
      </c>
      <c r="AZ64">
        <f t="shared" si="19"/>
        <v>0.77777777777777779</v>
      </c>
      <c r="BA64" s="32">
        <f t="shared" si="20"/>
        <v>0.88888888888888884</v>
      </c>
      <c r="BB64" s="32">
        <f t="shared" si="21"/>
        <v>0.83333333333333326</v>
      </c>
      <c r="BC64" s="7">
        <f t="shared" si="22"/>
        <v>0.85185185185185175</v>
      </c>
      <c r="BD64" s="7">
        <f t="shared" si="23"/>
        <v>0.87037037037037024</v>
      </c>
      <c r="BE64">
        <f>step3_validation[[#This Row],[AI_OUT1]]</f>
        <v>10</v>
      </c>
      <c r="BF64">
        <f t="shared" si="24"/>
        <v>1</v>
      </c>
      <c r="BG64">
        <f>survey_responses[[#This Row],[Sau khi xem xét các quyền lợi và nghĩa vụ, bạn có ủng hộ và tuân thủ chính sách mới hiện nay? - HUMAN-OUT1]]</f>
        <v>7</v>
      </c>
      <c r="BH64">
        <f t="shared" si="25"/>
        <v>0.66666666666666663</v>
      </c>
      <c r="BI64" s="32">
        <f t="shared" si="26"/>
        <v>3</v>
      </c>
    </row>
    <row r="65" spans="1:61" x14ac:dyDescent="0.45">
      <c r="A65" s="30">
        <f>step3_validation[[#This Row],[Persona_ID]]</f>
        <v>64</v>
      </c>
      <c r="B65" s="31">
        <f>step3_validation[[#This Row],[Used_Seed]]</f>
        <v>2089</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117.06931912645403</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8</v>
      </c>
      <c r="R65">
        <f t="shared" si="0"/>
        <v>0.77777777777777779</v>
      </c>
      <c r="S65">
        <f>survey_responses[[#This Row],[Tôi tin rằng với các quy định quản lý thuế hiện nay, hành vi gian lận hoặc trốn thuế sẽ dễ dàng bị phát hiện và xử lý nghiêm. - HUMAN-ENF1]]</f>
        <v>9</v>
      </c>
      <c r="T65">
        <f t="shared" si="1"/>
        <v>0.88888888888888884</v>
      </c>
      <c r="U65">
        <f>step3_validation[[#This Row],[AI_ENF2]]</f>
        <v>7</v>
      </c>
      <c r="V65">
        <f t="shared" si="2"/>
        <v>0.66666666666666663</v>
      </c>
      <c r="W65">
        <f>survey_responses[[#This Row],[Tôi tin rằng Nhà nước, cơ quan thuế có đủ khả năng và công nghệ để phát hiện, xử lý nghiêm các hành vi trốn thuế. - HUMAN-ENF2]]</f>
        <v>10</v>
      </c>
      <c r="X65">
        <f t="shared" si="3"/>
        <v>1</v>
      </c>
      <c r="Y65" s="32">
        <f t="shared" si="4"/>
        <v>0.72222222222222221</v>
      </c>
      <c r="Z65" s="32">
        <f t="shared" si="5"/>
        <v>0.94444444444444442</v>
      </c>
      <c r="AA65">
        <f>step3_validation[[#This Row],[AI_FAC1]]</f>
        <v>9</v>
      </c>
      <c r="AB65">
        <f t="shared" si="6"/>
        <v>0.88888888888888884</v>
      </c>
      <c r="AC65">
        <f>survey_responses[[#This Row],[Các thủ tục khai báo thuế VÀ/HOẶC quy trình làm việc với cơ quan thuế đơn giản, tiện lợi, nhanh chóng hơn so với trước đây. - HUMAN-FAC1]]</f>
        <v>9</v>
      </c>
      <c r="AD65">
        <f t="shared" si="7"/>
        <v>0.88888888888888884</v>
      </c>
      <c r="AE65">
        <f>step3_validation[[#This Row],[AI_FAC2]]</f>
        <v>10</v>
      </c>
      <c r="AF65">
        <f t="shared" si="8"/>
        <v>1</v>
      </c>
      <c r="AG65">
        <f>survey_responses[[#This Row],[So với trước đây, tôi thấy cách tính thuế và các bậc thuế trong phương án mới đơn giản, dễ hiểu và dễ thực hiện hơn. - HUMAN-FAC2]]</f>
        <v>10</v>
      </c>
      <c r="AH65">
        <f t="shared" si="9"/>
        <v>1</v>
      </c>
      <c r="AI65" s="32">
        <f t="shared" si="10"/>
        <v>0.94444444444444442</v>
      </c>
      <c r="AJ65" s="32">
        <f t="shared" si="11"/>
        <v>0.94444444444444442</v>
      </c>
      <c r="AK65">
        <f>step3_validation[[#This Row],[AI_TRU1]]</f>
        <v>9</v>
      </c>
      <c r="AL65">
        <f t="shared" si="12"/>
        <v>0.88888888888888884</v>
      </c>
      <c r="AM65">
        <f>survey_responses[[#This Row],[Tôi tin rằng Nhà nước, cơ quan thuế sẽ thực thi chính sách mới một cách khách quan, công tâm và đối xử bình đẳng với mọi người nộp thuế.  - HUMAN-TRU1]]</f>
        <v>10</v>
      </c>
      <c r="AN65">
        <f t="shared" si="13"/>
        <v>1</v>
      </c>
      <c r="AO65">
        <f>step3_validation[[#This Row],[AI_TRU2]]</f>
        <v>8</v>
      </c>
      <c r="AP65">
        <f t="shared" si="14"/>
        <v>0.77777777777777779</v>
      </c>
      <c r="AQ65">
        <f>survey_responses[[#This Row],[Tôi thấy mức thuế tôi phải đóng theo phương án mới là công bằng (người thu nhập như tôi đóng mức này là hợp lý). - HUMAN-TRU2]]</f>
        <v>5</v>
      </c>
      <c r="AR65">
        <f t="shared" si="15"/>
        <v>0.44444444444444442</v>
      </c>
      <c r="AS65">
        <f>step3_validation[[#This Row],[AI_TRU3]]</f>
        <v>9</v>
      </c>
      <c r="AT65">
        <f t="shared" si="16"/>
        <v>0.88888888888888884</v>
      </c>
      <c r="AU65">
        <f>survey_responses[[#This Row],[Tôi tin tưởng số tiền thuế tôi đóng sẽ được Nhà nước sử dụng hiệu quả để cải thiện dịch vụ công (y tế, đường xá...). - HUMAN-TRU3]]</f>
        <v>10</v>
      </c>
      <c r="AV65">
        <f t="shared" si="17"/>
        <v>1</v>
      </c>
      <c r="AW65">
        <f>step3_validation[[#This Row],[AI_TRU4]]</f>
        <v>7</v>
      </c>
      <c r="AX65">
        <f t="shared" si="18"/>
        <v>0.66666666666666663</v>
      </c>
      <c r="AY65">
        <f>survey_responses[[#This Row],[Tôi thấy Nhà nước đã giải thích rõ ràng, minh bạch về lý do và mục tiêu của việc sửa đổi thuế lần này. - HUMAN-TRU4]]</f>
        <v>7</v>
      </c>
      <c r="AZ65">
        <f t="shared" si="19"/>
        <v>0.66666666666666663</v>
      </c>
      <c r="BA65" s="32">
        <f t="shared" si="20"/>
        <v>0.80555555555555547</v>
      </c>
      <c r="BB65" s="32">
        <f t="shared" si="21"/>
        <v>0.77777777777777779</v>
      </c>
      <c r="BC65" s="7">
        <f t="shared" si="22"/>
        <v>0.82407407407407396</v>
      </c>
      <c r="BD65" s="7">
        <f t="shared" si="23"/>
        <v>0.88888888888888884</v>
      </c>
      <c r="BE65">
        <f>step3_validation[[#This Row],[AI_OUT1]]</f>
        <v>9</v>
      </c>
      <c r="BF65">
        <f t="shared" si="24"/>
        <v>0.88888888888888884</v>
      </c>
      <c r="BG65">
        <f>survey_responses[[#This Row],[Sau khi xem xét các quyền lợi và nghĩa vụ, bạn có ủng hộ và tuân thủ chính sách mới hiện nay? - HUMAN-OUT1]]</f>
        <v>9</v>
      </c>
      <c r="BH65">
        <f t="shared" si="25"/>
        <v>0.88888888888888884</v>
      </c>
      <c r="BI65" s="32">
        <f t="shared" si="26"/>
        <v>0</v>
      </c>
    </row>
    <row r="66" spans="1:61" x14ac:dyDescent="0.45">
      <c r="A66" s="30">
        <f>step3_validation[[#This Row],[Persona_ID]]</f>
        <v>65</v>
      </c>
      <c r="B66" s="31">
        <f>step3_validation[[#This Row],[Used_Seed]]</f>
        <v>2090</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5</v>
      </c>
      <c r="R66">
        <f t="shared" si="0"/>
        <v>0.44444444444444442</v>
      </c>
      <c r="S66">
        <f>survey_responses[[#This Row],[Tôi tin rằng với các quy định quản lý thuế hiện nay, hành vi gian lận hoặc trốn thuế sẽ dễ dàng bị phát hiện và xử lý nghiêm. - HUMAN-ENF1]]</f>
        <v>10</v>
      </c>
      <c r="T66">
        <f t="shared" si="1"/>
        <v>1</v>
      </c>
      <c r="U66">
        <f>step3_validation[[#This Row],[AI_ENF2]]</f>
        <v>6</v>
      </c>
      <c r="V66">
        <f t="shared" si="2"/>
        <v>0.55555555555555558</v>
      </c>
      <c r="W66">
        <f>survey_responses[[#This Row],[Tôi tin rằng Nhà nước, cơ quan thuế có đủ khả năng và công nghệ để phát hiện, xử lý nghiêm các hành vi trốn thuế. - HUMAN-ENF2]]</f>
        <v>10</v>
      </c>
      <c r="X66">
        <f t="shared" si="3"/>
        <v>1</v>
      </c>
      <c r="Y66" s="32">
        <f t="shared" si="4"/>
        <v>0.5</v>
      </c>
      <c r="Z66" s="32">
        <f t="shared" si="5"/>
        <v>1</v>
      </c>
      <c r="AA66">
        <f>step3_validation[[#This Row],[AI_FAC1]]</f>
        <v>8</v>
      </c>
      <c r="AB66">
        <f t="shared" si="6"/>
        <v>0.77777777777777779</v>
      </c>
      <c r="AC66">
        <f>survey_responses[[#This Row],[Các thủ tục khai báo thuế VÀ/HOẶC quy trình làm việc với cơ quan thuế đơn giản, tiện lợi, nhanh chóng hơn so với trước đây. - HUMAN-FAC1]]</f>
        <v>10</v>
      </c>
      <c r="AD66">
        <f t="shared" si="7"/>
        <v>1</v>
      </c>
      <c r="AE66">
        <f>step3_validation[[#This Row],[AI_FAC2]]</f>
        <v>9</v>
      </c>
      <c r="AF66">
        <f t="shared" si="8"/>
        <v>0.88888888888888884</v>
      </c>
      <c r="AG66">
        <f>survey_responses[[#This Row],[So với trước đây, tôi thấy cách tính thuế và các bậc thuế trong phương án mới đơn giản, dễ hiểu và dễ thực hiện hơn. - HUMAN-FAC2]]</f>
        <v>10</v>
      </c>
      <c r="AH66">
        <f t="shared" si="9"/>
        <v>1</v>
      </c>
      <c r="AI66" s="32">
        <f t="shared" si="10"/>
        <v>0.83333333333333326</v>
      </c>
      <c r="AJ66" s="32">
        <f t="shared" si="11"/>
        <v>1</v>
      </c>
      <c r="AK66">
        <f>step3_validation[[#This Row],[AI_TRU1]]</f>
        <v>8</v>
      </c>
      <c r="AL66">
        <f t="shared" si="12"/>
        <v>0.77777777777777779</v>
      </c>
      <c r="AM66">
        <f>survey_responses[[#This Row],[Tôi tin rằng Nhà nước, cơ quan thuế sẽ thực thi chính sách mới một cách khách quan, công tâm và đối xử bình đẳng với mọi người nộp thuế.  - HUMAN-TRU1]]</f>
        <v>10</v>
      </c>
      <c r="AN66">
        <f t="shared" si="13"/>
        <v>1</v>
      </c>
      <c r="AO66">
        <f>step3_validation[[#This Row],[AI_TRU2]]</f>
        <v>7</v>
      </c>
      <c r="AP66">
        <f t="shared" si="14"/>
        <v>0.66666666666666663</v>
      </c>
      <c r="AQ66">
        <f>survey_responses[[#This Row],[Tôi thấy mức thuế tôi phải đóng theo phương án mới là công bằng (người thu nhập như tôi đóng mức này là hợp lý). - HUMAN-TRU2]]</f>
        <v>10</v>
      </c>
      <c r="AR66">
        <f t="shared" si="15"/>
        <v>1</v>
      </c>
      <c r="AS66">
        <f>step3_validation[[#This Row],[AI_TRU3]]</f>
        <v>8</v>
      </c>
      <c r="AT66">
        <f t="shared" si="16"/>
        <v>0.77777777777777779</v>
      </c>
      <c r="AU66">
        <f>survey_responses[[#This Row],[Tôi tin tưởng số tiền thuế tôi đóng sẽ được Nhà nước sử dụng hiệu quả để cải thiện dịch vụ công (y tế, đường xá...). - HUMAN-TRU3]]</f>
        <v>10</v>
      </c>
      <c r="AV66">
        <f t="shared" si="17"/>
        <v>1</v>
      </c>
      <c r="AW66">
        <f>step3_validation[[#This Row],[AI_TRU4]]</f>
        <v>7</v>
      </c>
      <c r="AX66">
        <f t="shared" si="18"/>
        <v>0.66666666666666663</v>
      </c>
      <c r="AY66">
        <f>survey_responses[[#This Row],[Tôi thấy Nhà nước đã giải thích rõ ràng, minh bạch về lý do và mục tiêu của việc sửa đổi thuế lần này. - HUMAN-TRU4]]</f>
        <v>10</v>
      </c>
      <c r="AZ66">
        <f t="shared" si="19"/>
        <v>1</v>
      </c>
      <c r="BA66" s="32">
        <f t="shared" si="20"/>
        <v>0.72222222222222221</v>
      </c>
      <c r="BB66" s="32">
        <f t="shared" si="21"/>
        <v>1</v>
      </c>
      <c r="BC66" s="7">
        <f t="shared" si="22"/>
        <v>0.68518518518518512</v>
      </c>
      <c r="BD66" s="7">
        <f t="shared" si="23"/>
        <v>1</v>
      </c>
      <c r="BE66">
        <f>step3_validation[[#This Row],[AI_OUT1]]</f>
        <v>8</v>
      </c>
      <c r="BF66">
        <f t="shared" si="24"/>
        <v>0.77777777777777779</v>
      </c>
      <c r="BG66">
        <f>survey_responses[[#This Row],[Sau khi xem xét các quyền lợi và nghĩa vụ, bạn có ủng hộ và tuân thủ chính sách mới hiện nay? - HUMAN-OUT1]]</f>
        <v>10</v>
      </c>
      <c r="BH66">
        <f t="shared" si="25"/>
        <v>1</v>
      </c>
      <c r="BI66" s="32">
        <f t="shared" si="26"/>
        <v>2</v>
      </c>
    </row>
    <row r="67" spans="1:61" x14ac:dyDescent="0.45">
      <c r="A67" s="30">
        <f>step3_validation[[#This Row],[Persona_ID]]</f>
        <v>66</v>
      </c>
      <c r="B67" s="31">
        <f>step3_validation[[#This Row],[Used_Seed]]</f>
        <v>2091</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12.870425584750935</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7</v>
      </c>
      <c r="R67">
        <f t="shared" ref="R67:R130" si="27">(Q67-1)/9</f>
        <v>0.66666666666666663</v>
      </c>
      <c r="S67">
        <f>survey_responses[[#This Row],[Tôi tin rằng với các quy định quản lý thuế hiện nay, hành vi gian lận hoặc trốn thuế sẽ dễ dàng bị phát hiện và xử lý nghiêm. - HUMAN-ENF1]]</f>
        <v>7</v>
      </c>
      <c r="T67">
        <f t="shared" ref="T67:T130" si="28">(S67-1)/9</f>
        <v>0.66666666666666663</v>
      </c>
      <c r="U67">
        <f>step3_validation[[#This Row],[AI_ENF2]]</f>
        <v>6</v>
      </c>
      <c r="V67">
        <f t="shared" ref="V67:V130" si="29">(U67-1)/9</f>
        <v>0.55555555555555558</v>
      </c>
      <c r="W67">
        <f>survey_responses[[#This Row],[Tôi tin rằng Nhà nước, cơ quan thuế có đủ khả năng và công nghệ để phát hiện, xử lý nghiêm các hành vi trốn thuế. - HUMAN-ENF2]]</f>
        <v>5</v>
      </c>
      <c r="X67">
        <f t="shared" ref="X67:X130" si="30">(W67-1)/9</f>
        <v>0.44444444444444442</v>
      </c>
      <c r="Y67" s="32">
        <f t="shared" ref="Y67:Y130" si="31">AVERAGE(R67,V67)</f>
        <v>0.61111111111111116</v>
      </c>
      <c r="Z67" s="32">
        <f t="shared" ref="Z67:Z130" si="32">AVERAGE(T67,X67)</f>
        <v>0.55555555555555558</v>
      </c>
      <c r="AA67">
        <f>step3_validation[[#This Row],[AI_FAC1]]</f>
        <v>9</v>
      </c>
      <c r="AB67">
        <f t="shared" ref="AB67:AB130" si="33">(AA67-1)/9</f>
        <v>0.88888888888888884</v>
      </c>
      <c r="AC67">
        <f>survey_responses[[#This Row],[Các thủ tục khai báo thuế VÀ/HOẶC quy trình làm việc với cơ quan thuế đơn giản, tiện lợi, nhanh chóng hơn so với trước đây. - HUMAN-FAC1]]</f>
        <v>3</v>
      </c>
      <c r="AD67">
        <f t="shared" ref="AD67:AD130" si="34">(AC67-1)/9</f>
        <v>0.22222222222222221</v>
      </c>
      <c r="AE67">
        <f>step3_validation[[#This Row],[AI_FAC2]]</f>
        <v>8</v>
      </c>
      <c r="AF67">
        <f t="shared" ref="AF67:AF130" si="35">(AE67-1)/9</f>
        <v>0.77777777777777779</v>
      </c>
      <c r="AG67">
        <f>survey_responses[[#This Row],[So với trước đây, tôi thấy cách tính thuế và các bậc thuế trong phương án mới đơn giản, dễ hiểu và dễ thực hiện hơn. - HUMAN-FAC2]]</f>
        <v>5</v>
      </c>
      <c r="AH67">
        <f t="shared" ref="AH67:AH130" si="36">(AG67-1)/9</f>
        <v>0.44444444444444442</v>
      </c>
      <c r="AI67" s="32">
        <f t="shared" ref="AI67:AI130" si="37">AVERAGE(AB67,AF67)</f>
        <v>0.83333333333333326</v>
      </c>
      <c r="AJ67" s="32">
        <f t="shared" ref="AJ67:AJ130" si="38">AVERAGE(AD67,AH67)</f>
        <v>0.33333333333333331</v>
      </c>
      <c r="AK67">
        <f>step3_validation[[#This Row],[AI_TRU1]]</f>
        <v>7</v>
      </c>
      <c r="AL67">
        <f t="shared" ref="AL67:AL130" si="39">(AK67-1)/9</f>
        <v>0.66666666666666663</v>
      </c>
      <c r="AM67">
        <f>survey_responses[[#This Row],[Tôi tin rằng Nhà nước, cơ quan thuế sẽ thực thi chính sách mới một cách khách quan, công tâm và đối xử bình đẳng với mọi người nộp thuế.  - HUMAN-TRU1]]</f>
        <v>4</v>
      </c>
      <c r="AN67">
        <f t="shared" ref="AN67:AN130" si="40">(AM67-1)/9</f>
        <v>0.33333333333333331</v>
      </c>
      <c r="AO67">
        <f>step3_validation[[#This Row],[AI_TRU2]]</f>
        <v>9</v>
      </c>
      <c r="AP67">
        <f t="shared" ref="AP67:AP130" si="41">(AO67-1)/9</f>
        <v>0.88888888888888884</v>
      </c>
      <c r="AQ67">
        <f>survey_responses[[#This Row],[Tôi thấy mức thuế tôi phải đóng theo phương án mới là công bằng (người thu nhập như tôi đóng mức này là hợp lý). - HUMAN-TRU2]]</f>
        <v>3</v>
      </c>
      <c r="AR67">
        <f t="shared" ref="AR67:AR130" si="42">(AQ67-1)/9</f>
        <v>0.22222222222222221</v>
      </c>
      <c r="AS67">
        <f>step3_validation[[#This Row],[AI_TRU3]]</f>
        <v>6</v>
      </c>
      <c r="AT67">
        <f t="shared" ref="AT67:AT130" si="43">(AS67-1)/9</f>
        <v>0.55555555555555558</v>
      </c>
      <c r="AU67">
        <f>survey_responses[[#This Row],[Tôi tin tưởng số tiền thuế tôi đóng sẽ được Nhà nước sử dụng hiệu quả để cải thiện dịch vụ công (y tế, đường xá...). - HUMAN-TRU3]]</f>
        <v>5</v>
      </c>
      <c r="AV67">
        <f t="shared" ref="AV67:AV130" si="44">(AU67-1)/9</f>
        <v>0.44444444444444442</v>
      </c>
      <c r="AW67">
        <f>step3_validation[[#This Row],[AI_TRU4]]</f>
        <v>5</v>
      </c>
      <c r="AX67">
        <f t="shared" ref="AX67:AX130" si="45">(AW67-1)/9</f>
        <v>0.44444444444444442</v>
      </c>
      <c r="AY67">
        <f>survey_responses[[#This Row],[Tôi thấy Nhà nước đã giải thích rõ ràng, minh bạch về lý do và mục tiêu của việc sửa đổi thuế lần này. - HUMAN-TRU4]]</f>
        <v>6</v>
      </c>
      <c r="AZ67">
        <f t="shared" ref="AZ67:AZ130" si="46">(AY67-1)/9</f>
        <v>0.55555555555555558</v>
      </c>
      <c r="BA67" s="32">
        <f t="shared" ref="BA67:BA130" si="47">AVERAGE(AL67,AP67,AT67,AX67)</f>
        <v>0.63888888888888884</v>
      </c>
      <c r="BB67" s="32">
        <f t="shared" ref="BB67:BB130" si="48">AVERAGE(AN67,AR67,AV67,AZ67)</f>
        <v>0.3888888888888889</v>
      </c>
      <c r="BC67" s="7">
        <f t="shared" ref="BC67:BC130" si="49">(Y67+AI67+BA67)/3</f>
        <v>0.69444444444444431</v>
      </c>
      <c r="BD67" s="7">
        <f t="shared" ref="BD67:BD130" si="50">(Z67+AJ67+BB67)/3</f>
        <v>0.42592592592592587</v>
      </c>
      <c r="BE67">
        <f>step3_validation[[#This Row],[AI_OUT1]]</f>
        <v>8</v>
      </c>
      <c r="BF67">
        <f t="shared" ref="BF67:BF130" si="51">(BE67-1)/9</f>
        <v>0.77777777777777779</v>
      </c>
      <c r="BG67">
        <f>survey_responses[[#This Row],[Sau khi xem xét các quyền lợi và nghĩa vụ, bạn có ủng hộ và tuân thủ chính sách mới hiện nay? - HUMAN-OUT1]]</f>
        <v>6</v>
      </c>
      <c r="BH67">
        <f t="shared" ref="BH67:BH130" si="52">(BG67-1)/9</f>
        <v>0.55555555555555558</v>
      </c>
      <c r="BI67" s="32">
        <f t="shared" ref="BI67:BI130" si="53">ABS(BG67-BE67)</f>
        <v>2</v>
      </c>
    </row>
    <row r="68" spans="1:61" x14ac:dyDescent="0.45">
      <c r="A68" s="30">
        <f>step3_validation[[#This Row],[Persona_ID]]</f>
        <v>67</v>
      </c>
      <c r="B68" s="31">
        <f>step3_validation[[#This Row],[Used_Seed]]</f>
        <v>2092</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92.83454409634939</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7</v>
      </c>
      <c r="R68">
        <f t="shared" si="27"/>
        <v>0.66666666666666663</v>
      </c>
      <c r="S68">
        <f>survey_responses[[#This Row],[Tôi tin rằng với các quy định quản lý thuế hiện nay, hành vi gian lận hoặc trốn thuế sẽ dễ dàng bị phát hiện và xử lý nghiêm. - HUMAN-ENF1]]</f>
        <v>5</v>
      </c>
      <c r="T68">
        <f t="shared" si="28"/>
        <v>0.44444444444444442</v>
      </c>
      <c r="U68">
        <f>step3_validation[[#This Row],[AI_ENF2]]</f>
        <v>6</v>
      </c>
      <c r="V68">
        <f t="shared" si="29"/>
        <v>0.55555555555555558</v>
      </c>
      <c r="W68">
        <f>survey_responses[[#This Row],[Tôi tin rằng Nhà nước, cơ quan thuế có đủ khả năng và công nghệ để phát hiện, xử lý nghiêm các hành vi trốn thuế. - HUMAN-ENF2]]</f>
        <v>5</v>
      </c>
      <c r="X68">
        <f t="shared" si="30"/>
        <v>0.44444444444444442</v>
      </c>
      <c r="Y68" s="32">
        <f t="shared" si="31"/>
        <v>0.61111111111111116</v>
      </c>
      <c r="Z68" s="32">
        <f t="shared" si="32"/>
        <v>0.44444444444444442</v>
      </c>
      <c r="AA68">
        <f>step3_validation[[#This Row],[AI_FAC1]]</f>
        <v>8</v>
      </c>
      <c r="AB68">
        <f t="shared" si="33"/>
        <v>0.77777777777777779</v>
      </c>
      <c r="AC68">
        <f>survey_responses[[#This Row],[Các thủ tục khai báo thuế VÀ/HOẶC quy trình làm việc với cơ quan thuế đơn giản, tiện lợi, nhanh chóng hơn so với trước đây. - HUMAN-FAC1]]</f>
        <v>4</v>
      </c>
      <c r="AD68">
        <f t="shared" si="34"/>
        <v>0.33333333333333331</v>
      </c>
      <c r="AE68">
        <f>step3_validation[[#This Row],[AI_FAC2]]</f>
        <v>9</v>
      </c>
      <c r="AF68">
        <f t="shared" si="35"/>
        <v>0.88888888888888884</v>
      </c>
      <c r="AG68">
        <f>survey_responses[[#This Row],[So với trước đây, tôi thấy cách tính thuế và các bậc thuế trong phương án mới đơn giản, dễ hiểu và dễ thực hiện hơn. - HUMAN-FAC2]]</f>
        <v>4</v>
      </c>
      <c r="AH68">
        <f t="shared" si="36"/>
        <v>0.33333333333333331</v>
      </c>
      <c r="AI68" s="32">
        <f t="shared" si="37"/>
        <v>0.83333333333333326</v>
      </c>
      <c r="AJ68" s="32">
        <f t="shared" si="38"/>
        <v>0.33333333333333331</v>
      </c>
      <c r="AK68">
        <f>step3_validation[[#This Row],[AI_TRU1]]</f>
        <v>7</v>
      </c>
      <c r="AL68">
        <f t="shared" si="39"/>
        <v>0.66666666666666663</v>
      </c>
      <c r="AM68">
        <f>survey_responses[[#This Row],[Tôi tin rằng Nhà nước, cơ quan thuế sẽ thực thi chính sách mới một cách khách quan, công tâm và đối xử bình đẳng với mọi người nộp thuế.  - HUMAN-TRU1]]</f>
        <v>2</v>
      </c>
      <c r="AN68">
        <f t="shared" si="40"/>
        <v>0.1111111111111111</v>
      </c>
      <c r="AO68">
        <f>step3_validation[[#This Row],[AI_TRU2]]</f>
        <v>9</v>
      </c>
      <c r="AP68">
        <f t="shared" si="41"/>
        <v>0.88888888888888884</v>
      </c>
      <c r="AQ68">
        <f>survey_responses[[#This Row],[Tôi thấy mức thuế tôi phải đóng theo phương án mới là công bằng (người thu nhập như tôi đóng mức này là hợp lý). - HUMAN-TRU2]]</f>
        <v>3</v>
      </c>
      <c r="AR68">
        <f t="shared" si="42"/>
        <v>0.22222222222222221</v>
      </c>
      <c r="AS68">
        <f>step3_validation[[#This Row],[AI_TRU3]]</f>
        <v>8</v>
      </c>
      <c r="AT68">
        <f t="shared" si="43"/>
        <v>0.77777777777777779</v>
      </c>
      <c r="AU68">
        <f>survey_responses[[#This Row],[Tôi tin tưởng số tiền thuế tôi đóng sẽ được Nhà nước sử dụng hiệu quả để cải thiện dịch vụ công (y tế, đường xá...). - HUMAN-TRU3]]</f>
        <v>2</v>
      </c>
      <c r="AV68">
        <f t="shared" si="44"/>
        <v>0.1111111111111111</v>
      </c>
      <c r="AW68">
        <f>step3_validation[[#This Row],[AI_TRU4]]</f>
        <v>7</v>
      </c>
      <c r="AX68">
        <f t="shared" si="45"/>
        <v>0.66666666666666663</v>
      </c>
      <c r="AY68">
        <f>survey_responses[[#This Row],[Tôi thấy Nhà nước đã giải thích rõ ràng, minh bạch về lý do và mục tiêu của việc sửa đổi thuế lần này. - HUMAN-TRU4]]</f>
        <v>3</v>
      </c>
      <c r="AZ68">
        <f t="shared" si="46"/>
        <v>0.22222222222222221</v>
      </c>
      <c r="BA68" s="32">
        <f t="shared" si="47"/>
        <v>0.74999999999999989</v>
      </c>
      <c r="BB68" s="32">
        <f t="shared" si="48"/>
        <v>0.16666666666666666</v>
      </c>
      <c r="BC68" s="7">
        <f t="shared" si="49"/>
        <v>0.7314814814814814</v>
      </c>
      <c r="BD68" s="7">
        <f t="shared" si="50"/>
        <v>0.31481481481481477</v>
      </c>
      <c r="BE68">
        <f>step3_validation[[#This Row],[AI_OUT1]]</f>
        <v>9</v>
      </c>
      <c r="BF68">
        <f t="shared" si="51"/>
        <v>0.88888888888888884</v>
      </c>
      <c r="BG68">
        <f>survey_responses[[#This Row],[Sau khi xem xét các quyền lợi và nghĩa vụ, bạn có ủng hộ và tuân thủ chính sách mới hiện nay? - HUMAN-OUT1]]</f>
        <v>3</v>
      </c>
      <c r="BH68">
        <f t="shared" si="52"/>
        <v>0.22222222222222221</v>
      </c>
      <c r="BI68" s="32">
        <f t="shared" si="53"/>
        <v>6</v>
      </c>
    </row>
    <row r="69" spans="1:61" x14ac:dyDescent="0.45">
      <c r="A69" s="30">
        <f>step3_validation[[#This Row],[Persona_ID]]</f>
        <v>68</v>
      </c>
      <c r="B69" s="31">
        <f>step3_validation[[#This Row],[Used_Seed]]</f>
        <v>2093</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68.339576582534093</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8</v>
      </c>
      <c r="R69">
        <f t="shared" si="27"/>
        <v>0.77777777777777779</v>
      </c>
      <c r="S69">
        <f>survey_responses[[#This Row],[Tôi tin rằng với các quy định quản lý thuế hiện nay, hành vi gian lận hoặc trốn thuế sẽ dễ dàng bị phát hiện và xử lý nghiêm. - HUMAN-ENF1]]</f>
        <v>4</v>
      </c>
      <c r="T69">
        <f t="shared" si="28"/>
        <v>0.33333333333333331</v>
      </c>
      <c r="U69">
        <f>step3_validation[[#This Row],[AI_ENF2]]</f>
        <v>7</v>
      </c>
      <c r="V69">
        <f t="shared" si="29"/>
        <v>0.66666666666666663</v>
      </c>
      <c r="W69">
        <f>survey_responses[[#This Row],[Tôi tin rằng Nhà nước, cơ quan thuế có đủ khả năng và công nghệ để phát hiện, xử lý nghiêm các hành vi trốn thuế. - HUMAN-ENF2]]</f>
        <v>3</v>
      </c>
      <c r="X69">
        <f t="shared" si="30"/>
        <v>0.22222222222222221</v>
      </c>
      <c r="Y69" s="32">
        <f t="shared" si="31"/>
        <v>0.72222222222222221</v>
      </c>
      <c r="Z69" s="32">
        <f t="shared" si="32"/>
        <v>0.27777777777777779</v>
      </c>
      <c r="AA69">
        <f>step3_validation[[#This Row],[AI_FAC1]]</f>
        <v>9</v>
      </c>
      <c r="AB69">
        <f t="shared" si="33"/>
        <v>0.88888888888888884</v>
      </c>
      <c r="AC69">
        <f>survey_responses[[#This Row],[Các thủ tục khai báo thuế VÀ/HOẶC quy trình làm việc với cơ quan thuế đơn giản, tiện lợi, nhanh chóng hơn so với trước đây. - HUMAN-FAC1]]</f>
        <v>1</v>
      </c>
      <c r="AD69">
        <f t="shared" si="34"/>
        <v>0</v>
      </c>
      <c r="AE69">
        <f>step3_validation[[#This Row],[AI_FAC2]]</f>
        <v>8</v>
      </c>
      <c r="AF69">
        <f t="shared" si="35"/>
        <v>0.77777777777777779</v>
      </c>
      <c r="AG69">
        <f>survey_responses[[#This Row],[So với trước đây, tôi thấy cách tính thuế và các bậc thuế trong phương án mới đơn giản, dễ hiểu và dễ thực hiện hơn. - HUMAN-FAC2]]</f>
        <v>5</v>
      </c>
      <c r="AH69">
        <f t="shared" si="36"/>
        <v>0.44444444444444442</v>
      </c>
      <c r="AI69" s="32">
        <f t="shared" si="37"/>
        <v>0.83333333333333326</v>
      </c>
      <c r="AJ69" s="32">
        <f t="shared" si="38"/>
        <v>0.22222222222222221</v>
      </c>
      <c r="AK69">
        <f>step3_validation[[#This Row],[AI_TRU1]]</f>
        <v>6</v>
      </c>
      <c r="AL69">
        <f t="shared" si="39"/>
        <v>0.55555555555555558</v>
      </c>
      <c r="AM69">
        <f>survey_responses[[#This Row],[Tôi tin rằng Nhà nước, cơ quan thuế sẽ thực thi chính sách mới một cách khách quan, công tâm và đối xử bình đẳng với mọi người nộp thuế.  - HUMAN-TRU1]]</f>
        <v>4</v>
      </c>
      <c r="AN69">
        <f t="shared" si="40"/>
        <v>0.33333333333333331</v>
      </c>
      <c r="AO69">
        <f>step3_validation[[#This Row],[AI_TRU2]]</f>
        <v>9</v>
      </c>
      <c r="AP69">
        <f t="shared" si="41"/>
        <v>0.88888888888888884</v>
      </c>
      <c r="AQ69">
        <f>survey_responses[[#This Row],[Tôi thấy mức thuế tôi phải đóng theo phương án mới là công bằng (người thu nhập như tôi đóng mức này là hợp lý). - HUMAN-TRU2]]</f>
        <v>3</v>
      </c>
      <c r="AR69">
        <f t="shared" si="42"/>
        <v>0.22222222222222221</v>
      </c>
      <c r="AS69">
        <f>step3_validation[[#This Row],[AI_TRU3]]</f>
        <v>7</v>
      </c>
      <c r="AT69">
        <f t="shared" si="43"/>
        <v>0.66666666666666663</v>
      </c>
      <c r="AU69">
        <f>survey_responses[[#This Row],[Tôi tin tưởng số tiền thuế tôi đóng sẽ được Nhà nước sử dụng hiệu quả để cải thiện dịch vụ công (y tế, đường xá...). - HUMAN-TRU3]]</f>
        <v>1</v>
      </c>
      <c r="AV69">
        <f t="shared" si="44"/>
        <v>0</v>
      </c>
      <c r="AW69">
        <f>step3_validation[[#This Row],[AI_TRU4]]</f>
        <v>6</v>
      </c>
      <c r="AX69">
        <f t="shared" si="45"/>
        <v>0.55555555555555558</v>
      </c>
      <c r="AY69">
        <f>survey_responses[[#This Row],[Tôi thấy Nhà nước đã giải thích rõ ràng, minh bạch về lý do và mục tiêu của việc sửa đổi thuế lần này. - HUMAN-TRU4]]</f>
        <v>3</v>
      </c>
      <c r="AZ69">
        <f t="shared" si="46"/>
        <v>0.22222222222222221</v>
      </c>
      <c r="BA69" s="32">
        <f t="shared" si="47"/>
        <v>0.66666666666666674</v>
      </c>
      <c r="BB69" s="32">
        <f t="shared" si="48"/>
        <v>0.19444444444444445</v>
      </c>
      <c r="BC69" s="7">
        <f t="shared" si="49"/>
        <v>0.74074074074074081</v>
      </c>
      <c r="BD69" s="7">
        <f t="shared" si="50"/>
        <v>0.23148148148148148</v>
      </c>
      <c r="BE69">
        <f>step3_validation[[#This Row],[AI_OUT1]]</f>
        <v>8</v>
      </c>
      <c r="BF69">
        <f t="shared" si="51"/>
        <v>0.77777777777777779</v>
      </c>
      <c r="BG69">
        <f>survey_responses[[#This Row],[Sau khi xem xét các quyền lợi và nghĩa vụ, bạn có ủng hộ và tuân thủ chính sách mới hiện nay? - HUMAN-OUT1]]</f>
        <v>5</v>
      </c>
      <c r="BH69">
        <f t="shared" si="52"/>
        <v>0.44444444444444442</v>
      </c>
      <c r="BI69" s="32">
        <f t="shared" si="53"/>
        <v>3</v>
      </c>
    </row>
    <row r="70" spans="1:61" x14ac:dyDescent="0.45">
      <c r="A70" s="30">
        <f>step3_validation[[#This Row],[Persona_ID]]</f>
        <v>69</v>
      </c>
      <c r="B70" s="31">
        <f>step3_validation[[#This Row],[Used_Seed]]</f>
        <v>2094</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18.177356308135195</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7</v>
      </c>
      <c r="R70">
        <f t="shared" si="27"/>
        <v>0.66666666666666663</v>
      </c>
      <c r="S70">
        <f>survey_responses[[#This Row],[Tôi tin rằng với các quy định quản lý thuế hiện nay, hành vi gian lận hoặc trốn thuế sẽ dễ dàng bị phát hiện và xử lý nghiêm. - HUMAN-ENF1]]</f>
        <v>7</v>
      </c>
      <c r="T70">
        <f t="shared" si="28"/>
        <v>0.66666666666666663</v>
      </c>
      <c r="U70">
        <f>step3_validation[[#This Row],[AI_ENF2]]</f>
        <v>6</v>
      </c>
      <c r="V70">
        <f t="shared" si="29"/>
        <v>0.55555555555555558</v>
      </c>
      <c r="W70">
        <f>survey_responses[[#This Row],[Tôi tin rằng Nhà nước, cơ quan thuế có đủ khả năng và công nghệ để phát hiện, xử lý nghiêm các hành vi trốn thuế. - HUMAN-ENF2]]</f>
        <v>7</v>
      </c>
      <c r="X70">
        <f t="shared" si="30"/>
        <v>0.66666666666666663</v>
      </c>
      <c r="Y70" s="32">
        <f t="shared" si="31"/>
        <v>0.61111111111111116</v>
      </c>
      <c r="Z70" s="32">
        <f t="shared" si="32"/>
        <v>0.66666666666666663</v>
      </c>
      <c r="AA70">
        <f>step3_validation[[#This Row],[AI_FAC1]]</f>
        <v>8</v>
      </c>
      <c r="AB70">
        <f t="shared" si="33"/>
        <v>0.77777777777777779</v>
      </c>
      <c r="AC70">
        <f>survey_responses[[#This Row],[Các thủ tục khai báo thuế VÀ/HOẶC quy trình làm việc với cơ quan thuế đơn giản, tiện lợi, nhanh chóng hơn so với trước đây. - HUMAN-FAC1]]</f>
        <v>8</v>
      </c>
      <c r="AD70">
        <f t="shared" si="34"/>
        <v>0.77777777777777779</v>
      </c>
      <c r="AE70">
        <f>step3_validation[[#This Row],[AI_FAC2]]</f>
        <v>9</v>
      </c>
      <c r="AF70">
        <f t="shared" si="35"/>
        <v>0.88888888888888884</v>
      </c>
      <c r="AG70">
        <f>survey_responses[[#This Row],[So với trước đây, tôi thấy cách tính thuế và các bậc thuế trong phương án mới đơn giản, dễ hiểu và dễ thực hiện hơn. - HUMAN-FAC2]]</f>
        <v>9</v>
      </c>
      <c r="AH70">
        <f t="shared" si="36"/>
        <v>0.88888888888888884</v>
      </c>
      <c r="AI70" s="32">
        <f t="shared" si="37"/>
        <v>0.83333333333333326</v>
      </c>
      <c r="AJ70" s="32">
        <f t="shared" si="38"/>
        <v>0.83333333333333326</v>
      </c>
      <c r="AK70">
        <f>step3_validation[[#This Row],[AI_TRU1]]</f>
        <v>8</v>
      </c>
      <c r="AL70">
        <f t="shared" si="39"/>
        <v>0.77777777777777779</v>
      </c>
      <c r="AM70">
        <f>survey_responses[[#This Row],[Tôi tin rằng Nhà nước, cơ quan thuế sẽ thực thi chính sách mới một cách khách quan, công tâm và đối xử bình đẳng với mọi người nộp thuế.  - HUMAN-TRU1]]</f>
        <v>8</v>
      </c>
      <c r="AN70">
        <f t="shared" si="40"/>
        <v>0.77777777777777779</v>
      </c>
      <c r="AO70">
        <f>step3_validation[[#This Row],[AI_TRU2]]</f>
        <v>9</v>
      </c>
      <c r="AP70">
        <f t="shared" si="41"/>
        <v>0.88888888888888884</v>
      </c>
      <c r="AQ70">
        <f>survey_responses[[#This Row],[Tôi thấy mức thuế tôi phải đóng theo phương án mới là công bằng (người thu nhập như tôi đóng mức này là hợp lý). - HUMAN-TRU2]]</f>
        <v>10</v>
      </c>
      <c r="AR70">
        <f t="shared" si="42"/>
        <v>1</v>
      </c>
      <c r="AS70">
        <f>step3_validation[[#This Row],[AI_TRU3]]</f>
        <v>8</v>
      </c>
      <c r="AT70">
        <f t="shared" si="43"/>
        <v>0.77777777777777779</v>
      </c>
      <c r="AU70">
        <f>survey_responses[[#This Row],[Tôi tin tưởng số tiền thuế tôi đóng sẽ được Nhà nước sử dụng hiệu quả để cải thiện dịch vụ công (y tế, đường xá...). - HUMAN-TRU3]]</f>
        <v>9</v>
      </c>
      <c r="AV70">
        <f t="shared" si="44"/>
        <v>0.88888888888888884</v>
      </c>
      <c r="AW70">
        <f>step3_validation[[#This Row],[AI_TRU4]]</f>
        <v>7</v>
      </c>
      <c r="AX70">
        <f t="shared" si="45"/>
        <v>0.66666666666666663</v>
      </c>
      <c r="AY70">
        <f>survey_responses[[#This Row],[Tôi thấy Nhà nước đã giải thích rõ ràng, minh bạch về lý do và mục tiêu của việc sửa đổi thuế lần này. - HUMAN-TRU4]]</f>
        <v>9</v>
      </c>
      <c r="AZ70">
        <f t="shared" si="46"/>
        <v>0.88888888888888884</v>
      </c>
      <c r="BA70" s="32">
        <f t="shared" si="47"/>
        <v>0.77777777777777768</v>
      </c>
      <c r="BB70" s="32">
        <f t="shared" si="48"/>
        <v>0.88888888888888884</v>
      </c>
      <c r="BC70" s="7">
        <f t="shared" si="49"/>
        <v>0.74074074074074081</v>
      </c>
      <c r="BD70" s="7">
        <f t="shared" si="50"/>
        <v>0.79629629629629628</v>
      </c>
      <c r="BE70">
        <f>step3_validation[[#This Row],[AI_OUT1]]</f>
        <v>9</v>
      </c>
      <c r="BF70">
        <f t="shared" si="51"/>
        <v>0.88888888888888884</v>
      </c>
      <c r="BG70">
        <f>survey_responses[[#This Row],[Sau khi xem xét các quyền lợi và nghĩa vụ, bạn có ủng hộ và tuân thủ chính sách mới hiện nay? - HUMAN-OUT1]]</f>
        <v>9</v>
      </c>
      <c r="BH70">
        <f t="shared" si="52"/>
        <v>0.88888888888888884</v>
      </c>
      <c r="BI70" s="32">
        <f t="shared" si="53"/>
        <v>0</v>
      </c>
    </row>
    <row r="71" spans="1:61" x14ac:dyDescent="0.45">
      <c r="A71" s="30">
        <f>step3_validation[[#This Row],[Persona_ID]]</f>
        <v>70</v>
      </c>
      <c r="B71" s="31">
        <f>step3_validation[[#This Row],[Used_Seed]]</f>
        <v>2095</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234.86312148195492</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8</v>
      </c>
      <c r="R71">
        <f t="shared" si="27"/>
        <v>0.77777777777777779</v>
      </c>
      <c r="S71">
        <f>survey_responses[[#This Row],[Tôi tin rằng với các quy định quản lý thuế hiện nay, hành vi gian lận hoặc trốn thuế sẽ dễ dàng bị phát hiện và xử lý nghiêm. - HUMAN-ENF1]]</f>
        <v>6</v>
      </c>
      <c r="T71">
        <f t="shared" si="28"/>
        <v>0.55555555555555558</v>
      </c>
      <c r="U71">
        <f>step3_validation[[#This Row],[AI_ENF2]]</f>
        <v>9</v>
      </c>
      <c r="V71">
        <f t="shared" si="29"/>
        <v>0.88888888888888884</v>
      </c>
      <c r="W71">
        <f>survey_responses[[#This Row],[Tôi tin rằng Nhà nước, cơ quan thuế có đủ khả năng và công nghệ để phát hiện, xử lý nghiêm các hành vi trốn thuế. - HUMAN-ENF2]]</f>
        <v>6</v>
      </c>
      <c r="X71">
        <f t="shared" si="30"/>
        <v>0.55555555555555558</v>
      </c>
      <c r="Y71" s="32">
        <f t="shared" si="31"/>
        <v>0.83333333333333326</v>
      </c>
      <c r="Z71" s="32">
        <f t="shared" si="32"/>
        <v>0.55555555555555558</v>
      </c>
      <c r="AA71">
        <f>step3_validation[[#This Row],[AI_FAC1]]</f>
        <v>7</v>
      </c>
      <c r="AB71">
        <f t="shared" si="33"/>
        <v>0.66666666666666663</v>
      </c>
      <c r="AC71">
        <f>survey_responses[[#This Row],[Các thủ tục khai báo thuế VÀ/HOẶC quy trình làm việc với cơ quan thuế đơn giản, tiện lợi, nhanh chóng hơn so với trước đây. - HUMAN-FAC1]]</f>
        <v>5</v>
      </c>
      <c r="AD71">
        <f t="shared" si="34"/>
        <v>0.44444444444444442</v>
      </c>
      <c r="AE71">
        <f>step3_validation[[#This Row],[AI_FAC2]]</f>
        <v>9</v>
      </c>
      <c r="AF71">
        <f t="shared" si="35"/>
        <v>0.88888888888888884</v>
      </c>
      <c r="AG71">
        <f>survey_responses[[#This Row],[So với trước đây, tôi thấy cách tính thuế và các bậc thuế trong phương án mới đơn giản, dễ hiểu và dễ thực hiện hơn. - HUMAN-FAC2]]</f>
        <v>5</v>
      </c>
      <c r="AH71">
        <f t="shared" si="36"/>
        <v>0.44444444444444442</v>
      </c>
      <c r="AI71" s="32">
        <f t="shared" si="37"/>
        <v>0.77777777777777768</v>
      </c>
      <c r="AJ71" s="32">
        <f t="shared" si="38"/>
        <v>0.44444444444444442</v>
      </c>
      <c r="AK71">
        <f>step3_validation[[#This Row],[AI_TRU1]]</f>
        <v>8</v>
      </c>
      <c r="AL71">
        <f t="shared" si="39"/>
        <v>0.77777777777777779</v>
      </c>
      <c r="AM71">
        <f>survey_responses[[#This Row],[Tôi tin rằng Nhà nước, cơ quan thuế sẽ thực thi chính sách mới một cách khách quan, công tâm và đối xử bình đẳng với mọi người nộp thuế.  - HUMAN-TRU1]]</f>
        <v>5</v>
      </c>
      <c r="AN71">
        <f t="shared" si="40"/>
        <v>0.44444444444444442</v>
      </c>
      <c r="AO71">
        <f>step3_validation[[#This Row],[AI_TRU2]]</f>
        <v>9</v>
      </c>
      <c r="AP71">
        <f t="shared" si="41"/>
        <v>0.88888888888888884</v>
      </c>
      <c r="AQ71">
        <f>survey_responses[[#This Row],[Tôi thấy mức thuế tôi phải đóng theo phương án mới là công bằng (người thu nhập như tôi đóng mức này là hợp lý). - HUMAN-TRU2]]</f>
        <v>1</v>
      </c>
      <c r="AR71">
        <f t="shared" si="42"/>
        <v>0</v>
      </c>
      <c r="AS71">
        <f>step3_validation[[#This Row],[AI_TRU3]]</f>
        <v>8</v>
      </c>
      <c r="AT71">
        <f t="shared" si="43"/>
        <v>0.77777777777777779</v>
      </c>
      <c r="AU71">
        <f>survey_responses[[#This Row],[Tôi tin tưởng số tiền thuế tôi đóng sẽ được Nhà nước sử dụng hiệu quả để cải thiện dịch vụ công (y tế, đường xá...). - HUMAN-TRU3]]</f>
        <v>5</v>
      </c>
      <c r="AV71">
        <f t="shared" si="44"/>
        <v>0.44444444444444442</v>
      </c>
      <c r="AW71">
        <f>step3_validation[[#This Row],[AI_TRU4]]</f>
        <v>9</v>
      </c>
      <c r="AX71">
        <f t="shared" si="45"/>
        <v>0.88888888888888884</v>
      </c>
      <c r="AY71">
        <f>survey_responses[[#This Row],[Tôi thấy Nhà nước đã giải thích rõ ràng, minh bạch về lý do và mục tiêu của việc sửa đổi thuế lần này. - HUMAN-TRU4]]</f>
        <v>5</v>
      </c>
      <c r="AZ71">
        <f t="shared" si="46"/>
        <v>0.44444444444444442</v>
      </c>
      <c r="BA71" s="32">
        <f t="shared" si="47"/>
        <v>0.83333333333333326</v>
      </c>
      <c r="BB71" s="32">
        <f t="shared" si="48"/>
        <v>0.33333333333333331</v>
      </c>
      <c r="BC71" s="7">
        <f t="shared" si="49"/>
        <v>0.81481481481481477</v>
      </c>
      <c r="BD71" s="7">
        <f t="shared" si="50"/>
        <v>0.44444444444444442</v>
      </c>
      <c r="BE71">
        <f>step3_validation[[#This Row],[AI_OUT1]]</f>
        <v>8</v>
      </c>
      <c r="BF71">
        <f t="shared" si="51"/>
        <v>0.77777777777777779</v>
      </c>
      <c r="BG71">
        <f>survey_responses[[#This Row],[Sau khi xem xét các quyền lợi và nghĩa vụ, bạn có ủng hộ và tuân thủ chính sách mới hiện nay? - HUMAN-OUT1]]</f>
        <v>5</v>
      </c>
      <c r="BH71">
        <f t="shared" si="52"/>
        <v>0.44444444444444442</v>
      </c>
      <c r="BI71" s="32">
        <f t="shared" si="53"/>
        <v>3</v>
      </c>
    </row>
    <row r="72" spans="1:61" x14ac:dyDescent="0.45">
      <c r="A72" s="30">
        <f>step3_validation[[#This Row],[Persona_ID]]</f>
        <v>71</v>
      </c>
      <c r="B72" s="31">
        <f>step3_validation[[#This Row],[Used_Seed]]</f>
        <v>2096</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24.219488216535261</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8</v>
      </c>
      <c r="R72">
        <f t="shared" si="27"/>
        <v>0.77777777777777779</v>
      </c>
      <c r="S72">
        <f>survey_responses[[#This Row],[Tôi tin rằng với các quy định quản lý thuế hiện nay, hành vi gian lận hoặc trốn thuế sẽ dễ dàng bị phát hiện và xử lý nghiêm. - HUMAN-ENF1]]</f>
        <v>3</v>
      </c>
      <c r="T72">
        <f t="shared" si="28"/>
        <v>0.22222222222222221</v>
      </c>
      <c r="U72">
        <f>step3_validation[[#This Row],[AI_ENF2]]</f>
        <v>9</v>
      </c>
      <c r="V72">
        <f t="shared" si="29"/>
        <v>0.88888888888888884</v>
      </c>
      <c r="W72">
        <f>survey_responses[[#This Row],[Tôi tin rằng Nhà nước, cơ quan thuế có đủ khả năng và công nghệ để phát hiện, xử lý nghiêm các hành vi trốn thuế. - HUMAN-ENF2]]</f>
        <v>3</v>
      </c>
      <c r="X72">
        <f t="shared" si="30"/>
        <v>0.22222222222222221</v>
      </c>
      <c r="Y72" s="32">
        <f t="shared" si="31"/>
        <v>0.83333333333333326</v>
      </c>
      <c r="Z72" s="32">
        <f t="shared" si="32"/>
        <v>0.22222222222222221</v>
      </c>
      <c r="AA72">
        <f>step3_validation[[#This Row],[AI_FAC1]]</f>
        <v>8</v>
      </c>
      <c r="AB72">
        <f t="shared" si="33"/>
        <v>0.77777777777777779</v>
      </c>
      <c r="AC72">
        <f>survey_responses[[#This Row],[Các thủ tục khai báo thuế VÀ/HOẶC quy trình làm việc với cơ quan thuế đơn giản, tiện lợi, nhanh chóng hơn so với trước đây. - HUMAN-FAC1]]</f>
        <v>3</v>
      </c>
      <c r="AD72">
        <f t="shared" si="34"/>
        <v>0.22222222222222221</v>
      </c>
      <c r="AE72">
        <f>step3_validation[[#This Row],[AI_FAC2]]</f>
        <v>10</v>
      </c>
      <c r="AF72">
        <f t="shared" si="35"/>
        <v>1</v>
      </c>
      <c r="AG72">
        <f>survey_responses[[#This Row],[So với trước đây, tôi thấy cách tính thuế và các bậc thuế trong phương án mới đơn giản, dễ hiểu và dễ thực hiện hơn. - HUMAN-FAC2]]</f>
        <v>5</v>
      </c>
      <c r="AH72">
        <f t="shared" si="36"/>
        <v>0.44444444444444442</v>
      </c>
      <c r="AI72" s="32">
        <f t="shared" si="37"/>
        <v>0.88888888888888884</v>
      </c>
      <c r="AJ72" s="32">
        <f t="shared" si="38"/>
        <v>0.33333333333333331</v>
      </c>
      <c r="AK72">
        <f>step3_validation[[#This Row],[AI_TRU1]]</f>
        <v>9</v>
      </c>
      <c r="AL72">
        <f t="shared" si="39"/>
        <v>0.88888888888888884</v>
      </c>
      <c r="AM72">
        <f>survey_responses[[#This Row],[Tôi tin rằng Nhà nước, cơ quan thuế sẽ thực thi chính sách mới một cách khách quan, công tâm và đối xử bình đẳng với mọi người nộp thuế.  - HUMAN-TRU1]]</f>
        <v>3</v>
      </c>
      <c r="AN72">
        <f t="shared" si="40"/>
        <v>0.22222222222222221</v>
      </c>
      <c r="AO72">
        <f>step3_validation[[#This Row],[AI_TRU2]]</f>
        <v>10</v>
      </c>
      <c r="AP72">
        <f t="shared" si="41"/>
        <v>1</v>
      </c>
      <c r="AQ72">
        <f>survey_responses[[#This Row],[Tôi thấy mức thuế tôi phải đóng theo phương án mới là công bằng (người thu nhập như tôi đóng mức này là hợp lý). - HUMAN-TRU2]]</f>
        <v>3</v>
      </c>
      <c r="AR72">
        <f t="shared" si="42"/>
        <v>0.22222222222222221</v>
      </c>
      <c r="AS72">
        <f>step3_validation[[#This Row],[AI_TRU3]]</f>
        <v>8</v>
      </c>
      <c r="AT72">
        <f t="shared" si="43"/>
        <v>0.77777777777777779</v>
      </c>
      <c r="AU72">
        <f>survey_responses[[#This Row],[Tôi tin tưởng số tiền thuế tôi đóng sẽ được Nhà nước sử dụng hiệu quả để cải thiện dịch vụ công (y tế, đường xá...). - HUMAN-TRU3]]</f>
        <v>3</v>
      </c>
      <c r="AV72">
        <f t="shared" si="44"/>
        <v>0.22222222222222221</v>
      </c>
      <c r="AW72">
        <f>step3_validation[[#This Row],[AI_TRU4]]</f>
        <v>10</v>
      </c>
      <c r="AX72">
        <f t="shared" si="45"/>
        <v>1</v>
      </c>
      <c r="AY72">
        <f>survey_responses[[#This Row],[Tôi thấy Nhà nước đã giải thích rõ ràng, minh bạch về lý do và mục tiêu của việc sửa đổi thuế lần này. - HUMAN-TRU4]]</f>
        <v>3</v>
      </c>
      <c r="AZ72">
        <f t="shared" si="46"/>
        <v>0.22222222222222221</v>
      </c>
      <c r="BA72" s="32">
        <f t="shared" si="47"/>
        <v>0.91666666666666663</v>
      </c>
      <c r="BB72" s="32">
        <f t="shared" si="48"/>
        <v>0.22222222222222221</v>
      </c>
      <c r="BC72" s="7">
        <f t="shared" si="49"/>
        <v>0.87962962962962965</v>
      </c>
      <c r="BD72" s="7">
        <f t="shared" si="50"/>
        <v>0.25925925925925924</v>
      </c>
      <c r="BE72">
        <f>step3_validation[[#This Row],[AI_OUT1]]</f>
        <v>10</v>
      </c>
      <c r="BF72">
        <f t="shared" si="51"/>
        <v>1</v>
      </c>
      <c r="BG72">
        <f>survey_responses[[#This Row],[Sau khi xem xét các quyền lợi và nghĩa vụ, bạn có ủng hộ và tuân thủ chính sách mới hiện nay? - HUMAN-OUT1]]</f>
        <v>4</v>
      </c>
      <c r="BH72">
        <f t="shared" si="52"/>
        <v>0.33333333333333331</v>
      </c>
      <c r="BI72" s="32">
        <f t="shared" si="53"/>
        <v>6</v>
      </c>
    </row>
    <row r="73" spans="1:61" x14ac:dyDescent="0.45">
      <c r="A73" s="30">
        <f>step3_validation[[#This Row],[Persona_ID]]</f>
        <v>72</v>
      </c>
      <c r="B73" s="31">
        <f>step3_validation[[#This Row],[Used_Seed]]</f>
        <v>2097</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18.411774060836969</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7</v>
      </c>
      <c r="R73">
        <f t="shared" si="27"/>
        <v>0.66666666666666663</v>
      </c>
      <c r="S73">
        <f>survey_responses[[#This Row],[Tôi tin rằng với các quy định quản lý thuế hiện nay, hành vi gian lận hoặc trốn thuế sẽ dễ dàng bị phát hiện và xử lý nghiêm. - HUMAN-ENF1]]</f>
        <v>8</v>
      </c>
      <c r="T73">
        <f t="shared" si="28"/>
        <v>0.77777777777777779</v>
      </c>
      <c r="U73">
        <f>step3_validation[[#This Row],[AI_ENF2]]</f>
        <v>6</v>
      </c>
      <c r="V73">
        <f t="shared" si="29"/>
        <v>0.55555555555555558</v>
      </c>
      <c r="W73">
        <f>survey_responses[[#This Row],[Tôi tin rằng Nhà nước, cơ quan thuế có đủ khả năng và công nghệ để phát hiện, xử lý nghiêm các hành vi trốn thuế. - HUMAN-ENF2]]</f>
        <v>8</v>
      </c>
      <c r="X73">
        <f t="shared" si="30"/>
        <v>0.77777777777777779</v>
      </c>
      <c r="Y73" s="32">
        <f t="shared" si="31"/>
        <v>0.61111111111111116</v>
      </c>
      <c r="Z73" s="32">
        <f t="shared" si="32"/>
        <v>0.77777777777777779</v>
      </c>
      <c r="AA73">
        <f>step3_validation[[#This Row],[AI_FAC1]]</f>
        <v>8</v>
      </c>
      <c r="AB73">
        <f t="shared" si="33"/>
        <v>0.77777777777777779</v>
      </c>
      <c r="AC73">
        <f>survey_responses[[#This Row],[Các thủ tục khai báo thuế VÀ/HOẶC quy trình làm việc với cơ quan thuế đơn giản, tiện lợi, nhanh chóng hơn so với trước đây. - HUMAN-FAC1]]</f>
        <v>4</v>
      </c>
      <c r="AD73">
        <f t="shared" si="34"/>
        <v>0.33333333333333331</v>
      </c>
      <c r="AE73">
        <f>step3_validation[[#This Row],[AI_FAC2]]</f>
        <v>9</v>
      </c>
      <c r="AF73">
        <f t="shared" si="35"/>
        <v>0.88888888888888884</v>
      </c>
      <c r="AG73">
        <f>survey_responses[[#This Row],[So với trước đây, tôi thấy cách tính thuế và các bậc thuế trong phương án mới đơn giản, dễ hiểu và dễ thực hiện hơn. - HUMAN-FAC2]]</f>
        <v>2</v>
      </c>
      <c r="AH73">
        <f t="shared" si="36"/>
        <v>0.1111111111111111</v>
      </c>
      <c r="AI73" s="32">
        <f t="shared" si="37"/>
        <v>0.83333333333333326</v>
      </c>
      <c r="AJ73" s="32">
        <f t="shared" si="38"/>
        <v>0.22222222222222221</v>
      </c>
      <c r="AK73">
        <f>step3_validation[[#This Row],[AI_TRU1]]</f>
        <v>7</v>
      </c>
      <c r="AL73">
        <f t="shared" si="39"/>
        <v>0.66666666666666663</v>
      </c>
      <c r="AM73">
        <f>survey_responses[[#This Row],[Tôi tin rằng Nhà nước, cơ quan thuế sẽ thực thi chính sách mới một cách khách quan, công tâm và đối xử bình đẳng với mọi người nộp thuế.  - HUMAN-TRU1]]</f>
        <v>6</v>
      </c>
      <c r="AN73">
        <f t="shared" si="40"/>
        <v>0.55555555555555558</v>
      </c>
      <c r="AO73">
        <f>step3_validation[[#This Row],[AI_TRU2]]</f>
        <v>9</v>
      </c>
      <c r="AP73">
        <f t="shared" si="41"/>
        <v>0.88888888888888884</v>
      </c>
      <c r="AQ73">
        <f>survey_responses[[#This Row],[Tôi thấy mức thuế tôi phải đóng theo phương án mới là công bằng (người thu nhập như tôi đóng mức này là hợp lý). - HUMAN-TRU2]]</f>
        <v>3</v>
      </c>
      <c r="AR73">
        <f t="shared" si="42"/>
        <v>0.22222222222222221</v>
      </c>
      <c r="AS73">
        <f>step3_validation[[#This Row],[AI_TRU3]]</f>
        <v>8</v>
      </c>
      <c r="AT73">
        <f t="shared" si="43"/>
        <v>0.77777777777777779</v>
      </c>
      <c r="AU73">
        <f>survey_responses[[#This Row],[Tôi tin tưởng số tiền thuế tôi đóng sẽ được Nhà nước sử dụng hiệu quả để cải thiện dịch vụ công (y tế, đường xá...). - HUMAN-TRU3]]</f>
        <v>8</v>
      </c>
      <c r="AV73">
        <f t="shared" si="44"/>
        <v>0.77777777777777779</v>
      </c>
      <c r="AW73">
        <f>step3_validation[[#This Row],[AI_TRU4]]</f>
        <v>6</v>
      </c>
      <c r="AX73">
        <f t="shared" si="45"/>
        <v>0.55555555555555558</v>
      </c>
      <c r="AY73">
        <f>survey_responses[[#This Row],[Tôi thấy Nhà nước đã giải thích rõ ràng, minh bạch về lý do và mục tiêu của việc sửa đổi thuế lần này. - HUMAN-TRU4]]</f>
        <v>4</v>
      </c>
      <c r="AZ73">
        <f t="shared" si="46"/>
        <v>0.33333333333333331</v>
      </c>
      <c r="BA73" s="32">
        <f t="shared" si="47"/>
        <v>0.7222222222222221</v>
      </c>
      <c r="BB73" s="32">
        <f t="shared" si="48"/>
        <v>0.47222222222222221</v>
      </c>
      <c r="BC73" s="7">
        <f t="shared" si="49"/>
        <v>0.72222222222222221</v>
      </c>
      <c r="BD73" s="7">
        <f t="shared" si="50"/>
        <v>0.49074074074074076</v>
      </c>
      <c r="BE73">
        <f>step3_validation[[#This Row],[AI_OUT1]]</f>
        <v>5</v>
      </c>
      <c r="BF73">
        <f t="shared" si="51"/>
        <v>0.44444444444444442</v>
      </c>
      <c r="BG73">
        <f>survey_responses[[#This Row],[Sau khi xem xét các quyền lợi và nghĩa vụ, bạn có ủng hộ và tuân thủ chính sách mới hiện nay? - HUMAN-OUT1]]</f>
        <v>8</v>
      </c>
      <c r="BH73">
        <f t="shared" si="52"/>
        <v>0.77777777777777779</v>
      </c>
      <c r="BI73" s="32">
        <f t="shared" si="53"/>
        <v>3</v>
      </c>
    </row>
    <row r="74" spans="1:61" x14ac:dyDescent="0.45">
      <c r="A74" s="30">
        <f>step3_validation[[#This Row],[Persona_ID]]</f>
        <v>73</v>
      </c>
      <c r="B74" s="31">
        <f>step3_validation[[#This Row],[Used_Seed]]</f>
        <v>2098</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14.186306823579844</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7</v>
      </c>
      <c r="R74">
        <f t="shared" si="27"/>
        <v>0.66666666666666663</v>
      </c>
      <c r="S74">
        <f>survey_responses[[#This Row],[Tôi tin rằng với các quy định quản lý thuế hiện nay, hành vi gian lận hoặc trốn thuế sẽ dễ dàng bị phát hiện và xử lý nghiêm. - HUMAN-ENF1]]</f>
        <v>5</v>
      </c>
      <c r="T74">
        <f t="shared" si="28"/>
        <v>0.44444444444444442</v>
      </c>
      <c r="U74">
        <f>step3_validation[[#This Row],[AI_ENF2]]</f>
        <v>8</v>
      </c>
      <c r="V74">
        <f t="shared" si="29"/>
        <v>0.77777777777777779</v>
      </c>
      <c r="W74">
        <f>survey_responses[[#This Row],[Tôi tin rằng Nhà nước, cơ quan thuế có đủ khả năng và công nghệ để phát hiện, xử lý nghiêm các hành vi trốn thuế. - HUMAN-ENF2]]</f>
        <v>5</v>
      </c>
      <c r="X74">
        <f t="shared" si="30"/>
        <v>0.44444444444444442</v>
      </c>
      <c r="Y74" s="32">
        <f t="shared" si="31"/>
        <v>0.72222222222222221</v>
      </c>
      <c r="Z74" s="32">
        <f t="shared" si="32"/>
        <v>0.44444444444444442</v>
      </c>
      <c r="AA74">
        <f>step3_validation[[#This Row],[AI_FAC1]]</f>
        <v>9</v>
      </c>
      <c r="AB74">
        <f t="shared" si="33"/>
        <v>0.88888888888888884</v>
      </c>
      <c r="AC74">
        <f>survey_responses[[#This Row],[Các thủ tục khai báo thuế VÀ/HOẶC quy trình làm việc với cơ quan thuế đơn giản, tiện lợi, nhanh chóng hơn so với trước đây. - HUMAN-FAC1]]</f>
        <v>5</v>
      </c>
      <c r="AD74">
        <f t="shared" si="34"/>
        <v>0.44444444444444442</v>
      </c>
      <c r="AE74">
        <f>step3_validation[[#This Row],[AI_FAC2]]</f>
        <v>8</v>
      </c>
      <c r="AF74">
        <f t="shared" si="35"/>
        <v>0.77777777777777779</v>
      </c>
      <c r="AG74">
        <f>survey_responses[[#This Row],[So với trước đây, tôi thấy cách tính thuế và các bậc thuế trong phương án mới đơn giản, dễ hiểu và dễ thực hiện hơn. - HUMAN-FAC2]]</f>
        <v>5</v>
      </c>
      <c r="AH74">
        <f t="shared" si="36"/>
        <v>0.44444444444444442</v>
      </c>
      <c r="AI74" s="32">
        <f t="shared" si="37"/>
        <v>0.83333333333333326</v>
      </c>
      <c r="AJ74" s="32">
        <f t="shared" si="38"/>
        <v>0.44444444444444442</v>
      </c>
      <c r="AK74">
        <f>step3_validation[[#This Row],[AI_TRU1]]</f>
        <v>9</v>
      </c>
      <c r="AL74">
        <f t="shared" si="39"/>
        <v>0.88888888888888884</v>
      </c>
      <c r="AM74">
        <f>survey_responses[[#This Row],[Tôi tin rằng Nhà nước, cơ quan thuế sẽ thực thi chính sách mới một cách khách quan, công tâm và đối xử bình đẳng với mọi người nộp thuế.  - HUMAN-TRU1]]</f>
        <v>5</v>
      </c>
      <c r="AN74">
        <f t="shared" si="40"/>
        <v>0.44444444444444442</v>
      </c>
      <c r="AO74">
        <f>step3_validation[[#This Row],[AI_TRU2]]</f>
        <v>10</v>
      </c>
      <c r="AP74">
        <f t="shared" si="41"/>
        <v>1</v>
      </c>
      <c r="AQ74">
        <f>survey_responses[[#This Row],[Tôi thấy mức thuế tôi phải đóng theo phương án mới là công bằng (người thu nhập như tôi đóng mức này là hợp lý). - HUMAN-TRU2]]</f>
        <v>10</v>
      </c>
      <c r="AR74">
        <f t="shared" si="42"/>
        <v>1</v>
      </c>
      <c r="AS74">
        <f>step3_validation[[#This Row],[AI_TRU3]]</f>
        <v>9</v>
      </c>
      <c r="AT74">
        <f t="shared" si="43"/>
        <v>0.88888888888888884</v>
      </c>
      <c r="AU74">
        <f>survey_responses[[#This Row],[Tôi tin tưởng số tiền thuế tôi đóng sẽ được Nhà nước sử dụng hiệu quả để cải thiện dịch vụ công (y tế, đường xá...). - HUMAN-TRU3]]</f>
        <v>5</v>
      </c>
      <c r="AV74">
        <f t="shared" si="44"/>
        <v>0.44444444444444442</v>
      </c>
      <c r="AW74">
        <f>step3_validation[[#This Row],[AI_TRU4]]</f>
        <v>10</v>
      </c>
      <c r="AX74">
        <f t="shared" si="45"/>
        <v>1</v>
      </c>
      <c r="AY74">
        <f>survey_responses[[#This Row],[Tôi thấy Nhà nước đã giải thích rõ ràng, minh bạch về lý do và mục tiêu của việc sửa đổi thuế lần này. - HUMAN-TRU4]]</f>
        <v>5</v>
      </c>
      <c r="AZ74">
        <f t="shared" si="46"/>
        <v>0.44444444444444442</v>
      </c>
      <c r="BA74" s="32">
        <f t="shared" si="47"/>
        <v>0.94444444444444442</v>
      </c>
      <c r="BB74" s="32">
        <f t="shared" si="48"/>
        <v>0.58333333333333326</v>
      </c>
      <c r="BC74" s="7">
        <f t="shared" si="49"/>
        <v>0.83333333333333337</v>
      </c>
      <c r="BD74" s="7">
        <f t="shared" si="50"/>
        <v>0.4907407407407407</v>
      </c>
      <c r="BE74">
        <f>step3_validation[[#This Row],[AI_OUT1]]</f>
        <v>9</v>
      </c>
      <c r="BF74">
        <f t="shared" si="51"/>
        <v>0.88888888888888884</v>
      </c>
      <c r="BG74">
        <f>survey_responses[[#This Row],[Sau khi xem xét các quyền lợi và nghĩa vụ, bạn có ủng hộ và tuân thủ chính sách mới hiện nay? - HUMAN-OUT1]]</f>
        <v>10</v>
      </c>
      <c r="BH74">
        <f t="shared" si="52"/>
        <v>1</v>
      </c>
      <c r="BI74" s="32">
        <f t="shared" si="53"/>
        <v>1</v>
      </c>
    </row>
    <row r="75" spans="1:61" x14ac:dyDescent="0.45">
      <c r="A75" s="30">
        <f>step3_validation[[#This Row],[Persona_ID]]</f>
        <v>74</v>
      </c>
      <c r="B75" s="31">
        <f>step3_validation[[#This Row],[Used_Seed]]</f>
        <v>2099</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20.309817357435918</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7</v>
      </c>
      <c r="R75">
        <f t="shared" si="27"/>
        <v>0.66666666666666663</v>
      </c>
      <c r="S75">
        <f>survey_responses[[#This Row],[Tôi tin rằng với các quy định quản lý thuế hiện nay, hành vi gian lận hoặc trốn thuế sẽ dễ dàng bị phát hiện và xử lý nghiêm. - HUMAN-ENF1]]</f>
        <v>5</v>
      </c>
      <c r="T75">
        <f t="shared" si="28"/>
        <v>0.44444444444444442</v>
      </c>
      <c r="U75">
        <f>step3_validation[[#This Row],[AI_ENF2]]</f>
        <v>8</v>
      </c>
      <c r="V75">
        <f t="shared" si="29"/>
        <v>0.77777777777777779</v>
      </c>
      <c r="W75">
        <f>survey_responses[[#This Row],[Tôi tin rằng Nhà nước, cơ quan thuế có đủ khả năng và công nghệ để phát hiện, xử lý nghiêm các hành vi trốn thuế. - HUMAN-ENF2]]</f>
        <v>10</v>
      </c>
      <c r="X75">
        <f t="shared" si="30"/>
        <v>1</v>
      </c>
      <c r="Y75" s="32">
        <f t="shared" si="31"/>
        <v>0.72222222222222221</v>
      </c>
      <c r="Z75" s="32">
        <f t="shared" si="32"/>
        <v>0.72222222222222221</v>
      </c>
      <c r="AA75">
        <f>step3_validation[[#This Row],[AI_FAC1]]</f>
        <v>6</v>
      </c>
      <c r="AB75">
        <f t="shared" si="33"/>
        <v>0.55555555555555558</v>
      </c>
      <c r="AC75">
        <f>survey_responses[[#This Row],[Các thủ tục khai báo thuế VÀ/HOẶC quy trình làm việc với cơ quan thuế đơn giản, tiện lợi, nhanh chóng hơn so với trước đây. - HUMAN-FAC1]]</f>
        <v>2</v>
      </c>
      <c r="AD75">
        <f t="shared" si="34"/>
        <v>0.1111111111111111</v>
      </c>
      <c r="AE75">
        <f>step3_validation[[#This Row],[AI_FAC2]]</f>
        <v>9</v>
      </c>
      <c r="AF75">
        <f t="shared" si="35"/>
        <v>0.88888888888888884</v>
      </c>
      <c r="AG75">
        <f>survey_responses[[#This Row],[So với trước đây, tôi thấy cách tính thuế và các bậc thuế trong phương án mới đơn giản, dễ hiểu và dễ thực hiện hơn. - HUMAN-FAC2]]</f>
        <v>8</v>
      </c>
      <c r="AH75">
        <f t="shared" si="36"/>
        <v>0.77777777777777779</v>
      </c>
      <c r="AI75" s="32">
        <f t="shared" si="37"/>
        <v>0.72222222222222221</v>
      </c>
      <c r="AJ75" s="32">
        <f t="shared" si="38"/>
        <v>0.44444444444444442</v>
      </c>
      <c r="AK75">
        <f>step3_validation[[#This Row],[AI_TRU1]]</f>
        <v>8</v>
      </c>
      <c r="AL75">
        <f t="shared" si="39"/>
        <v>0.77777777777777779</v>
      </c>
      <c r="AM75">
        <f>survey_responses[[#This Row],[Tôi tin rằng Nhà nước, cơ quan thuế sẽ thực thi chính sách mới một cách khách quan, công tâm và đối xử bình đẳng với mọi người nộp thuế.  - HUMAN-TRU1]]</f>
        <v>5</v>
      </c>
      <c r="AN75">
        <f t="shared" si="40"/>
        <v>0.44444444444444442</v>
      </c>
      <c r="AO75">
        <f>step3_validation[[#This Row],[AI_TRU2]]</f>
        <v>9</v>
      </c>
      <c r="AP75">
        <f t="shared" si="41"/>
        <v>0.88888888888888884</v>
      </c>
      <c r="AQ75">
        <f>survey_responses[[#This Row],[Tôi thấy mức thuế tôi phải đóng theo phương án mới là công bằng (người thu nhập như tôi đóng mức này là hợp lý). - HUMAN-TRU2]]</f>
        <v>5</v>
      </c>
      <c r="AR75">
        <f t="shared" si="42"/>
        <v>0.44444444444444442</v>
      </c>
      <c r="AS75">
        <f>step3_validation[[#This Row],[AI_TRU3]]</f>
        <v>8</v>
      </c>
      <c r="AT75">
        <f t="shared" si="43"/>
        <v>0.77777777777777779</v>
      </c>
      <c r="AU75">
        <f>survey_responses[[#This Row],[Tôi tin tưởng số tiền thuế tôi đóng sẽ được Nhà nước sử dụng hiệu quả để cải thiện dịch vụ công (y tế, đường xá...). - HUMAN-TRU3]]</f>
        <v>1</v>
      </c>
      <c r="AV75">
        <f t="shared" si="44"/>
        <v>0</v>
      </c>
      <c r="AW75">
        <f>step3_validation[[#This Row],[AI_TRU4]]</f>
        <v>7</v>
      </c>
      <c r="AX75">
        <f t="shared" si="45"/>
        <v>0.66666666666666663</v>
      </c>
      <c r="AY75">
        <f>survey_responses[[#This Row],[Tôi thấy Nhà nước đã giải thích rõ ràng, minh bạch về lý do và mục tiêu của việc sửa đổi thuế lần này. - HUMAN-TRU4]]</f>
        <v>4</v>
      </c>
      <c r="AZ75">
        <f t="shared" si="46"/>
        <v>0.33333333333333331</v>
      </c>
      <c r="BA75" s="32">
        <f t="shared" si="47"/>
        <v>0.77777777777777768</v>
      </c>
      <c r="BB75" s="32">
        <f t="shared" si="48"/>
        <v>0.30555555555555552</v>
      </c>
      <c r="BC75" s="7">
        <f t="shared" si="49"/>
        <v>0.74074074074074081</v>
      </c>
      <c r="BD75" s="7">
        <f t="shared" si="50"/>
        <v>0.4907407407407407</v>
      </c>
      <c r="BE75">
        <f>step3_validation[[#This Row],[AI_OUT1]]</f>
        <v>9</v>
      </c>
      <c r="BF75">
        <f t="shared" si="51"/>
        <v>0.88888888888888884</v>
      </c>
      <c r="BG75">
        <f>survey_responses[[#This Row],[Sau khi xem xét các quyền lợi và nghĩa vụ, bạn có ủng hộ và tuân thủ chính sách mới hiện nay? - HUMAN-OUT1]]</f>
        <v>5</v>
      </c>
      <c r="BH75">
        <f t="shared" si="52"/>
        <v>0.44444444444444442</v>
      </c>
      <c r="BI75" s="32">
        <f t="shared" si="53"/>
        <v>4</v>
      </c>
    </row>
    <row r="76" spans="1:61" x14ac:dyDescent="0.45">
      <c r="A76" s="30">
        <f>step3_validation[[#This Row],[Persona_ID]]</f>
        <v>75</v>
      </c>
      <c r="B76" s="31">
        <f>step3_validation[[#This Row],[Used_Seed]]</f>
        <v>2100</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54.279779262352179</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9</v>
      </c>
      <c r="R76">
        <f t="shared" si="27"/>
        <v>0.88888888888888884</v>
      </c>
      <c r="S76">
        <f>survey_responses[[#This Row],[Tôi tin rằng với các quy định quản lý thuế hiện nay, hành vi gian lận hoặc trốn thuế sẽ dễ dàng bị phát hiện và xử lý nghiêm. - HUMAN-ENF1]]</f>
        <v>8</v>
      </c>
      <c r="T76">
        <f t="shared" si="28"/>
        <v>0.77777777777777779</v>
      </c>
      <c r="U76">
        <f>step3_validation[[#This Row],[AI_ENF2]]</f>
        <v>7</v>
      </c>
      <c r="V76">
        <f t="shared" si="29"/>
        <v>0.66666666666666663</v>
      </c>
      <c r="W76">
        <f>survey_responses[[#This Row],[Tôi tin rằng Nhà nước, cơ quan thuế có đủ khả năng và công nghệ để phát hiện, xử lý nghiêm các hành vi trốn thuế. - HUMAN-ENF2]]</f>
        <v>9</v>
      </c>
      <c r="X76">
        <f t="shared" si="30"/>
        <v>0.88888888888888884</v>
      </c>
      <c r="Y76" s="32">
        <f t="shared" si="31"/>
        <v>0.77777777777777768</v>
      </c>
      <c r="Z76" s="32">
        <f t="shared" si="32"/>
        <v>0.83333333333333326</v>
      </c>
      <c r="AA76">
        <f>step3_validation[[#This Row],[AI_FAC1]]</f>
        <v>8</v>
      </c>
      <c r="AB76">
        <f t="shared" si="33"/>
        <v>0.77777777777777779</v>
      </c>
      <c r="AC76">
        <f>survey_responses[[#This Row],[Các thủ tục khai báo thuế VÀ/HOẶC quy trình làm việc với cơ quan thuế đơn giản, tiện lợi, nhanh chóng hơn so với trước đây. - HUMAN-FAC1]]</f>
        <v>9</v>
      </c>
      <c r="AD76">
        <f t="shared" si="34"/>
        <v>0.88888888888888884</v>
      </c>
      <c r="AE76">
        <f>step3_validation[[#This Row],[AI_FAC2]]</f>
        <v>9</v>
      </c>
      <c r="AF76">
        <f t="shared" si="35"/>
        <v>0.88888888888888884</v>
      </c>
      <c r="AG76">
        <f>survey_responses[[#This Row],[So với trước đây, tôi thấy cách tính thuế và các bậc thuế trong phương án mới đơn giản, dễ hiểu và dễ thực hiện hơn. - HUMAN-FAC2]]</f>
        <v>9</v>
      </c>
      <c r="AH76">
        <f t="shared" si="36"/>
        <v>0.88888888888888884</v>
      </c>
      <c r="AI76" s="32">
        <f t="shared" si="37"/>
        <v>0.83333333333333326</v>
      </c>
      <c r="AJ76" s="32">
        <f t="shared" si="38"/>
        <v>0.88888888888888884</v>
      </c>
      <c r="AK76">
        <f>step3_validation[[#This Row],[AI_TRU1]]</f>
        <v>8</v>
      </c>
      <c r="AL76">
        <f t="shared" si="39"/>
        <v>0.77777777777777779</v>
      </c>
      <c r="AM76">
        <f>survey_responses[[#This Row],[Tôi tin rằng Nhà nước, cơ quan thuế sẽ thực thi chính sách mới một cách khách quan, công tâm và đối xử bình đẳng với mọi người nộp thuế.  - HUMAN-TRU1]]</f>
        <v>3</v>
      </c>
      <c r="AN76">
        <f t="shared" si="40"/>
        <v>0.22222222222222221</v>
      </c>
      <c r="AO76">
        <f>step3_validation[[#This Row],[AI_TRU2]]</f>
        <v>9</v>
      </c>
      <c r="AP76">
        <f t="shared" si="41"/>
        <v>0.88888888888888884</v>
      </c>
      <c r="AQ76">
        <f>survey_responses[[#This Row],[Tôi thấy mức thuế tôi phải đóng theo phương án mới là công bằng (người thu nhập như tôi đóng mức này là hợp lý). - HUMAN-TRU2]]</f>
        <v>3</v>
      </c>
      <c r="AR76">
        <f t="shared" si="42"/>
        <v>0.22222222222222221</v>
      </c>
      <c r="AS76">
        <f>step3_validation[[#This Row],[AI_TRU3]]</f>
        <v>8</v>
      </c>
      <c r="AT76">
        <f t="shared" si="43"/>
        <v>0.77777777777777779</v>
      </c>
      <c r="AU76">
        <f>survey_responses[[#This Row],[Tôi tin tưởng số tiền thuế tôi đóng sẽ được Nhà nước sử dụng hiệu quả để cải thiện dịch vụ công (y tế, đường xá...). - HUMAN-TRU3]]</f>
        <v>2</v>
      </c>
      <c r="AV76">
        <f t="shared" si="44"/>
        <v>0.1111111111111111</v>
      </c>
      <c r="AW76">
        <f>step3_validation[[#This Row],[AI_TRU4]]</f>
        <v>7</v>
      </c>
      <c r="AX76">
        <f t="shared" si="45"/>
        <v>0.66666666666666663</v>
      </c>
      <c r="AY76">
        <f>survey_responses[[#This Row],[Tôi thấy Nhà nước đã giải thích rõ ràng, minh bạch về lý do và mục tiêu của việc sửa đổi thuế lần này. - HUMAN-TRU4]]</f>
        <v>2</v>
      </c>
      <c r="AZ76">
        <f t="shared" si="46"/>
        <v>0.1111111111111111</v>
      </c>
      <c r="BA76" s="32">
        <f t="shared" si="47"/>
        <v>0.77777777777777768</v>
      </c>
      <c r="BB76" s="32">
        <f t="shared" si="48"/>
        <v>0.16666666666666669</v>
      </c>
      <c r="BC76" s="7">
        <f t="shared" si="49"/>
        <v>0.79629629629629617</v>
      </c>
      <c r="BD76" s="7">
        <f t="shared" si="50"/>
        <v>0.62962962962962965</v>
      </c>
      <c r="BE76">
        <f>step3_validation[[#This Row],[AI_OUT1]]</f>
        <v>9</v>
      </c>
      <c r="BF76">
        <f t="shared" si="51"/>
        <v>0.88888888888888884</v>
      </c>
      <c r="BG76">
        <f>survey_responses[[#This Row],[Sau khi xem xét các quyền lợi và nghĩa vụ, bạn có ủng hộ và tuân thủ chính sách mới hiện nay? - HUMAN-OUT1]]</f>
        <v>6</v>
      </c>
      <c r="BH76">
        <f t="shared" si="52"/>
        <v>0.55555555555555558</v>
      </c>
      <c r="BI76" s="32">
        <f t="shared" si="53"/>
        <v>3</v>
      </c>
    </row>
    <row r="77" spans="1:61" x14ac:dyDescent="0.45">
      <c r="A77" s="30">
        <f>step3_validation[[#This Row],[Persona_ID]]</f>
        <v>76</v>
      </c>
      <c r="B77" s="31">
        <f>step3_validation[[#This Row],[Used_Seed]]</f>
        <v>2101</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12.540853038445734</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5</v>
      </c>
      <c r="R77">
        <f t="shared" si="27"/>
        <v>0.44444444444444442</v>
      </c>
      <c r="S77">
        <f>survey_responses[[#This Row],[Tôi tin rằng với các quy định quản lý thuế hiện nay, hành vi gian lận hoặc trốn thuế sẽ dễ dàng bị phát hiện và xử lý nghiêm. - HUMAN-ENF1]]</f>
        <v>5</v>
      </c>
      <c r="T77">
        <f t="shared" si="28"/>
        <v>0.44444444444444442</v>
      </c>
      <c r="U77">
        <f>step3_validation[[#This Row],[AI_ENF2]]</f>
        <v>5</v>
      </c>
      <c r="V77">
        <f t="shared" si="29"/>
        <v>0.44444444444444442</v>
      </c>
      <c r="W77">
        <f>survey_responses[[#This Row],[Tôi tin rằng Nhà nước, cơ quan thuế có đủ khả năng và công nghệ để phát hiện, xử lý nghiêm các hành vi trốn thuế. - HUMAN-ENF2]]</f>
        <v>5</v>
      </c>
      <c r="X77">
        <f t="shared" si="30"/>
        <v>0.44444444444444442</v>
      </c>
      <c r="Y77" s="32">
        <f t="shared" si="31"/>
        <v>0.44444444444444442</v>
      </c>
      <c r="Z77" s="32">
        <f t="shared" si="32"/>
        <v>0.44444444444444442</v>
      </c>
      <c r="AA77">
        <f>step3_validation[[#This Row],[AI_FAC1]]</f>
        <v>7</v>
      </c>
      <c r="AB77">
        <f t="shared" si="33"/>
        <v>0.66666666666666663</v>
      </c>
      <c r="AC77">
        <f>survey_responses[[#This Row],[Các thủ tục khai báo thuế VÀ/HOẶC quy trình làm việc với cơ quan thuế đơn giản, tiện lợi, nhanh chóng hơn so với trước đây. - HUMAN-FAC1]]</f>
        <v>5</v>
      </c>
      <c r="AD77">
        <f t="shared" si="34"/>
        <v>0.44444444444444442</v>
      </c>
      <c r="AE77">
        <f>step3_validation[[#This Row],[AI_FAC2]]</f>
        <v>9</v>
      </c>
      <c r="AF77">
        <f t="shared" si="35"/>
        <v>0.88888888888888884</v>
      </c>
      <c r="AG77">
        <f>survey_responses[[#This Row],[So với trước đây, tôi thấy cách tính thuế và các bậc thuế trong phương án mới đơn giản, dễ hiểu và dễ thực hiện hơn. - HUMAN-FAC2]]</f>
        <v>5</v>
      </c>
      <c r="AH77">
        <f t="shared" si="36"/>
        <v>0.44444444444444442</v>
      </c>
      <c r="AI77" s="32">
        <f t="shared" si="37"/>
        <v>0.77777777777777768</v>
      </c>
      <c r="AJ77" s="32">
        <f t="shared" si="38"/>
        <v>0.44444444444444442</v>
      </c>
      <c r="AK77">
        <f>step3_validation[[#This Row],[AI_TRU1]]</f>
        <v>6</v>
      </c>
      <c r="AL77">
        <f t="shared" si="39"/>
        <v>0.55555555555555558</v>
      </c>
      <c r="AM77">
        <f>survey_responses[[#This Row],[Tôi tin rằng Nhà nước, cơ quan thuế sẽ thực thi chính sách mới một cách khách quan, công tâm và đối xử bình đẳng với mọi người nộp thuế.  - HUMAN-TRU1]]</f>
        <v>5</v>
      </c>
      <c r="AN77">
        <f t="shared" si="40"/>
        <v>0.44444444444444442</v>
      </c>
      <c r="AO77">
        <f>step3_validation[[#This Row],[AI_TRU2]]</f>
        <v>8</v>
      </c>
      <c r="AP77">
        <f t="shared" si="41"/>
        <v>0.77777777777777779</v>
      </c>
      <c r="AQ77">
        <f>survey_responses[[#This Row],[Tôi thấy mức thuế tôi phải đóng theo phương án mới là công bằng (người thu nhập như tôi đóng mức này là hợp lý). - HUMAN-TRU2]]</f>
        <v>5</v>
      </c>
      <c r="AR77">
        <f t="shared" si="42"/>
        <v>0.44444444444444442</v>
      </c>
      <c r="AS77">
        <f>step3_validation[[#This Row],[AI_TRU3]]</f>
        <v>6</v>
      </c>
      <c r="AT77">
        <f t="shared" si="43"/>
        <v>0.55555555555555558</v>
      </c>
      <c r="AU77">
        <f>survey_responses[[#This Row],[Tôi tin tưởng số tiền thuế tôi đóng sẽ được Nhà nước sử dụng hiệu quả để cải thiện dịch vụ công (y tế, đường xá...). - HUMAN-TRU3]]</f>
        <v>5</v>
      </c>
      <c r="AV77">
        <f t="shared" si="44"/>
        <v>0.44444444444444442</v>
      </c>
      <c r="AW77">
        <f>step3_validation[[#This Row],[AI_TRU4]]</f>
        <v>7</v>
      </c>
      <c r="AX77">
        <f t="shared" si="45"/>
        <v>0.66666666666666663</v>
      </c>
      <c r="AY77">
        <f>survey_responses[[#This Row],[Tôi thấy Nhà nước đã giải thích rõ ràng, minh bạch về lý do và mục tiêu của việc sửa đổi thuế lần này. - HUMAN-TRU4]]</f>
        <v>5</v>
      </c>
      <c r="AZ77">
        <f t="shared" si="46"/>
        <v>0.44444444444444442</v>
      </c>
      <c r="BA77" s="32">
        <f t="shared" si="47"/>
        <v>0.63888888888888895</v>
      </c>
      <c r="BB77" s="32">
        <f t="shared" si="48"/>
        <v>0.44444444444444442</v>
      </c>
      <c r="BC77" s="7">
        <f t="shared" si="49"/>
        <v>0.62037037037037035</v>
      </c>
      <c r="BD77" s="7">
        <f t="shared" si="50"/>
        <v>0.44444444444444442</v>
      </c>
      <c r="BE77">
        <f>step3_validation[[#This Row],[AI_OUT1]]</f>
        <v>9</v>
      </c>
      <c r="BF77">
        <f t="shared" si="51"/>
        <v>0.88888888888888884</v>
      </c>
      <c r="BG77">
        <f>survey_responses[[#This Row],[Sau khi xem xét các quyền lợi và nghĩa vụ, bạn có ủng hộ và tuân thủ chính sách mới hiện nay? - HUMAN-OUT1]]</f>
        <v>5</v>
      </c>
      <c r="BH77">
        <f t="shared" si="52"/>
        <v>0.44444444444444442</v>
      </c>
      <c r="BI77" s="32">
        <f t="shared" si="53"/>
        <v>4</v>
      </c>
    </row>
    <row r="78" spans="1:61" x14ac:dyDescent="0.45">
      <c r="A78" s="30">
        <f>step3_validation[[#This Row],[Persona_ID]]</f>
        <v>77</v>
      </c>
      <c r="B78" s="31">
        <f>step3_validation[[#This Row],[Used_Seed]]</f>
        <v>2102</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12.72710053997309</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7</v>
      </c>
      <c r="R78">
        <f t="shared" si="27"/>
        <v>0.66666666666666663</v>
      </c>
      <c r="S78">
        <f>survey_responses[[#This Row],[Tôi tin rằng với các quy định quản lý thuế hiện nay, hành vi gian lận hoặc trốn thuế sẽ dễ dàng bị phát hiện và xử lý nghiêm. - HUMAN-ENF1]]</f>
        <v>8</v>
      </c>
      <c r="T78">
        <f t="shared" si="28"/>
        <v>0.77777777777777779</v>
      </c>
      <c r="U78">
        <f>step3_validation[[#This Row],[AI_ENF2]]</f>
        <v>8</v>
      </c>
      <c r="V78">
        <f t="shared" si="29"/>
        <v>0.77777777777777779</v>
      </c>
      <c r="W78">
        <f>survey_responses[[#This Row],[Tôi tin rằng Nhà nước, cơ quan thuế có đủ khả năng và công nghệ để phát hiện, xử lý nghiêm các hành vi trốn thuế. - HUMAN-ENF2]]</f>
        <v>8</v>
      </c>
      <c r="X78">
        <f t="shared" si="30"/>
        <v>0.77777777777777779</v>
      </c>
      <c r="Y78" s="32">
        <f t="shared" si="31"/>
        <v>0.72222222222222221</v>
      </c>
      <c r="Z78" s="32">
        <f t="shared" si="32"/>
        <v>0.77777777777777779</v>
      </c>
      <c r="AA78">
        <f>step3_validation[[#This Row],[AI_FAC1]]</f>
        <v>9</v>
      </c>
      <c r="AB78">
        <f t="shared" si="33"/>
        <v>0.88888888888888884</v>
      </c>
      <c r="AC78">
        <f>survey_responses[[#This Row],[Các thủ tục khai báo thuế VÀ/HOẶC quy trình làm việc với cơ quan thuế đơn giản, tiện lợi, nhanh chóng hơn so với trước đây. - HUMAN-FAC1]]</f>
        <v>8</v>
      </c>
      <c r="AD78">
        <f t="shared" si="34"/>
        <v>0.77777777777777779</v>
      </c>
      <c r="AE78">
        <f>step3_validation[[#This Row],[AI_FAC2]]</f>
        <v>9</v>
      </c>
      <c r="AF78">
        <f t="shared" si="35"/>
        <v>0.88888888888888884</v>
      </c>
      <c r="AG78">
        <f>survey_responses[[#This Row],[So với trước đây, tôi thấy cách tính thuế và các bậc thuế trong phương án mới đơn giản, dễ hiểu và dễ thực hiện hơn. - HUMAN-FAC2]]</f>
        <v>8</v>
      </c>
      <c r="AH78">
        <f t="shared" si="36"/>
        <v>0.77777777777777779</v>
      </c>
      <c r="AI78" s="32">
        <f t="shared" si="37"/>
        <v>0.88888888888888884</v>
      </c>
      <c r="AJ78" s="32">
        <f t="shared" si="38"/>
        <v>0.77777777777777779</v>
      </c>
      <c r="AK78">
        <f>step3_validation[[#This Row],[AI_TRU1]]</f>
        <v>8</v>
      </c>
      <c r="AL78">
        <f t="shared" si="39"/>
        <v>0.77777777777777779</v>
      </c>
      <c r="AM78">
        <f>survey_responses[[#This Row],[Tôi tin rằng Nhà nước, cơ quan thuế sẽ thực thi chính sách mới một cách khách quan, công tâm và đối xử bình đẳng với mọi người nộp thuế.  - HUMAN-TRU1]]</f>
        <v>9</v>
      </c>
      <c r="AN78">
        <f t="shared" si="40"/>
        <v>0.88888888888888884</v>
      </c>
      <c r="AO78">
        <f>step3_validation[[#This Row],[AI_TRU2]]</f>
        <v>9</v>
      </c>
      <c r="AP78">
        <f t="shared" si="41"/>
        <v>0.88888888888888884</v>
      </c>
      <c r="AQ78">
        <f>survey_responses[[#This Row],[Tôi thấy mức thuế tôi phải đóng theo phương án mới là công bằng (người thu nhập như tôi đóng mức này là hợp lý). - HUMAN-TRU2]]</f>
        <v>7</v>
      </c>
      <c r="AR78">
        <f t="shared" si="42"/>
        <v>0.66666666666666663</v>
      </c>
      <c r="AS78">
        <f>step3_validation[[#This Row],[AI_TRU3]]</f>
        <v>6</v>
      </c>
      <c r="AT78">
        <f t="shared" si="43"/>
        <v>0.55555555555555558</v>
      </c>
      <c r="AU78">
        <f>survey_responses[[#This Row],[Tôi tin tưởng số tiền thuế tôi đóng sẽ được Nhà nước sử dụng hiệu quả để cải thiện dịch vụ công (y tế, đường xá...). - HUMAN-TRU3]]</f>
        <v>9</v>
      </c>
      <c r="AV78">
        <f t="shared" si="44"/>
        <v>0.88888888888888884</v>
      </c>
      <c r="AW78">
        <f>step3_validation[[#This Row],[AI_TRU4]]</f>
        <v>8</v>
      </c>
      <c r="AX78">
        <f t="shared" si="45"/>
        <v>0.77777777777777779</v>
      </c>
      <c r="AY78">
        <f>survey_responses[[#This Row],[Tôi thấy Nhà nước đã giải thích rõ ràng, minh bạch về lý do và mục tiêu của việc sửa đổi thuế lần này. - HUMAN-TRU4]]</f>
        <v>10</v>
      </c>
      <c r="AZ78">
        <f t="shared" si="46"/>
        <v>1</v>
      </c>
      <c r="BA78" s="32">
        <f t="shared" si="47"/>
        <v>0.75</v>
      </c>
      <c r="BB78" s="32">
        <f t="shared" si="48"/>
        <v>0.86111111111111105</v>
      </c>
      <c r="BC78" s="7">
        <f t="shared" si="49"/>
        <v>0.78703703703703709</v>
      </c>
      <c r="BD78" s="7">
        <f t="shared" si="50"/>
        <v>0.80555555555555547</v>
      </c>
      <c r="BE78">
        <f>step3_validation[[#This Row],[AI_OUT1]]</f>
        <v>9</v>
      </c>
      <c r="BF78">
        <f t="shared" si="51"/>
        <v>0.88888888888888884</v>
      </c>
      <c r="BG78">
        <f>survey_responses[[#This Row],[Sau khi xem xét các quyền lợi và nghĩa vụ, bạn có ủng hộ và tuân thủ chính sách mới hiện nay? - HUMAN-OUT1]]</f>
        <v>8</v>
      </c>
      <c r="BH78">
        <f t="shared" si="52"/>
        <v>0.77777777777777779</v>
      </c>
      <c r="BI78" s="32">
        <f t="shared" si="53"/>
        <v>1</v>
      </c>
    </row>
    <row r="79" spans="1:61" x14ac:dyDescent="0.45">
      <c r="A79" s="30">
        <f>step3_validation[[#This Row],[Persona_ID]]</f>
        <v>78</v>
      </c>
      <c r="B79" s="31">
        <f>step3_validation[[#This Row],[Used_Seed]]</f>
        <v>2103</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46.2403264185861</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9</v>
      </c>
      <c r="R79">
        <f t="shared" si="27"/>
        <v>0.88888888888888884</v>
      </c>
      <c r="S79">
        <f>survey_responses[[#This Row],[Tôi tin rằng với các quy định quản lý thuế hiện nay, hành vi gian lận hoặc trốn thuế sẽ dễ dàng bị phát hiện và xử lý nghiêm. - HUMAN-ENF1]]</f>
        <v>8</v>
      </c>
      <c r="T79">
        <f t="shared" si="28"/>
        <v>0.77777777777777779</v>
      </c>
      <c r="U79">
        <f>step3_validation[[#This Row],[AI_ENF2]]</f>
        <v>8</v>
      </c>
      <c r="V79">
        <f t="shared" si="29"/>
        <v>0.77777777777777779</v>
      </c>
      <c r="W79">
        <f>survey_responses[[#This Row],[Tôi tin rằng Nhà nước, cơ quan thuế có đủ khả năng và công nghệ để phát hiện, xử lý nghiêm các hành vi trốn thuế. - HUMAN-ENF2]]</f>
        <v>7</v>
      </c>
      <c r="X79">
        <f t="shared" si="30"/>
        <v>0.66666666666666663</v>
      </c>
      <c r="Y79" s="32">
        <f t="shared" si="31"/>
        <v>0.83333333333333326</v>
      </c>
      <c r="Z79" s="32">
        <f t="shared" si="32"/>
        <v>0.72222222222222221</v>
      </c>
      <c r="AA79">
        <f>step3_validation[[#This Row],[AI_FAC1]]</f>
        <v>9</v>
      </c>
      <c r="AB79">
        <f t="shared" si="33"/>
        <v>0.88888888888888884</v>
      </c>
      <c r="AC79">
        <f>survey_responses[[#This Row],[Các thủ tục khai báo thuế VÀ/HOẶC quy trình làm việc với cơ quan thuế đơn giản, tiện lợi, nhanh chóng hơn so với trước đây. - HUMAN-FAC1]]</f>
        <v>9</v>
      </c>
      <c r="AD79">
        <f t="shared" si="34"/>
        <v>0.88888888888888884</v>
      </c>
      <c r="AE79">
        <f>step3_validation[[#This Row],[AI_FAC2]]</f>
        <v>8</v>
      </c>
      <c r="AF79">
        <f t="shared" si="35"/>
        <v>0.77777777777777779</v>
      </c>
      <c r="AG79">
        <f>survey_responses[[#This Row],[So với trước đây, tôi thấy cách tính thuế và các bậc thuế trong phương án mới đơn giản, dễ hiểu và dễ thực hiện hơn. - HUMAN-FAC2]]</f>
        <v>8</v>
      </c>
      <c r="AH79">
        <f t="shared" si="36"/>
        <v>0.77777777777777779</v>
      </c>
      <c r="AI79" s="32">
        <f t="shared" si="37"/>
        <v>0.83333333333333326</v>
      </c>
      <c r="AJ79" s="32">
        <f t="shared" si="38"/>
        <v>0.83333333333333326</v>
      </c>
      <c r="AK79">
        <f>step3_validation[[#This Row],[AI_TRU1]]</f>
        <v>9</v>
      </c>
      <c r="AL79">
        <f t="shared" si="39"/>
        <v>0.88888888888888884</v>
      </c>
      <c r="AM79">
        <f>survey_responses[[#This Row],[Tôi tin rằng Nhà nước, cơ quan thuế sẽ thực thi chính sách mới một cách khách quan, công tâm và đối xử bình đẳng với mọi người nộp thuế.  - HUMAN-TRU1]]</f>
        <v>8</v>
      </c>
      <c r="AN79">
        <f t="shared" si="40"/>
        <v>0.77777777777777779</v>
      </c>
      <c r="AO79">
        <f>step3_validation[[#This Row],[AI_TRU2]]</f>
        <v>8</v>
      </c>
      <c r="AP79">
        <f t="shared" si="41"/>
        <v>0.77777777777777779</v>
      </c>
      <c r="AQ79">
        <f>survey_responses[[#This Row],[Tôi thấy mức thuế tôi phải đóng theo phương án mới là công bằng (người thu nhập như tôi đóng mức này là hợp lý). - HUMAN-TRU2]]</f>
        <v>8</v>
      </c>
      <c r="AR79">
        <f t="shared" si="42"/>
        <v>0.77777777777777779</v>
      </c>
      <c r="AS79">
        <f>step3_validation[[#This Row],[AI_TRU3]]</f>
        <v>9</v>
      </c>
      <c r="AT79">
        <f t="shared" si="43"/>
        <v>0.88888888888888884</v>
      </c>
      <c r="AU79">
        <f>survey_responses[[#This Row],[Tôi tin tưởng số tiền thuế tôi đóng sẽ được Nhà nước sử dụng hiệu quả để cải thiện dịch vụ công (y tế, đường xá...). - HUMAN-TRU3]]</f>
        <v>6</v>
      </c>
      <c r="AV79">
        <f t="shared" si="44"/>
        <v>0.55555555555555558</v>
      </c>
      <c r="AW79">
        <f>step3_validation[[#This Row],[AI_TRU4]]</f>
        <v>7</v>
      </c>
      <c r="AX79">
        <f t="shared" si="45"/>
        <v>0.66666666666666663</v>
      </c>
      <c r="AY79">
        <f>survey_responses[[#This Row],[Tôi thấy Nhà nước đã giải thích rõ ràng, minh bạch về lý do và mục tiêu của việc sửa đổi thuế lần này. - HUMAN-TRU4]]</f>
        <v>6</v>
      </c>
      <c r="AZ79">
        <f t="shared" si="46"/>
        <v>0.55555555555555558</v>
      </c>
      <c r="BA79" s="32">
        <f t="shared" si="47"/>
        <v>0.80555555555555547</v>
      </c>
      <c r="BB79" s="32">
        <f t="shared" si="48"/>
        <v>0.66666666666666674</v>
      </c>
      <c r="BC79" s="7">
        <f t="shared" si="49"/>
        <v>0.82407407407407396</v>
      </c>
      <c r="BD79" s="7">
        <f t="shared" si="50"/>
        <v>0.74074074074074081</v>
      </c>
      <c r="BE79">
        <f>step3_validation[[#This Row],[AI_OUT1]]</f>
        <v>9</v>
      </c>
      <c r="BF79">
        <f t="shared" si="51"/>
        <v>0.88888888888888884</v>
      </c>
      <c r="BG79">
        <f>survey_responses[[#This Row],[Sau khi xem xét các quyền lợi và nghĩa vụ, bạn có ủng hộ và tuân thủ chính sách mới hiện nay? - HUMAN-OUT1]]</f>
        <v>7</v>
      </c>
      <c r="BH79">
        <f t="shared" si="52"/>
        <v>0.66666666666666663</v>
      </c>
      <c r="BI79" s="32">
        <f t="shared" si="53"/>
        <v>2</v>
      </c>
    </row>
    <row r="80" spans="1:61" x14ac:dyDescent="0.45">
      <c r="A80" s="30">
        <f>step3_validation[[#This Row],[Persona_ID]]</f>
        <v>79</v>
      </c>
      <c r="B80" s="31">
        <f>step3_validation[[#This Row],[Used_Seed]]</f>
        <v>2104</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15.293782501370558</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7</v>
      </c>
      <c r="R80">
        <f t="shared" si="27"/>
        <v>0.66666666666666663</v>
      </c>
      <c r="S80">
        <f>survey_responses[[#This Row],[Tôi tin rằng với các quy định quản lý thuế hiện nay, hành vi gian lận hoặc trốn thuế sẽ dễ dàng bị phát hiện và xử lý nghiêm. - HUMAN-ENF1]]</f>
        <v>6</v>
      </c>
      <c r="T80">
        <f t="shared" si="28"/>
        <v>0.55555555555555558</v>
      </c>
      <c r="U80">
        <f>step3_validation[[#This Row],[AI_ENF2]]</f>
        <v>8</v>
      </c>
      <c r="V80">
        <f t="shared" si="29"/>
        <v>0.77777777777777779</v>
      </c>
      <c r="W80">
        <f>survey_responses[[#This Row],[Tôi tin rằng Nhà nước, cơ quan thuế có đủ khả năng và công nghệ để phát hiện, xử lý nghiêm các hành vi trốn thuế. - HUMAN-ENF2]]</f>
        <v>2</v>
      </c>
      <c r="X80">
        <f t="shared" si="30"/>
        <v>0.1111111111111111</v>
      </c>
      <c r="Y80" s="32">
        <f t="shared" si="31"/>
        <v>0.72222222222222221</v>
      </c>
      <c r="Z80" s="32">
        <f t="shared" si="32"/>
        <v>0.33333333333333337</v>
      </c>
      <c r="AA80">
        <f>step3_validation[[#This Row],[AI_FAC1]]</f>
        <v>9</v>
      </c>
      <c r="AB80">
        <f t="shared" si="33"/>
        <v>0.88888888888888884</v>
      </c>
      <c r="AC80">
        <f>survey_responses[[#This Row],[Các thủ tục khai báo thuế VÀ/HOẶC quy trình làm việc với cơ quan thuế đơn giản, tiện lợi, nhanh chóng hơn so với trước đây. - HUMAN-FAC1]]</f>
        <v>3</v>
      </c>
      <c r="AD80">
        <f t="shared" si="34"/>
        <v>0.22222222222222221</v>
      </c>
      <c r="AE80">
        <f>step3_validation[[#This Row],[AI_FAC2]]</f>
        <v>9</v>
      </c>
      <c r="AF80">
        <f t="shared" si="35"/>
        <v>0.88888888888888884</v>
      </c>
      <c r="AG80">
        <f>survey_responses[[#This Row],[So với trước đây, tôi thấy cách tính thuế và các bậc thuế trong phương án mới đơn giản, dễ hiểu và dễ thực hiện hơn. - HUMAN-FAC2]]</f>
        <v>2</v>
      </c>
      <c r="AH80">
        <f t="shared" si="36"/>
        <v>0.1111111111111111</v>
      </c>
      <c r="AI80" s="32">
        <f t="shared" si="37"/>
        <v>0.88888888888888884</v>
      </c>
      <c r="AJ80" s="32">
        <f t="shared" si="38"/>
        <v>0.16666666666666666</v>
      </c>
      <c r="AK80">
        <f>step3_validation[[#This Row],[AI_TRU1]]</f>
        <v>7</v>
      </c>
      <c r="AL80">
        <f t="shared" si="39"/>
        <v>0.66666666666666663</v>
      </c>
      <c r="AM80">
        <f>survey_responses[[#This Row],[Tôi tin rằng Nhà nước, cơ quan thuế sẽ thực thi chính sách mới một cách khách quan, công tâm và đối xử bình đẳng với mọi người nộp thuế.  - HUMAN-TRU1]]</f>
        <v>3</v>
      </c>
      <c r="AN80">
        <f t="shared" si="40"/>
        <v>0.22222222222222221</v>
      </c>
      <c r="AO80">
        <f>step3_validation[[#This Row],[AI_TRU2]]</f>
        <v>8</v>
      </c>
      <c r="AP80">
        <f t="shared" si="41"/>
        <v>0.77777777777777779</v>
      </c>
      <c r="AQ80">
        <f>survey_responses[[#This Row],[Tôi thấy mức thuế tôi phải đóng theo phương án mới là công bằng (người thu nhập như tôi đóng mức này là hợp lý). - HUMAN-TRU2]]</f>
        <v>7</v>
      </c>
      <c r="AR80">
        <f t="shared" si="42"/>
        <v>0.66666666666666663</v>
      </c>
      <c r="AS80">
        <f>step3_validation[[#This Row],[AI_TRU3]]</f>
        <v>6</v>
      </c>
      <c r="AT80">
        <f t="shared" si="43"/>
        <v>0.55555555555555558</v>
      </c>
      <c r="AU80">
        <f>survey_responses[[#This Row],[Tôi tin tưởng số tiền thuế tôi đóng sẽ được Nhà nước sử dụng hiệu quả để cải thiện dịch vụ công (y tế, đường xá...). - HUMAN-TRU3]]</f>
        <v>5</v>
      </c>
      <c r="AV80">
        <f t="shared" si="44"/>
        <v>0.44444444444444442</v>
      </c>
      <c r="AW80">
        <f>step3_validation[[#This Row],[AI_TRU4]]</f>
        <v>8</v>
      </c>
      <c r="AX80">
        <f t="shared" si="45"/>
        <v>0.77777777777777779</v>
      </c>
      <c r="AY80">
        <f>survey_responses[[#This Row],[Tôi thấy Nhà nước đã giải thích rõ ràng, minh bạch về lý do và mục tiêu của việc sửa đổi thuế lần này. - HUMAN-TRU4]]</f>
        <v>5</v>
      </c>
      <c r="AZ80">
        <f t="shared" si="46"/>
        <v>0.44444444444444442</v>
      </c>
      <c r="BA80" s="32">
        <f t="shared" si="47"/>
        <v>0.69444444444444442</v>
      </c>
      <c r="BB80" s="32">
        <f t="shared" si="48"/>
        <v>0.44444444444444442</v>
      </c>
      <c r="BC80" s="7">
        <f t="shared" si="49"/>
        <v>0.76851851851851849</v>
      </c>
      <c r="BD80" s="7">
        <f t="shared" si="50"/>
        <v>0.31481481481481483</v>
      </c>
      <c r="BE80">
        <f>step3_validation[[#This Row],[AI_OUT1]]</f>
        <v>9</v>
      </c>
      <c r="BF80">
        <f t="shared" si="51"/>
        <v>0.88888888888888884</v>
      </c>
      <c r="BG80">
        <f>survey_responses[[#This Row],[Sau khi xem xét các quyền lợi và nghĩa vụ, bạn có ủng hộ và tuân thủ chính sách mới hiện nay? - HUMAN-OUT1]]</f>
        <v>7</v>
      </c>
      <c r="BH80">
        <f t="shared" si="52"/>
        <v>0.66666666666666663</v>
      </c>
      <c r="BI80" s="32">
        <f t="shared" si="53"/>
        <v>2</v>
      </c>
    </row>
    <row r="81" spans="1:61" x14ac:dyDescent="0.45">
      <c r="A81" s="30">
        <f>step3_validation[[#This Row],[Persona_ID]]</f>
        <v>80</v>
      </c>
      <c r="B81" s="31">
        <f>step3_validation[[#This Row],[Used_Seed]]</f>
        <v>2105</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16.660673825493227</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8</v>
      </c>
      <c r="R81">
        <f t="shared" si="27"/>
        <v>0.77777777777777779</v>
      </c>
      <c r="S81">
        <f>survey_responses[[#This Row],[Tôi tin rằng với các quy định quản lý thuế hiện nay, hành vi gian lận hoặc trốn thuế sẽ dễ dàng bị phát hiện và xử lý nghiêm. - HUMAN-ENF1]]</f>
        <v>8</v>
      </c>
      <c r="T81">
        <f t="shared" si="28"/>
        <v>0.77777777777777779</v>
      </c>
      <c r="U81">
        <f>step3_validation[[#This Row],[AI_ENF2]]</f>
        <v>9</v>
      </c>
      <c r="V81">
        <f t="shared" si="29"/>
        <v>0.88888888888888884</v>
      </c>
      <c r="W81">
        <f>survey_responses[[#This Row],[Tôi tin rằng Nhà nước, cơ quan thuế có đủ khả năng và công nghệ để phát hiện, xử lý nghiêm các hành vi trốn thuế. - HUMAN-ENF2]]</f>
        <v>8</v>
      </c>
      <c r="X81">
        <f t="shared" si="30"/>
        <v>0.77777777777777779</v>
      </c>
      <c r="Y81" s="32">
        <f t="shared" si="31"/>
        <v>0.83333333333333326</v>
      </c>
      <c r="Z81" s="32">
        <f t="shared" si="32"/>
        <v>0.77777777777777779</v>
      </c>
      <c r="AA81">
        <f>step3_validation[[#This Row],[AI_FAC1]]</f>
        <v>7</v>
      </c>
      <c r="AB81">
        <f t="shared" si="33"/>
        <v>0.66666666666666663</v>
      </c>
      <c r="AC81">
        <f>survey_responses[[#This Row],[Các thủ tục khai báo thuế VÀ/HOẶC quy trình làm việc với cơ quan thuế đơn giản, tiện lợi, nhanh chóng hơn so với trước đây. - HUMAN-FAC1]]</f>
        <v>8</v>
      </c>
      <c r="AD81">
        <f t="shared" si="34"/>
        <v>0.77777777777777779</v>
      </c>
      <c r="AE81">
        <f>step3_validation[[#This Row],[AI_FAC2]]</f>
        <v>9</v>
      </c>
      <c r="AF81">
        <f t="shared" si="35"/>
        <v>0.88888888888888884</v>
      </c>
      <c r="AG81">
        <f>survey_responses[[#This Row],[So với trước đây, tôi thấy cách tính thuế và các bậc thuế trong phương án mới đơn giản, dễ hiểu và dễ thực hiện hơn. - HUMAN-FAC2]]</f>
        <v>8</v>
      </c>
      <c r="AH81">
        <f t="shared" si="36"/>
        <v>0.77777777777777779</v>
      </c>
      <c r="AI81" s="32">
        <f t="shared" si="37"/>
        <v>0.77777777777777768</v>
      </c>
      <c r="AJ81" s="32">
        <f t="shared" si="38"/>
        <v>0.77777777777777779</v>
      </c>
      <c r="AK81">
        <f>step3_validation[[#This Row],[AI_TRU1]]</f>
        <v>8</v>
      </c>
      <c r="AL81">
        <f t="shared" si="39"/>
        <v>0.77777777777777779</v>
      </c>
      <c r="AM81">
        <f>survey_responses[[#This Row],[Tôi tin rằng Nhà nước, cơ quan thuế sẽ thực thi chính sách mới một cách khách quan, công tâm và đối xử bình đẳng với mọi người nộp thuế.  - HUMAN-TRU1]]</f>
        <v>8</v>
      </c>
      <c r="AN81">
        <f t="shared" si="40"/>
        <v>0.77777777777777779</v>
      </c>
      <c r="AO81">
        <f>step3_validation[[#This Row],[AI_TRU2]]</f>
        <v>9</v>
      </c>
      <c r="AP81">
        <f t="shared" si="41"/>
        <v>0.88888888888888884</v>
      </c>
      <c r="AQ81">
        <f>survey_responses[[#This Row],[Tôi thấy mức thuế tôi phải đóng theo phương án mới là công bằng (người thu nhập như tôi đóng mức này là hợp lý). - HUMAN-TRU2]]</f>
        <v>8</v>
      </c>
      <c r="AR81">
        <f t="shared" si="42"/>
        <v>0.77777777777777779</v>
      </c>
      <c r="AS81">
        <f>step3_validation[[#This Row],[AI_TRU3]]</f>
        <v>8</v>
      </c>
      <c r="AT81">
        <f t="shared" si="43"/>
        <v>0.77777777777777779</v>
      </c>
      <c r="AU81">
        <f>survey_responses[[#This Row],[Tôi tin tưởng số tiền thuế tôi đóng sẽ được Nhà nước sử dụng hiệu quả để cải thiện dịch vụ công (y tế, đường xá...). - HUMAN-TRU3]]</f>
        <v>8</v>
      </c>
      <c r="AV81">
        <f t="shared" si="44"/>
        <v>0.77777777777777779</v>
      </c>
      <c r="AW81">
        <f>step3_validation[[#This Row],[AI_TRU4]]</f>
        <v>7</v>
      </c>
      <c r="AX81">
        <f t="shared" si="45"/>
        <v>0.66666666666666663</v>
      </c>
      <c r="AY81">
        <f>survey_responses[[#This Row],[Tôi thấy Nhà nước đã giải thích rõ ràng, minh bạch về lý do và mục tiêu của việc sửa đổi thuế lần này. - HUMAN-TRU4]]</f>
        <v>8</v>
      </c>
      <c r="AZ81">
        <f t="shared" si="46"/>
        <v>0.77777777777777779</v>
      </c>
      <c r="BA81" s="32">
        <f t="shared" si="47"/>
        <v>0.77777777777777768</v>
      </c>
      <c r="BB81" s="32">
        <f t="shared" si="48"/>
        <v>0.77777777777777779</v>
      </c>
      <c r="BC81" s="7">
        <f t="shared" si="49"/>
        <v>0.79629629629629617</v>
      </c>
      <c r="BD81" s="7">
        <f t="shared" si="50"/>
        <v>0.77777777777777779</v>
      </c>
      <c r="BE81">
        <f>step3_validation[[#This Row],[AI_OUT1]]</f>
        <v>9</v>
      </c>
      <c r="BF81">
        <f t="shared" si="51"/>
        <v>0.88888888888888884</v>
      </c>
      <c r="BG81">
        <f>survey_responses[[#This Row],[Sau khi xem xét các quyền lợi và nghĩa vụ, bạn có ủng hộ và tuân thủ chính sách mới hiện nay? - HUMAN-OUT1]]</f>
        <v>8</v>
      </c>
      <c r="BH81">
        <f t="shared" si="52"/>
        <v>0.77777777777777779</v>
      </c>
      <c r="BI81" s="32">
        <f t="shared" si="53"/>
        <v>1</v>
      </c>
    </row>
    <row r="82" spans="1:61" x14ac:dyDescent="0.45">
      <c r="A82" s="30">
        <f>step3_validation[[#This Row],[Persona_ID]]</f>
        <v>81</v>
      </c>
      <c r="B82" s="31">
        <f>step3_validation[[#This Row],[Used_Seed]]</f>
        <v>2106</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5</v>
      </c>
      <c r="R82">
        <f t="shared" si="27"/>
        <v>0.44444444444444442</v>
      </c>
      <c r="S82">
        <f>survey_responses[[#This Row],[Tôi tin rằng với các quy định quản lý thuế hiện nay, hành vi gian lận hoặc trốn thuế sẽ dễ dàng bị phát hiện và xử lý nghiêm. - HUMAN-ENF1]]</f>
        <v>7</v>
      </c>
      <c r="T82">
        <f t="shared" si="28"/>
        <v>0.66666666666666663</v>
      </c>
      <c r="U82">
        <f>step3_validation[[#This Row],[AI_ENF2]]</f>
        <v>6</v>
      </c>
      <c r="V82">
        <f t="shared" si="29"/>
        <v>0.55555555555555558</v>
      </c>
      <c r="W82">
        <f>survey_responses[[#This Row],[Tôi tin rằng Nhà nước, cơ quan thuế có đủ khả năng và công nghệ để phát hiện, xử lý nghiêm các hành vi trốn thuế. - HUMAN-ENF2]]</f>
        <v>7</v>
      </c>
      <c r="X82">
        <f t="shared" si="30"/>
        <v>0.66666666666666663</v>
      </c>
      <c r="Y82" s="32">
        <f t="shared" si="31"/>
        <v>0.5</v>
      </c>
      <c r="Z82" s="32">
        <f t="shared" si="32"/>
        <v>0.66666666666666663</v>
      </c>
      <c r="AA82">
        <f>step3_validation[[#This Row],[AI_FAC1]]</f>
        <v>8</v>
      </c>
      <c r="AB82">
        <f t="shared" si="33"/>
        <v>0.77777777777777779</v>
      </c>
      <c r="AC82">
        <f>survey_responses[[#This Row],[Các thủ tục khai báo thuế VÀ/HOẶC quy trình làm việc với cơ quan thuế đơn giản, tiện lợi, nhanh chóng hơn so với trước đây. - HUMAN-FAC1]]</f>
        <v>5</v>
      </c>
      <c r="AD82">
        <f t="shared" si="34"/>
        <v>0.44444444444444442</v>
      </c>
      <c r="AE82">
        <f>step3_validation[[#This Row],[AI_FAC2]]</f>
        <v>7</v>
      </c>
      <c r="AF82">
        <f t="shared" si="35"/>
        <v>0.66666666666666663</v>
      </c>
      <c r="AG82">
        <f>survey_responses[[#This Row],[So với trước đây, tôi thấy cách tính thuế và các bậc thuế trong phương án mới đơn giản, dễ hiểu và dễ thực hiện hơn. - HUMAN-FAC2]]</f>
        <v>5</v>
      </c>
      <c r="AH82">
        <f t="shared" si="36"/>
        <v>0.44444444444444442</v>
      </c>
      <c r="AI82" s="32">
        <f t="shared" si="37"/>
        <v>0.72222222222222221</v>
      </c>
      <c r="AJ82" s="32">
        <f t="shared" si="38"/>
        <v>0.44444444444444442</v>
      </c>
      <c r="AK82">
        <f>step3_validation[[#This Row],[AI_TRU1]]</f>
        <v>6</v>
      </c>
      <c r="AL82">
        <f t="shared" si="39"/>
        <v>0.55555555555555558</v>
      </c>
      <c r="AM82">
        <f>survey_responses[[#This Row],[Tôi tin rằng Nhà nước, cơ quan thuế sẽ thực thi chính sách mới một cách khách quan, công tâm và đối xử bình đẳng với mọi người nộp thuế.  - HUMAN-TRU1]]</f>
        <v>6</v>
      </c>
      <c r="AN82">
        <f t="shared" si="40"/>
        <v>0.55555555555555558</v>
      </c>
      <c r="AO82">
        <f>step3_validation[[#This Row],[AI_TRU2]]</f>
        <v>7</v>
      </c>
      <c r="AP82">
        <f t="shared" si="41"/>
        <v>0.66666666666666663</v>
      </c>
      <c r="AQ82">
        <f>survey_responses[[#This Row],[Tôi thấy mức thuế tôi phải đóng theo phương án mới là công bằng (người thu nhập như tôi đóng mức này là hợp lý). - HUMAN-TRU2]]</f>
        <v>5</v>
      </c>
      <c r="AR82">
        <f t="shared" si="42"/>
        <v>0.44444444444444442</v>
      </c>
      <c r="AS82">
        <f>step3_validation[[#This Row],[AI_TRU3]]</f>
        <v>6</v>
      </c>
      <c r="AT82">
        <f t="shared" si="43"/>
        <v>0.55555555555555558</v>
      </c>
      <c r="AU82">
        <f>survey_responses[[#This Row],[Tôi tin tưởng số tiền thuế tôi đóng sẽ được Nhà nước sử dụng hiệu quả để cải thiện dịch vụ công (y tế, đường xá...). - HUMAN-TRU3]]</f>
        <v>8</v>
      </c>
      <c r="AV82">
        <f t="shared" si="44"/>
        <v>0.77777777777777779</v>
      </c>
      <c r="AW82">
        <f>step3_validation[[#This Row],[AI_TRU4]]</f>
        <v>7</v>
      </c>
      <c r="AX82">
        <f t="shared" si="45"/>
        <v>0.66666666666666663</v>
      </c>
      <c r="AY82">
        <f>survey_responses[[#This Row],[Tôi thấy Nhà nước đã giải thích rõ ràng, minh bạch về lý do và mục tiêu của việc sửa đổi thuế lần này. - HUMAN-TRU4]]</f>
        <v>6</v>
      </c>
      <c r="AZ82">
        <f t="shared" si="46"/>
        <v>0.55555555555555558</v>
      </c>
      <c r="BA82" s="32">
        <f t="shared" si="47"/>
        <v>0.61111111111111116</v>
      </c>
      <c r="BB82" s="32">
        <f t="shared" si="48"/>
        <v>0.58333333333333326</v>
      </c>
      <c r="BC82" s="7">
        <f t="shared" si="49"/>
        <v>0.61111111111111116</v>
      </c>
      <c r="BD82" s="7">
        <f t="shared" si="50"/>
        <v>0.56481481481481477</v>
      </c>
      <c r="BE82">
        <f>step3_validation[[#This Row],[AI_OUT1]]</f>
        <v>6</v>
      </c>
      <c r="BF82">
        <f t="shared" si="51"/>
        <v>0.55555555555555558</v>
      </c>
      <c r="BG82">
        <f>survey_responses[[#This Row],[Sau khi xem xét các quyền lợi và nghĩa vụ, bạn có ủng hộ và tuân thủ chính sách mới hiện nay? - HUMAN-OUT1]]</f>
        <v>8</v>
      </c>
      <c r="BH82">
        <f t="shared" si="52"/>
        <v>0.77777777777777779</v>
      </c>
      <c r="BI82" s="32">
        <f t="shared" si="53"/>
        <v>2</v>
      </c>
    </row>
    <row r="83" spans="1:61" x14ac:dyDescent="0.45">
      <c r="A83" s="30">
        <f>step3_validation[[#This Row],[Persona_ID]]</f>
        <v>82</v>
      </c>
      <c r="B83" s="31">
        <f>step3_validation[[#This Row],[Used_Seed]]</f>
        <v>2107</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13.767324094667719</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7</v>
      </c>
      <c r="R83">
        <f t="shared" si="27"/>
        <v>0.66666666666666663</v>
      </c>
      <c r="S83">
        <f>survey_responses[[#This Row],[Tôi tin rằng với các quy định quản lý thuế hiện nay, hành vi gian lận hoặc trốn thuế sẽ dễ dàng bị phát hiện và xử lý nghiêm. - HUMAN-ENF1]]</f>
        <v>8</v>
      </c>
      <c r="T83">
        <f t="shared" si="28"/>
        <v>0.77777777777777779</v>
      </c>
      <c r="U83">
        <f>step3_validation[[#This Row],[AI_ENF2]]</f>
        <v>8</v>
      </c>
      <c r="V83">
        <f t="shared" si="29"/>
        <v>0.77777777777777779</v>
      </c>
      <c r="W83">
        <f>survey_responses[[#This Row],[Tôi tin rằng Nhà nước, cơ quan thuế có đủ khả năng và công nghệ để phát hiện, xử lý nghiêm các hành vi trốn thuế. - HUMAN-ENF2]]</f>
        <v>9</v>
      </c>
      <c r="X83">
        <f t="shared" si="30"/>
        <v>0.88888888888888884</v>
      </c>
      <c r="Y83" s="32">
        <f t="shared" si="31"/>
        <v>0.72222222222222221</v>
      </c>
      <c r="Z83" s="32">
        <f t="shared" si="32"/>
        <v>0.83333333333333326</v>
      </c>
      <c r="AA83">
        <f>step3_validation[[#This Row],[AI_FAC1]]</f>
        <v>6</v>
      </c>
      <c r="AB83">
        <f t="shared" si="33"/>
        <v>0.55555555555555558</v>
      </c>
      <c r="AC83">
        <f>survey_responses[[#This Row],[Các thủ tục khai báo thuế VÀ/HOẶC quy trình làm việc với cơ quan thuế đơn giản, tiện lợi, nhanh chóng hơn so với trước đây. - HUMAN-FAC1]]</f>
        <v>5</v>
      </c>
      <c r="AD83">
        <f t="shared" si="34"/>
        <v>0.44444444444444442</v>
      </c>
      <c r="AE83">
        <f>step3_validation[[#This Row],[AI_FAC2]]</f>
        <v>9</v>
      </c>
      <c r="AF83">
        <f t="shared" si="35"/>
        <v>0.88888888888888884</v>
      </c>
      <c r="AG83">
        <f>survey_responses[[#This Row],[So với trước đây, tôi thấy cách tính thuế và các bậc thuế trong phương án mới đơn giản, dễ hiểu và dễ thực hiện hơn. - HUMAN-FAC2]]</f>
        <v>5</v>
      </c>
      <c r="AH83">
        <f t="shared" si="36"/>
        <v>0.44444444444444442</v>
      </c>
      <c r="AI83" s="32">
        <f t="shared" si="37"/>
        <v>0.72222222222222221</v>
      </c>
      <c r="AJ83" s="32">
        <f t="shared" si="38"/>
        <v>0.44444444444444442</v>
      </c>
      <c r="AK83">
        <f>step3_validation[[#This Row],[AI_TRU1]]</f>
        <v>7</v>
      </c>
      <c r="AL83">
        <f t="shared" si="39"/>
        <v>0.66666666666666663</v>
      </c>
      <c r="AM83">
        <f>survey_responses[[#This Row],[Tôi tin rằng Nhà nước, cơ quan thuế sẽ thực thi chính sách mới một cách khách quan, công tâm và đối xử bình đẳng với mọi người nộp thuế.  - HUMAN-TRU1]]</f>
        <v>5</v>
      </c>
      <c r="AN83">
        <f t="shared" si="40"/>
        <v>0.44444444444444442</v>
      </c>
      <c r="AO83">
        <f>step3_validation[[#This Row],[AI_TRU2]]</f>
        <v>9</v>
      </c>
      <c r="AP83">
        <f t="shared" si="41"/>
        <v>0.88888888888888884</v>
      </c>
      <c r="AQ83">
        <f>survey_responses[[#This Row],[Tôi thấy mức thuế tôi phải đóng theo phương án mới là công bằng (người thu nhập như tôi đóng mức này là hợp lý). - HUMAN-TRU2]]</f>
        <v>5</v>
      </c>
      <c r="AR83">
        <f t="shared" si="42"/>
        <v>0.44444444444444442</v>
      </c>
      <c r="AS83">
        <f>step3_validation[[#This Row],[AI_TRU3]]</f>
        <v>8</v>
      </c>
      <c r="AT83">
        <f t="shared" si="43"/>
        <v>0.77777777777777779</v>
      </c>
      <c r="AU83">
        <f>survey_responses[[#This Row],[Tôi tin tưởng số tiền thuế tôi đóng sẽ được Nhà nước sử dụng hiệu quả để cải thiện dịch vụ công (y tế, đường xá...). - HUMAN-TRU3]]</f>
        <v>1</v>
      </c>
      <c r="AV83">
        <f t="shared" si="44"/>
        <v>0</v>
      </c>
      <c r="AW83">
        <f>step3_validation[[#This Row],[AI_TRU4]]</f>
        <v>7</v>
      </c>
      <c r="AX83">
        <f t="shared" si="45"/>
        <v>0.66666666666666663</v>
      </c>
      <c r="AY83">
        <f>survey_responses[[#This Row],[Tôi thấy Nhà nước đã giải thích rõ ràng, minh bạch về lý do và mục tiêu của việc sửa đổi thuế lần này. - HUMAN-TRU4]]</f>
        <v>5</v>
      </c>
      <c r="AZ83">
        <f t="shared" si="46"/>
        <v>0.44444444444444442</v>
      </c>
      <c r="BA83" s="32">
        <f t="shared" si="47"/>
        <v>0.74999999999999989</v>
      </c>
      <c r="BB83" s="32">
        <f t="shared" si="48"/>
        <v>0.33333333333333331</v>
      </c>
      <c r="BC83" s="7">
        <f t="shared" si="49"/>
        <v>0.7314814814814814</v>
      </c>
      <c r="BD83" s="7">
        <f t="shared" si="50"/>
        <v>0.53703703703703698</v>
      </c>
      <c r="BE83">
        <f>step3_validation[[#This Row],[AI_OUT1]]</f>
        <v>9</v>
      </c>
      <c r="BF83">
        <f t="shared" si="51"/>
        <v>0.88888888888888884</v>
      </c>
      <c r="BG83">
        <f>survey_responses[[#This Row],[Sau khi xem xét các quyền lợi và nghĩa vụ, bạn có ủng hộ và tuân thủ chính sách mới hiện nay? - HUMAN-OUT1]]</f>
        <v>5</v>
      </c>
      <c r="BH83">
        <f t="shared" si="52"/>
        <v>0.44444444444444442</v>
      </c>
      <c r="BI83" s="32">
        <f t="shared" si="53"/>
        <v>4</v>
      </c>
    </row>
    <row r="84" spans="1:61" x14ac:dyDescent="0.45">
      <c r="A84" s="30">
        <f>step3_validation[[#This Row],[Persona_ID]]</f>
        <v>83</v>
      </c>
      <c r="B84" s="31">
        <f>step3_validation[[#This Row],[Used_Seed]]</f>
        <v>2108</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14.291093238120416</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7</v>
      </c>
      <c r="R84">
        <f t="shared" si="27"/>
        <v>0.66666666666666663</v>
      </c>
      <c r="S84">
        <f>survey_responses[[#This Row],[Tôi tin rằng với các quy định quản lý thuế hiện nay, hành vi gian lận hoặc trốn thuế sẽ dễ dàng bị phát hiện và xử lý nghiêm. - HUMAN-ENF1]]</f>
        <v>10</v>
      </c>
      <c r="T84">
        <f t="shared" si="28"/>
        <v>1</v>
      </c>
      <c r="U84">
        <f>step3_validation[[#This Row],[AI_ENF2]]</f>
        <v>7</v>
      </c>
      <c r="V84">
        <f t="shared" si="29"/>
        <v>0.66666666666666663</v>
      </c>
      <c r="W84">
        <f>survey_responses[[#This Row],[Tôi tin rằng Nhà nước, cơ quan thuế có đủ khả năng và công nghệ để phát hiện, xử lý nghiêm các hành vi trốn thuế. - HUMAN-ENF2]]</f>
        <v>8</v>
      </c>
      <c r="X84">
        <f t="shared" si="30"/>
        <v>0.77777777777777779</v>
      </c>
      <c r="Y84" s="32">
        <f t="shared" si="31"/>
        <v>0.66666666666666663</v>
      </c>
      <c r="Z84" s="32">
        <f t="shared" si="32"/>
        <v>0.88888888888888884</v>
      </c>
      <c r="AA84">
        <f>step3_validation[[#This Row],[AI_FAC1]]</f>
        <v>8</v>
      </c>
      <c r="AB84">
        <f t="shared" si="33"/>
        <v>0.77777777777777779</v>
      </c>
      <c r="AC84">
        <f>survey_responses[[#This Row],[Các thủ tục khai báo thuế VÀ/HOẶC quy trình làm việc với cơ quan thuế đơn giản, tiện lợi, nhanh chóng hơn so với trước đây. - HUMAN-FAC1]]</f>
        <v>8</v>
      </c>
      <c r="AD84">
        <f t="shared" si="34"/>
        <v>0.77777777777777779</v>
      </c>
      <c r="AE84">
        <f>step3_validation[[#This Row],[AI_FAC2]]</f>
        <v>9</v>
      </c>
      <c r="AF84">
        <f t="shared" si="35"/>
        <v>0.88888888888888884</v>
      </c>
      <c r="AG84">
        <f>survey_responses[[#This Row],[So với trước đây, tôi thấy cách tính thuế và các bậc thuế trong phương án mới đơn giản, dễ hiểu và dễ thực hiện hơn. - HUMAN-FAC2]]</f>
        <v>7</v>
      </c>
      <c r="AH84">
        <f t="shared" si="36"/>
        <v>0.66666666666666663</v>
      </c>
      <c r="AI84" s="32">
        <f t="shared" si="37"/>
        <v>0.83333333333333326</v>
      </c>
      <c r="AJ84" s="32">
        <f t="shared" si="38"/>
        <v>0.72222222222222221</v>
      </c>
      <c r="AK84">
        <f>step3_validation[[#This Row],[AI_TRU1]]</f>
        <v>8</v>
      </c>
      <c r="AL84">
        <f t="shared" si="39"/>
        <v>0.77777777777777779</v>
      </c>
      <c r="AM84">
        <f>survey_responses[[#This Row],[Tôi tin rằng Nhà nước, cơ quan thuế sẽ thực thi chính sách mới một cách khách quan, công tâm và đối xử bình đẳng với mọi người nộp thuế.  - HUMAN-TRU1]]</f>
        <v>7</v>
      </c>
      <c r="AN84">
        <f t="shared" si="40"/>
        <v>0.66666666666666663</v>
      </c>
      <c r="AO84">
        <f>step3_validation[[#This Row],[AI_TRU2]]</f>
        <v>9</v>
      </c>
      <c r="AP84">
        <f t="shared" si="41"/>
        <v>0.88888888888888884</v>
      </c>
      <c r="AQ84">
        <f>survey_responses[[#This Row],[Tôi thấy mức thuế tôi phải đóng theo phương án mới là công bằng (người thu nhập như tôi đóng mức này là hợp lý). - HUMAN-TRU2]]</f>
        <v>6</v>
      </c>
      <c r="AR84">
        <f t="shared" si="42"/>
        <v>0.55555555555555558</v>
      </c>
      <c r="AS84">
        <f>step3_validation[[#This Row],[AI_TRU3]]</f>
        <v>8</v>
      </c>
      <c r="AT84">
        <f t="shared" si="43"/>
        <v>0.77777777777777779</v>
      </c>
      <c r="AU84">
        <f>survey_responses[[#This Row],[Tôi tin tưởng số tiền thuế tôi đóng sẽ được Nhà nước sử dụng hiệu quả để cải thiện dịch vụ công (y tế, đường xá...). - HUMAN-TRU3]]</f>
        <v>7</v>
      </c>
      <c r="AV84">
        <f t="shared" si="44"/>
        <v>0.66666666666666663</v>
      </c>
      <c r="AW84">
        <f>step3_validation[[#This Row],[AI_TRU4]]</f>
        <v>7</v>
      </c>
      <c r="AX84">
        <f t="shared" si="45"/>
        <v>0.66666666666666663</v>
      </c>
      <c r="AY84">
        <f>survey_responses[[#This Row],[Tôi thấy Nhà nước đã giải thích rõ ràng, minh bạch về lý do và mục tiêu của việc sửa đổi thuế lần này. - HUMAN-TRU4]]</f>
        <v>6</v>
      </c>
      <c r="AZ84">
        <f t="shared" si="46"/>
        <v>0.55555555555555558</v>
      </c>
      <c r="BA84" s="32">
        <f t="shared" si="47"/>
        <v>0.77777777777777768</v>
      </c>
      <c r="BB84" s="32">
        <f t="shared" si="48"/>
        <v>0.61111111111111116</v>
      </c>
      <c r="BC84" s="7">
        <f t="shared" si="49"/>
        <v>0.75925925925925919</v>
      </c>
      <c r="BD84" s="7">
        <f t="shared" si="50"/>
        <v>0.74074074074074081</v>
      </c>
      <c r="BE84">
        <f>step3_validation[[#This Row],[AI_OUT1]]</f>
        <v>9</v>
      </c>
      <c r="BF84">
        <f t="shared" si="51"/>
        <v>0.88888888888888884</v>
      </c>
      <c r="BG84">
        <f>survey_responses[[#This Row],[Sau khi xem xét các quyền lợi và nghĩa vụ, bạn có ủng hộ và tuân thủ chính sách mới hiện nay? - HUMAN-OUT1]]</f>
        <v>8</v>
      </c>
      <c r="BH84">
        <f t="shared" si="52"/>
        <v>0.77777777777777779</v>
      </c>
      <c r="BI84" s="32">
        <f t="shared" si="53"/>
        <v>1</v>
      </c>
    </row>
    <row r="85" spans="1:61" x14ac:dyDescent="0.45">
      <c r="A85" s="30">
        <f>step3_validation[[#This Row],[Persona_ID]]</f>
        <v>84</v>
      </c>
      <c r="B85" s="31">
        <f>step3_validation[[#This Row],[Used_Seed]]</f>
        <v>2109</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13.146205596577964</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9</v>
      </c>
      <c r="R85">
        <f t="shared" si="27"/>
        <v>0.88888888888888884</v>
      </c>
      <c r="S85">
        <f>survey_responses[[#This Row],[Tôi tin rằng với các quy định quản lý thuế hiện nay, hành vi gian lận hoặc trốn thuế sẽ dễ dàng bị phát hiện và xử lý nghiêm. - HUMAN-ENF1]]</f>
        <v>6</v>
      </c>
      <c r="T85">
        <f t="shared" si="28"/>
        <v>0.55555555555555558</v>
      </c>
      <c r="U85">
        <f>step3_validation[[#This Row],[AI_ENF2]]</f>
        <v>6</v>
      </c>
      <c r="V85">
        <f t="shared" si="29"/>
        <v>0.55555555555555558</v>
      </c>
      <c r="W85">
        <f>survey_responses[[#This Row],[Tôi tin rằng Nhà nước, cơ quan thuế có đủ khả năng và công nghệ để phát hiện, xử lý nghiêm các hành vi trốn thuế. - HUMAN-ENF2]]</f>
        <v>7</v>
      </c>
      <c r="X85">
        <f t="shared" si="30"/>
        <v>0.66666666666666663</v>
      </c>
      <c r="Y85" s="32">
        <f t="shared" si="31"/>
        <v>0.72222222222222221</v>
      </c>
      <c r="Z85" s="32">
        <f t="shared" si="32"/>
        <v>0.61111111111111116</v>
      </c>
      <c r="AA85">
        <f>step3_validation[[#This Row],[AI_FAC1]]</f>
        <v>8</v>
      </c>
      <c r="AB85">
        <f t="shared" si="33"/>
        <v>0.77777777777777779</v>
      </c>
      <c r="AC85">
        <f>survey_responses[[#This Row],[Các thủ tục khai báo thuế VÀ/HOẶC quy trình làm việc với cơ quan thuế đơn giản, tiện lợi, nhanh chóng hơn so với trước đây. - HUMAN-FAC1]]</f>
        <v>5</v>
      </c>
      <c r="AD85">
        <f t="shared" si="34"/>
        <v>0.44444444444444442</v>
      </c>
      <c r="AE85">
        <f>step3_validation[[#This Row],[AI_FAC2]]</f>
        <v>9</v>
      </c>
      <c r="AF85">
        <f t="shared" si="35"/>
        <v>0.88888888888888884</v>
      </c>
      <c r="AG85">
        <f>survey_responses[[#This Row],[So với trước đây, tôi thấy cách tính thuế và các bậc thuế trong phương án mới đơn giản, dễ hiểu và dễ thực hiện hơn. - HUMAN-FAC2]]</f>
        <v>5</v>
      </c>
      <c r="AH85">
        <f t="shared" si="36"/>
        <v>0.44444444444444442</v>
      </c>
      <c r="AI85" s="32">
        <f t="shared" si="37"/>
        <v>0.83333333333333326</v>
      </c>
      <c r="AJ85" s="32">
        <f t="shared" si="38"/>
        <v>0.44444444444444442</v>
      </c>
      <c r="AK85">
        <f>step3_validation[[#This Row],[AI_TRU1]]</f>
        <v>7</v>
      </c>
      <c r="AL85">
        <f t="shared" si="39"/>
        <v>0.66666666666666663</v>
      </c>
      <c r="AM85">
        <f>survey_responses[[#This Row],[Tôi tin rằng Nhà nước, cơ quan thuế sẽ thực thi chính sách mới một cách khách quan, công tâm và đối xử bình đẳng với mọi người nộp thuế.  - HUMAN-TRU1]]</f>
        <v>5</v>
      </c>
      <c r="AN85">
        <f t="shared" si="40"/>
        <v>0.44444444444444442</v>
      </c>
      <c r="AO85">
        <f>step3_validation[[#This Row],[AI_TRU2]]</f>
        <v>8</v>
      </c>
      <c r="AP85">
        <f t="shared" si="41"/>
        <v>0.77777777777777779</v>
      </c>
      <c r="AQ85">
        <f>survey_responses[[#This Row],[Tôi thấy mức thuế tôi phải đóng theo phương án mới là công bằng (người thu nhập như tôi đóng mức này là hợp lý). - HUMAN-TRU2]]</f>
        <v>5</v>
      </c>
      <c r="AR85">
        <f t="shared" si="42"/>
        <v>0.44444444444444442</v>
      </c>
      <c r="AS85">
        <f>step3_validation[[#This Row],[AI_TRU3]]</f>
        <v>6</v>
      </c>
      <c r="AT85">
        <f t="shared" si="43"/>
        <v>0.55555555555555558</v>
      </c>
      <c r="AU85">
        <f>survey_responses[[#This Row],[Tôi tin tưởng số tiền thuế tôi đóng sẽ được Nhà nước sử dụng hiệu quả để cải thiện dịch vụ công (y tế, đường xá...). - HUMAN-TRU3]]</f>
        <v>5</v>
      </c>
      <c r="AV85">
        <f t="shared" si="44"/>
        <v>0.44444444444444442</v>
      </c>
      <c r="AW85">
        <f>step3_validation[[#This Row],[AI_TRU4]]</f>
        <v>8</v>
      </c>
      <c r="AX85">
        <f t="shared" si="45"/>
        <v>0.77777777777777779</v>
      </c>
      <c r="AY85">
        <f>survey_responses[[#This Row],[Tôi thấy Nhà nước đã giải thích rõ ràng, minh bạch về lý do và mục tiêu của việc sửa đổi thuế lần này. - HUMAN-TRU4]]</f>
        <v>5</v>
      </c>
      <c r="AZ85">
        <f t="shared" si="46"/>
        <v>0.44444444444444442</v>
      </c>
      <c r="BA85" s="32">
        <f t="shared" si="47"/>
        <v>0.69444444444444442</v>
      </c>
      <c r="BB85" s="32">
        <f t="shared" si="48"/>
        <v>0.44444444444444442</v>
      </c>
      <c r="BC85" s="7">
        <f t="shared" si="49"/>
        <v>0.75</v>
      </c>
      <c r="BD85" s="7">
        <f t="shared" si="50"/>
        <v>0.5</v>
      </c>
      <c r="BE85">
        <f>step3_validation[[#This Row],[AI_OUT1]]</f>
        <v>9</v>
      </c>
      <c r="BF85">
        <f t="shared" si="51"/>
        <v>0.88888888888888884</v>
      </c>
      <c r="BG85">
        <f>survey_responses[[#This Row],[Sau khi xem xét các quyền lợi và nghĩa vụ, bạn có ủng hộ và tuân thủ chính sách mới hiện nay? - HUMAN-OUT1]]</f>
        <v>5</v>
      </c>
      <c r="BH85">
        <f t="shared" si="52"/>
        <v>0.44444444444444442</v>
      </c>
      <c r="BI85" s="32">
        <f t="shared" si="53"/>
        <v>4</v>
      </c>
    </row>
    <row r="86" spans="1:61" x14ac:dyDescent="0.45">
      <c r="A86" s="30">
        <f>step3_validation[[#This Row],[Persona_ID]]</f>
        <v>85</v>
      </c>
      <c r="B86" s="31">
        <f>step3_validation[[#This Row],[Used_Seed]]</f>
        <v>2110</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14.285271216828137</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7</v>
      </c>
      <c r="R86">
        <f t="shared" si="27"/>
        <v>0.66666666666666663</v>
      </c>
      <c r="S86">
        <f>survey_responses[[#This Row],[Tôi tin rằng với các quy định quản lý thuế hiện nay, hành vi gian lận hoặc trốn thuế sẽ dễ dàng bị phát hiện và xử lý nghiêm. - HUMAN-ENF1]]</f>
        <v>9</v>
      </c>
      <c r="T86">
        <f t="shared" si="28"/>
        <v>0.88888888888888884</v>
      </c>
      <c r="U86">
        <f>step3_validation[[#This Row],[AI_ENF2]]</f>
        <v>8</v>
      </c>
      <c r="V86">
        <f t="shared" si="29"/>
        <v>0.77777777777777779</v>
      </c>
      <c r="W86">
        <f>survey_responses[[#This Row],[Tôi tin rằng Nhà nước, cơ quan thuế có đủ khả năng và công nghệ để phát hiện, xử lý nghiêm các hành vi trốn thuế. - HUMAN-ENF2]]</f>
        <v>9</v>
      </c>
      <c r="X86">
        <f t="shared" si="30"/>
        <v>0.88888888888888884</v>
      </c>
      <c r="Y86" s="32">
        <f t="shared" si="31"/>
        <v>0.72222222222222221</v>
      </c>
      <c r="Z86" s="32">
        <f t="shared" si="32"/>
        <v>0.88888888888888884</v>
      </c>
      <c r="AA86">
        <f>step3_validation[[#This Row],[AI_FAC1]]</f>
        <v>6</v>
      </c>
      <c r="AB86">
        <f t="shared" si="33"/>
        <v>0.55555555555555558</v>
      </c>
      <c r="AC86">
        <f>survey_responses[[#This Row],[Các thủ tục khai báo thuế VÀ/HOẶC quy trình làm việc với cơ quan thuế đơn giản, tiện lợi, nhanh chóng hơn so với trước đây. - HUMAN-FAC1]]</f>
        <v>8</v>
      </c>
      <c r="AD86">
        <f t="shared" si="34"/>
        <v>0.77777777777777779</v>
      </c>
      <c r="AE86">
        <f>step3_validation[[#This Row],[AI_FAC2]]</f>
        <v>9</v>
      </c>
      <c r="AF86">
        <f t="shared" si="35"/>
        <v>0.88888888888888884</v>
      </c>
      <c r="AG86">
        <f>survey_responses[[#This Row],[So với trước đây, tôi thấy cách tính thuế và các bậc thuế trong phương án mới đơn giản, dễ hiểu và dễ thực hiện hơn. - HUMAN-FAC2]]</f>
        <v>9</v>
      </c>
      <c r="AH86">
        <f t="shared" si="36"/>
        <v>0.88888888888888884</v>
      </c>
      <c r="AI86" s="32">
        <f t="shared" si="37"/>
        <v>0.72222222222222221</v>
      </c>
      <c r="AJ86" s="32">
        <f t="shared" si="38"/>
        <v>0.83333333333333326</v>
      </c>
      <c r="AK86">
        <f>step3_validation[[#This Row],[AI_TRU1]]</f>
        <v>7</v>
      </c>
      <c r="AL86">
        <f t="shared" si="39"/>
        <v>0.66666666666666663</v>
      </c>
      <c r="AM86">
        <f>survey_responses[[#This Row],[Tôi tin rằng Nhà nước, cơ quan thuế sẽ thực thi chính sách mới một cách khách quan, công tâm và đối xử bình đẳng với mọi người nộp thuế.  - HUMAN-TRU1]]</f>
        <v>9</v>
      </c>
      <c r="AN86">
        <f t="shared" si="40"/>
        <v>0.88888888888888884</v>
      </c>
      <c r="AO86">
        <f>step3_validation[[#This Row],[AI_TRU2]]</f>
        <v>9</v>
      </c>
      <c r="AP86">
        <f t="shared" si="41"/>
        <v>0.88888888888888884</v>
      </c>
      <c r="AQ86">
        <f>survey_responses[[#This Row],[Tôi thấy mức thuế tôi phải đóng theo phương án mới là công bằng (người thu nhập như tôi đóng mức này là hợp lý). - HUMAN-TRU2]]</f>
        <v>9</v>
      </c>
      <c r="AR86">
        <f t="shared" si="42"/>
        <v>0.88888888888888884</v>
      </c>
      <c r="AS86">
        <f>step3_validation[[#This Row],[AI_TRU3]]</f>
        <v>7</v>
      </c>
      <c r="AT86">
        <f t="shared" si="43"/>
        <v>0.66666666666666663</v>
      </c>
      <c r="AU86">
        <f>survey_responses[[#This Row],[Tôi tin tưởng số tiền thuế tôi đóng sẽ được Nhà nước sử dụng hiệu quả để cải thiện dịch vụ công (y tế, đường xá...). - HUMAN-TRU3]]</f>
        <v>7</v>
      </c>
      <c r="AV86">
        <f t="shared" si="44"/>
        <v>0.66666666666666663</v>
      </c>
      <c r="AW86">
        <f>step3_validation[[#This Row],[AI_TRU4]]</f>
        <v>8</v>
      </c>
      <c r="AX86">
        <f t="shared" si="45"/>
        <v>0.77777777777777779</v>
      </c>
      <c r="AY86">
        <f>survey_responses[[#This Row],[Tôi thấy Nhà nước đã giải thích rõ ràng, minh bạch về lý do và mục tiêu của việc sửa đổi thuế lần này. - HUMAN-TRU4]]</f>
        <v>8</v>
      </c>
      <c r="AZ86">
        <f t="shared" si="46"/>
        <v>0.77777777777777779</v>
      </c>
      <c r="BA86" s="32">
        <f t="shared" si="47"/>
        <v>0.74999999999999989</v>
      </c>
      <c r="BB86" s="32">
        <f t="shared" si="48"/>
        <v>0.80555555555555547</v>
      </c>
      <c r="BC86" s="7">
        <f t="shared" si="49"/>
        <v>0.7314814814814814</v>
      </c>
      <c r="BD86" s="7">
        <f t="shared" si="50"/>
        <v>0.84259259259259256</v>
      </c>
      <c r="BE86">
        <f>step3_validation[[#This Row],[AI_OUT1]]</f>
        <v>9</v>
      </c>
      <c r="BF86">
        <f t="shared" si="51"/>
        <v>0.88888888888888884</v>
      </c>
      <c r="BG86">
        <f>survey_responses[[#This Row],[Sau khi xem xét các quyền lợi và nghĩa vụ, bạn có ủng hộ và tuân thủ chính sách mới hiện nay? - HUMAN-OUT1]]</f>
        <v>8</v>
      </c>
      <c r="BH86">
        <f t="shared" si="52"/>
        <v>0.77777777777777779</v>
      </c>
      <c r="BI86" s="32">
        <f t="shared" si="53"/>
        <v>1</v>
      </c>
    </row>
    <row r="87" spans="1:61" x14ac:dyDescent="0.45">
      <c r="A87" s="30">
        <f>step3_validation[[#This Row],[Persona_ID]]</f>
        <v>86</v>
      </c>
      <c r="B87" s="31">
        <f>step3_validation[[#This Row],[Used_Seed]]</f>
        <v>2111</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15.353809289270757</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6</v>
      </c>
      <c r="R87">
        <f t="shared" si="27"/>
        <v>0.55555555555555558</v>
      </c>
      <c r="S87">
        <f>survey_responses[[#This Row],[Tôi tin rằng với các quy định quản lý thuế hiện nay, hành vi gian lận hoặc trốn thuế sẽ dễ dàng bị phát hiện và xử lý nghiêm. - HUMAN-ENF1]]</f>
        <v>5</v>
      </c>
      <c r="T87">
        <f t="shared" si="28"/>
        <v>0.44444444444444442</v>
      </c>
      <c r="U87">
        <f>step3_validation[[#This Row],[AI_ENF2]]</f>
        <v>5</v>
      </c>
      <c r="V87">
        <f t="shared" si="29"/>
        <v>0.44444444444444442</v>
      </c>
      <c r="W87">
        <f>survey_responses[[#This Row],[Tôi tin rằng Nhà nước, cơ quan thuế có đủ khả năng và công nghệ để phát hiện, xử lý nghiêm các hành vi trốn thuế. - HUMAN-ENF2]]</f>
        <v>5</v>
      </c>
      <c r="X87">
        <f t="shared" si="30"/>
        <v>0.44444444444444442</v>
      </c>
      <c r="Y87" s="32">
        <f t="shared" si="31"/>
        <v>0.5</v>
      </c>
      <c r="Z87" s="32">
        <f t="shared" si="32"/>
        <v>0.44444444444444442</v>
      </c>
      <c r="AA87">
        <f>step3_validation[[#This Row],[AI_FAC1]]</f>
        <v>8</v>
      </c>
      <c r="AB87">
        <f t="shared" si="33"/>
        <v>0.77777777777777779</v>
      </c>
      <c r="AC87">
        <f>survey_responses[[#This Row],[Các thủ tục khai báo thuế VÀ/HOẶC quy trình làm việc với cơ quan thuế đơn giản, tiện lợi, nhanh chóng hơn so với trước đây. - HUMAN-FAC1]]</f>
        <v>10</v>
      </c>
      <c r="AD87">
        <f t="shared" si="34"/>
        <v>1</v>
      </c>
      <c r="AE87">
        <f>step3_validation[[#This Row],[AI_FAC2]]</f>
        <v>7</v>
      </c>
      <c r="AF87">
        <f t="shared" si="35"/>
        <v>0.66666666666666663</v>
      </c>
      <c r="AG87">
        <f>survey_responses[[#This Row],[So với trước đây, tôi thấy cách tính thuế và các bậc thuế trong phương án mới đơn giản, dễ hiểu và dễ thực hiện hơn. - HUMAN-FAC2]]</f>
        <v>4</v>
      </c>
      <c r="AH87">
        <f t="shared" si="36"/>
        <v>0.33333333333333331</v>
      </c>
      <c r="AI87" s="32">
        <f t="shared" si="37"/>
        <v>0.72222222222222221</v>
      </c>
      <c r="AJ87" s="32">
        <f t="shared" si="38"/>
        <v>0.66666666666666663</v>
      </c>
      <c r="AK87">
        <f>step3_validation[[#This Row],[AI_TRU1]]</f>
        <v>7</v>
      </c>
      <c r="AL87">
        <f t="shared" si="39"/>
        <v>0.66666666666666663</v>
      </c>
      <c r="AM87">
        <f>survey_responses[[#This Row],[Tôi tin rằng Nhà nước, cơ quan thuế sẽ thực thi chính sách mới một cách khách quan, công tâm và đối xử bình đẳng với mọi người nộp thuế.  - HUMAN-TRU1]]</f>
        <v>4</v>
      </c>
      <c r="AN87">
        <f t="shared" si="40"/>
        <v>0.33333333333333331</v>
      </c>
      <c r="AO87">
        <f>step3_validation[[#This Row],[AI_TRU2]]</f>
        <v>8</v>
      </c>
      <c r="AP87">
        <f t="shared" si="41"/>
        <v>0.77777777777777779</v>
      </c>
      <c r="AQ87">
        <f>survey_responses[[#This Row],[Tôi thấy mức thuế tôi phải đóng theo phương án mới là công bằng (người thu nhập như tôi đóng mức này là hợp lý). - HUMAN-TRU2]]</f>
        <v>5</v>
      </c>
      <c r="AR87">
        <f t="shared" si="42"/>
        <v>0.44444444444444442</v>
      </c>
      <c r="AS87">
        <f>step3_validation[[#This Row],[AI_TRU3]]</f>
        <v>6</v>
      </c>
      <c r="AT87">
        <f t="shared" si="43"/>
        <v>0.55555555555555558</v>
      </c>
      <c r="AU87">
        <f>survey_responses[[#This Row],[Tôi tin tưởng số tiền thuế tôi đóng sẽ được Nhà nước sử dụng hiệu quả để cải thiện dịch vụ công (y tế, đường xá...). - HUMAN-TRU3]]</f>
        <v>5</v>
      </c>
      <c r="AV87">
        <f t="shared" si="44"/>
        <v>0.44444444444444442</v>
      </c>
      <c r="AW87">
        <f>step3_validation[[#This Row],[AI_TRU4]]</f>
        <v>7</v>
      </c>
      <c r="AX87">
        <f t="shared" si="45"/>
        <v>0.66666666666666663</v>
      </c>
      <c r="AY87">
        <f>survey_responses[[#This Row],[Tôi thấy Nhà nước đã giải thích rõ ràng, minh bạch về lý do và mục tiêu của việc sửa đổi thuế lần này. - HUMAN-TRU4]]</f>
        <v>8</v>
      </c>
      <c r="AZ87">
        <f t="shared" si="46"/>
        <v>0.77777777777777779</v>
      </c>
      <c r="BA87" s="32">
        <f t="shared" si="47"/>
        <v>0.66666666666666663</v>
      </c>
      <c r="BB87" s="32">
        <f t="shared" si="48"/>
        <v>0.5</v>
      </c>
      <c r="BC87" s="7">
        <f t="shared" si="49"/>
        <v>0.62962962962962965</v>
      </c>
      <c r="BD87" s="7">
        <f t="shared" si="50"/>
        <v>0.53703703703703709</v>
      </c>
      <c r="BE87">
        <f>step3_validation[[#This Row],[AI_OUT1]]</f>
        <v>9</v>
      </c>
      <c r="BF87">
        <f t="shared" si="51"/>
        <v>0.88888888888888884</v>
      </c>
      <c r="BG87">
        <f>survey_responses[[#This Row],[Sau khi xem xét các quyền lợi và nghĩa vụ, bạn có ủng hộ và tuân thủ chính sách mới hiện nay? - HUMAN-OUT1]]</f>
        <v>8</v>
      </c>
      <c r="BH87">
        <f t="shared" si="52"/>
        <v>0.77777777777777779</v>
      </c>
      <c r="BI87" s="32">
        <f t="shared" si="53"/>
        <v>1</v>
      </c>
    </row>
    <row r="88" spans="1:61" x14ac:dyDescent="0.45">
      <c r="A88" s="30">
        <f>step3_validation[[#This Row],[Persona_ID]]</f>
        <v>87</v>
      </c>
      <c r="B88" s="31">
        <f>step3_validation[[#This Row],[Used_Seed]]</f>
        <v>2112</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12.421711402522448</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7</v>
      </c>
      <c r="R88">
        <f t="shared" si="27"/>
        <v>0.66666666666666663</v>
      </c>
      <c r="S88">
        <f>survey_responses[[#This Row],[Tôi tin rằng với các quy định quản lý thuế hiện nay, hành vi gian lận hoặc trốn thuế sẽ dễ dàng bị phát hiện và xử lý nghiêm. - HUMAN-ENF1]]</f>
        <v>10</v>
      </c>
      <c r="T88">
        <f t="shared" si="28"/>
        <v>1</v>
      </c>
      <c r="U88">
        <f>step3_validation[[#This Row],[AI_ENF2]]</f>
        <v>6</v>
      </c>
      <c r="V88">
        <f t="shared" si="29"/>
        <v>0.55555555555555558</v>
      </c>
      <c r="W88">
        <f>survey_responses[[#This Row],[Tôi tin rằng Nhà nước, cơ quan thuế có đủ khả năng và công nghệ để phát hiện, xử lý nghiêm các hành vi trốn thuế. - HUMAN-ENF2]]</f>
        <v>9</v>
      </c>
      <c r="X88">
        <f t="shared" si="30"/>
        <v>0.88888888888888884</v>
      </c>
      <c r="Y88" s="32">
        <f t="shared" si="31"/>
        <v>0.61111111111111116</v>
      </c>
      <c r="Z88" s="32">
        <f t="shared" si="32"/>
        <v>0.94444444444444442</v>
      </c>
      <c r="AA88">
        <f>step3_validation[[#This Row],[AI_FAC1]]</f>
        <v>8</v>
      </c>
      <c r="AB88">
        <f t="shared" si="33"/>
        <v>0.77777777777777779</v>
      </c>
      <c r="AC88">
        <f>survey_responses[[#This Row],[Các thủ tục khai báo thuế VÀ/HOẶC quy trình làm việc với cơ quan thuế đơn giản, tiện lợi, nhanh chóng hơn so với trước đây. - HUMAN-FAC1]]</f>
        <v>9</v>
      </c>
      <c r="AD88">
        <f t="shared" si="34"/>
        <v>0.88888888888888884</v>
      </c>
      <c r="AE88">
        <f>step3_validation[[#This Row],[AI_FAC2]]</f>
        <v>9</v>
      </c>
      <c r="AF88">
        <f t="shared" si="35"/>
        <v>0.88888888888888884</v>
      </c>
      <c r="AG88">
        <f>survey_responses[[#This Row],[So với trước đây, tôi thấy cách tính thuế và các bậc thuế trong phương án mới đơn giản, dễ hiểu và dễ thực hiện hơn. - HUMAN-FAC2]]</f>
        <v>9</v>
      </c>
      <c r="AH88">
        <f t="shared" si="36"/>
        <v>0.88888888888888884</v>
      </c>
      <c r="AI88" s="32">
        <f t="shared" si="37"/>
        <v>0.83333333333333326</v>
      </c>
      <c r="AJ88" s="32">
        <f t="shared" si="38"/>
        <v>0.88888888888888884</v>
      </c>
      <c r="AK88">
        <f>step3_validation[[#This Row],[AI_TRU1]]</f>
        <v>8</v>
      </c>
      <c r="AL88">
        <f t="shared" si="39"/>
        <v>0.77777777777777779</v>
      </c>
      <c r="AM88">
        <f>survey_responses[[#This Row],[Tôi tin rằng Nhà nước, cơ quan thuế sẽ thực thi chính sách mới một cách khách quan, công tâm và đối xử bình đẳng với mọi người nộp thuế.  - HUMAN-TRU1]]</f>
        <v>9</v>
      </c>
      <c r="AN88">
        <f t="shared" si="40"/>
        <v>0.88888888888888884</v>
      </c>
      <c r="AO88">
        <f>step3_validation[[#This Row],[AI_TRU2]]</f>
        <v>9</v>
      </c>
      <c r="AP88">
        <f t="shared" si="41"/>
        <v>0.88888888888888884</v>
      </c>
      <c r="AQ88">
        <f>survey_responses[[#This Row],[Tôi thấy mức thuế tôi phải đóng theo phương án mới là công bằng (người thu nhập như tôi đóng mức này là hợp lý). - HUMAN-TRU2]]</f>
        <v>9</v>
      </c>
      <c r="AR88">
        <f t="shared" si="42"/>
        <v>0.88888888888888884</v>
      </c>
      <c r="AS88">
        <f>step3_validation[[#This Row],[AI_TRU3]]</f>
        <v>8</v>
      </c>
      <c r="AT88">
        <f t="shared" si="43"/>
        <v>0.77777777777777779</v>
      </c>
      <c r="AU88">
        <f>survey_responses[[#This Row],[Tôi tin tưởng số tiền thuế tôi đóng sẽ được Nhà nước sử dụng hiệu quả để cải thiện dịch vụ công (y tế, đường xá...). - HUMAN-TRU3]]</f>
        <v>10</v>
      </c>
      <c r="AV88">
        <f t="shared" si="44"/>
        <v>1</v>
      </c>
      <c r="AW88">
        <f>step3_validation[[#This Row],[AI_TRU4]]</f>
        <v>7</v>
      </c>
      <c r="AX88">
        <f t="shared" si="45"/>
        <v>0.66666666666666663</v>
      </c>
      <c r="AY88">
        <f>survey_responses[[#This Row],[Tôi thấy Nhà nước đã giải thích rõ ràng, minh bạch về lý do và mục tiêu của việc sửa đổi thuế lần này. - HUMAN-TRU4]]</f>
        <v>9</v>
      </c>
      <c r="AZ88">
        <f t="shared" si="46"/>
        <v>0.88888888888888884</v>
      </c>
      <c r="BA88" s="32">
        <f t="shared" si="47"/>
        <v>0.77777777777777768</v>
      </c>
      <c r="BB88" s="32">
        <f t="shared" si="48"/>
        <v>0.91666666666666663</v>
      </c>
      <c r="BC88" s="7">
        <f t="shared" si="49"/>
        <v>0.74074074074074081</v>
      </c>
      <c r="BD88" s="7">
        <f t="shared" si="50"/>
        <v>0.91666666666666663</v>
      </c>
      <c r="BE88">
        <f>step3_validation[[#This Row],[AI_OUT1]]</f>
        <v>9</v>
      </c>
      <c r="BF88">
        <f t="shared" si="51"/>
        <v>0.88888888888888884</v>
      </c>
      <c r="BG88">
        <f>survey_responses[[#This Row],[Sau khi xem xét các quyền lợi và nghĩa vụ, bạn có ủng hộ và tuân thủ chính sách mới hiện nay? - HUMAN-OUT1]]</f>
        <v>10</v>
      </c>
      <c r="BH88">
        <f t="shared" si="52"/>
        <v>1</v>
      </c>
      <c r="BI88" s="32">
        <f t="shared" si="53"/>
        <v>1</v>
      </c>
    </row>
    <row r="89" spans="1:61" x14ac:dyDescent="0.45">
      <c r="A89" s="30">
        <f>step3_validation[[#This Row],[Persona_ID]]</f>
        <v>88</v>
      </c>
      <c r="B89" s="31">
        <f>step3_validation[[#This Row],[Used_Seed]]</f>
        <v>2113</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6</v>
      </c>
      <c r="R89">
        <f t="shared" si="27"/>
        <v>0.55555555555555558</v>
      </c>
      <c r="S89">
        <f>survey_responses[[#This Row],[Tôi tin rằng với các quy định quản lý thuế hiện nay, hành vi gian lận hoặc trốn thuế sẽ dễ dàng bị phát hiện và xử lý nghiêm. - HUMAN-ENF1]]</f>
        <v>10</v>
      </c>
      <c r="T89">
        <f t="shared" si="28"/>
        <v>1</v>
      </c>
      <c r="U89">
        <f>step3_validation[[#This Row],[AI_ENF2]]</f>
        <v>7</v>
      </c>
      <c r="V89">
        <f t="shared" si="29"/>
        <v>0.66666666666666663</v>
      </c>
      <c r="W89">
        <f>survey_responses[[#This Row],[Tôi tin rằng Nhà nước, cơ quan thuế có đủ khả năng và công nghệ để phát hiện, xử lý nghiêm các hành vi trốn thuế. - HUMAN-ENF2]]</f>
        <v>10</v>
      </c>
      <c r="X89">
        <f t="shared" si="30"/>
        <v>1</v>
      </c>
      <c r="Y89" s="32">
        <f t="shared" si="31"/>
        <v>0.61111111111111116</v>
      </c>
      <c r="Z89" s="32">
        <f t="shared" si="32"/>
        <v>1</v>
      </c>
      <c r="AA89">
        <f>step3_validation[[#This Row],[AI_FAC1]]</f>
        <v>9</v>
      </c>
      <c r="AB89">
        <f t="shared" si="33"/>
        <v>0.88888888888888884</v>
      </c>
      <c r="AC89">
        <f>survey_responses[[#This Row],[Các thủ tục khai báo thuế VÀ/HOẶC quy trình làm việc với cơ quan thuế đơn giản, tiện lợi, nhanh chóng hơn so với trước đây. - HUMAN-FAC1]]</f>
        <v>10</v>
      </c>
      <c r="AD89">
        <f t="shared" si="34"/>
        <v>1</v>
      </c>
      <c r="AE89">
        <f>step3_validation[[#This Row],[AI_FAC2]]</f>
        <v>8</v>
      </c>
      <c r="AF89">
        <f t="shared" si="35"/>
        <v>0.77777777777777779</v>
      </c>
      <c r="AG89">
        <f>survey_responses[[#This Row],[So với trước đây, tôi thấy cách tính thuế và các bậc thuế trong phương án mới đơn giản, dễ hiểu và dễ thực hiện hơn. - HUMAN-FAC2]]</f>
        <v>10</v>
      </c>
      <c r="AH89">
        <f t="shared" si="36"/>
        <v>1</v>
      </c>
      <c r="AI89" s="32">
        <f t="shared" si="37"/>
        <v>0.83333333333333326</v>
      </c>
      <c r="AJ89" s="32">
        <f t="shared" si="38"/>
        <v>1</v>
      </c>
      <c r="AK89">
        <f>step3_validation[[#This Row],[AI_TRU1]]</f>
        <v>9</v>
      </c>
      <c r="AL89">
        <f t="shared" si="39"/>
        <v>0.88888888888888884</v>
      </c>
      <c r="AM89">
        <f>survey_responses[[#This Row],[Tôi tin rằng Nhà nước, cơ quan thuế sẽ thực thi chính sách mới một cách khách quan, công tâm và đối xử bình đẳng với mọi người nộp thuế.  - HUMAN-TRU1]]</f>
        <v>10</v>
      </c>
      <c r="AN89">
        <f t="shared" si="40"/>
        <v>1</v>
      </c>
      <c r="AO89">
        <f>step3_validation[[#This Row],[AI_TRU2]]</f>
        <v>8</v>
      </c>
      <c r="AP89">
        <f t="shared" si="41"/>
        <v>0.77777777777777779</v>
      </c>
      <c r="AQ89">
        <f>survey_responses[[#This Row],[Tôi thấy mức thuế tôi phải đóng theo phương án mới là công bằng (người thu nhập như tôi đóng mức này là hợp lý). - HUMAN-TRU2]]</f>
        <v>10</v>
      </c>
      <c r="AR89">
        <f t="shared" si="42"/>
        <v>1</v>
      </c>
      <c r="AS89">
        <f>step3_validation[[#This Row],[AI_TRU3]]</f>
        <v>9</v>
      </c>
      <c r="AT89">
        <f t="shared" si="43"/>
        <v>0.88888888888888884</v>
      </c>
      <c r="AU89">
        <f>survey_responses[[#This Row],[Tôi tin tưởng số tiền thuế tôi đóng sẽ được Nhà nước sử dụng hiệu quả để cải thiện dịch vụ công (y tế, đường xá...). - HUMAN-TRU3]]</f>
        <v>10</v>
      </c>
      <c r="AV89">
        <f t="shared" si="44"/>
        <v>1</v>
      </c>
      <c r="AW89">
        <f>step3_validation[[#This Row],[AI_TRU4]]</f>
        <v>7</v>
      </c>
      <c r="AX89">
        <f t="shared" si="45"/>
        <v>0.66666666666666663</v>
      </c>
      <c r="AY89">
        <f>survey_responses[[#This Row],[Tôi thấy Nhà nước đã giải thích rõ ràng, minh bạch về lý do và mục tiêu của việc sửa đổi thuế lần này. - HUMAN-TRU4]]</f>
        <v>10</v>
      </c>
      <c r="AZ89">
        <f t="shared" si="46"/>
        <v>1</v>
      </c>
      <c r="BA89" s="32">
        <f t="shared" si="47"/>
        <v>0.80555555555555547</v>
      </c>
      <c r="BB89" s="32">
        <f t="shared" si="48"/>
        <v>1</v>
      </c>
      <c r="BC89" s="7">
        <f t="shared" si="49"/>
        <v>0.75</v>
      </c>
      <c r="BD89" s="7">
        <f t="shared" si="50"/>
        <v>1</v>
      </c>
      <c r="BE89">
        <f>step3_validation[[#This Row],[AI_OUT1]]</f>
        <v>9</v>
      </c>
      <c r="BF89">
        <f t="shared" si="51"/>
        <v>0.88888888888888884</v>
      </c>
      <c r="BG89">
        <f>survey_responses[[#This Row],[Sau khi xem xét các quyền lợi và nghĩa vụ, bạn có ủng hộ và tuân thủ chính sách mới hiện nay? - HUMAN-OUT1]]</f>
        <v>10</v>
      </c>
      <c r="BH89">
        <f t="shared" si="52"/>
        <v>1</v>
      </c>
      <c r="BI89" s="32">
        <f t="shared" si="53"/>
        <v>1</v>
      </c>
    </row>
    <row r="90" spans="1:61" x14ac:dyDescent="0.45">
      <c r="A90" s="30">
        <f>step3_validation[[#This Row],[Persona_ID]]</f>
        <v>89</v>
      </c>
      <c r="B90" s="31">
        <f>step3_validation[[#This Row],[Used_Seed]]</f>
        <v>2114</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5</v>
      </c>
      <c r="R90">
        <f t="shared" si="27"/>
        <v>0.44444444444444442</v>
      </c>
      <c r="S90">
        <f>survey_responses[[#This Row],[Tôi tin rằng với các quy định quản lý thuế hiện nay, hành vi gian lận hoặc trốn thuế sẽ dễ dàng bị phát hiện và xử lý nghiêm. - HUMAN-ENF1]]</f>
        <v>10</v>
      </c>
      <c r="T90">
        <f t="shared" si="28"/>
        <v>1</v>
      </c>
      <c r="U90">
        <f>step3_validation[[#This Row],[AI_ENF2]]</f>
        <v>4</v>
      </c>
      <c r="V90">
        <f t="shared" si="29"/>
        <v>0.33333333333333331</v>
      </c>
      <c r="W90">
        <f>survey_responses[[#This Row],[Tôi tin rằng Nhà nước, cơ quan thuế có đủ khả năng và công nghệ để phát hiện, xử lý nghiêm các hành vi trốn thuế. - HUMAN-ENF2]]</f>
        <v>9</v>
      </c>
      <c r="X90">
        <f t="shared" si="30"/>
        <v>0.88888888888888884</v>
      </c>
      <c r="Y90" s="32">
        <f t="shared" si="31"/>
        <v>0.38888888888888884</v>
      </c>
      <c r="Z90" s="32">
        <f t="shared" si="32"/>
        <v>0.94444444444444442</v>
      </c>
      <c r="AA90">
        <f>step3_validation[[#This Row],[AI_FAC1]]</f>
        <v>8</v>
      </c>
      <c r="AB90">
        <f t="shared" si="33"/>
        <v>0.77777777777777779</v>
      </c>
      <c r="AC90">
        <f>survey_responses[[#This Row],[Các thủ tục khai báo thuế VÀ/HOẶC quy trình làm việc với cơ quan thuế đơn giản, tiện lợi, nhanh chóng hơn so với trước đây. - HUMAN-FAC1]]</f>
        <v>9</v>
      </c>
      <c r="AD90">
        <f t="shared" si="34"/>
        <v>0.88888888888888884</v>
      </c>
      <c r="AE90">
        <f>step3_validation[[#This Row],[AI_FAC2]]</f>
        <v>9</v>
      </c>
      <c r="AF90">
        <f t="shared" si="35"/>
        <v>0.88888888888888884</v>
      </c>
      <c r="AG90">
        <f>survey_responses[[#This Row],[So với trước đây, tôi thấy cách tính thuế và các bậc thuế trong phương án mới đơn giản, dễ hiểu và dễ thực hiện hơn. - HUMAN-FAC2]]</f>
        <v>9</v>
      </c>
      <c r="AH90">
        <f t="shared" si="36"/>
        <v>0.88888888888888884</v>
      </c>
      <c r="AI90" s="32">
        <f t="shared" si="37"/>
        <v>0.83333333333333326</v>
      </c>
      <c r="AJ90" s="32">
        <f t="shared" si="38"/>
        <v>0.88888888888888884</v>
      </c>
      <c r="AK90">
        <f>step3_validation[[#This Row],[AI_TRU1]]</f>
        <v>8</v>
      </c>
      <c r="AL90">
        <f t="shared" si="39"/>
        <v>0.77777777777777779</v>
      </c>
      <c r="AM90">
        <f>survey_responses[[#This Row],[Tôi tin rằng Nhà nước, cơ quan thuế sẽ thực thi chính sách mới một cách khách quan, công tâm và đối xử bình đẳng với mọi người nộp thuế.  - HUMAN-TRU1]]</f>
        <v>10</v>
      </c>
      <c r="AN90">
        <f t="shared" si="40"/>
        <v>1</v>
      </c>
      <c r="AO90">
        <f>step3_validation[[#This Row],[AI_TRU2]]</f>
        <v>9</v>
      </c>
      <c r="AP90">
        <f t="shared" si="41"/>
        <v>0.88888888888888884</v>
      </c>
      <c r="AQ90">
        <f>survey_responses[[#This Row],[Tôi thấy mức thuế tôi phải đóng theo phương án mới là công bằng (người thu nhập như tôi đóng mức này là hợp lý). - HUMAN-TRU2]]</f>
        <v>9</v>
      </c>
      <c r="AR90">
        <f t="shared" si="42"/>
        <v>0.88888888888888884</v>
      </c>
      <c r="AS90">
        <f>step3_validation[[#This Row],[AI_TRU3]]</f>
        <v>8</v>
      </c>
      <c r="AT90">
        <f t="shared" si="43"/>
        <v>0.77777777777777779</v>
      </c>
      <c r="AU90">
        <f>survey_responses[[#This Row],[Tôi tin tưởng số tiền thuế tôi đóng sẽ được Nhà nước sử dụng hiệu quả để cải thiện dịch vụ công (y tế, đường xá...). - HUMAN-TRU3]]</f>
        <v>9</v>
      </c>
      <c r="AV90">
        <f t="shared" si="44"/>
        <v>0.88888888888888884</v>
      </c>
      <c r="AW90">
        <f>step3_validation[[#This Row],[AI_TRU4]]</f>
        <v>7</v>
      </c>
      <c r="AX90">
        <f t="shared" si="45"/>
        <v>0.66666666666666663</v>
      </c>
      <c r="AY90">
        <f>survey_responses[[#This Row],[Tôi thấy Nhà nước đã giải thích rõ ràng, minh bạch về lý do và mục tiêu của việc sửa đổi thuế lần này. - HUMAN-TRU4]]</f>
        <v>8</v>
      </c>
      <c r="AZ90">
        <f t="shared" si="46"/>
        <v>0.77777777777777779</v>
      </c>
      <c r="BA90" s="32">
        <f t="shared" si="47"/>
        <v>0.77777777777777768</v>
      </c>
      <c r="BB90" s="32">
        <f t="shared" si="48"/>
        <v>0.88888888888888884</v>
      </c>
      <c r="BC90" s="7">
        <f t="shared" si="49"/>
        <v>0.66666666666666663</v>
      </c>
      <c r="BD90" s="7">
        <f t="shared" si="50"/>
        <v>0.90740740740740744</v>
      </c>
      <c r="BE90">
        <f>step3_validation[[#This Row],[AI_OUT1]]</f>
        <v>9</v>
      </c>
      <c r="BF90">
        <f t="shared" si="51"/>
        <v>0.88888888888888884</v>
      </c>
      <c r="BG90">
        <f>survey_responses[[#This Row],[Sau khi xem xét các quyền lợi và nghĩa vụ, bạn có ủng hộ và tuân thủ chính sách mới hiện nay? - HUMAN-OUT1]]</f>
        <v>9</v>
      </c>
      <c r="BH90">
        <f t="shared" si="52"/>
        <v>0.88888888888888884</v>
      </c>
      <c r="BI90" s="32">
        <f t="shared" si="53"/>
        <v>0</v>
      </c>
    </row>
    <row r="91" spans="1:61" x14ac:dyDescent="0.45">
      <c r="A91" s="30">
        <f>step3_validation[[#This Row],[Persona_ID]]</f>
        <v>90</v>
      </c>
      <c r="B91" s="31">
        <f>step3_validation[[#This Row],[Used_Seed]]</f>
        <v>2115</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9</v>
      </c>
      <c r="R91">
        <f t="shared" si="27"/>
        <v>0.88888888888888884</v>
      </c>
      <c r="S91">
        <f>survey_responses[[#This Row],[Tôi tin rằng với các quy định quản lý thuế hiện nay, hành vi gian lận hoặc trốn thuế sẽ dễ dàng bị phát hiện và xử lý nghiêm. - HUMAN-ENF1]]</f>
        <v>6</v>
      </c>
      <c r="T91">
        <f t="shared" si="28"/>
        <v>0.55555555555555558</v>
      </c>
      <c r="U91">
        <f>step3_validation[[#This Row],[AI_ENF2]]</f>
        <v>8</v>
      </c>
      <c r="V91">
        <f t="shared" si="29"/>
        <v>0.77777777777777779</v>
      </c>
      <c r="W91">
        <f>survey_responses[[#This Row],[Tôi tin rằng Nhà nước, cơ quan thuế có đủ khả năng và công nghệ để phát hiện, xử lý nghiêm các hành vi trốn thuế. - HUMAN-ENF2]]</f>
        <v>10</v>
      </c>
      <c r="X91">
        <f t="shared" si="30"/>
        <v>1</v>
      </c>
      <c r="Y91" s="32">
        <f t="shared" si="31"/>
        <v>0.83333333333333326</v>
      </c>
      <c r="Z91" s="32">
        <f t="shared" si="32"/>
        <v>0.77777777777777779</v>
      </c>
      <c r="AA91">
        <f>step3_validation[[#This Row],[AI_FAC1]]</f>
        <v>7</v>
      </c>
      <c r="AB91">
        <f t="shared" si="33"/>
        <v>0.66666666666666663</v>
      </c>
      <c r="AC91">
        <f>survey_responses[[#This Row],[Các thủ tục khai báo thuế VÀ/HOẶC quy trình làm việc với cơ quan thuế đơn giản, tiện lợi, nhanh chóng hơn so với trước đây. - HUMAN-FAC1]]</f>
        <v>8</v>
      </c>
      <c r="AD91">
        <f t="shared" si="34"/>
        <v>0.77777777777777779</v>
      </c>
      <c r="AE91">
        <f>step3_validation[[#This Row],[AI_FAC2]]</f>
        <v>8</v>
      </c>
      <c r="AF91">
        <f t="shared" si="35"/>
        <v>0.77777777777777779</v>
      </c>
      <c r="AG91">
        <f>survey_responses[[#This Row],[So với trước đây, tôi thấy cách tính thuế và các bậc thuế trong phương án mới đơn giản, dễ hiểu và dễ thực hiện hơn. - HUMAN-FAC2]]</f>
        <v>9</v>
      </c>
      <c r="AH91">
        <f t="shared" si="36"/>
        <v>0.88888888888888884</v>
      </c>
      <c r="AI91" s="32">
        <f t="shared" si="37"/>
        <v>0.72222222222222221</v>
      </c>
      <c r="AJ91" s="32">
        <f t="shared" si="38"/>
        <v>0.83333333333333326</v>
      </c>
      <c r="AK91">
        <f>step3_validation[[#This Row],[AI_TRU1]]</f>
        <v>9</v>
      </c>
      <c r="AL91">
        <f t="shared" si="39"/>
        <v>0.88888888888888884</v>
      </c>
      <c r="AM91">
        <f>survey_responses[[#This Row],[Tôi tin rằng Nhà nước, cơ quan thuế sẽ thực thi chính sách mới một cách khách quan, công tâm và đối xử bình đẳng với mọi người nộp thuế.  - HUMAN-TRU1]]</f>
        <v>9</v>
      </c>
      <c r="AN91">
        <f t="shared" si="40"/>
        <v>0.88888888888888884</v>
      </c>
      <c r="AO91">
        <f>step3_validation[[#This Row],[AI_TRU2]]</f>
        <v>9</v>
      </c>
      <c r="AP91">
        <f t="shared" si="41"/>
        <v>0.88888888888888884</v>
      </c>
      <c r="AQ91">
        <f>survey_responses[[#This Row],[Tôi thấy mức thuế tôi phải đóng theo phương án mới là công bằng (người thu nhập như tôi đóng mức này là hợp lý). - HUMAN-TRU2]]</f>
        <v>9</v>
      </c>
      <c r="AR91">
        <f t="shared" si="42"/>
        <v>0.88888888888888884</v>
      </c>
      <c r="AS91">
        <f>step3_validation[[#This Row],[AI_TRU3]]</f>
        <v>8</v>
      </c>
      <c r="AT91">
        <f t="shared" si="43"/>
        <v>0.77777777777777779</v>
      </c>
      <c r="AU91">
        <f>survey_responses[[#This Row],[Tôi tin tưởng số tiền thuế tôi đóng sẽ được Nhà nước sử dụng hiệu quả để cải thiện dịch vụ công (y tế, đường xá...). - HUMAN-TRU3]]</f>
        <v>8</v>
      </c>
      <c r="AV91">
        <f t="shared" si="44"/>
        <v>0.77777777777777779</v>
      </c>
      <c r="AW91">
        <f>step3_validation[[#This Row],[AI_TRU4]]</f>
        <v>7</v>
      </c>
      <c r="AX91">
        <f t="shared" si="45"/>
        <v>0.66666666666666663</v>
      </c>
      <c r="AY91">
        <f>survey_responses[[#This Row],[Tôi thấy Nhà nước đã giải thích rõ ràng, minh bạch về lý do và mục tiêu của việc sửa đổi thuế lần này. - HUMAN-TRU4]]</f>
        <v>8</v>
      </c>
      <c r="AZ91">
        <f t="shared" si="46"/>
        <v>0.77777777777777779</v>
      </c>
      <c r="BA91" s="32">
        <f t="shared" si="47"/>
        <v>0.80555555555555547</v>
      </c>
      <c r="BB91" s="32">
        <f t="shared" si="48"/>
        <v>0.83333333333333326</v>
      </c>
      <c r="BC91" s="7">
        <f t="shared" si="49"/>
        <v>0.78703703703703687</v>
      </c>
      <c r="BD91" s="7">
        <f t="shared" si="50"/>
        <v>0.81481481481481488</v>
      </c>
      <c r="BE91">
        <f>step3_validation[[#This Row],[AI_OUT1]]</f>
        <v>9</v>
      </c>
      <c r="BF91">
        <f t="shared" si="51"/>
        <v>0.88888888888888884</v>
      </c>
      <c r="BG91">
        <f>survey_responses[[#This Row],[Sau khi xem xét các quyền lợi và nghĩa vụ, bạn có ủng hộ và tuân thủ chính sách mới hiện nay? - HUMAN-OUT1]]</f>
        <v>9</v>
      </c>
      <c r="BH91">
        <f t="shared" si="52"/>
        <v>0.88888888888888884</v>
      </c>
      <c r="BI91" s="32">
        <f t="shared" si="53"/>
        <v>0</v>
      </c>
    </row>
    <row r="92" spans="1:61" x14ac:dyDescent="0.45">
      <c r="A92" s="30">
        <f>step3_validation[[#This Row],[Persona_ID]]</f>
        <v>91</v>
      </c>
      <c r="B92" s="31">
        <f>step3_validation[[#This Row],[Used_Seed]]</f>
        <v>2116</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7</v>
      </c>
      <c r="R92">
        <f t="shared" si="27"/>
        <v>0.66666666666666663</v>
      </c>
      <c r="S92">
        <f>survey_responses[[#This Row],[Tôi tin rằng với các quy định quản lý thuế hiện nay, hành vi gian lận hoặc trốn thuế sẽ dễ dàng bị phát hiện và xử lý nghiêm. - HUMAN-ENF1]]</f>
        <v>10</v>
      </c>
      <c r="T92">
        <f t="shared" si="28"/>
        <v>1</v>
      </c>
      <c r="U92">
        <f>step3_validation[[#This Row],[AI_ENF2]]</f>
        <v>6</v>
      </c>
      <c r="V92">
        <f t="shared" si="29"/>
        <v>0.55555555555555558</v>
      </c>
      <c r="W92">
        <f>survey_responses[[#This Row],[Tôi tin rằng Nhà nước, cơ quan thuế có đủ khả năng và công nghệ để phát hiện, xử lý nghiêm các hành vi trốn thuế. - HUMAN-ENF2]]</f>
        <v>9</v>
      </c>
      <c r="X92">
        <f t="shared" si="30"/>
        <v>0.88888888888888884</v>
      </c>
      <c r="Y92" s="32">
        <f t="shared" si="31"/>
        <v>0.61111111111111116</v>
      </c>
      <c r="Z92" s="32">
        <f t="shared" si="32"/>
        <v>0.94444444444444442</v>
      </c>
      <c r="AA92">
        <f>step3_validation[[#This Row],[AI_FAC1]]</f>
        <v>9</v>
      </c>
      <c r="AB92">
        <f t="shared" si="33"/>
        <v>0.88888888888888884</v>
      </c>
      <c r="AC92">
        <f>survey_responses[[#This Row],[Các thủ tục khai báo thuế VÀ/HOẶC quy trình làm việc với cơ quan thuế đơn giản, tiện lợi, nhanh chóng hơn so với trước đây. - HUMAN-FAC1]]</f>
        <v>9</v>
      </c>
      <c r="AD92">
        <f t="shared" si="34"/>
        <v>0.88888888888888884</v>
      </c>
      <c r="AE92">
        <f>step3_validation[[#This Row],[AI_FAC2]]</f>
        <v>8</v>
      </c>
      <c r="AF92">
        <f t="shared" si="35"/>
        <v>0.77777777777777779</v>
      </c>
      <c r="AG92">
        <f>survey_responses[[#This Row],[So với trước đây, tôi thấy cách tính thuế và các bậc thuế trong phương án mới đơn giản, dễ hiểu và dễ thực hiện hơn. - HUMAN-FAC2]]</f>
        <v>9</v>
      </c>
      <c r="AH92">
        <f t="shared" si="36"/>
        <v>0.88888888888888884</v>
      </c>
      <c r="AI92" s="32">
        <f t="shared" si="37"/>
        <v>0.83333333333333326</v>
      </c>
      <c r="AJ92" s="32">
        <f t="shared" si="38"/>
        <v>0.88888888888888884</v>
      </c>
      <c r="AK92">
        <f>step3_validation[[#This Row],[AI_TRU1]]</f>
        <v>7</v>
      </c>
      <c r="AL92">
        <f t="shared" si="39"/>
        <v>0.66666666666666663</v>
      </c>
      <c r="AM92">
        <f>survey_responses[[#This Row],[Tôi tin rằng Nhà nước, cơ quan thuế sẽ thực thi chính sách mới một cách khách quan, công tâm và đối xử bình đẳng với mọi người nộp thuế.  - HUMAN-TRU1]]</f>
        <v>10</v>
      </c>
      <c r="AN92">
        <f t="shared" si="40"/>
        <v>1</v>
      </c>
      <c r="AO92">
        <f>step3_validation[[#This Row],[AI_TRU2]]</f>
        <v>9</v>
      </c>
      <c r="AP92">
        <f t="shared" si="41"/>
        <v>0.88888888888888884</v>
      </c>
      <c r="AQ92">
        <f>survey_responses[[#This Row],[Tôi thấy mức thuế tôi phải đóng theo phương án mới là công bằng (người thu nhập như tôi đóng mức này là hợp lý). - HUMAN-TRU2]]</f>
        <v>9</v>
      </c>
      <c r="AR92">
        <f t="shared" si="42"/>
        <v>0.88888888888888884</v>
      </c>
      <c r="AS92">
        <f>step3_validation[[#This Row],[AI_TRU3]]</f>
        <v>8</v>
      </c>
      <c r="AT92">
        <f t="shared" si="43"/>
        <v>0.77777777777777779</v>
      </c>
      <c r="AU92">
        <f>survey_responses[[#This Row],[Tôi tin tưởng số tiền thuế tôi đóng sẽ được Nhà nước sử dụng hiệu quả để cải thiện dịch vụ công (y tế, đường xá...). - HUMAN-TRU3]]</f>
        <v>8</v>
      </c>
      <c r="AV92">
        <f t="shared" si="44"/>
        <v>0.77777777777777779</v>
      </c>
      <c r="AW92">
        <f>step3_validation[[#This Row],[AI_TRU4]]</f>
        <v>7</v>
      </c>
      <c r="AX92">
        <f t="shared" si="45"/>
        <v>0.66666666666666663</v>
      </c>
      <c r="AY92">
        <f>survey_responses[[#This Row],[Tôi thấy Nhà nước đã giải thích rõ ràng, minh bạch về lý do và mục tiêu của việc sửa đổi thuế lần này. - HUMAN-TRU4]]</f>
        <v>8</v>
      </c>
      <c r="AZ92">
        <f t="shared" si="46"/>
        <v>0.77777777777777779</v>
      </c>
      <c r="BA92" s="32">
        <f t="shared" si="47"/>
        <v>0.74999999999999989</v>
      </c>
      <c r="BB92" s="32">
        <f t="shared" si="48"/>
        <v>0.86111111111111105</v>
      </c>
      <c r="BC92" s="7">
        <f t="shared" si="49"/>
        <v>0.7314814814814814</v>
      </c>
      <c r="BD92" s="7">
        <f t="shared" si="50"/>
        <v>0.89814814814814803</v>
      </c>
      <c r="BE92">
        <f>step3_validation[[#This Row],[AI_OUT1]]</f>
        <v>9</v>
      </c>
      <c r="BF92">
        <f t="shared" si="51"/>
        <v>0.88888888888888884</v>
      </c>
      <c r="BG92">
        <f>survey_responses[[#This Row],[Sau khi xem xét các quyền lợi và nghĩa vụ, bạn có ủng hộ và tuân thủ chính sách mới hiện nay? - HUMAN-OUT1]]</f>
        <v>10</v>
      </c>
      <c r="BH92">
        <f t="shared" si="52"/>
        <v>1</v>
      </c>
      <c r="BI92" s="32">
        <f t="shared" si="53"/>
        <v>1</v>
      </c>
    </row>
    <row r="93" spans="1:61" x14ac:dyDescent="0.45">
      <c r="A93" s="30">
        <f>step3_validation[[#This Row],[Persona_ID]]</f>
        <v>92</v>
      </c>
      <c r="B93" s="31">
        <f>step3_validation[[#This Row],[Used_Seed]]</f>
        <v>2117</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8</v>
      </c>
      <c r="R93">
        <f t="shared" si="27"/>
        <v>0.77777777777777779</v>
      </c>
      <c r="S93">
        <f>survey_responses[[#This Row],[Tôi tin rằng với các quy định quản lý thuế hiện nay, hành vi gian lận hoặc trốn thuế sẽ dễ dàng bị phát hiện và xử lý nghiêm. - HUMAN-ENF1]]</f>
        <v>10</v>
      </c>
      <c r="T93">
        <f t="shared" si="28"/>
        <v>1</v>
      </c>
      <c r="U93">
        <f>step3_validation[[#This Row],[AI_ENF2]]</f>
        <v>7</v>
      </c>
      <c r="V93">
        <f t="shared" si="29"/>
        <v>0.66666666666666663</v>
      </c>
      <c r="W93">
        <f>survey_responses[[#This Row],[Tôi tin rằng Nhà nước, cơ quan thuế có đủ khả năng và công nghệ để phát hiện, xử lý nghiêm các hành vi trốn thuế. - HUMAN-ENF2]]</f>
        <v>10</v>
      </c>
      <c r="X93">
        <f t="shared" si="30"/>
        <v>1</v>
      </c>
      <c r="Y93" s="32">
        <f t="shared" si="31"/>
        <v>0.72222222222222221</v>
      </c>
      <c r="Z93" s="32">
        <f t="shared" si="32"/>
        <v>1</v>
      </c>
      <c r="AA93">
        <f>step3_validation[[#This Row],[AI_FAC1]]</f>
        <v>9</v>
      </c>
      <c r="AB93">
        <f t="shared" si="33"/>
        <v>0.88888888888888884</v>
      </c>
      <c r="AC93">
        <f>survey_responses[[#This Row],[Các thủ tục khai báo thuế VÀ/HOẶC quy trình làm việc với cơ quan thuế đơn giản, tiện lợi, nhanh chóng hơn so với trước đây. - HUMAN-FAC1]]</f>
        <v>10</v>
      </c>
      <c r="AD93">
        <f t="shared" si="34"/>
        <v>1</v>
      </c>
      <c r="AE93">
        <f>step3_validation[[#This Row],[AI_FAC2]]</f>
        <v>8</v>
      </c>
      <c r="AF93">
        <f t="shared" si="35"/>
        <v>0.77777777777777779</v>
      </c>
      <c r="AG93">
        <f>survey_responses[[#This Row],[So với trước đây, tôi thấy cách tính thuế và các bậc thuế trong phương án mới đơn giản, dễ hiểu và dễ thực hiện hơn. - HUMAN-FAC2]]</f>
        <v>10</v>
      </c>
      <c r="AH93">
        <f t="shared" si="36"/>
        <v>1</v>
      </c>
      <c r="AI93" s="32">
        <f t="shared" si="37"/>
        <v>0.83333333333333326</v>
      </c>
      <c r="AJ93" s="32">
        <f t="shared" si="38"/>
        <v>1</v>
      </c>
      <c r="AK93">
        <f>step3_validation[[#This Row],[AI_TRU1]]</f>
        <v>9</v>
      </c>
      <c r="AL93">
        <f t="shared" si="39"/>
        <v>0.88888888888888884</v>
      </c>
      <c r="AM93">
        <f>survey_responses[[#This Row],[Tôi tin rằng Nhà nước, cơ quan thuế sẽ thực thi chính sách mới một cách khách quan, công tâm và đối xử bình đẳng với mọi người nộp thuế.  - HUMAN-TRU1]]</f>
        <v>10</v>
      </c>
      <c r="AN93">
        <f t="shared" si="40"/>
        <v>1</v>
      </c>
      <c r="AO93">
        <f>step3_validation[[#This Row],[AI_TRU2]]</f>
        <v>8</v>
      </c>
      <c r="AP93">
        <f t="shared" si="41"/>
        <v>0.77777777777777779</v>
      </c>
      <c r="AQ93">
        <f>survey_responses[[#This Row],[Tôi thấy mức thuế tôi phải đóng theo phương án mới là công bằng (người thu nhập như tôi đóng mức này là hợp lý). - HUMAN-TRU2]]</f>
        <v>1</v>
      </c>
      <c r="AR93">
        <f t="shared" si="42"/>
        <v>0</v>
      </c>
      <c r="AS93">
        <f>step3_validation[[#This Row],[AI_TRU3]]</f>
        <v>7</v>
      </c>
      <c r="AT93">
        <f t="shared" si="43"/>
        <v>0.66666666666666663</v>
      </c>
      <c r="AU93">
        <f>survey_responses[[#This Row],[Tôi tin tưởng số tiền thuế tôi đóng sẽ được Nhà nước sử dụng hiệu quả để cải thiện dịch vụ công (y tế, đường xá...). - HUMAN-TRU3]]</f>
        <v>10</v>
      </c>
      <c r="AV93">
        <f t="shared" si="44"/>
        <v>1</v>
      </c>
      <c r="AW93">
        <f>step3_validation[[#This Row],[AI_TRU4]]</f>
        <v>6</v>
      </c>
      <c r="AX93">
        <f t="shared" si="45"/>
        <v>0.55555555555555558</v>
      </c>
      <c r="AY93">
        <f>survey_responses[[#This Row],[Tôi thấy Nhà nước đã giải thích rõ ràng, minh bạch về lý do và mục tiêu của việc sửa đổi thuế lần này. - HUMAN-TRU4]]</f>
        <v>10</v>
      </c>
      <c r="AZ93">
        <f t="shared" si="46"/>
        <v>1</v>
      </c>
      <c r="BA93" s="32">
        <f t="shared" si="47"/>
        <v>0.7222222222222221</v>
      </c>
      <c r="BB93" s="32">
        <f t="shared" si="48"/>
        <v>0.75</v>
      </c>
      <c r="BC93" s="7">
        <f t="shared" si="49"/>
        <v>0.75925925925925919</v>
      </c>
      <c r="BD93" s="7">
        <f t="shared" si="50"/>
        <v>0.91666666666666663</v>
      </c>
      <c r="BE93">
        <f>step3_validation[[#This Row],[AI_OUT1]]</f>
        <v>9</v>
      </c>
      <c r="BF93">
        <f t="shared" si="51"/>
        <v>0.88888888888888884</v>
      </c>
      <c r="BG93">
        <f>survey_responses[[#This Row],[Sau khi xem xét các quyền lợi và nghĩa vụ, bạn có ủng hộ và tuân thủ chính sách mới hiện nay? - HUMAN-OUT1]]</f>
        <v>10</v>
      </c>
      <c r="BH93">
        <f t="shared" si="52"/>
        <v>1</v>
      </c>
      <c r="BI93" s="32">
        <f t="shared" si="53"/>
        <v>1</v>
      </c>
    </row>
    <row r="94" spans="1:61" x14ac:dyDescent="0.45">
      <c r="A94" s="30">
        <f>step3_validation[[#This Row],[Persona_ID]]</f>
        <v>93</v>
      </c>
      <c r="B94" s="31">
        <f>step3_validation[[#This Row],[Used_Seed]]</f>
        <v>2118</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36.77821260984939</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6</v>
      </c>
      <c r="R94">
        <f t="shared" si="27"/>
        <v>0.55555555555555558</v>
      </c>
      <c r="S94">
        <f>survey_responses[[#This Row],[Tôi tin rằng với các quy định quản lý thuế hiện nay, hành vi gian lận hoặc trốn thuế sẽ dễ dàng bị phát hiện và xử lý nghiêm. - HUMAN-ENF1]]</f>
        <v>5</v>
      </c>
      <c r="T94">
        <f t="shared" si="28"/>
        <v>0.44444444444444442</v>
      </c>
      <c r="U94">
        <f>step3_validation[[#This Row],[AI_ENF2]]</f>
        <v>6</v>
      </c>
      <c r="V94">
        <f t="shared" si="29"/>
        <v>0.55555555555555558</v>
      </c>
      <c r="W94">
        <f>survey_responses[[#This Row],[Tôi tin rằng Nhà nước, cơ quan thuế có đủ khả năng và công nghệ để phát hiện, xử lý nghiêm các hành vi trốn thuế. - HUMAN-ENF2]]</f>
        <v>8</v>
      </c>
      <c r="X94">
        <f t="shared" si="30"/>
        <v>0.77777777777777779</v>
      </c>
      <c r="Y94" s="32">
        <f t="shared" si="31"/>
        <v>0.55555555555555558</v>
      </c>
      <c r="Z94" s="32">
        <f t="shared" si="32"/>
        <v>0.61111111111111116</v>
      </c>
      <c r="AA94">
        <f>step3_validation[[#This Row],[AI_FAC1]]</f>
        <v>7</v>
      </c>
      <c r="AB94">
        <f t="shared" si="33"/>
        <v>0.66666666666666663</v>
      </c>
      <c r="AC94">
        <f>survey_responses[[#This Row],[Các thủ tục khai báo thuế VÀ/HOẶC quy trình làm việc với cơ quan thuế đơn giản, tiện lợi, nhanh chóng hơn so với trước đây. - HUMAN-FAC1]]</f>
        <v>4</v>
      </c>
      <c r="AD94">
        <f t="shared" si="34"/>
        <v>0.33333333333333331</v>
      </c>
      <c r="AE94">
        <f>step3_validation[[#This Row],[AI_FAC2]]</f>
        <v>8</v>
      </c>
      <c r="AF94">
        <f t="shared" si="35"/>
        <v>0.77777777777777779</v>
      </c>
      <c r="AG94">
        <f>survey_responses[[#This Row],[So với trước đây, tôi thấy cách tính thuế và các bậc thuế trong phương án mới đơn giản, dễ hiểu và dễ thực hiện hơn. - HUMAN-FAC2]]</f>
        <v>9</v>
      </c>
      <c r="AH94">
        <f t="shared" si="36"/>
        <v>0.88888888888888884</v>
      </c>
      <c r="AI94" s="32">
        <f t="shared" si="37"/>
        <v>0.72222222222222221</v>
      </c>
      <c r="AJ94" s="32">
        <f t="shared" si="38"/>
        <v>0.61111111111111105</v>
      </c>
      <c r="AK94">
        <f>step3_validation[[#This Row],[AI_TRU1]]</f>
        <v>7</v>
      </c>
      <c r="AL94">
        <f t="shared" si="39"/>
        <v>0.66666666666666663</v>
      </c>
      <c r="AM94">
        <f>survey_responses[[#This Row],[Tôi tin rằng Nhà nước, cơ quan thuế sẽ thực thi chính sách mới một cách khách quan, công tâm và đối xử bình đẳng với mọi người nộp thuế.  - HUMAN-TRU1]]</f>
        <v>7</v>
      </c>
      <c r="AN94">
        <f t="shared" si="40"/>
        <v>0.66666666666666663</v>
      </c>
      <c r="AO94">
        <f>step3_validation[[#This Row],[AI_TRU2]]</f>
        <v>8</v>
      </c>
      <c r="AP94">
        <f t="shared" si="41"/>
        <v>0.77777777777777779</v>
      </c>
      <c r="AQ94">
        <f>survey_responses[[#This Row],[Tôi thấy mức thuế tôi phải đóng theo phương án mới là công bằng (người thu nhập như tôi đóng mức này là hợp lý). - HUMAN-TRU2]]</f>
        <v>5</v>
      </c>
      <c r="AR94">
        <f t="shared" si="42"/>
        <v>0.44444444444444442</v>
      </c>
      <c r="AS94">
        <f>step3_validation[[#This Row],[AI_TRU3]]</f>
        <v>6</v>
      </c>
      <c r="AT94">
        <f t="shared" si="43"/>
        <v>0.55555555555555558</v>
      </c>
      <c r="AU94">
        <f>survey_responses[[#This Row],[Tôi tin tưởng số tiền thuế tôi đóng sẽ được Nhà nước sử dụng hiệu quả để cải thiện dịch vụ công (y tế, đường xá...). - HUMAN-TRU3]]</f>
        <v>7</v>
      </c>
      <c r="AV94">
        <f t="shared" si="44"/>
        <v>0.66666666666666663</v>
      </c>
      <c r="AW94">
        <f>step3_validation[[#This Row],[AI_TRU4]]</f>
        <v>7</v>
      </c>
      <c r="AX94">
        <f t="shared" si="45"/>
        <v>0.66666666666666663</v>
      </c>
      <c r="AY94">
        <f>survey_responses[[#This Row],[Tôi thấy Nhà nước đã giải thích rõ ràng, minh bạch về lý do và mục tiêu của việc sửa đổi thuế lần này. - HUMAN-TRU4]]</f>
        <v>8</v>
      </c>
      <c r="AZ94">
        <f t="shared" si="46"/>
        <v>0.77777777777777779</v>
      </c>
      <c r="BA94" s="32">
        <f t="shared" si="47"/>
        <v>0.66666666666666663</v>
      </c>
      <c r="BB94" s="32">
        <f t="shared" si="48"/>
        <v>0.63888888888888884</v>
      </c>
      <c r="BC94" s="7">
        <f t="shared" si="49"/>
        <v>0.64814814814814803</v>
      </c>
      <c r="BD94" s="7">
        <f t="shared" si="50"/>
        <v>0.62037037037037035</v>
      </c>
      <c r="BE94">
        <f>step3_validation[[#This Row],[AI_OUT1]]</f>
        <v>8</v>
      </c>
      <c r="BF94">
        <f t="shared" si="51"/>
        <v>0.77777777777777779</v>
      </c>
      <c r="BG94">
        <f>survey_responses[[#This Row],[Sau khi xem xét các quyền lợi và nghĩa vụ, bạn có ủng hộ và tuân thủ chính sách mới hiện nay? - HUMAN-OUT1]]</f>
        <v>10</v>
      </c>
      <c r="BH94">
        <f t="shared" si="52"/>
        <v>1</v>
      </c>
      <c r="BI94" s="32">
        <f t="shared" si="53"/>
        <v>2</v>
      </c>
    </row>
    <row r="95" spans="1:61" x14ac:dyDescent="0.45">
      <c r="A95" s="30">
        <f>step3_validation[[#This Row],[Persona_ID]]</f>
        <v>94</v>
      </c>
      <c r="B95" s="31">
        <f>step3_validation[[#This Row],[Used_Seed]]</f>
        <v>2119</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7</v>
      </c>
      <c r="R95">
        <f t="shared" si="27"/>
        <v>0.66666666666666663</v>
      </c>
      <c r="S95">
        <f>survey_responses[[#This Row],[Tôi tin rằng với các quy định quản lý thuế hiện nay, hành vi gian lận hoặc trốn thuế sẽ dễ dàng bị phát hiện và xử lý nghiêm. - HUMAN-ENF1]]</f>
        <v>9</v>
      </c>
      <c r="T95">
        <f t="shared" si="28"/>
        <v>0.88888888888888884</v>
      </c>
      <c r="U95">
        <f>step3_validation[[#This Row],[AI_ENF2]]</f>
        <v>6</v>
      </c>
      <c r="V95">
        <f t="shared" si="29"/>
        <v>0.55555555555555558</v>
      </c>
      <c r="W95">
        <f>survey_responses[[#This Row],[Tôi tin rằng Nhà nước, cơ quan thuế có đủ khả năng và công nghệ để phát hiện, xử lý nghiêm các hành vi trốn thuế. - HUMAN-ENF2]]</f>
        <v>7</v>
      </c>
      <c r="X95">
        <f t="shared" si="30"/>
        <v>0.66666666666666663</v>
      </c>
      <c r="Y95" s="32">
        <f t="shared" si="31"/>
        <v>0.61111111111111116</v>
      </c>
      <c r="Z95" s="32">
        <f t="shared" si="32"/>
        <v>0.77777777777777768</v>
      </c>
      <c r="AA95">
        <f>step3_validation[[#This Row],[AI_FAC1]]</f>
        <v>5</v>
      </c>
      <c r="AB95">
        <f t="shared" si="33"/>
        <v>0.44444444444444442</v>
      </c>
      <c r="AC95">
        <f>survey_responses[[#This Row],[Các thủ tục khai báo thuế VÀ/HOẶC quy trình làm việc với cơ quan thuế đơn giản, tiện lợi, nhanh chóng hơn so với trước đây. - HUMAN-FAC1]]</f>
        <v>5</v>
      </c>
      <c r="AD95">
        <f t="shared" si="34"/>
        <v>0.44444444444444442</v>
      </c>
      <c r="AE95">
        <f>step3_validation[[#This Row],[AI_FAC2]]</f>
        <v>8</v>
      </c>
      <c r="AF95">
        <f t="shared" si="35"/>
        <v>0.77777777777777779</v>
      </c>
      <c r="AG95">
        <f>survey_responses[[#This Row],[So với trước đây, tôi thấy cách tính thuế và các bậc thuế trong phương án mới đơn giản, dễ hiểu và dễ thực hiện hơn. - HUMAN-FAC2]]</f>
        <v>7</v>
      </c>
      <c r="AH95">
        <f t="shared" si="36"/>
        <v>0.66666666666666663</v>
      </c>
      <c r="AI95" s="32">
        <f t="shared" si="37"/>
        <v>0.61111111111111116</v>
      </c>
      <c r="AJ95" s="32">
        <f t="shared" si="38"/>
        <v>0.55555555555555558</v>
      </c>
      <c r="AK95">
        <f>step3_validation[[#This Row],[AI_TRU1]]</f>
        <v>7</v>
      </c>
      <c r="AL95">
        <f t="shared" si="39"/>
        <v>0.66666666666666663</v>
      </c>
      <c r="AM95">
        <f>survey_responses[[#This Row],[Tôi tin rằng Nhà nước, cơ quan thuế sẽ thực thi chính sách mới một cách khách quan, công tâm và đối xử bình đẳng với mọi người nộp thuế.  - HUMAN-TRU1]]</f>
        <v>5</v>
      </c>
      <c r="AN95">
        <f t="shared" si="40"/>
        <v>0.44444444444444442</v>
      </c>
      <c r="AO95">
        <f>step3_validation[[#This Row],[AI_TRU2]]</f>
        <v>8</v>
      </c>
      <c r="AP95">
        <f t="shared" si="41"/>
        <v>0.77777777777777779</v>
      </c>
      <c r="AQ95">
        <f>survey_responses[[#This Row],[Tôi thấy mức thuế tôi phải đóng theo phương án mới là công bằng (người thu nhập như tôi đóng mức này là hợp lý). - HUMAN-TRU2]]</f>
        <v>8</v>
      </c>
      <c r="AR95">
        <f t="shared" si="42"/>
        <v>0.77777777777777779</v>
      </c>
      <c r="AS95">
        <f>step3_validation[[#This Row],[AI_TRU3]]</f>
        <v>6</v>
      </c>
      <c r="AT95">
        <f t="shared" si="43"/>
        <v>0.55555555555555558</v>
      </c>
      <c r="AU95">
        <f>survey_responses[[#This Row],[Tôi tin tưởng số tiền thuế tôi đóng sẽ được Nhà nước sử dụng hiệu quả để cải thiện dịch vụ công (y tế, đường xá...). - HUMAN-TRU3]]</f>
        <v>5</v>
      </c>
      <c r="AV95">
        <f t="shared" si="44"/>
        <v>0.44444444444444442</v>
      </c>
      <c r="AW95">
        <f>step3_validation[[#This Row],[AI_TRU4]]</f>
        <v>9</v>
      </c>
      <c r="AX95">
        <f t="shared" si="45"/>
        <v>0.88888888888888884</v>
      </c>
      <c r="AY95">
        <f>survey_responses[[#This Row],[Tôi thấy Nhà nước đã giải thích rõ ràng, minh bạch về lý do và mục tiêu của việc sửa đổi thuế lần này. - HUMAN-TRU4]]</f>
        <v>5</v>
      </c>
      <c r="AZ95">
        <f t="shared" si="46"/>
        <v>0.44444444444444442</v>
      </c>
      <c r="BA95" s="32">
        <f t="shared" si="47"/>
        <v>0.72222222222222221</v>
      </c>
      <c r="BB95" s="32">
        <f t="shared" si="48"/>
        <v>0.52777777777777779</v>
      </c>
      <c r="BC95" s="7">
        <f t="shared" si="49"/>
        <v>0.64814814814814825</v>
      </c>
      <c r="BD95" s="7">
        <f t="shared" si="50"/>
        <v>0.62037037037037035</v>
      </c>
      <c r="BE95">
        <f>step3_validation[[#This Row],[AI_OUT1]]</f>
        <v>8</v>
      </c>
      <c r="BF95">
        <f t="shared" si="51"/>
        <v>0.77777777777777779</v>
      </c>
      <c r="BG95">
        <f>survey_responses[[#This Row],[Sau khi xem xét các quyền lợi và nghĩa vụ, bạn có ủng hộ và tuân thủ chính sách mới hiện nay? - HUMAN-OUT1]]</f>
        <v>7</v>
      </c>
      <c r="BH95">
        <f t="shared" si="52"/>
        <v>0.66666666666666663</v>
      </c>
      <c r="BI95" s="32">
        <f t="shared" si="53"/>
        <v>1</v>
      </c>
    </row>
    <row r="96" spans="1:61" x14ac:dyDescent="0.45">
      <c r="A96" s="30">
        <f>step3_validation[[#This Row],[Persona_ID]]</f>
        <v>95</v>
      </c>
      <c r="B96" s="31">
        <f>step3_validation[[#This Row],[Used_Seed]]</f>
        <v>2120</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32.797203467003534</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6</v>
      </c>
      <c r="R96">
        <f t="shared" si="27"/>
        <v>0.55555555555555558</v>
      </c>
      <c r="S96">
        <f>survey_responses[[#This Row],[Tôi tin rằng với các quy định quản lý thuế hiện nay, hành vi gian lận hoặc trốn thuế sẽ dễ dàng bị phát hiện và xử lý nghiêm. - HUMAN-ENF1]]</f>
        <v>4</v>
      </c>
      <c r="T96">
        <f t="shared" si="28"/>
        <v>0.33333333333333331</v>
      </c>
      <c r="U96">
        <f>step3_validation[[#This Row],[AI_ENF2]]</f>
        <v>8</v>
      </c>
      <c r="V96">
        <f t="shared" si="29"/>
        <v>0.77777777777777779</v>
      </c>
      <c r="W96">
        <f>survey_responses[[#This Row],[Tôi tin rằng Nhà nước, cơ quan thuế có đủ khả năng và công nghệ để phát hiện, xử lý nghiêm các hành vi trốn thuế. - HUMAN-ENF2]]</f>
        <v>6</v>
      </c>
      <c r="X96">
        <f t="shared" si="30"/>
        <v>0.55555555555555558</v>
      </c>
      <c r="Y96" s="32">
        <f t="shared" si="31"/>
        <v>0.66666666666666674</v>
      </c>
      <c r="Z96" s="32">
        <f t="shared" si="32"/>
        <v>0.44444444444444442</v>
      </c>
      <c r="AA96">
        <f>step3_validation[[#This Row],[AI_FAC1]]</f>
        <v>9</v>
      </c>
      <c r="AB96">
        <f t="shared" si="33"/>
        <v>0.88888888888888884</v>
      </c>
      <c r="AC96">
        <f>survey_responses[[#This Row],[Các thủ tục khai báo thuế VÀ/HOẶC quy trình làm việc với cơ quan thuế đơn giản, tiện lợi, nhanh chóng hơn so với trước đây. - HUMAN-FAC1]]</f>
        <v>5</v>
      </c>
      <c r="AD96">
        <f t="shared" si="34"/>
        <v>0.44444444444444442</v>
      </c>
      <c r="AE96">
        <f>step3_validation[[#This Row],[AI_FAC2]]</f>
        <v>8</v>
      </c>
      <c r="AF96">
        <f t="shared" si="35"/>
        <v>0.77777777777777779</v>
      </c>
      <c r="AG96">
        <f>survey_responses[[#This Row],[So với trước đây, tôi thấy cách tính thuế và các bậc thuế trong phương án mới đơn giản, dễ hiểu và dễ thực hiện hơn. - HUMAN-FAC2]]</f>
        <v>5</v>
      </c>
      <c r="AH96">
        <f t="shared" si="36"/>
        <v>0.44444444444444442</v>
      </c>
      <c r="AI96" s="32">
        <f t="shared" si="37"/>
        <v>0.83333333333333326</v>
      </c>
      <c r="AJ96" s="32">
        <f t="shared" si="38"/>
        <v>0.44444444444444442</v>
      </c>
      <c r="AK96">
        <f>step3_validation[[#This Row],[AI_TRU1]]</f>
        <v>7</v>
      </c>
      <c r="AL96">
        <f t="shared" si="39"/>
        <v>0.66666666666666663</v>
      </c>
      <c r="AM96">
        <f>survey_responses[[#This Row],[Tôi tin rằng Nhà nước, cơ quan thuế sẽ thực thi chính sách mới một cách khách quan, công tâm và đối xử bình đẳng với mọi người nộp thuế.  - HUMAN-TRU1]]</f>
        <v>4</v>
      </c>
      <c r="AN96">
        <f t="shared" si="40"/>
        <v>0.33333333333333331</v>
      </c>
      <c r="AO96">
        <f>step3_validation[[#This Row],[AI_TRU2]]</f>
        <v>8</v>
      </c>
      <c r="AP96">
        <f t="shared" si="41"/>
        <v>0.77777777777777779</v>
      </c>
      <c r="AQ96">
        <f>survey_responses[[#This Row],[Tôi thấy mức thuế tôi phải đóng theo phương án mới là công bằng (người thu nhập như tôi đóng mức này là hợp lý). - HUMAN-TRU2]]</f>
        <v>4</v>
      </c>
      <c r="AR96">
        <f t="shared" si="42"/>
        <v>0.33333333333333331</v>
      </c>
      <c r="AS96">
        <f>step3_validation[[#This Row],[AI_TRU3]]</f>
        <v>7</v>
      </c>
      <c r="AT96">
        <f t="shared" si="43"/>
        <v>0.66666666666666663</v>
      </c>
      <c r="AU96">
        <f>survey_responses[[#This Row],[Tôi tin tưởng số tiền thuế tôi đóng sẽ được Nhà nước sử dụng hiệu quả để cải thiện dịch vụ công (y tế, đường xá...). - HUMAN-TRU3]]</f>
        <v>3</v>
      </c>
      <c r="AV96">
        <f t="shared" si="44"/>
        <v>0.22222222222222221</v>
      </c>
      <c r="AW96">
        <f>step3_validation[[#This Row],[AI_TRU4]]</f>
        <v>6</v>
      </c>
      <c r="AX96">
        <f t="shared" si="45"/>
        <v>0.55555555555555558</v>
      </c>
      <c r="AY96">
        <f>survey_responses[[#This Row],[Tôi thấy Nhà nước đã giải thích rõ ràng, minh bạch về lý do và mục tiêu của việc sửa đổi thuế lần này. - HUMAN-TRU4]]</f>
        <v>4</v>
      </c>
      <c r="AZ96">
        <f t="shared" si="46"/>
        <v>0.33333333333333331</v>
      </c>
      <c r="BA96" s="32">
        <f t="shared" si="47"/>
        <v>0.66666666666666674</v>
      </c>
      <c r="BB96" s="32">
        <f t="shared" si="48"/>
        <v>0.30555555555555552</v>
      </c>
      <c r="BC96" s="7">
        <f t="shared" si="49"/>
        <v>0.72222222222222232</v>
      </c>
      <c r="BD96" s="7">
        <f t="shared" si="50"/>
        <v>0.39814814814814814</v>
      </c>
      <c r="BE96">
        <f>step3_validation[[#This Row],[AI_OUT1]]</f>
        <v>8</v>
      </c>
      <c r="BF96">
        <f t="shared" si="51"/>
        <v>0.77777777777777779</v>
      </c>
      <c r="BG96">
        <f>survey_responses[[#This Row],[Sau khi xem xét các quyền lợi và nghĩa vụ, bạn có ủng hộ và tuân thủ chính sách mới hiện nay? - HUMAN-OUT1]]</f>
        <v>3</v>
      </c>
      <c r="BH96">
        <f t="shared" si="52"/>
        <v>0.22222222222222221</v>
      </c>
      <c r="BI96" s="32">
        <f t="shared" si="53"/>
        <v>5</v>
      </c>
    </row>
    <row r="97" spans="1:61" x14ac:dyDescent="0.45">
      <c r="A97" s="30">
        <f>step3_validation[[#This Row],[Persona_ID]]</f>
        <v>96</v>
      </c>
      <c r="B97" s="31">
        <f>step3_validation[[#This Row],[Used_Seed]]</f>
        <v>2121</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7</v>
      </c>
      <c r="R97">
        <f t="shared" si="27"/>
        <v>0.66666666666666663</v>
      </c>
      <c r="S97">
        <f>survey_responses[[#This Row],[Tôi tin rằng với các quy định quản lý thuế hiện nay, hành vi gian lận hoặc trốn thuế sẽ dễ dàng bị phát hiện và xử lý nghiêm. - HUMAN-ENF1]]</f>
        <v>8</v>
      </c>
      <c r="T97">
        <f t="shared" si="28"/>
        <v>0.77777777777777779</v>
      </c>
      <c r="U97">
        <f>step3_validation[[#This Row],[AI_ENF2]]</f>
        <v>8</v>
      </c>
      <c r="V97">
        <f t="shared" si="29"/>
        <v>0.77777777777777779</v>
      </c>
      <c r="W97">
        <f>survey_responses[[#This Row],[Tôi tin rằng Nhà nước, cơ quan thuế có đủ khả năng và công nghệ để phát hiện, xử lý nghiêm các hành vi trốn thuế. - HUMAN-ENF2]]</f>
        <v>7</v>
      </c>
      <c r="X97">
        <f t="shared" si="30"/>
        <v>0.66666666666666663</v>
      </c>
      <c r="Y97" s="32">
        <f t="shared" si="31"/>
        <v>0.72222222222222221</v>
      </c>
      <c r="Z97" s="32">
        <f t="shared" si="32"/>
        <v>0.72222222222222221</v>
      </c>
      <c r="AA97">
        <f>step3_validation[[#This Row],[AI_FAC1]]</f>
        <v>9</v>
      </c>
      <c r="AB97">
        <f t="shared" si="33"/>
        <v>0.88888888888888884</v>
      </c>
      <c r="AC97">
        <f>survey_responses[[#This Row],[Các thủ tục khai báo thuế VÀ/HOẶC quy trình làm việc với cơ quan thuế đơn giản, tiện lợi, nhanh chóng hơn so với trước đây. - HUMAN-FAC1]]</f>
        <v>5</v>
      </c>
      <c r="AD97">
        <f t="shared" si="34"/>
        <v>0.44444444444444442</v>
      </c>
      <c r="AE97">
        <f>step3_validation[[#This Row],[AI_FAC2]]</f>
        <v>10</v>
      </c>
      <c r="AF97">
        <f t="shared" si="35"/>
        <v>1</v>
      </c>
      <c r="AG97">
        <f>survey_responses[[#This Row],[So với trước đây, tôi thấy cách tính thuế và các bậc thuế trong phương án mới đơn giản, dễ hiểu và dễ thực hiện hơn. - HUMAN-FAC2]]</f>
        <v>7</v>
      </c>
      <c r="AH97">
        <f t="shared" si="36"/>
        <v>0.66666666666666663</v>
      </c>
      <c r="AI97" s="32">
        <f t="shared" si="37"/>
        <v>0.94444444444444442</v>
      </c>
      <c r="AJ97" s="32">
        <f t="shared" si="38"/>
        <v>0.55555555555555558</v>
      </c>
      <c r="AK97">
        <f>step3_validation[[#This Row],[AI_TRU1]]</f>
        <v>9</v>
      </c>
      <c r="AL97">
        <f t="shared" si="39"/>
        <v>0.88888888888888884</v>
      </c>
      <c r="AM97">
        <f>survey_responses[[#This Row],[Tôi tin rằng Nhà nước, cơ quan thuế sẽ thực thi chính sách mới một cách khách quan, công tâm và đối xử bình đẳng với mọi người nộp thuế.  - HUMAN-TRU1]]</f>
        <v>7</v>
      </c>
      <c r="AN97">
        <f t="shared" si="40"/>
        <v>0.66666666666666663</v>
      </c>
      <c r="AO97">
        <f>step3_validation[[#This Row],[AI_TRU2]]</f>
        <v>8</v>
      </c>
      <c r="AP97">
        <f t="shared" si="41"/>
        <v>0.77777777777777779</v>
      </c>
      <c r="AQ97">
        <f>survey_responses[[#This Row],[Tôi thấy mức thuế tôi phải đóng theo phương án mới là công bằng (người thu nhập như tôi đóng mức này là hợp lý). - HUMAN-TRU2]]</f>
        <v>5</v>
      </c>
      <c r="AR97">
        <f t="shared" si="42"/>
        <v>0.44444444444444442</v>
      </c>
      <c r="AS97">
        <f>step3_validation[[#This Row],[AI_TRU3]]</f>
        <v>9</v>
      </c>
      <c r="AT97">
        <f t="shared" si="43"/>
        <v>0.88888888888888884</v>
      </c>
      <c r="AU97">
        <f>survey_responses[[#This Row],[Tôi tin tưởng số tiền thuế tôi đóng sẽ được Nhà nước sử dụng hiệu quả để cải thiện dịch vụ công (y tế, đường xá...). - HUMAN-TRU3]]</f>
        <v>5</v>
      </c>
      <c r="AV97">
        <f t="shared" si="44"/>
        <v>0.44444444444444442</v>
      </c>
      <c r="AW97">
        <f>step3_validation[[#This Row],[AI_TRU4]]</f>
        <v>8</v>
      </c>
      <c r="AX97">
        <f t="shared" si="45"/>
        <v>0.77777777777777779</v>
      </c>
      <c r="AY97">
        <f>survey_responses[[#This Row],[Tôi thấy Nhà nước đã giải thích rõ ràng, minh bạch về lý do và mục tiêu của việc sửa đổi thuế lần này. - HUMAN-TRU4]]</f>
        <v>7</v>
      </c>
      <c r="AZ97">
        <f t="shared" si="46"/>
        <v>0.66666666666666663</v>
      </c>
      <c r="BA97" s="32">
        <f t="shared" si="47"/>
        <v>0.83333333333333326</v>
      </c>
      <c r="BB97" s="32">
        <f t="shared" si="48"/>
        <v>0.55555555555555558</v>
      </c>
      <c r="BC97" s="7">
        <f t="shared" si="49"/>
        <v>0.83333333333333337</v>
      </c>
      <c r="BD97" s="7">
        <f t="shared" si="50"/>
        <v>0.61111111111111105</v>
      </c>
      <c r="BE97">
        <f>step3_validation[[#This Row],[AI_OUT1]]</f>
        <v>9</v>
      </c>
      <c r="BF97">
        <f t="shared" si="51"/>
        <v>0.88888888888888884</v>
      </c>
      <c r="BG97">
        <f>survey_responses[[#This Row],[Sau khi xem xét các quyền lợi và nghĩa vụ, bạn có ủng hộ và tuân thủ chính sách mới hiện nay? - HUMAN-OUT1]]</f>
        <v>7</v>
      </c>
      <c r="BH97">
        <f t="shared" si="52"/>
        <v>0.66666666666666663</v>
      </c>
      <c r="BI97" s="32">
        <f t="shared" si="53"/>
        <v>2</v>
      </c>
    </row>
    <row r="98" spans="1:61" x14ac:dyDescent="0.45">
      <c r="A98" s="30">
        <f>step3_validation[[#This Row],[Persona_ID]]</f>
        <v>97</v>
      </c>
      <c r="B98" s="31">
        <f>step3_validation[[#This Row],[Used_Seed]]</f>
        <v>2122</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199.28255035736009</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7</v>
      </c>
      <c r="R98">
        <f t="shared" si="27"/>
        <v>0.66666666666666663</v>
      </c>
      <c r="S98">
        <f>survey_responses[[#This Row],[Tôi tin rằng với các quy định quản lý thuế hiện nay, hành vi gian lận hoặc trốn thuế sẽ dễ dàng bị phát hiện và xử lý nghiêm. - HUMAN-ENF1]]</f>
        <v>6</v>
      </c>
      <c r="T98">
        <f t="shared" si="28"/>
        <v>0.55555555555555558</v>
      </c>
      <c r="U98">
        <f>step3_validation[[#This Row],[AI_ENF2]]</f>
        <v>8</v>
      </c>
      <c r="V98">
        <f t="shared" si="29"/>
        <v>0.77777777777777779</v>
      </c>
      <c r="W98">
        <f>survey_responses[[#This Row],[Tôi tin rằng Nhà nước, cơ quan thuế có đủ khả năng và công nghệ để phát hiện, xử lý nghiêm các hành vi trốn thuế. - HUMAN-ENF2]]</f>
        <v>6</v>
      </c>
      <c r="X98">
        <f t="shared" si="30"/>
        <v>0.55555555555555558</v>
      </c>
      <c r="Y98" s="32">
        <f t="shared" si="31"/>
        <v>0.72222222222222221</v>
      </c>
      <c r="Z98" s="32">
        <f t="shared" si="32"/>
        <v>0.55555555555555558</v>
      </c>
      <c r="AA98">
        <f>step3_validation[[#This Row],[AI_FAC1]]</f>
        <v>7</v>
      </c>
      <c r="AB98">
        <f t="shared" si="33"/>
        <v>0.66666666666666663</v>
      </c>
      <c r="AC98">
        <f>survey_responses[[#This Row],[Các thủ tục khai báo thuế VÀ/HOẶC quy trình làm việc với cơ quan thuế đơn giản, tiện lợi, nhanh chóng hơn so với trước đây. - HUMAN-FAC1]]</f>
        <v>5</v>
      </c>
      <c r="AD98">
        <f t="shared" si="34"/>
        <v>0.44444444444444442</v>
      </c>
      <c r="AE98">
        <f>step3_validation[[#This Row],[AI_FAC2]]</f>
        <v>9</v>
      </c>
      <c r="AF98">
        <f t="shared" si="35"/>
        <v>0.88888888888888884</v>
      </c>
      <c r="AG98">
        <f>survey_responses[[#This Row],[So với trước đây, tôi thấy cách tính thuế và các bậc thuế trong phương án mới đơn giản, dễ hiểu và dễ thực hiện hơn. - HUMAN-FAC2]]</f>
        <v>5</v>
      </c>
      <c r="AH98">
        <f t="shared" si="36"/>
        <v>0.44444444444444442</v>
      </c>
      <c r="AI98" s="32">
        <f t="shared" si="37"/>
        <v>0.77777777777777768</v>
      </c>
      <c r="AJ98" s="32">
        <f t="shared" si="38"/>
        <v>0.44444444444444442</v>
      </c>
      <c r="AK98">
        <f>step3_validation[[#This Row],[AI_TRU1]]</f>
        <v>6</v>
      </c>
      <c r="AL98">
        <f t="shared" si="39"/>
        <v>0.55555555555555558</v>
      </c>
      <c r="AM98">
        <f>survey_responses[[#This Row],[Tôi tin rằng Nhà nước, cơ quan thuế sẽ thực thi chính sách mới một cách khách quan, công tâm và đối xử bình đẳng với mọi người nộp thuế.  - HUMAN-TRU1]]</f>
        <v>5</v>
      </c>
      <c r="AN98">
        <f t="shared" si="40"/>
        <v>0.44444444444444442</v>
      </c>
      <c r="AO98">
        <f>step3_validation[[#This Row],[AI_TRU2]]</f>
        <v>9</v>
      </c>
      <c r="AP98">
        <f t="shared" si="41"/>
        <v>0.88888888888888884</v>
      </c>
      <c r="AQ98">
        <f>survey_responses[[#This Row],[Tôi thấy mức thuế tôi phải đóng theo phương án mới là công bằng (người thu nhập như tôi đóng mức này là hợp lý). - HUMAN-TRU2]]</f>
        <v>5</v>
      </c>
      <c r="AR98">
        <f t="shared" si="42"/>
        <v>0.44444444444444442</v>
      </c>
      <c r="AS98">
        <f>step3_validation[[#This Row],[AI_TRU3]]</f>
        <v>6</v>
      </c>
      <c r="AT98">
        <f t="shared" si="43"/>
        <v>0.55555555555555558</v>
      </c>
      <c r="AU98">
        <f>survey_responses[[#This Row],[Tôi tin tưởng số tiền thuế tôi đóng sẽ được Nhà nước sử dụng hiệu quả để cải thiện dịch vụ công (y tế, đường xá...). - HUMAN-TRU3]]</f>
        <v>5</v>
      </c>
      <c r="AV98">
        <f t="shared" si="44"/>
        <v>0.44444444444444442</v>
      </c>
      <c r="AW98">
        <f>step3_validation[[#This Row],[AI_TRU4]]</f>
        <v>7</v>
      </c>
      <c r="AX98">
        <f t="shared" si="45"/>
        <v>0.66666666666666663</v>
      </c>
      <c r="AY98">
        <f>survey_responses[[#This Row],[Tôi thấy Nhà nước đã giải thích rõ ràng, minh bạch về lý do và mục tiêu của việc sửa đổi thuế lần này. - HUMAN-TRU4]]</f>
        <v>5</v>
      </c>
      <c r="AZ98">
        <f t="shared" si="46"/>
        <v>0.44444444444444442</v>
      </c>
      <c r="BA98" s="32">
        <f t="shared" si="47"/>
        <v>0.66666666666666663</v>
      </c>
      <c r="BB98" s="32">
        <f t="shared" si="48"/>
        <v>0.44444444444444442</v>
      </c>
      <c r="BC98" s="7">
        <f t="shared" si="49"/>
        <v>0.72222222222222221</v>
      </c>
      <c r="BD98" s="7">
        <f t="shared" si="50"/>
        <v>0.48148148148148145</v>
      </c>
      <c r="BE98">
        <f>step3_validation[[#This Row],[AI_OUT1]]</f>
        <v>8</v>
      </c>
      <c r="BF98">
        <f t="shared" si="51"/>
        <v>0.77777777777777779</v>
      </c>
      <c r="BG98">
        <f>survey_responses[[#This Row],[Sau khi xem xét các quyền lợi và nghĩa vụ, bạn có ủng hộ và tuân thủ chính sách mới hiện nay? - HUMAN-OUT1]]</f>
        <v>5</v>
      </c>
      <c r="BH98">
        <f t="shared" si="52"/>
        <v>0.44444444444444442</v>
      </c>
      <c r="BI98" s="32">
        <f t="shared" si="53"/>
        <v>3</v>
      </c>
    </row>
    <row r="99" spans="1:61" x14ac:dyDescent="0.45">
      <c r="A99" s="30">
        <f>step3_validation[[#This Row],[Persona_ID]]</f>
        <v>98</v>
      </c>
      <c r="B99" s="31">
        <f>step3_validation[[#This Row],[Used_Seed]]</f>
        <v>2123</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18.927292328244672</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7</v>
      </c>
      <c r="R99">
        <f t="shared" si="27"/>
        <v>0.66666666666666663</v>
      </c>
      <c r="S99">
        <f>survey_responses[[#This Row],[Tôi tin rằng với các quy định quản lý thuế hiện nay, hành vi gian lận hoặc trốn thuế sẽ dễ dàng bị phát hiện và xử lý nghiêm. - HUMAN-ENF1]]</f>
        <v>8</v>
      </c>
      <c r="T99">
        <f t="shared" si="28"/>
        <v>0.77777777777777779</v>
      </c>
      <c r="U99">
        <f>step3_validation[[#This Row],[AI_ENF2]]</f>
        <v>6</v>
      </c>
      <c r="V99">
        <f t="shared" si="29"/>
        <v>0.55555555555555558</v>
      </c>
      <c r="W99">
        <f>survey_responses[[#This Row],[Tôi tin rằng Nhà nước, cơ quan thuế có đủ khả năng và công nghệ để phát hiện, xử lý nghiêm các hành vi trốn thuế. - HUMAN-ENF2]]</f>
        <v>8</v>
      </c>
      <c r="X99">
        <f t="shared" si="30"/>
        <v>0.77777777777777779</v>
      </c>
      <c r="Y99" s="32">
        <f t="shared" si="31"/>
        <v>0.61111111111111116</v>
      </c>
      <c r="Z99" s="32">
        <f t="shared" si="32"/>
        <v>0.77777777777777779</v>
      </c>
      <c r="AA99">
        <f>step3_validation[[#This Row],[AI_FAC1]]</f>
        <v>8</v>
      </c>
      <c r="AB99">
        <f t="shared" si="33"/>
        <v>0.77777777777777779</v>
      </c>
      <c r="AC99">
        <f>survey_responses[[#This Row],[Các thủ tục khai báo thuế VÀ/HOẶC quy trình làm việc với cơ quan thuế đơn giản, tiện lợi, nhanh chóng hơn so với trước đây. - HUMAN-FAC1]]</f>
        <v>5</v>
      </c>
      <c r="AD99">
        <f t="shared" si="34"/>
        <v>0.44444444444444442</v>
      </c>
      <c r="AE99">
        <f>step3_validation[[#This Row],[AI_FAC2]]</f>
        <v>9</v>
      </c>
      <c r="AF99">
        <f t="shared" si="35"/>
        <v>0.88888888888888884</v>
      </c>
      <c r="AG99">
        <f>survey_responses[[#This Row],[So với trước đây, tôi thấy cách tính thuế và các bậc thuế trong phương án mới đơn giản, dễ hiểu và dễ thực hiện hơn. - HUMAN-FAC2]]</f>
        <v>8</v>
      </c>
      <c r="AH99">
        <f t="shared" si="36"/>
        <v>0.77777777777777779</v>
      </c>
      <c r="AI99" s="32">
        <f t="shared" si="37"/>
        <v>0.83333333333333326</v>
      </c>
      <c r="AJ99" s="32">
        <f t="shared" si="38"/>
        <v>0.61111111111111116</v>
      </c>
      <c r="AK99">
        <f>step3_validation[[#This Row],[AI_TRU1]]</f>
        <v>7</v>
      </c>
      <c r="AL99">
        <f t="shared" si="39"/>
        <v>0.66666666666666663</v>
      </c>
      <c r="AM99">
        <f>survey_responses[[#This Row],[Tôi tin rằng Nhà nước, cơ quan thuế sẽ thực thi chính sách mới một cách khách quan, công tâm và đối xử bình đẳng với mọi người nộp thuế.  - HUMAN-TRU1]]</f>
        <v>6</v>
      </c>
      <c r="AN99">
        <f t="shared" si="40"/>
        <v>0.55555555555555558</v>
      </c>
      <c r="AO99">
        <f>step3_validation[[#This Row],[AI_TRU2]]</f>
        <v>8</v>
      </c>
      <c r="AP99">
        <f t="shared" si="41"/>
        <v>0.77777777777777779</v>
      </c>
      <c r="AQ99">
        <f>survey_responses[[#This Row],[Tôi thấy mức thuế tôi phải đóng theo phương án mới là công bằng (người thu nhập như tôi đóng mức này là hợp lý). - HUMAN-TRU2]]</f>
        <v>9</v>
      </c>
      <c r="AR99">
        <f t="shared" si="42"/>
        <v>0.88888888888888884</v>
      </c>
      <c r="AS99">
        <f>step3_validation[[#This Row],[AI_TRU3]]</f>
        <v>7</v>
      </c>
      <c r="AT99">
        <f t="shared" si="43"/>
        <v>0.66666666666666663</v>
      </c>
      <c r="AU99">
        <f>survey_responses[[#This Row],[Tôi tin tưởng số tiền thuế tôi đóng sẽ được Nhà nước sử dụng hiệu quả để cải thiện dịch vụ công (y tế, đường xá...). - HUMAN-TRU3]]</f>
        <v>5</v>
      </c>
      <c r="AV99">
        <f t="shared" si="44"/>
        <v>0.44444444444444442</v>
      </c>
      <c r="AW99">
        <f>step3_validation[[#This Row],[AI_TRU4]]</f>
        <v>6</v>
      </c>
      <c r="AX99">
        <f t="shared" si="45"/>
        <v>0.55555555555555558</v>
      </c>
      <c r="AY99">
        <f>survey_responses[[#This Row],[Tôi thấy Nhà nước đã giải thích rõ ràng, minh bạch về lý do và mục tiêu của việc sửa đổi thuế lần này. - HUMAN-TRU4]]</f>
        <v>7</v>
      </c>
      <c r="AZ99">
        <f t="shared" si="46"/>
        <v>0.66666666666666663</v>
      </c>
      <c r="BA99" s="32">
        <f t="shared" si="47"/>
        <v>0.66666666666666674</v>
      </c>
      <c r="BB99" s="32">
        <f t="shared" si="48"/>
        <v>0.63888888888888884</v>
      </c>
      <c r="BC99" s="7">
        <f t="shared" si="49"/>
        <v>0.70370370370370372</v>
      </c>
      <c r="BD99" s="7">
        <f t="shared" si="50"/>
        <v>0.67592592592592593</v>
      </c>
      <c r="BE99">
        <f>step3_validation[[#This Row],[AI_OUT1]]</f>
        <v>9</v>
      </c>
      <c r="BF99">
        <f t="shared" si="51"/>
        <v>0.88888888888888884</v>
      </c>
      <c r="BG99">
        <f>survey_responses[[#This Row],[Sau khi xem xét các quyền lợi và nghĩa vụ, bạn có ủng hộ và tuân thủ chính sách mới hiện nay? - HUMAN-OUT1]]</f>
        <v>8</v>
      </c>
      <c r="BH99">
        <f t="shared" si="52"/>
        <v>0.77777777777777779</v>
      </c>
      <c r="BI99" s="32">
        <f t="shared" si="53"/>
        <v>1</v>
      </c>
    </row>
    <row r="100" spans="1:61" x14ac:dyDescent="0.45">
      <c r="A100" s="30">
        <f>step3_validation[[#This Row],[Persona_ID]]</f>
        <v>99</v>
      </c>
      <c r="B100" s="31">
        <f>step3_validation[[#This Row],[Used_Seed]]</f>
        <v>2124</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26.243013701026527</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6</v>
      </c>
      <c r="R100">
        <f t="shared" si="27"/>
        <v>0.55555555555555558</v>
      </c>
      <c r="S100">
        <f>survey_responses[[#This Row],[Tôi tin rằng với các quy định quản lý thuế hiện nay, hành vi gian lận hoặc trốn thuế sẽ dễ dàng bị phát hiện và xử lý nghiêm. - HUMAN-ENF1]]</f>
        <v>6</v>
      </c>
      <c r="T100">
        <f t="shared" si="28"/>
        <v>0.55555555555555558</v>
      </c>
      <c r="U100">
        <f>step3_validation[[#This Row],[AI_ENF2]]</f>
        <v>7</v>
      </c>
      <c r="V100">
        <f t="shared" si="29"/>
        <v>0.66666666666666663</v>
      </c>
      <c r="W100">
        <f>survey_responses[[#This Row],[Tôi tin rằng Nhà nước, cơ quan thuế có đủ khả năng và công nghệ để phát hiện, xử lý nghiêm các hành vi trốn thuế. - HUMAN-ENF2]]</f>
        <v>6</v>
      </c>
      <c r="X100">
        <f t="shared" si="30"/>
        <v>0.55555555555555558</v>
      </c>
      <c r="Y100" s="32">
        <f t="shared" si="31"/>
        <v>0.61111111111111116</v>
      </c>
      <c r="Z100" s="32">
        <f t="shared" si="32"/>
        <v>0.55555555555555558</v>
      </c>
      <c r="AA100">
        <f>step3_validation[[#This Row],[AI_FAC1]]</f>
        <v>9</v>
      </c>
      <c r="AB100">
        <f t="shared" si="33"/>
        <v>0.88888888888888884</v>
      </c>
      <c r="AC100">
        <f>survey_responses[[#This Row],[Các thủ tục khai báo thuế VÀ/HOẶC quy trình làm việc với cơ quan thuế đơn giản, tiện lợi, nhanh chóng hơn so với trước đây. - HUMAN-FAC1]]</f>
        <v>3</v>
      </c>
      <c r="AD100">
        <f t="shared" si="34"/>
        <v>0.22222222222222221</v>
      </c>
      <c r="AE100">
        <f>step3_validation[[#This Row],[AI_FAC2]]</f>
        <v>9</v>
      </c>
      <c r="AF100">
        <f t="shared" si="35"/>
        <v>0.88888888888888884</v>
      </c>
      <c r="AG100">
        <f>survey_responses[[#This Row],[So với trước đây, tôi thấy cách tính thuế và các bậc thuế trong phương án mới đơn giản, dễ hiểu và dễ thực hiện hơn. - HUMAN-FAC2]]</f>
        <v>6</v>
      </c>
      <c r="AH100">
        <f t="shared" si="36"/>
        <v>0.55555555555555558</v>
      </c>
      <c r="AI100" s="32">
        <f t="shared" si="37"/>
        <v>0.88888888888888884</v>
      </c>
      <c r="AJ100" s="32">
        <f t="shared" si="38"/>
        <v>0.3888888888888889</v>
      </c>
      <c r="AK100">
        <f>step3_validation[[#This Row],[AI_TRU1]]</f>
        <v>7</v>
      </c>
      <c r="AL100">
        <f t="shared" si="39"/>
        <v>0.66666666666666663</v>
      </c>
      <c r="AM100">
        <f>survey_responses[[#This Row],[Tôi tin rằng Nhà nước, cơ quan thuế sẽ thực thi chính sách mới một cách khách quan, công tâm và đối xử bình đẳng với mọi người nộp thuế.  - HUMAN-TRU1]]</f>
        <v>5</v>
      </c>
      <c r="AN100">
        <f t="shared" si="40"/>
        <v>0.44444444444444442</v>
      </c>
      <c r="AO100">
        <f>step3_validation[[#This Row],[AI_TRU2]]</f>
        <v>8</v>
      </c>
      <c r="AP100">
        <f t="shared" si="41"/>
        <v>0.77777777777777779</v>
      </c>
      <c r="AQ100">
        <f>survey_responses[[#This Row],[Tôi thấy mức thuế tôi phải đóng theo phương án mới là công bằng (người thu nhập như tôi đóng mức này là hợp lý). - HUMAN-TRU2]]</f>
        <v>6</v>
      </c>
      <c r="AR100">
        <f t="shared" si="42"/>
        <v>0.55555555555555558</v>
      </c>
      <c r="AS100">
        <f>step3_validation[[#This Row],[AI_TRU3]]</f>
        <v>7</v>
      </c>
      <c r="AT100">
        <f t="shared" si="43"/>
        <v>0.66666666666666663</v>
      </c>
      <c r="AU100">
        <f>survey_responses[[#This Row],[Tôi tin tưởng số tiền thuế tôi đóng sẽ được Nhà nước sử dụng hiệu quả để cải thiện dịch vụ công (y tế, đường xá...). - HUMAN-TRU3]]</f>
        <v>5</v>
      </c>
      <c r="AV100">
        <f t="shared" si="44"/>
        <v>0.44444444444444442</v>
      </c>
      <c r="AW100">
        <f>step3_validation[[#This Row],[AI_TRU4]]</f>
        <v>6</v>
      </c>
      <c r="AX100">
        <f t="shared" si="45"/>
        <v>0.55555555555555558</v>
      </c>
      <c r="AY100">
        <f>survey_responses[[#This Row],[Tôi thấy Nhà nước đã giải thích rõ ràng, minh bạch về lý do và mục tiêu của việc sửa đổi thuế lần này. - HUMAN-TRU4]]</f>
        <v>6</v>
      </c>
      <c r="AZ100">
        <f t="shared" si="46"/>
        <v>0.55555555555555558</v>
      </c>
      <c r="BA100" s="32">
        <f t="shared" si="47"/>
        <v>0.66666666666666674</v>
      </c>
      <c r="BB100" s="32">
        <f t="shared" si="48"/>
        <v>0.5</v>
      </c>
      <c r="BC100" s="7">
        <f t="shared" si="49"/>
        <v>0.72222222222222232</v>
      </c>
      <c r="BD100" s="7">
        <f t="shared" si="50"/>
        <v>0.48148148148148145</v>
      </c>
      <c r="BE100">
        <f>step3_validation[[#This Row],[AI_OUT1]]</f>
        <v>9</v>
      </c>
      <c r="BF100">
        <f t="shared" si="51"/>
        <v>0.88888888888888884</v>
      </c>
      <c r="BG100">
        <f>survey_responses[[#This Row],[Sau khi xem xét các quyền lợi và nghĩa vụ, bạn có ủng hộ và tuân thủ chính sách mới hiện nay? - HUMAN-OUT1]]</f>
        <v>6</v>
      </c>
      <c r="BH100">
        <f t="shared" si="52"/>
        <v>0.55555555555555558</v>
      </c>
      <c r="BI100" s="32">
        <f t="shared" si="53"/>
        <v>3</v>
      </c>
    </row>
    <row r="101" spans="1:61" x14ac:dyDescent="0.45">
      <c r="A101" s="30">
        <f>step3_validation[[#This Row],[Persona_ID]]</f>
        <v>100</v>
      </c>
      <c r="B101" s="31">
        <f>step3_validation[[#This Row],[Used_Seed]]</f>
        <v>2125</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13.971867425319756</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6</v>
      </c>
      <c r="R101">
        <f t="shared" si="27"/>
        <v>0.55555555555555558</v>
      </c>
      <c r="S101">
        <f>survey_responses[[#This Row],[Tôi tin rằng với các quy định quản lý thuế hiện nay, hành vi gian lận hoặc trốn thuế sẽ dễ dàng bị phát hiện và xử lý nghiêm. - HUMAN-ENF1]]</f>
        <v>8</v>
      </c>
      <c r="T101">
        <f t="shared" si="28"/>
        <v>0.77777777777777779</v>
      </c>
      <c r="U101">
        <f>step3_validation[[#This Row],[AI_ENF2]]</f>
        <v>5</v>
      </c>
      <c r="V101">
        <f t="shared" si="29"/>
        <v>0.44444444444444442</v>
      </c>
      <c r="W101">
        <f>survey_responses[[#This Row],[Tôi tin rằng Nhà nước, cơ quan thuế có đủ khả năng và công nghệ để phát hiện, xử lý nghiêm các hành vi trốn thuế. - HUMAN-ENF2]]</f>
        <v>8</v>
      </c>
      <c r="X101">
        <f t="shared" si="30"/>
        <v>0.77777777777777779</v>
      </c>
      <c r="Y101" s="32">
        <f t="shared" si="31"/>
        <v>0.5</v>
      </c>
      <c r="Z101" s="32">
        <f t="shared" si="32"/>
        <v>0.77777777777777779</v>
      </c>
      <c r="AA101">
        <f>step3_validation[[#This Row],[AI_FAC1]]</f>
        <v>8</v>
      </c>
      <c r="AB101">
        <f t="shared" si="33"/>
        <v>0.77777777777777779</v>
      </c>
      <c r="AC101">
        <f>survey_responses[[#This Row],[Các thủ tục khai báo thuế VÀ/HOẶC quy trình làm việc với cơ quan thuế đơn giản, tiện lợi, nhanh chóng hơn so với trước đây. - HUMAN-FAC1]]</f>
        <v>8</v>
      </c>
      <c r="AD101">
        <f t="shared" si="34"/>
        <v>0.77777777777777779</v>
      </c>
      <c r="AE101">
        <f>step3_validation[[#This Row],[AI_FAC2]]</f>
        <v>9</v>
      </c>
      <c r="AF101">
        <f t="shared" si="35"/>
        <v>0.88888888888888884</v>
      </c>
      <c r="AG101">
        <f>survey_responses[[#This Row],[So với trước đây, tôi thấy cách tính thuế và các bậc thuế trong phương án mới đơn giản, dễ hiểu và dễ thực hiện hơn. - HUMAN-FAC2]]</f>
        <v>10</v>
      </c>
      <c r="AH101">
        <f t="shared" si="36"/>
        <v>1</v>
      </c>
      <c r="AI101" s="32">
        <f t="shared" si="37"/>
        <v>0.83333333333333326</v>
      </c>
      <c r="AJ101" s="32">
        <f t="shared" si="38"/>
        <v>0.88888888888888884</v>
      </c>
      <c r="AK101">
        <f>step3_validation[[#This Row],[AI_TRU1]]</f>
        <v>8</v>
      </c>
      <c r="AL101">
        <f t="shared" si="39"/>
        <v>0.77777777777777779</v>
      </c>
      <c r="AM101">
        <f>survey_responses[[#This Row],[Tôi tin rằng Nhà nước, cơ quan thuế sẽ thực thi chính sách mới một cách khách quan, công tâm và đối xử bình đẳng với mọi người nộp thuế.  - HUMAN-TRU1]]</f>
        <v>10</v>
      </c>
      <c r="AN101">
        <f t="shared" si="40"/>
        <v>1</v>
      </c>
      <c r="AO101">
        <f>step3_validation[[#This Row],[AI_TRU2]]</f>
        <v>7</v>
      </c>
      <c r="AP101">
        <f t="shared" si="41"/>
        <v>0.66666666666666663</v>
      </c>
      <c r="AQ101">
        <f>survey_responses[[#This Row],[Tôi thấy mức thuế tôi phải đóng theo phương án mới là công bằng (người thu nhập như tôi đóng mức này là hợp lý). - HUMAN-TRU2]]</f>
        <v>10</v>
      </c>
      <c r="AR101">
        <f t="shared" si="42"/>
        <v>1</v>
      </c>
      <c r="AS101">
        <f>step3_validation[[#This Row],[AI_TRU3]]</f>
        <v>6</v>
      </c>
      <c r="AT101">
        <f t="shared" si="43"/>
        <v>0.55555555555555558</v>
      </c>
      <c r="AU101">
        <f>survey_responses[[#This Row],[Tôi tin tưởng số tiền thuế tôi đóng sẽ được Nhà nước sử dụng hiệu quả để cải thiện dịch vụ công (y tế, đường xá...). - HUMAN-TRU3]]</f>
        <v>10</v>
      </c>
      <c r="AV101">
        <f t="shared" si="44"/>
        <v>1</v>
      </c>
      <c r="AW101">
        <f>step3_validation[[#This Row],[AI_TRU4]]</f>
        <v>7</v>
      </c>
      <c r="AX101">
        <f t="shared" si="45"/>
        <v>0.66666666666666663</v>
      </c>
      <c r="AY101">
        <f>survey_responses[[#This Row],[Tôi thấy Nhà nước đã giải thích rõ ràng, minh bạch về lý do và mục tiêu của việc sửa đổi thuế lần này. - HUMAN-TRU4]]</f>
        <v>10</v>
      </c>
      <c r="AZ101">
        <f t="shared" si="46"/>
        <v>1</v>
      </c>
      <c r="BA101" s="32">
        <f t="shared" si="47"/>
        <v>0.66666666666666663</v>
      </c>
      <c r="BB101" s="32">
        <f t="shared" si="48"/>
        <v>1</v>
      </c>
      <c r="BC101" s="7">
        <f t="shared" si="49"/>
        <v>0.66666666666666663</v>
      </c>
      <c r="BD101" s="7">
        <f t="shared" si="50"/>
        <v>0.88888888888888884</v>
      </c>
      <c r="BE101">
        <f>step3_validation[[#This Row],[AI_OUT1]]</f>
        <v>9</v>
      </c>
      <c r="BF101">
        <f t="shared" si="51"/>
        <v>0.88888888888888884</v>
      </c>
      <c r="BG101">
        <f>survey_responses[[#This Row],[Sau khi xem xét các quyền lợi và nghĩa vụ, bạn có ủng hộ và tuân thủ chính sách mới hiện nay? - HUMAN-OUT1]]</f>
        <v>10</v>
      </c>
      <c r="BH101">
        <f t="shared" si="52"/>
        <v>1</v>
      </c>
      <c r="BI101" s="32">
        <f t="shared" si="53"/>
        <v>1</v>
      </c>
    </row>
    <row r="102" spans="1:61" x14ac:dyDescent="0.45">
      <c r="A102" s="30">
        <f>step3_validation[[#This Row],[Persona_ID]]</f>
        <v>101</v>
      </c>
      <c r="B102" s="31">
        <f>step3_validation[[#This Row],[Used_Seed]]</f>
        <v>2126</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82.344373966456686</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7</v>
      </c>
      <c r="R102">
        <f t="shared" si="27"/>
        <v>0.66666666666666663</v>
      </c>
      <c r="S102">
        <f>survey_responses[[#This Row],[Tôi tin rằng với các quy định quản lý thuế hiện nay, hành vi gian lận hoặc trốn thuế sẽ dễ dàng bị phát hiện và xử lý nghiêm. - HUMAN-ENF1]]</f>
        <v>8</v>
      </c>
      <c r="T102">
        <f t="shared" si="28"/>
        <v>0.77777777777777779</v>
      </c>
      <c r="U102">
        <f>step3_validation[[#This Row],[AI_ENF2]]</f>
        <v>8</v>
      </c>
      <c r="V102">
        <f t="shared" si="29"/>
        <v>0.77777777777777779</v>
      </c>
      <c r="W102">
        <f>survey_responses[[#This Row],[Tôi tin rằng Nhà nước, cơ quan thuế có đủ khả năng và công nghệ để phát hiện, xử lý nghiêm các hành vi trốn thuế. - HUMAN-ENF2]]</f>
        <v>8</v>
      </c>
      <c r="X102">
        <f t="shared" si="30"/>
        <v>0.77777777777777779</v>
      </c>
      <c r="Y102" s="32">
        <f t="shared" si="31"/>
        <v>0.72222222222222221</v>
      </c>
      <c r="Z102" s="32">
        <f t="shared" si="32"/>
        <v>0.77777777777777779</v>
      </c>
      <c r="AA102">
        <f>step3_validation[[#This Row],[AI_FAC1]]</f>
        <v>9</v>
      </c>
      <c r="AB102">
        <f t="shared" si="33"/>
        <v>0.88888888888888884</v>
      </c>
      <c r="AC102">
        <f>survey_responses[[#This Row],[Các thủ tục khai báo thuế VÀ/HOẶC quy trình làm việc với cơ quan thuế đơn giản, tiện lợi, nhanh chóng hơn so với trước đây. - HUMAN-FAC1]]</f>
        <v>7</v>
      </c>
      <c r="AD102">
        <f t="shared" si="34"/>
        <v>0.66666666666666663</v>
      </c>
      <c r="AE102">
        <f>step3_validation[[#This Row],[AI_FAC2]]</f>
        <v>8</v>
      </c>
      <c r="AF102">
        <f t="shared" si="35"/>
        <v>0.77777777777777779</v>
      </c>
      <c r="AG102">
        <f>survey_responses[[#This Row],[So với trước đây, tôi thấy cách tính thuế và các bậc thuế trong phương án mới đơn giản, dễ hiểu và dễ thực hiện hơn. - HUMAN-FAC2]]</f>
        <v>8</v>
      </c>
      <c r="AH102">
        <f t="shared" si="36"/>
        <v>0.77777777777777779</v>
      </c>
      <c r="AI102" s="32">
        <f t="shared" si="37"/>
        <v>0.83333333333333326</v>
      </c>
      <c r="AJ102" s="32">
        <f t="shared" si="38"/>
        <v>0.72222222222222221</v>
      </c>
      <c r="AK102">
        <f>step3_validation[[#This Row],[AI_TRU1]]</f>
        <v>6</v>
      </c>
      <c r="AL102">
        <f t="shared" si="39"/>
        <v>0.55555555555555558</v>
      </c>
      <c r="AM102">
        <f>survey_responses[[#This Row],[Tôi tin rằng Nhà nước, cơ quan thuế sẽ thực thi chính sách mới một cách khách quan, công tâm và đối xử bình đẳng với mọi người nộp thuế.  - HUMAN-TRU1]]</f>
        <v>8</v>
      </c>
      <c r="AN102">
        <f t="shared" si="40"/>
        <v>0.77777777777777779</v>
      </c>
      <c r="AO102">
        <f>step3_validation[[#This Row],[AI_TRU2]]</f>
        <v>9</v>
      </c>
      <c r="AP102">
        <f t="shared" si="41"/>
        <v>0.88888888888888884</v>
      </c>
      <c r="AQ102">
        <f>survey_responses[[#This Row],[Tôi thấy mức thuế tôi phải đóng theo phương án mới là công bằng (người thu nhập như tôi đóng mức này là hợp lý). - HUMAN-TRU2]]</f>
        <v>7</v>
      </c>
      <c r="AR102">
        <f t="shared" si="42"/>
        <v>0.66666666666666663</v>
      </c>
      <c r="AS102">
        <f>step3_validation[[#This Row],[AI_TRU3]]</f>
        <v>7</v>
      </c>
      <c r="AT102">
        <f t="shared" si="43"/>
        <v>0.66666666666666663</v>
      </c>
      <c r="AU102">
        <f>survey_responses[[#This Row],[Tôi tin tưởng số tiền thuế tôi đóng sẽ được Nhà nước sử dụng hiệu quả để cải thiện dịch vụ công (y tế, đường xá...). - HUMAN-TRU3]]</f>
        <v>7</v>
      </c>
      <c r="AV102">
        <f t="shared" si="44"/>
        <v>0.66666666666666663</v>
      </c>
      <c r="AW102">
        <f>step3_validation[[#This Row],[AI_TRU4]]</f>
        <v>8</v>
      </c>
      <c r="AX102">
        <f t="shared" si="45"/>
        <v>0.77777777777777779</v>
      </c>
      <c r="AY102">
        <f>survey_responses[[#This Row],[Tôi thấy Nhà nước đã giải thích rõ ràng, minh bạch về lý do và mục tiêu của việc sửa đổi thuế lần này. - HUMAN-TRU4]]</f>
        <v>7</v>
      </c>
      <c r="AZ102">
        <f t="shared" si="46"/>
        <v>0.66666666666666663</v>
      </c>
      <c r="BA102" s="32">
        <f t="shared" si="47"/>
        <v>0.72222222222222221</v>
      </c>
      <c r="BB102" s="32">
        <f t="shared" si="48"/>
        <v>0.69444444444444442</v>
      </c>
      <c r="BC102" s="7">
        <f t="shared" si="49"/>
        <v>0.75925925925925919</v>
      </c>
      <c r="BD102" s="7">
        <f t="shared" si="50"/>
        <v>0.73148148148148151</v>
      </c>
      <c r="BE102">
        <f>step3_validation[[#This Row],[AI_OUT1]]</f>
        <v>9</v>
      </c>
      <c r="BF102">
        <f t="shared" si="51"/>
        <v>0.88888888888888884</v>
      </c>
      <c r="BG102">
        <f>survey_responses[[#This Row],[Sau khi xem xét các quyền lợi và nghĩa vụ, bạn có ủng hộ và tuân thủ chính sách mới hiện nay? - HUMAN-OUT1]]</f>
        <v>8</v>
      </c>
      <c r="BH102">
        <f t="shared" si="52"/>
        <v>0.77777777777777779</v>
      </c>
      <c r="BI102" s="32">
        <f t="shared" si="53"/>
        <v>1</v>
      </c>
    </row>
    <row r="103" spans="1:61" x14ac:dyDescent="0.45">
      <c r="A103" s="30">
        <f>step3_validation[[#This Row],[Persona_ID]]</f>
        <v>102</v>
      </c>
      <c r="B103" s="31">
        <f>step3_validation[[#This Row],[Used_Seed]]</f>
        <v>2127</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16.930439079791338</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7</v>
      </c>
      <c r="R103">
        <f t="shared" si="27"/>
        <v>0.66666666666666663</v>
      </c>
      <c r="S103">
        <f>survey_responses[[#This Row],[Tôi tin rằng với các quy định quản lý thuế hiện nay, hành vi gian lận hoặc trốn thuế sẽ dễ dàng bị phát hiện và xử lý nghiêm. - HUMAN-ENF1]]</f>
        <v>5</v>
      </c>
      <c r="T103">
        <f t="shared" si="28"/>
        <v>0.44444444444444442</v>
      </c>
      <c r="U103">
        <f>step3_validation[[#This Row],[AI_ENF2]]</f>
        <v>6</v>
      </c>
      <c r="V103">
        <f t="shared" si="29"/>
        <v>0.55555555555555558</v>
      </c>
      <c r="W103">
        <f>survey_responses[[#This Row],[Tôi tin rằng Nhà nước, cơ quan thuế có đủ khả năng và công nghệ để phát hiện, xử lý nghiêm các hành vi trốn thuế. - HUMAN-ENF2]]</f>
        <v>5</v>
      </c>
      <c r="X103">
        <f t="shared" si="30"/>
        <v>0.44444444444444442</v>
      </c>
      <c r="Y103" s="32">
        <f t="shared" si="31"/>
        <v>0.61111111111111116</v>
      </c>
      <c r="Z103" s="32">
        <f t="shared" si="32"/>
        <v>0.44444444444444442</v>
      </c>
      <c r="AA103">
        <f>step3_validation[[#This Row],[AI_FAC1]]</f>
        <v>8</v>
      </c>
      <c r="AB103">
        <f t="shared" si="33"/>
        <v>0.77777777777777779</v>
      </c>
      <c r="AC103">
        <f>survey_responses[[#This Row],[Các thủ tục khai báo thuế VÀ/HOẶC quy trình làm việc với cơ quan thuế đơn giản, tiện lợi, nhanh chóng hơn so với trước đây. - HUMAN-FAC1]]</f>
        <v>5</v>
      </c>
      <c r="AD103">
        <f t="shared" si="34"/>
        <v>0.44444444444444442</v>
      </c>
      <c r="AE103">
        <f>step3_validation[[#This Row],[AI_FAC2]]</f>
        <v>9</v>
      </c>
      <c r="AF103">
        <f t="shared" si="35"/>
        <v>0.88888888888888884</v>
      </c>
      <c r="AG103">
        <f>survey_responses[[#This Row],[So với trước đây, tôi thấy cách tính thuế và các bậc thuế trong phương án mới đơn giản, dễ hiểu và dễ thực hiện hơn. - HUMAN-FAC2]]</f>
        <v>5</v>
      </c>
      <c r="AH103">
        <f t="shared" si="36"/>
        <v>0.44444444444444442</v>
      </c>
      <c r="AI103" s="32">
        <f t="shared" si="37"/>
        <v>0.83333333333333326</v>
      </c>
      <c r="AJ103" s="32">
        <f t="shared" si="38"/>
        <v>0.44444444444444442</v>
      </c>
      <c r="AK103">
        <f>step3_validation[[#This Row],[AI_TRU1]]</f>
        <v>7</v>
      </c>
      <c r="AL103">
        <f t="shared" si="39"/>
        <v>0.66666666666666663</v>
      </c>
      <c r="AM103">
        <f>survey_responses[[#This Row],[Tôi tin rằng Nhà nước, cơ quan thuế sẽ thực thi chính sách mới một cách khách quan, công tâm và đối xử bình đẳng với mọi người nộp thuế.  - HUMAN-TRU1]]</f>
        <v>5</v>
      </c>
      <c r="AN103">
        <f t="shared" si="40"/>
        <v>0.44444444444444442</v>
      </c>
      <c r="AO103">
        <f>step3_validation[[#This Row],[AI_TRU2]]</f>
        <v>9</v>
      </c>
      <c r="AP103">
        <f t="shared" si="41"/>
        <v>0.88888888888888884</v>
      </c>
      <c r="AQ103">
        <f>survey_responses[[#This Row],[Tôi thấy mức thuế tôi phải đóng theo phương án mới là công bằng (người thu nhập như tôi đóng mức này là hợp lý). - HUMAN-TRU2]]</f>
        <v>5</v>
      </c>
      <c r="AR103">
        <f t="shared" si="42"/>
        <v>0.44444444444444442</v>
      </c>
      <c r="AS103">
        <f>step3_validation[[#This Row],[AI_TRU3]]</f>
        <v>7</v>
      </c>
      <c r="AT103">
        <f t="shared" si="43"/>
        <v>0.66666666666666663</v>
      </c>
      <c r="AU103">
        <f>survey_responses[[#This Row],[Tôi tin tưởng số tiền thuế tôi đóng sẽ được Nhà nước sử dụng hiệu quả để cải thiện dịch vụ công (y tế, đường xá...). - HUMAN-TRU3]]</f>
        <v>5</v>
      </c>
      <c r="AV103">
        <f t="shared" si="44"/>
        <v>0.44444444444444442</v>
      </c>
      <c r="AW103">
        <f>step3_validation[[#This Row],[AI_TRU4]]</f>
        <v>6</v>
      </c>
      <c r="AX103">
        <f t="shared" si="45"/>
        <v>0.55555555555555558</v>
      </c>
      <c r="AY103">
        <f>survey_responses[[#This Row],[Tôi thấy Nhà nước đã giải thích rõ ràng, minh bạch về lý do và mục tiêu của việc sửa đổi thuế lần này. - HUMAN-TRU4]]</f>
        <v>5</v>
      </c>
      <c r="AZ103">
        <f t="shared" si="46"/>
        <v>0.44444444444444442</v>
      </c>
      <c r="BA103" s="32">
        <f t="shared" si="47"/>
        <v>0.69444444444444442</v>
      </c>
      <c r="BB103" s="32">
        <f t="shared" si="48"/>
        <v>0.44444444444444442</v>
      </c>
      <c r="BC103" s="7">
        <f t="shared" si="49"/>
        <v>0.71296296296296291</v>
      </c>
      <c r="BD103" s="7">
        <f t="shared" si="50"/>
        <v>0.44444444444444442</v>
      </c>
      <c r="BE103">
        <f>step3_validation[[#This Row],[AI_OUT1]]</f>
        <v>9</v>
      </c>
      <c r="BF103">
        <f t="shared" si="51"/>
        <v>0.88888888888888884</v>
      </c>
      <c r="BG103">
        <f>survey_responses[[#This Row],[Sau khi xem xét các quyền lợi và nghĩa vụ, bạn có ủng hộ và tuân thủ chính sách mới hiện nay? - HUMAN-OUT1]]</f>
        <v>5</v>
      </c>
      <c r="BH103">
        <f t="shared" si="52"/>
        <v>0.44444444444444442</v>
      </c>
      <c r="BI103" s="32">
        <f t="shared" si="53"/>
        <v>4</v>
      </c>
    </row>
    <row r="104" spans="1:61" x14ac:dyDescent="0.45">
      <c r="A104" s="30">
        <f>step3_validation[[#This Row],[Persona_ID]]</f>
        <v>103</v>
      </c>
      <c r="B104" s="31">
        <f>step3_validation[[#This Row],[Used_Seed]]</f>
        <v>2128</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43.324997423297802</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7</v>
      </c>
      <c r="R104">
        <f t="shared" si="27"/>
        <v>0.66666666666666663</v>
      </c>
      <c r="S104">
        <f>survey_responses[[#This Row],[Tôi tin rằng với các quy định quản lý thuế hiện nay, hành vi gian lận hoặc trốn thuế sẽ dễ dàng bị phát hiện và xử lý nghiêm. - HUMAN-ENF1]]</f>
        <v>8</v>
      </c>
      <c r="T104">
        <f t="shared" si="28"/>
        <v>0.77777777777777779</v>
      </c>
      <c r="U104">
        <f>step3_validation[[#This Row],[AI_ENF2]]</f>
        <v>6</v>
      </c>
      <c r="V104">
        <f t="shared" si="29"/>
        <v>0.55555555555555558</v>
      </c>
      <c r="W104">
        <f>survey_responses[[#This Row],[Tôi tin rằng Nhà nước, cơ quan thuế có đủ khả năng và công nghệ để phát hiện, xử lý nghiêm các hành vi trốn thuế. - HUMAN-ENF2]]</f>
        <v>8</v>
      </c>
      <c r="X104">
        <f t="shared" si="30"/>
        <v>0.77777777777777779</v>
      </c>
      <c r="Y104" s="32">
        <f t="shared" si="31"/>
        <v>0.61111111111111116</v>
      </c>
      <c r="Z104" s="32">
        <f t="shared" si="32"/>
        <v>0.77777777777777779</v>
      </c>
      <c r="AA104">
        <f>step3_validation[[#This Row],[AI_FAC1]]</f>
        <v>8</v>
      </c>
      <c r="AB104">
        <f t="shared" si="33"/>
        <v>0.77777777777777779</v>
      </c>
      <c r="AC104">
        <f>survey_responses[[#This Row],[Các thủ tục khai báo thuế VÀ/HOẶC quy trình làm việc với cơ quan thuế đơn giản, tiện lợi, nhanh chóng hơn so với trước đây. - HUMAN-FAC1]]</f>
        <v>5</v>
      </c>
      <c r="AD104">
        <f t="shared" si="34"/>
        <v>0.44444444444444442</v>
      </c>
      <c r="AE104">
        <f>step3_validation[[#This Row],[AI_FAC2]]</f>
        <v>9</v>
      </c>
      <c r="AF104">
        <f t="shared" si="35"/>
        <v>0.88888888888888884</v>
      </c>
      <c r="AG104">
        <f>survey_responses[[#This Row],[So với trước đây, tôi thấy cách tính thuế và các bậc thuế trong phương án mới đơn giản, dễ hiểu và dễ thực hiện hơn. - HUMAN-FAC2]]</f>
        <v>8</v>
      </c>
      <c r="AH104">
        <f t="shared" si="36"/>
        <v>0.77777777777777779</v>
      </c>
      <c r="AI104" s="32">
        <f t="shared" si="37"/>
        <v>0.83333333333333326</v>
      </c>
      <c r="AJ104" s="32">
        <f t="shared" si="38"/>
        <v>0.61111111111111116</v>
      </c>
      <c r="AK104">
        <f>step3_validation[[#This Row],[AI_TRU1]]</f>
        <v>7</v>
      </c>
      <c r="AL104">
        <f t="shared" si="39"/>
        <v>0.66666666666666663</v>
      </c>
      <c r="AM104">
        <f>survey_responses[[#This Row],[Tôi tin rằng Nhà nước, cơ quan thuế sẽ thực thi chính sách mới một cách khách quan, công tâm và đối xử bình đẳng với mọi người nộp thuế.  - HUMAN-TRU1]]</f>
        <v>5</v>
      </c>
      <c r="AN104">
        <f t="shared" si="40"/>
        <v>0.44444444444444442</v>
      </c>
      <c r="AO104">
        <f>step3_validation[[#This Row],[AI_TRU2]]</f>
        <v>8</v>
      </c>
      <c r="AP104">
        <f t="shared" si="41"/>
        <v>0.77777777777777779</v>
      </c>
      <c r="AQ104">
        <f>survey_responses[[#This Row],[Tôi thấy mức thuế tôi phải đóng theo phương án mới là công bằng (người thu nhập như tôi đóng mức này là hợp lý). - HUMAN-TRU2]]</f>
        <v>5</v>
      </c>
      <c r="AR104">
        <f t="shared" si="42"/>
        <v>0.44444444444444442</v>
      </c>
      <c r="AS104">
        <f>step3_validation[[#This Row],[AI_TRU3]]</f>
        <v>6</v>
      </c>
      <c r="AT104">
        <f t="shared" si="43"/>
        <v>0.55555555555555558</v>
      </c>
      <c r="AU104">
        <f>survey_responses[[#This Row],[Tôi tin tưởng số tiền thuế tôi đóng sẽ được Nhà nước sử dụng hiệu quả để cải thiện dịch vụ công (y tế, đường xá...). - HUMAN-TRU3]]</f>
        <v>6</v>
      </c>
      <c r="AV104">
        <f t="shared" si="44"/>
        <v>0.55555555555555558</v>
      </c>
      <c r="AW104">
        <f>step3_validation[[#This Row],[AI_TRU4]]</f>
        <v>7</v>
      </c>
      <c r="AX104">
        <f t="shared" si="45"/>
        <v>0.66666666666666663</v>
      </c>
      <c r="AY104">
        <f>survey_responses[[#This Row],[Tôi thấy Nhà nước đã giải thích rõ ràng, minh bạch về lý do và mục tiêu của việc sửa đổi thuế lần này. - HUMAN-TRU4]]</f>
        <v>6</v>
      </c>
      <c r="AZ104">
        <f t="shared" si="46"/>
        <v>0.55555555555555558</v>
      </c>
      <c r="BA104" s="32">
        <f t="shared" si="47"/>
        <v>0.66666666666666663</v>
      </c>
      <c r="BB104" s="32">
        <f t="shared" si="48"/>
        <v>0.5</v>
      </c>
      <c r="BC104" s="7">
        <f t="shared" si="49"/>
        <v>0.70370370370370372</v>
      </c>
      <c r="BD104" s="7">
        <f t="shared" si="50"/>
        <v>0.62962962962962965</v>
      </c>
      <c r="BE104">
        <f>step3_validation[[#This Row],[AI_OUT1]]</f>
        <v>9</v>
      </c>
      <c r="BF104">
        <f t="shared" si="51"/>
        <v>0.88888888888888884</v>
      </c>
      <c r="BG104">
        <f>survey_responses[[#This Row],[Sau khi xem xét các quyền lợi và nghĩa vụ, bạn có ủng hộ và tuân thủ chính sách mới hiện nay? - HUMAN-OUT1]]</f>
        <v>5</v>
      </c>
      <c r="BH104">
        <f t="shared" si="52"/>
        <v>0.44444444444444442</v>
      </c>
      <c r="BI104" s="32">
        <f t="shared" si="53"/>
        <v>4</v>
      </c>
    </row>
    <row r="105" spans="1:61" x14ac:dyDescent="0.45">
      <c r="A105" s="30">
        <f>step3_validation[[#This Row],[Persona_ID]]</f>
        <v>104</v>
      </c>
      <c r="B105" s="31">
        <f>step3_validation[[#This Row],[Used_Seed]]</f>
        <v>2129</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21.318956921411228</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6</v>
      </c>
      <c r="R105">
        <f t="shared" si="27"/>
        <v>0.55555555555555558</v>
      </c>
      <c r="S105">
        <f>survey_responses[[#This Row],[Tôi tin rằng với các quy định quản lý thuế hiện nay, hành vi gian lận hoặc trốn thuế sẽ dễ dàng bị phát hiện và xử lý nghiêm. - HUMAN-ENF1]]</f>
        <v>6</v>
      </c>
      <c r="T105">
        <f t="shared" si="28"/>
        <v>0.55555555555555558</v>
      </c>
      <c r="U105">
        <f>step3_validation[[#This Row],[AI_ENF2]]</f>
        <v>7</v>
      </c>
      <c r="V105">
        <f t="shared" si="29"/>
        <v>0.66666666666666663</v>
      </c>
      <c r="W105">
        <f>survey_responses[[#This Row],[Tôi tin rằng Nhà nước, cơ quan thuế có đủ khả năng và công nghệ để phát hiện, xử lý nghiêm các hành vi trốn thuế. - HUMAN-ENF2]]</f>
        <v>7</v>
      </c>
      <c r="X105">
        <f t="shared" si="30"/>
        <v>0.66666666666666663</v>
      </c>
      <c r="Y105" s="32">
        <f t="shared" si="31"/>
        <v>0.61111111111111116</v>
      </c>
      <c r="Z105" s="32">
        <f t="shared" si="32"/>
        <v>0.61111111111111116</v>
      </c>
      <c r="AA105">
        <f>step3_validation[[#This Row],[AI_FAC1]]</f>
        <v>8</v>
      </c>
      <c r="AB105">
        <f t="shared" si="33"/>
        <v>0.77777777777777779</v>
      </c>
      <c r="AC105">
        <f>survey_responses[[#This Row],[Các thủ tục khai báo thuế VÀ/HOẶC quy trình làm việc với cơ quan thuế đơn giản, tiện lợi, nhanh chóng hơn so với trước đây. - HUMAN-FAC1]]</f>
        <v>6</v>
      </c>
      <c r="AD105">
        <f t="shared" si="34"/>
        <v>0.55555555555555558</v>
      </c>
      <c r="AE105">
        <f>step3_validation[[#This Row],[AI_FAC2]]</f>
        <v>9</v>
      </c>
      <c r="AF105">
        <f t="shared" si="35"/>
        <v>0.88888888888888884</v>
      </c>
      <c r="AG105">
        <f>survey_responses[[#This Row],[So với trước đây, tôi thấy cách tính thuế và các bậc thuế trong phương án mới đơn giản, dễ hiểu và dễ thực hiện hơn. - HUMAN-FAC2]]</f>
        <v>8</v>
      </c>
      <c r="AH105">
        <f t="shared" si="36"/>
        <v>0.77777777777777779</v>
      </c>
      <c r="AI105" s="32">
        <f t="shared" si="37"/>
        <v>0.83333333333333326</v>
      </c>
      <c r="AJ105" s="32">
        <f t="shared" si="38"/>
        <v>0.66666666666666674</v>
      </c>
      <c r="AK105">
        <f>step3_validation[[#This Row],[AI_TRU1]]</f>
        <v>8</v>
      </c>
      <c r="AL105">
        <f t="shared" si="39"/>
        <v>0.77777777777777779</v>
      </c>
      <c r="AM105">
        <f>survey_responses[[#This Row],[Tôi tin rằng Nhà nước, cơ quan thuế sẽ thực thi chính sách mới một cách khách quan, công tâm và đối xử bình đẳng với mọi người nộp thuế.  - HUMAN-TRU1]]</f>
        <v>6</v>
      </c>
      <c r="AN105">
        <f t="shared" si="40"/>
        <v>0.55555555555555558</v>
      </c>
      <c r="AO105">
        <f>step3_validation[[#This Row],[AI_TRU2]]</f>
        <v>7</v>
      </c>
      <c r="AP105">
        <f t="shared" si="41"/>
        <v>0.66666666666666663</v>
      </c>
      <c r="AQ105">
        <f>survey_responses[[#This Row],[Tôi thấy mức thuế tôi phải đóng theo phương án mới là công bằng (người thu nhập như tôi đóng mức này là hợp lý). - HUMAN-TRU2]]</f>
        <v>7</v>
      </c>
      <c r="AR105">
        <f t="shared" si="42"/>
        <v>0.66666666666666663</v>
      </c>
      <c r="AS105">
        <f>step3_validation[[#This Row],[AI_TRU3]]</f>
        <v>6</v>
      </c>
      <c r="AT105">
        <f t="shared" si="43"/>
        <v>0.55555555555555558</v>
      </c>
      <c r="AU105">
        <f>survey_responses[[#This Row],[Tôi tin tưởng số tiền thuế tôi đóng sẽ được Nhà nước sử dụng hiệu quả để cải thiện dịch vụ công (y tế, đường xá...). - HUMAN-TRU3]]</f>
        <v>6</v>
      </c>
      <c r="AV105">
        <f t="shared" si="44"/>
        <v>0.55555555555555558</v>
      </c>
      <c r="AW105">
        <f>step3_validation[[#This Row],[AI_TRU4]]</f>
        <v>7</v>
      </c>
      <c r="AX105">
        <f t="shared" si="45"/>
        <v>0.66666666666666663</v>
      </c>
      <c r="AY105">
        <f>survey_responses[[#This Row],[Tôi thấy Nhà nước đã giải thích rõ ràng, minh bạch về lý do và mục tiêu của việc sửa đổi thuế lần này. - HUMAN-TRU4]]</f>
        <v>6</v>
      </c>
      <c r="AZ105">
        <f t="shared" si="46"/>
        <v>0.55555555555555558</v>
      </c>
      <c r="BA105" s="32">
        <f t="shared" si="47"/>
        <v>0.66666666666666663</v>
      </c>
      <c r="BB105" s="32">
        <f t="shared" si="48"/>
        <v>0.58333333333333337</v>
      </c>
      <c r="BC105" s="7">
        <f t="shared" si="49"/>
        <v>0.70370370370370372</v>
      </c>
      <c r="BD105" s="7">
        <f t="shared" si="50"/>
        <v>0.62037037037037035</v>
      </c>
      <c r="BE105">
        <f>step3_validation[[#This Row],[AI_OUT1]]</f>
        <v>9</v>
      </c>
      <c r="BF105">
        <f t="shared" si="51"/>
        <v>0.88888888888888884</v>
      </c>
      <c r="BG105">
        <f>survey_responses[[#This Row],[Sau khi xem xét các quyền lợi và nghĩa vụ, bạn có ủng hộ và tuân thủ chính sách mới hiện nay? - HUMAN-OUT1]]</f>
        <v>7</v>
      </c>
      <c r="BH105">
        <f t="shared" si="52"/>
        <v>0.66666666666666663</v>
      </c>
      <c r="BI105" s="32">
        <f t="shared" si="53"/>
        <v>2</v>
      </c>
    </row>
    <row r="106" spans="1:61" x14ac:dyDescent="0.45">
      <c r="A106" s="30">
        <f>step3_validation[[#This Row],[Persona_ID]]</f>
        <v>105</v>
      </c>
      <c r="B106" s="31">
        <f>step3_validation[[#This Row],[Used_Seed]]</f>
        <v>2130</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16.650486821800033</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7</v>
      </c>
      <c r="R106">
        <f t="shared" si="27"/>
        <v>0.66666666666666663</v>
      </c>
      <c r="S106">
        <f>survey_responses[[#This Row],[Tôi tin rằng với các quy định quản lý thuế hiện nay, hành vi gian lận hoặc trốn thuế sẽ dễ dàng bị phát hiện và xử lý nghiêm. - HUMAN-ENF1]]</f>
        <v>9</v>
      </c>
      <c r="T106">
        <f t="shared" si="28"/>
        <v>0.88888888888888884</v>
      </c>
      <c r="U106">
        <f>step3_validation[[#This Row],[AI_ENF2]]</f>
        <v>8</v>
      </c>
      <c r="V106">
        <f t="shared" si="29"/>
        <v>0.77777777777777779</v>
      </c>
      <c r="W106">
        <f>survey_responses[[#This Row],[Tôi tin rằng Nhà nước, cơ quan thuế có đủ khả năng và công nghệ để phát hiện, xử lý nghiêm các hành vi trốn thuế. - HUMAN-ENF2]]</f>
        <v>10</v>
      </c>
      <c r="X106">
        <f t="shared" si="30"/>
        <v>1</v>
      </c>
      <c r="Y106" s="32">
        <f t="shared" si="31"/>
        <v>0.72222222222222221</v>
      </c>
      <c r="Z106" s="32">
        <f t="shared" si="32"/>
        <v>0.94444444444444442</v>
      </c>
      <c r="AA106">
        <f>step3_validation[[#This Row],[AI_FAC1]]</f>
        <v>7</v>
      </c>
      <c r="AB106">
        <f t="shared" si="33"/>
        <v>0.66666666666666663</v>
      </c>
      <c r="AC106">
        <f>survey_responses[[#This Row],[Các thủ tục khai báo thuế VÀ/HOẶC quy trình làm việc với cơ quan thuế đơn giản, tiện lợi, nhanh chóng hơn so với trước đây. - HUMAN-FAC1]]</f>
        <v>8</v>
      </c>
      <c r="AD106">
        <f t="shared" si="34"/>
        <v>0.77777777777777779</v>
      </c>
      <c r="AE106">
        <f>step3_validation[[#This Row],[AI_FAC2]]</f>
        <v>8</v>
      </c>
      <c r="AF106">
        <f t="shared" si="35"/>
        <v>0.77777777777777779</v>
      </c>
      <c r="AG106">
        <f>survey_responses[[#This Row],[So với trước đây, tôi thấy cách tính thuế và các bậc thuế trong phương án mới đơn giản, dễ hiểu và dễ thực hiện hơn. - HUMAN-FAC2]]</f>
        <v>8</v>
      </c>
      <c r="AH106">
        <f t="shared" si="36"/>
        <v>0.77777777777777779</v>
      </c>
      <c r="AI106" s="32">
        <f t="shared" si="37"/>
        <v>0.72222222222222221</v>
      </c>
      <c r="AJ106" s="32">
        <f t="shared" si="38"/>
        <v>0.77777777777777779</v>
      </c>
      <c r="AK106">
        <f>step3_validation[[#This Row],[AI_TRU1]]</f>
        <v>9</v>
      </c>
      <c r="AL106">
        <f t="shared" si="39"/>
        <v>0.88888888888888884</v>
      </c>
      <c r="AM106">
        <f>survey_responses[[#This Row],[Tôi tin rằng Nhà nước, cơ quan thuế sẽ thực thi chính sách mới một cách khách quan, công tâm và đối xử bình đẳng với mọi người nộp thuế.  - HUMAN-TRU1]]</f>
        <v>9</v>
      </c>
      <c r="AN106">
        <f t="shared" si="40"/>
        <v>0.88888888888888884</v>
      </c>
      <c r="AO106">
        <f>step3_validation[[#This Row],[AI_TRU2]]</f>
        <v>8</v>
      </c>
      <c r="AP106">
        <f t="shared" si="41"/>
        <v>0.77777777777777779</v>
      </c>
      <c r="AQ106">
        <f>survey_responses[[#This Row],[Tôi thấy mức thuế tôi phải đóng theo phương án mới là công bằng (người thu nhập như tôi đóng mức này là hợp lý). - HUMAN-TRU2]]</f>
        <v>9</v>
      </c>
      <c r="AR106">
        <f t="shared" si="42"/>
        <v>0.88888888888888884</v>
      </c>
      <c r="AS106">
        <f>step3_validation[[#This Row],[AI_TRU3]]</f>
        <v>9</v>
      </c>
      <c r="AT106">
        <f t="shared" si="43"/>
        <v>0.88888888888888884</v>
      </c>
      <c r="AU106">
        <f>survey_responses[[#This Row],[Tôi tin tưởng số tiền thuế tôi đóng sẽ được Nhà nước sử dụng hiệu quả để cải thiện dịch vụ công (y tế, đường xá...). - HUMAN-TRU3]]</f>
        <v>8</v>
      </c>
      <c r="AV106">
        <f t="shared" si="44"/>
        <v>0.77777777777777779</v>
      </c>
      <c r="AW106">
        <f>step3_validation[[#This Row],[AI_TRU4]]</f>
        <v>7</v>
      </c>
      <c r="AX106">
        <f t="shared" si="45"/>
        <v>0.66666666666666663</v>
      </c>
      <c r="AY106">
        <f>survey_responses[[#This Row],[Tôi thấy Nhà nước đã giải thích rõ ràng, minh bạch về lý do và mục tiêu của việc sửa đổi thuế lần này. - HUMAN-TRU4]]</f>
        <v>6</v>
      </c>
      <c r="AZ106">
        <f t="shared" si="46"/>
        <v>0.55555555555555558</v>
      </c>
      <c r="BA106" s="32">
        <f t="shared" si="47"/>
        <v>0.80555555555555547</v>
      </c>
      <c r="BB106" s="32">
        <f t="shared" si="48"/>
        <v>0.77777777777777768</v>
      </c>
      <c r="BC106" s="7">
        <f t="shared" si="49"/>
        <v>0.75</v>
      </c>
      <c r="BD106" s="7">
        <f t="shared" si="50"/>
        <v>0.83333333333333337</v>
      </c>
      <c r="BE106">
        <f>step3_validation[[#This Row],[AI_OUT1]]</f>
        <v>9</v>
      </c>
      <c r="BF106">
        <f t="shared" si="51"/>
        <v>0.88888888888888884</v>
      </c>
      <c r="BG106">
        <f>survey_responses[[#This Row],[Sau khi xem xét các quyền lợi và nghĩa vụ, bạn có ủng hộ và tuân thủ chính sách mới hiện nay? - HUMAN-OUT1]]</f>
        <v>9</v>
      </c>
      <c r="BH106">
        <f t="shared" si="52"/>
        <v>0.88888888888888884</v>
      </c>
      <c r="BI106" s="32">
        <f t="shared" si="53"/>
        <v>0</v>
      </c>
    </row>
    <row r="107" spans="1:61" x14ac:dyDescent="0.45">
      <c r="A107" s="30">
        <f>step3_validation[[#This Row],[Persona_ID]]</f>
        <v>106</v>
      </c>
      <c r="B107" s="31">
        <f>step3_validation[[#This Row],[Used_Seed]]</f>
        <v>2131</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7</v>
      </c>
      <c r="R107">
        <f t="shared" si="27"/>
        <v>0.66666666666666663</v>
      </c>
      <c r="S107">
        <f>survey_responses[[#This Row],[Tôi tin rằng với các quy định quản lý thuế hiện nay, hành vi gian lận hoặc trốn thuế sẽ dễ dàng bị phát hiện và xử lý nghiêm. - HUMAN-ENF1]]</f>
        <v>10</v>
      </c>
      <c r="T107">
        <f t="shared" si="28"/>
        <v>1</v>
      </c>
      <c r="U107">
        <f>step3_validation[[#This Row],[AI_ENF2]]</f>
        <v>7</v>
      </c>
      <c r="V107">
        <f t="shared" si="29"/>
        <v>0.66666666666666663</v>
      </c>
      <c r="W107">
        <f>survey_responses[[#This Row],[Tôi tin rằng Nhà nước, cơ quan thuế có đủ khả năng và công nghệ để phát hiện, xử lý nghiêm các hành vi trốn thuế. - HUMAN-ENF2]]</f>
        <v>5</v>
      </c>
      <c r="X107">
        <f t="shared" si="30"/>
        <v>0.44444444444444442</v>
      </c>
      <c r="Y107" s="32">
        <f t="shared" si="31"/>
        <v>0.66666666666666663</v>
      </c>
      <c r="Z107" s="32">
        <f t="shared" si="32"/>
        <v>0.72222222222222221</v>
      </c>
      <c r="AA107">
        <f>step3_validation[[#This Row],[AI_FAC1]]</f>
        <v>9</v>
      </c>
      <c r="AB107">
        <f t="shared" si="33"/>
        <v>0.88888888888888884</v>
      </c>
      <c r="AC107">
        <f>survey_responses[[#This Row],[Các thủ tục khai báo thuế VÀ/HOẶC quy trình làm việc với cơ quan thuế đơn giản, tiện lợi, nhanh chóng hơn so với trước đây. - HUMAN-FAC1]]</f>
        <v>8</v>
      </c>
      <c r="AD107">
        <f t="shared" si="34"/>
        <v>0.77777777777777779</v>
      </c>
      <c r="AE107">
        <f>step3_validation[[#This Row],[AI_FAC2]]</f>
        <v>8</v>
      </c>
      <c r="AF107">
        <f t="shared" si="35"/>
        <v>0.77777777777777779</v>
      </c>
      <c r="AG107">
        <f>survey_responses[[#This Row],[So với trước đây, tôi thấy cách tính thuế và các bậc thuế trong phương án mới đơn giản, dễ hiểu và dễ thực hiện hơn. - HUMAN-FAC2]]</f>
        <v>8</v>
      </c>
      <c r="AH107">
        <f t="shared" si="36"/>
        <v>0.77777777777777779</v>
      </c>
      <c r="AI107" s="32">
        <f t="shared" si="37"/>
        <v>0.83333333333333326</v>
      </c>
      <c r="AJ107" s="32">
        <f t="shared" si="38"/>
        <v>0.77777777777777779</v>
      </c>
      <c r="AK107">
        <f>step3_validation[[#This Row],[AI_TRU1]]</f>
        <v>7</v>
      </c>
      <c r="AL107">
        <f t="shared" si="39"/>
        <v>0.66666666666666663</v>
      </c>
      <c r="AM107">
        <f>survey_responses[[#This Row],[Tôi tin rằng Nhà nước, cơ quan thuế sẽ thực thi chính sách mới một cách khách quan, công tâm và đối xử bình đẳng với mọi người nộp thuế.  - HUMAN-TRU1]]</f>
        <v>10</v>
      </c>
      <c r="AN107">
        <f t="shared" si="40"/>
        <v>1</v>
      </c>
      <c r="AO107">
        <f>step3_validation[[#This Row],[AI_TRU2]]</f>
        <v>8</v>
      </c>
      <c r="AP107">
        <f t="shared" si="41"/>
        <v>0.77777777777777779</v>
      </c>
      <c r="AQ107">
        <f>survey_responses[[#This Row],[Tôi thấy mức thuế tôi phải đóng theo phương án mới là công bằng (người thu nhập như tôi đóng mức này là hợp lý). - HUMAN-TRU2]]</f>
        <v>10</v>
      </c>
      <c r="AR107">
        <f t="shared" si="42"/>
        <v>1</v>
      </c>
      <c r="AS107">
        <f>step3_validation[[#This Row],[AI_TRU3]]</f>
        <v>7</v>
      </c>
      <c r="AT107">
        <f t="shared" si="43"/>
        <v>0.66666666666666663</v>
      </c>
      <c r="AU107">
        <f>survey_responses[[#This Row],[Tôi tin tưởng số tiền thuế tôi đóng sẽ được Nhà nước sử dụng hiệu quả để cải thiện dịch vụ công (y tế, đường xá...). - HUMAN-TRU3]]</f>
        <v>10</v>
      </c>
      <c r="AV107">
        <f t="shared" si="44"/>
        <v>1</v>
      </c>
      <c r="AW107">
        <f>step3_validation[[#This Row],[AI_TRU4]]</f>
        <v>6</v>
      </c>
      <c r="AX107">
        <f t="shared" si="45"/>
        <v>0.55555555555555558</v>
      </c>
      <c r="AY107">
        <f>survey_responses[[#This Row],[Tôi thấy Nhà nước đã giải thích rõ ràng, minh bạch về lý do và mục tiêu của việc sửa đổi thuế lần này. - HUMAN-TRU4]]</f>
        <v>10</v>
      </c>
      <c r="AZ107">
        <f t="shared" si="46"/>
        <v>1</v>
      </c>
      <c r="BA107" s="32">
        <f t="shared" si="47"/>
        <v>0.66666666666666674</v>
      </c>
      <c r="BB107" s="32">
        <f t="shared" si="48"/>
        <v>1</v>
      </c>
      <c r="BC107" s="7">
        <f t="shared" si="49"/>
        <v>0.72222222222222232</v>
      </c>
      <c r="BD107" s="7">
        <f t="shared" si="50"/>
        <v>0.83333333333333337</v>
      </c>
      <c r="BE107">
        <f>step3_validation[[#This Row],[AI_OUT1]]</f>
        <v>8</v>
      </c>
      <c r="BF107">
        <f t="shared" si="51"/>
        <v>0.77777777777777779</v>
      </c>
      <c r="BG107">
        <f>survey_responses[[#This Row],[Sau khi xem xét các quyền lợi và nghĩa vụ, bạn có ủng hộ và tuân thủ chính sách mới hiện nay? - HUMAN-OUT1]]</f>
        <v>10</v>
      </c>
      <c r="BH107">
        <f t="shared" si="52"/>
        <v>1</v>
      </c>
      <c r="BI107" s="32">
        <f t="shared" si="53"/>
        <v>2</v>
      </c>
    </row>
    <row r="108" spans="1:61" x14ac:dyDescent="0.45">
      <c r="A108" s="30">
        <f>step3_validation[[#This Row],[Persona_ID]]</f>
        <v>107</v>
      </c>
      <c r="B108" s="31">
        <f>step3_validation[[#This Row],[Used_Seed]]</f>
        <v>2132</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29.459763549088798</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6</v>
      </c>
      <c r="R108">
        <f t="shared" si="27"/>
        <v>0.55555555555555558</v>
      </c>
      <c r="S108">
        <f>survey_responses[[#This Row],[Tôi tin rằng với các quy định quản lý thuế hiện nay, hành vi gian lận hoặc trốn thuế sẽ dễ dàng bị phát hiện và xử lý nghiêm. - HUMAN-ENF1]]</f>
        <v>7</v>
      </c>
      <c r="T108">
        <f t="shared" si="28"/>
        <v>0.66666666666666663</v>
      </c>
      <c r="U108">
        <f>step3_validation[[#This Row],[AI_ENF2]]</f>
        <v>6</v>
      </c>
      <c r="V108">
        <f t="shared" si="29"/>
        <v>0.55555555555555558</v>
      </c>
      <c r="W108">
        <f>survey_responses[[#This Row],[Tôi tin rằng Nhà nước, cơ quan thuế có đủ khả năng và công nghệ để phát hiện, xử lý nghiêm các hành vi trốn thuế. - HUMAN-ENF2]]</f>
        <v>7</v>
      </c>
      <c r="X108">
        <f t="shared" si="30"/>
        <v>0.66666666666666663</v>
      </c>
      <c r="Y108" s="32">
        <f t="shared" si="31"/>
        <v>0.55555555555555558</v>
      </c>
      <c r="Z108" s="32">
        <f t="shared" si="32"/>
        <v>0.66666666666666663</v>
      </c>
      <c r="AA108">
        <f>step3_validation[[#This Row],[AI_FAC1]]</f>
        <v>7</v>
      </c>
      <c r="AB108">
        <f t="shared" si="33"/>
        <v>0.66666666666666663</v>
      </c>
      <c r="AC108">
        <f>survey_responses[[#This Row],[Các thủ tục khai báo thuế VÀ/HOẶC quy trình làm việc với cơ quan thuế đơn giản, tiện lợi, nhanh chóng hơn so với trước đây. - HUMAN-FAC1]]</f>
        <v>7</v>
      </c>
      <c r="AD108">
        <f t="shared" si="34"/>
        <v>0.66666666666666663</v>
      </c>
      <c r="AE108">
        <f>step3_validation[[#This Row],[AI_FAC2]]</f>
        <v>9</v>
      </c>
      <c r="AF108">
        <f t="shared" si="35"/>
        <v>0.88888888888888884</v>
      </c>
      <c r="AG108">
        <f>survey_responses[[#This Row],[So với trước đây, tôi thấy cách tính thuế và các bậc thuế trong phương án mới đơn giản, dễ hiểu và dễ thực hiện hơn. - HUMAN-FAC2]]</f>
        <v>7</v>
      </c>
      <c r="AH108">
        <f t="shared" si="36"/>
        <v>0.66666666666666663</v>
      </c>
      <c r="AI108" s="32">
        <f t="shared" si="37"/>
        <v>0.77777777777777768</v>
      </c>
      <c r="AJ108" s="32">
        <f t="shared" si="38"/>
        <v>0.66666666666666663</v>
      </c>
      <c r="AK108">
        <f>step3_validation[[#This Row],[AI_TRU1]]</f>
        <v>7</v>
      </c>
      <c r="AL108">
        <f t="shared" si="39"/>
        <v>0.66666666666666663</v>
      </c>
      <c r="AM108">
        <f>survey_responses[[#This Row],[Tôi tin rằng Nhà nước, cơ quan thuế sẽ thực thi chính sách mới một cách khách quan, công tâm và đối xử bình đẳng với mọi người nộp thuế.  - HUMAN-TRU1]]</f>
        <v>7</v>
      </c>
      <c r="AN108">
        <f t="shared" si="40"/>
        <v>0.66666666666666663</v>
      </c>
      <c r="AO108">
        <f>step3_validation[[#This Row],[AI_TRU2]]</f>
        <v>9</v>
      </c>
      <c r="AP108">
        <f t="shared" si="41"/>
        <v>0.88888888888888884</v>
      </c>
      <c r="AQ108">
        <f>survey_responses[[#This Row],[Tôi thấy mức thuế tôi phải đóng theo phương án mới là công bằng (người thu nhập như tôi đóng mức này là hợp lý). - HUMAN-TRU2]]</f>
        <v>7</v>
      </c>
      <c r="AR108">
        <f t="shared" si="42"/>
        <v>0.66666666666666663</v>
      </c>
      <c r="AS108">
        <f>step3_validation[[#This Row],[AI_TRU3]]</f>
        <v>9</v>
      </c>
      <c r="AT108">
        <f t="shared" si="43"/>
        <v>0.88888888888888884</v>
      </c>
      <c r="AU108">
        <f>survey_responses[[#This Row],[Tôi tin tưởng số tiền thuế tôi đóng sẽ được Nhà nước sử dụng hiệu quả để cải thiện dịch vụ công (y tế, đường xá...). - HUMAN-TRU3]]</f>
        <v>7</v>
      </c>
      <c r="AV108">
        <f t="shared" si="44"/>
        <v>0.66666666666666663</v>
      </c>
      <c r="AW108">
        <f>step3_validation[[#This Row],[AI_TRU4]]</f>
        <v>8</v>
      </c>
      <c r="AX108">
        <f t="shared" si="45"/>
        <v>0.77777777777777779</v>
      </c>
      <c r="AY108">
        <f>survey_responses[[#This Row],[Tôi thấy Nhà nước đã giải thích rõ ràng, minh bạch về lý do và mục tiêu của việc sửa đổi thuế lần này. - HUMAN-TRU4]]</f>
        <v>7</v>
      </c>
      <c r="AZ108">
        <f t="shared" si="46"/>
        <v>0.66666666666666663</v>
      </c>
      <c r="BA108" s="32">
        <f t="shared" si="47"/>
        <v>0.80555555555555547</v>
      </c>
      <c r="BB108" s="32">
        <f t="shared" si="48"/>
        <v>0.66666666666666663</v>
      </c>
      <c r="BC108" s="7">
        <f t="shared" si="49"/>
        <v>0.71296296296296291</v>
      </c>
      <c r="BD108" s="7">
        <f t="shared" si="50"/>
        <v>0.66666666666666663</v>
      </c>
      <c r="BE108">
        <f>step3_validation[[#This Row],[AI_OUT1]]</f>
        <v>9</v>
      </c>
      <c r="BF108">
        <f t="shared" si="51"/>
        <v>0.88888888888888884</v>
      </c>
      <c r="BG108">
        <f>survey_responses[[#This Row],[Sau khi xem xét các quyền lợi và nghĩa vụ, bạn có ủng hộ và tuân thủ chính sách mới hiện nay? - HUMAN-OUT1]]</f>
        <v>8</v>
      </c>
      <c r="BH108">
        <f t="shared" si="52"/>
        <v>0.77777777777777779</v>
      </c>
      <c r="BI108" s="32">
        <f t="shared" si="53"/>
        <v>1</v>
      </c>
    </row>
    <row r="109" spans="1:61" x14ac:dyDescent="0.45">
      <c r="A109" s="30">
        <f>step3_validation[[#This Row],[Persona_ID]]</f>
        <v>108</v>
      </c>
      <c r="B109" s="31">
        <f>step3_validation[[#This Row],[Used_Seed]]</f>
        <v>2133</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13.250913260472789</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7</v>
      </c>
      <c r="R109">
        <f t="shared" si="27"/>
        <v>0.66666666666666663</v>
      </c>
      <c r="S109">
        <f>survey_responses[[#This Row],[Tôi tin rằng với các quy định quản lý thuế hiện nay, hành vi gian lận hoặc trốn thuế sẽ dễ dàng bị phát hiện và xử lý nghiêm. - HUMAN-ENF1]]</f>
        <v>5</v>
      </c>
      <c r="T109">
        <f t="shared" si="28"/>
        <v>0.44444444444444442</v>
      </c>
      <c r="U109">
        <f>step3_validation[[#This Row],[AI_ENF2]]</f>
        <v>8</v>
      </c>
      <c r="V109">
        <f t="shared" si="29"/>
        <v>0.77777777777777779</v>
      </c>
      <c r="W109">
        <f>survey_responses[[#This Row],[Tôi tin rằng Nhà nước, cơ quan thuế có đủ khả năng và công nghệ để phát hiện, xử lý nghiêm các hành vi trốn thuế. - HUMAN-ENF2]]</f>
        <v>10</v>
      </c>
      <c r="X109">
        <f t="shared" si="30"/>
        <v>1</v>
      </c>
      <c r="Y109" s="32">
        <f t="shared" si="31"/>
        <v>0.72222222222222221</v>
      </c>
      <c r="Z109" s="32">
        <f t="shared" si="32"/>
        <v>0.72222222222222221</v>
      </c>
      <c r="AA109">
        <f>step3_validation[[#This Row],[AI_FAC1]]</f>
        <v>6</v>
      </c>
      <c r="AB109">
        <f t="shared" si="33"/>
        <v>0.55555555555555558</v>
      </c>
      <c r="AC109">
        <f>survey_responses[[#This Row],[Các thủ tục khai báo thuế VÀ/HOẶC quy trình làm việc với cơ quan thuế đơn giản, tiện lợi, nhanh chóng hơn so với trước đây. - HUMAN-FAC1]]</f>
        <v>5</v>
      </c>
      <c r="AD109">
        <f t="shared" si="34"/>
        <v>0.44444444444444442</v>
      </c>
      <c r="AE109">
        <f>step3_validation[[#This Row],[AI_FAC2]]</f>
        <v>9</v>
      </c>
      <c r="AF109">
        <f t="shared" si="35"/>
        <v>0.88888888888888884</v>
      </c>
      <c r="AG109">
        <f>survey_responses[[#This Row],[So với trước đây, tôi thấy cách tính thuế và các bậc thuế trong phương án mới đơn giản, dễ hiểu và dễ thực hiện hơn. - HUMAN-FAC2]]</f>
        <v>5</v>
      </c>
      <c r="AH109">
        <f t="shared" si="36"/>
        <v>0.44444444444444442</v>
      </c>
      <c r="AI109" s="32">
        <f t="shared" si="37"/>
        <v>0.72222222222222221</v>
      </c>
      <c r="AJ109" s="32">
        <f t="shared" si="38"/>
        <v>0.44444444444444442</v>
      </c>
      <c r="AK109">
        <f>step3_validation[[#This Row],[AI_TRU1]]</f>
        <v>7</v>
      </c>
      <c r="AL109">
        <f t="shared" si="39"/>
        <v>0.66666666666666663</v>
      </c>
      <c r="AM109">
        <f>survey_responses[[#This Row],[Tôi tin rằng Nhà nước, cơ quan thuế sẽ thực thi chính sách mới một cách khách quan, công tâm và đối xử bình đẳng với mọi người nộp thuế.  - HUMAN-TRU1]]</f>
        <v>5</v>
      </c>
      <c r="AN109">
        <f t="shared" si="40"/>
        <v>0.44444444444444442</v>
      </c>
      <c r="AO109">
        <f>step3_validation[[#This Row],[AI_TRU2]]</f>
        <v>8</v>
      </c>
      <c r="AP109">
        <f t="shared" si="41"/>
        <v>0.77777777777777779</v>
      </c>
      <c r="AQ109">
        <f>survey_responses[[#This Row],[Tôi thấy mức thuế tôi phải đóng theo phương án mới là công bằng (người thu nhập như tôi đóng mức này là hợp lý). - HUMAN-TRU2]]</f>
        <v>5</v>
      </c>
      <c r="AR109">
        <f t="shared" si="42"/>
        <v>0.44444444444444442</v>
      </c>
      <c r="AS109">
        <f>step3_validation[[#This Row],[AI_TRU3]]</f>
        <v>7</v>
      </c>
      <c r="AT109">
        <f t="shared" si="43"/>
        <v>0.66666666666666663</v>
      </c>
      <c r="AU109">
        <f>survey_responses[[#This Row],[Tôi tin tưởng số tiền thuế tôi đóng sẽ được Nhà nước sử dụng hiệu quả để cải thiện dịch vụ công (y tế, đường xá...). - HUMAN-TRU3]]</f>
        <v>8</v>
      </c>
      <c r="AV109">
        <f t="shared" si="44"/>
        <v>0.77777777777777779</v>
      </c>
      <c r="AW109">
        <f>step3_validation[[#This Row],[AI_TRU4]]</f>
        <v>6</v>
      </c>
      <c r="AX109">
        <f t="shared" si="45"/>
        <v>0.55555555555555558</v>
      </c>
      <c r="AY109">
        <f>survey_responses[[#This Row],[Tôi thấy Nhà nước đã giải thích rõ ràng, minh bạch về lý do và mục tiêu của việc sửa đổi thuế lần này. - HUMAN-TRU4]]</f>
        <v>5</v>
      </c>
      <c r="AZ109">
        <f t="shared" si="46"/>
        <v>0.44444444444444442</v>
      </c>
      <c r="BA109" s="32">
        <f t="shared" si="47"/>
        <v>0.66666666666666674</v>
      </c>
      <c r="BB109" s="32">
        <f t="shared" si="48"/>
        <v>0.52777777777777768</v>
      </c>
      <c r="BC109" s="7">
        <f t="shared" si="49"/>
        <v>0.70370370370370372</v>
      </c>
      <c r="BD109" s="7">
        <f t="shared" si="50"/>
        <v>0.56481481481481477</v>
      </c>
      <c r="BE109">
        <f>step3_validation[[#This Row],[AI_OUT1]]</f>
        <v>9</v>
      </c>
      <c r="BF109">
        <f t="shared" si="51"/>
        <v>0.88888888888888884</v>
      </c>
      <c r="BG109">
        <f>survey_responses[[#This Row],[Sau khi xem xét các quyền lợi và nghĩa vụ, bạn có ủng hộ và tuân thủ chính sách mới hiện nay? - HUMAN-OUT1]]</f>
        <v>6</v>
      </c>
      <c r="BH109">
        <f t="shared" si="52"/>
        <v>0.55555555555555558</v>
      </c>
      <c r="BI109" s="32">
        <f t="shared" si="53"/>
        <v>3</v>
      </c>
    </row>
    <row r="110" spans="1:61" x14ac:dyDescent="0.45">
      <c r="A110" s="30">
        <f>step3_validation[[#This Row],[Persona_ID]]</f>
        <v>109</v>
      </c>
      <c r="B110" s="31">
        <f>step3_validation[[#This Row],[Used_Seed]]</f>
        <v>2134</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15.482546722924972</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7</v>
      </c>
      <c r="R110">
        <f t="shared" si="27"/>
        <v>0.66666666666666663</v>
      </c>
      <c r="S110">
        <f>survey_responses[[#This Row],[Tôi tin rằng với các quy định quản lý thuế hiện nay, hành vi gian lận hoặc trốn thuế sẽ dễ dàng bị phát hiện và xử lý nghiêm. - HUMAN-ENF1]]</f>
        <v>10</v>
      </c>
      <c r="T110">
        <f t="shared" si="28"/>
        <v>1</v>
      </c>
      <c r="U110">
        <f>step3_validation[[#This Row],[AI_ENF2]]</f>
        <v>8</v>
      </c>
      <c r="V110">
        <f t="shared" si="29"/>
        <v>0.77777777777777779</v>
      </c>
      <c r="W110">
        <f>survey_responses[[#This Row],[Tôi tin rằng Nhà nước, cơ quan thuế có đủ khả năng và công nghệ để phát hiện, xử lý nghiêm các hành vi trốn thuế. - HUMAN-ENF2]]</f>
        <v>10</v>
      </c>
      <c r="X110">
        <f t="shared" si="30"/>
        <v>1</v>
      </c>
      <c r="Y110" s="32">
        <f t="shared" si="31"/>
        <v>0.72222222222222221</v>
      </c>
      <c r="Z110" s="32">
        <f t="shared" si="32"/>
        <v>1</v>
      </c>
      <c r="AA110">
        <f>step3_validation[[#This Row],[AI_FAC1]]</f>
        <v>9</v>
      </c>
      <c r="AB110">
        <f t="shared" si="33"/>
        <v>0.88888888888888884</v>
      </c>
      <c r="AC110">
        <f>survey_responses[[#This Row],[Các thủ tục khai báo thuế VÀ/HOẶC quy trình làm việc với cơ quan thuế đơn giản, tiện lợi, nhanh chóng hơn so với trước đây. - HUMAN-FAC1]]</f>
        <v>10</v>
      </c>
      <c r="AD110">
        <f t="shared" si="34"/>
        <v>1</v>
      </c>
      <c r="AE110">
        <f>step3_validation[[#This Row],[AI_FAC2]]</f>
        <v>8</v>
      </c>
      <c r="AF110">
        <f t="shared" si="35"/>
        <v>0.77777777777777779</v>
      </c>
      <c r="AG110">
        <f>survey_responses[[#This Row],[So với trước đây, tôi thấy cách tính thuế và các bậc thuế trong phương án mới đơn giản, dễ hiểu và dễ thực hiện hơn. - HUMAN-FAC2]]</f>
        <v>10</v>
      </c>
      <c r="AH110">
        <f t="shared" si="36"/>
        <v>1</v>
      </c>
      <c r="AI110" s="32">
        <f t="shared" si="37"/>
        <v>0.83333333333333326</v>
      </c>
      <c r="AJ110" s="32">
        <f t="shared" si="38"/>
        <v>1</v>
      </c>
      <c r="AK110">
        <f>step3_validation[[#This Row],[AI_TRU1]]</f>
        <v>9</v>
      </c>
      <c r="AL110">
        <f t="shared" si="39"/>
        <v>0.88888888888888884</v>
      </c>
      <c r="AM110">
        <f>survey_responses[[#This Row],[Tôi tin rằng Nhà nước, cơ quan thuế sẽ thực thi chính sách mới một cách khách quan, công tâm và đối xử bình đẳng với mọi người nộp thuế.  - HUMAN-TRU1]]</f>
        <v>10</v>
      </c>
      <c r="AN110">
        <f t="shared" si="40"/>
        <v>1</v>
      </c>
      <c r="AO110">
        <f>step3_validation[[#This Row],[AI_TRU2]]</f>
        <v>9</v>
      </c>
      <c r="AP110">
        <f t="shared" si="41"/>
        <v>0.88888888888888884</v>
      </c>
      <c r="AQ110">
        <f>survey_responses[[#This Row],[Tôi thấy mức thuế tôi phải đóng theo phương án mới là công bằng (người thu nhập như tôi đóng mức này là hợp lý). - HUMAN-TRU2]]</f>
        <v>10</v>
      </c>
      <c r="AR110">
        <f t="shared" si="42"/>
        <v>1</v>
      </c>
      <c r="AS110">
        <f>step3_validation[[#This Row],[AI_TRU3]]</f>
        <v>8</v>
      </c>
      <c r="AT110">
        <f t="shared" si="43"/>
        <v>0.77777777777777779</v>
      </c>
      <c r="AU110">
        <f>survey_responses[[#This Row],[Tôi tin tưởng số tiền thuế tôi đóng sẽ được Nhà nước sử dụng hiệu quả để cải thiện dịch vụ công (y tế, đường xá...). - HUMAN-TRU3]]</f>
        <v>10</v>
      </c>
      <c r="AV110">
        <f t="shared" si="44"/>
        <v>1</v>
      </c>
      <c r="AW110">
        <f>step3_validation[[#This Row],[AI_TRU4]]</f>
        <v>9</v>
      </c>
      <c r="AX110">
        <f t="shared" si="45"/>
        <v>0.88888888888888884</v>
      </c>
      <c r="AY110">
        <f>survey_responses[[#This Row],[Tôi thấy Nhà nước đã giải thích rõ ràng, minh bạch về lý do và mục tiêu của việc sửa đổi thuế lần này. - HUMAN-TRU4]]</f>
        <v>10</v>
      </c>
      <c r="AZ110">
        <f t="shared" si="46"/>
        <v>1</v>
      </c>
      <c r="BA110" s="32">
        <f t="shared" si="47"/>
        <v>0.86111111111111105</v>
      </c>
      <c r="BB110" s="32">
        <f t="shared" si="48"/>
        <v>1</v>
      </c>
      <c r="BC110" s="7">
        <f t="shared" si="49"/>
        <v>0.80555555555555547</v>
      </c>
      <c r="BD110" s="7">
        <f t="shared" si="50"/>
        <v>1</v>
      </c>
      <c r="BE110">
        <f>step3_validation[[#This Row],[AI_OUT1]]</f>
        <v>9</v>
      </c>
      <c r="BF110">
        <f t="shared" si="51"/>
        <v>0.88888888888888884</v>
      </c>
      <c r="BG110">
        <f>survey_responses[[#This Row],[Sau khi xem xét các quyền lợi và nghĩa vụ, bạn có ủng hộ và tuân thủ chính sách mới hiện nay? - HUMAN-OUT1]]</f>
        <v>10</v>
      </c>
      <c r="BH110">
        <f t="shared" si="52"/>
        <v>1</v>
      </c>
      <c r="BI110" s="32">
        <f t="shared" si="53"/>
        <v>1</v>
      </c>
    </row>
    <row r="111" spans="1:61" x14ac:dyDescent="0.45">
      <c r="A111" s="30">
        <f>step3_validation[[#This Row],[Persona_ID]]</f>
        <v>110</v>
      </c>
      <c r="B111" s="31">
        <f>step3_validation[[#This Row],[Used_Seed]]</f>
        <v>2135</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57.646688879409737</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7</v>
      </c>
      <c r="R111">
        <f t="shared" si="27"/>
        <v>0.66666666666666663</v>
      </c>
      <c r="S111">
        <f>survey_responses[[#This Row],[Tôi tin rằng với các quy định quản lý thuế hiện nay, hành vi gian lận hoặc trốn thuế sẽ dễ dàng bị phát hiện và xử lý nghiêm. - HUMAN-ENF1]]</f>
        <v>7</v>
      </c>
      <c r="T111">
        <f t="shared" si="28"/>
        <v>0.66666666666666663</v>
      </c>
      <c r="U111">
        <f>step3_validation[[#This Row],[AI_ENF2]]</f>
        <v>8</v>
      </c>
      <c r="V111">
        <f t="shared" si="29"/>
        <v>0.77777777777777779</v>
      </c>
      <c r="W111">
        <f>survey_responses[[#This Row],[Tôi tin rằng Nhà nước, cơ quan thuế có đủ khả năng và công nghệ để phát hiện, xử lý nghiêm các hành vi trốn thuế. - HUMAN-ENF2]]</f>
        <v>6</v>
      </c>
      <c r="X111">
        <f t="shared" si="30"/>
        <v>0.55555555555555558</v>
      </c>
      <c r="Y111" s="32">
        <f t="shared" si="31"/>
        <v>0.72222222222222221</v>
      </c>
      <c r="Z111" s="32">
        <f t="shared" si="32"/>
        <v>0.61111111111111116</v>
      </c>
      <c r="AA111">
        <f>step3_validation[[#This Row],[AI_FAC1]]</f>
        <v>9</v>
      </c>
      <c r="AB111">
        <f t="shared" si="33"/>
        <v>0.88888888888888884</v>
      </c>
      <c r="AC111">
        <f>survey_responses[[#This Row],[Các thủ tục khai báo thuế VÀ/HOẶC quy trình làm việc với cơ quan thuế đơn giản, tiện lợi, nhanh chóng hơn so với trước đây. - HUMAN-FAC1]]</f>
        <v>8</v>
      </c>
      <c r="AD111">
        <f t="shared" si="34"/>
        <v>0.77777777777777779</v>
      </c>
      <c r="AE111">
        <f>step3_validation[[#This Row],[AI_FAC2]]</f>
        <v>10</v>
      </c>
      <c r="AF111">
        <f t="shared" si="35"/>
        <v>1</v>
      </c>
      <c r="AG111">
        <f>survey_responses[[#This Row],[So với trước đây, tôi thấy cách tính thuế và các bậc thuế trong phương án mới đơn giản, dễ hiểu và dễ thực hiện hơn. - HUMAN-FAC2]]</f>
        <v>8</v>
      </c>
      <c r="AH111">
        <f t="shared" si="36"/>
        <v>0.77777777777777779</v>
      </c>
      <c r="AI111" s="32">
        <f t="shared" si="37"/>
        <v>0.94444444444444442</v>
      </c>
      <c r="AJ111" s="32">
        <f t="shared" si="38"/>
        <v>0.77777777777777779</v>
      </c>
      <c r="AK111">
        <f>step3_validation[[#This Row],[AI_TRU1]]</f>
        <v>9</v>
      </c>
      <c r="AL111">
        <f t="shared" si="39"/>
        <v>0.88888888888888884</v>
      </c>
      <c r="AM111">
        <f>survey_responses[[#This Row],[Tôi tin rằng Nhà nước, cơ quan thuế sẽ thực thi chính sách mới một cách khách quan, công tâm và đối xử bình đẳng với mọi người nộp thuế.  - HUMAN-TRU1]]</f>
        <v>7</v>
      </c>
      <c r="AN111">
        <f t="shared" si="40"/>
        <v>0.66666666666666663</v>
      </c>
      <c r="AO111">
        <f>step3_validation[[#This Row],[AI_TRU2]]</f>
        <v>8</v>
      </c>
      <c r="AP111">
        <f t="shared" si="41"/>
        <v>0.77777777777777779</v>
      </c>
      <c r="AQ111">
        <f>survey_responses[[#This Row],[Tôi thấy mức thuế tôi phải đóng theo phương án mới là công bằng (người thu nhập như tôi đóng mức này là hợp lý). - HUMAN-TRU2]]</f>
        <v>6</v>
      </c>
      <c r="AR111">
        <f t="shared" si="42"/>
        <v>0.55555555555555558</v>
      </c>
      <c r="AS111">
        <f>step3_validation[[#This Row],[AI_TRU3]]</f>
        <v>9</v>
      </c>
      <c r="AT111">
        <f t="shared" si="43"/>
        <v>0.88888888888888884</v>
      </c>
      <c r="AU111">
        <f>survey_responses[[#This Row],[Tôi tin tưởng số tiền thuế tôi đóng sẽ được Nhà nước sử dụng hiệu quả để cải thiện dịch vụ công (y tế, đường xá...). - HUMAN-TRU3]]</f>
        <v>5</v>
      </c>
      <c r="AV111">
        <f t="shared" si="44"/>
        <v>0.44444444444444442</v>
      </c>
      <c r="AW111">
        <f>step3_validation[[#This Row],[AI_TRU4]]</f>
        <v>7</v>
      </c>
      <c r="AX111">
        <f t="shared" si="45"/>
        <v>0.66666666666666663</v>
      </c>
      <c r="AY111">
        <f>survey_responses[[#This Row],[Tôi thấy Nhà nước đã giải thích rõ ràng, minh bạch về lý do và mục tiêu của việc sửa đổi thuế lần này. - HUMAN-TRU4]]</f>
        <v>5</v>
      </c>
      <c r="AZ111">
        <f t="shared" si="46"/>
        <v>0.44444444444444442</v>
      </c>
      <c r="BA111" s="32">
        <f t="shared" si="47"/>
        <v>0.80555555555555547</v>
      </c>
      <c r="BB111" s="32">
        <f t="shared" si="48"/>
        <v>0.52777777777777779</v>
      </c>
      <c r="BC111" s="7">
        <f t="shared" si="49"/>
        <v>0.82407407407407396</v>
      </c>
      <c r="BD111" s="7">
        <f t="shared" si="50"/>
        <v>0.63888888888888884</v>
      </c>
      <c r="BE111">
        <f>step3_validation[[#This Row],[AI_OUT1]]</f>
        <v>9</v>
      </c>
      <c r="BF111">
        <f t="shared" si="51"/>
        <v>0.88888888888888884</v>
      </c>
      <c r="BG111">
        <f>survey_responses[[#This Row],[Sau khi xem xét các quyền lợi và nghĩa vụ, bạn có ủng hộ và tuân thủ chính sách mới hiện nay? - HUMAN-OUT1]]</f>
        <v>8</v>
      </c>
      <c r="BH111">
        <f t="shared" si="52"/>
        <v>0.77777777777777779</v>
      </c>
      <c r="BI111" s="32">
        <f t="shared" si="53"/>
        <v>1</v>
      </c>
    </row>
    <row r="112" spans="1:61" x14ac:dyDescent="0.45">
      <c r="A112" s="30">
        <f>step3_validation[[#This Row],[Persona_ID]]</f>
        <v>111</v>
      </c>
      <c r="B112" s="31">
        <f>step3_validation[[#This Row],[Used_Seed]]</f>
        <v>2136</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27.030741484792316</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9</v>
      </c>
      <c r="R112">
        <f t="shared" si="27"/>
        <v>0.88888888888888884</v>
      </c>
      <c r="S112">
        <f>survey_responses[[#This Row],[Tôi tin rằng với các quy định quản lý thuế hiện nay, hành vi gian lận hoặc trốn thuế sẽ dễ dàng bị phát hiện và xử lý nghiêm. - HUMAN-ENF1]]</f>
        <v>8</v>
      </c>
      <c r="T112">
        <f t="shared" si="28"/>
        <v>0.77777777777777779</v>
      </c>
      <c r="U112">
        <f>step3_validation[[#This Row],[AI_ENF2]]</f>
        <v>8</v>
      </c>
      <c r="V112">
        <f t="shared" si="29"/>
        <v>0.77777777777777779</v>
      </c>
      <c r="W112">
        <f>survey_responses[[#This Row],[Tôi tin rằng Nhà nước, cơ quan thuế có đủ khả năng và công nghệ để phát hiện, xử lý nghiêm các hành vi trốn thuế. - HUMAN-ENF2]]</f>
        <v>8</v>
      </c>
      <c r="X112">
        <f t="shared" si="30"/>
        <v>0.77777777777777779</v>
      </c>
      <c r="Y112" s="32">
        <f t="shared" si="31"/>
        <v>0.83333333333333326</v>
      </c>
      <c r="Z112" s="32">
        <f t="shared" si="32"/>
        <v>0.77777777777777779</v>
      </c>
      <c r="AA112">
        <f>step3_validation[[#This Row],[AI_FAC1]]</f>
        <v>9</v>
      </c>
      <c r="AB112">
        <f t="shared" si="33"/>
        <v>0.88888888888888884</v>
      </c>
      <c r="AC112">
        <f>survey_responses[[#This Row],[Các thủ tục khai báo thuế VÀ/HOẶC quy trình làm việc với cơ quan thuế đơn giản, tiện lợi, nhanh chóng hơn so với trước đây. - HUMAN-FAC1]]</f>
        <v>6</v>
      </c>
      <c r="AD112">
        <f t="shared" si="34"/>
        <v>0.55555555555555558</v>
      </c>
      <c r="AE112">
        <f>step3_validation[[#This Row],[AI_FAC2]]</f>
        <v>8</v>
      </c>
      <c r="AF112">
        <f t="shared" si="35"/>
        <v>0.77777777777777779</v>
      </c>
      <c r="AG112">
        <f>survey_responses[[#This Row],[So với trước đây, tôi thấy cách tính thuế và các bậc thuế trong phương án mới đơn giản, dễ hiểu và dễ thực hiện hơn. - HUMAN-FAC2]]</f>
        <v>7</v>
      </c>
      <c r="AH112">
        <f t="shared" si="36"/>
        <v>0.66666666666666663</v>
      </c>
      <c r="AI112" s="32">
        <f t="shared" si="37"/>
        <v>0.83333333333333326</v>
      </c>
      <c r="AJ112" s="32">
        <f t="shared" si="38"/>
        <v>0.61111111111111116</v>
      </c>
      <c r="AK112">
        <f>step3_validation[[#This Row],[AI_TRU1]]</f>
        <v>9</v>
      </c>
      <c r="AL112">
        <f t="shared" si="39"/>
        <v>0.88888888888888884</v>
      </c>
      <c r="AM112">
        <f>survey_responses[[#This Row],[Tôi tin rằng Nhà nước, cơ quan thuế sẽ thực thi chính sách mới một cách khách quan, công tâm và đối xử bình đẳng với mọi người nộp thuế.  - HUMAN-TRU1]]</f>
        <v>6</v>
      </c>
      <c r="AN112">
        <f t="shared" si="40"/>
        <v>0.55555555555555558</v>
      </c>
      <c r="AO112">
        <f>step3_validation[[#This Row],[AI_TRU2]]</f>
        <v>8</v>
      </c>
      <c r="AP112">
        <f t="shared" si="41"/>
        <v>0.77777777777777779</v>
      </c>
      <c r="AQ112">
        <f>survey_responses[[#This Row],[Tôi thấy mức thuế tôi phải đóng theo phương án mới là công bằng (người thu nhập như tôi đóng mức này là hợp lý). - HUMAN-TRU2]]</f>
        <v>7</v>
      </c>
      <c r="AR112">
        <f t="shared" si="42"/>
        <v>0.66666666666666663</v>
      </c>
      <c r="AS112">
        <f>step3_validation[[#This Row],[AI_TRU3]]</f>
        <v>9</v>
      </c>
      <c r="AT112">
        <f t="shared" si="43"/>
        <v>0.88888888888888884</v>
      </c>
      <c r="AU112">
        <f>survey_responses[[#This Row],[Tôi tin tưởng số tiền thuế tôi đóng sẽ được Nhà nước sử dụng hiệu quả để cải thiện dịch vụ công (y tế, đường xá...). - HUMAN-TRU3]]</f>
        <v>5</v>
      </c>
      <c r="AV112">
        <f t="shared" si="44"/>
        <v>0.44444444444444442</v>
      </c>
      <c r="AW112">
        <f>step3_validation[[#This Row],[AI_TRU4]]</f>
        <v>8</v>
      </c>
      <c r="AX112">
        <f t="shared" si="45"/>
        <v>0.77777777777777779</v>
      </c>
      <c r="AY112">
        <f>survey_responses[[#This Row],[Tôi thấy Nhà nước đã giải thích rõ ràng, minh bạch về lý do và mục tiêu của việc sửa đổi thuế lần này. - HUMAN-TRU4]]</f>
        <v>5</v>
      </c>
      <c r="AZ112">
        <f t="shared" si="46"/>
        <v>0.44444444444444442</v>
      </c>
      <c r="BA112" s="32">
        <f t="shared" si="47"/>
        <v>0.83333333333333326</v>
      </c>
      <c r="BB112" s="32">
        <f t="shared" si="48"/>
        <v>0.52777777777777779</v>
      </c>
      <c r="BC112" s="7">
        <f t="shared" si="49"/>
        <v>0.83333333333333337</v>
      </c>
      <c r="BD112" s="7">
        <f t="shared" si="50"/>
        <v>0.63888888888888884</v>
      </c>
      <c r="BE112">
        <f>step3_validation[[#This Row],[AI_OUT1]]</f>
        <v>9</v>
      </c>
      <c r="BF112">
        <f t="shared" si="51"/>
        <v>0.88888888888888884</v>
      </c>
      <c r="BG112">
        <f>survey_responses[[#This Row],[Sau khi xem xét các quyền lợi và nghĩa vụ, bạn có ủng hộ và tuân thủ chính sách mới hiện nay? - HUMAN-OUT1]]</f>
        <v>5</v>
      </c>
      <c r="BH112">
        <f t="shared" si="52"/>
        <v>0.44444444444444442</v>
      </c>
      <c r="BI112" s="32">
        <f t="shared" si="53"/>
        <v>4</v>
      </c>
    </row>
    <row r="113" spans="1:61" x14ac:dyDescent="0.45">
      <c r="A113" s="30">
        <f>step3_validation[[#This Row],[Persona_ID]]</f>
        <v>112</v>
      </c>
      <c r="B113" s="31">
        <f>step3_validation[[#This Row],[Used_Seed]]</f>
        <v>2137</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19.498798349359337</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7</v>
      </c>
      <c r="R113">
        <f t="shared" si="27"/>
        <v>0.66666666666666663</v>
      </c>
      <c r="S113">
        <f>survey_responses[[#This Row],[Tôi tin rằng với các quy định quản lý thuế hiện nay, hành vi gian lận hoặc trốn thuế sẽ dễ dàng bị phát hiện và xử lý nghiêm. - HUMAN-ENF1]]</f>
        <v>7</v>
      </c>
      <c r="T113">
        <f t="shared" si="28"/>
        <v>0.66666666666666663</v>
      </c>
      <c r="U113">
        <f>step3_validation[[#This Row],[AI_ENF2]]</f>
        <v>7</v>
      </c>
      <c r="V113">
        <f t="shared" si="29"/>
        <v>0.66666666666666663</v>
      </c>
      <c r="W113">
        <f>survey_responses[[#This Row],[Tôi tin rằng Nhà nước, cơ quan thuế có đủ khả năng và công nghệ để phát hiện, xử lý nghiêm các hành vi trốn thuế. - HUMAN-ENF2]]</f>
        <v>8</v>
      </c>
      <c r="X113">
        <f t="shared" si="30"/>
        <v>0.77777777777777779</v>
      </c>
      <c r="Y113" s="32">
        <f t="shared" si="31"/>
        <v>0.66666666666666663</v>
      </c>
      <c r="Z113" s="32">
        <f t="shared" si="32"/>
        <v>0.72222222222222221</v>
      </c>
      <c r="AA113">
        <f>step3_validation[[#This Row],[AI_FAC1]]</f>
        <v>8</v>
      </c>
      <c r="AB113">
        <f t="shared" si="33"/>
        <v>0.77777777777777779</v>
      </c>
      <c r="AC113">
        <f>survey_responses[[#This Row],[Các thủ tục khai báo thuế VÀ/HOẶC quy trình làm việc với cơ quan thuế đơn giản, tiện lợi, nhanh chóng hơn so với trước đây. - HUMAN-FAC1]]</f>
        <v>8</v>
      </c>
      <c r="AD113">
        <f t="shared" si="34"/>
        <v>0.77777777777777779</v>
      </c>
      <c r="AE113">
        <f>step3_validation[[#This Row],[AI_FAC2]]</f>
        <v>9</v>
      </c>
      <c r="AF113">
        <f t="shared" si="35"/>
        <v>0.88888888888888884</v>
      </c>
      <c r="AG113">
        <f>survey_responses[[#This Row],[So với trước đây, tôi thấy cách tính thuế và các bậc thuế trong phương án mới đơn giản, dễ hiểu và dễ thực hiện hơn. - HUMAN-FAC2]]</f>
        <v>8</v>
      </c>
      <c r="AH113">
        <f t="shared" si="36"/>
        <v>0.77777777777777779</v>
      </c>
      <c r="AI113" s="32">
        <f t="shared" si="37"/>
        <v>0.83333333333333326</v>
      </c>
      <c r="AJ113" s="32">
        <f t="shared" si="38"/>
        <v>0.77777777777777779</v>
      </c>
      <c r="AK113">
        <f>step3_validation[[#This Row],[AI_TRU1]]</f>
        <v>8</v>
      </c>
      <c r="AL113">
        <f t="shared" si="39"/>
        <v>0.77777777777777779</v>
      </c>
      <c r="AM113">
        <f>survey_responses[[#This Row],[Tôi tin rằng Nhà nước, cơ quan thuế sẽ thực thi chính sách mới một cách khách quan, công tâm và đối xử bình đẳng với mọi người nộp thuế.  - HUMAN-TRU1]]</f>
        <v>8</v>
      </c>
      <c r="AN113">
        <f t="shared" si="40"/>
        <v>0.77777777777777779</v>
      </c>
      <c r="AO113">
        <f>step3_validation[[#This Row],[AI_TRU2]]</f>
        <v>9</v>
      </c>
      <c r="AP113">
        <f t="shared" si="41"/>
        <v>0.88888888888888884</v>
      </c>
      <c r="AQ113">
        <f>survey_responses[[#This Row],[Tôi thấy mức thuế tôi phải đóng theo phương án mới là công bằng (người thu nhập như tôi đóng mức này là hợp lý). - HUMAN-TRU2]]</f>
        <v>8</v>
      </c>
      <c r="AR113">
        <f t="shared" si="42"/>
        <v>0.77777777777777779</v>
      </c>
      <c r="AS113">
        <f>step3_validation[[#This Row],[AI_TRU3]]</f>
        <v>8</v>
      </c>
      <c r="AT113">
        <f t="shared" si="43"/>
        <v>0.77777777777777779</v>
      </c>
      <c r="AU113">
        <f>survey_responses[[#This Row],[Tôi tin tưởng số tiền thuế tôi đóng sẽ được Nhà nước sử dụng hiệu quả để cải thiện dịch vụ công (y tế, đường xá...). - HUMAN-TRU3]]</f>
        <v>8</v>
      </c>
      <c r="AV113">
        <f t="shared" si="44"/>
        <v>0.77777777777777779</v>
      </c>
      <c r="AW113">
        <f>step3_validation[[#This Row],[AI_TRU4]]</f>
        <v>9</v>
      </c>
      <c r="AX113">
        <f t="shared" si="45"/>
        <v>0.88888888888888884</v>
      </c>
      <c r="AY113">
        <f>survey_responses[[#This Row],[Tôi thấy Nhà nước đã giải thích rõ ràng, minh bạch về lý do và mục tiêu của việc sửa đổi thuế lần này. - HUMAN-TRU4]]</f>
        <v>8</v>
      </c>
      <c r="AZ113">
        <f t="shared" si="46"/>
        <v>0.77777777777777779</v>
      </c>
      <c r="BA113" s="32">
        <f t="shared" si="47"/>
        <v>0.83333333333333326</v>
      </c>
      <c r="BB113" s="32">
        <f t="shared" si="48"/>
        <v>0.77777777777777779</v>
      </c>
      <c r="BC113" s="7">
        <f t="shared" si="49"/>
        <v>0.77777777777777768</v>
      </c>
      <c r="BD113" s="7">
        <f t="shared" si="50"/>
        <v>0.75925925925925919</v>
      </c>
      <c r="BE113">
        <f>step3_validation[[#This Row],[AI_OUT1]]</f>
        <v>8</v>
      </c>
      <c r="BF113">
        <f t="shared" si="51"/>
        <v>0.77777777777777779</v>
      </c>
      <c r="BG113">
        <f>survey_responses[[#This Row],[Sau khi xem xét các quyền lợi và nghĩa vụ, bạn có ủng hộ và tuân thủ chính sách mới hiện nay? - HUMAN-OUT1]]</f>
        <v>8</v>
      </c>
      <c r="BH113">
        <f t="shared" si="52"/>
        <v>0.77777777777777779</v>
      </c>
      <c r="BI113" s="32">
        <f t="shared" si="53"/>
        <v>0</v>
      </c>
    </row>
    <row r="114" spans="1:61" x14ac:dyDescent="0.45">
      <c r="A114" s="30">
        <f>step3_validation[[#This Row],[Persona_ID]]</f>
        <v>113</v>
      </c>
      <c r="B114" s="31">
        <f>step3_validation[[#This Row],[Used_Seed]]</f>
        <v>2138</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8</v>
      </c>
      <c r="R114">
        <f t="shared" si="27"/>
        <v>0.77777777777777779</v>
      </c>
      <c r="S114">
        <f>survey_responses[[#This Row],[Tôi tin rằng với các quy định quản lý thuế hiện nay, hành vi gian lận hoặc trốn thuế sẽ dễ dàng bị phát hiện và xử lý nghiêm. - HUMAN-ENF1]]</f>
        <v>1</v>
      </c>
      <c r="T114">
        <f t="shared" si="28"/>
        <v>0</v>
      </c>
      <c r="U114">
        <f>step3_validation[[#This Row],[AI_ENF2]]</f>
        <v>7</v>
      </c>
      <c r="V114">
        <f t="shared" si="29"/>
        <v>0.66666666666666663</v>
      </c>
      <c r="W114">
        <f>survey_responses[[#This Row],[Tôi tin rằng Nhà nước, cơ quan thuế có đủ khả năng và công nghệ để phát hiện, xử lý nghiêm các hành vi trốn thuế. - HUMAN-ENF2]]</f>
        <v>1</v>
      </c>
      <c r="X114">
        <f t="shared" si="30"/>
        <v>0</v>
      </c>
      <c r="Y114" s="32">
        <f t="shared" si="31"/>
        <v>0.72222222222222221</v>
      </c>
      <c r="Z114" s="32">
        <f t="shared" si="32"/>
        <v>0</v>
      </c>
      <c r="AA114">
        <f>step3_validation[[#This Row],[AI_FAC1]]</f>
        <v>9</v>
      </c>
      <c r="AB114">
        <f t="shared" si="33"/>
        <v>0.88888888888888884</v>
      </c>
      <c r="AC114">
        <f>survey_responses[[#This Row],[Các thủ tục khai báo thuế VÀ/HOẶC quy trình làm việc với cơ quan thuế đơn giản, tiện lợi, nhanh chóng hơn so với trước đây. - HUMAN-FAC1]]</f>
        <v>1</v>
      </c>
      <c r="AD114">
        <f t="shared" si="34"/>
        <v>0</v>
      </c>
      <c r="AE114">
        <f>step3_validation[[#This Row],[AI_FAC2]]</f>
        <v>7</v>
      </c>
      <c r="AF114">
        <f t="shared" si="35"/>
        <v>0.66666666666666663</v>
      </c>
      <c r="AG114">
        <f>survey_responses[[#This Row],[So với trước đây, tôi thấy cách tính thuế và các bậc thuế trong phương án mới đơn giản, dễ hiểu và dễ thực hiện hơn. - HUMAN-FAC2]]</f>
        <v>1</v>
      </c>
      <c r="AH114">
        <f t="shared" si="36"/>
        <v>0</v>
      </c>
      <c r="AI114" s="32">
        <f t="shared" si="37"/>
        <v>0.77777777777777768</v>
      </c>
      <c r="AJ114" s="32">
        <f t="shared" si="38"/>
        <v>0</v>
      </c>
      <c r="AK114">
        <f>step3_validation[[#This Row],[AI_TRU1]]</f>
        <v>8</v>
      </c>
      <c r="AL114">
        <f t="shared" si="39"/>
        <v>0.77777777777777779</v>
      </c>
      <c r="AM114">
        <f>survey_responses[[#This Row],[Tôi tin rằng Nhà nước, cơ quan thuế sẽ thực thi chính sách mới một cách khách quan, công tâm và đối xử bình đẳng với mọi người nộp thuế.  - HUMAN-TRU1]]</f>
        <v>1</v>
      </c>
      <c r="AN114">
        <f t="shared" si="40"/>
        <v>0</v>
      </c>
      <c r="AO114">
        <f>step3_validation[[#This Row],[AI_TRU2]]</f>
        <v>9</v>
      </c>
      <c r="AP114">
        <f t="shared" si="41"/>
        <v>0.88888888888888884</v>
      </c>
      <c r="AQ114">
        <f>survey_responses[[#This Row],[Tôi thấy mức thuế tôi phải đóng theo phương án mới là công bằng (người thu nhập như tôi đóng mức này là hợp lý). - HUMAN-TRU2]]</f>
        <v>1</v>
      </c>
      <c r="AR114">
        <f t="shared" si="42"/>
        <v>0</v>
      </c>
      <c r="AS114">
        <f>step3_validation[[#This Row],[AI_TRU3]]</f>
        <v>8</v>
      </c>
      <c r="AT114">
        <f t="shared" si="43"/>
        <v>0.77777777777777779</v>
      </c>
      <c r="AU114">
        <f>survey_responses[[#This Row],[Tôi tin tưởng số tiền thuế tôi đóng sẽ được Nhà nước sử dụng hiệu quả để cải thiện dịch vụ công (y tế, đường xá...). - HUMAN-TRU3]]</f>
        <v>1</v>
      </c>
      <c r="AV114">
        <f t="shared" si="44"/>
        <v>0</v>
      </c>
      <c r="AW114">
        <f>step3_validation[[#This Row],[AI_TRU4]]</f>
        <v>7</v>
      </c>
      <c r="AX114">
        <f t="shared" si="45"/>
        <v>0.66666666666666663</v>
      </c>
      <c r="AY114">
        <f>survey_responses[[#This Row],[Tôi thấy Nhà nước đã giải thích rõ ràng, minh bạch về lý do và mục tiêu của việc sửa đổi thuế lần này. - HUMAN-TRU4]]</f>
        <v>1</v>
      </c>
      <c r="AZ114">
        <f t="shared" si="46"/>
        <v>0</v>
      </c>
      <c r="BA114" s="32">
        <f t="shared" si="47"/>
        <v>0.77777777777777768</v>
      </c>
      <c r="BB114" s="32">
        <f t="shared" si="48"/>
        <v>0</v>
      </c>
      <c r="BC114" s="7">
        <f t="shared" si="49"/>
        <v>0.75925925925925919</v>
      </c>
      <c r="BD114" s="7">
        <f t="shared" si="50"/>
        <v>0</v>
      </c>
      <c r="BE114">
        <f>step3_validation[[#This Row],[AI_OUT1]]</f>
        <v>9</v>
      </c>
      <c r="BF114">
        <f t="shared" si="51"/>
        <v>0.88888888888888884</v>
      </c>
      <c r="BG114">
        <f>survey_responses[[#This Row],[Sau khi xem xét các quyền lợi và nghĩa vụ, bạn có ủng hộ và tuân thủ chính sách mới hiện nay? - HUMAN-OUT1]]</f>
        <v>1</v>
      </c>
      <c r="BH114">
        <f t="shared" si="52"/>
        <v>0</v>
      </c>
      <c r="BI114" s="32">
        <f t="shared" si="53"/>
        <v>8</v>
      </c>
    </row>
    <row r="115" spans="1:61" x14ac:dyDescent="0.45">
      <c r="A115" s="30">
        <f>step3_validation[[#This Row],[Persona_ID]]</f>
        <v>114</v>
      </c>
      <c r="B115" s="31">
        <f>step3_validation[[#This Row],[Used_Seed]]</f>
        <v>2139</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21.303432143635934</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5</v>
      </c>
      <c r="R115">
        <f t="shared" si="27"/>
        <v>0.44444444444444442</v>
      </c>
      <c r="S115">
        <f>survey_responses[[#This Row],[Tôi tin rằng với các quy định quản lý thuế hiện nay, hành vi gian lận hoặc trốn thuế sẽ dễ dàng bị phát hiện và xử lý nghiêm. - HUMAN-ENF1]]</f>
        <v>10</v>
      </c>
      <c r="T115">
        <f t="shared" si="28"/>
        <v>1</v>
      </c>
      <c r="U115">
        <f>step3_validation[[#This Row],[AI_ENF2]]</f>
        <v>6</v>
      </c>
      <c r="V115">
        <f t="shared" si="29"/>
        <v>0.55555555555555558</v>
      </c>
      <c r="W115">
        <f>survey_responses[[#This Row],[Tôi tin rằng Nhà nước, cơ quan thuế có đủ khả năng và công nghệ để phát hiện, xử lý nghiêm các hành vi trốn thuế. - HUMAN-ENF2]]</f>
        <v>10</v>
      </c>
      <c r="X115">
        <f t="shared" si="30"/>
        <v>1</v>
      </c>
      <c r="Y115" s="32">
        <f t="shared" si="31"/>
        <v>0.5</v>
      </c>
      <c r="Z115" s="32">
        <f t="shared" si="32"/>
        <v>1</v>
      </c>
      <c r="AA115">
        <f>step3_validation[[#This Row],[AI_FAC1]]</f>
        <v>9</v>
      </c>
      <c r="AB115">
        <f t="shared" si="33"/>
        <v>0.88888888888888884</v>
      </c>
      <c r="AC115">
        <f>survey_responses[[#This Row],[Các thủ tục khai báo thuế VÀ/HOẶC quy trình làm việc với cơ quan thuế đơn giản, tiện lợi, nhanh chóng hơn so với trước đây. - HUMAN-FAC1]]</f>
        <v>10</v>
      </c>
      <c r="AD115">
        <f t="shared" si="34"/>
        <v>1</v>
      </c>
      <c r="AE115">
        <f>step3_validation[[#This Row],[AI_FAC2]]</f>
        <v>9</v>
      </c>
      <c r="AF115">
        <f t="shared" si="35"/>
        <v>0.88888888888888884</v>
      </c>
      <c r="AG115">
        <f>survey_responses[[#This Row],[So với trước đây, tôi thấy cách tính thuế và các bậc thuế trong phương án mới đơn giản, dễ hiểu và dễ thực hiện hơn. - HUMAN-FAC2]]</f>
        <v>10</v>
      </c>
      <c r="AH115">
        <f t="shared" si="36"/>
        <v>1</v>
      </c>
      <c r="AI115" s="32">
        <f t="shared" si="37"/>
        <v>0.88888888888888884</v>
      </c>
      <c r="AJ115" s="32">
        <f t="shared" si="38"/>
        <v>1</v>
      </c>
      <c r="AK115">
        <f>step3_validation[[#This Row],[AI_TRU1]]</f>
        <v>7</v>
      </c>
      <c r="AL115">
        <f t="shared" si="39"/>
        <v>0.66666666666666663</v>
      </c>
      <c r="AM115">
        <f>survey_responses[[#This Row],[Tôi tin rằng Nhà nước, cơ quan thuế sẽ thực thi chính sách mới một cách khách quan, công tâm và đối xử bình đẳng với mọi người nộp thuế.  - HUMAN-TRU1]]</f>
        <v>10</v>
      </c>
      <c r="AN115">
        <f t="shared" si="40"/>
        <v>1</v>
      </c>
      <c r="AO115">
        <f>step3_validation[[#This Row],[AI_TRU2]]</f>
        <v>9</v>
      </c>
      <c r="AP115">
        <f t="shared" si="41"/>
        <v>0.88888888888888884</v>
      </c>
      <c r="AQ115">
        <f>survey_responses[[#This Row],[Tôi thấy mức thuế tôi phải đóng theo phương án mới là công bằng (người thu nhập như tôi đóng mức này là hợp lý). - HUMAN-TRU2]]</f>
        <v>10</v>
      </c>
      <c r="AR115">
        <f t="shared" si="42"/>
        <v>1</v>
      </c>
      <c r="AS115">
        <f>step3_validation[[#This Row],[AI_TRU3]]</f>
        <v>8</v>
      </c>
      <c r="AT115">
        <f t="shared" si="43"/>
        <v>0.77777777777777779</v>
      </c>
      <c r="AU115">
        <f>survey_responses[[#This Row],[Tôi tin tưởng số tiền thuế tôi đóng sẽ được Nhà nước sử dụng hiệu quả để cải thiện dịch vụ công (y tế, đường xá...). - HUMAN-TRU3]]</f>
        <v>10</v>
      </c>
      <c r="AV115">
        <f t="shared" si="44"/>
        <v>1</v>
      </c>
      <c r="AW115">
        <f>step3_validation[[#This Row],[AI_TRU4]]</f>
        <v>7</v>
      </c>
      <c r="AX115">
        <f t="shared" si="45"/>
        <v>0.66666666666666663</v>
      </c>
      <c r="AY115">
        <f>survey_responses[[#This Row],[Tôi thấy Nhà nước đã giải thích rõ ràng, minh bạch về lý do và mục tiêu của việc sửa đổi thuế lần này. - HUMAN-TRU4]]</f>
        <v>10</v>
      </c>
      <c r="AZ115">
        <f t="shared" si="46"/>
        <v>1</v>
      </c>
      <c r="BA115" s="32">
        <f t="shared" si="47"/>
        <v>0.74999999999999989</v>
      </c>
      <c r="BB115" s="32">
        <f t="shared" si="48"/>
        <v>1</v>
      </c>
      <c r="BC115" s="7">
        <f t="shared" si="49"/>
        <v>0.71296296296296291</v>
      </c>
      <c r="BD115" s="7">
        <f t="shared" si="50"/>
        <v>1</v>
      </c>
      <c r="BE115">
        <f>step3_validation[[#This Row],[AI_OUT1]]</f>
        <v>8</v>
      </c>
      <c r="BF115">
        <f t="shared" si="51"/>
        <v>0.77777777777777779</v>
      </c>
      <c r="BG115">
        <f>survey_responses[[#This Row],[Sau khi xem xét các quyền lợi và nghĩa vụ, bạn có ủng hộ và tuân thủ chính sách mới hiện nay? - HUMAN-OUT1]]</f>
        <v>10</v>
      </c>
      <c r="BH115">
        <f t="shared" si="52"/>
        <v>1</v>
      </c>
      <c r="BI115" s="32">
        <f t="shared" si="53"/>
        <v>2</v>
      </c>
    </row>
    <row r="116" spans="1:61" x14ac:dyDescent="0.45">
      <c r="A116" s="30">
        <f>step3_validation[[#This Row],[Persona_ID]]</f>
        <v>115</v>
      </c>
      <c r="B116" s="31">
        <f>step3_validation[[#This Row],[Used_Seed]]</f>
        <v>2140</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13.742364406331557</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7</v>
      </c>
      <c r="R116">
        <f t="shared" si="27"/>
        <v>0.66666666666666663</v>
      </c>
      <c r="S116">
        <f>survey_responses[[#This Row],[Tôi tin rằng với các quy định quản lý thuế hiện nay, hành vi gian lận hoặc trốn thuế sẽ dễ dàng bị phát hiện và xử lý nghiêm. - HUMAN-ENF1]]</f>
        <v>1</v>
      </c>
      <c r="T116">
        <f t="shared" si="28"/>
        <v>0</v>
      </c>
      <c r="U116">
        <f>step3_validation[[#This Row],[AI_ENF2]]</f>
        <v>8</v>
      </c>
      <c r="V116">
        <f t="shared" si="29"/>
        <v>0.77777777777777779</v>
      </c>
      <c r="W116">
        <f>survey_responses[[#This Row],[Tôi tin rằng Nhà nước, cơ quan thuế có đủ khả năng và công nghệ để phát hiện, xử lý nghiêm các hành vi trốn thuế. - HUMAN-ENF2]]</f>
        <v>1</v>
      </c>
      <c r="X116">
        <f t="shared" si="30"/>
        <v>0</v>
      </c>
      <c r="Y116" s="32">
        <f t="shared" si="31"/>
        <v>0.72222222222222221</v>
      </c>
      <c r="Z116" s="32">
        <f t="shared" si="32"/>
        <v>0</v>
      </c>
      <c r="AA116">
        <f>step3_validation[[#This Row],[AI_FAC1]]</f>
        <v>7</v>
      </c>
      <c r="AB116">
        <f t="shared" si="33"/>
        <v>0.66666666666666663</v>
      </c>
      <c r="AC116">
        <f>survey_responses[[#This Row],[Các thủ tục khai báo thuế VÀ/HOẶC quy trình làm việc với cơ quan thuế đơn giản, tiện lợi, nhanh chóng hơn so với trước đây. - HUMAN-FAC1]]</f>
        <v>1</v>
      </c>
      <c r="AD116">
        <f t="shared" si="34"/>
        <v>0</v>
      </c>
      <c r="AE116">
        <f>step3_validation[[#This Row],[AI_FAC2]]</f>
        <v>9</v>
      </c>
      <c r="AF116">
        <f t="shared" si="35"/>
        <v>0.88888888888888884</v>
      </c>
      <c r="AG116">
        <f>survey_responses[[#This Row],[So với trước đây, tôi thấy cách tính thuế và các bậc thuế trong phương án mới đơn giản, dễ hiểu và dễ thực hiện hơn. - HUMAN-FAC2]]</f>
        <v>1</v>
      </c>
      <c r="AH116">
        <f t="shared" si="36"/>
        <v>0</v>
      </c>
      <c r="AI116" s="32">
        <f t="shared" si="37"/>
        <v>0.77777777777777768</v>
      </c>
      <c r="AJ116" s="32">
        <f t="shared" si="38"/>
        <v>0</v>
      </c>
      <c r="AK116">
        <f>step3_validation[[#This Row],[AI_TRU1]]</f>
        <v>8</v>
      </c>
      <c r="AL116">
        <f t="shared" si="39"/>
        <v>0.77777777777777779</v>
      </c>
      <c r="AM116">
        <f>survey_responses[[#This Row],[Tôi tin rằng Nhà nước, cơ quan thuế sẽ thực thi chính sách mới một cách khách quan, công tâm và đối xử bình đẳng với mọi người nộp thuế.  - HUMAN-TRU1]]</f>
        <v>1</v>
      </c>
      <c r="AN116">
        <f t="shared" si="40"/>
        <v>0</v>
      </c>
      <c r="AO116">
        <f>step3_validation[[#This Row],[AI_TRU2]]</f>
        <v>9</v>
      </c>
      <c r="AP116">
        <f t="shared" si="41"/>
        <v>0.88888888888888884</v>
      </c>
      <c r="AQ116">
        <f>survey_responses[[#This Row],[Tôi thấy mức thuế tôi phải đóng theo phương án mới là công bằng (người thu nhập như tôi đóng mức này là hợp lý). - HUMAN-TRU2]]</f>
        <v>1</v>
      </c>
      <c r="AR116">
        <f t="shared" si="42"/>
        <v>0</v>
      </c>
      <c r="AS116">
        <f>step3_validation[[#This Row],[AI_TRU3]]</f>
        <v>8</v>
      </c>
      <c r="AT116">
        <f t="shared" si="43"/>
        <v>0.77777777777777779</v>
      </c>
      <c r="AU116">
        <f>survey_responses[[#This Row],[Tôi tin tưởng số tiền thuế tôi đóng sẽ được Nhà nước sử dụng hiệu quả để cải thiện dịch vụ công (y tế, đường xá...). - HUMAN-TRU3]]</f>
        <v>1</v>
      </c>
      <c r="AV116">
        <f t="shared" si="44"/>
        <v>0</v>
      </c>
      <c r="AW116">
        <f>step3_validation[[#This Row],[AI_TRU4]]</f>
        <v>9</v>
      </c>
      <c r="AX116">
        <f t="shared" si="45"/>
        <v>0.88888888888888884</v>
      </c>
      <c r="AY116">
        <f>survey_responses[[#This Row],[Tôi thấy Nhà nước đã giải thích rõ ràng, minh bạch về lý do và mục tiêu của việc sửa đổi thuế lần này. - HUMAN-TRU4]]</f>
        <v>1</v>
      </c>
      <c r="AZ116">
        <f t="shared" si="46"/>
        <v>0</v>
      </c>
      <c r="BA116" s="32">
        <f t="shared" si="47"/>
        <v>0.83333333333333326</v>
      </c>
      <c r="BB116" s="32">
        <f t="shared" si="48"/>
        <v>0</v>
      </c>
      <c r="BC116" s="7">
        <f t="shared" si="49"/>
        <v>0.77777777777777768</v>
      </c>
      <c r="BD116" s="7">
        <f t="shared" si="50"/>
        <v>0</v>
      </c>
      <c r="BE116">
        <f>step3_validation[[#This Row],[AI_OUT1]]</f>
        <v>8</v>
      </c>
      <c r="BF116">
        <f t="shared" si="51"/>
        <v>0.77777777777777779</v>
      </c>
      <c r="BG116">
        <f>survey_responses[[#This Row],[Sau khi xem xét các quyền lợi và nghĩa vụ, bạn có ủng hộ và tuân thủ chính sách mới hiện nay? - HUMAN-OUT1]]</f>
        <v>1</v>
      </c>
      <c r="BH116">
        <f t="shared" si="52"/>
        <v>0</v>
      </c>
      <c r="BI116" s="32">
        <f t="shared" si="53"/>
        <v>7</v>
      </c>
    </row>
    <row r="117" spans="1:61" x14ac:dyDescent="0.45">
      <c r="A117" s="30">
        <f>step3_validation[[#This Row],[Persona_ID]]</f>
        <v>116</v>
      </c>
      <c r="B117" s="31">
        <f>step3_validation[[#This Row],[Used_Seed]]</f>
        <v>2141</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12.67404857828916</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7</v>
      </c>
      <c r="R117">
        <f t="shared" si="27"/>
        <v>0.66666666666666663</v>
      </c>
      <c r="S117">
        <f>survey_responses[[#This Row],[Tôi tin rằng với các quy định quản lý thuế hiện nay, hành vi gian lận hoặc trốn thuế sẽ dễ dàng bị phát hiện và xử lý nghiêm. - HUMAN-ENF1]]</f>
        <v>9</v>
      </c>
      <c r="T117">
        <f t="shared" si="28"/>
        <v>0.88888888888888884</v>
      </c>
      <c r="U117">
        <f>step3_validation[[#This Row],[AI_ENF2]]</f>
        <v>6</v>
      </c>
      <c r="V117">
        <f t="shared" si="29"/>
        <v>0.55555555555555558</v>
      </c>
      <c r="W117">
        <f>survey_responses[[#This Row],[Tôi tin rằng Nhà nước, cơ quan thuế có đủ khả năng và công nghệ để phát hiện, xử lý nghiêm các hành vi trốn thuế. - HUMAN-ENF2]]</f>
        <v>9</v>
      </c>
      <c r="X117">
        <f t="shared" si="30"/>
        <v>0.88888888888888884</v>
      </c>
      <c r="Y117" s="32">
        <f t="shared" si="31"/>
        <v>0.61111111111111116</v>
      </c>
      <c r="Z117" s="32">
        <f t="shared" si="32"/>
        <v>0.88888888888888884</v>
      </c>
      <c r="AA117">
        <f>step3_validation[[#This Row],[AI_FAC1]]</f>
        <v>9</v>
      </c>
      <c r="AB117">
        <f t="shared" si="33"/>
        <v>0.88888888888888884</v>
      </c>
      <c r="AC117">
        <f>survey_responses[[#This Row],[Các thủ tục khai báo thuế VÀ/HOẶC quy trình làm việc với cơ quan thuế đơn giản, tiện lợi, nhanh chóng hơn so với trước đây. - HUMAN-FAC1]]</f>
        <v>9</v>
      </c>
      <c r="AD117">
        <f t="shared" si="34"/>
        <v>0.88888888888888884</v>
      </c>
      <c r="AE117">
        <f>step3_validation[[#This Row],[AI_FAC2]]</f>
        <v>8</v>
      </c>
      <c r="AF117">
        <f t="shared" si="35"/>
        <v>0.77777777777777779</v>
      </c>
      <c r="AG117">
        <f>survey_responses[[#This Row],[So với trước đây, tôi thấy cách tính thuế và các bậc thuế trong phương án mới đơn giản, dễ hiểu và dễ thực hiện hơn. - HUMAN-FAC2]]</f>
        <v>9</v>
      </c>
      <c r="AH117">
        <f t="shared" si="36"/>
        <v>0.88888888888888884</v>
      </c>
      <c r="AI117" s="32">
        <f t="shared" si="37"/>
        <v>0.83333333333333326</v>
      </c>
      <c r="AJ117" s="32">
        <f t="shared" si="38"/>
        <v>0.88888888888888884</v>
      </c>
      <c r="AK117">
        <f>step3_validation[[#This Row],[AI_TRU1]]</f>
        <v>6</v>
      </c>
      <c r="AL117">
        <f t="shared" si="39"/>
        <v>0.55555555555555558</v>
      </c>
      <c r="AM117">
        <f>survey_responses[[#This Row],[Tôi tin rằng Nhà nước, cơ quan thuế sẽ thực thi chính sách mới một cách khách quan, công tâm và đối xử bình đẳng với mọi người nộp thuế.  - HUMAN-TRU1]]</f>
        <v>9</v>
      </c>
      <c r="AN117">
        <f t="shared" si="40"/>
        <v>0.88888888888888884</v>
      </c>
      <c r="AO117">
        <f>step3_validation[[#This Row],[AI_TRU2]]</f>
        <v>9</v>
      </c>
      <c r="AP117">
        <f t="shared" si="41"/>
        <v>0.88888888888888884</v>
      </c>
      <c r="AQ117">
        <f>survey_responses[[#This Row],[Tôi thấy mức thuế tôi phải đóng theo phương án mới là công bằng (người thu nhập như tôi đóng mức này là hợp lý). - HUMAN-TRU2]]</f>
        <v>9</v>
      </c>
      <c r="AR117">
        <f t="shared" si="42"/>
        <v>0.88888888888888884</v>
      </c>
      <c r="AS117">
        <f>step3_validation[[#This Row],[AI_TRU3]]</f>
        <v>7</v>
      </c>
      <c r="AT117">
        <f t="shared" si="43"/>
        <v>0.66666666666666663</v>
      </c>
      <c r="AU117">
        <f>survey_responses[[#This Row],[Tôi tin tưởng số tiền thuế tôi đóng sẽ được Nhà nước sử dụng hiệu quả để cải thiện dịch vụ công (y tế, đường xá...). - HUMAN-TRU3]]</f>
        <v>9</v>
      </c>
      <c r="AV117">
        <f t="shared" si="44"/>
        <v>0.88888888888888884</v>
      </c>
      <c r="AW117">
        <f>step3_validation[[#This Row],[AI_TRU4]]</f>
        <v>6</v>
      </c>
      <c r="AX117">
        <f t="shared" si="45"/>
        <v>0.55555555555555558</v>
      </c>
      <c r="AY117">
        <f>survey_responses[[#This Row],[Tôi thấy Nhà nước đã giải thích rõ ràng, minh bạch về lý do và mục tiêu của việc sửa đổi thuế lần này. - HUMAN-TRU4]]</f>
        <v>8</v>
      </c>
      <c r="AZ117">
        <f t="shared" si="46"/>
        <v>0.77777777777777779</v>
      </c>
      <c r="BA117" s="32">
        <f t="shared" si="47"/>
        <v>0.66666666666666674</v>
      </c>
      <c r="BB117" s="32">
        <f t="shared" si="48"/>
        <v>0.86111111111111105</v>
      </c>
      <c r="BC117" s="7">
        <f t="shared" si="49"/>
        <v>0.70370370370370372</v>
      </c>
      <c r="BD117" s="7">
        <f t="shared" si="50"/>
        <v>0.87962962962962965</v>
      </c>
      <c r="BE117">
        <f>step3_validation[[#This Row],[AI_OUT1]]</f>
        <v>8</v>
      </c>
      <c r="BF117">
        <f t="shared" si="51"/>
        <v>0.77777777777777779</v>
      </c>
      <c r="BG117">
        <f>survey_responses[[#This Row],[Sau khi xem xét các quyền lợi và nghĩa vụ, bạn có ủng hộ và tuân thủ chính sách mới hiện nay? - HUMAN-OUT1]]</f>
        <v>9</v>
      </c>
      <c r="BH117">
        <f t="shared" si="52"/>
        <v>0.88888888888888884</v>
      </c>
      <c r="BI117" s="32">
        <f t="shared" si="53"/>
        <v>1</v>
      </c>
    </row>
    <row r="118" spans="1:61" x14ac:dyDescent="0.45">
      <c r="A118" s="30">
        <f>step3_validation[[#This Row],[Persona_ID]]</f>
        <v>117</v>
      </c>
      <c r="B118" s="31">
        <f>step3_validation[[#This Row],[Used_Seed]]</f>
        <v>2142</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49.048057594631516</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9</v>
      </c>
      <c r="R118">
        <f t="shared" si="27"/>
        <v>0.88888888888888884</v>
      </c>
      <c r="S118">
        <f>survey_responses[[#This Row],[Tôi tin rằng với các quy định quản lý thuế hiện nay, hành vi gian lận hoặc trốn thuế sẽ dễ dàng bị phát hiện và xử lý nghiêm. - HUMAN-ENF1]]</f>
        <v>8</v>
      </c>
      <c r="T118">
        <f t="shared" si="28"/>
        <v>0.77777777777777779</v>
      </c>
      <c r="U118">
        <f>step3_validation[[#This Row],[AI_ENF2]]</f>
        <v>7</v>
      </c>
      <c r="V118">
        <f t="shared" si="29"/>
        <v>0.66666666666666663</v>
      </c>
      <c r="W118">
        <f>survey_responses[[#This Row],[Tôi tin rằng Nhà nước, cơ quan thuế có đủ khả năng và công nghệ để phát hiện, xử lý nghiêm các hành vi trốn thuế. - HUMAN-ENF2]]</f>
        <v>9</v>
      </c>
      <c r="X118">
        <f t="shared" si="30"/>
        <v>0.88888888888888884</v>
      </c>
      <c r="Y118" s="32">
        <f t="shared" si="31"/>
        <v>0.77777777777777768</v>
      </c>
      <c r="Z118" s="32">
        <f t="shared" si="32"/>
        <v>0.83333333333333326</v>
      </c>
      <c r="AA118">
        <f>step3_validation[[#This Row],[AI_FAC1]]</f>
        <v>8</v>
      </c>
      <c r="AB118">
        <f t="shared" si="33"/>
        <v>0.77777777777777779</v>
      </c>
      <c r="AC118">
        <f>survey_responses[[#This Row],[Các thủ tục khai báo thuế VÀ/HOẶC quy trình làm việc với cơ quan thuế đơn giản, tiện lợi, nhanh chóng hơn so với trước đây. - HUMAN-FAC1]]</f>
        <v>8</v>
      </c>
      <c r="AD118">
        <f t="shared" si="34"/>
        <v>0.77777777777777779</v>
      </c>
      <c r="AE118">
        <f>step3_validation[[#This Row],[AI_FAC2]]</f>
        <v>9</v>
      </c>
      <c r="AF118">
        <f t="shared" si="35"/>
        <v>0.88888888888888884</v>
      </c>
      <c r="AG118">
        <f>survey_responses[[#This Row],[So với trước đây, tôi thấy cách tính thuế và các bậc thuế trong phương án mới đơn giản, dễ hiểu và dễ thực hiện hơn. - HUMAN-FAC2]]</f>
        <v>6</v>
      </c>
      <c r="AH118">
        <f t="shared" si="36"/>
        <v>0.55555555555555558</v>
      </c>
      <c r="AI118" s="32">
        <f t="shared" si="37"/>
        <v>0.83333333333333326</v>
      </c>
      <c r="AJ118" s="32">
        <f t="shared" si="38"/>
        <v>0.66666666666666674</v>
      </c>
      <c r="AK118">
        <f>step3_validation[[#This Row],[AI_TRU1]]</f>
        <v>8</v>
      </c>
      <c r="AL118">
        <f t="shared" si="39"/>
        <v>0.77777777777777779</v>
      </c>
      <c r="AM118">
        <f>survey_responses[[#This Row],[Tôi tin rằng Nhà nước, cơ quan thuế sẽ thực thi chính sách mới một cách khách quan, công tâm và đối xử bình đẳng với mọi người nộp thuế.  - HUMAN-TRU1]]</f>
        <v>8</v>
      </c>
      <c r="AN118">
        <f t="shared" si="40"/>
        <v>0.77777777777777779</v>
      </c>
      <c r="AO118">
        <f>step3_validation[[#This Row],[AI_TRU2]]</f>
        <v>9</v>
      </c>
      <c r="AP118">
        <f t="shared" si="41"/>
        <v>0.88888888888888884</v>
      </c>
      <c r="AQ118">
        <f>survey_responses[[#This Row],[Tôi thấy mức thuế tôi phải đóng theo phương án mới là công bằng (người thu nhập như tôi đóng mức này là hợp lý). - HUMAN-TRU2]]</f>
        <v>8</v>
      </c>
      <c r="AR118">
        <f t="shared" si="42"/>
        <v>0.77777777777777779</v>
      </c>
      <c r="AS118">
        <f>step3_validation[[#This Row],[AI_TRU3]]</f>
        <v>8</v>
      </c>
      <c r="AT118">
        <f t="shared" si="43"/>
        <v>0.77777777777777779</v>
      </c>
      <c r="AU118">
        <f>survey_responses[[#This Row],[Tôi tin tưởng số tiền thuế tôi đóng sẽ được Nhà nước sử dụng hiệu quả để cải thiện dịch vụ công (y tế, đường xá...). - HUMAN-TRU3]]</f>
        <v>8</v>
      </c>
      <c r="AV118">
        <f t="shared" si="44"/>
        <v>0.77777777777777779</v>
      </c>
      <c r="AW118">
        <f>step3_validation[[#This Row],[AI_TRU4]]</f>
        <v>9</v>
      </c>
      <c r="AX118">
        <f t="shared" si="45"/>
        <v>0.88888888888888884</v>
      </c>
      <c r="AY118">
        <f>survey_responses[[#This Row],[Tôi thấy Nhà nước đã giải thích rõ ràng, minh bạch về lý do và mục tiêu của việc sửa đổi thuế lần này. - HUMAN-TRU4]]</f>
        <v>8</v>
      </c>
      <c r="AZ118">
        <f t="shared" si="46"/>
        <v>0.77777777777777779</v>
      </c>
      <c r="BA118" s="32">
        <f t="shared" si="47"/>
        <v>0.83333333333333326</v>
      </c>
      <c r="BB118" s="32">
        <f t="shared" si="48"/>
        <v>0.77777777777777779</v>
      </c>
      <c r="BC118" s="7">
        <f t="shared" si="49"/>
        <v>0.81481481481481477</v>
      </c>
      <c r="BD118" s="7">
        <f t="shared" si="50"/>
        <v>0.75925925925925919</v>
      </c>
      <c r="BE118">
        <f>step3_validation[[#This Row],[AI_OUT1]]</f>
        <v>10</v>
      </c>
      <c r="BF118">
        <f t="shared" si="51"/>
        <v>1</v>
      </c>
      <c r="BG118">
        <f>survey_responses[[#This Row],[Sau khi xem xét các quyền lợi và nghĩa vụ, bạn có ủng hộ và tuân thủ chính sách mới hiện nay? - HUMAN-OUT1]]</f>
        <v>6</v>
      </c>
      <c r="BH118">
        <f t="shared" si="52"/>
        <v>0.55555555555555558</v>
      </c>
      <c r="BI118" s="32">
        <f t="shared" si="53"/>
        <v>4</v>
      </c>
    </row>
    <row r="119" spans="1:61" x14ac:dyDescent="0.45">
      <c r="A119" s="30">
        <f>step3_validation[[#This Row],[Persona_ID]]</f>
        <v>118</v>
      </c>
      <c r="B119" s="31">
        <f>step3_validation[[#This Row],[Used_Seed]]</f>
        <v>2143</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41.026562611168941</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7</v>
      </c>
      <c r="R119">
        <f t="shared" si="27"/>
        <v>0.66666666666666663</v>
      </c>
      <c r="S119">
        <f>survey_responses[[#This Row],[Tôi tin rằng với các quy định quản lý thuế hiện nay, hành vi gian lận hoặc trốn thuế sẽ dễ dàng bị phát hiện và xử lý nghiêm. - HUMAN-ENF1]]</f>
        <v>4</v>
      </c>
      <c r="T119">
        <f t="shared" si="28"/>
        <v>0.33333333333333331</v>
      </c>
      <c r="U119">
        <f>step3_validation[[#This Row],[AI_ENF2]]</f>
        <v>8</v>
      </c>
      <c r="V119">
        <f t="shared" si="29"/>
        <v>0.77777777777777779</v>
      </c>
      <c r="W119">
        <f>survey_responses[[#This Row],[Tôi tin rằng Nhà nước, cơ quan thuế có đủ khả năng và công nghệ để phát hiện, xử lý nghiêm các hành vi trốn thuế. - HUMAN-ENF2]]</f>
        <v>1</v>
      </c>
      <c r="X119">
        <f t="shared" si="30"/>
        <v>0</v>
      </c>
      <c r="Y119" s="32">
        <f t="shared" si="31"/>
        <v>0.72222222222222221</v>
      </c>
      <c r="Z119" s="32">
        <f t="shared" si="32"/>
        <v>0.16666666666666666</v>
      </c>
      <c r="AA119">
        <f>step3_validation[[#This Row],[AI_FAC1]]</f>
        <v>7</v>
      </c>
      <c r="AB119">
        <f t="shared" si="33"/>
        <v>0.66666666666666663</v>
      </c>
      <c r="AC119">
        <f>survey_responses[[#This Row],[Các thủ tục khai báo thuế VÀ/HOẶC quy trình làm việc với cơ quan thuế đơn giản, tiện lợi, nhanh chóng hơn so với trước đây. - HUMAN-FAC1]]</f>
        <v>1</v>
      </c>
      <c r="AD119">
        <f t="shared" si="34"/>
        <v>0</v>
      </c>
      <c r="AE119">
        <f>step3_validation[[#This Row],[AI_FAC2]]</f>
        <v>9</v>
      </c>
      <c r="AF119">
        <f t="shared" si="35"/>
        <v>0.88888888888888884</v>
      </c>
      <c r="AG119">
        <f>survey_responses[[#This Row],[So với trước đây, tôi thấy cách tính thuế và các bậc thuế trong phương án mới đơn giản, dễ hiểu và dễ thực hiện hơn. - HUMAN-FAC2]]</f>
        <v>5</v>
      </c>
      <c r="AH119">
        <f t="shared" si="36"/>
        <v>0.44444444444444442</v>
      </c>
      <c r="AI119" s="32">
        <f t="shared" si="37"/>
        <v>0.77777777777777768</v>
      </c>
      <c r="AJ119" s="32">
        <f t="shared" si="38"/>
        <v>0.22222222222222221</v>
      </c>
      <c r="AK119">
        <f>step3_validation[[#This Row],[AI_TRU1]]</f>
        <v>6</v>
      </c>
      <c r="AL119">
        <f t="shared" si="39"/>
        <v>0.55555555555555558</v>
      </c>
      <c r="AM119">
        <f>survey_responses[[#This Row],[Tôi tin rằng Nhà nước, cơ quan thuế sẽ thực thi chính sách mới một cách khách quan, công tâm và đối xử bình đẳng với mọi người nộp thuế.  - HUMAN-TRU1]]</f>
        <v>1</v>
      </c>
      <c r="AN119">
        <f t="shared" si="40"/>
        <v>0</v>
      </c>
      <c r="AO119">
        <f>step3_validation[[#This Row],[AI_TRU2]]</f>
        <v>8</v>
      </c>
      <c r="AP119">
        <f t="shared" si="41"/>
        <v>0.77777777777777779</v>
      </c>
      <c r="AQ119">
        <f>survey_responses[[#This Row],[Tôi thấy mức thuế tôi phải đóng theo phương án mới là công bằng (người thu nhập như tôi đóng mức này là hợp lý). - HUMAN-TRU2]]</f>
        <v>3</v>
      </c>
      <c r="AR119">
        <f t="shared" si="42"/>
        <v>0.22222222222222221</v>
      </c>
      <c r="AS119">
        <f>step3_validation[[#This Row],[AI_TRU3]]</f>
        <v>6</v>
      </c>
      <c r="AT119">
        <f t="shared" si="43"/>
        <v>0.55555555555555558</v>
      </c>
      <c r="AU119">
        <f>survey_responses[[#This Row],[Tôi tin tưởng số tiền thuế tôi đóng sẽ được Nhà nước sử dụng hiệu quả để cải thiện dịch vụ công (y tế, đường xá...). - HUMAN-TRU3]]</f>
        <v>1</v>
      </c>
      <c r="AV119">
        <f t="shared" si="44"/>
        <v>0</v>
      </c>
      <c r="AW119">
        <f>step3_validation[[#This Row],[AI_TRU4]]</f>
        <v>7</v>
      </c>
      <c r="AX119">
        <f t="shared" si="45"/>
        <v>0.66666666666666663</v>
      </c>
      <c r="AY119">
        <f>survey_responses[[#This Row],[Tôi thấy Nhà nước đã giải thích rõ ràng, minh bạch về lý do và mục tiêu của việc sửa đổi thuế lần này. - HUMAN-TRU4]]</f>
        <v>1</v>
      </c>
      <c r="AZ119">
        <f t="shared" si="46"/>
        <v>0</v>
      </c>
      <c r="BA119" s="32">
        <f t="shared" si="47"/>
        <v>0.63888888888888895</v>
      </c>
      <c r="BB119" s="32">
        <f t="shared" si="48"/>
        <v>5.5555555555555552E-2</v>
      </c>
      <c r="BC119" s="7">
        <f t="shared" si="49"/>
        <v>0.71296296296296291</v>
      </c>
      <c r="BD119" s="7">
        <f t="shared" si="50"/>
        <v>0.14814814814814814</v>
      </c>
      <c r="BE119">
        <f>step3_validation[[#This Row],[AI_OUT1]]</f>
        <v>8</v>
      </c>
      <c r="BF119">
        <f t="shared" si="51"/>
        <v>0.77777777777777779</v>
      </c>
      <c r="BG119">
        <f>survey_responses[[#This Row],[Sau khi xem xét các quyền lợi và nghĩa vụ, bạn có ủng hộ và tuân thủ chính sách mới hiện nay? - HUMAN-OUT1]]</f>
        <v>5</v>
      </c>
      <c r="BH119">
        <f t="shared" si="52"/>
        <v>0.44444444444444442</v>
      </c>
      <c r="BI119" s="32">
        <f t="shared" si="53"/>
        <v>3</v>
      </c>
    </row>
    <row r="120" spans="1:61" x14ac:dyDescent="0.45">
      <c r="A120" s="30">
        <f>step3_validation[[#This Row],[Persona_ID]]</f>
        <v>119</v>
      </c>
      <c r="B120" s="31">
        <f>step3_validation[[#This Row],[Used_Seed]]</f>
        <v>2144</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51.836876213739146</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7</v>
      </c>
      <c r="R120">
        <f t="shared" si="27"/>
        <v>0.66666666666666663</v>
      </c>
      <c r="S120">
        <f>survey_responses[[#This Row],[Tôi tin rằng với các quy định quản lý thuế hiện nay, hành vi gian lận hoặc trốn thuế sẽ dễ dàng bị phát hiện và xử lý nghiêm. - HUMAN-ENF1]]</f>
        <v>8</v>
      </c>
      <c r="T120">
        <f t="shared" si="28"/>
        <v>0.77777777777777779</v>
      </c>
      <c r="U120">
        <f>step3_validation[[#This Row],[AI_ENF2]]</f>
        <v>8</v>
      </c>
      <c r="V120">
        <f t="shared" si="29"/>
        <v>0.77777777777777779</v>
      </c>
      <c r="W120">
        <f>survey_responses[[#This Row],[Tôi tin rằng Nhà nước, cơ quan thuế có đủ khả năng và công nghệ để phát hiện, xử lý nghiêm các hành vi trốn thuế. - HUMAN-ENF2]]</f>
        <v>8</v>
      </c>
      <c r="X120">
        <f t="shared" si="30"/>
        <v>0.77777777777777779</v>
      </c>
      <c r="Y120" s="32">
        <f t="shared" si="31"/>
        <v>0.72222222222222221</v>
      </c>
      <c r="Z120" s="32">
        <f t="shared" si="32"/>
        <v>0.77777777777777779</v>
      </c>
      <c r="AA120">
        <f>step3_validation[[#This Row],[AI_FAC1]]</f>
        <v>7</v>
      </c>
      <c r="AB120">
        <f t="shared" si="33"/>
        <v>0.66666666666666663</v>
      </c>
      <c r="AC120">
        <f>survey_responses[[#This Row],[Các thủ tục khai báo thuế VÀ/HOẶC quy trình làm việc với cơ quan thuế đơn giản, tiện lợi, nhanh chóng hơn so với trước đây. - HUMAN-FAC1]]</f>
        <v>6</v>
      </c>
      <c r="AD120">
        <f t="shared" si="34"/>
        <v>0.55555555555555558</v>
      </c>
      <c r="AE120">
        <f>step3_validation[[#This Row],[AI_FAC2]]</f>
        <v>9</v>
      </c>
      <c r="AF120">
        <f t="shared" si="35"/>
        <v>0.88888888888888884</v>
      </c>
      <c r="AG120">
        <f>survey_responses[[#This Row],[So với trước đây, tôi thấy cách tính thuế và các bậc thuế trong phương án mới đơn giản, dễ hiểu và dễ thực hiện hơn. - HUMAN-FAC2]]</f>
        <v>9</v>
      </c>
      <c r="AH120">
        <f t="shared" si="36"/>
        <v>0.88888888888888884</v>
      </c>
      <c r="AI120" s="32">
        <f t="shared" si="37"/>
        <v>0.77777777777777768</v>
      </c>
      <c r="AJ120" s="32">
        <f t="shared" si="38"/>
        <v>0.72222222222222221</v>
      </c>
      <c r="AK120">
        <f>step3_validation[[#This Row],[AI_TRU1]]</f>
        <v>7</v>
      </c>
      <c r="AL120">
        <f t="shared" si="39"/>
        <v>0.66666666666666663</v>
      </c>
      <c r="AM120">
        <f>survey_responses[[#This Row],[Tôi tin rằng Nhà nước, cơ quan thuế sẽ thực thi chính sách mới một cách khách quan, công tâm và đối xử bình đẳng với mọi người nộp thuế.  - HUMAN-TRU1]]</f>
        <v>8</v>
      </c>
      <c r="AN120">
        <f t="shared" si="40"/>
        <v>0.77777777777777779</v>
      </c>
      <c r="AO120">
        <f>step3_validation[[#This Row],[AI_TRU2]]</f>
        <v>8</v>
      </c>
      <c r="AP120">
        <f t="shared" si="41"/>
        <v>0.77777777777777779</v>
      </c>
      <c r="AQ120">
        <f>survey_responses[[#This Row],[Tôi thấy mức thuế tôi phải đóng theo phương án mới là công bằng (người thu nhập như tôi đóng mức này là hợp lý). - HUMAN-TRU2]]</f>
        <v>7</v>
      </c>
      <c r="AR120">
        <f t="shared" si="42"/>
        <v>0.66666666666666663</v>
      </c>
      <c r="AS120">
        <f>step3_validation[[#This Row],[AI_TRU3]]</f>
        <v>7</v>
      </c>
      <c r="AT120">
        <f t="shared" si="43"/>
        <v>0.66666666666666663</v>
      </c>
      <c r="AU120">
        <f>survey_responses[[#This Row],[Tôi tin tưởng số tiền thuế tôi đóng sẽ được Nhà nước sử dụng hiệu quả để cải thiện dịch vụ công (y tế, đường xá...). - HUMAN-TRU3]]</f>
        <v>7</v>
      </c>
      <c r="AV120">
        <f t="shared" si="44"/>
        <v>0.66666666666666663</v>
      </c>
      <c r="AW120">
        <f>step3_validation[[#This Row],[AI_TRU4]]</f>
        <v>6</v>
      </c>
      <c r="AX120">
        <f t="shared" si="45"/>
        <v>0.55555555555555558</v>
      </c>
      <c r="AY120">
        <f>survey_responses[[#This Row],[Tôi thấy Nhà nước đã giải thích rõ ràng, minh bạch về lý do và mục tiêu của việc sửa đổi thuế lần này. - HUMAN-TRU4]]</f>
        <v>7</v>
      </c>
      <c r="AZ120">
        <f t="shared" si="46"/>
        <v>0.66666666666666663</v>
      </c>
      <c r="BA120" s="32">
        <f t="shared" si="47"/>
        <v>0.66666666666666674</v>
      </c>
      <c r="BB120" s="32">
        <f t="shared" si="48"/>
        <v>0.69444444444444442</v>
      </c>
      <c r="BC120" s="7">
        <f t="shared" si="49"/>
        <v>0.72222222222222232</v>
      </c>
      <c r="BD120" s="7">
        <f t="shared" si="50"/>
        <v>0.73148148148148151</v>
      </c>
      <c r="BE120">
        <f>step3_validation[[#This Row],[AI_OUT1]]</f>
        <v>7</v>
      </c>
      <c r="BF120">
        <f t="shared" si="51"/>
        <v>0.66666666666666663</v>
      </c>
      <c r="BG120">
        <f>survey_responses[[#This Row],[Sau khi xem xét các quyền lợi và nghĩa vụ, bạn có ủng hộ và tuân thủ chính sách mới hiện nay? - HUMAN-OUT1]]</f>
        <v>7</v>
      </c>
      <c r="BH120">
        <f t="shared" si="52"/>
        <v>0.66666666666666663</v>
      </c>
      <c r="BI120" s="32">
        <f t="shared" si="53"/>
        <v>0</v>
      </c>
    </row>
    <row r="121" spans="1:61" x14ac:dyDescent="0.45">
      <c r="A121" s="30">
        <f>step3_validation[[#This Row],[Persona_ID]]</f>
        <v>120</v>
      </c>
      <c r="B121" s="31">
        <f>step3_validation[[#This Row],[Used_Seed]]</f>
        <v>2145</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29.588223348090047</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8</v>
      </c>
      <c r="R121">
        <f t="shared" si="27"/>
        <v>0.77777777777777779</v>
      </c>
      <c r="S121">
        <f>survey_responses[[#This Row],[Tôi tin rằng với các quy định quản lý thuế hiện nay, hành vi gian lận hoặc trốn thuế sẽ dễ dàng bị phát hiện và xử lý nghiêm. - HUMAN-ENF1]]</f>
        <v>6</v>
      </c>
      <c r="T121">
        <f t="shared" si="28"/>
        <v>0.55555555555555558</v>
      </c>
      <c r="U121">
        <f>step3_validation[[#This Row],[AI_ENF2]]</f>
        <v>9</v>
      </c>
      <c r="V121">
        <f t="shared" si="29"/>
        <v>0.88888888888888884</v>
      </c>
      <c r="W121">
        <f>survey_responses[[#This Row],[Tôi tin rằng Nhà nước, cơ quan thuế có đủ khả năng và công nghệ để phát hiện, xử lý nghiêm các hành vi trốn thuế. - HUMAN-ENF2]]</f>
        <v>6</v>
      </c>
      <c r="X121">
        <f t="shared" si="30"/>
        <v>0.55555555555555558</v>
      </c>
      <c r="Y121" s="32">
        <f t="shared" si="31"/>
        <v>0.83333333333333326</v>
      </c>
      <c r="Z121" s="32">
        <f t="shared" si="32"/>
        <v>0.55555555555555558</v>
      </c>
      <c r="AA121">
        <f>step3_validation[[#This Row],[AI_FAC1]]</f>
        <v>8</v>
      </c>
      <c r="AB121">
        <f t="shared" si="33"/>
        <v>0.77777777777777779</v>
      </c>
      <c r="AC121">
        <f>survey_responses[[#This Row],[Các thủ tục khai báo thuế VÀ/HOẶC quy trình làm việc với cơ quan thuế đơn giản, tiện lợi, nhanh chóng hơn so với trước đây. - HUMAN-FAC1]]</f>
        <v>6</v>
      </c>
      <c r="AD121">
        <f t="shared" si="34"/>
        <v>0.55555555555555558</v>
      </c>
      <c r="AE121">
        <f>step3_validation[[#This Row],[AI_FAC2]]</f>
        <v>9</v>
      </c>
      <c r="AF121">
        <f t="shared" si="35"/>
        <v>0.88888888888888884</v>
      </c>
      <c r="AG121">
        <f>survey_responses[[#This Row],[So với trước đây, tôi thấy cách tính thuế và các bậc thuế trong phương án mới đơn giản, dễ hiểu và dễ thực hiện hơn. - HUMAN-FAC2]]</f>
        <v>6</v>
      </c>
      <c r="AH121">
        <f t="shared" si="36"/>
        <v>0.55555555555555558</v>
      </c>
      <c r="AI121" s="32">
        <f t="shared" si="37"/>
        <v>0.83333333333333326</v>
      </c>
      <c r="AJ121" s="32">
        <f t="shared" si="38"/>
        <v>0.55555555555555558</v>
      </c>
      <c r="AK121">
        <f>step3_validation[[#This Row],[AI_TRU1]]</f>
        <v>8</v>
      </c>
      <c r="AL121">
        <f t="shared" si="39"/>
        <v>0.77777777777777779</v>
      </c>
      <c r="AM121">
        <f>survey_responses[[#This Row],[Tôi tin rằng Nhà nước, cơ quan thuế sẽ thực thi chính sách mới một cách khách quan, công tâm và đối xử bình đẳng với mọi người nộp thuế.  - HUMAN-TRU1]]</f>
        <v>6</v>
      </c>
      <c r="AN121">
        <f t="shared" si="40"/>
        <v>0.55555555555555558</v>
      </c>
      <c r="AO121">
        <f>step3_validation[[#This Row],[AI_TRU2]]</f>
        <v>9</v>
      </c>
      <c r="AP121">
        <f t="shared" si="41"/>
        <v>0.88888888888888884</v>
      </c>
      <c r="AQ121">
        <f>survey_responses[[#This Row],[Tôi thấy mức thuế tôi phải đóng theo phương án mới là công bằng (người thu nhập như tôi đóng mức này là hợp lý). - HUMAN-TRU2]]</f>
        <v>6</v>
      </c>
      <c r="AR121">
        <f t="shared" si="42"/>
        <v>0.55555555555555558</v>
      </c>
      <c r="AS121">
        <f>step3_validation[[#This Row],[AI_TRU3]]</f>
        <v>8</v>
      </c>
      <c r="AT121">
        <f t="shared" si="43"/>
        <v>0.77777777777777779</v>
      </c>
      <c r="AU121">
        <f>survey_responses[[#This Row],[Tôi tin tưởng số tiền thuế tôi đóng sẽ được Nhà nước sử dụng hiệu quả để cải thiện dịch vụ công (y tế, đường xá...). - HUMAN-TRU3]]</f>
        <v>6</v>
      </c>
      <c r="AV121">
        <f t="shared" si="44"/>
        <v>0.55555555555555558</v>
      </c>
      <c r="AW121">
        <f>step3_validation[[#This Row],[AI_TRU4]]</f>
        <v>9</v>
      </c>
      <c r="AX121">
        <f t="shared" si="45"/>
        <v>0.88888888888888884</v>
      </c>
      <c r="AY121">
        <f>survey_responses[[#This Row],[Tôi thấy Nhà nước đã giải thích rõ ràng, minh bạch về lý do và mục tiêu của việc sửa đổi thuế lần này. - HUMAN-TRU4]]</f>
        <v>6</v>
      </c>
      <c r="AZ121">
        <f t="shared" si="46"/>
        <v>0.55555555555555558</v>
      </c>
      <c r="BA121" s="32">
        <f t="shared" si="47"/>
        <v>0.83333333333333326</v>
      </c>
      <c r="BB121" s="32">
        <f t="shared" si="48"/>
        <v>0.55555555555555558</v>
      </c>
      <c r="BC121" s="7">
        <f t="shared" si="49"/>
        <v>0.83333333333333337</v>
      </c>
      <c r="BD121" s="7">
        <f t="shared" si="50"/>
        <v>0.55555555555555558</v>
      </c>
      <c r="BE121">
        <f>step3_validation[[#This Row],[AI_OUT1]]</f>
        <v>9</v>
      </c>
      <c r="BF121">
        <f t="shared" si="51"/>
        <v>0.88888888888888884</v>
      </c>
      <c r="BG121">
        <f>survey_responses[[#This Row],[Sau khi xem xét các quyền lợi và nghĩa vụ, bạn có ủng hộ và tuân thủ chính sách mới hiện nay? - HUMAN-OUT1]]</f>
        <v>6</v>
      </c>
      <c r="BH121">
        <f t="shared" si="52"/>
        <v>0.55555555555555558</v>
      </c>
      <c r="BI121" s="32">
        <f t="shared" si="53"/>
        <v>3</v>
      </c>
    </row>
    <row r="122" spans="1:61" x14ac:dyDescent="0.45">
      <c r="A122" s="30">
        <f>step3_validation[[#This Row],[Persona_ID]]</f>
        <v>121</v>
      </c>
      <c r="B122" s="31">
        <f>step3_validation[[#This Row],[Used_Seed]]</f>
        <v>2146</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119.17250359388431</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7</v>
      </c>
      <c r="R122">
        <f t="shared" si="27"/>
        <v>0.66666666666666663</v>
      </c>
      <c r="S122">
        <f>survey_responses[[#This Row],[Tôi tin rằng với các quy định quản lý thuế hiện nay, hành vi gian lận hoặc trốn thuế sẽ dễ dàng bị phát hiện và xử lý nghiêm. - HUMAN-ENF1]]</f>
        <v>1</v>
      </c>
      <c r="T122">
        <f t="shared" si="28"/>
        <v>0</v>
      </c>
      <c r="U122">
        <f>step3_validation[[#This Row],[AI_ENF2]]</f>
        <v>8</v>
      </c>
      <c r="V122">
        <f t="shared" si="29"/>
        <v>0.77777777777777779</v>
      </c>
      <c r="W122">
        <f>survey_responses[[#This Row],[Tôi tin rằng Nhà nước, cơ quan thuế có đủ khả năng và công nghệ để phát hiện, xử lý nghiêm các hành vi trốn thuế. - HUMAN-ENF2]]</f>
        <v>1</v>
      </c>
      <c r="X122">
        <f t="shared" si="30"/>
        <v>0</v>
      </c>
      <c r="Y122" s="32">
        <f t="shared" si="31"/>
        <v>0.72222222222222221</v>
      </c>
      <c r="Z122" s="32">
        <f t="shared" si="32"/>
        <v>0</v>
      </c>
      <c r="AA122">
        <f>step3_validation[[#This Row],[AI_FAC1]]</f>
        <v>9</v>
      </c>
      <c r="AB122">
        <f t="shared" si="33"/>
        <v>0.88888888888888884</v>
      </c>
      <c r="AC122">
        <f>survey_responses[[#This Row],[Các thủ tục khai báo thuế VÀ/HOẶC quy trình làm việc với cơ quan thuế đơn giản, tiện lợi, nhanh chóng hơn so với trước đây. - HUMAN-FAC1]]</f>
        <v>1</v>
      </c>
      <c r="AD122">
        <f t="shared" si="34"/>
        <v>0</v>
      </c>
      <c r="AE122">
        <f>step3_validation[[#This Row],[AI_FAC2]]</f>
        <v>8</v>
      </c>
      <c r="AF122">
        <f t="shared" si="35"/>
        <v>0.77777777777777779</v>
      </c>
      <c r="AG122">
        <f>survey_responses[[#This Row],[So với trước đây, tôi thấy cách tính thuế và các bậc thuế trong phương án mới đơn giản, dễ hiểu và dễ thực hiện hơn. - HUMAN-FAC2]]</f>
        <v>5</v>
      </c>
      <c r="AH122">
        <f t="shared" si="36"/>
        <v>0.44444444444444442</v>
      </c>
      <c r="AI122" s="32">
        <f t="shared" si="37"/>
        <v>0.83333333333333326</v>
      </c>
      <c r="AJ122" s="32">
        <f t="shared" si="38"/>
        <v>0.22222222222222221</v>
      </c>
      <c r="AK122">
        <f>step3_validation[[#This Row],[AI_TRU1]]</f>
        <v>7</v>
      </c>
      <c r="AL122">
        <f t="shared" si="39"/>
        <v>0.66666666666666663</v>
      </c>
      <c r="AM122">
        <f>survey_responses[[#This Row],[Tôi tin rằng Nhà nước, cơ quan thuế sẽ thực thi chính sách mới một cách khách quan, công tâm và đối xử bình đẳng với mọi người nộp thuế.  - HUMAN-TRU1]]</f>
        <v>1</v>
      </c>
      <c r="AN122">
        <f t="shared" si="40"/>
        <v>0</v>
      </c>
      <c r="AO122">
        <f>step3_validation[[#This Row],[AI_TRU2]]</f>
        <v>9</v>
      </c>
      <c r="AP122">
        <f t="shared" si="41"/>
        <v>0.88888888888888884</v>
      </c>
      <c r="AQ122">
        <f>survey_responses[[#This Row],[Tôi thấy mức thuế tôi phải đóng theo phương án mới là công bằng (người thu nhập như tôi đóng mức này là hợp lý). - HUMAN-TRU2]]</f>
        <v>1</v>
      </c>
      <c r="AR122">
        <f t="shared" si="42"/>
        <v>0</v>
      </c>
      <c r="AS122">
        <f>step3_validation[[#This Row],[AI_TRU3]]</f>
        <v>7</v>
      </c>
      <c r="AT122">
        <f t="shared" si="43"/>
        <v>0.66666666666666663</v>
      </c>
      <c r="AU122">
        <f>survey_responses[[#This Row],[Tôi tin tưởng số tiền thuế tôi đóng sẽ được Nhà nước sử dụng hiệu quả để cải thiện dịch vụ công (y tế, đường xá...). - HUMAN-TRU3]]</f>
        <v>1</v>
      </c>
      <c r="AV122">
        <f t="shared" si="44"/>
        <v>0</v>
      </c>
      <c r="AW122">
        <f>step3_validation[[#This Row],[AI_TRU4]]</f>
        <v>9</v>
      </c>
      <c r="AX122">
        <f t="shared" si="45"/>
        <v>0.88888888888888884</v>
      </c>
      <c r="AY122">
        <f>survey_responses[[#This Row],[Tôi thấy Nhà nước đã giải thích rõ ràng, minh bạch về lý do và mục tiêu của việc sửa đổi thuế lần này. - HUMAN-TRU4]]</f>
        <v>1</v>
      </c>
      <c r="AZ122">
        <f t="shared" si="46"/>
        <v>0</v>
      </c>
      <c r="BA122" s="32">
        <f t="shared" si="47"/>
        <v>0.77777777777777768</v>
      </c>
      <c r="BB122" s="32">
        <f t="shared" si="48"/>
        <v>0</v>
      </c>
      <c r="BC122" s="7">
        <f t="shared" si="49"/>
        <v>0.77777777777777768</v>
      </c>
      <c r="BD122" s="7">
        <f t="shared" si="50"/>
        <v>7.407407407407407E-2</v>
      </c>
      <c r="BE122">
        <f>step3_validation[[#This Row],[AI_OUT1]]</f>
        <v>9</v>
      </c>
      <c r="BF122">
        <f t="shared" si="51"/>
        <v>0.88888888888888884</v>
      </c>
      <c r="BG122">
        <f>survey_responses[[#This Row],[Sau khi xem xét các quyền lợi và nghĩa vụ, bạn có ủng hộ và tuân thủ chính sách mới hiện nay? - HUMAN-OUT1]]</f>
        <v>5</v>
      </c>
      <c r="BH122">
        <f t="shared" si="52"/>
        <v>0.44444444444444442</v>
      </c>
      <c r="BI122" s="32">
        <f t="shared" si="53"/>
        <v>4</v>
      </c>
    </row>
    <row r="123" spans="1:61" x14ac:dyDescent="0.45">
      <c r="A123" s="30">
        <f>step3_validation[[#This Row],[Persona_ID]]</f>
        <v>122</v>
      </c>
      <c r="B123" s="31">
        <f>step3_validation[[#This Row],[Used_Seed]]</f>
        <v>2147</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146.02299438962618</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7</v>
      </c>
      <c r="R123">
        <f t="shared" si="27"/>
        <v>0.66666666666666663</v>
      </c>
      <c r="S123">
        <f>survey_responses[[#This Row],[Tôi tin rằng với các quy định quản lý thuế hiện nay, hành vi gian lận hoặc trốn thuế sẽ dễ dàng bị phát hiện và xử lý nghiêm. - HUMAN-ENF1]]</f>
        <v>4</v>
      </c>
      <c r="T123">
        <f t="shared" si="28"/>
        <v>0.33333333333333331</v>
      </c>
      <c r="U123">
        <f>step3_validation[[#This Row],[AI_ENF2]]</f>
        <v>8</v>
      </c>
      <c r="V123">
        <f t="shared" si="29"/>
        <v>0.77777777777777779</v>
      </c>
      <c r="W123">
        <f>survey_responses[[#This Row],[Tôi tin rằng Nhà nước, cơ quan thuế có đủ khả năng và công nghệ để phát hiện, xử lý nghiêm các hành vi trốn thuế. - HUMAN-ENF2]]</f>
        <v>4</v>
      </c>
      <c r="X123">
        <f t="shared" si="30"/>
        <v>0.33333333333333331</v>
      </c>
      <c r="Y123" s="32">
        <f t="shared" si="31"/>
        <v>0.72222222222222221</v>
      </c>
      <c r="Z123" s="32">
        <f t="shared" si="32"/>
        <v>0.33333333333333331</v>
      </c>
      <c r="AA123">
        <f>step3_validation[[#This Row],[AI_FAC1]]</f>
        <v>9</v>
      </c>
      <c r="AB123">
        <f t="shared" si="33"/>
        <v>0.88888888888888884</v>
      </c>
      <c r="AC123">
        <f>survey_responses[[#This Row],[Các thủ tục khai báo thuế VÀ/HOẶC quy trình làm việc với cơ quan thuế đơn giản, tiện lợi, nhanh chóng hơn so với trước đây. - HUMAN-FAC1]]</f>
        <v>2</v>
      </c>
      <c r="AD123">
        <f t="shared" si="34"/>
        <v>0.1111111111111111</v>
      </c>
      <c r="AE123">
        <f>step3_validation[[#This Row],[AI_FAC2]]</f>
        <v>10</v>
      </c>
      <c r="AF123">
        <f t="shared" si="35"/>
        <v>1</v>
      </c>
      <c r="AG123">
        <f>survey_responses[[#This Row],[So với trước đây, tôi thấy cách tính thuế và các bậc thuế trong phương án mới đơn giản, dễ hiểu và dễ thực hiện hơn. - HUMAN-FAC2]]</f>
        <v>5</v>
      </c>
      <c r="AH123">
        <f t="shared" si="36"/>
        <v>0.44444444444444442</v>
      </c>
      <c r="AI123" s="32">
        <f t="shared" si="37"/>
        <v>0.94444444444444442</v>
      </c>
      <c r="AJ123" s="32">
        <f t="shared" si="38"/>
        <v>0.27777777777777779</v>
      </c>
      <c r="AK123">
        <f>step3_validation[[#This Row],[AI_TRU1]]</f>
        <v>6</v>
      </c>
      <c r="AL123">
        <f t="shared" si="39"/>
        <v>0.55555555555555558</v>
      </c>
      <c r="AM123">
        <f>survey_responses[[#This Row],[Tôi tin rằng Nhà nước, cơ quan thuế sẽ thực thi chính sách mới một cách khách quan, công tâm và đối xử bình đẳng với mọi người nộp thuế.  - HUMAN-TRU1]]</f>
        <v>1</v>
      </c>
      <c r="AN123">
        <f t="shared" si="40"/>
        <v>0</v>
      </c>
      <c r="AO123">
        <f>step3_validation[[#This Row],[AI_TRU2]]</f>
        <v>7</v>
      </c>
      <c r="AP123">
        <f t="shared" si="41"/>
        <v>0.66666666666666663</v>
      </c>
      <c r="AQ123">
        <f>survey_responses[[#This Row],[Tôi thấy mức thuế tôi phải đóng theo phương án mới là công bằng (người thu nhập như tôi đóng mức này là hợp lý). - HUMAN-TRU2]]</f>
        <v>1</v>
      </c>
      <c r="AR123">
        <f t="shared" si="42"/>
        <v>0</v>
      </c>
      <c r="AS123">
        <f>step3_validation[[#This Row],[AI_TRU3]]</f>
        <v>6</v>
      </c>
      <c r="AT123">
        <f t="shared" si="43"/>
        <v>0.55555555555555558</v>
      </c>
      <c r="AU123">
        <f>survey_responses[[#This Row],[Tôi tin tưởng số tiền thuế tôi đóng sẽ được Nhà nước sử dụng hiệu quả để cải thiện dịch vụ công (y tế, đường xá...). - HUMAN-TRU3]]</f>
        <v>1</v>
      </c>
      <c r="AV123">
        <f t="shared" si="44"/>
        <v>0</v>
      </c>
      <c r="AW123">
        <f>step3_validation[[#This Row],[AI_TRU4]]</f>
        <v>7</v>
      </c>
      <c r="AX123">
        <f t="shared" si="45"/>
        <v>0.66666666666666663</v>
      </c>
      <c r="AY123">
        <f>survey_responses[[#This Row],[Tôi thấy Nhà nước đã giải thích rõ ràng, minh bạch về lý do và mục tiêu của việc sửa đổi thuế lần này. - HUMAN-TRU4]]</f>
        <v>4</v>
      </c>
      <c r="AZ123">
        <f t="shared" si="46"/>
        <v>0.33333333333333331</v>
      </c>
      <c r="BA123" s="32">
        <f t="shared" si="47"/>
        <v>0.61111111111111116</v>
      </c>
      <c r="BB123" s="32">
        <f t="shared" si="48"/>
        <v>8.3333333333333329E-2</v>
      </c>
      <c r="BC123" s="7">
        <f t="shared" si="49"/>
        <v>0.75925925925925919</v>
      </c>
      <c r="BD123" s="7">
        <f t="shared" si="50"/>
        <v>0.23148148148148151</v>
      </c>
      <c r="BE123">
        <f>step3_validation[[#This Row],[AI_OUT1]]</f>
        <v>8</v>
      </c>
      <c r="BF123">
        <f t="shared" si="51"/>
        <v>0.77777777777777779</v>
      </c>
      <c r="BG123">
        <f>survey_responses[[#This Row],[Sau khi xem xét các quyền lợi và nghĩa vụ, bạn có ủng hộ và tuân thủ chính sách mới hiện nay? - HUMAN-OUT1]]</f>
        <v>4</v>
      </c>
      <c r="BH123">
        <f t="shared" si="52"/>
        <v>0.33333333333333331</v>
      </c>
      <c r="BI123" s="32">
        <f t="shared" si="53"/>
        <v>4</v>
      </c>
    </row>
    <row r="124" spans="1:61" x14ac:dyDescent="0.45">
      <c r="A124" s="30">
        <f>step3_validation[[#This Row],[Persona_ID]]</f>
        <v>123</v>
      </c>
      <c r="B124" s="31">
        <f>step3_validation[[#This Row],[Used_Seed]]</f>
        <v>2148</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6</v>
      </c>
      <c r="R124">
        <f t="shared" si="27"/>
        <v>0.55555555555555558</v>
      </c>
      <c r="S124">
        <f>survey_responses[[#This Row],[Tôi tin rằng với các quy định quản lý thuế hiện nay, hành vi gian lận hoặc trốn thuế sẽ dễ dàng bị phát hiện và xử lý nghiêm. - HUMAN-ENF1]]</f>
        <v>7</v>
      </c>
      <c r="T124">
        <f t="shared" si="28"/>
        <v>0.66666666666666663</v>
      </c>
      <c r="U124">
        <f>step3_validation[[#This Row],[AI_ENF2]]</f>
        <v>8</v>
      </c>
      <c r="V124">
        <f t="shared" si="29"/>
        <v>0.77777777777777779</v>
      </c>
      <c r="W124">
        <f>survey_responses[[#This Row],[Tôi tin rằng Nhà nước, cơ quan thuế có đủ khả năng và công nghệ để phát hiện, xử lý nghiêm các hành vi trốn thuế. - HUMAN-ENF2]]</f>
        <v>7</v>
      </c>
      <c r="X124">
        <f t="shared" si="30"/>
        <v>0.66666666666666663</v>
      </c>
      <c r="Y124" s="32">
        <f t="shared" si="31"/>
        <v>0.66666666666666674</v>
      </c>
      <c r="Z124" s="32">
        <f t="shared" si="32"/>
        <v>0.66666666666666663</v>
      </c>
      <c r="AA124">
        <f>step3_validation[[#This Row],[AI_FAC1]]</f>
        <v>7</v>
      </c>
      <c r="AB124">
        <f t="shared" si="33"/>
        <v>0.66666666666666663</v>
      </c>
      <c r="AC124">
        <f>survey_responses[[#This Row],[Các thủ tục khai báo thuế VÀ/HOẶC quy trình làm việc với cơ quan thuế đơn giản, tiện lợi, nhanh chóng hơn so với trước đây. - HUMAN-FAC1]]</f>
        <v>7</v>
      </c>
      <c r="AD124">
        <f t="shared" si="34"/>
        <v>0.66666666666666663</v>
      </c>
      <c r="AE124">
        <f>step3_validation[[#This Row],[AI_FAC2]]</f>
        <v>9</v>
      </c>
      <c r="AF124">
        <f t="shared" si="35"/>
        <v>0.88888888888888884</v>
      </c>
      <c r="AG124">
        <f>survey_responses[[#This Row],[So với trước đây, tôi thấy cách tính thuế và các bậc thuế trong phương án mới đơn giản, dễ hiểu và dễ thực hiện hơn. - HUMAN-FAC2]]</f>
        <v>7</v>
      </c>
      <c r="AH124">
        <f t="shared" si="36"/>
        <v>0.66666666666666663</v>
      </c>
      <c r="AI124" s="32">
        <f t="shared" si="37"/>
        <v>0.77777777777777768</v>
      </c>
      <c r="AJ124" s="32">
        <f t="shared" si="38"/>
        <v>0.66666666666666663</v>
      </c>
      <c r="AK124">
        <f>step3_validation[[#This Row],[AI_TRU1]]</f>
        <v>7</v>
      </c>
      <c r="AL124">
        <f t="shared" si="39"/>
        <v>0.66666666666666663</v>
      </c>
      <c r="AM124">
        <f>survey_responses[[#This Row],[Tôi tin rằng Nhà nước, cơ quan thuế sẽ thực thi chính sách mới một cách khách quan, công tâm và đối xử bình đẳng với mọi người nộp thuế.  - HUMAN-TRU1]]</f>
        <v>7</v>
      </c>
      <c r="AN124">
        <f t="shared" si="40"/>
        <v>0.66666666666666663</v>
      </c>
      <c r="AO124">
        <f>step3_validation[[#This Row],[AI_TRU2]]</f>
        <v>8</v>
      </c>
      <c r="AP124">
        <f t="shared" si="41"/>
        <v>0.77777777777777779</v>
      </c>
      <c r="AQ124">
        <f>survey_responses[[#This Row],[Tôi thấy mức thuế tôi phải đóng theo phương án mới là công bằng (người thu nhập như tôi đóng mức này là hợp lý). - HUMAN-TRU2]]</f>
        <v>7</v>
      </c>
      <c r="AR124">
        <f t="shared" si="42"/>
        <v>0.66666666666666663</v>
      </c>
      <c r="AS124">
        <f>step3_validation[[#This Row],[AI_TRU3]]</f>
        <v>7</v>
      </c>
      <c r="AT124">
        <f t="shared" si="43"/>
        <v>0.66666666666666663</v>
      </c>
      <c r="AU124">
        <f>survey_responses[[#This Row],[Tôi tin tưởng số tiền thuế tôi đóng sẽ được Nhà nước sử dụng hiệu quả để cải thiện dịch vụ công (y tế, đường xá...). - HUMAN-TRU3]]</f>
        <v>7</v>
      </c>
      <c r="AV124">
        <f t="shared" si="44"/>
        <v>0.66666666666666663</v>
      </c>
      <c r="AW124">
        <f>step3_validation[[#This Row],[AI_TRU4]]</f>
        <v>6</v>
      </c>
      <c r="AX124">
        <f t="shared" si="45"/>
        <v>0.55555555555555558</v>
      </c>
      <c r="AY124">
        <f>survey_responses[[#This Row],[Tôi thấy Nhà nước đã giải thích rõ ràng, minh bạch về lý do và mục tiêu của việc sửa đổi thuế lần này. - HUMAN-TRU4]]</f>
        <v>7</v>
      </c>
      <c r="AZ124">
        <f t="shared" si="46"/>
        <v>0.66666666666666663</v>
      </c>
      <c r="BA124" s="32">
        <f t="shared" si="47"/>
        <v>0.66666666666666674</v>
      </c>
      <c r="BB124" s="32">
        <f t="shared" si="48"/>
        <v>0.66666666666666663</v>
      </c>
      <c r="BC124" s="7">
        <f t="shared" si="49"/>
        <v>0.70370370370370372</v>
      </c>
      <c r="BD124" s="7">
        <f t="shared" si="50"/>
        <v>0.66666666666666663</v>
      </c>
      <c r="BE124">
        <f>step3_validation[[#This Row],[AI_OUT1]]</f>
        <v>8</v>
      </c>
      <c r="BF124">
        <f t="shared" si="51"/>
        <v>0.77777777777777779</v>
      </c>
      <c r="BG124">
        <f>survey_responses[[#This Row],[Sau khi xem xét các quyền lợi và nghĩa vụ, bạn có ủng hộ và tuân thủ chính sách mới hiện nay? - HUMAN-OUT1]]</f>
        <v>8</v>
      </c>
      <c r="BH124">
        <f t="shared" si="52"/>
        <v>0.77777777777777779</v>
      </c>
      <c r="BI124" s="32">
        <f t="shared" si="53"/>
        <v>0</v>
      </c>
    </row>
    <row r="125" spans="1:61" x14ac:dyDescent="0.45">
      <c r="A125" s="30">
        <f>step3_validation[[#This Row],[Persona_ID]]</f>
        <v>124</v>
      </c>
      <c r="B125" s="31">
        <f>step3_validation[[#This Row],[Used_Seed]]</f>
        <v>2149</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33.46719409588362</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7</v>
      </c>
      <c r="R125">
        <f t="shared" si="27"/>
        <v>0.66666666666666663</v>
      </c>
      <c r="S125">
        <f>survey_responses[[#This Row],[Tôi tin rằng với các quy định quản lý thuế hiện nay, hành vi gian lận hoặc trốn thuế sẽ dễ dàng bị phát hiện và xử lý nghiêm. - HUMAN-ENF1]]</f>
        <v>10</v>
      </c>
      <c r="T125">
        <f t="shared" si="28"/>
        <v>1</v>
      </c>
      <c r="U125">
        <f>step3_validation[[#This Row],[AI_ENF2]]</f>
        <v>8</v>
      </c>
      <c r="V125">
        <f t="shared" si="29"/>
        <v>0.77777777777777779</v>
      </c>
      <c r="W125">
        <f>survey_responses[[#This Row],[Tôi tin rằng Nhà nước, cơ quan thuế có đủ khả năng và công nghệ để phát hiện, xử lý nghiêm các hành vi trốn thuế. - HUMAN-ENF2]]</f>
        <v>9</v>
      </c>
      <c r="X125">
        <f t="shared" si="30"/>
        <v>0.88888888888888884</v>
      </c>
      <c r="Y125" s="32">
        <f t="shared" si="31"/>
        <v>0.72222222222222221</v>
      </c>
      <c r="Z125" s="32">
        <f t="shared" si="32"/>
        <v>0.94444444444444442</v>
      </c>
      <c r="AA125">
        <f>step3_validation[[#This Row],[AI_FAC1]]</f>
        <v>7</v>
      </c>
      <c r="AB125">
        <f t="shared" si="33"/>
        <v>0.66666666666666663</v>
      </c>
      <c r="AC125">
        <f>survey_responses[[#This Row],[Các thủ tục khai báo thuế VÀ/HOẶC quy trình làm việc với cơ quan thuế đơn giản, tiện lợi, nhanh chóng hơn so với trước đây. - HUMAN-FAC1]]</f>
        <v>10</v>
      </c>
      <c r="AD125">
        <f t="shared" si="34"/>
        <v>1</v>
      </c>
      <c r="AE125">
        <f>step3_validation[[#This Row],[AI_FAC2]]</f>
        <v>9</v>
      </c>
      <c r="AF125">
        <f t="shared" si="35"/>
        <v>0.88888888888888884</v>
      </c>
      <c r="AG125">
        <f>survey_responses[[#This Row],[So với trước đây, tôi thấy cách tính thuế và các bậc thuế trong phương án mới đơn giản, dễ hiểu và dễ thực hiện hơn. - HUMAN-FAC2]]</f>
        <v>10</v>
      </c>
      <c r="AH125">
        <f t="shared" si="36"/>
        <v>1</v>
      </c>
      <c r="AI125" s="32">
        <f t="shared" si="37"/>
        <v>0.77777777777777768</v>
      </c>
      <c r="AJ125" s="32">
        <f t="shared" si="38"/>
        <v>1</v>
      </c>
      <c r="AK125">
        <f>step3_validation[[#This Row],[AI_TRU1]]</f>
        <v>6</v>
      </c>
      <c r="AL125">
        <f t="shared" si="39"/>
        <v>0.55555555555555558</v>
      </c>
      <c r="AM125">
        <f>survey_responses[[#This Row],[Tôi tin rằng Nhà nước, cơ quan thuế sẽ thực thi chính sách mới một cách khách quan, công tâm và đối xử bình đẳng với mọi người nộp thuế.  - HUMAN-TRU1]]</f>
        <v>10</v>
      </c>
      <c r="AN125">
        <f t="shared" si="40"/>
        <v>1</v>
      </c>
      <c r="AO125">
        <f>step3_validation[[#This Row],[AI_TRU2]]</f>
        <v>8</v>
      </c>
      <c r="AP125">
        <f t="shared" si="41"/>
        <v>0.77777777777777779</v>
      </c>
      <c r="AQ125">
        <f>survey_responses[[#This Row],[Tôi thấy mức thuế tôi phải đóng theo phương án mới là công bằng (người thu nhập như tôi đóng mức này là hợp lý). - HUMAN-TRU2]]</f>
        <v>8</v>
      </c>
      <c r="AR125">
        <f t="shared" si="42"/>
        <v>0.77777777777777779</v>
      </c>
      <c r="AS125">
        <f>step3_validation[[#This Row],[AI_TRU3]]</f>
        <v>7</v>
      </c>
      <c r="AT125">
        <f t="shared" si="43"/>
        <v>0.66666666666666663</v>
      </c>
      <c r="AU125">
        <f>survey_responses[[#This Row],[Tôi tin tưởng số tiền thuế tôi đóng sẽ được Nhà nước sử dụng hiệu quả để cải thiện dịch vụ công (y tế, đường xá...). - HUMAN-TRU3]]</f>
        <v>9</v>
      </c>
      <c r="AV125">
        <f t="shared" si="44"/>
        <v>0.88888888888888884</v>
      </c>
      <c r="AW125">
        <f>step3_validation[[#This Row],[AI_TRU4]]</f>
        <v>8</v>
      </c>
      <c r="AX125">
        <f t="shared" si="45"/>
        <v>0.77777777777777779</v>
      </c>
      <c r="AY125">
        <f>survey_responses[[#This Row],[Tôi thấy Nhà nước đã giải thích rõ ràng, minh bạch về lý do và mục tiêu của việc sửa đổi thuế lần này. - HUMAN-TRU4]]</f>
        <v>9</v>
      </c>
      <c r="AZ125">
        <f t="shared" si="46"/>
        <v>0.88888888888888884</v>
      </c>
      <c r="BA125" s="32">
        <f t="shared" si="47"/>
        <v>0.69444444444444442</v>
      </c>
      <c r="BB125" s="32">
        <f t="shared" si="48"/>
        <v>0.88888888888888884</v>
      </c>
      <c r="BC125" s="7">
        <f t="shared" si="49"/>
        <v>0.73148148148148151</v>
      </c>
      <c r="BD125" s="7">
        <f t="shared" si="50"/>
        <v>0.94444444444444431</v>
      </c>
      <c r="BE125">
        <f>step3_validation[[#This Row],[AI_OUT1]]</f>
        <v>9</v>
      </c>
      <c r="BF125">
        <f t="shared" si="51"/>
        <v>0.88888888888888884</v>
      </c>
      <c r="BG125">
        <f>survey_responses[[#This Row],[Sau khi xem xét các quyền lợi và nghĩa vụ, bạn có ủng hộ và tuân thủ chính sách mới hiện nay? - HUMAN-OUT1]]</f>
        <v>9</v>
      </c>
      <c r="BH125">
        <f t="shared" si="52"/>
        <v>0.88888888888888884</v>
      </c>
      <c r="BI125" s="32">
        <f t="shared" si="53"/>
        <v>0</v>
      </c>
    </row>
    <row r="126" spans="1:61" x14ac:dyDescent="0.45">
      <c r="A126" s="30">
        <f>step3_validation[[#This Row],[Persona_ID]]</f>
        <v>125</v>
      </c>
      <c r="B126" s="31">
        <f>step3_validation[[#This Row],[Used_Seed]]</f>
        <v>2150</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16.372898626805611</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6</v>
      </c>
      <c r="R126">
        <f t="shared" si="27"/>
        <v>0.55555555555555558</v>
      </c>
      <c r="S126">
        <f>survey_responses[[#This Row],[Tôi tin rằng với các quy định quản lý thuế hiện nay, hành vi gian lận hoặc trốn thuế sẽ dễ dàng bị phát hiện và xử lý nghiêm. - HUMAN-ENF1]]</f>
        <v>10</v>
      </c>
      <c r="T126">
        <f t="shared" si="28"/>
        <v>1</v>
      </c>
      <c r="U126">
        <f>step3_validation[[#This Row],[AI_ENF2]]</f>
        <v>8</v>
      </c>
      <c r="V126">
        <f t="shared" si="29"/>
        <v>0.77777777777777779</v>
      </c>
      <c r="W126">
        <f>survey_responses[[#This Row],[Tôi tin rằng Nhà nước, cơ quan thuế có đủ khả năng và công nghệ để phát hiện, xử lý nghiêm các hành vi trốn thuế. - HUMAN-ENF2]]</f>
        <v>10</v>
      </c>
      <c r="X126">
        <f t="shared" si="30"/>
        <v>1</v>
      </c>
      <c r="Y126" s="32">
        <f t="shared" si="31"/>
        <v>0.66666666666666674</v>
      </c>
      <c r="Z126" s="32">
        <f t="shared" si="32"/>
        <v>1</v>
      </c>
      <c r="AA126">
        <f>step3_validation[[#This Row],[AI_FAC1]]</f>
        <v>9</v>
      </c>
      <c r="AB126">
        <f t="shared" si="33"/>
        <v>0.88888888888888884</v>
      </c>
      <c r="AC126">
        <f>survey_responses[[#This Row],[Các thủ tục khai báo thuế VÀ/HOẶC quy trình làm việc với cơ quan thuế đơn giản, tiện lợi, nhanh chóng hơn so với trước đây. - HUMAN-FAC1]]</f>
        <v>10</v>
      </c>
      <c r="AD126">
        <f t="shared" si="34"/>
        <v>1</v>
      </c>
      <c r="AE126">
        <f>step3_validation[[#This Row],[AI_FAC2]]</f>
        <v>10</v>
      </c>
      <c r="AF126">
        <f t="shared" si="35"/>
        <v>1</v>
      </c>
      <c r="AG126">
        <f>survey_responses[[#This Row],[So với trước đây, tôi thấy cách tính thuế và các bậc thuế trong phương án mới đơn giản, dễ hiểu và dễ thực hiện hơn. - HUMAN-FAC2]]</f>
        <v>10</v>
      </c>
      <c r="AH126">
        <f t="shared" si="36"/>
        <v>1</v>
      </c>
      <c r="AI126" s="32">
        <f t="shared" si="37"/>
        <v>0.94444444444444442</v>
      </c>
      <c r="AJ126" s="32">
        <f t="shared" si="38"/>
        <v>1</v>
      </c>
      <c r="AK126">
        <f>step3_validation[[#This Row],[AI_TRU1]]</f>
        <v>7</v>
      </c>
      <c r="AL126">
        <f t="shared" si="39"/>
        <v>0.66666666666666663</v>
      </c>
      <c r="AM126">
        <f>survey_responses[[#This Row],[Tôi tin rằng Nhà nước, cơ quan thuế sẽ thực thi chính sách mới một cách khách quan, công tâm và đối xử bình đẳng với mọi người nộp thuế.  - HUMAN-TRU1]]</f>
        <v>10</v>
      </c>
      <c r="AN126">
        <f t="shared" si="40"/>
        <v>1</v>
      </c>
      <c r="AO126">
        <f>step3_validation[[#This Row],[AI_TRU2]]</f>
        <v>9</v>
      </c>
      <c r="AP126">
        <f t="shared" si="41"/>
        <v>0.88888888888888884</v>
      </c>
      <c r="AQ126">
        <f>survey_responses[[#This Row],[Tôi thấy mức thuế tôi phải đóng theo phương án mới là công bằng (người thu nhập như tôi đóng mức này là hợp lý). - HUMAN-TRU2]]</f>
        <v>10</v>
      </c>
      <c r="AR126">
        <f t="shared" si="42"/>
        <v>1</v>
      </c>
      <c r="AS126">
        <f>step3_validation[[#This Row],[AI_TRU3]]</f>
        <v>8</v>
      </c>
      <c r="AT126">
        <f t="shared" si="43"/>
        <v>0.77777777777777779</v>
      </c>
      <c r="AU126">
        <f>survey_responses[[#This Row],[Tôi tin tưởng số tiền thuế tôi đóng sẽ được Nhà nước sử dụng hiệu quả để cải thiện dịch vụ công (y tế, đường xá...). - HUMAN-TRU3]]</f>
        <v>10</v>
      </c>
      <c r="AV126">
        <f t="shared" si="44"/>
        <v>1</v>
      </c>
      <c r="AW126">
        <f>step3_validation[[#This Row],[AI_TRU4]]</f>
        <v>9</v>
      </c>
      <c r="AX126">
        <f t="shared" si="45"/>
        <v>0.88888888888888884</v>
      </c>
      <c r="AY126">
        <f>survey_responses[[#This Row],[Tôi thấy Nhà nước đã giải thích rõ ràng, minh bạch về lý do và mục tiêu của việc sửa đổi thuế lần này. - HUMAN-TRU4]]</f>
        <v>10</v>
      </c>
      <c r="AZ126">
        <f t="shared" si="46"/>
        <v>1</v>
      </c>
      <c r="BA126" s="32">
        <f t="shared" si="47"/>
        <v>0.80555555555555547</v>
      </c>
      <c r="BB126" s="32">
        <f t="shared" si="48"/>
        <v>1</v>
      </c>
      <c r="BC126" s="7">
        <f t="shared" si="49"/>
        <v>0.80555555555555547</v>
      </c>
      <c r="BD126" s="7">
        <f t="shared" si="50"/>
        <v>1</v>
      </c>
      <c r="BE126">
        <f>step3_validation[[#This Row],[AI_OUT1]]</f>
        <v>10</v>
      </c>
      <c r="BF126">
        <f t="shared" si="51"/>
        <v>1</v>
      </c>
      <c r="BG126">
        <f>survey_responses[[#This Row],[Sau khi xem xét các quyền lợi và nghĩa vụ, bạn có ủng hộ và tuân thủ chính sách mới hiện nay? - HUMAN-OUT1]]</f>
        <v>10</v>
      </c>
      <c r="BH126">
        <f t="shared" si="52"/>
        <v>1</v>
      </c>
      <c r="BI126" s="32">
        <f t="shared" si="53"/>
        <v>0</v>
      </c>
    </row>
    <row r="127" spans="1:61" x14ac:dyDescent="0.45">
      <c r="A127" s="30">
        <f>step3_validation[[#This Row],[Persona_ID]]</f>
        <v>126</v>
      </c>
      <c r="B127" s="31">
        <f>step3_validation[[#This Row],[Used_Seed]]</f>
        <v>2151</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28.507590905989076</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8</v>
      </c>
      <c r="R127">
        <f t="shared" si="27"/>
        <v>0.77777777777777779</v>
      </c>
      <c r="S127">
        <f>survey_responses[[#This Row],[Tôi tin rằng với các quy định quản lý thuế hiện nay, hành vi gian lận hoặc trốn thuế sẽ dễ dàng bị phát hiện và xử lý nghiêm. - HUMAN-ENF1]]</f>
        <v>8</v>
      </c>
      <c r="T127">
        <f t="shared" si="28"/>
        <v>0.77777777777777779</v>
      </c>
      <c r="U127">
        <f>step3_validation[[#This Row],[AI_ENF2]]</f>
        <v>8</v>
      </c>
      <c r="V127">
        <f t="shared" si="29"/>
        <v>0.77777777777777779</v>
      </c>
      <c r="W127">
        <f>survey_responses[[#This Row],[Tôi tin rằng Nhà nước, cơ quan thuế có đủ khả năng và công nghệ để phát hiện, xử lý nghiêm các hành vi trốn thuế. - HUMAN-ENF2]]</f>
        <v>8</v>
      </c>
      <c r="X127">
        <f t="shared" si="30"/>
        <v>0.77777777777777779</v>
      </c>
      <c r="Y127" s="32">
        <f t="shared" si="31"/>
        <v>0.77777777777777779</v>
      </c>
      <c r="Z127" s="32">
        <f t="shared" si="32"/>
        <v>0.77777777777777779</v>
      </c>
      <c r="AA127">
        <f>step3_validation[[#This Row],[AI_FAC1]]</f>
        <v>9</v>
      </c>
      <c r="AB127">
        <f t="shared" si="33"/>
        <v>0.88888888888888884</v>
      </c>
      <c r="AC127">
        <f>survey_responses[[#This Row],[Các thủ tục khai báo thuế VÀ/HOẶC quy trình làm việc với cơ quan thuế đơn giản, tiện lợi, nhanh chóng hơn so với trước đây. - HUMAN-FAC1]]</f>
        <v>5</v>
      </c>
      <c r="AD127">
        <f t="shared" si="34"/>
        <v>0.44444444444444442</v>
      </c>
      <c r="AE127">
        <f>step3_validation[[#This Row],[AI_FAC2]]</f>
        <v>9</v>
      </c>
      <c r="AF127">
        <f t="shared" si="35"/>
        <v>0.88888888888888884</v>
      </c>
      <c r="AG127">
        <f>survey_responses[[#This Row],[So với trước đây, tôi thấy cách tính thuế và các bậc thuế trong phương án mới đơn giản, dễ hiểu và dễ thực hiện hơn. - HUMAN-FAC2]]</f>
        <v>8</v>
      </c>
      <c r="AH127">
        <f t="shared" si="36"/>
        <v>0.77777777777777779</v>
      </c>
      <c r="AI127" s="32">
        <f t="shared" si="37"/>
        <v>0.88888888888888884</v>
      </c>
      <c r="AJ127" s="32">
        <f t="shared" si="38"/>
        <v>0.61111111111111116</v>
      </c>
      <c r="AK127">
        <f>step3_validation[[#This Row],[AI_TRU1]]</f>
        <v>7</v>
      </c>
      <c r="AL127">
        <f t="shared" si="39"/>
        <v>0.66666666666666663</v>
      </c>
      <c r="AM127">
        <f>survey_responses[[#This Row],[Tôi tin rằng Nhà nước, cơ quan thuế sẽ thực thi chính sách mới một cách khách quan, công tâm và đối xử bình đẳng với mọi người nộp thuế.  - HUMAN-TRU1]]</f>
        <v>8</v>
      </c>
      <c r="AN127">
        <f t="shared" si="40"/>
        <v>0.77777777777777779</v>
      </c>
      <c r="AO127">
        <f>step3_validation[[#This Row],[AI_TRU2]]</f>
        <v>8</v>
      </c>
      <c r="AP127">
        <f t="shared" si="41"/>
        <v>0.77777777777777779</v>
      </c>
      <c r="AQ127">
        <f>survey_responses[[#This Row],[Tôi thấy mức thuế tôi phải đóng theo phương án mới là công bằng (người thu nhập như tôi đóng mức này là hợp lý). - HUMAN-TRU2]]</f>
        <v>8</v>
      </c>
      <c r="AR127">
        <f t="shared" si="42"/>
        <v>0.77777777777777779</v>
      </c>
      <c r="AS127">
        <f>step3_validation[[#This Row],[AI_TRU3]]</f>
        <v>7</v>
      </c>
      <c r="AT127">
        <f t="shared" si="43"/>
        <v>0.66666666666666663</v>
      </c>
      <c r="AU127">
        <f>survey_responses[[#This Row],[Tôi tin tưởng số tiền thuế tôi đóng sẽ được Nhà nước sử dụng hiệu quả để cải thiện dịch vụ công (y tế, đường xá...). - HUMAN-TRU3]]</f>
        <v>7</v>
      </c>
      <c r="AV127">
        <f t="shared" si="44"/>
        <v>0.66666666666666663</v>
      </c>
      <c r="AW127">
        <f>step3_validation[[#This Row],[AI_TRU4]]</f>
        <v>8</v>
      </c>
      <c r="AX127">
        <f t="shared" si="45"/>
        <v>0.77777777777777779</v>
      </c>
      <c r="AY127">
        <f>survey_responses[[#This Row],[Tôi thấy Nhà nước đã giải thích rõ ràng, minh bạch về lý do và mục tiêu của việc sửa đổi thuế lần này. - HUMAN-TRU4]]</f>
        <v>7</v>
      </c>
      <c r="AZ127">
        <f t="shared" si="46"/>
        <v>0.66666666666666663</v>
      </c>
      <c r="BA127" s="32">
        <f t="shared" si="47"/>
        <v>0.72222222222222221</v>
      </c>
      <c r="BB127" s="32">
        <f t="shared" si="48"/>
        <v>0.72222222222222221</v>
      </c>
      <c r="BC127" s="7">
        <f t="shared" si="49"/>
        <v>0.79629629629629628</v>
      </c>
      <c r="BD127" s="7">
        <f t="shared" si="50"/>
        <v>0.70370370370370372</v>
      </c>
      <c r="BE127">
        <f>step3_validation[[#This Row],[AI_OUT1]]</f>
        <v>9</v>
      </c>
      <c r="BF127">
        <f t="shared" si="51"/>
        <v>0.88888888888888884</v>
      </c>
      <c r="BG127">
        <f>survey_responses[[#This Row],[Sau khi xem xét các quyền lợi và nghĩa vụ, bạn có ủng hộ và tuân thủ chính sách mới hiện nay? - HUMAN-OUT1]]</f>
        <v>8</v>
      </c>
      <c r="BH127">
        <f t="shared" si="52"/>
        <v>0.77777777777777779</v>
      </c>
      <c r="BI127" s="32">
        <f t="shared" si="53"/>
        <v>1</v>
      </c>
    </row>
    <row r="128" spans="1:61" x14ac:dyDescent="0.45">
      <c r="A128" s="30">
        <f>step3_validation[[#This Row],[Persona_ID]]</f>
        <v>127</v>
      </c>
      <c r="B128" s="31">
        <f>step3_validation[[#This Row],[Used_Seed]]</f>
        <v>2152</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249.59796248611758</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7</v>
      </c>
      <c r="R128">
        <f t="shared" si="27"/>
        <v>0.66666666666666663</v>
      </c>
      <c r="S128">
        <f>survey_responses[[#This Row],[Tôi tin rằng với các quy định quản lý thuế hiện nay, hành vi gian lận hoặc trốn thuế sẽ dễ dàng bị phát hiện và xử lý nghiêm. - HUMAN-ENF1]]</f>
        <v>1</v>
      </c>
      <c r="T128">
        <f t="shared" si="28"/>
        <v>0</v>
      </c>
      <c r="U128">
        <f>step3_validation[[#This Row],[AI_ENF2]]</f>
        <v>6</v>
      </c>
      <c r="V128">
        <f t="shared" si="29"/>
        <v>0.55555555555555558</v>
      </c>
      <c r="W128">
        <f>survey_responses[[#This Row],[Tôi tin rằng Nhà nước, cơ quan thuế có đủ khả năng và công nghệ để phát hiện, xử lý nghiêm các hành vi trốn thuế. - HUMAN-ENF2]]</f>
        <v>1</v>
      </c>
      <c r="X128">
        <f t="shared" si="30"/>
        <v>0</v>
      </c>
      <c r="Y128" s="32">
        <f t="shared" si="31"/>
        <v>0.61111111111111116</v>
      </c>
      <c r="Z128" s="32">
        <f t="shared" si="32"/>
        <v>0</v>
      </c>
      <c r="AA128">
        <f>step3_validation[[#This Row],[AI_FAC1]]</f>
        <v>8</v>
      </c>
      <c r="AB128">
        <f t="shared" si="33"/>
        <v>0.77777777777777779</v>
      </c>
      <c r="AC128">
        <f>survey_responses[[#This Row],[Các thủ tục khai báo thuế VÀ/HOẶC quy trình làm việc với cơ quan thuế đơn giản, tiện lợi, nhanh chóng hơn so với trước đây. - HUMAN-FAC1]]</f>
        <v>1</v>
      </c>
      <c r="AD128">
        <f t="shared" si="34"/>
        <v>0</v>
      </c>
      <c r="AE128">
        <f>step3_validation[[#This Row],[AI_FAC2]]</f>
        <v>9</v>
      </c>
      <c r="AF128">
        <f t="shared" si="35"/>
        <v>0.88888888888888884</v>
      </c>
      <c r="AG128">
        <f>survey_responses[[#This Row],[So với trước đây, tôi thấy cách tính thuế và các bậc thuế trong phương án mới đơn giản, dễ hiểu và dễ thực hiện hơn. - HUMAN-FAC2]]</f>
        <v>5</v>
      </c>
      <c r="AH128">
        <f t="shared" si="36"/>
        <v>0.44444444444444442</v>
      </c>
      <c r="AI128" s="32">
        <f t="shared" si="37"/>
        <v>0.83333333333333326</v>
      </c>
      <c r="AJ128" s="32">
        <f t="shared" si="38"/>
        <v>0.22222222222222221</v>
      </c>
      <c r="AK128">
        <f>step3_validation[[#This Row],[AI_TRU1]]</f>
        <v>7</v>
      </c>
      <c r="AL128">
        <f t="shared" si="39"/>
        <v>0.66666666666666663</v>
      </c>
      <c r="AM128">
        <f>survey_responses[[#This Row],[Tôi tin rằng Nhà nước, cơ quan thuế sẽ thực thi chính sách mới một cách khách quan, công tâm và đối xử bình đẳng với mọi người nộp thuế.  - HUMAN-TRU1]]</f>
        <v>1</v>
      </c>
      <c r="AN128">
        <f t="shared" si="40"/>
        <v>0</v>
      </c>
      <c r="AO128">
        <f>step3_validation[[#This Row],[AI_TRU2]]</f>
        <v>8</v>
      </c>
      <c r="AP128">
        <f t="shared" si="41"/>
        <v>0.77777777777777779</v>
      </c>
      <c r="AQ128">
        <f>survey_responses[[#This Row],[Tôi thấy mức thuế tôi phải đóng theo phương án mới là công bằng (người thu nhập như tôi đóng mức này là hợp lý). - HUMAN-TRU2]]</f>
        <v>1</v>
      </c>
      <c r="AR128">
        <f t="shared" si="42"/>
        <v>0</v>
      </c>
      <c r="AS128">
        <f>step3_validation[[#This Row],[AI_TRU3]]</f>
        <v>6</v>
      </c>
      <c r="AT128">
        <f t="shared" si="43"/>
        <v>0.55555555555555558</v>
      </c>
      <c r="AU128">
        <f>survey_responses[[#This Row],[Tôi tin tưởng số tiền thuế tôi đóng sẽ được Nhà nước sử dụng hiệu quả để cải thiện dịch vụ công (y tế, đường xá...). - HUMAN-TRU3]]</f>
        <v>1</v>
      </c>
      <c r="AV128">
        <f t="shared" si="44"/>
        <v>0</v>
      </c>
      <c r="AW128">
        <f>step3_validation[[#This Row],[AI_TRU4]]</f>
        <v>8</v>
      </c>
      <c r="AX128">
        <f t="shared" si="45"/>
        <v>0.77777777777777779</v>
      </c>
      <c r="AY128">
        <f>survey_responses[[#This Row],[Tôi thấy Nhà nước đã giải thích rõ ràng, minh bạch về lý do và mục tiêu của việc sửa đổi thuế lần này. - HUMAN-TRU4]]</f>
        <v>5</v>
      </c>
      <c r="AZ128">
        <f t="shared" si="46"/>
        <v>0.44444444444444442</v>
      </c>
      <c r="BA128" s="32">
        <f t="shared" si="47"/>
        <v>0.69444444444444442</v>
      </c>
      <c r="BB128" s="32">
        <f t="shared" si="48"/>
        <v>0.1111111111111111</v>
      </c>
      <c r="BC128" s="7">
        <f t="shared" si="49"/>
        <v>0.71296296296296291</v>
      </c>
      <c r="BD128" s="7">
        <f t="shared" si="50"/>
        <v>0.1111111111111111</v>
      </c>
      <c r="BE128">
        <f>step3_validation[[#This Row],[AI_OUT1]]</f>
        <v>9</v>
      </c>
      <c r="BF128">
        <f t="shared" si="51"/>
        <v>0.88888888888888884</v>
      </c>
      <c r="BG128">
        <f>survey_responses[[#This Row],[Sau khi xem xét các quyền lợi và nghĩa vụ, bạn có ủng hộ và tuân thủ chính sách mới hiện nay? - HUMAN-OUT1]]</f>
        <v>5</v>
      </c>
      <c r="BH128">
        <f t="shared" si="52"/>
        <v>0.44444444444444442</v>
      </c>
      <c r="BI128" s="32">
        <f t="shared" si="53"/>
        <v>4</v>
      </c>
    </row>
    <row r="129" spans="1:61" x14ac:dyDescent="0.45">
      <c r="A129" s="30">
        <f>step3_validation[[#This Row],[Persona_ID]]</f>
        <v>128</v>
      </c>
      <c r="B129" s="31">
        <f>step3_validation[[#This Row],[Used_Seed]]</f>
        <v>2153</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201.42857396570378</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8</v>
      </c>
      <c r="R129">
        <f t="shared" si="27"/>
        <v>0.77777777777777779</v>
      </c>
      <c r="S129">
        <f>survey_responses[[#This Row],[Tôi tin rằng với các quy định quản lý thuế hiện nay, hành vi gian lận hoặc trốn thuế sẽ dễ dàng bị phát hiện và xử lý nghiêm. - HUMAN-ENF1]]</f>
        <v>6</v>
      </c>
      <c r="T129">
        <f t="shared" si="28"/>
        <v>0.55555555555555558</v>
      </c>
      <c r="U129">
        <f>step3_validation[[#This Row],[AI_ENF2]]</f>
        <v>9</v>
      </c>
      <c r="V129">
        <f t="shared" si="29"/>
        <v>0.88888888888888884</v>
      </c>
      <c r="W129">
        <f>survey_responses[[#This Row],[Tôi tin rằng Nhà nước, cơ quan thuế có đủ khả năng và công nghệ để phát hiện, xử lý nghiêm các hành vi trốn thuế. - HUMAN-ENF2]]</f>
        <v>6</v>
      </c>
      <c r="X129">
        <f t="shared" si="30"/>
        <v>0.55555555555555558</v>
      </c>
      <c r="Y129" s="32">
        <f t="shared" si="31"/>
        <v>0.83333333333333326</v>
      </c>
      <c r="Z129" s="32">
        <f t="shared" si="32"/>
        <v>0.55555555555555558</v>
      </c>
      <c r="AA129">
        <f>step3_validation[[#This Row],[AI_FAC1]]</f>
        <v>7</v>
      </c>
      <c r="AB129">
        <f t="shared" si="33"/>
        <v>0.66666666666666663</v>
      </c>
      <c r="AC129">
        <f>survey_responses[[#This Row],[Các thủ tục khai báo thuế VÀ/HOẶC quy trình làm việc với cơ quan thuế đơn giản, tiện lợi, nhanh chóng hơn so với trước đây. - HUMAN-FAC1]]</f>
        <v>6</v>
      </c>
      <c r="AD129">
        <f t="shared" si="34"/>
        <v>0.55555555555555558</v>
      </c>
      <c r="AE129">
        <f>step3_validation[[#This Row],[AI_FAC2]]</f>
        <v>9</v>
      </c>
      <c r="AF129">
        <f t="shared" si="35"/>
        <v>0.88888888888888884</v>
      </c>
      <c r="AG129">
        <f>survey_responses[[#This Row],[So với trước đây, tôi thấy cách tính thuế và các bậc thuế trong phương án mới đơn giản, dễ hiểu và dễ thực hiện hơn. - HUMAN-FAC2]]</f>
        <v>8</v>
      </c>
      <c r="AH129">
        <f t="shared" si="36"/>
        <v>0.77777777777777779</v>
      </c>
      <c r="AI129" s="32">
        <f t="shared" si="37"/>
        <v>0.77777777777777768</v>
      </c>
      <c r="AJ129" s="32">
        <f t="shared" si="38"/>
        <v>0.66666666666666674</v>
      </c>
      <c r="AK129">
        <f>step3_validation[[#This Row],[AI_TRU1]]</f>
        <v>8</v>
      </c>
      <c r="AL129">
        <f t="shared" si="39"/>
        <v>0.77777777777777779</v>
      </c>
      <c r="AM129">
        <f>survey_responses[[#This Row],[Tôi tin rằng Nhà nước, cơ quan thuế sẽ thực thi chính sách mới một cách khách quan, công tâm và đối xử bình đẳng với mọi người nộp thuế.  - HUMAN-TRU1]]</f>
        <v>6</v>
      </c>
      <c r="AN129">
        <f t="shared" si="40"/>
        <v>0.55555555555555558</v>
      </c>
      <c r="AO129">
        <f>step3_validation[[#This Row],[AI_TRU2]]</f>
        <v>9</v>
      </c>
      <c r="AP129">
        <f t="shared" si="41"/>
        <v>0.88888888888888884</v>
      </c>
      <c r="AQ129">
        <f>survey_responses[[#This Row],[Tôi thấy mức thuế tôi phải đóng theo phương án mới là công bằng (người thu nhập như tôi đóng mức này là hợp lý). - HUMAN-TRU2]]</f>
        <v>3</v>
      </c>
      <c r="AR129">
        <f t="shared" si="42"/>
        <v>0.22222222222222221</v>
      </c>
      <c r="AS129">
        <f>step3_validation[[#This Row],[AI_TRU3]]</f>
        <v>8</v>
      </c>
      <c r="AT129">
        <f t="shared" si="43"/>
        <v>0.77777777777777779</v>
      </c>
      <c r="AU129">
        <f>survey_responses[[#This Row],[Tôi tin tưởng số tiền thuế tôi đóng sẽ được Nhà nước sử dụng hiệu quả để cải thiện dịch vụ công (y tế, đường xá...). - HUMAN-TRU3]]</f>
        <v>5</v>
      </c>
      <c r="AV129">
        <f t="shared" si="44"/>
        <v>0.44444444444444442</v>
      </c>
      <c r="AW129">
        <f>step3_validation[[#This Row],[AI_TRU4]]</f>
        <v>7</v>
      </c>
      <c r="AX129">
        <f t="shared" si="45"/>
        <v>0.66666666666666663</v>
      </c>
      <c r="AY129">
        <f>survey_responses[[#This Row],[Tôi thấy Nhà nước đã giải thích rõ ràng, minh bạch về lý do và mục tiêu của việc sửa đổi thuế lần này. - HUMAN-TRU4]]</f>
        <v>5</v>
      </c>
      <c r="AZ129">
        <f t="shared" si="46"/>
        <v>0.44444444444444442</v>
      </c>
      <c r="BA129" s="32">
        <f t="shared" si="47"/>
        <v>0.77777777777777768</v>
      </c>
      <c r="BB129" s="32">
        <f t="shared" si="48"/>
        <v>0.41666666666666669</v>
      </c>
      <c r="BC129" s="7">
        <f t="shared" si="49"/>
        <v>0.79629629629629617</v>
      </c>
      <c r="BD129" s="7">
        <f t="shared" si="50"/>
        <v>0.54629629629629639</v>
      </c>
      <c r="BE129">
        <f>step3_validation[[#This Row],[AI_OUT1]]</f>
        <v>9</v>
      </c>
      <c r="BF129">
        <f t="shared" si="51"/>
        <v>0.88888888888888884</v>
      </c>
      <c r="BG129">
        <f>survey_responses[[#This Row],[Sau khi xem xét các quyền lợi và nghĩa vụ, bạn có ủng hộ và tuân thủ chính sách mới hiện nay? - HUMAN-OUT1]]</f>
        <v>4</v>
      </c>
      <c r="BH129">
        <f t="shared" si="52"/>
        <v>0.33333333333333331</v>
      </c>
      <c r="BI129" s="32">
        <f t="shared" si="53"/>
        <v>5</v>
      </c>
    </row>
    <row r="130" spans="1:61" x14ac:dyDescent="0.45">
      <c r="A130" s="30">
        <f>step3_validation[[#This Row],[Persona_ID]]</f>
        <v>129</v>
      </c>
      <c r="B130" s="31">
        <f>step3_validation[[#This Row],[Used_Seed]]</f>
        <v>2154</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175.65153653923511</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8</v>
      </c>
      <c r="R130">
        <f t="shared" si="27"/>
        <v>0.77777777777777779</v>
      </c>
      <c r="S130">
        <f>survey_responses[[#This Row],[Tôi tin rằng với các quy định quản lý thuế hiện nay, hành vi gian lận hoặc trốn thuế sẽ dễ dàng bị phát hiện và xử lý nghiêm. - HUMAN-ENF1]]</f>
        <v>6</v>
      </c>
      <c r="T130">
        <f t="shared" si="28"/>
        <v>0.55555555555555558</v>
      </c>
      <c r="U130">
        <f>step3_validation[[#This Row],[AI_ENF2]]</f>
        <v>9</v>
      </c>
      <c r="V130">
        <f t="shared" si="29"/>
        <v>0.88888888888888884</v>
      </c>
      <c r="W130">
        <f>survey_responses[[#This Row],[Tôi tin rằng Nhà nước, cơ quan thuế có đủ khả năng và công nghệ để phát hiện, xử lý nghiêm các hành vi trốn thuế. - HUMAN-ENF2]]</f>
        <v>6</v>
      </c>
      <c r="X130">
        <f t="shared" si="30"/>
        <v>0.55555555555555558</v>
      </c>
      <c r="Y130" s="32">
        <f t="shared" si="31"/>
        <v>0.83333333333333326</v>
      </c>
      <c r="Z130" s="32">
        <f t="shared" si="32"/>
        <v>0.55555555555555558</v>
      </c>
      <c r="AA130">
        <f>step3_validation[[#This Row],[AI_FAC1]]</f>
        <v>8</v>
      </c>
      <c r="AB130">
        <f t="shared" si="33"/>
        <v>0.77777777777777779</v>
      </c>
      <c r="AC130">
        <f>survey_responses[[#This Row],[Các thủ tục khai báo thuế VÀ/HOẶC quy trình làm việc với cơ quan thuế đơn giản, tiện lợi, nhanh chóng hơn so với trước đây. - HUMAN-FAC1]]</f>
        <v>4</v>
      </c>
      <c r="AD130">
        <f t="shared" si="34"/>
        <v>0.33333333333333331</v>
      </c>
      <c r="AE130">
        <f>step3_validation[[#This Row],[AI_FAC2]]</f>
        <v>9</v>
      </c>
      <c r="AF130">
        <f t="shared" si="35"/>
        <v>0.88888888888888884</v>
      </c>
      <c r="AG130">
        <f>survey_responses[[#This Row],[So với trước đây, tôi thấy cách tính thuế và các bậc thuế trong phương án mới đơn giản, dễ hiểu và dễ thực hiện hơn. - HUMAN-FAC2]]</f>
        <v>5</v>
      </c>
      <c r="AH130">
        <f t="shared" si="36"/>
        <v>0.44444444444444442</v>
      </c>
      <c r="AI130" s="32">
        <f t="shared" si="37"/>
        <v>0.83333333333333326</v>
      </c>
      <c r="AJ130" s="32">
        <f t="shared" si="38"/>
        <v>0.38888888888888884</v>
      </c>
      <c r="AK130">
        <f>step3_validation[[#This Row],[AI_TRU1]]</f>
        <v>8</v>
      </c>
      <c r="AL130">
        <f t="shared" si="39"/>
        <v>0.77777777777777779</v>
      </c>
      <c r="AM130">
        <f>survey_responses[[#This Row],[Tôi tin rằng Nhà nước, cơ quan thuế sẽ thực thi chính sách mới một cách khách quan, công tâm và đối xử bình đẳng với mọi người nộp thuế.  - HUMAN-TRU1]]</f>
        <v>5</v>
      </c>
      <c r="AN130">
        <f t="shared" si="40"/>
        <v>0.44444444444444442</v>
      </c>
      <c r="AO130">
        <f>step3_validation[[#This Row],[AI_TRU2]]</f>
        <v>7</v>
      </c>
      <c r="AP130">
        <f t="shared" si="41"/>
        <v>0.66666666666666663</v>
      </c>
      <c r="AQ130">
        <f>survey_responses[[#This Row],[Tôi thấy mức thuế tôi phải đóng theo phương án mới là công bằng (người thu nhập như tôi đóng mức này là hợp lý). - HUMAN-TRU2]]</f>
        <v>1</v>
      </c>
      <c r="AR130">
        <f t="shared" si="42"/>
        <v>0</v>
      </c>
      <c r="AS130">
        <f>step3_validation[[#This Row],[AI_TRU3]]</f>
        <v>8</v>
      </c>
      <c r="AT130">
        <f t="shared" si="43"/>
        <v>0.77777777777777779</v>
      </c>
      <c r="AU130">
        <f>survey_responses[[#This Row],[Tôi tin tưởng số tiền thuế tôi đóng sẽ được Nhà nước sử dụng hiệu quả để cải thiện dịch vụ công (y tế, đường xá...). - HUMAN-TRU3]]</f>
        <v>5</v>
      </c>
      <c r="AV130">
        <f t="shared" si="44"/>
        <v>0.44444444444444442</v>
      </c>
      <c r="AW130">
        <f>step3_validation[[#This Row],[AI_TRU4]]</f>
        <v>7</v>
      </c>
      <c r="AX130">
        <f t="shared" si="45"/>
        <v>0.66666666666666663</v>
      </c>
      <c r="AY130">
        <f>survey_responses[[#This Row],[Tôi thấy Nhà nước đã giải thích rõ ràng, minh bạch về lý do và mục tiêu của việc sửa đổi thuế lần này. - HUMAN-TRU4]]</f>
        <v>4</v>
      </c>
      <c r="AZ130">
        <f t="shared" si="46"/>
        <v>0.33333333333333331</v>
      </c>
      <c r="BA130" s="32">
        <f t="shared" si="47"/>
        <v>0.72222222222222221</v>
      </c>
      <c r="BB130" s="32">
        <f t="shared" si="48"/>
        <v>0.30555555555555552</v>
      </c>
      <c r="BC130" s="7">
        <f t="shared" si="49"/>
        <v>0.79629629629629628</v>
      </c>
      <c r="BD130" s="7">
        <f t="shared" si="50"/>
        <v>0.41666666666666669</v>
      </c>
      <c r="BE130">
        <f>step3_validation[[#This Row],[AI_OUT1]]</f>
        <v>8</v>
      </c>
      <c r="BF130">
        <f t="shared" si="51"/>
        <v>0.77777777777777779</v>
      </c>
      <c r="BG130">
        <f>survey_responses[[#This Row],[Sau khi xem xét các quyền lợi và nghĩa vụ, bạn có ủng hộ và tuân thủ chính sách mới hiện nay? - HUMAN-OUT1]]</f>
        <v>5</v>
      </c>
      <c r="BH130">
        <f t="shared" si="52"/>
        <v>0.44444444444444442</v>
      </c>
      <c r="BI130" s="32">
        <f t="shared" si="53"/>
        <v>3</v>
      </c>
    </row>
    <row r="131" spans="1:61" x14ac:dyDescent="0.45">
      <c r="A131" s="30">
        <f>step3_validation[[#This Row],[Persona_ID]]</f>
        <v>130</v>
      </c>
      <c r="B131" s="31">
        <f>step3_validation[[#This Row],[Used_Seed]]</f>
        <v>2155</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75.896471922235506</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7</v>
      </c>
      <c r="R131">
        <f t="shared" ref="R131:R194" si="54">(Q131-1)/9</f>
        <v>0.66666666666666663</v>
      </c>
      <c r="S131">
        <f>survey_responses[[#This Row],[Tôi tin rằng với các quy định quản lý thuế hiện nay, hành vi gian lận hoặc trốn thuế sẽ dễ dàng bị phát hiện và xử lý nghiêm. - HUMAN-ENF1]]</f>
        <v>5</v>
      </c>
      <c r="T131">
        <f t="shared" ref="T131:T194" si="55">(S131-1)/9</f>
        <v>0.44444444444444442</v>
      </c>
      <c r="U131">
        <f>step3_validation[[#This Row],[AI_ENF2]]</f>
        <v>8</v>
      </c>
      <c r="V131">
        <f t="shared" ref="V131:V194" si="56">(U131-1)/9</f>
        <v>0.77777777777777779</v>
      </c>
      <c r="W131">
        <f>survey_responses[[#This Row],[Tôi tin rằng Nhà nước, cơ quan thuế có đủ khả năng và công nghệ để phát hiện, xử lý nghiêm các hành vi trốn thuế. - HUMAN-ENF2]]</f>
        <v>5</v>
      </c>
      <c r="X131">
        <f t="shared" ref="X131:X194" si="57">(W131-1)/9</f>
        <v>0.44444444444444442</v>
      </c>
      <c r="Y131" s="32">
        <f t="shared" ref="Y131:Y194" si="58">AVERAGE(R131,V131)</f>
        <v>0.72222222222222221</v>
      </c>
      <c r="Z131" s="32">
        <f t="shared" ref="Z131:Z194" si="59">AVERAGE(T131,X131)</f>
        <v>0.44444444444444442</v>
      </c>
      <c r="AA131">
        <f>step3_validation[[#This Row],[AI_FAC1]]</f>
        <v>9</v>
      </c>
      <c r="AB131">
        <f t="shared" ref="AB131:AB194" si="60">(AA131-1)/9</f>
        <v>0.88888888888888884</v>
      </c>
      <c r="AC131">
        <f>survey_responses[[#This Row],[Các thủ tục khai báo thuế VÀ/HOẶC quy trình làm việc với cơ quan thuế đơn giản, tiện lợi, nhanh chóng hơn so với trước đây. - HUMAN-FAC1]]</f>
        <v>1</v>
      </c>
      <c r="AD131">
        <f t="shared" ref="AD131:AD194" si="61">(AC131-1)/9</f>
        <v>0</v>
      </c>
      <c r="AE131">
        <f>step3_validation[[#This Row],[AI_FAC2]]</f>
        <v>9</v>
      </c>
      <c r="AF131">
        <f t="shared" ref="AF131:AF194" si="62">(AE131-1)/9</f>
        <v>0.88888888888888884</v>
      </c>
      <c r="AG131">
        <f>survey_responses[[#This Row],[So với trước đây, tôi thấy cách tính thuế và các bậc thuế trong phương án mới đơn giản, dễ hiểu và dễ thực hiện hơn. - HUMAN-FAC2]]</f>
        <v>4</v>
      </c>
      <c r="AH131">
        <f t="shared" ref="AH131:AH194" si="63">(AG131-1)/9</f>
        <v>0.33333333333333331</v>
      </c>
      <c r="AI131" s="32">
        <f t="shared" ref="AI131:AI194" si="64">AVERAGE(AB131,AF131)</f>
        <v>0.88888888888888884</v>
      </c>
      <c r="AJ131" s="32">
        <f t="shared" ref="AJ131:AJ194" si="65">AVERAGE(AD131,AH131)</f>
        <v>0.16666666666666666</v>
      </c>
      <c r="AK131">
        <f>step3_validation[[#This Row],[AI_TRU1]]</f>
        <v>8</v>
      </c>
      <c r="AL131">
        <f t="shared" ref="AL131:AL194" si="66">(AK131-1)/9</f>
        <v>0.77777777777777779</v>
      </c>
      <c r="AM131">
        <f>survey_responses[[#This Row],[Tôi tin rằng Nhà nước, cơ quan thuế sẽ thực thi chính sách mới một cách khách quan, công tâm và đối xử bình đẳng với mọi người nộp thuế.  - HUMAN-TRU1]]</f>
        <v>2</v>
      </c>
      <c r="AN131">
        <f t="shared" ref="AN131:AN194" si="67">(AM131-1)/9</f>
        <v>0.1111111111111111</v>
      </c>
      <c r="AO131">
        <f>step3_validation[[#This Row],[AI_TRU2]]</f>
        <v>9</v>
      </c>
      <c r="AP131">
        <f t="shared" ref="AP131:AP194" si="68">(AO131-1)/9</f>
        <v>0.88888888888888884</v>
      </c>
      <c r="AQ131">
        <f>survey_responses[[#This Row],[Tôi thấy mức thuế tôi phải đóng theo phương án mới là công bằng (người thu nhập như tôi đóng mức này là hợp lý). - HUMAN-TRU2]]</f>
        <v>1</v>
      </c>
      <c r="AR131">
        <f t="shared" ref="AR131:AR194" si="69">(AQ131-1)/9</f>
        <v>0</v>
      </c>
      <c r="AS131">
        <f>step3_validation[[#This Row],[AI_TRU3]]</f>
        <v>8</v>
      </c>
      <c r="AT131">
        <f t="shared" ref="AT131:AT194" si="70">(AS131-1)/9</f>
        <v>0.77777777777777779</v>
      </c>
      <c r="AU131">
        <f>survey_responses[[#This Row],[Tôi tin tưởng số tiền thuế tôi đóng sẽ được Nhà nước sử dụng hiệu quả để cải thiện dịch vụ công (y tế, đường xá...). - HUMAN-TRU3]]</f>
        <v>1</v>
      </c>
      <c r="AV131">
        <f t="shared" ref="AV131:AV194" si="71">(AU131-1)/9</f>
        <v>0</v>
      </c>
      <c r="AW131">
        <f>step3_validation[[#This Row],[AI_TRU4]]</f>
        <v>7</v>
      </c>
      <c r="AX131">
        <f t="shared" ref="AX131:AX194" si="72">(AW131-1)/9</f>
        <v>0.66666666666666663</v>
      </c>
      <c r="AY131">
        <f>survey_responses[[#This Row],[Tôi thấy Nhà nước đã giải thích rõ ràng, minh bạch về lý do và mục tiêu của việc sửa đổi thuế lần này. - HUMAN-TRU4]]</f>
        <v>1</v>
      </c>
      <c r="AZ131">
        <f t="shared" ref="AZ131:AZ194" si="73">(AY131-1)/9</f>
        <v>0</v>
      </c>
      <c r="BA131" s="32">
        <f t="shared" ref="BA131:BA194" si="74">AVERAGE(AL131,AP131,AT131,AX131)</f>
        <v>0.77777777777777768</v>
      </c>
      <c r="BB131" s="32">
        <f t="shared" ref="BB131:BB194" si="75">AVERAGE(AN131,AR131,AV131,AZ131)</f>
        <v>2.7777777777777776E-2</v>
      </c>
      <c r="BC131" s="7">
        <f t="shared" ref="BC131:BC194" si="76">(Y131+AI131+BA131)/3</f>
        <v>0.79629629629629628</v>
      </c>
      <c r="BD131" s="7">
        <f t="shared" ref="BD131:BD194" si="77">(Z131+AJ131+BB131)/3</f>
        <v>0.21296296296296294</v>
      </c>
      <c r="BE131">
        <f>step3_validation[[#This Row],[AI_OUT1]]</f>
        <v>9</v>
      </c>
      <c r="BF131">
        <f t="shared" ref="BF131:BF194" si="78">(BE131-1)/9</f>
        <v>0.88888888888888884</v>
      </c>
      <c r="BG131">
        <f>survey_responses[[#This Row],[Sau khi xem xét các quyền lợi và nghĩa vụ, bạn có ủng hộ và tuân thủ chính sách mới hiện nay? - HUMAN-OUT1]]</f>
        <v>5</v>
      </c>
      <c r="BH131">
        <f t="shared" ref="BH131:BH194" si="79">(BG131-1)/9</f>
        <v>0.44444444444444442</v>
      </c>
      <c r="BI131" s="32">
        <f t="shared" ref="BI131:BI194" si="80">ABS(BG131-BE131)</f>
        <v>4</v>
      </c>
    </row>
    <row r="132" spans="1:61" x14ac:dyDescent="0.45">
      <c r="A132" s="30">
        <f>step3_validation[[#This Row],[Persona_ID]]</f>
        <v>131</v>
      </c>
      <c r="B132" s="31">
        <f>step3_validation[[#This Row],[Used_Seed]]</f>
        <v>2156</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93.372135894555768</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6</v>
      </c>
      <c r="R132">
        <f t="shared" si="54"/>
        <v>0.55555555555555558</v>
      </c>
      <c r="S132">
        <f>survey_responses[[#This Row],[Tôi tin rằng với các quy định quản lý thuế hiện nay, hành vi gian lận hoặc trốn thuế sẽ dễ dàng bị phát hiện và xử lý nghiêm. - HUMAN-ENF1]]</f>
        <v>8</v>
      </c>
      <c r="T132">
        <f t="shared" si="55"/>
        <v>0.77777777777777779</v>
      </c>
      <c r="U132">
        <f>step3_validation[[#This Row],[AI_ENF2]]</f>
        <v>7</v>
      </c>
      <c r="V132">
        <f t="shared" si="56"/>
        <v>0.66666666666666663</v>
      </c>
      <c r="W132">
        <f>survey_responses[[#This Row],[Tôi tin rằng Nhà nước, cơ quan thuế có đủ khả năng và công nghệ để phát hiện, xử lý nghiêm các hành vi trốn thuế. - HUMAN-ENF2]]</f>
        <v>9</v>
      </c>
      <c r="X132">
        <f t="shared" si="57"/>
        <v>0.88888888888888884</v>
      </c>
      <c r="Y132" s="32">
        <f t="shared" si="58"/>
        <v>0.61111111111111116</v>
      </c>
      <c r="Z132" s="32">
        <f t="shared" si="59"/>
        <v>0.83333333333333326</v>
      </c>
      <c r="AA132">
        <f>step3_validation[[#This Row],[AI_FAC1]]</f>
        <v>9</v>
      </c>
      <c r="AB132">
        <f t="shared" si="60"/>
        <v>0.88888888888888884</v>
      </c>
      <c r="AC132">
        <f>survey_responses[[#This Row],[Các thủ tục khai báo thuế VÀ/HOẶC quy trình làm việc với cơ quan thuế đơn giản, tiện lợi, nhanh chóng hơn so với trước đây. - HUMAN-FAC1]]</f>
        <v>5</v>
      </c>
      <c r="AD132">
        <f t="shared" si="61"/>
        <v>0.44444444444444442</v>
      </c>
      <c r="AE132">
        <f>step3_validation[[#This Row],[AI_FAC2]]</f>
        <v>8</v>
      </c>
      <c r="AF132">
        <f t="shared" si="62"/>
        <v>0.77777777777777779</v>
      </c>
      <c r="AG132">
        <f>survey_responses[[#This Row],[So với trước đây, tôi thấy cách tính thuế và các bậc thuế trong phương án mới đơn giản, dễ hiểu và dễ thực hiện hơn. - HUMAN-FAC2]]</f>
        <v>5</v>
      </c>
      <c r="AH132">
        <f t="shared" si="63"/>
        <v>0.44444444444444442</v>
      </c>
      <c r="AI132" s="32">
        <f t="shared" si="64"/>
        <v>0.83333333333333326</v>
      </c>
      <c r="AJ132" s="32">
        <f t="shared" si="65"/>
        <v>0.44444444444444442</v>
      </c>
      <c r="AK132">
        <f>step3_validation[[#This Row],[AI_TRU1]]</f>
        <v>9</v>
      </c>
      <c r="AL132">
        <f t="shared" si="66"/>
        <v>0.88888888888888884</v>
      </c>
      <c r="AM132">
        <f>survey_responses[[#This Row],[Tôi tin rằng Nhà nước, cơ quan thuế sẽ thực thi chính sách mới một cách khách quan, công tâm và đối xử bình đẳng với mọi người nộp thuế.  - HUMAN-TRU1]]</f>
        <v>5</v>
      </c>
      <c r="AN132">
        <f t="shared" si="67"/>
        <v>0.44444444444444442</v>
      </c>
      <c r="AO132">
        <f>step3_validation[[#This Row],[AI_TRU2]]</f>
        <v>8</v>
      </c>
      <c r="AP132">
        <f t="shared" si="68"/>
        <v>0.77777777777777779</v>
      </c>
      <c r="AQ132">
        <f>survey_responses[[#This Row],[Tôi thấy mức thuế tôi phải đóng theo phương án mới là công bằng (người thu nhập như tôi đóng mức này là hợp lý). - HUMAN-TRU2]]</f>
        <v>4</v>
      </c>
      <c r="AR132">
        <f t="shared" si="69"/>
        <v>0.33333333333333331</v>
      </c>
      <c r="AS132">
        <f>step3_validation[[#This Row],[AI_TRU3]]</f>
        <v>9</v>
      </c>
      <c r="AT132">
        <f t="shared" si="70"/>
        <v>0.88888888888888884</v>
      </c>
      <c r="AU132">
        <f>survey_responses[[#This Row],[Tôi tin tưởng số tiền thuế tôi đóng sẽ được Nhà nước sử dụng hiệu quả để cải thiện dịch vụ công (y tế, đường xá...). - HUMAN-TRU3]]</f>
        <v>5</v>
      </c>
      <c r="AV132">
        <f t="shared" si="71"/>
        <v>0.44444444444444442</v>
      </c>
      <c r="AW132">
        <f>step3_validation[[#This Row],[AI_TRU4]]</f>
        <v>8</v>
      </c>
      <c r="AX132">
        <f t="shared" si="72"/>
        <v>0.77777777777777779</v>
      </c>
      <c r="AY132">
        <f>survey_responses[[#This Row],[Tôi thấy Nhà nước đã giải thích rõ ràng, minh bạch về lý do và mục tiêu của việc sửa đổi thuế lần này. - HUMAN-TRU4]]</f>
        <v>5</v>
      </c>
      <c r="AZ132">
        <f t="shared" si="73"/>
        <v>0.44444444444444442</v>
      </c>
      <c r="BA132" s="32">
        <f t="shared" si="74"/>
        <v>0.83333333333333326</v>
      </c>
      <c r="BB132" s="32">
        <f t="shared" si="75"/>
        <v>0.41666666666666663</v>
      </c>
      <c r="BC132" s="7">
        <f t="shared" si="76"/>
        <v>0.75925925925925919</v>
      </c>
      <c r="BD132" s="7">
        <f t="shared" si="77"/>
        <v>0.56481481481481477</v>
      </c>
      <c r="BE132">
        <f>step3_validation[[#This Row],[AI_OUT1]]</f>
        <v>9</v>
      </c>
      <c r="BF132">
        <f t="shared" si="78"/>
        <v>0.88888888888888884</v>
      </c>
      <c r="BG132">
        <f>survey_responses[[#This Row],[Sau khi xem xét các quyền lợi và nghĩa vụ, bạn có ủng hộ và tuân thủ chính sách mới hiện nay? - HUMAN-OUT1]]</f>
        <v>5</v>
      </c>
      <c r="BH132">
        <f t="shared" si="79"/>
        <v>0.44444444444444442</v>
      </c>
      <c r="BI132" s="32">
        <f t="shared" si="80"/>
        <v>4</v>
      </c>
    </row>
    <row r="133" spans="1:61" x14ac:dyDescent="0.45">
      <c r="A133" s="30">
        <f>step3_validation[[#This Row],[Persona_ID]]</f>
        <v>132</v>
      </c>
      <c r="B133" s="31">
        <f>step3_validation[[#This Row],[Used_Seed]]</f>
        <v>2157</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14.897245347143553</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6</v>
      </c>
      <c r="R133">
        <f t="shared" si="54"/>
        <v>0.55555555555555558</v>
      </c>
      <c r="S133">
        <f>survey_responses[[#This Row],[Tôi tin rằng với các quy định quản lý thuế hiện nay, hành vi gian lận hoặc trốn thuế sẽ dễ dàng bị phát hiện và xử lý nghiêm. - HUMAN-ENF1]]</f>
        <v>9</v>
      </c>
      <c r="T133">
        <f t="shared" si="55"/>
        <v>0.88888888888888884</v>
      </c>
      <c r="U133">
        <f>step3_validation[[#This Row],[AI_ENF2]]</f>
        <v>7</v>
      </c>
      <c r="V133">
        <f t="shared" si="56"/>
        <v>0.66666666666666663</v>
      </c>
      <c r="W133">
        <f>survey_responses[[#This Row],[Tôi tin rằng Nhà nước, cơ quan thuế có đủ khả năng và công nghệ để phát hiện, xử lý nghiêm các hành vi trốn thuế. - HUMAN-ENF2]]</f>
        <v>9</v>
      </c>
      <c r="X133">
        <f t="shared" si="57"/>
        <v>0.88888888888888884</v>
      </c>
      <c r="Y133" s="32">
        <f t="shared" si="58"/>
        <v>0.61111111111111116</v>
      </c>
      <c r="Z133" s="32">
        <f t="shared" si="59"/>
        <v>0.88888888888888884</v>
      </c>
      <c r="AA133">
        <f>step3_validation[[#This Row],[AI_FAC1]]</f>
        <v>9</v>
      </c>
      <c r="AB133">
        <f t="shared" si="60"/>
        <v>0.88888888888888884</v>
      </c>
      <c r="AC133">
        <f>survey_responses[[#This Row],[Các thủ tục khai báo thuế VÀ/HOẶC quy trình làm việc với cơ quan thuế đơn giản, tiện lợi, nhanh chóng hơn so với trước đây. - HUMAN-FAC1]]</f>
        <v>9</v>
      </c>
      <c r="AD133">
        <f t="shared" si="61"/>
        <v>0.88888888888888884</v>
      </c>
      <c r="AE133">
        <f>step3_validation[[#This Row],[AI_FAC2]]</f>
        <v>8</v>
      </c>
      <c r="AF133">
        <f t="shared" si="62"/>
        <v>0.77777777777777779</v>
      </c>
      <c r="AG133">
        <f>survey_responses[[#This Row],[So với trước đây, tôi thấy cách tính thuế và các bậc thuế trong phương án mới đơn giản, dễ hiểu và dễ thực hiện hơn. - HUMAN-FAC2]]</f>
        <v>9</v>
      </c>
      <c r="AH133">
        <f t="shared" si="63"/>
        <v>0.88888888888888884</v>
      </c>
      <c r="AI133" s="32">
        <f t="shared" si="64"/>
        <v>0.83333333333333326</v>
      </c>
      <c r="AJ133" s="32">
        <f t="shared" si="65"/>
        <v>0.88888888888888884</v>
      </c>
      <c r="AK133">
        <f>step3_validation[[#This Row],[AI_TRU1]]</f>
        <v>9</v>
      </c>
      <c r="AL133">
        <f t="shared" si="66"/>
        <v>0.88888888888888884</v>
      </c>
      <c r="AM133">
        <f>survey_responses[[#This Row],[Tôi tin rằng Nhà nước, cơ quan thuế sẽ thực thi chính sách mới một cách khách quan, công tâm và đối xử bình đẳng với mọi người nộp thuế.  - HUMAN-TRU1]]</f>
        <v>7</v>
      </c>
      <c r="AN133">
        <f t="shared" si="67"/>
        <v>0.66666666666666663</v>
      </c>
      <c r="AO133">
        <f>step3_validation[[#This Row],[AI_TRU2]]</f>
        <v>8</v>
      </c>
      <c r="AP133">
        <f t="shared" si="68"/>
        <v>0.77777777777777779</v>
      </c>
      <c r="AQ133">
        <f>survey_responses[[#This Row],[Tôi thấy mức thuế tôi phải đóng theo phương án mới là công bằng (người thu nhập như tôi đóng mức này là hợp lý). - HUMAN-TRU2]]</f>
        <v>10</v>
      </c>
      <c r="AR133">
        <f t="shared" si="69"/>
        <v>1</v>
      </c>
      <c r="AS133">
        <f>step3_validation[[#This Row],[AI_TRU3]]</f>
        <v>9</v>
      </c>
      <c r="AT133">
        <f t="shared" si="70"/>
        <v>0.88888888888888884</v>
      </c>
      <c r="AU133">
        <f>survey_responses[[#This Row],[Tôi tin tưởng số tiền thuế tôi đóng sẽ được Nhà nước sử dụng hiệu quả để cải thiện dịch vụ công (y tế, đường xá...). - HUMAN-TRU3]]</f>
        <v>5</v>
      </c>
      <c r="AV133">
        <f t="shared" si="71"/>
        <v>0.44444444444444442</v>
      </c>
      <c r="AW133">
        <f>step3_validation[[#This Row],[AI_TRU4]]</f>
        <v>8</v>
      </c>
      <c r="AX133">
        <f t="shared" si="72"/>
        <v>0.77777777777777779</v>
      </c>
      <c r="AY133">
        <f>survey_responses[[#This Row],[Tôi thấy Nhà nước đã giải thích rõ ràng, minh bạch về lý do và mục tiêu của việc sửa đổi thuế lần này. - HUMAN-TRU4]]</f>
        <v>5</v>
      </c>
      <c r="AZ133">
        <f t="shared" si="73"/>
        <v>0.44444444444444442</v>
      </c>
      <c r="BA133" s="32">
        <f t="shared" si="74"/>
        <v>0.83333333333333326</v>
      </c>
      <c r="BB133" s="32">
        <f t="shared" si="75"/>
        <v>0.63888888888888884</v>
      </c>
      <c r="BC133" s="7">
        <f t="shared" si="76"/>
        <v>0.75925925925925919</v>
      </c>
      <c r="BD133" s="7">
        <f t="shared" si="77"/>
        <v>0.80555555555555547</v>
      </c>
      <c r="BE133">
        <f>step3_validation[[#This Row],[AI_OUT1]]</f>
        <v>9</v>
      </c>
      <c r="BF133">
        <f t="shared" si="78"/>
        <v>0.88888888888888884</v>
      </c>
      <c r="BG133">
        <f>survey_responses[[#This Row],[Sau khi xem xét các quyền lợi và nghĩa vụ, bạn có ủng hộ và tuân thủ chính sách mới hiện nay? - HUMAN-OUT1]]</f>
        <v>9</v>
      </c>
      <c r="BH133">
        <f t="shared" si="79"/>
        <v>0.88888888888888884</v>
      </c>
      <c r="BI133" s="32">
        <f t="shared" si="80"/>
        <v>0</v>
      </c>
    </row>
    <row r="134" spans="1:61" x14ac:dyDescent="0.45">
      <c r="A134" s="30">
        <f>step3_validation[[#This Row],[Persona_ID]]</f>
        <v>133</v>
      </c>
      <c r="B134" s="31">
        <f>step3_validation[[#This Row],[Used_Seed]]</f>
        <v>2158</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44.908480033311399</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6</v>
      </c>
      <c r="R134">
        <f t="shared" si="54"/>
        <v>0.55555555555555558</v>
      </c>
      <c r="S134">
        <f>survey_responses[[#This Row],[Tôi tin rằng với các quy định quản lý thuế hiện nay, hành vi gian lận hoặc trốn thuế sẽ dễ dàng bị phát hiện và xử lý nghiêm. - HUMAN-ENF1]]</f>
        <v>5</v>
      </c>
      <c r="T134">
        <f t="shared" si="55"/>
        <v>0.44444444444444442</v>
      </c>
      <c r="U134">
        <f>step3_validation[[#This Row],[AI_ENF2]]</f>
        <v>6</v>
      </c>
      <c r="V134">
        <f t="shared" si="56"/>
        <v>0.55555555555555558</v>
      </c>
      <c r="W134">
        <f>survey_responses[[#This Row],[Tôi tin rằng Nhà nước, cơ quan thuế có đủ khả năng và công nghệ để phát hiện, xử lý nghiêm các hành vi trốn thuế. - HUMAN-ENF2]]</f>
        <v>5</v>
      </c>
      <c r="X134">
        <f t="shared" si="57"/>
        <v>0.44444444444444442</v>
      </c>
      <c r="Y134" s="32">
        <f t="shared" si="58"/>
        <v>0.55555555555555558</v>
      </c>
      <c r="Z134" s="32">
        <f t="shared" si="59"/>
        <v>0.44444444444444442</v>
      </c>
      <c r="AA134">
        <f>step3_validation[[#This Row],[AI_FAC1]]</f>
        <v>7</v>
      </c>
      <c r="AB134">
        <f t="shared" si="60"/>
        <v>0.66666666666666663</v>
      </c>
      <c r="AC134">
        <f>survey_responses[[#This Row],[Các thủ tục khai báo thuế VÀ/HOẶC quy trình làm việc với cơ quan thuế đơn giản, tiện lợi, nhanh chóng hơn so với trước đây. - HUMAN-FAC1]]</f>
        <v>5</v>
      </c>
      <c r="AD134">
        <f t="shared" si="61"/>
        <v>0.44444444444444442</v>
      </c>
      <c r="AE134">
        <f>step3_validation[[#This Row],[AI_FAC2]]</f>
        <v>8</v>
      </c>
      <c r="AF134">
        <f t="shared" si="62"/>
        <v>0.77777777777777779</v>
      </c>
      <c r="AG134">
        <f>survey_responses[[#This Row],[So với trước đây, tôi thấy cách tính thuế và các bậc thuế trong phương án mới đơn giản, dễ hiểu và dễ thực hiện hơn. - HUMAN-FAC2]]</f>
        <v>5</v>
      </c>
      <c r="AH134">
        <f t="shared" si="63"/>
        <v>0.44444444444444442</v>
      </c>
      <c r="AI134" s="32">
        <f t="shared" si="64"/>
        <v>0.72222222222222221</v>
      </c>
      <c r="AJ134" s="32">
        <f t="shared" si="65"/>
        <v>0.44444444444444442</v>
      </c>
      <c r="AK134">
        <f>step3_validation[[#This Row],[AI_TRU1]]</f>
        <v>7</v>
      </c>
      <c r="AL134">
        <f t="shared" si="66"/>
        <v>0.66666666666666663</v>
      </c>
      <c r="AM134">
        <f>survey_responses[[#This Row],[Tôi tin rằng Nhà nước, cơ quan thuế sẽ thực thi chính sách mới một cách khách quan, công tâm và đối xử bình đẳng với mọi người nộp thuế.  - HUMAN-TRU1]]</f>
        <v>5</v>
      </c>
      <c r="AN134">
        <f t="shared" si="67"/>
        <v>0.44444444444444442</v>
      </c>
      <c r="AO134">
        <f>step3_validation[[#This Row],[AI_TRU2]]</f>
        <v>9</v>
      </c>
      <c r="AP134">
        <f t="shared" si="68"/>
        <v>0.88888888888888884</v>
      </c>
      <c r="AQ134">
        <f>survey_responses[[#This Row],[Tôi thấy mức thuế tôi phải đóng theo phương án mới là công bằng (người thu nhập như tôi đóng mức này là hợp lý). - HUMAN-TRU2]]</f>
        <v>5</v>
      </c>
      <c r="AR134">
        <f t="shared" si="69"/>
        <v>0.44444444444444442</v>
      </c>
      <c r="AS134">
        <f>step3_validation[[#This Row],[AI_TRU3]]</f>
        <v>8</v>
      </c>
      <c r="AT134">
        <f t="shared" si="70"/>
        <v>0.77777777777777779</v>
      </c>
      <c r="AU134">
        <f>survey_responses[[#This Row],[Tôi tin tưởng số tiền thuế tôi đóng sẽ được Nhà nước sử dụng hiệu quả để cải thiện dịch vụ công (y tế, đường xá...). - HUMAN-TRU3]]</f>
        <v>5</v>
      </c>
      <c r="AV134">
        <f t="shared" si="71"/>
        <v>0.44444444444444442</v>
      </c>
      <c r="AW134">
        <f>step3_validation[[#This Row],[AI_TRU4]]</f>
        <v>7</v>
      </c>
      <c r="AX134">
        <f t="shared" si="72"/>
        <v>0.66666666666666663</v>
      </c>
      <c r="AY134">
        <f>survey_responses[[#This Row],[Tôi thấy Nhà nước đã giải thích rõ ràng, minh bạch về lý do và mục tiêu của việc sửa đổi thuế lần này. - HUMAN-TRU4]]</f>
        <v>5</v>
      </c>
      <c r="AZ134">
        <f t="shared" si="73"/>
        <v>0.44444444444444442</v>
      </c>
      <c r="BA134" s="32">
        <f t="shared" si="74"/>
        <v>0.74999999999999989</v>
      </c>
      <c r="BB134" s="32">
        <f t="shared" si="75"/>
        <v>0.44444444444444442</v>
      </c>
      <c r="BC134" s="7">
        <f t="shared" si="76"/>
        <v>0.67592592592592593</v>
      </c>
      <c r="BD134" s="7">
        <f t="shared" si="77"/>
        <v>0.44444444444444442</v>
      </c>
      <c r="BE134">
        <f>step3_validation[[#This Row],[AI_OUT1]]</f>
        <v>9</v>
      </c>
      <c r="BF134">
        <f t="shared" si="78"/>
        <v>0.88888888888888884</v>
      </c>
      <c r="BG134">
        <f>survey_responses[[#This Row],[Sau khi xem xét các quyền lợi và nghĩa vụ, bạn có ủng hộ và tuân thủ chính sách mới hiện nay? - HUMAN-OUT1]]</f>
        <v>5</v>
      </c>
      <c r="BH134">
        <f t="shared" si="79"/>
        <v>0.44444444444444442</v>
      </c>
      <c r="BI134" s="32">
        <f t="shared" si="80"/>
        <v>4</v>
      </c>
    </row>
    <row r="135" spans="1:61" x14ac:dyDescent="0.45">
      <c r="A135" s="30">
        <f>step3_validation[[#This Row],[Persona_ID]]</f>
        <v>134</v>
      </c>
      <c r="B135" s="31">
        <f>step3_validation[[#This Row],[Used_Seed]]</f>
        <v>2159</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19.155357302420796</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6</v>
      </c>
      <c r="R135">
        <f t="shared" si="54"/>
        <v>0.55555555555555558</v>
      </c>
      <c r="S135">
        <f>survey_responses[[#This Row],[Tôi tin rằng với các quy định quản lý thuế hiện nay, hành vi gian lận hoặc trốn thuế sẽ dễ dàng bị phát hiện và xử lý nghiêm. - HUMAN-ENF1]]</f>
        <v>9</v>
      </c>
      <c r="T135">
        <f t="shared" si="55"/>
        <v>0.88888888888888884</v>
      </c>
      <c r="U135">
        <f>step3_validation[[#This Row],[AI_ENF2]]</f>
        <v>7</v>
      </c>
      <c r="V135">
        <f t="shared" si="56"/>
        <v>0.66666666666666663</v>
      </c>
      <c r="W135">
        <f>survey_responses[[#This Row],[Tôi tin rằng Nhà nước, cơ quan thuế có đủ khả năng và công nghệ để phát hiện, xử lý nghiêm các hành vi trốn thuế. - HUMAN-ENF2]]</f>
        <v>9</v>
      </c>
      <c r="X135">
        <f t="shared" si="57"/>
        <v>0.88888888888888884</v>
      </c>
      <c r="Y135" s="32">
        <f t="shared" si="58"/>
        <v>0.61111111111111116</v>
      </c>
      <c r="Z135" s="32">
        <f t="shared" si="59"/>
        <v>0.88888888888888884</v>
      </c>
      <c r="AA135">
        <f>step3_validation[[#This Row],[AI_FAC1]]</f>
        <v>9</v>
      </c>
      <c r="AB135">
        <f t="shared" si="60"/>
        <v>0.88888888888888884</v>
      </c>
      <c r="AC135">
        <f>survey_responses[[#This Row],[Các thủ tục khai báo thuế VÀ/HOẶC quy trình làm việc với cơ quan thuế đơn giản, tiện lợi, nhanh chóng hơn so với trước đây. - HUMAN-FAC1]]</f>
        <v>5</v>
      </c>
      <c r="AD135">
        <f t="shared" si="61"/>
        <v>0.44444444444444442</v>
      </c>
      <c r="AE135">
        <f>step3_validation[[#This Row],[AI_FAC2]]</f>
        <v>8</v>
      </c>
      <c r="AF135">
        <f t="shared" si="62"/>
        <v>0.77777777777777779</v>
      </c>
      <c r="AG135">
        <f>survey_responses[[#This Row],[So với trước đây, tôi thấy cách tính thuế và các bậc thuế trong phương án mới đơn giản, dễ hiểu và dễ thực hiện hơn. - HUMAN-FAC2]]</f>
        <v>9</v>
      </c>
      <c r="AH135">
        <f t="shared" si="63"/>
        <v>0.88888888888888884</v>
      </c>
      <c r="AI135" s="32">
        <f t="shared" si="64"/>
        <v>0.83333333333333326</v>
      </c>
      <c r="AJ135" s="32">
        <f t="shared" si="65"/>
        <v>0.66666666666666663</v>
      </c>
      <c r="AK135">
        <f>step3_validation[[#This Row],[AI_TRU1]]</f>
        <v>6</v>
      </c>
      <c r="AL135">
        <f t="shared" si="66"/>
        <v>0.55555555555555558</v>
      </c>
      <c r="AM135">
        <f>survey_responses[[#This Row],[Tôi tin rằng Nhà nước, cơ quan thuế sẽ thực thi chính sách mới một cách khách quan, công tâm và đối xử bình đẳng với mọi người nộp thuế.  - HUMAN-TRU1]]</f>
        <v>8</v>
      </c>
      <c r="AN135">
        <f t="shared" si="67"/>
        <v>0.77777777777777779</v>
      </c>
      <c r="AO135">
        <f>step3_validation[[#This Row],[AI_TRU2]]</f>
        <v>7</v>
      </c>
      <c r="AP135">
        <f t="shared" si="68"/>
        <v>0.66666666666666663</v>
      </c>
      <c r="AQ135">
        <f>survey_responses[[#This Row],[Tôi thấy mức thuế tôi phải đóng theo phương án mới là công bằng (người thu nhập như tôi đóng mức này là hợp lý). - HUMAN-TRU2]]</f>
        <v>10</v>
      </c>
      <c r="AR135">
        <f t="shared" si="69"/>
        <v>1</v>
      </c>
      <c r="AS135">
        <f>step3_validation[[#This Row],[AI_TRU3]]</f>
        <v>6</v>
      </c>
      <c r="AT135">
        <f t="shared" si="70"/>
        <v>0.55555555555555558</v>
      </c>
      <c r="AU135">
        <f>survey_responses[[#This Row],[Tôi tin tưởng số tiền thuế tôi đóng sẽ được Nhà nước sử dụng hiệu quả để cải thiện dịch vụ công (y tế, đường xá...). - HUMAN-TRU3]]</f>
        <v>5</v>
      </c>
      <c r="AV135">
        <f t="shared" si="71"/>
        <v>0.44444444444444442</v>
      </c>
      <c r="AW135">
        <f>step3_validation[[#This Row],[AI_TRU4]]</f>
        <v>7</v>
      </c>
      <c r="AX135">
        <f t="shared" si="72"/>
        <v>0.66666666666666663</v>
      </c>
      <c r="AY135">
        <f>survey_responses[[#This Row],[Tôi thấy Nhà nước đã giải thích rõ ràng, minh bạch về lý do và mục tiêu của việc sửa đổi thuế lần này. - HUMAN-TRU4]]</f>
        <v>5</v>
      </c>
      <c r="AZ135">
        <f t="shared" si="73"/>
        <v>0.44444444444444442</v>
      </c>
      <c r="BA135" s="32">
        <f t="shared" si="74"/>
        <v>0.61111111111111116</v>
      </c>
      <c r="BB135" s="32">
        <f t="shared" si="75"/>
        <v>0.66666666666666674</v>
      </c>
      <c r="BC135" s="7">
        <f t="shared" si="76"/>
        <v>0.68518518518518512</v>
      </c>
      <c r="BD135" s="7">
        <f t="shared" si="77"/>
        <v>0.74074074074074081</v>
      </c>
      <c r="BE135">
        <f>step3_validation[[#This Row],[AI_OUT1]]</f>
        <v>8</v>
      </c>
      <c r="BF135">
        <f t="shared" si="78"/>
        <v>0.77777777777777779</v>
      </c>
      <c r="BG135">
        <f>survey_responses[[#This Row],[Sau khi xem xét các quyền lợi và nghĩa vụ, bạn có ủng hộ và tuân thủ chính sách mới hiện nay? - HUMAN-OUT1]]</f>
        <v>7</v>
      </c>
      <c r="BH135">
        <f t="shared" si="79"/>
        <v>0.66666666666666663</v>
      </c>
      <c r="BI135" s="32">
        <f t="shared" si="80"/>
        <v>1</v>
      </c>
    </row>
    <row r="136" spans="1:61" x14ac:dyDescent="0.45">
      <c r="A136" s="30">
        <f>step3_validation[[#This Row],[Persona_ID]]</f>
        <v>135</v>
      </c>
      <c r="B136" s="31">
        <f>step3_validation[[#This Row],[Used_Seed]]</f>
        <v>2160</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14.7876944821538</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7</v>
      </c>
      <c r="R136">
        <f t="shared" si="54"/>
        <v>0.66666666666666663</v>
      </c>
      <c r="S136">
        <f>survey_responses[[#This Row],[Tôi tin rằng với các quy định quản lý thuế hiện nay, hành vi gian lận hoặc trốn thuế sẽ dễ dàng bị phát hiện và xử lý nghiêm. - HUMAN-ENF1]]</f>
        <v>5</v>
      </c>
      <c r="T136">
        <f t="shared" si="55"/>
        <v>0.44444444444444442</v>
      </c>
      <c r="U136">
        <f>step3_validation[[#This Row],[AI_ENF2]]</f>
        <v>7</v>
      </c>
      <c r="V136">
        <f t="shared" si="56"/>
        <v>0.66666666666666663</v>
      </c>
      <c r="W136">
        <f>survey_responses[[#This Row],[Tôi tin rằng Nhà nước, cơ quan thuế có đủ khả năng và công nghệ để phát hiện, xử lý nghiêm các hành vi trốn thuế. - HUMAN-ENF2]]</f>
        <v>5</v>
      </c>
      <c r="X136">
        <f t="shared" si="57"/>
        <v>0.44444444444444442</v>
      </c>
      <c r="Y136" s="32">
        <f t="shared" si="58"/>
        <v>0.66666666666666663</v>
      </c>
      <c r="Z136" s="32">
        <f t="shared" si="59"/>
        <v>0.44444444444444442</v>
      </c>
      <c r="AA136">
        <f>step3_validation[[#This Row],[AI_FAC1]]</f>
        <v>9</v>
      </c>
      <c r="AB136">
        <f t="shared" si="60"/>
        <v>0.88888888888888884</v>
      </c>
      <c r="AC136">
        <f>survey_responses[[#This Row],[Các thủ tục khai báo thuế VÀ/HOẶC quy trình làm việc với cơ quan thuế đơn giản, tiện lợi, nhanh chóng hơn so với trước đây. - HUMAN-FAC1]]</f>
        <v>5</v>
      </c>
      <c r="AD136">
        <f t="shared" si="61"/>
        <v>0.44444444444444442</v>
      </c>
      <c r="AE136">
        <f>step3_validation[[#This Row],[AI_FAC2]]</f>
        <v>9</v>
      </c>
      <c r="AF136">
        <f t="shared" si="62"/>
        <v>0.88888888888888884</v>
      </c>
      <c r="AG136">
        <f>survey_responses[[#This Row],[So với trước đây, tôi thấy cách tính thuế và các bậc thuế trong phương án mới đơn giản, dễ hiểu và dễ thực hiện hơn. - HUMAN-FAC2]]</f>
        <v>6</v>
      </c>
      <c r="AH136">
        <f t="shared" si="63"/>
        <v>0.55555555555555558</v>
      </c>
      <c r="AI136" s="32">
        <f t="shared" si="64"/>
        <v>0.88888888888888884</v>
      </c>
      <c r="AJ136" s="32">
        <f t="shared" si="65"/>
        <v>0.5</v>
      </c>
      <c r="AK136">
        <f>step3_validation[[#This Row],[AI_TRU1]]</f>
        <v>6</v>
      </c>
      <c r="AL136">
        <f t="shared" si="66"/>
        <v>0.55555555555555558</v>
      </c>
      <c r="AM136">
        <f>survey_responses[[#This Row],[Tôi tin rằng Nhà nước, cơ quan thuế sẽ thực thi chính sách mới một cách khách quan, công tâm và đối xử bình đẳng với mọi người nộp thuế.  - HUMAN-TRU1]]</f>
        <v>6</v>
      </c>
      <c r="AN136">
        <f t="shared" si="67"/>
        <v>0.55555555555555558</v>
      </c>
      <c r="AO136">
        <f>step3_validation[[#This Row],[AI_TRU2]]</f>
        <v>8</v>
      </c>
      <c r="AP136">
        <f t="shared" si="68"/>
        <v>0.77777777777777779</v>
      </c>
      <c r="AQ136">
        <f>survey_responses[[#This Row],[Tôi thấy mức thuế tôi phải đóng theo phương án mới là công bằng (người thu nhập như tôi đóng mức này là hợp lý). - HUMAN-TRU2]]</f>
        <v>6</v>
      </c>
      <c r="AR136">
        <f t="shared" si="69"/>
        <v>0.55555555555555558</v>
      </c>
      <c r="AS136">
        <f>step3_validation[[#This Row],[AI_TRU3]]</f>
        <v>7</v>
      </c>
      <c r="AT136">
        <f t="shared" si="70"/>
        <v>0.66666666666666663</v>
      </c>
      <c r="AU136">
        <f>survey_responses[[#This Row],[Tôi tin tưởng số tiền thuế tôi đóng sẽ được Nhà nước sử dụng hiệu quả để cải thiện dịch vụ công (y tế, đường xá...). - HUMAN-TRU3]]</f>
        <v>6</v>
      </c>
      <c r="AV136">
        <f t="shared" si="71"/>
        <v>0.55555555555555558</v>
      </c>
      <c r="AW136">
        <f>step3_validation[[#This Row],[AI_TRU4]]</f>
        <v>8</v>
      </c>
      <c r="AX136">
        <f t="shared" si="72"/>
        <v>0.77777777777777779</v>
      </c>
      <c r="AY136">
        <f>survey_responses[[#This Row],[Tôi thấy Nhà nước đã giải thích rõ ràng, minh bạch về lý do và mục tiêu của việc sửa đổi thuế lần này. - HUMAN-TRU4]]</f>
        <v>6</v>
      </c>
      <c r="AZ136">
        <f t="shared" si="73"/>
        <v>0.55555555555555558</v>
      </c>
      <c r="BA136" s="32">
        <f t="shared" si="74"/>
        <v>0.69444444444444442</v>
      </c>
      <c r="BB136" s="32">
        <f t="shared" si="75"/>
        <v>0.55555555555555558</v>
      </c>
      <c r="BC136" s="7">
        <f t="shared" si="76"/>
        <v>0.75</v>
      </c>
      <c r="BD136" s="7">
        <f t="shared" si="77"/>
        <v>0.5</v>
      </c>
      <c r="BE136">
        <f>step3_validation[[#This Row],[AI_OUT1]]</f>
        <v>9</v>
      </c>
      <c r="BF136">
        <f t="shared" si="78"/>
        <v>0.88888888888888884</v>
      </c>
      <c r="BG136">
        <f>survey_responses[[#This Row],[Sau khi xem xét các quyền lợi và nghĩa vụ, bạn có ủng hộ và tuân thủ chính sách mới hiện nay? - HUMAN-OUT1]]</f>
        <v>6</v>
      </c>
      <c r="BH136">
        <f t="shared" si="79"/>
        <v>0.55555555555555558</v>
      </c>
      <c r="BI136" s="32">
        <f t="shared" si="80"/>
        <v>3</v>
      </c>
    </row>
    <row r="137" spans="1:61" x14ac:dyDescent="0.45">
      <c r="A137" s="30">
        <f>step3_validation[[#This Row],[Persona_ID]]</f>
        <v>136</v>
      </c>
      <c r="B137" s="31">
        <f>step3_validation[[#This Row],[Used_Seed]]</f>
        <v>2161</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6</v>
      </c>
      <c r="R137">
        <f t="shared" si="54"/>
        <v>0.55555555555555558</v>
      </c>
      <c r="S137">
        <f>survey_responses[[#This Row],[Tôi tin rằng với các quy định quản lý thuế hiện nay, hành vi gian lận hoặc trốn thuế sẽ dễ dàng bị phát hiện và xử lý nghiêm. - HUMAN-ENF1]]</f>
        <v>8</v>
      </c>
      <c r="T137">
        <f t="shared" si="55"/>
        <v>0.77777777777777779</v>
      </c>
      <c r="U137">
        <f>step3_validation[[#This Row],[AI_ENF2]]</f>
        <v>6</v>
      </c>
      <c r="V137">
        <f t="shared" si="56"/>
        <v>0.55555555555555558</v>
      </c>
      <c r="W137">
        <f>survey_responses[[#This Row],[Tôi tin rằng Nhà nước, cơ quan thuế có đủ khả năng và công nghệ để phát hiện, xử lý nghiêm các hành vi trốn thuế. - HUMAN-ENF2]]</f>
        <v>8</v>
      </c>
      <c r="X137">
        <f t="shared" si="57"/>
        <v>0.77777777777777779</v>
      </c>
      <c r="Y137" s="32">
        <f t="shared" si="58"/>
        <v>0.55555555555555558</v>
      </c>
      <c r="Z137" s="32">
        <f t="shared" si="59"/>
        <v>0.77777777777777779</v>
      </c>
      <c r="AA137">
        <f>step3_validation[[#This Row],[AI_FAC1]]</f>
        <v>8</v>
      </c>
      <c r="AB137">
        <f t="shared" si="60"/>
        <v>0.77777777777777779</v>
      </c>
      <c r="AC137">
        <f>survey_responses[[#This Row],[Các thủ tục khai báo thuế VÀ/HOẶC quy trình làm việc với cơ quan thuế đơn giản, tiện lợi, nhanh chóng hơn so với trước đây. - HUMAN-FAC1]]</f>
        <v>8</v>
      </c>
      <c r="AD137">
        <f t="shared" si="61"/>
        <v>0.77777777777777779</v>
      </c>
      <c r="AE137">
        <f>step3_validation[[#This Row],[AI_FAC2]]</f>
        <v>9</v>
      </c>
      <c r="AF137">
        <f t="shared" si="62"/>
        <v>0.88888888888888884</v>
      </c>
      <c r="AG137">
        <f>survey_responses[[#This Row],[So với trước đây, tôi thấy cách tính thuế và các bậc thuế trong phương án mới đơn giản, dễ hiểu và dễ thực hiện hơn. - HUMAN-FAC2]]</f>
        <v>8</v>
      </c>
      <c r="AH137">
        <f t="shared" si="63"/>
        <v>0.77777777777777779</v>
      </c>
      <c r="AI137" s="32">
        <f t="shared" si="64"/>
        <v>0.83333333333333326</v>
      </c>
      <c r="AJ137" s="32">
        <f t="shared" si="65"/>
        <v>0.77777777777777779</v>
      </c>
      <c r="AK137">
        <f>step3_validation[[#This Row],[AI_TRU1]]</f>
        <v>7</v>
      </c>
      <c r="AL137">
        <f t="shared" si="66"/>
        <v>0.66666666666666663</v>
      </c>
      <c r="AM137">
        <f>survey_responses[[#This Row],[Tôi tin rằng Nhà nước, cơ quan thuế sẽ thực thi chính sách mới một cách khách quan, công tâm và đối xử bình đẳng với mọi người nộp thuế.  - HUMAN-TRU1]]</f>
        <v>10</v>
      </c>
      <c r="AN137">
        <f t="shared" si="67"/>
        <v>1</v>
      </c>
      <c r="AO137">
        <f>step3_validation[[#This Row],[AI_TRU2]]</f>
        <v>8</v>
      </c>
      <c r="AP137">
        <f t="shared" si="68"/>
        <v>0.77777777777777779</v>
      </c>
      <c r="AQ137">
        <f>survey_responses[[#This Row],[Tôi thấy mức thuế tôi phải đóng theo phương án mới là công bằng (người thu nhập như tôi đóng mức này là hợp lý). - HUMAN-TRU2]]</f>
        <v>10</v>
      </c>
      <c r="AR137">
        <f t="shared" si="69"/>
        <v>1</v>
      </c>
      <c r="AS137">
        <f>step3_validation[[#This Row],[AI_TRU3]]</f>
        <v>7</v>
      </c>
      <c r="AT137">
        <f t="shared" si="70"/>
        <v>0.66666666666666663</v>
      </c>
      <c r="AU137">
        <f>survey_responses[[#This Row],[Tôi tin tưởng số tiền thuế tôi đóng sẽ được Nhà nước sử dụng hiệu quả để cải thiện dịch vụ công (y tế, đường xá...). - HUMAN-TRU3]]</f>
        <v>10</v>
      </c>
      <c r="AV137">
        <f t="shared" si="71"/>
        <v>1</v>
      </c>
      <c r="AW137">
        <f>step3_validation[[#This Row],[AI_TRU4]]</f>
        <v>6</v>
      </c>
      <c r="AX137">
        <f t="shared" si="72"/>
        <v>0.55555555555555558</v>
      </c>
      <c r="AY137">
        <f>survey_responses[[#This Row],[Tôi thấy Nhà nước đã giải thích rõ ràng, minh bạch về lý do và mục tiêu của việc sửa đổi thuế lần này. - HUMAN-TRU4]]</f>
        <v>10</v>
      </c>
      <c r="AZ137">
        <f t="shared" si="73"/>
        <v>1</v>
      </c>
      <c r="BA137" s="32">
        <f t="shared" si="74"/>
        <v>0.66666666666666674</v>
      </c>
      <c r="BB137" s="32">
        <f t="shared" si="75"/>
        <v>1</v>
      </c>
      <c r="BC137" s="7">
        <f t="shared" si="76"/>
        <v>0.68518518518518512</v>
      </c>
      <c r="BD137" s="7">
        <f t="shared" si="77"/>
        <v>0.85185185185185175</v>
      </c>
      <c r="BE137">
        <f>step3_validation[[#This Row],[AI_OUT1]]</f>
        <v>7</v>
      </c>
      <c r="BF137">
        <f t="shared" si="78"/>
        <v>0.66666666666666663</v>
      </c>
      <c r="BG137">
        <f>survey_responses[[#This Row],[Sau khi xem xét các quyền lợi và nghĩa vụ, bạn có ủng hộ và tuân thủ chính sách mới hiện nay? - HUMAN-OUT1]]</f>
        <v>10</v>
      </c>
      <c r="BH137">
        <f t="shared" si="79"/>
        <v>1</v>
      </c>
      <c r="BI137" s="32">
        <f t="shared" si="80"/>
        <v>3</v>
      </c>
    </row>
    <row r="138" spans="1:61" x14ac:dyDescent="0.45">
      <c r="A138" s="30">
        <f>step3_validation[[#This Row],[Persona_ID]]</f>
        <v>137</v>
      </c>
      <c r="B138" s="31">
        <f>step3_validation[[#This Row],[Used_Seed]]</f>
        <v>2162</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158.49332291542495</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7</v>
      </c>
      <c r="R138">
        <f t="shared" si="54"/>
        <v>0.66666666666666663</v>
      </c>
      <c r="S138">
        <f>survey_responses[[#This Row],[Tôi tin rằng với các quy định quản lý thuế hiện nay, hành vi gian lận hoặc trốn thuế sẽ dễ dàng bị phát hiện và xử lý nghiêm. - HUMAN-ENF1]]</f>
        <v>8</v>
      </c>
      <c r="T138">
        <f t="shared" si="55"/>
        <v>0.77777777777777779</v>
      </c>
      <c r="U138">
        <f>step3_validation[[#This Row],[AI_ENF2]]</f>
        <v>8</v>
      </c>
      <c r="V138">
        <f t="shared" si="56"/>
        <v>0.77777777777777779</v>
      </c>
      <c r="W138">
        <f>survey_responses[[#This Row],[Tôi tin rằng Nhà nước, cơ quan thuế có đủ khả năng và công nghệ để phát hiện, xử lý nghiêm các hành vi trốn thuế. - HUMAN-ENF2]]</f>
        <v>8</v>
      </c>
      <c r="X138">
        <f t="shared" si="57"/>
        <v>0.77777777777777779</v>
      </c>
      <c r="Y138" s="32">
        <f t="shared" si="58"/>
        <v>0.72222222222222221</v>
      </c>
      <c r="Z138" s="32">
        <f t="shared" si="59"/>
        <v>0.77777777777777779</v>
      </c>
      <c r="AA138">
        <f>step3_validation[[#This Row],[AI_FAC1]]</f>
        <v>9</v>
      </c>
      <c r="AB138">
        <f t="shared" si="60"/>
        <v>0.88888888888888884</v>
      </c>
      <c r="AC138">
        <f>survey_responses[[#This Row],[Các thủ tục khai báo thuế VÀ/HOẶC quy trình làm việc với cơ quan thuế đơn giản, tiện lợi, nhanh chóng hơn so với trước đây. - HUMAN-FAC1]]</f>
        <v>8</v>
      </c>
      <c r="AD138">
        <f t="shared" si="61"/>
        <v>0.77777777777777779</v>
      </c>
      <c r="AE138">
        <f>step3_validation[[#This Row],[AI_FAC2]]</f>
        <v>8</v>
      </c>
      <c r="AF138">
        <f t="shared" si="62"/>
        <v>0.77777777777777779</v>
      </c>
      <c r="AG138">
        <f>survey_responses[[#This Row],[So với trước đây, tôi thấy cách tính thuế và các bậc thuế trong phương án mới đơn giản, dễ hiểu và dễ thực hiện hơn. - HUMAN-FAC2]]</f>
        <v>8</v>
      </c>
      <c r="AH138">
        <f t="shared" si="63"/>
        <v>0.77777777777777779</v>
      </c>
      <c r="AI138" s="32">
        <f t="shared" si="64"/>
        <v>0.83333333333333326</v>
      </c>
      <c r="AJ138" s="32">
        <f t="shared" si="65"/>
        <v>0.77777777777777779</v>
      </c>
      <c r="AK138">
        <f>step3_validation[[#This Row],[AI_TRU1]]</f>
        <v>9</v>
      </c>
      <c r="AL138">
        <f t="shared" si="66"/>
        <v>0.88888888888888884</v>
      </c>
      <c r="AM138">
        <f>survey_responses[[#This Row],[Tôi tin rằng Nhà nước, cơ quan thuế sẽ thực thi chính sách mới một cách khách quan, công tâm và đối xử bình đẳng với mọi người nộp thuế.  - HUMAN-TRU1]]</f>
        <v>8</v>
      </c>
      <c r="AN138">
        <f t="shared" si="67"/>
        <v>0.77777777777777779</v>
      </c>
      <c r="AO138">
        <f>step3_validation[[#This Row],[AI_TRU2]]</f>
        <v>8</v>
      </c>
      <c r="AP138">
        <f t="shared" si="68"/>
        <v>0.77777777777777779</v>
      </c>
      <c r="AQ138">
        <f>survey_responses[[#This Row],[Tôi thấy mức thuế tôi phải đóng theo phương án mới là công bằng (người thu nhập như tôi đóng mức này là hợp lý). - HUMAN-TRU2]]</f>
        <v>8</v>
      </c>
      <c r="AR138">
        <f t="shared" si="69"/>
        <v>0.77777777777777779</v>
      </c>
      <c r="AS138">
        <f>step3_validation[[#This Row],[AI_TRU3]]</f>
        <v>9</v>
      </c>
      <c r="AT138">
        <f t="shared" si="70"/>
        <v>0.88888888888888884</v>
      </c>
      <c r="AU138">
        <f>survey_responses[[#This Row],[Tôi tin tưởng số tiền thuế tôi đóng sẽ được Nhà nước sử dụng hiệu quả để cải thiện dịch vụ công (y tế, đường xá...). - HUMAN-TRU3]]</f>
        <v>5</v>
      </c>
      <c r="AV138">
        <f t="shared" si="71"/>
        <v>0.44444444444444442</v>
      </c>
      <c r="AW138">
        <f>step3_validation[[#This Row],[AI_TRU4]]</f>
        <v>8</v>
      </c>
      <c r="AX138">
        <f t="shared" si="72"/>
        <v>0.77777777777777779</v>
      </c>
      <c r="AY138">
        <f>survey_responses[[#This Row],[Tôi thấy Nhà nước đã giải thích rõ ràng, minh bạch về lý do và mục tiêu của việc sửa đổi thuế lần này. - HUMAN-TRU4]]</f>
        <v>7</v>
      </c>
      <c r="AZ138">
        <f t="shared" si="73"/>
        <v>0.66666666666666663</v>
      </c>
      <c r="BA138" s="32">
        <f t="shared" si="74"/>
        <v>0.83333333333333326</v>
      </c>
      <c r="BB138" s="32">
        <f t="shared" si="75"/>
        <v>0.66666666666666663</v>
      </c>
      <c r="BC138" s="7">
        <f t="shared" si="76"/>
        <v>0.79629629629629617</v>
      </c>
      <c r="BD138" s="7">
        <f t="shared" si="77"/>
        <v>0.74074074074074081</v>
      </c>
      <c r="BE138">
        <f>step3_validation[[#This Row],[AI_OUT1]]</f>
        <v>9</v>
      </c>
      <c r="BF138">
        <f t="shared" si="78"/>
        <v>0.88888888888888884</v>
      </c>
      <c r="BG138">
        <f>survey_responses[[#This Row],[Sau khi xem xét các quyền lợi và nghĩa vụ, bạn có ủng hộ và tuân thủ chính sách mới hiện nay? - HUMAN-OUT1]]</f>
        <v>8</v>
      </c>
      <c r="BH138">
        <f t="shared" si="79"/>
        <v>0.77777777777777779</v>
      </c>
      <c r="BI138" s="32">
        <f t="shared" si="80"/>
        <v>1</v>
      </c>
    </row>
    <row r="139" spans="1:61" x14ac:dyDescent="0.45">
      <c r="A139" s="30">
        <f>step3_validation[[#This Row],[Persona_ID]]</f>
        <v>138</v>
      </c>
      <c r="B139" s="31">
        <f>step3_validation[[#This Row],[Used_Seed]]</f>
        <v>2163</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15.989699430852641</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8</v>
      </c>
      <c r="R139">
        <f t="shared" si="54"/>
        <v>0.77777777777777779</v>
      </c>
      <c r="S139">
        <f>survey_responses[[#This Row],[Tôi tin rằng với các quy định quản lý thuế hiện nay, hành vi gian lận hoặc trốn thuế sẽ dễ dàng bị phát hiện và xử lý nghiêm. - HUMAN-ENF1]]</f>
        <v>8</v>
      </c>
      <c r="T139">
        <f t="shared" si="55"/>
        <v>0.77777777777777779</v>
      </c>
      <c r="U139">
        <f>step3_validation[[#This Row],[AI_ENF2]]</f>
        <v>9</v>
      </c>
      <c r="V139">
        <f t="shared" si="56"/>
        <v>0.88888888888888884</v>
      </c>
      <c r="W139">
        <f>survey_responses[[#This Row],[Tôi tin rằng Nhà nước, cơ quan thuế có đủ khả năng và công nghệ để phát hiện, xử lý nghiêm các hành vi trốn thuế. - HUMAN-ENF2]]</f>
        <v>9</v>
      </c>
      <c r="X139">
        <f t="shared" si="57"/>
        <v>0.88888888888888884</v>
      </c>
      <c r="Y139" s="32">
        <f t="shared" si="58"/>
        <v>0.83333333333333326</v>
      </c>
      <c r="Z139" s="32">
        <f t="shared" si="59"/>
        <v>0.83333333333333326</v>
      </c>
      <c r="AA139">
        <f>step3_validation[[#This Row],[AI_FAC1]]</f>
        <v>10</v>
      </c>
      <c r="AB139">
        <f t="shared" si="60"/>
        <v>1</v>
      </c>
      <c r="AC139">
        <f>survey_responses[[#This Row],[Các thủ tục khai báo thuế VÀ/HOẶC quy trình làm việc với cơ quan thuế đơn giản, tiện lợi, nhanh chóng hơn so với trước đây. - HUMAN-FAC1]]</f>
        <v>7</v>
      </c>
      <c r="AD139">
        <f t="shared" si="61"/>
        <v>0.66666666666666663</v>
      </c>
      <c r="AE139">
        <f>step3_validation[[#This Row],[AI_FAC2]]</f>
        <v>9</v>
      </c>
      <c r="AF139">
        <f t="shared" si="62"/>
        <v>0.88888888888888884</v>
      </c>
      <c r="AG139">
        <f>survey_responses[[#This Row],[So với trước đây, tôi thấy cách tính thuế và các bậc thuế trong phương án mới đơn giản, dễ hiểu và dễ thực hiện hơn. - HUMAN-FAC2]]</f>
        <v>7</v>
      </c>
      <c r="AH139">
        <f t="shared" si="63"/>
        <v>0.66666666666666663</v>
      </c>
      <c r="AI139" s="32">
        <f t="shared" si="64"/>
        <v>0.94444444444444442</v>
      </c>
      <c r="AJ139" s="32">
        <f t="shared" si="65"/>
        <v>0.66666666666666663</v>
      </c>
      <c r="AK139">
        <f>step3_validation[[#This Row],[AI_TRU1]]</f>
        <v>8</v>
      </c>
      <c r="AL139">
        <f t="shared" si="66"/>
        <v>0.77777777777777779</v>
      </c>
      <c r="AM139">
        <f>survey_responses[[#This Row],[Tôi tin rằng Nhà nước, cơ quan thuế sẽ thực thi chính sách mới một cách khách quan, công tâm và đối xử bình đẳng với mọi người nộp thuế.  - HUMAN-TRU1]]</f>
        <v>6</v>
      </c>
      <c r="AN139">
        <f t="shared" si="67"/>
        <v>0.55555555555555558</v>
      </c>
      <c r="AO139">
        <f>step3_validation[[#This Row],[AI_TRU2]]</f>
        <v>9</v>
      </c>
      <c r="AP139">
        <f t="shared" si="68"/>
        <v>0.88888888888888884</v>
      </c>
      <c r="AQ139">
        <f>survey_responses[[#This Row],[Tôi thấy mức thuế tôi phải đóng theo phương án mới là công bằng (người thu nhập như tôi đóng mức này là hợp lý). - HUMAN-TRU2]]</f>
        <v>6</v>
      </c>
      <c r="AR139">
        <f t="shared" si="69"/>
        <v>0.55555555555555558</v>
      </c>
      <c r="AS139">
        <f>step3_validation[[#This Row],[AI_TRU3]]</f>
        <v>8</v>
      </c>
      <c r="AT139">
        <f t="shared" si="70"/>
        <v>0.77777777777777779</v>
      </c>
      <c r="AU139">
        <f>survey_responses[[#This Row],[Tôi tin tưởng số tiền thuế tôi đóng sẽ được Nhà nước sử dụng hiệu quả để cải thiện dịch vụ công (y tế, đường xá...). - HUMAN-TRU3]]</f>
        <v>2</v>
      </c>
      <c r="AV139">
        <f t="shared" si="71"/>
        <v>0.1111111111111111</v>
      </c>
      <c r="AW139">
        <f>step3_validation[[#This Row],[AI_TRU4]]</f>
        <v>7</v>
      </c>
      <c r="AX139">
        <f t="shared" si="72"/>
        <v>0.66666666666666663</v>
      </c>
      <c r="AY139">
        <f>survey_responses[[#This Row],[Tôi thấy Nhà nước đã giải thích rõ ràng, minh bạch về lý do và mục tiêu của việc sửa đổi thuế lần này. - HUMAN-TRU4]]</f>
        <v>5</v>
      </c>
      <c r="AZ139">
        <f t="shared" si="73"/>
        <v>0.44444444444444442</v>
      </c>
      <c r="BA139" s="32">
        <f t="shared" si="74"/>
        <v>0.77777777777777768</v>
      </c>
      <c r="BB139" s="32">
        <f t="shared" si="75"/>
        <v>0.41666666666666669</v>
      </c>
      <c r="BC139" s="7">
        <f t="shared" si="76"/>
        <v>0.85185185185185175</v>
      </c>
      <c r="BD139" s="7">
        <f t="shared" si="77"/>
        <v>0.63888888888888895</v>
      </c>
      <c r="BE139">
        <f>step3_validation[[#This Row],[AI_OUT1]]</f>
        <v>8</v>
      </c>
      <c r="BF139">
        <f t="shared" si="78"/>
        <v>0.77777777777777779</v>
      </c>
      <c r="BG139">
        <f>survey_responses[[#This Row],[Sau khi xem xét các quyền lợi và nghĩa vụ, bạn có ủng hộ và tuân thủ chính sách mới hiện nay? - HUMAN-OUT1]]</f>
        <v>6</v>
      </c>
      <c r="BH139">
        <f t="shared" si="79"/>
        <v>0.55555555555555558</v>
      </c>
      <c r="BI139" s="32">
        <f t="shared" si="80"/>
        <v>2</v>
      </c>
    </row>
    <row r="140" spans="1:61" x14ac:dyDescent="0.45">
      <c r="A140" s="30">
        <f>step3_validation[[#This Row],[Persona_ID]]</f>
        <v>139</v>
      </c>
      <c r="B140" s="31">
        <f>step3_validation[[#This Row],[Used_Seed]]</f>
        <v>2164</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153.36402565950686</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7</v>
      </c>
      <c r="R140">
        <f t="shared" si="54"/>
        <v>0.66666666666666663</v>
      </c>
      <c r="S140">
        <f>survey_responses[[#This Row],[Tôi tin rằng với các quy định quản lý thuế hiện nay, hành vi gian lận hoặc trốn thuế sẽ dễ dàng bị phát hiện và xử lý nghiêm. - HUMAN-ENF1]]</f>
        <v>5</v>
      </c>
      <c r="T140">
        <f t="shared" si="55"/>
        <v>0.44444444444444442</v>
      </c>
      <c r="U140">
        <f>step3_validation[[#This Row],[AI_ENF2]]</f>
        <v>6</v>
      </c>
      <c r="V140">
        <f t="shared" si="56"/>
        <v>0.55555555555555558</v>
      </c>
      <c r="W140">
        <f>survey_responses[[#This Row],[Tôi tin rằng Nhà nước, cơ quan thuế có đủ khả năng và công nghệ để phát hiện, xử lý nghiêm các hành vi trốn thuế. - HUMAN-ENF2]]</f>
        <v>4</v>
      </c>
      <c r="X140">
        <f t="shared" si="57"/>
        <v>0.33333333333333331</v>
      </c>
      <c r="Y140" s="32">
        <f t="shared" si="58"/>
        <v>0.61111111111111116</v>
      </c>
      <c r="Z140" s="32">
        <f t="shared" si="59"/>
        <v>0.38888888888888884</v>
      </c>
      <c r="AA140">
        <f>step3_validation[[#This Row],[AI_FAC1]]</f>
        <v>8</v>
      </c>
      <c r="AB140">
        <f t="shared" si="60"/>
        <v>0.77777777777777779</v>
      </c>
      <c r="AC140">
        <f>survey_responses[[#This Row],[Các thủ tục khai báo thuế VÀ/HOẶC quy trình làm việc với cơ quan thuế đơn giản, tiện lợi, nhanh chóng hơn so với trước đây. - HUMAN-FAC1]]</f>
        <v>7</v>
      </c>
      <c r="AD140">
        <f t="shared" si="61"/>
        <v>0.66666666666666663</v>
      </c>
      <c r="AE140">
        <f>step3_validation[[#This Row],[AI_FAC2]]</f>
        <v>9</v>
      </c>
      <c r="AF140">
        <f t="shared" si="62"/>
        <v>0.88888888888888884</v>
      </c>
      <c r="AG140">
        <f>survey_responses[[#This Row],[So với trước đây, tôi thấy cách tính thuế và các bậc thuế trong phương án mới đơn giản, dễ hiểu và dễ thực hiện hơn. - HUMAN-FAC2]]</f>
        <v>6</v>
      </c>
      <c r="AH140">
        <f t="shared" si="63"/>
        <v>0.55555555555555558</v>
      </c>
      <c r="AI140" s="32">
        <f t="shared" si="64"/>
        <v>0.83333333333333326</v>
      </c>
      <c r="AJ140" s="32">
        <f t="shared" si="65"/>
        <v>0.61111111111111116</v>
      </c>
      <c r="AK140">
        <f>step3_validation[[#This Row],[AI_TRU1]]</f>
        <v>7</v>
      </c>
      <c r="AL140">
        <f t="shared" si="66"/>
        <v>0.66666666666666663</v>
      </c>
      <c r="AM140">
        <f>survey_responses[[#This Row],[Tôi tin rằng Nhà nước, cơ quan thuế sẽ thực thi chính sách mới một cách khách quan, công tâm và đối xử bình đẳng với mọi người nộp thuế.  - HUMAN-TRU1]]</f>
        <v>3</v>
      </c>
      <c r="AN140">
        <f t="shared" si="67"/>
        <v>0.22222222222222221</v>
      </c>
      <c r="AO140">
        <f>step3_validation[[#This Row],[AI_TRU2]]</f>
        <v>8</v>
      </c>
      <c r="AP140">
        <f t="shared" si="68"/>
        <v>0.77777777777777779</v>
      </c>
      <c r="AQ140">
        <f>survey_responses[[#This Row],[Tôi thấy mức thuế tôi phải đóng theo phương án mới là công bằng (người thu nhập như tôi đóng mức này là hợp lý). - HUMAN-TRU2]]</f>
        <v>4</v>
      </c>
      <c r="AR140">
        <f t="shared" si="69"/>
        <v>0.33333333333333331</v>
      </c>
      <c r="AS140">
        <f>step3_validation[[#This Row],[AI_TRU3]]</f>
        <v>6</v>
      </c>
      <c r="AT140">
        <f t="shared" si="70"/>
        <v>0.55555555555555558</v>
      </c>
      <c r="AU140">
        <f>survey_responses[[#This Row],[Tôi tin tưởng số tiền thuế tôi đóng sẽ được Nhà nước sử dụng hiệu quả để cải thiện dịch vụ công (y tế, đường xá...). - HUMAN-TRU3]]</f>
        <v>4</v>
      </c>
      <c r="AV140">
        <f t="shared" si="71"/>
        <v>0.33333333333333331</v>
      </c>
      <c r="AW140">
        <f>step3_validation[[#This Row],[AI_TRU4]]</f>
        <v>7</v>
      </c>
      <c r="AX140">
        <f t="shared" si="72"/>
        <v>0.66666666666666663</v>
      </c>
      <c r="AY140">
        <f>survey_responses[[#This Row],[Tôi thấy Nhà nước đã giải thích rõ ràng, minh bạch về lý do và mục tiêu của việc sửa đổi thuế lần này. - HUMAN-TRU4]]</f>
        <v>5</v>
      </c>
      <c r="AZ140">
        <f t="shared" si="73"/>
        <v>0.44444444444444442</v>
      </c>
      <c r="BA140" s="32">
        <f t="shared" si="74"/>
        <v>0.66666666666666663</v>
      </c>
      <c r="BB140" s="32">
        <f t="shared" si="75"/>
        <v>0.33333333333333331</v>
      </c>
      <c r="BC140" s="7">
        <f t="shared" si="76"/>
        <v>0.70370370370370372</v>
      </c>
      <c r="BD140" s="7">
        <f t="shared" si="77"/>
        <v>0.44444444444444442</v>
      </c>
      <c r="BE140">
        <f>step3_validation[[#This Row],[AI_OUT1]]</f>
        <v>9</v>
      </c>
      <c r="BF140">
        <f t="shared" si="78"/>
        <v>0.88888888888888884</v>
      </c>
      <c r="BG140">
        <f>survey_responses[[#This Row],[Sau khi xem xét các quyền lợi và nghĩa vụ, bạn có ủng hộ và tuân thủ chính sách mới hiện nay? - HUMAN-OUT1]]</f>
        <v>5</v>
      </c>
      <c r="BH140">
        <f t="shared" si="79"/>
        <v>0.44444444444444442</v>
      </c>
      <c r="BI140" s="32">
        <f t="shared" si="80"/>
        <v>4</v>
      </c>
    </row>
    <row r="141" spans="1:61" x14ac:dyDescent="0.45">
      <c r="A141" s="30">
        <f>step3_validation[[#This Row],[Persona_ID]]</f>
        <v>140</v>
      </c>
      <c r="B141" s="31">
        <f>step3_validation[[#This Row],[Used_Seed]]</f>
        <v>2165</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29.509981072435291</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5</v>
      </c>
      <c r="R141">
        <f t="shared" si="54"/>
        <v>0.44444444444444442</v>
      </c>
      <c r="S141">
        <f>survey_responses[[#This Row],[Tôi tin rằng với các quy định quản lý thuế hiện nay, hành vi gian lận hoặc trốn thuế sẽ dễ dàng bị phát hiện và xử lý nghiêm. - HUMAN-ENF1]]</f>
        <v>10</v>
      </c>
      <c r="T141">
        <f t="shared" si="55"/>
        <v>1</v>
      </c>
      <c r="U141">
        <f>step3_validation[[#This Row],[AI_ENF2]]</f>
        <v>6</v>
      </c>
      <c r="V141">
        <f t="shared" si="56"/>
        <v>0.55555555555555558</v>
      </c>
      <c r="W141">
        <f>survey_responses[[#This Row],[Tôi tin rằng Nhà nước, cơ quan thuế có đủ khả năng và công nghệ để phát hiện, xử lý nghiêm các hành vi trốn thuế. - HUMAN-ENF2]]</f>
        <v>9</v>
      </c>
      <c r="X141">
        <f t="shared" si="57"/>
        <v>0.88888888888888884</v>
      </c>
      <c r="Y141" s="32">
        <f t="shared" si="58"/>
        <v>0.5</v>
      </c>
      <c r="Z141" s="32">
        <f t="shared" si="59"/>
        <v>0.94444444444444442</v>
      </c>
      <c r="AA141">
        <f>step3_validation[[#This Row],[AI_FAC1]]</f>
        <v>8</v>
      </c>
      <c r="AB141">
        <f t="shared" si="60"/>
        <v>0.77777777777777779</v>
      </c>
      <c r="AC141">
        <f>survey_responses[[#This Row],[Các thủ tục khai báo thuế VÀ/HOẶC quy trình làm việc với cơ quan thuế đơn giản, tiện lợi, nhanh chóng hơn so với trước đây. - HUMAN-FAC1]]</f>
        <v>9</v>
      </c>
      <c r="AD141">
        <f t="shared" si="61"/>
        <v>0.88888888888888884</v>
      </c>
      <c r="AE141">
        <f>step3_validation[[#This Row],[AI_FAC2]]</f>
        <v>9</v>
      </c>
      <c r="AF141">
        <f t="shared" si="62"/>
        <v>0.88888888888888884</v>
      </c>
      <c r="AG141">
        <f>survey_responses[[#This Row],[So với trước đây, tôi thấy cách tính thuế và các bậc thuế trong phương án mới đơn giản, dễ hiểu và dễ thực hiện hơn. - HUMAN-FAC2]]</f>
        <v>9</v>
      </c>
      <c r="AH141">
        <f t="shared" si="63"/>
        <v>0.88888888888888884</v>
      </c>
      <c r="AI141" s="32">
        <f t="shared" si="64"/>
        <v>0.83333333333333326</v>
      </c>
      <c r="AJ141" s="32">
        <f t="shared" si="65"/>
        <v>0.88888888888888884</v>
      </c>
      <c r="AK141">
        <f>step3_validation[[#This Row],[AI_TRU1]]</f>
        <v>7</v>
      </c>
      <c r="AL141">
        <f t="shared" si="66"/>
        <v>0.66666666666666663</v>
      </c>
      <c r="AM141">
        <f>survey_responses[[#This Row],[Tôi tin rằng Nhà nước, cơ quan thuế sẽ thực thi chính sách mới một cách khách quan, công tâm và đối xử bình đẳng với mọi người nộp thuế.  - HUMAN-TRU1]]</f>
        <v>8</v>
      </c>
      <c r="AN141">
        <f t="shared" si="67"/>
        <v>0.77777777777777779</v>
      </c>
      <c r="AO141">
        <f>step3_validation[[#This Row],[AI_TRU2]]</f>
        <v>8</v>
      </c>
      <c r="AP141">
        <f t="shared" si="68"/>
        <v>0.77777777777777779</v>
      </c>
      <c r="AQ141">
        <f>survey_responses[[#This Row],[Tôi thấy mức thuế tôi phải đóng theo phương án mới là công bằng (người thu nhập như tôi đóng mức này là hợp lý). - HUMAN-TRU2]]</f>
        <v>8</v>
      </c>
      <c r="AR141">
        <f t="shared" si="69"/>
        <v>0.77777777777777779</v>
      </c>
      <c r="AS141">
        <f>step3_validation[[#This Row],[AI_TRU3]]</f>
        <v>6</v>
      </c>
      <c r="AT141">
        <f t="shared" si="70"/>
        <v>0.55555555555555558</v>
      </c>
      <c r="AU141">
        <f>survey_responses[[#This Row],[Tôi tin tưởng số tiền thuế tôi đóng sẽ được Nhà nước sử dụng hiệu quả để cải thiện dịch vụ công (y tế, đường xá...). - HUMAN-TRU3]]</f>
        <v>8</v>
      </c>
      <c r="AV141">
        <f t="shared" si="71"/>
        <v>0.77777777777777779</v>
      </c>
      <c r="AW141">
        <f>step3_validation[[#This Row],[AI_TRU4]]</f>
        <v>7</v>
      </c>
      <c r="AX141">
        <f t="shared" si="72"/>
        <v>0.66666666666666663</v>
      </c>
      <c r="AY141">
        <f>survey_responses[[#This Row],[Tôi thấy Nhà nước đã giải thích rõ ràng, minh bạch về lý do và mục tiêu của việc sửa đổi thuế lần này. - HUMAN-TRU4]]</f>
        <v>8</v>
      </c>
      <c r="AZ141">
        <f t="shared" si="73"/>
        <v>0.77777777777777779</v>
      </c>
      <c r="BA141" s="32">
        <f t="shared" si="74"/>
        <v>0.66666666666666663</v>
      </c>
      <c r="BB141" s="32">
        <f t="shared" si="75"/>
        <v>0.77777777777777779</v>
      </c>
      <c r="BC141" s="7">
        <f t="shared" si="76"/>
        <v>0.66666666666666663</v>
      </c>
      <c r="BD141" s="7">
        <f t="shared" si="77"/>
        <v>0.87037037037037035</v>
      </c>
      <c r="BE141">
        <f>step3_validation[[#This Row],[AI_OUT1]]</f>
        <v>9</v>
      </c>
      <c r="BF141">
        <f t="shared" si="78"/>
        <v>0.88888888888888884</v>
      </c>
      <c r="BG141">
        <f>survey_responses[[#This Row],[Sau khi xem xét các quyền lợi và nghĩa vụ, bạn có ủng hộ và tuân thủ chính sách mới hiện nay? - HUMAN-OUT1]]</f>
        <v>10</v>
      </c>
      <c r="BH141">
        <f t="shared" si="79"/>
        <v>1</v>
      </c>
      <c r="BI141" s="32">
        <f t="shared" si="80"/>
        <v>1</v>
      </c>
    </row>
    <row r="142" spans="1:61" x14ac:dyDescent="0.45">
      <c r="A142" s="30">
        <f>step3_validation[[#This Row],[Persona_ID]]</f>
        <v>141</v>
      </c>
      <c r="B142" s="31">
        <f>step3_validation[[#This Row],[Used_Seed]]</f>
        <v>2166</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25.441347630755921</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7</v>
      </c>
      <c r="R142">
        <f t="shared" si="54"/>
        <v>0.66666666666666663</v>
      </c>
      <c r="S142">
        <f>survey_responses[[#This Row],[Tôi tin rằng với các quy định quản lý thuế hiện nay, hành vi gian lận hoặc trốn thuế sẽ dễ dàng bị phát hiện và xử lý nghiêm. - HUMAN-ENF1]]</f>
        <v>8</v>
      </c>
      <c r="T142">
        <f t="shared" si="55"/>
        <v>0.77777777777777779</v>
      </c>
      <c r="U142">
        <f>step3_validation[[#This Row],[AI_ENF2]]</f>
        <v>8</v>
      </c>
      <c r="V142">
        <f t="shared" si="56"/>
        <v>0.77777777777777779</v>
      </c>
      <c r="W142">
        <f>survey_responses[[#This Row],[Tôi tin rằng Nhà nước, cơ quan thuế có đủ khả năng và công nghệ để phát hiện, xử lý nghiêm các hành vi trốn thuế. - HUMAN-ENF2]]</f>
        <v>7</v>
      </c>
      <c r="X142">
        <f t="shared" si="57"/>
        <v>0.66666666666666663</v>
      </c>
      <c r="Y142" s="32">
        <f t="shared" si="58"/>
        <v>0.72222222222222221</v>
      </c>
      <c r="Z142" s="32">
        <f t="shared" si="59"/>
        <v>0.72222222222222221</v>
      </c>
      <c r="AA142">
        <f>step3_validation[[#This Row],[AI_FAC1]]</f>
        <v>9</v>
      </c>
      <c r="AB142">
        <f t="shared" si="60"/>
        <v>0.88888888888888884</v>
      </c>
      <c r="AC142">
        <f>survey_responses[[#This Row],[Các thủ tục khai báo thuế VÀ/HOẶC quy trình làm việc với cơ quan thuế đơn giản, tiện lợi, nhanh chóng hơn so với trước đây. - HUMAN-FAC1]]</f>
        <v>6</v>
      </c>
      <c r="AD142">
        <f t="shared" si="61"/>
        <v>0.55555555555555558</v>
      </c>
      <c r="AE142">
        <f>step3_validation[[#This Row],[AI_FAC2]]</f>
        <v>10</v>
      </c>
      <c r="AF142">
        <f t="shared" si="62"/>
        <v>1</v>
      </c>
      <c r="AG142">
        <f>survey_responses[[#This Row],[So với trước đây, tôi thấy cách tính thuế và các bậc thuế trong phương án mới đơn giản, dễ hiểu và dễ thực hiện hơn. - HUMAN-FAC2]]</f>
        <v>6</v>
      </c>
      <c r="AH142">
        <f t="shared" si="63"/>
        <v>0.55555555555555558</v>
      </c>
      <c r="AI142" s="32">
        <f t="shared" si="64"/>
        <v>0.94444444444444442</v>
      </c>
      <c r="AJ142" s="32">
        <f t="shared" si="65"/>
        <v>0.55555555555555558</v>
      </c>
      <c r="AK142">
        <f>step3_validation[[#This Row],[AI_TRU1]]</f>
        <v>8</v>
      </c>
      <c r="AL142">
        <f t="shared" si="66"/>
        <v>0.77777777777777779</v>
      </c>
      <c r="AM142">
        <f>survey_responses[[#This Row],[Tôi tin rằng Nhà nước, cơ quan thuế sẽ thực thi chính sách mới một cách khách quan, công tâm và đối xử bình đẳng với mọi người nộp thuế.  - HUMAN-TRU1]]</f>
        <v>5</v>
      </c>
      <c r="AN142">
        <f t="shared" si="67"/>
        <v>0.44444444444444442</v>
      </c>
      <c r="AO142">
        <f>step3_validation[[#This Row],[AI_TRU2]]</f>
        <v>9</v>
      </c>
      <c r="AP142">
        <f t="shared" si="68"/>
        <v>0.88888888888888884</v>
      </c>
      <c r="AQ142">
        <f>survey_responses[[#This Row],[Tôi thấy mức thuế tôi phải đóng theo phương án mới là công bằng (người thu nhập như tôi đóng mức này là hợp lý). - HUMAN-TRU2]]</f>
        <v>5</v>
      </c>
      <c r="AR142">
        <f t="shared" si="69"/>
        <v>0.44444444444444442</v>
      </c>
      <c r="AS142">
        <f>step3_validation[[#This Row],[AI_TRU3]]</f>
        <v>8</v>
      </c>
      <c r="AT142">
        <f t="shared" si="70"/>
        <v>0.77777777777777779</v>
      </c>
      <c r="AU142">
        <f>survey_responses[[#This Row],[Tôi tin tưởng số tiền thuế tôi đóng sẽ được Nhà nước sử dụng hiệu quả để cải thiện dịch vụ công (y tế, đường xá...). - HUMAN-TRU3]]</f>
        <v>3</v>
      </c>
      <c r="AV142">
        <f t="shared" si="71"/>
        <v>0.22222222222222221</v>
      </c>
      <c r="AW142">
        <f>step3_validation[[#This Row],[AI_TRU4]]</f>
        <v>9</v>
      </c>
      <c r="AX142">
        <f t="shared" si="72"/>
        <v>0.88888888888888884</v>
      </c>
      <c r="AY142">
        <f>survey_responses[[#This Row],[Tôi thấy Nhà nước đã giải thích rõ ràng, minh bạch về lý do và mục tiêu của việc sửa đổi thuế lần này. - HUMAN-TRU4]]</f>
        <v>3</v>
      </c>
      <c r="AZ142">
        <f t="shared" si="73"/>
        <v>0.22222222222222221</v>
      </c>
      <c r="BA142" s="32">
        <f t="shared" si="74"/>
        <v>0.83333333333333326</v>
      </c>
      <c r="BB142" s="32">
        <f t="shared" si="75"/>
        <v>0.33333333333333337</v>
      </c>
      <c r="BC142" s="7">
        <f t="shared" si="76"/>
        <v>0.83333333333333337</v>
      </c>
      <c r="BD142" s="7">
        <f t="shared" si="77"/>
        <v>0.53703703703703709</v>
      </c>
      <c r="BE142">
        <f>step3_validation[[#This Row],[AI_OUT1]]</f>
        <v>10</v>
      </c>
      <c r="BF142">
        <f t="shared" si="78"/>
        <v>1</v>
      </c>
      <c r="BG142">
        <f>survey_responses[[#This Row],[Sau khi xem xét các quyền lợi và nghĩa vụ, bạn có ủng hộ và tuân thủ chính sách mới hiện nay? - HUMAN-OUT1]]</f>
        <v>5</v>
      </c>
      <c r="BH142">
        <f t="shared" si="79"/>
        <v>0.44444444444444442</v>
      </c>
      <c r="BI142" s="32">
        <f t="shared" si="80"/>
        <v>5</v>
      </c>
    </row>
    <row r="143" spans="1:61" x14ac:dyDescent="0.45">
      <c r="A143" s="30">
        <f>step3_validation[[#This Row],[Persona_ID]]</f>
        <v>142</v>
      </c>
      <c r="B143" s="31">
        <f>step3_validation[[#This Row],[Used_Seed]]</f>
        <v>2167</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7</v>
      </c>
      <c r="R143">
        <f t="shared" si="54"/>
        <v>0.66666666666666663</v>
      </c>
      <c r="S143">
        <f>survey_responses[[#This Row],[Tôi tin rằng với các quy định quản lý thuế hiện nay, hành vi gian lận hoặc trốn thuế sẽ dễ dàng bị phát hiện và xử lý nghiêm. - HUMAN-ENF1]]</f>
        <v>5</v>
      </c>
      <c r="T143">
        <f t="shared" si="55"/>
        <v>0.44444444444444442</v>
      </c>
      <c r="U143">
        <f>step3_validation[[#This Row],[AI_ENF2]]</f>
        <v>6</v>
      </c>
      <c r="V143">
        <f t="shared" si="56"/>
        <v>0.55555555555555558</v>
      </c>
      <c r="W143">
        <f>survey_responses[[#This Row],[Tôi tin rằng Nhà nước, cơ quan thuế có đủ khả năng và công nghệ để phát hiện, xử lý nghiêm các hành vi trốn thuế. - HUMAN-ENF2]]</f>
        <v>6</v>
      </c>
      <c r="X143">
        <f t="shared" si="57"/>
        <v>0.55555555555555558</v>
      </c>
      <c r="Y143" s="32">
        <f t="shared" si="58"/>
        <v>0.61111111111111116</v>
      </c>
      <c r="Z143" s="32">
        <f t="shared" si="59"/>
        <v>0.5</v>
      </c>
      <c r="AA143">
        <f>step3_validation[[#This Row],[AI_FAC1]]</f>
        <v>8</v>
      </c>
      <c r="AB143">
        <f t="shared" si="60"/>
        <v>0.77777777777777779</v>
      </c>
      <c r="AC143">
        <f>survey_responses[[#This Row],[Các thủ tục khai báo thuế VÀ/HOẶC quy trình làm việc với cơ quan thuế đơn giản, tiện lợi, nhanh chóng hơn so với trước đây. - HUMAN-FAC1]]</f>
        <v>5</v>
      </c>
      <c r="AD143">
        <f t="shared" si="61"/>
        <v>0.44444444444444442</v>
      </c>
      <c r="AE143">
        <f>step3_validation[[#This Row],[AI_FAC2]]</f>
        <v>9</v>
      </c>
      <c r="AF143">
        <f t="shared" si="62"/>
        <v>0.88888888888888884</v>
      </c>
      <c r="AG143">
        <f>survey_responses[[#This Row],[So với trước đây, tôi thấy cách tính thuế và các bậc thuế trong phương án mới đơn giản, dễ hiểu và dễ thực hiện hơn. - HUMAN-FAC2]]</f>
        <v>7</v>
      </c>
      <c r="AH143">
        <f t="shared" si="63"/>
        <v>0.66666666666666663</v>
      </c>
      <c r="AI143" s="32">
        <f t="shared" si="64"/>
        <v>0.83333333333333326</v>
      </c>
      <c r="AJ143" s="32">
        <f t="shared" si="65"/>
        <v>0.55555555555555558</v>
      </c>
      <c r="AK143">
        <f>step3_validation[[#This Row],[AI_TRU1]]</f>
        <v>7</v>
      </c>
      <c r="AL143">
        <f t="shared" si="66"/>
        <v>0.66666666666666663</v>
      </c>
      <c r="AM143">
        <f>survey_responses[[#This Row],[Tôi tin rằng Nhà nước, cơ quan thuế sẽ thực thi chính sách mới một cách khách quan, công tâm và đối xử bình đẳng với mọi người nộp thuế.  - HUMAN-TRU1]]</f>
        <v>6</v>
      </c>
      <c r="AN143">
        <f t="shared" si="67"/>
        <v>0.55555555555555558</v>
      </c>
      <c r="AO143">
        <f>step3_validation[[#This Row],[AI_TRU2]]</f>
        <v>8</v>
      </c>
      <c r="AP143">
        <f t="shared" si="68"/>
        <v>0.77777777777777779</v>
      </c>
      <c r="AQ143">
        <f>survey_responses[[#This Row],[Tôi thấy mức thuế tôi phải đóng theo phương án mới là công bằng (người thu nhập như tôi đóng mức này là hợp lý). - HUMAN-TRU2]]</f>
        <v>6</v>
      </c>
      <c r="AR143">
        <f t="shared" si="69"/>
        <v>0.55555555555555558</v>
      </c>
      <c r="AS143">
        <f>step3_validation[[#This Row],[AI_TRU3]]</f>
        <v>6</v>
      </c>
      <c r="AT143">
        <f t="shared" si="70"/>
        <v>0.55555555555555558</v>
      </c>
      <c r="AU143">
        <f>survey_responses[[#This Row],[Tôi tin tưởng số tiền thuế tôi đóng sẽ được Nhà nước sử dụng hiệu quả để cải thiện dịch vụ công (y tế, đường xá...). - HUMAN-TRU3]]</f>
        <v>6</v>
      </c>
      <c r="AV143">
        <f t="shared" si="71"/>
        <v>0.55555555555555558</v>
      </c>
      <c r="AW143">
        <f>step3_validation[[#This Row],[AI_TRU4]]</f>
        <v>9</v>
      </c>
      <c r="AX143">
        <f t="shared" si="72"/>
        <v>0.88888888888888884</v>
      </c>
      <c r="AY143">
        <f>survey_responses[[#This Row],[Tôi thấy Nhà nước đã giải thích rõ ràng, minh bạch về lý do và mục tiêu của việc sửa đổi thuế lần này. - HUMAN-TRU4]]</f>
        <v>7</v>
      </c>
      <c r="AZ143">
        <f t="shared" si="73"/>
        <v>0.66666666666666663</v>
      </c>
      <c r="BA143" s="32">
        <f t="shared" si="74"/>
        <v>0.72222222222222221</v>
      </c>
      <c r="BB143" s="32">
        <f t="shared" si="75"/>
        <v>0.58333333333333337</v>
      </c>
      <c r="BC143" s="7">
        <f t="shared" si="76"/>
        <v>0.72222222222222221</v>
      </c>
      <c r="BD143" s="7">
        <f t="shared" si="77"/>
        <v>0.54629629629629628</v>
      </c>
      <c r="BE143">
        <f>step3_validation[[#This Row],[AI_OUT1]]</f>
        <v>8</v>
      </c>
      <c r="BF143">
        <f t="shared" si="78"/>
        <v>0.77777777777777779</v>
      </c>
      <c r="BG143">
        <f>survey_responses[[#This Row],[Sau khi xem xét các quyền lợi và nghĩa vụ, bạn có ủng hộ và tuân thủ chính sách mới hiện nay? - HUMAN-OUT1]]</f>
        <v>7</v>
      </c>
      <c r="BH143">
        <f t="shared" si="79"/>
        <v>0.66666666666666663</v>
      </c>
      <c r="BI143" s="32">
        <f t="shared" si="80"/>
        <v>1</v>
      </c>
    </row>
    <row r="144" spans="1:61" x14ac:dyDescent="0.45">
      <c r="A144" s="30">
        <f>step3_validation[[#This Row],[Persona_ID]]</f>
        <v>143</v>
      </c>
      <c r="B144" s="31">
        <f>step3_validation[[#This Row],[Used_Seed]]</f>
        <v>2168</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178.2528981815465</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7</v>
      </c>
      <c r="R144">
        <f t="shared" si="54"/>
        <v>0.66666666666666663</v>
      </c>
      <c r="S144">
        <f>survey_responses[[#This Row],[Tôi tin rằng với các quy định quản lý thuế hiện nay, hành vi gian lận hoặc trốn thuế sẽ dễ dàng bị phát hiện và xử lý nghiêm. - HUMAN-ENF1]]</f>
        <v>1</v>
      </c>
      <c r="T144">
        <f t="shared" si="55"/>
        <v>0</v>
      </c>
      <c r="U144">
        <f>step3_validation[[#This Row],[AI_ENF2]]</f>
        <v>8</v>
      </c>
      <c r="V144">
        <f t="shared" si="56"/>
        <v>0.77777777777777779</v>
      </c>
      <c r="W144">
        <f>survey_responses[[#This Row],[Tôi tin rằng Nhà nước, cơ quan thuế có đủ khả năng và công nghệ để phát hiện, xử lý nghiêm các hành vi trốn thuế. - HUMAN-ENF2]]</f>
        <v>1</v>
      </c>
      <c r="X144">
        <f t="shared" si="57"/>
        <v>0</v>
      </c>
      <c r="Y144" s="32">
        <f t="shared" si="58"/>
        <v>0.72222222222222221</v>
      </c>
      <c r="Z144" s="32">
        <f t="shared" si="59"/>
        <v>0</v>
      </c>
      <c r="AA144">
        <f>step3_validation[[#This Row],[AI_FAC1]]</f>
        <v>6</v>
      </c>
      <c r="AB144">
        <f t="shared" si="60"/>
        <v>0.55555555555555558</v>
      </c>
      <c r="AC144">
        <f>survey_responses[[#This Row],[Các thủ tục khai báo thuế VÀ/HOẶC quy trình làm việc với cơ quan thuế đơn giản, tiện lợi, nhanh chóng hơn so với trước đây. - HUMAN-FAC1]]</f>
        <v>8</v>
      </c>
      <c r="AD144">
        <f t="shared" si="61"/>
        <v>0.77777777777777779</v>
      </c>
      <c r="AE144">
        <f>step3_validation[[#This Row],[AI_FAC2]]</f>
        <v>9</v>
      </c>
      <c r="AF144">
        <f t="shared" si="62"/>
        <v>0.88888888888888884</v>
      </c>
      <c r="AG144">
        <f>survey_responses[[#This Row],[So với trước đây, tôi thấy cách tính thuế và các bậc thuế trong phương án mới đơn giản, dễ hiểu và dễ thực hiện hơn. - HUMAN-FAC2]]</f>
        <v>8</v>
      </c>
      <c r="AH144">
        <f t="shared" si="63"/>
        <v>0.77777777777777779</v>
      </c>
      <c r="AI144" s="32">
        <f t="shared" si="64"/>
        <v>0.72222222222222221</v>
      </c>
      <c r="AJ144" s="32">
        <f t="shared" si="65"/>
        <v>0.77777777777777779</v>
      </c>
      <c r="AK144">
        <f>step3_validation[[#This Row],[AI_TRU1]]</f>
        <v>7</v>
      </c>
      <c r="AL144">
        <f t="shared" si="66"/>
        <v>0.66666666666666663</v>
      </c>
      <c r="AM144">
        <f>survey_responses[[#This Row],[Tôi tin rằng Nhà nước, cơ quan thuế sẽ thực thi chính sách mới một cách khách quan, công tâm và đối xử bình đẳng với mọi người nộp thuế.  - HUMAN-TRU1]]</f>
        <v>8</v>
      </c>
      <c r="AN144">
        <f t="shared" si="67"/>
        <v>0.77777777777777779</v>
      </c>
      <c r="AO144">
        <f>step3_validation[[#This Row],[AI_TRU2]]</f>
        <v>8</v>
      </c>
      <c r="AP144">
        <f t="shared" si="68"/>
        <v>0.77777777777777779</v>
      </c>
      <c r="AQ144">
        <f>survey_responses[[#This Row],[Tôi thấy mức thuế tôi phải đóng theo phương án mới là công bằng (người thu nhập như tôi đóng mức này là hợp lý). - HUMAN-TRU2]]</f>
        <v>8</v>
      </c>
      <c r="AR144">
        <f t="shared" si="69"/>
        <v>0.77777777777777779</v>
      </c>
      <c r="AS144">
        <f>step3_validation[[#This Row],[AI_TRU3]]</f>
        <v>7</v>
      </c>
      <c r="AT144">
        <f t="shared" si="70"/>
        <v>0.66666666666666663</v>
      </c>
      <c r="AU144">
        <f>survey_responses[[#This Row],[Tôi tin tưởng số tiền thuế tôi đóng sẽ được Nhà nước sử dụng hiệu quả để cải thiện dịch vụ công (y tế, đường xá...). - HUMAN-TRU3]]</f>
        <v>8</v>
      </c>
      <c r="AV144">
        <f t="shared" si="71"/>
        <v>0.77777777777777779</v>
      </c>
      <c r="AW144">
        <f>step3_validation[[#This Row],[AI_TRU4]]</f>
        <v>6</v>
      </c>
      <c r="AX144">
        <f t="shared" si="72"/>
        <v>0.55555555555555558</v>
      </c>
      <c r="AY144">
        <f>survey_responses[[#This Row],[Tôi thấy Nhà nước đã giải thích rõ ràng, minh bạch về lý do và mục tiêu của việc sửa đổi thuế lần này. - HUMAN-TRU4]]</f>
        <v>8</v>
      </c>
      <c r="AZ144">
        <f t="shared" si="73"/>
        <v>0.77777777777777779</v>
      </c>
      <c r="BA144" s="32">
        <f t="shared" si="74"/>
        <v>0.66666666666666674</v>
      </c>
      <c r="BB144" s="32">
        <f t="shared" si="75"/>
        <v>0.77777777777777779</v>
      </c>
      <c r="BC144" s="7">
        <f t="shared" si="76"/>
        <v>0.70370370370370372</v>
      </c>
      <c r="BD144" s="7">
        <f t="shared" si="77"/>
        <v>0.51851851851851849</v>
      </c>
      <c r="BE144">
        <f>step3_validation[[#This Row],[AI_OUT1]]</f>
        <v>8</v>
      </c>
      <c r="BF144">
        <f t="shared" si="78"/>
        <v>0.77777777777777779</v>
      </c>
      <c r="BG144">
        <f>survey_responses[[#This Row],[Sau khi xem xét các quyền lợi và nghĩa vụ, bạn có ủng hộ và tuân thủ chính sách mới hiện nay? - HUMAN-OUT1]]</f>
        <v>8</v>
      </c>
      <c r="BH144">
        <f t="shared" si="79"/>
        <v>0.77777777777777779</v>
      </c>
      <c r="BI144" s="32">
        <f t="shared" si="80"/>
        <v>0</v>
      </c>
    </row>
    <row r="145" spans="1:61" x14ac:dyDescent="0.45">
      <c r="A145" s="30">
        <f>step3_validation[[#This Row],[Persona_ID]]</f>
        <v>144</v>
      </c>
      <c r="B145" s="31">
        <f>step3_validation[[#This Row],[Used_Seed]]</f>
        <v>2169</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65.292130954642033</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9</v>
      </c>
      <c r="R145">
        <f t="shared" si="54"/>
        <v>0.88888888888888884</v>
      </c>
      <c r="S145">
        <f>survey_responses[[#This Row],[Tôi tin rằng với các quy định quản lý thuế hiện nay, hành vi gian lận hoặc trốn thuế sẽ dễ dàng bị phát hiện và xử lý nghiêm. - HUMAN-ENF1]]</f>
        <v>9</v>
      </c>
      <c r="T145">
        <f t="shared" si="55"/>
        <v>0.88888888888888884</v>
      </c>
      <c r="U145">
        <f>step3_validation[[#This Row],[AI_ENF2]]</f>
        <v>8</v>
      </c>
      <c r="V145">
        <f t="shared" si="56"/>
        <v>0.77777777777777779</v>
      </c>
      <c r="W145">
        <f>survey_responses[[#This Row],[Tôi tin rằng Nhà nước, cơ quan thuế có đủ khả năng và công nghệ để phát hiện, xử lý nghiêm các hành vi trốn thuế. - HUMAN-ENF2]]</f>
        <v>9</v>
      </c>
      <c r="X145">
        <f t="shared" si="57"/>
        <v>0.88888888888888884</v>
      </c>
      <c r="Y145" s="32">
        <f t="shared" si="58"/>
        <v>0.83333333333333326</v>
      </c>
      <c r="Z145" s="32">
        <f t="shared" si="59"/>
        <v>0.88888888888888884</v>
      </c>
      <c r="AA145">
        <f>step3_validation[[#This Row],[AI_FAC1]]</f>
        <v>8</v>
      </c>
      <c r="AB145">
        <f t="shared" si="60"/>
        <v>0.77777777777777779</v>
      </c>
      <c r="AC145">
        <f>survey_responses[[#This Row],[Các thủ tục khai báo thuế VÀ/HOẶC quy trình làm việc với cơ quan thuế đơn giản, tiện lợi, nhanh chóng hơn so với trước đây. - HUMAN-FAC1]]</f>
        <v>9</v>
      </c>
      <c r="AD145">
        <f t="shared" si="61"/>
        <v>0.88888888888888884</v>
      </c>
      <c r="AE145">
        <f>step3_validation[[#This Row],[AI_FAC2]]</f>
        <v>8</v>
      </c>
      <c r="AF145">
        <f t="shared" si="62"/>
        <v>0.77777777777777779</v>
      </c>
      <c r="AG145">
        <f>survey_responses[[#This Row],[So với trước đây, tôi thấy cách tính thuế và các bậc thuế trong phương án mới đơn giản, dễ hiểu và dễ thực hiện hơn. - HUMAN-FAC2]]</f>
        <v>9</v>
      </c>
      <c r="AH145">
        <f t="shared" si="63"/>
        <v>0.88888888888888884</v>
      </c>
      <c r="AI145" s="32">
        <f t="shared" si="64"/>
        <v>0.77777777777777779</v>
      </c>
      <c r="AJ145" s="32">
        <f t="shared" si="65"/>
        <v>0.88888888888888884</v>
      </c>
      <c r="AK145">
        <f>step3_validation[[#This Row],[AI_TRU1]]</f>
        <v>9</v>
      </c>
      <c r="AL145">
        <f t="shared" si="66"/>
        <v>0.88888888888888884</v>
      </c>
      <c r="AM145">
        <f>survey_responses[[#This Row],[Tôi tin rằng Nhà nước, cơ quan thuế sẽ thực thi chính sách mới một cách khách quan, công tâm và đối xử bình đẳng với mọi người nộp thuế.  - HUMAN-TRU1]]</f>
        <v>10</v>
      </c>
      <c r="AN145">
        <f t="shared" si="67"/>
        <v>1</v>
      </c>
      <c r="AO145">
        <f>step3_validation[[#This Row],[AI_TRU2]]</f>
        <v>8</v>
      </c>
      <c r="AP145">
        <f t="shared" si="68"/>
        <v>0.77777777777777779</v>
      </c>
      <c r="AQ145">
        <f>survey_responses[[#This Row],[Tôi thấy mức thuế tôi phải đóng theo phương án mới là công bằng (người thu nhập như tôi đóng mức này là hợp lý). - HUMAN-TRU2]]</f>
        <v>5</v>
      </c>
      <c r="AR145">
        <f t="shared" si="69"/>
        <v>0.44444444444444442</v>
      </c>
      <c r="AS145">
        <f>step3_validation[[#This Row],[AI_TRU3]]</f>
        <v>9</v>
      </c>
      <c r="AT145">
        <f t="shared" si="70"/>
        <v>0.88888888888888884</v>
      </c>
      <c r="AU145">
        <f>survey_responses[[#This Row],[Tôi tin tưởng số tiền thuế tôi đóng sẽ được Nhà nước sử dụng hiệu quả để cải thiện dịch vụ công (y tế, đường xá...). - HUMAN-TRU3]]</f>
        <v>9</v>
      </c>
      <c r="AV145">
        <f t="shared" si="71"/>
        <v>0.88888888888888884</v>
      </c>
      <c r="AW145">
        <f>step3_validation[[#This Row],[AI_TRU4]]</f>
        <v>8</v>
      </c>
      <c r="AX145">
        <f t="shared" si="72"/>
        <v>0.77777777777777779</v>
      </c>
      <c r="AY145">
        <f>survey_responses[[#This Row],[Tôi thấy Nhà nước đã giải thích rõ ràng, minh bạch về lý do và mục tiêu của việc sửa đổi thuế lần này. - HUMAN-TRU4]]</f>
        <v>9</v>
      </c>
      <c r="AZ145">
        <f t="shared" si="73"/>
        <v>0.88888888888888884</v>
      </c>
      <c r="BA145" s="32">
        <f t="shared" si="74"/>
        <v>0.83333333333333326</v>
      </c>
      <c r="BB145" s="32">
        <f t="shared" si="75"/>
        <v>0.80555555555555547</v>
      </c>
      <c r="BC145" s="7">
        <f t="shared" si="76"/>
        <v>0.81481481481481488</v>
      </c>
      <c r="BD145" s="7">
        <f t="shared" si="77"/>
        <v>0.86111111111111105</v>
      </c>
      <c r="BE145">
        <f>step3_validation[[#This Row],[AI_OUT1]]</f>
        <v>9</v>
      </c>
      <c r="BF145">
        <f t="shared" si="78"/>
        <v>0.88888888888888884</v>
      </c>
      <c r="BG145">
        <f>survey_responses[[#This Row],[Sau khi xem xét các quyền lợi và nghĩa vụ, bạn có ủng hộ và tuân thủ chính sách mới hiện nay? - HUMAN-OUT1]]</f>
        <v>10</v>
      </c>
      <c r="BH145">
        <f t="shared" si="79"/>
        <v>1</v>
      </c>
      <c r="BI145" s="32">
        <f t="shared" si="80"/>
        <v>1</v>
      </c>
    </row>
    <row r="146" spans="1:61" x14ac:dyDescent="0.45">
      <c r="A146" s="30">
        <f>step3_validation[[#This Row],[Persona_ID]]</f>
        <v>145</v>
      </c>
      <c r="B146" s="31">
        <f>step3_validation[[#This Row],[Used_Seed]]</f>
        <v>2170</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57.142928137015538</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7</v>
      </c>
      <c r="R146">
        <f t="shared" si="54"/>
        <v>0.66666666666666663</v>
      </c>
      <c r="S146">
        <f>survey_responses[[#This Row],[Tôi tin rằng với các quy định quản lý thuế hiện nay, hành vi gian lận hoặc trốn thuế sẽ dễ dàng bị phát hiện và xử lý nghiêm. - HUMAN-ENF1]]</f>
        <v>10</v>
      </c>
      <c r="T146">
        <f t="shared" si="55"/>
        <v>1</v>
      </c>
      <c r="U146">
        <f>step3_validation[[#This Row],[AI_ENF2]]</f>
        <v>8</v>
      </c>
      <c r="V146">
        <f t="shared" si="56"/>
        <v>0.77777777777777779</v>
      </c>
      <c r="W146">
        <f>survey_responses[[#This Row],[Tôi tin rằng Nhà nước, cơ quan thuế có đủ khả năng và công nghệ để phát hiện, xử lý nghiêm các hành vi trốn thuế. - HUMAN-ENF2]]</f>
        <v>10</v>
      </c>
      <c r="X146">
        <f t="shared" si="57"/>
        <v>1</v>
      </c>
      <c r="Y146" s="32">
        <f t="shared" si="58"/>
        <v>0.72222222222222221</v>
      </c>
      <c r="Z146" s="32">
        <f t="shared" si="59"/>
        <v>1</v>
      </c>
      <c r="AA146">
        <f>step3_validation[[#This Row],[AI_FAC1]]</f>
        <v>9</v>
      </c>
      <c r="AB146">
        <f t="shared" si="60"/>
        <v>0.88888888888888884</v>
      </c>
      <c r="AC146">
        <f>survey_responses[[#This Row],[Các thủ tục khai báo thuế VÀ/HOẶC quy trình làm việc với cơ quan thuế đơn giản, tiện lợi, nhanh chóng hơn so với trước đây. - HUMAN-FAC1]]</f>
        <v>9</v>
      </c>
      <c r="AD146">
        <f t="shared" si="61"/>
        <v>0.88888888888888884</v>
      </c>
      <c r="AE146">
        <f>step3_validation[[#This Row],[AI_FAC2]]</f>
        <v>10</v>
      </c>
      <c r="AF146">
        <f t="shared" si="62"/>
        <v>1</v>
      </c>
      <c r="AG146">
        <f>survey_responses[[#This Row],[So với trước đây, tôi thấy cách tính thuế và các bậc thuế trong phương án mới đơn giản, dễ hiểu và dễ thực hiện hơn. - HUMAN-FAC2]]</f>
        <v>6</v>
      </c>
      <c r="AH146">
        <f t="shared" si="63"/>
        <v>0.55555555555555558</v>
      </c>
      <c r="AI146" s="32">
        <f t="shared" si="64"/>
        <v>0.94444444444444442</v>
      </c>
      <c r="AJ146" s="32">
        <f t="shared" si="65"/>
        <v>0.72222222222222221</v>
      </c>
      <c r="AK146">
        <f>step3_validation[[#This Row],[AI_TRU1]]</f>
        <v>8</v>
      </c>
      <c r="AL146">
        <f t="shared" si="66"/>
        <v>0.77777777777777779</v>
      </c>
      <c r="AM146">
        <f>survey_responses[[#This Row],[Tôi tin rằng Nhà nước, cơ quan thuế sẽ thực thi chính sách mới một cách khách quan, công tâm và đối xử bình đẳng với mọi người nộp thuế.  - HUMAN-TRU1]]</f>
        <v>6</v>
      </c>
      <c r="AN146">
        <f t="shared" si="67"/>
        <v>0.55555555555555558</v>
      </c>
      <c r="AO146">
        <f>step3_validation[[#This Row],[AI_TRU2]]</f>
        <v>9</v>
      </c>
      <c r="AP146">
        <f t="shared" si="68"/>
        <v>0.88888888888888884</v>
      </c>
      <c r="AQ146">
        <f>survey_responses[[#This Row],[Tôi thấy mức thuế tôi phải đóng theo phương án mới là công bằng (người thu nhập như tôi đóng mức này là hợp lý). - HUMAN-TRU2]]</f>
        <v>3</v>
      </c>
      <c r="AR146">
        <f t="shared" si="69"/>
        <v>0.22222222222222221</v>
      </c>
      <c r="AS146">
        <f>step3_validation[[#This Row],[AI_TRU3]]</f>
        <v>8</v>
      </c>
      <c r="AT146">
        <f t="shared" si="70"/>
        <v>0.77777777777777779</v>
      </c>
      <c r="AU146">
        <f>survey_responses[[#This Row],[Tôi tin tưởng số tiền thuế tôi đóng sẽ được Nhà nước sử dụng hiệu quả để cải thiện dịch vụ công (y tế, đường xá...). - HUMAN-TRU3]]</f>
        <v>5</v>
      </c>
      <c r="AV146">
        <f t="shared" si="71"/>
        <v>0.44444444444444442</v>
      </c>
      <c r="AW146">
        <f>step3_validation[[#This Row],[AI_TRU4]]</f>
        <v>7</v>
      </c>
      <c r="AX146">
        <f t="shared" si="72"/>
        <v>0.66666666666666663</v>
      </c>
      <c r="AY146">
        <f>survey_responses[[#This Row],[Tôi thấy Nhà nước đã giải thích rõ ràng, minh bạch về lý do và mục tiêu của việc sửa đổi thuế lần này. - HUMAN-TRU4]]</f>
        <v>5</v>
      </c>
      <c r="AZ146">
        <f t="shared" si="73"/>
        <v>0.44444444444444442</v>
      </c>
      <c r="BA146" s="32">
        <f t="shared" si="74"/>
        <v>0.77777777777777768</v>
      </c>
      <c r="BB146" s="32">
        <f t="shared" si="75"/>
        <v>0.41666666666666669</v>
      </c>
      <c r="BC146" s="7">
        <f t="shared" si="76"/>
        <v>0.81481481481481477</v>
      </c>
      <c r="BD146" s="7">
        <f t="shared" si="77"/>
        <v>0.71296296296296291</v>
      </c>
      <c r="BE146">
        <f>step3_validation[[#This Row],[AI_OUT1]]</f>
        <v>9</v>
      </c>
      <c r="BF146">
        <f t="shared" si="78"/>
        <v>0.88888888888888884</v>
      </c>
      <c r="BG146">
        <f>survey_responses[[#This Row],[Sau khi xem xét các quyền lợi và nghĩa vụ, bạn có ủng hộ và tuân thủ chính sách mới hiện nay? - HUMAN-OUT1]]</f>
        <v>1</v>
      </c>
      <c r="BH146">
        <f t="shared" si="79"/>
        <v>0</v>
      </c>
      <c r="BI146" s="32">
        <f t="shared" si="80"/>
        <v>8</v>
      </c>
    </row>
    <row r="147" spans="1:61" x14ac:dyDescent="0.45">
      <c r="A147" s="30">
        <f>step3_validation[[#This Row],[Persona_ID]]</f>
        <v>146</v>
      </c>
      <c r="B147" s="31">
        <f>step3_validation[[#This Row],[Used_Seed]]</f>
        <v>2171</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87.067652463083746</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8</v>
      </c>
      <c r="R147">
        <f t="shared" si="54"/>
        <v>0.77777777777777779</v>
      </c>
      <c r="S147">
        <f>survey_responses[[#This Row],[Tôi tin rằng với các quy định quản lý thuế hiện nay, hành vi gian lận hoặc trốn thuế sẽ dễ dàng bị phát hiện và xử lý nghiêm. - HUMAN-ENF1]]</f>
        <v>8</v>
      </c>
      <c r="T147">
        <f t="shared" si="55"/>
        <v>0.77777777777777779</v>
      </c>
      <c r="U147">
        <f>step3_validation[[#This Row],[AI_ENF2]]</f>
        <v>9</v>
      </c>
      <c r="V147">
        <f t="shared" si="56"/>
        <v>0.88888888888888884</v>
      </c>
      <c r="W147">
        <f>survey_responses[[#This Row],[Tôi tin rằng Nhà nước, cơ quan thuế có đủ khả năng và công nghệ để phát hiện, xử lý nghiêm các hành vi trốn thuế. - HUMAN-ENF2]]</f>
        <v>8</v>
      </c>
      <c r="X147">
        <f t="shared" si="57"/>
        <v>0.77777777777777779</v>
      </c>
      <c r="Y147" s="32">
        <f t="shared" si="58"/>
        <v>0.83333333333333326</v>
      </c>
      <c r="Z147" s="32">
        <f t="shared" si="59"/>
        <v>0.77777777777777779</v>
      </c>
      <c r="AA147">
        <f>step3_validation[[#This Row],[AI_FAC1]]</f>
        <v>7</v>
      </c>
      <c r="AB147">
        <f t="shared" si="60"/>
        <v>0.66666666666666663</v>
      </c>
      <c r="AC147">
        <f>survey_responses[[#This Row],[Các thủ tục khai báo thuế VÀ/HOẶC quy trình làm việc với cơ quan thuế đơn giản, tiện lợi, nhanh chóng hơn so với trước đây. - HUMAN-FAC1]]</f>
        <v>5</v>
      </c>
      <c r="AD147">
        <f t="shared" si="61"/>
        <v>0.44444444444444442</v>
      </c>
      <c r="AE147">
        <f>step3_validation[[#This Row],[AI_FAC2]]</f>
        <v>9</v>
      </c>
      <c r="AF147">
        <f t="shared" si="62"/>
        <v>0.88888888888888884</v>
      </c>
      <c r="AG147">
        <f>survey_responses[[#This Row],[So với trước đây, tôi thấy cách tính thuế và các bậc thuế trong phương án mới đơn giản, dễ hiểu và dễ thực hiện hơn. - HUMAN-FAC2]]</f>
        <v>5</v>
      </c>
      <c r="AH147">
        <f t="shared" si="63"/>
        <v>0.44444444444444442</v>
      </c>
      <c r="AI147" s="32">
        <f t="shared" si="64"/>
        <v>0.77777777777777768</v>
      </c>
      <c r="AJ147" s="32">
        <f t="shared" si="65"/>
        <v>0.44444444444444442</v>
      </c>
      <c r="AK147">
        <f>step3_validation[[#This Row],[AI_TRU1]]</f>
        <v>8</v>
      </c>
      <c r="AL147">
        <f t="shared" si="66"/>
        <v>0.77777777777777779</v>
      </c>
      <c r="AM147">
        <f>survey_responses[[#This Row],[Tôi tin rằng Nhà nước, cơ quan thuế sẽ thực thi chính sách mới một cách khách quan, công tâm và đối xử bình đẳng với mọi người nộp thuế.  - HUMAN-TRU1]]</f>
        <v>5</v>
      </c>
      <c r="AN147">
        <f t="shared" si="67"/>
        <v>0.44444444444444442</v>
      </c>
      <c r="AO147">
        <f>step3_validation[[#This Row],[AI_TRU2]]</f>
        <v>9</v>
      </c>
      <c r="AP147">
        <f t="shared" si="68"/>
        <v>0.88888888888888884</v>
      </c>
      <c r="AQ147">
        <f>survey_responses[[#This Row],[Tôi thấy mức thuế tôi phải đóng theo phương án mới là công bằng (người thu nhập như tôi đóng mức này là hợp lý). - HUMAN-TRU2]]</f>
        <v>3</v>
      </c>
      <c r="AR147">
        <f t="shared" si="69"/>
        <v>0.22222222222222221</v>
      </c>
      <c r="AS147">
        <f>step3_validation[[#This Row],[AI_TRU3]]</f>
        <v>8</v>
      </c>
      <c r="AT147">
        <f t="shared" si="70"/>
        <v>0.77777777777777779</v>
      </c>
      <c r="AU147">
        <f>survey_responses[[#This Row],[Tôi tin tưởng số tiền thuế tôi đóng sẽ được Nhà nước sử dụng hiệu quả để cải thiện dịch vụ công (y tế, đường xá...). - HUMAN-TRU3]]</f>
        <v>5</v>
      </c>
      <c r="AV147">
        <f t="shared" si="71"/>
        <v>0.44444444444444442</v>
      </c>
      <c r="AW147">
        <f>step3_validation[[#This Row],[AI_TRU4]]</f>
        <v>7</v>
      </c>
      <c r="AX147">
        <f t="shared" si="72"/>
        <v>0.66666666666666663</v>
      </c>
      <c r="AY147">
        <f>survey_responses[[#This Row],[Tôi thấy Nhà nước đã giải thích rõ ràng, minh bạch về lý do và mục tiêu của việc sửa đổi thuế lần này. - HUMAN-TRU4]]</f>
        <v>5</v>
      </c>
      <c r="AZ147">
        <f t="shared" si="73"/>
        <v>0.44444444444444442</v>
      </c>
      <c r="BA147" s="32">
        <f t="shared" si="74"/>
        <v>0.77777777777777768</v>
      </c>
      <c r="BB147" s="32">
        <f t="shared" si="75"/>
        <v>0.3888888888888889</v>
      </c>
      <c r="BC147" s="7">
        <f t="shared" si="76"/>
        <v>0.79629629629629617</v>
      </c>
      <c r="BD147" s="7">
        <f t="shared" si="77"/>
        <v>0.53703703703703709</v>
      </c>
      <c r="BE147">
        <f>step3_validation[[#This Row],[AI_OUT1]]</f>
        <v>9</v>
      </c>
      <c r="BF147">
        <f t="shared" si="78"/>
        <v>0.88888888888888884</v>
      </c>
      <c r="BG147">
        <f>survey_responses[[#This Row],[Sau khi xem xét các quyền lợi và nghĩa vụ, bạn có ủng hộ và tuân thủ chính sách mới hiện nay? - HUMAN-OUT1]]</f>
        <v>5</v>
      </c>
      <c r="BH147">
        <f t="shared" si="79"/>
        <v>0.44444444444444442</v>
      </c>
      <c r="BI147" s="32">
        <f t="shared" si="80"/>
        <v>4</v>
      </c>
    </row>
    <row r="148" spans="1:61" x14ac:dyDescent="0.45">
      <c r="A148" s="30">
        <f>step3_validation[[#This Row],[Persona_ID]]</f>
        <v>147</v>
      </c>
      <c r="B148" s="31">
        <f>step3_validation[[#This Row],[Used_Seed]]</f>
        <v>2172</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161.6736632827685</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7</v>
      </c>
      <c r="R148">
        <f t="shared" si="54"/>
        <v>0.66666666666666663</v>
      </c>
      <c r="S148">
        <f>survey_responses[[#This Row],[Tôi tin rằng với các quy định quản lý thuế hiện nay, hành vi gian lận hoặc trốn thuế sẽ dễ dàng bị phát hiện và xử lý nghiêm. - HUMAN-ENF1]]</f>
        <v>7</v>
      </c>
      <c r="T148">
        <f t="shared" si="55"/>
        <v>0.66666666666666663</v>
      </c>
      <c r="U148">
        <f>step3_validation[[#This Row],[AI_ENF2]]</f>
        <v>8</v>
      </c>
      <c r="V148">
        <f t="shared" si="56"/>
        <v>0.77777777777777779</v>
      </c>
      <c r="W148">
        <f>survey_responses[[#This Row],[Tôi tin rằng Nhà nước, cơ quan thuế có đủ khả năng và công nghệ để phát hiện, xử lý nghiêm các hành vi trốn thuế. - HUMAN-ENF2]]</f>
        <v>7</v>
      </c>
      <c r="X148">
        <f t="shared" si="57"/>
        <v>0.66666666666666663</v>
      </c>
      <c r="Y148" s="32">
        <f t="shared" si="58"/>
        <v>0.72222222222222221</v>
      </c>
      <c r="Z148" s="32">
        <f t="shared" si="59"/>
        <v>0.66666666666666663</v>
      </c>
      <c r="AA148">
        <f>step3_validation[[#This Row],[AI_FAC1]]</f>
        <v>7</v>
      </c>
      <c r="AB148">
        <f t="shared" si="60"/>
        <v>0.66666666666666663</v>
      </c>
      <c r="AC148">
        <f>survey_responses[[#This Row],[Các thủ tục khai báo thuế VÀ/HOẶC quy trình làm việc với cơ quan thuế đơn giản, tiện lợi, nhanh chóng hơn so với trước đây. - HUMAN-FAC1]]</f>
        <v>1</v>
      </c>
      <c r="AD148">
        <f t="shared" si="61"/>
        <v>0</v>
      </c>
      <c r="AE148">
        <f>step3_validation[[#This Row],[AI_FAC2]]</f>
        <v>9</v>
      </c>
      <c r="AF148">
        <f t="shared" si="62"/>
        <v>0.88888888888888884</v>
      </c>
      <c r="AG148">
        <f>survey_responses[[#This Row],[So với trước đây, tôi thấy cách tính thuế và các bậc thuế trong phương án mới đơn giản, dễ hiểu và dễ thực hiện hơn. - HUMAN-FAC2]]</f>
        <v>6</v>
      </c>
      <c r="AH148">
        <f t="shared" si="63"/>
        <v>0.55555555555555558</v>
      </c>
      <c r="AI148" s="32">
        <f t="shared" si="64"/>
        <v>0.77777777777777768</v>
      </c>
      <c r="AJ148" s="32">
        <f t="shared" si="65"/>
        <v>0.27777777777777779</v>
      </c>
      <c r="AK148">
        <f>step3_validation[[#This Row],[AI_TRU1]]</f>
        <v>6</v>
      </c>
      <c r="AL148">
        <f t="shared" si="66"/>
        <v>0.55555555555555558</v>
      </c>
      <c r="AM148">
        <f>survey_responses[[#This Row],[Tôi tin rằng Nhà nước, cơ quan thuế sẽ thực thi chính sách mới một cách khách quan, công tâm và đối xử bình đẳng với mọi người nộp thuế.  - HUMAN-TRU1]]</f>
        <v>3</v>
      </c>
      <c r="AN148">
        <f t="shared" si="67"/>
        <v>0.22222222222222221</v>
      </c>
      <c r="AO148">
        <f>step3_validation[[#This Row],[AI_TRU2]]</f>
        <v>8</v>
      </c>
      <c r="AP148">
        <f t="shared" si="68"/>
        <v>0.77777777777777779</v>
      </c>
      <c r="AQ148">
        <f>survey_responses[[#This Row],[Tôi thấy mức thuế tôi phải đóng theo phương án mới là công bằng (người thu nhập như tôi đóng mức này là hợp lý). - HUMAN-TRU2]]</f>
        <v>5</v>
      </c>
      <c r="AR148">
        <f t="shared" si="69"/>
        <v>0.44444444444444442</v>
      </c>
      <c r="AS148">
        <f>step3_validation[[#This Row],[AI_TRU3]]</f>
        <v>7</v>
      </c>
      <c r="AT148">
        <f t="shared" si="70"/>
        <v>0.66666666666666663</v>
      </c>
      <c r="AU148">
        <f>survey_responses[[#This Row],[Tôi tin tưởng số tiền thuế tôi đóng sẽ được Nhà nước sử dụng hiệu quả để cải thiện dịch vụ công (y tế, đường xá...). - HUMAN-TRU3]]</f>
        <v>1</v>
      </c>
      <c r="AV148">
        <f t="shared" si="71"/>
        <v>0</v>
      </c>
      <c r="AW148">
        <f>step3_validation[[#This Row],[AI_TRU4]]</f>
        <v>6</v>
      </c>
      <c r="AX148">
        <f t="shared" si="72"/>
        <v>0.55555555555555558</v>
      </c>
      <c r="AY148">
        <f>survey_responses[[#This Row],[Tôi thấy Nhà nước đã giải thích rõ ràng, minh bạch về lý do và mục tiêu của việc sửa đổi thuế lần này. - HUMAN-TRU4]]</f>
        <v>4</v>
      </c>
      <c r="AZ148">
        <f t="shared" si="73"/>
        <v>0.33333333333333331</v>
      </c>
      <c r="BA148" s="32">
        <f t="shared" si="74"/>
        <v>0.63888888888888884</v>
      </c>
      <c r="BB148" s="32">
        <f t="shared" si="75"/>
        <v>0.25</v>
      </c>
      <c r="BC148" s="7">
        <f t="shared" si="76"/>
        <v>0.71296296296296291</v>
      </c>
      <c r="BD148" s="7">
        <f t="shared" si="77"/>
        <v>0.39814814814814814</v>
      </c>
      <c r="BE148">
        <f>step3_validation[[#This Row],[AI_OUT1]]</f>
        <v>7</v>
      </c>
      <c r="BF148">
        <f t="shared" si="78"/>
        <v>0.66666666666666663</v>
      </c>
      <c r="BG148">
        <f>survey_responses[[#This Row],[Sau khi xem xét các quyền lợi và nghĩa vụ, bạn có ủng hộ và tuân thủ chính sách mới hiện nay? - HUMAN-OUT1]]</f>
        <v>5</v>
      </c>
      <c r="BH148">
        <f t="shared" si="79"/>
        <v>0.44444444444444442</v>
      </c>
      <c r="BI148" s="32">
        <f t="shared" si="80"/>
        <v>2</v>
      </c>
    </row>
    <row r="149" spans="1:61" x14ac:dyDescent="0.45">
      <c r="A149" s="30">
        <f>step3_validation[[#This Row],[Persona_ID]]</f>
        <v>148</v>
      </c>
      <c r="B149" s="31">
        <f>step3_validation[[#This Row],[Used_Seed]]</f>
        <v>2173</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20.765939402212396</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7</v>
      </c>
      <c r="R149">
        <f t="shared" si="54"/>
        <v>0.66666666666666663</v>
      </c>
      <c r="S149">
        <f>survey_responses[[#This Row],[Tôi tin rằng với các quy định quản lý thuế hiện nay, hành vi gian lận hoặc trốn thuế sẽ dễ dàng bị phát hiện và xử lý nghiêm. - HUMAN-ENF1]]</f>
        <v>6</v>
      </c>
      <c r="T149">
        <f t="shared" si="55"/>
        <v>0.55555555555555558</v>
      </c>
      <c r="U149">
        <f>step3_validation[[#This Row],[AI_ENF2]]</f>
        <v>6</v>
      </c>
      <c r="V149">
        <f t="shared" si="56"/>
        <v>0.55555555555555558</v>
      </c>
      <c r="W149">
        <f>survey_responses[[#This Row],[Tôi tin rằng Nhà nước, cơ quan thuế có đủ khả năng và công nghệ để phát hiện, xử lý nghiêm các hành vi trốn thuế. - HUMAN-ENF2]]</f>
        <v>6</v>
      </c>
      <c r="X149">
        <f t="shared" si="57"/>
        <v>0.55555555555555558</v>
      </c>
      <c r="Y149" s="32">
        <f t="shared" si="58"/>
        <v>0.61111111111111116</v>
      </c>
      <c r="Z149" s="32">
        <f t="shared" si="59"/>
        <v>0.55555555555555558</v>
      </c>
      <c r="AA149">
        <f>step3_validation[[#This Row],[AI_FAC1]]</f>
        <v>8</v>
      </c>
      <c r="AB149">
        <f t="shared" si="60"/>
        <v>0.77777777777777779</v>
      </c>
      <c r="AC149">
        <f>survey_responses[[#This Row],[Các thủ tục khai báo thuế VÀ/HOẶC quy trình làm việc với cơ quan thuế đơn giản, tiện lợi, nhanh chóng hơn so với trước đây. - HUMAN-FAC1]]</f>
        <v>5</v>
      </c>
      <c r="AD149">
        <f t="shared" si="61"/>
        <v>0.44444444444444442</v>
      </c>
      <c r="AE149">
        <f>step3_validation[[#This Row],[AI_FAC2]]</f>
        <v>9</v>
      </c>
      <c r="AF149">
        <f t="shared" si="62"/>
        <v>0.88888888888888884</v>
      </c>
      <c r="AG149">
        <f>survey_responses[[#This Row],[So với trước đây, tôi thấy cách tính thuế và các bậc thuế trong phương án mới đơn giản, dễ hiểu và dễ thực hiện hơn. - HUMAN-FAC2]]</f>
        <v>7</v>
      </c>
      <c r="AH149">
        <f t="shared" si="63"/>
        <v>0.66666666666666663</v>
      </c>
      <c r="AI149" s="32">
        <f t="shared" si="64"/>
        <v>0.83333333333333326</v>
      </c>
      <c r="AJ149" s="32">
        <f t="shared" si="65"/>
        <v>0.55555555555555558</v>
      </c>
      <c r="AK149">
        <f>step3_validation[[#This Row],[AI_TRU1]]</f>
        <v>7</v>
      </c>
      <c r="AL149">
        <f t="shared" si="66"/>
        <v>0.66666666666666663</v>
      </c>
      <c r="AM149">
        <f>survey_responses[[#This Row],[Tôi tin rằng Nhà nước, cơ quan thuế sẽ thực thi chính sách mới một cách khách quan, công tâm và đối xử bình đẳng với mọi người nộp thuế.  - HUMAN-TRU1]]</f>
        <v>5</v>
      </c>
      <c r="AN149">
        <f t="shared" si="67"/>
        <v>0.44444444444444442</v>
      </c>
      <c r="AO149">
        <f>step3_validation[[#This Row],[AI_TRU2]]</f>
        <v>9</v>
      </c>
      <c r="AP149">
        <f t="shared" si="68"/>
        <v>0.88888888888888884</v>
      </c>
      <c r="AQ149">
        <f>survey_responses[[#This Row],[Tôi thấy mức thuế tôi phải đóng theo phương án mới là công bằng (người thu nhập như tôi đóng mức này là hợp lý). - HUMAN-TRU2]]</f>
        <v>7</v>
      </c>
      <c r="AR149">
        <f t="shared" si="69"/>
        <v>0.66666666666666663</v>
      </c>
      <c r="AS149">
        <f>step3_validation[[#This Row],[AI_TRU3]]</f>
        <v>8</v>
      </c>
      <c r="AT149">
        <f t="shared" si="70"/>
        <v>0.77777777777777779</v>
      </c>
      <c r="AU149">
        <f>survey_responses[[#This Row],[Tôi tin tưởng số tiền thuế tôi đóng sẽ được Nhà nước sử dụng hiệu quả để cải thiện dịch vụ công (y tế, đường xá...). - HUMAN-TRU3]]</f>
        <v>5</v>
      </c>
      <c r="AV149">
        <f t="shared" si="71"/>
        <v>0.44444444444444442</v>
      </c>
      <c r="AW149">
        <f>step3_validation[[#This Row],[AI_TRU4]]</f>
        <v>7</v>
      </c>
      <c r="AX149">
        <f t="shared" si="72"/>
        <v>0.66666666666666663</v>
      </c>
      <c r="AY149">
        <f>survey_responses[[#This Row],[Tôi thấy Nhà nước đã giải thích rõ ràng, minh bạch về lý do và mục tiêu của việc sửa đổi thuế lần này. - HUMAN-TRU4]]</f>
        <v>6</v>
      </c>
      <c r="AZ149">
        <f t="shared" si="73"/>
        <v>0.55555555555555558</v>
      </c>
      <c r="BA149" s="32">
        <f t="shared" si="74"/>
        <v>0.74999999999999989</v>
      </c>
      <c r="BB149" s="32">
        <f t="shared" si="75"/>
        <v>0.52777777777777779</v>
      </c>
      <c r="BC149" s="7">
        <f t="shared" si="76"/>
        <v>0.7314814814814814</v>
      </c>
      <c r="BD149" s="7">
        <f t="shared" si="77"/>
        <v>0.54629629629629628</v>
      </c>
      <c r="BE149">
        <f>step3_validation[[#This Row],[AI_OUT1]]</f>
        <v>9</v>
      </c>
      <c r="BF149">
        <f t="shared" si="78"/>
        <v>0.88888888888888884</v>
      </c>
      <c r="BG149">
        <f>survey_responses[[#This Row],[Sau khi xem xét các quyền lợi và nghĩa vụ, bạn có ủng hộ và tuân thủ chính sách mới hiện nay? - HUMAN-OUT1]]</f>
        <v>7</v>
      </c>
      <c r="BH149">
        <f t="shared" si="79"/>
        <v>0.66666666666666663</v>
      </c>
      <c r="BI149" s="32">
        <f t="shared" si="80"/>
        <v>2</v>
      </c>
    </row>
    <row r="150" spans="1:61" x14ac:dyDescent="0.45">
      <c r="A150" s="30">
        <f>step3_validation[[#This Row],[Persona_ID]]</f>
        <v>149</v>
      </c>
      <c r="B150" s="31">
        <f>step3_validation[[#This Row],[Used_Seed]]</f>
        <v>2174</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239.95288139250445</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9</v>
      </c>
      <c r="R150">
        <f t="shared" si="54"/>
        <v>0.88888888888888884</v>
      </c>
      <c r="S150">
        <f>survey_responses[[#This Row],[Tôi tin rằng với các quy định quản lý thuế hiện nay, hành vi gian lận hoặc trốn thuế sẽ dễ dàng bị phát hiện và xử lý nghiêm. - HUMAN-ENF1]]</f>
        <v>10</v>
      </c>
      <c r="T150">
        <f t="shared" si="55"/>
        <v>1</v>
      </c>
      <c r="U150">
        <f>step3_validation[[#This Row],[AI_ENF2]]</f>
        <v>9</v>
      </c>
      <c r="V150">
        <f t="shared" si="56"/>
        <v>0.88888888888888884</v>
      </c>
      <c r="W150">
        <f>survey_responses[[#This Row],[Tôi tin rằng Nhà nước, cơ quan thuế có đủ khả năng và công nghệ để phát hiện, xử lý nghiêm các hành vi trốn thuế. - HUMAN-ENF2]]</f>
        <v>10</v>
      </c>
      <c r="X150">
        <f t="shared" si="57"/>
        <v>1</v>
      </c>
      <c r="Y150" s="32">
        <f t="shared" si="58"/>
        <v>0.88888888888888884</v>
      </c>
      <c r="Z150" s="32">
        <f t="shared" si="59"/>
        <v>1</v>
      </c>
      <c r="AA150">
        <f>step3_validation[[#This Row],[AI_FAC1]]</f>
        <v>8</v>
      </c>
      <c r="AB150">
        <f t="shared" si="60"/>
        <v>0.77777777777777779</v>
      </c>
      <c r="AC150">
        <f>survey_responses[[#This Row],[Các thủ tục khai báo thuế VÀ/HOẶC quy trình làm việc với cơ quan thuế đơn giản, tiện lợi, nhanh chóng hơn so với trước đây. - HUMAN-FAC1]]</f>
        <v>7</v>
      </c>
      <c r="AD150">
        <f t="shared" si="61"/>
        <v>0.66666666666666663</v>
      </c>
      <c r="AE150">
        <f>step3_validation[[#This Row],[AI_FAC2]]</f>
        <v>9</v>
      </c>
      <c r="AF150">
        <f t="shared" si="62"/>
        <v>0.88888888888888884</v>
      </c>
      <c r="AG150">
        <f>survey_responses[[#This Row],[So với trước đây, tôi thấy cách tính thuế và các bậc thuế trong phương án mới đơn giản, dễ hiểu và dễ thực hiện hơn. - HUMAN-FAC2]]</f>
        <v>8</v>
      </c>
      <c r="AH150">
        <f t="shared" si="63"/>
        <v>0.77777777777777779</v>
      </c>
      <c r="AI150" s="32">
        <f t="shared" si="64"/>
        <v>0.83333333333333326</v>
      </c>
      <c r="AJ150" s="32">
        <f t="shared" si="65"/>
        <v>0.72222222222222221</v>
      </c>
      <c r="AK150">
        <f>step3_validation[[#This Row],[AI_TRU1]]</f>
        <v>8</v>
      </c>
      <c r="AL150">
        <f t="shared" si="66"/>
        <v>0.77777777777777779</v>
      </c>
      <c r="AM150">
        <f>survey_responses[[#This Row],[Tôi tin rằng Nhà nước, cơ quan thuế sẽ thực thi chính sách mới một cách khách quan, công tâm và đối xử bình đẳng với mọi người nộp thuế.  - HUMAN-TRU1]]</f>
        <v>8</v>
      </c>
      <c r="AN150">
        <f t="shared" si="67"/>
        <v>0.77777777777777779</v>
      </c>
      <c r="AO150">
        <f>step3_validation[[#This Row],[AI_TRU2]]</f>
        <v>9</v>
      </c>
      <c r="AP150">
        <f t="shared" si="68"/>
        <v>0.88888888888888884</v>
      </c>
      <c r="AQ150">
        <f>survey_responses[[#This Row],[Tôi thấy mức thuế tôi phải đóng theo phương án mới là công bằng (người thu nhập như tôi đóng mức này là hợp lý). - HUMAN-TRU2]]</f>
        <v>4</v>
      </c>
      <c r="AR150">
        <f t="shared" si="69"/>
        <v>0.33333333333333331</v>
      </c>
      <c r="AS150">
        <f>step3_validation[[#This Row],[AI_TRU3]]</f>
        <v>8</v>
      </c>
      <c r="AT150">
        <f t="shared" si="70"/>
        <v>0.77777777777777779</v>
      </c>
      <c r="AU150">
        <f>survey_responses[[#This Row],[Tôi tin tưởng số tiền thuế tôi đóng sẽ được Nhà nước sử dụng hiệu quả để cải thiện dịch vụ công (y tế, đường xá...). - HUMAN-TRU3]]</f>
        <v>1</v>
      </c>
      <c r="AV150">
        <f t="shared" si="71"/>
        <v>0</v>
      </c>
      <c r="AW150">
        <f>step3_validation[[#This Row],[AI_TRU4]]</f>
        <v>7</v>
      </c>
      <c r="AX150">
        <f t="shared" si="72"/>
        <v>0.66666666666666663</v>
      </c>
      <c r="AY150">
        <f>survey_responses[[#This Row],[Tôi thấy Nhà nước đã giải thích rõ ràng, minh bạch về lý do và mục tiêu của việc sửa đổi thuế lần này. - HUMAN-TRU4]]</f>
        <v>3</v>
      </c>
      <c r="AZ150">
        <f t="shared" si="73"/>
        <v>0.22222222222222221</v>
      </c>
      <c r="BA150" s="32">
        <f t="shared" si="74"/>
        <v>0.77777777777777768</v>
      </c>
      <c r="BB150" s="32">
        <f t="shared" si="75"/>
        <v>0.33333333333333337</v>
      </c>
      <c r="BC150" s="7">
        <f t="shared" si="76"/>
        <v>0.83333333333333337</v>
      </c>
      <c r="BD150" s="7">
        <f t="shared" si="77"/>
        <v>0.68518518518518523</v>
      </c>
      <c r="BE150">
        <f>step3_validation[[#This Row],[AI_OUT1]]</f>
        <v>9</v>
      </c>
      <c r="BF150">
        <f t="shared" si="78"/>
        <v>0.88888888888888884</v>
      </c>
      <c r="BG150">
        <f>survey_responses[[#This Row],[Sau khi xem xét các quyền lợi và nghĩa vụ, bạn có ủng hộ và tuân thủ chính sách mới hiện nay? - HUMAN-OUT1]]</f>
        <v>6</v>
      </c>
      <c r="BH150">
        <f t="shared" si="79"/>
        <v>0.55555555555555558</v>
      </c>
      <c r="BI150" s="32">
        <f t="shared" si="80"/>
        <v>3</v>
      </c>
    </row>
    <row r="151" spans="1:61" x14ac:dyDescent="0.45">
      <c r="A151" s="30">
        <f>step3_validation[[#This Row],[Persona_ID]]</f>
        <v>150</v>
      </c>
      <c r="B151" s="31">
        <f>step3_validation[[#This Row],[Used_Seed]]</f>
        <v>2175</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54.88756858131746</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8</v>
      </c>
      <c r="R151">
        <f t="shared" si="54"/>
        <v>0.77777777777777779</v>
      </c>
      <c r="S151">
        <f>survey_responses[[#This Row],[Tôi tin rằng với các quy định quản lý thuế hiện nay, hành vi gian lận hoặc trốn thuế sẽ dễ dàng bị phát hiện và xử lý nghiêm. - HUMAN-ENF1]]</f>
        <v>7</v>
      </c>
      <c r="T151">
        <f t="shared" si="55"/>
        <v>0.66666666666666663</v>
      </c>
      <c r="U151">
        <f>step3_validation[[#This Row],[AI_ENF2]]</f>
        <v>7</v>
      </c>
      <c r="V151">
        <f t="shared" si="56"/>
        <v>0.66666666666666663</v>
      </c>
      <c r="W151">
        <f>survey_responses[[#This Row],[Tôi tin rằng Nhà nước, cơ quan thuế có đủ khả năng và công nghệ để phát hiện, xử lý nghiêm các hành vi trốn thuế. - HUMAN-ENF2]]</f>
        <v>10</v>
      </c>
      <c r="X151">
        <f t="shared" si="57"/>
        <v>1</v>
      </c>
      <c r="Y151" s="32">
        <f t="shared" si="58"/>
        <v>0.72222222222222221</v>
      </c>
      <c r="Z151" s="32">
        <f t="shared" si="59"/>
        <v>0.83333333333333326</v>
      </c>
      <c r="AA151">
        <f>step3_validation[[#This Row],[AI_FAC1]]</f>
        <v>8</v>
      </c>
      <c r="AB151">
        <f t="shared" si="60"/>
        <v>0.77777777777777779</v>
      </c>
      <c r="AC151">
        <f>survey_responses[[#This Row],[Các thủ tục khai báo thuế VÀ/HOẶC quy trình làm việc với cơ quan thuế đơn giản, tiện lợi, nhanh chóng hơn so với trước đây. - HUMAN-FAC1]]</f>
        <v>5</v>
      </c>
      <c r="AD151">
        <f t="shared" si="61"/>
        <v>0.44444444444444442</v>
      </c>
      <c r="AE151">
        <f>step3_validation[[#This Row],[AI_FAC2]]</f>
        <v>9</v>
      </c>
      <c r="AF151">
        <f t="shared" si="62"/>
        <v>0.88888888888888884</v>
      </c>
      <c r="AG151">
        <f>survey_responses[[#This Row],[So với trước đây, tôi thấy cách tính thuế và các bậc thuế trong phương án mới đơn giản, dễ hiểu và dễ thực hiện hơn. - HUMAN-FAC2]]</f>
        <v>7</v>
      </c>
      <c r="AH151">
        <f t="shared" si="63"/>
        <v>0.66666666666666663</v>
      </c>
      <c r="AI151" s="32">
        <f t="shared" si="64"/>
        <v>0.83333333333333326</v>
      </c>
      <c r="AJ151" s="32">
        <f t="shared" si="65"/>
        <v>0.55555555555555558</v>
      </c>
      <c r="AK151">
        <f>step3_validation[[#This Row],[AI_TRU1]]</f>
        <v>7</v>
      </c>
      <c r="AL151">
        <f t="shared" si="66"/>
        <v>0.66666666666666663</v>
      </c>
      <c r="AM151">
        <f>survey_responses[[#This Row],[Tôi tin rằng Nhà nước, cơ quan thuế sẽ thực thi chính sách mới một cách khách quan, công tâm và đối xử bình đẳng với mọi người nộp thuế.  - HUMAN-TRU1]]</f>
        <v>7</v>
      </c>
      <c r="AN151">
        <f t="shared" si="67"/>
        <v>0.66666666666666663</v>
      </c>
      <c r="AO151">
        <f>step3_validation[[#This Row],[AI_TRU2]]</f>
        <v>9</v>
      </c>
      <c r="AP151">
        <f t="shared" si="68"/>
        <v>0.88888888888888884</v>
      </c>
      <c r="AQ151">
        <f>survey_responses[[#This Row],[Tôi thấy mức thuế tôi phải đóng theo phương án mới là công bằng (người thu nhập như tôi đóng mức này là hợp lý). - HUMAN-TRU2]]</f>
        <v>7</v>
      </c>
      <c r="AR151">
        <f t="shared" si="69"/>
        <v>0.66666666666666663</v>
      </c>
      <c r="AS151">
        <f>step3_validation[[#This Row],[AI_TRU3]]</f>
        <v>8</v>
      </c>
      <c r="AT151">
        <f t="shared" si="70"/>
        <v>0.77777777777777779</v>
      </c>
      <c r="AU151">
        <f>survey_responses[[#This Row],[Tôi tin tưởng số tiền thuế tôi đóng sẽ được Nhà nước sử dụng hiệu quả để cải thiện dịch vụ công (y tế, đường xá...). - HUMAN-TRU3]]</f>
        <v>7</v>
      </c>
      <c r="AV151">
        <f t="shared" si="71"/>
        <v>0.66666666666666663</v>
      </c>
      <c r="AW151">
        <f>step3_validation[[#This Row],[AI_TRU4]]</f>
        <v>7</v>
      </c>
      <c r="AX151">
        <f t="shared" si="72"/>
        <v>0.66666666666666663</v>
      </c>
      <c r="AY151">
        <f>survey_responses[[#This Row],[Tôi thấy Nhà nước đã giải thích rõ ràng, minh bạch về lý do và mục tiêu của việc sửa đổi thuế lần này. - HUMAN-TRU4]]</f>
        <v>7</v>
      </c>
      <c r="AZ151">
        <f t="shared" si="73"/>
        <v>0.66666666666666663</v>
      </c>
      <c r="BA151" s="32">
        <f t="shared" si="74"/>
        <v>0.74999999999999989</v>
      </c>
      <c r="BB151" s="32">
        <f t="shared" si="75"/>
        <v>0.66666666666666663</v>
      </c>
      <c r="BC151" s="7">
        <f t="shared" si="76"/>
        <v>0.76851851851851849</v>
      </c>
      <c r="BD151" s="7">
        <f t="shared" si="77"/>
        <v>0.68518518518518512</v>
      </c>
      <c r="BE151">
        <f>step3_validation[[#This Row],[AI_OUT1]]</f>
        <v>9</v>
      </c>
      <c r="BF151">
        <f t="shared" si="78"/>
        <v>0.88888888888888884</v>
      </c>
      <c r="BG151">
        <f>survey_responses[[#This Row],[Sau khi xem xét các quyền lợi và nghĩa vụ, bạn có ủng hộ và tuân thủ chính sách mới hiện nay? - HUMAN-OUT1]]</f>
        <v>10</v>
      </c>
      <c r="BH151">
        <f t="shared" si="79"/>
        <v>1</v>
      </c>
      <c r="BI151" s="32">
        <f t="shared" si="80"/>
        <v>1</v>
      </c>
    </row>
    <row r="152" spans="1:61" x14ac:dyDescent="0.45">
      <c r="A152" s="30">
        <f>step3_validation[[#This Row],[Persona_ID]]</f>
        <v>151</v>
      </c>
      <c r="B152" s="31">
        <f>step3_validation[[#This Row],[Used_Seed]]</f>
        <v>2176</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83.098625344927342</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8</v>
      </c>
      <c r="R152">
        <f t="shared" si="54"/>
        <v>0.77777777777777779</v>
      </c>
      <c r="S152">
        <f>survey_responses[[#This Row],[Tôi tin rằng với các quy định quản lý thuế hiện nay, hành vi gian lận hoặc trốn thuế sẽ dễ dàng bị phát hiện và xử lý nghiêm. - HUMAN-ENF1]]</f>
        <v>8</v>
      </c>
      <c r="T152">
        <f t="shared" si="55"/>
        <v>0.77777777777777779</v>
      </c>
      <c r="U152">
        <f>step3_validation[[#This Row],[AI_ENF2]]</f>
        <v>8</v>
      </c>
      <c r="V152">
        <f t="shared" si="56"/>
        <v>0.77777777777777779</v>
      </c>
      <c r="W152">
        <f>survey_responses[[#This Row],[Tôi tin rằng Nhà nước, cơ quan thuế có đủ khả năng và công nghệ để phát hiện, xử lý nghiêm các hành vi trốn thuế. - HUMAN-ENF2]]</f>
        <v>8</v>
      </c>
      <c r="X152">
        <f t="shared" si="57"/>
        <v>0.77777777777777779</v>
      </c>
      <c r="Y152" s="32">
        <f t="shared" si="58"/>
        <v>0.77777777777777779</v>
      </c>
      <c r="Z152" s="32">
        <f t="shared" si="59"/>
        <v>0.77777777777777779</v>
      </c>
      <c r="AA152">
        <f>step3_validation[[#This Row],[AI_FAC1]]</f>
        <v>9</v>
      </c>
      <c r="AB152">
        <f t="shared" si="60"/>
        <v>0.88888888888888884</v>
      </c>
      <c r="AC152">
        <f>survey_responses[[#This Row],[Các thủ tục khai báo thuế VÀ/HOẶC quy trình làm việc với cơ quan thuế đơn giản, tiện lợi, nhanh chóng hơn so với trước đây. - HUMAN-FAC1]]</f>
        <v>8</v>
      </c>
      <c r="AD152">
        <f t="shared" si="61"/>
        <v>0.77777777777777779</v>
      </c>
      <c r="AE152">
        <f>step3_validation[[#This Row],[AI_FAC2]]</f>
        <v>9</v>
      </c>
      <c r="AF152">
        <f t="shared" si="62"/>
        <v>0.88888888888888884</v>
      </c>
      <c r="AG152">
        <f>survey_responses[[#This Row],[So với trước đây, tôi thấy cách tính thuế và các bậc thuế trong phương án mới đơn giản, dễ hiểu và dễ thực hiện hơn. - HUMAN-FAC2]]</f>
        <v>8</v>
      </c>
      <c r="AH152">
        <f t="shared" si="63"/>
        <v>0.77777777777777779</v>
      </c>
      <c r="AI152" s="32">
        <f t="shared" si="64"/>
        <v>0.88888888888888884</v>
      </c>
      <c r="AJ152" s="32">
        <f t="shared" si="65"/>
        <v>0.77777777777777779</v>
      </c>
      <c r="AK152">
        <f>step3_validation[[#This Row],[AI_TRU1]]</f>
        <v>8</v>
      </c>
      <c r="AL152">
        <f t="shared" si="66"/>
        <v>0.77777777777777779</v>
      </c>
      <c r="AM152">
        <f>survey_responses[[#This Row],[Tôi tin rằng Nhà nước, cơ quan thuế sẽ thực thi chính sách mới một cách khách quan, công tâm và đối xử bình đẳng với mọi người nộp thuế.  - HUMAN-TRU1]]</f>
        <v>8</v>
      </c>
      <c r="AN152">
        <f t="shared" si="67"/>
        <v>0.77777777777777779</v>
      </c>
      <c r="AO152">
        <f>step3_validation[[#This Row],[AI_TRU2]]</f>
        <v>8</v>
      </c>
      <c r="AP152">
        <f t="shared" si="68"/>
        <v>0.77777777777777779</v>
      </c>
      <c r="AQ152">
        <f>survey_responses[[#This Row],[Tôi thấy mức thuế tôi phải đóng theo phương án mới là công bằng (người thu nhập như tôi đóng mức này là hợp lý). - HUMAN-TRU2]]</f>
        <v>8</v>
      </c>
      <c r="AR152">
        <f t="shared" si="69"/>
        <v>0.77777777777777779</v>
      </c>
      <c r="AS152">
        <f>step3_validation[[#This Row],[AI_TRU3]]</f>
        <v>8</v>
      </c>
      <c r="AT152">
        <f t="shared" si="70"/>
        <v>0.77777777777777779</v>
      </c>
      <c r="AU152">
        <f>survey_responses[[#This Row],[Tôi tin tưởng số tiền thuế tôi đóng sẽ được Nhà nước sử dụng hiệu quả để cải thiện dịch vụ công (y tế, đường xá...). - HUMAN-TRU3]]</f>
        <v>8</v>
      </c>
      <c r="AV152">
        <f t="shared" si="71"/>
        <v>0.77777777777777779</v>
      </c>
      <c r="AW152">
        <f>step3_validation[[#This Row],[AI_TRU4]]</f>
        <v>8</v>
      </c>
      <c r="AX152">
        <f t="shared" si="72"/>
        <v>0.77777777777777779</v>
      </c>
      <c r="AY152">
        <f>survey_responses[[#This Row],[Tôi thấy Nhà nước đã giải thích rõ ràng, minh bạch về lý do và mục tiêu của việc sửa đổi thuế lần này. - HUMAN-TRU4]]</f>
        <v>8</v>
      </c>
      <c r="AZ152">
        <f t="shared" si="73"/>
        <v>0.77777777777777779</v>
      </c>
      <c r="BA152" s="32">
        <f t="shared" si="74"/>
        <v>0.77777777777777779</v>
      </c>
      <c r="BB152" s="32">
        <f t="shared" si="75"/>
        <v>0.77777777777777779</v>
      </c>
      <c r="BC152" s="7">
        <f t="shared" si="76"/>
        <v>0.81481481481481477</v>
      </c>
      <c r="BD152" s="7">
        <f t="shared" si="77"/>
        <v>0.77777777777777779</v>
      </c>
      <c r="BE152">
        <f>step3_validation[[#This Row],[AI_OUT1]]</f>
        <v>9</v>
      </c>
      <c r="BF152">
        <f t="shared" si="78"/>
        <v>0.88888888888888884</v>
      </c>
      <c r="BG152">
        <f>survey_responses[[#This Row],[Sau khi xem xét các quyền lợi và nghĩa vụ, bạn có ủng hộ và tuân thủ chính sách mới hiện nay? - HUMAN-OUT1]]</f>
        <v>8</v>
      </c>
      <c r="BH152">
        <f t="shared" si="79"/>
        <v>0.77777777777777779</v>
      </c>
      <c r="BI152" s="32">
        <f t="shared" si="80"/>
        <v>1</v>
      </c>
    </row>
    <row r="153" spans="1:61" x14ac:dyDescent="0.45">
      <c r="A153" s="30">
        <f>step3_validation[[#This Row],[Persona_ID]]</f>
        <v>152</v>
      </c>
      <c r="B153" s="31">
        <f>step3_validation[[#This Row],[Used_Seed]]</f>
        <v>2177</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75.455923341418085</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7</v>
      </c>
      <c r="R153">
        <f t="shared" si="54"/>
        <v>0.66666666666666663</v>
      </c>
      <c r="S153">
        <f>survey_responses[[#This Row],[Tôi tin rằng với các quy định quản lý thuế hiện nay, hành vi gian lận hoặc trốn thuế sẽ dễ dàng bị phát hiện và xử lý nghiêm. - HUMAN-ENF1]]</f>
        <v>10</v>
      </c>
      <c r="T153">
        <f t="shared" si="55"/>
        <v>1</v>
      </c>
      <c r="U153">
        <f>step3_validation[[#This Row],[AI_ENF2]]</f>
        <v>6</v>
      </c>
      <c r="V153">
        <f t="shared" si="56"/>
        <v>0.55555555555555558</v>
      </c>
      <c r="W153">
        <f>survey_responses[[#This Row],[Tôi tin rằng Nhà nước, cơ quan thuế có đủ khả năng và công nghệ để phát hiện, xử lý nghiêm các hành vi trốn thuế. - HUMAN-ENF2]]</f>
        <v>10</v>
      </c>
      <c r="X153">
        <f t="shared" si="57"/>
        <v>1</v>
      </c>
      <c r="Y153" s="32">
        <f t="shared" si="58"/>
        <v>0.61111111111111116</v>
      </c>
      <c r="Z153" s="32">
        <f t="shared" si="59"/>
        <v>1</v>
      </c>
      <c r="AA153">
        <f>step3_validation[[#This Row],[AI_FAC1]]</f>
        <v>9</v>
      </c>
      <c r="AB153">
        <f t="shared" si="60"/>
        <v>0.88888888888888884</v>
      </c>
      <c r="AC153">
        <f>survey_responses[[#This Row],[Các thủ tục khai báo thuế VÀ/HOẶC quy trình làm việc với cơ quan thuế đơn giản, tiện lợi, nhanh chóng hơn so với trước đây. - HUMAN-FAC1]]</f>
        <v>10</v>
      </c>
      <c r="AD153">
        <f t="shared" si="61"/>
        <v>1</v>
      </c>
      <c r="AE153">
        <f>step3_validation[[#This Row],[AI_FAC2]]</f>
        <v>8</v>
      </c>
      <c r="AF153">
        <f t="shared" si="62"/>
        <v>0.77777777777777779</v>
      </c>
      <c r="AG153">
        <f>survey_responses[[#This Row],[So với trước đây, tôi thấy cách tính thuế và các bậc thuế trong phương án mới đơn giản, dễ hiểu và dễ thực hiện hơn. - HUMAN-FAC2]]</f>
        <v>10</v>
      </c>
      <c r="AH153">
        <f t="shared" si="63"/>
        <v>1</v>
      </c>
      <c r="AI153" s="32">
        <f t="shared" si="64"/>
        <v>0.83333333333333326</v>
      </c>
      <c r="AJ153" s="32">
        <f t="shared" si="65"/>
        <v>1</v>
      </c>
      <c r="AK153">
        <f>step3_validation[[#This Row],[AI_TRU1]]</f>
        <v>7</v>
      </c>
      <c r="AL153">
        <f t="shared" si="66"/>
        <v>0.66666666666666663</v>
      </c>
      <c r="AM153">
        <f>survey_responses[[#This Row],[Tôi tin rằng Nhà nước, cơ quan thuế sẽ thực thi chính sách mới một cách khách quan, công tâm và đối xử bình đẳng với mọi người nộp thuế.  - HUMAN-TRU1]]</f>
        <v>10</v>
      </c>
      <c r="AN153">
        <f t="shared" si="67"/>
        <v>1</v>
      </c>
      <c r="AO153">
        <f>step3_validation[[#This Row],[AI_TRU2]]</f>
        <v>9</v>
      </c>
      <c r="AP153">
        <f t="shared" si="68"/>
        <v>0.88888888888888884</v>
      </c>
      <c r="AQ153">
        <f>survey_responses[[#This Row],[Tôi thấy mức thuế tôi phải đóng theo phương án mới là công bằng (người thu nhập như tôi đóng mức này là hợp lý). - HUMAN-TRU2]]</f>
        <v>10</v>
      </c>
      <c r="AR153">
        <f t="shared" si="69"/>
        <v>1</v>
      </c>
      <c r="AS153">
        <f>step3_validation[[#This Row],[AI_TRU3]]</f>
        <v>6</v>
      </c>
      <c r="AT153">
        <f t="shared" si="70"/>
        <v>0.55555555555555558</v>
      </c>
      <c r="AU153">
        <f>survey_responses[[#This Row],[Tôi tin tưởng số tiền thuế tôi đóng sẽ được Nhà nước sử dụng hiệu quả để cải thiện dịch vụ công (y tế, đường xá...). - HUMAN-TRU3]]</f>
        <v>10</v>
      </c>
      <c r="AV153">
        <f t="shared" si="71"/>
        <v>1</v>
      </c>
      <c r="AW153">
        <f>step3_validation[[#This Row],[AI_TRU4]]</f>
        <v>5</v>
      </c>
      <c r="AX153">
        <f t="shared" si="72"/>
        <v>0.44444444444444442</v>
      </c>
      <c r="AY153">
        <f>survey_responses[[#This Row],[Tôi thấy Nhà nước đã giải thích rõ ràng, minh bạch về lý do và mục tiêu của việc sửa đổi thuế lần này. - HUMAN-TRU4]]</f>
        <v>10</v>
      </c>
      <c r="AZ153">
        <f t="shared" si="73"/>
        <v>1</v>
      </c>
      <c r="BA153" s="32">
        <f t="shared" si="74"/>
        <v>0.63888888888888884</v>
      </c>
      <c r="BB153" s="32">
        <f t="shared" si="75"/>
        <v>1</v>
      </c>
      <c r="BC153" s="7">
        <f t="shared" si="76"/>
        <v>0.69444444444444431</v>
      </c>
      <c r="BD153" s="7">
        <f t="shared" si="77"/>
        <v>1</v>
      </c>
      <c r="BE153">
        <f>step3_validation[[#This Row],[AI_OUT1]]</f>
        <v>8</v>
      </c>
      <c r="BF153">
        <f t="shared" si="78"/>
        <v>0.77777777777777779</v>
      </c>
      <c r="BG153">
        <f>survey_responses[[#This Row],[Sau khi xem xét các quyền lợi và nghĩa vụ, bạn có ủng hộ và tuân thủ chính sách mới hiện nay? - HUMAN-OUT1]]</f>
        <v>10</v>
      </c>
      <c r="BH153">
        <f t="shared" si="79"/>
        <v>1</v>
      </c>
      <c r="BI153" s="32">
        <f t="shared" si="80"/>
        <v>2</v>
      </c>
    </row>
    <row r="154" spans="1:61" x14ac:dyDescent="0.45">
      <c r="A154" s="30">
        <f>step3_validation[[#This Row],[Persona_ID]]</f>
        <v>153</v>
      </c>
      <c r="B154" s="31">
        <f>step3_validation[[#This Row],[Used_Seed]]</f>
        <v>2178</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5</v>
      </c>
      <c r="R154">
        <f t="shared" si="54"/>
        <v>0.44444444444444442</v>
      </c>
      <c r="S154">
        <f>survey_responses[[#This Row],[Tôi tin rằng với các quy định quản lý thuế hiện nay, hành vi gian lận hoặc trốn thuế sẽ dễ dàng bị phát hiện và xử lý nghiêm. - HUMAN-ENF1]]</f>
        <v>7</v>
      </c>
      <c r="T154">
        <f t="shared" si="55"/>
        <v>0.66666666666666663</v>
      </c>
      <c r="U154">
        <f>step3_validation[[#This Row],[AI_ENF2]]</f>
        <v>6</v>
      </c>
      <c r="V154">
        <f t="shared" si="56"/>
        <v>0.55555555555555558</v>
      </c>
      <c r="W154">
        <f>survey_responses[[#This Row],[Tôi tin rằng Nhà nước, cơ quan thuế có đủ khả năng và công nghệ để phát hiện, xử lý nghiêm các hành vi trốn thuế. - HUMAN-ENF2]]</f>
        <v>7</v>
      </c>
      <c r="X154">
        <f t="shared" si="57"/>
        <v>0.66666666666666663</v>
      </c>
      <c r="Y154" s="32">
        <f t="shared" si="58"/>
        <v>0.5</v>
      </c>
      <c r="Z154" s="32">
        <f t="shared" si="59"/>
        <v>0.66666666666666663</v>
      </c>
      <c r="AA154">
        <f>step3_validation[[#This Row],[AI_FAC1]]</f>
        <v>8</v>
      </c>
      <c r="AB154">
        <f t="shared" si="60"/>
        <v>0.77777777777777779</v>
      </c>
      <c r="AC154">
        <f>survey_responses[[#This Row],[Các thủ tục khai báo thuế VÀ/HOẶC quy trình làm việc với cơ quan thuế đơn giản, tiện lợi, nhanh chóng hơn so với trước đây. - HUMAN-FAC1]]</f>
        <v>5</v>
      </c>
      <c r="AD154">
        <f t="shared" si="61"/>
        <v>0.44444444444444442</v>
      </c>
      <c r="AE154">
        <f>step3_validation[[#This Row],[AI_FAC2]]</f>
        <v>9</v>
      </c>
      <c r="AF154">
        <f t="shared" si="62"/>
        <v>0.88888888888888884</v>
      </c>
      <c r="AG154">
        <f>survey_responses[[#This Row],[So với trước đây, tôi thấy cách tính thuế và các bậc thuế trong phương án mới đơn giản, dễ hiểu và dễ thực hiện hơn. - HUMAN-FAC2]]</f>
        <v>7</v>
      </c>
      <c r="AH154">
        <f t="shared" si="63"/>
        <v>0.66666666666666663</v>
      </c>
      <c r="AI154" s="32">
        <f t="shared" si="64"/>
        <v>0.83333333333333326</v>
      </c>
      <c r="AJ154" s="32">
        <f t="shared" si="65"/>
        <v>0.55555555555555558</v>
      </c>
      <c r="AK154">
        <f>step3_validation[[#This Row],[AI_TRU1]]</f>
        <v>8</v>
      </c>
      <c r="AL154">
        <f t="shared" si="66"/>
        <v>0.77777777777777779</v>
      </c>
      <c r="AM154">
        <f>survey_responses[[#This Row],[Tôi tin rằng Nhà nước, cơ quan thuế sẽ thực thi chính sách mới một cách khách quan, công tâm và đối xử bình đẳng với mọi người nộp thuế.  - HUMAN-TRU1]]</f>
        <v>7</v>
      </c>
      <c r="AN154">
        <f t="shared" si="67"/>
        <v>0.66666666666666663</v>
      </c>
      <c r="AO154">
        <f>step3_validation[[#This Row],[AI_TRU2]]</f>
        <v>7</v>
      </c>
      <c r="AP154">
        <f t="shared" si="68"/>
        <v>0.66666666666666663</v>
      </c>
      <c r="AQ154">
        <f>survey_responses[[#This Row],[Tôi thấy mức thuế tôi phải đóng theo phương án mới là công bằng (người thu nhập như tôi đóng mức này là hợp lý). - HUMAN-TRU2]]</f>
        <v>7</v>
      </c>
      <c r="AR154">
        <f t="shared" si="69"/>
        <v>0.66666666666666663</v>
      </c>
      <c r="AS154">
        <f>step3_validation[[#This Row],[AI_TRU3]]</f>
        <v>6</v>
      </c>
      <c r="AT154">
        <f t="shared" si="70"/>
        <v>0.55555555555555558</v>
      </c>
      <c r="AU154">
        <f>survey_responses[[#This Row],[Tôi tin tưởng số tiền thuế tôi đóng sẽ được Nhà nước sử dụng hiệu quả để cải thiện dịch vụ công (y tế, đường xá...). - HUMAN-TRU3]]</f>
        <v>7</v>
      </c>
      <c r="AV154">
        <f t="shared" si="71"/>
        <v>0.66666666666666663</v>
      </c>
      <c r="AW154">
        <f>step3_validation[[#This Row],[AI_TRU4]]</f>
        <v>7</v>
      </c>
      <c r="AX154">
        <f t="shared" si="72"/>
        <v>0.66666666666666663</v>
      </c>
      <c r="AY154">
        <f>survey_responses[[#This Row],[Tôi thấy Nhà nước đã giải thích rõ ràng, minh bạch về lý do và mục tiêu của việc sửa đổi thuế lần này. - HUMAN-TRU4]]</f>
        <v>7</v>
      </c>
      <c r="AZ154">
        <f t="shared" si="73"/>
        <v>0.66666666666666663</v>
      </c>
      <c r="BA154" s="32">
        <f t="shared" si="74"/>
        <v>0.66666666666666663</v>
      </c>
      <c r="BB154" s="32">
        <f t="shared" si="75"/>
        <v>0.66666666666666663</v>
      </c>
      <c r="BC154" s="7">
        <f t="shared" si="76"/>
        <v>0.66666666666666663</v>
      </c>
      <c r="BD154" s="7">
        <f t="shared" si="77"/>
        <v>0.62962962962962965</v>
      </c>
      <c r="BE154">
        <f>step3_validation[[#This Row],[AI_OUT1]]</f>
        <v>8</v>
      </c>
      <c r="BF154">
        <f t="shared" si="78"/>
        <v>0.77777777777777779</v>
      </c>
      <c r="BG154">
        <f>survey_responses[[#This Row],[Sau khi xem xét các quyền lợi và nghĩa vụ, bạn có ủng hộ và tuân thủ chính sách mới hiện nay? - HUMAN-OUT1]]</f>
        <v>7</v>
      </c>
      <c r="BH154">
        <f t="shared" si="79"/>
        <v>0.66666666666666663</v>
      </c>
      <c r="BI154" s="32">
        <f t="shared" si="80"/>
        <v>1</v>
      </c>
    </row>
    <row r="155" spans="1:61" x14ac:dyDescent="0.45">
      <c r="A155" s="30">
        <f>step3_validation[[#This Row],[Persona_ID]]</f>
        <v>154</v>
      </c>
      <c r="B155" s="31">
        <f>step3_validation[[#This Row],[Used_Seed]]</f>
        <v>2179</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8</v>
      </c>
      <c r="R155">
        <f t="shared" si="54"/>
        <v>0.77777777777777779</v>
      </c>
      <c r="S155">
        <f>survey_responses[[#This Row],[Tôi tin rằng với các quy định quản lý thuế hiện nay, hành vi gian lận hoặc trốn thuế sẽ dễ dàng bị phát hiện và xử lý nghiêm. - HUMAN-ENF1]]</f>
        <v>7</v>
      </c>
      <c r="T155">
        <f t="shared" si="55"/>
        <v>0.66666666666666663</v>
      </c>
      <c r="U155">
        <f>step3_validation[[#This Row],[AI_ENF2]]</f>
        <v>9</v>
      </c>
      <c r="V155">
        <f t="shared" si="56"/>
        <v>0.88888888888888884</v>
      </c>
      <c r="W155">
        <f>survey_responses[[#This Row],[Tôi tin rằng Nhà nước, cơ quan thuế có đủ khả năng và công nghệ để phát hiện, xử lý nghiêm các hành vi trốn thuế. - HUMAN-ENF2]]</f>
        <v>8</v>
      </c>
      <c r="X155">
        <f t="shared" si="57"/>
        <v>0.77777777777777779</v>
      </c>
      <c r="Y155" s="32">
        <f t="shared" si="58"/>
        <v>0.83333333333333326</v>
      </c>
      <c r="Z155" s="32">
        <f t="shared" si="59"/>
        <v>0.72222222222222221</v>
      </c>
      <c r="AA155">
        <f>step3_validation[[#This Row],[AI_FAC1]]</f>
        <v>9</v>
      </c>
      <c r="AB155">
        <f t="shared" si="60"/>
        <v>0.88888888888888884</v>
      </c>
      <c r="AC155">
        <f>survey_responses[[#This Row],[Các thủ tục khai báo thuế VÀ/HOẶC quy trình làm việc với cơ quan thuế đơn giản, tiện lợi, nhanh chóng hơn so với trước đây. - HUMAN-FAC1]]</f>
        <v>8</v>
      </c>
      <c r="AD155">
        <f t="shared" si="61"/>
        <v>0.77777777777777779</v>
      </c>
      <c r="AE155">
        <f>step3_validation[[#This Row],[AI_FAC2]]</f>
        <v>8</v>
      </c>
      <c r="AF155">
        <f t="shared" si="62"/>
        <v>0.77777777777777779</v>
      </c>
      <c r="AG155">
        <f>survey_responses[[#This Row],[So với trước đây, tôi thấy cách tính thuế và các bậc thuế trong phương án mới đơn giản, dễ hiểu và dễ thực hiện hơn. - HUMAN-FAC2]]</f>
        <v>8</v>
      </c>
      <c r="AH155">
        <f t="shared" si="63"/>
        <v>0.77777777777777779</v>
      </c>
      <c r="AI155" s="32">
        <f t="shared" si="64"/>
        <v>0.83333333333333326</v>
      </c>
      <c r="AJ155" s="32">
        <f t="shared" si="65"/>
        <v>0.77777777777777779</v>
      </c>
      <c r="AK155">
        <f>step3_validation[[#This Row],[AI_TRU1]]</f>
        <v>7</v>
      </c>
      <c r="AL155">
        <f t="shared" si="66"/>
        <v>0.66666666666666663</v>
      </c>
      <c r="AM155">
        <f>survey_responses[[#This Row],[Tôi tin rằng Nhà nước, cơ quan thuế sẽ thực thi chính sách mới một cách khách quan, công tâm và đối xử bình đẳng với mọi người nộp thuế.  - HUMAN-TRU1]]</f>
        <v>6</v>
      </c>
      <c r="AN155">
        <f t="shared" si="67"/>
        <v>0.55555555555555558</v>
      </c>
      <c r="AO155">
        <f>step3_validation[[#This Row],[AI_TRU2]]</f>
        <v>8</v>
      </c>
      <c r="AP155">
        <f t="shared" si="68"/>
        <v>0.77777777777777779</v>
      </c>
      <c r="AQ155">
        <f>survey_responses[[#This Row],[Tôi thấy mức thuế tôi phải đóng theo phương án mới là công bằng (người thu nhập như tôi đóng mức này là hợp lý). - HUMAN-TRU2]]</f>
        <v>8</v>
      </c>
      <c r="AR155">
        <f t="shared" si="69"/>
        <v>0.77777777777777779</v>
      </c>
      <c r="AS155">
        <f>step3_validation[[#This Row],[AI_TRU3]]</f>
        <v>7</v>
      </c>
      <c r="AT155">
        <f t="shared" si="70"/>
        <v>0.66666666666666663</v>
      </c>
      <c r="AU155">
        <f>survey_responses[[#This Row],[Tôi tin tưởng số tiền thuế tôi đóng sẽ được Nhà nước sử dụng hiệu quả để cải thiện dịch vụ công (y tế, đường xá...). - HUMAN-TRU3]]</f>
        <v>5</v>
      </c>
      <c r="AV155">
        <f t="shared" si="71"/>
        <v>0.44444444444444442</v>
      </c>
      <c r="AW155">
        <f>step3_validation[[#This Row],[AI_TRU4]]</f>
        <v>8</v>
      </c>
      <c r="AX155">
        <f t="shared" si="72"/>
        <v>0.77777777777777779</v>
      </c>
      <c r="AY155">
        <f>survey_responses[[#This Row],[Tôi thấy Nhà nước đã giải thích rõ ràng, minh bạch về lý do và mục tiêu của việc sửa đổi thuế lần này. - HUMAN-TRU4]]</f>
        <v>8</v>
      </c>
      <c r="AZ155">
        <f t="shared" si="73"/>
        <v>0.77777777777777779</v>
      </c>
      <c r="BA155" s="32">
        <f t="shared" si="74"/>
        <v>0.72222222222222221</v>
      </c>
      <c r="BB155" s="32">
        <f t="shared" si="75"/>
        <v>0.63888888888888895</v>
      </c>
      <c r="BC155" s="7">
        <f t="shared" si="76"/>
        <v>0.79629629629629628</v>
      </c>
      <c r="BD155" s="7">
        <f t="shared" si="77"/>
        <v>0.71296296296296291</v>
      </c>
      <c r="BE155">
        <f>step3_validation[[#This Row],[AI_OUT1]]</f>
        <v>9</v>
      </c>
      <c r="BF155">
        <f t="shared" si="78"/>
        <v>0.88888888888888884</v>
      </c>
      <c r="BG155">
        <f>survey_responses[[#This Row],[Sau khi xem xét các quyền lợi và nghĩa vụ, bạn có ủng hộ và tuân thủ chính sách mới hiện nay? - HUMAN-OUT1]]</f>
        <v>8</v>
      </c>
      <c r="BH155">
        <f t="shared" si="79"/>
        <v>0.77777777777777779</v>
      </c>
      <c r="BI155" s="32">
        <f t="shared" si="80"/>
        <v>1</v>
      </c>
    </row>
    <row r="156" spans="1:61" x14ac:dyDescent="0.45">
      <c r="A156" s="30">
        <f>step3_validation[[#This Row],[Persona_ID]]</f>
        <v>155</v>
      </c>
      <c r="B156" s="31">
        <f>step3_validation[[#This Row],[Used_Seed]]</f>
        <v>2180</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52.748563270957902</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5</v>
      </c>
      <c r="R156">
        <f t="shared" si="54"/>
        <v>0.44444444444444442</v>
      </c>
      <c r="S156">
        <f>survey_responses[[#This Row],[Tôi tin rằng với các quy định quản lý thuế hiện nay, hành vi gian lận hoặc trốn thuế sẽ dễ dàng bị phát hiện và xử lý nghiêm. - HUMAN-ENF1]]</f>
        <v>10</v>
      </c>
      <c r="T156">
        <f t="shared" si="55"/>
        <v>1</v>
      </c>
      <c r="U156">
        <f>step3_validation[[#This Row],[AI_ENF2]]</f>
        <v>6</v>
      </c>
      <c r="V156">
        <f t="shared" si="56"/>
        <v>0.55555555555555558</v>
      </c>
      <c r="W156">
        <f>survey_responses[[#This Row],[Tôi tin rằng Nhà nước, cơ quan thuế có đủ khả năng và công nghệ để phát hiện, xử lý nghiêm các hành vi trốn thuế. - HUMAN-ENF2]]</f>
        <v>10</v>
      </c>
      <c r="X156">
        <f t="shared" si="57"/>
        <v>1</v>
      </c>
      <c r="Y156" s="32">
        <f t="shared" si="58"/>
        <v>0.5</v>
      </c>
      <c r="Z156" s="32">
        <f t="shared" si="59"/>
        <v>1</v>
      </c>
      <c r="AA156">
        <f>step3_validation[[#This Row],[AI_FAC1]]</f>
        <v>7</v>
      </c>
      <c r="AB156">
        <f t="shared" si="60"/>
        <v>0.66666666666666663</v>
      </c>
      <c r="AC156">
        <f>survey_responses[[#This Row],[Các thủ tục khai báo thuế VÀ/HOẶC quy trình làm việc với cơ quan thuế đơn giản, tiện lợi, nhanh chóng hơn so với trước đây. - HUMAN-FAC1]]</f>
        <v>10</v>
      </c>
      <c r="AD156">
        <f t="shared" si="61"/>
        <v>1</v>
      </c>
      <c r="AE156">
        <f>step3_validation[[#This Row],[AI_FAC2]]</f>
        <v>9</v>
      </c>
      <c r="AF156">
        <f t="shared" si="62"/>
        <v>0.88888888888888884</v>
      </c>
      <c r="AG156">
        <f>survey_responses[[#This Row],[So với trước đây, tôi thấy cách tính thuế và các bậc thuế trong phương án mới đơn giản, dễ hiểu và dễ thực hiện hơn. - HUMAN-FAC2]]</f>
        <v>10</v>
      </c>
      <c r="AH156">
        <f t="shared" si="63"/>
        <v>1</v>
      </c>
      <c r="AI156" s="32">
        <f t="shared" si="64"/>
        <v>0.77777777777777768</v>
      </c>
      <c r="AJ156" s="32">
        <f t="shared" si="65"/>
        <v>1</v>
      </c>
      <c r="AK156">
        <f>step3_validation[[#This Row],[AI_TRU1]]</f>
        <v>7</v>
      </c>
      <c r="AL156">
        <f t="shared" si="66"/>
        <v>0.66666666666666663</v>
      </c>
      <c r="AM156">
        <f>survey_responses[[#This Row],[Tôi tin rằng Nhà nước, cơ quan thuế sẽ thực thi chính sách mới một cách khách quan, công tâm và đối xử bình đẳng với mọi người nộp thuế.  - HUMAN-TRU1]]</f>
        <v>10</v>
      </c>
      <c r="AN156">
        <f t="shared" si="67"/>
        <v>1</v>
      </c>
      <c r="AO156">
        <f>step3_validation[[#This Row],[AI_TRU2]]</f>
        <v>9</v>
      </c>
      <c r="AP156">
        <f t="shared" si="68"/>
        <v>0.88888888888888884</v>
      </c>
      <c r="AQ156">
        <f>survey_responses[[#This Row],[Tôi thấy mức thuế tôi phải đóng theo phương án mới là công bằng (người thu nhập như tôi đóng mức này là hợp lý). - HUMAN-TRU2]]</f>
        <v>10</v>
      </c>
      <c r="AR156">
        <f t="shared" si="69"/>
        <v>1</v>
      </c>
      <c r="AS156">
        <f>step3_validation[[#This Row],[AI_TRU3]]</f>
        <v>8</v>
      </c>
      <c r="AT156">
        <f t="shared" si="70"/>
        <v>0.77777777777777779</v>
      </c>
      <c r="AU156">
        <f>survey_responses[[#This Row],[Tôi tin tưởng số tiền thuế tôi đóng sẽ được Nhà nước sử dụng hiệu quả để cải thiện dịch vụ công (y tế, đường xá...). - HUMAN-TRU3]]</f>
        <v>10</v>
      </c>
      <c r="AV156">
        <f t="shared" si="71"/>
        <v>1</v>
      </c>
      <c r="AW156">
        <f>step3_validation[[#This Row],[AI_TRU4]]</f>
        <v>7</v>
      </c>
      <c r="AX156">
        <f t="shared" si="72"/>
        <v>0.66666666666666663</v>
      </c>
      <c r="AY156">
        <f>survey_responses[[#This Row],[Tôi thấy Nhà nước đã giải thích rõ ràng, minh bạch về lý do và mục tiêu của việc sửa đổi thuế lần này. - HUMAN-TRU4]]</f>
        <v>10</v>
      </c>
      <c r="AZ156">
        <f t="shared" si="73"/>
        <v>1</v>
      </c>
      <c r="BA156" s="32">
        <f t="shared" si="74"/>
        <v>0.74999999999999989</v>
      </c>
      <c r="BB156" s="32">
        <f t="shared" si="75"/>
        <v>1</v>
      </c>
      <c r="BC156" s="7">
        <f t="shared" si="76"/>
        <v>0.67592592592592593</v>
      </c>
      <c r="BD156" s="7">
        <f t="shared" si="77"/>
        <v>1</v>
      </c>
      <c r="BE156">
        <f>step3_validation[[#This Row],[AI_OUT1]]</f>
        <v>9</v>
      </c>
      <c r="BF156">
        <f t="shared" si="78"/>
        <v>0.88888888888888884</v>
      </c>
      <c r="BG156">
        <f>survey_responses[[#This Row],[Sau khi xem xét các quyền lợi và nghĩa vụ, bạn có ủng hộ và tuân thủ chính sách mới hiện nay? - HUMAN-OUT1]]</f>
        <v>10</v>
      </c>
      <c r="BH156">
        <f t="shared" si="79"/>
        <v>1</v>
      </c>
      <c r="BI156" s="32">
        <f t="shared" si="80"/>
        <v>1</v>
      </c>
    </row>
    <row r="157" spans="1:61" x14ac:dyDescent="0.45">
      <c r="A157" s="30">
        <f>step3_validation[[#This Row],[Persona_ID]]</f>
        <v>156</v>
      </c>
      <c r="B157" s="31">
        <f>step3_validation[[#This Row],[Used_Seed]]</f>
        <v>2181</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26.050707377876122</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6</v>
      </c>
      <c r="R157">
        <f t="shared" si="54"/>
        <v>0.55555555555555558</v>
      </c>
      <c r="S157">
        <f>survey_responses[[#This Row],[Tôi tin rằng với các quy định quản lý thuế hiện nay, hành vi gian lận hoặc trốn thuế sẽ dễ dàng bị phát hiện và xử lý nghiêm. - HUMAN-ENF1]]</f>
        <v>10</v>
      </c>
      <c r="T157">
        <f t="shared" si="55"/>
        <v>1</v>
      </c>
      <c r="U157">
        <f>step3_validation[[#This Row],[AI_ENF2]]</f>
        <v>7</v>
      </c>
      <c r="V157">
        <f t="shared" si="56"/>
        <v>0.66666666666666663</v>
      </c>
      <c r="W157">
        <f>survey_responses[[#This Row],[Tôi tin rằng Nhà nước, cơ quan thuế có đủ khả năng và công nghệ để phát hiện, xử lý nghiêm các hành vi trốn thuế. - HUMAN-ENF2]]</f>
        <v>10</v>
      </c>
      <c r="X157">
        <f t="shared" si="57"/>
        <v>1</v>
      </c>
      <c r="Y157" s="32">
        <f t="shared" si="58"/>
        <v>0.61111111111111116</v>
      </c>
      <c r="Z157" s="32">
        <f t="shared" si="59"/>
        <v>1</v>
      </c>
      <c r="AA157">
        <f>step3_validation[[#This Row],[AI_FAC1]]</f>
        <v>8</v>
      </c>
      <c r="AB157">
        <f t="shared" si="60"/>
        <v>0.77777777777777779</v>
      </c>
      <c r="AC157">
        <f>survey_responses[[#This Row],[Các thủ tục khai báo thuế VÀ/HOẶC quy trình làm việc với cơ quan thuế đơn giản, tiện lợi, nhanh chóng hơn so với trước đây. - HUMAN-FAC1]]</f>
        <v>10</v>
      </c>
      <c r="AD157">
        <f t="shared" si="61"/>
        <v>1</v>
      </c>
      <c r="AE157">
        <f>step3_validation[[#This Row],[AI_FAC2]]</f>
        <v>9</v>
      </c>
      <c r="AF157">
        <f t="shared" si="62"/>
        <v>0.88888888888888884</v>
      </c>
      <c r="AG157">
        <f>survey_responses[[#This Row],[So với trước đây, tôi thấy cách tính thuế và các bậc thuế trong phương án mới đơn giản, dễ hiểu và dễ thực hiện hơn. - HUMAN-FAC2]]</f>
        <v>10</v>
      </c>
      <c r="AH157">
        <f t="shared" si="63"/>
        <v>1</v>
      </c>
      <c r="AI157" s="32">
        <f t="shared" si="64"/>
        <v>0.83333333333333326</v>
      </c>
      <c r="AJ157" s="32">
        <f t="shared" si="65"/>
        <v>1</v>
      </c>
      <c r="AK157">
        <f>step3_validation[[#This Row],[AI_TRU1]]</f>
        <v>8</v>
      </c>
      <c r="AL157">
        <f t="shared" si="66"/>
        <v>0.77777777777777779</v>
      </c>
      <c r="AM157">
        <f>survey_responses[[#This Row],[Tôi tin rằng Nhà nước, cơ quan thuế sẽ thực thi chính sách mới một cách khách quan, công tâm và đối xử bình đẳng với mọi người nộp thuế.  - HUMAN-TRU1]]</f>
        <v>10</v>
      </c>
      <c r="AN157">
        <f t="shared" si="67"/>
        <v>1</v>
      </c>
      <c r="AO157">
        <f>step3_validation[[#This Row],[AI_TRU2]]</f>
        <v>9</v>
      </c>
      <c r="AP157">
        <f t="shared" si="68"/>
        <v>0.88888888888888884</v>
      </c>
      <c r="AQ157">
        <f>survey_responses[[#This Row],[Tôi thấy mức thuế tôi phải đóng theo phương án mới là công bằng (người thu nhập như tôi đóng mức này là hợp lý). - HUMAN-TRU2]]</f>
        <v>10</v>
      </c>
      <c r="AR157">
        <f t="shared" si="69"/>
        <v>1</v>
      </c>
      <c r="AS157">
        <f>step3_validation[[#This Row],[AI_TRU3]]</f>
        <v>8</v>
      </c>
      <c r="AT157">
        <f t="shared" si="70"/>
        <v>0.77777777777777779</v>
      </c>
      <c r="AU157">
        <f>survey_responses[[#This Row],[Tôi tin tưởng số tiền thuế tôi đóng sẽ được Nhà nước sử dụng hiệu quả để cải thiện dịch vụ công (y tế, đường xá...). - HUMAN-TRU3]]</f>
        <v>10</v>
      </c>
      <c r="AV157">
        <f t="shared" si="71"/>
        <v>1</v>
      </c>
      <c r="AW157">
        <f>step3_validation[[#This Row],[AI_TRU4]]</f>
        <v>7</v>
      </c>
      <c r="AX157">
        <f t="shared" si="72"/>
        <v>0.66666666666666663</v>
      </c>
      <c r="AY157">
        <f>survey_responses[[#This Row],[Tôi thấy Nhà nước đã giải thích rõ ràng, minh bạch về lý do và mục tiêu của việc sửa đổi thuế lần này. - HUMAN-TRU4]]</f>
        <v>10</v>
      </c>
      <c r="AZ157">
        <f t="shared" si="73"/>
        <v>1</v>
      </c>
      <c r="BA157" s="32">
        <f t="shared" si="74"/>
        <v>0.77777777777777768</v>
      </c>
      <c r="BB157" s="32">
        <f t="shared" si="75"/>
        <v>1</v>
      </c>
      <c r="BC157" s="7">
        <f t="shared" si="76"/>
        <v>0.74074074074074081</v>
      </c>
      <c r="BD157" s="7">
        <f t="shared" si="77"/>
        <v>1</v>
      </c>
      <c r="BE157">
        <f>step3_validation[[#This Row],[AI_OUT1]]</f>
        <v>9</v>
      </c>
      <c r="BF157">
        <f t="shared" si="78"/>
        <v>0.88888888888888884</v>
      </c>
      <c r="BG157">
        <f>survey_responses[[#This Row],[Sau khi xem xét các quyền lợi và nghĩa vụ, bạn có ủng hộ và tuân thủ chính sách mới hiện nay? - HUMAN-OUT1]]</f>
        <v>10</v>
      </c>
      <c r="BH157">
        <f t="shared" si="79"/>
        <v>1</v>
      </c>
      <c r="BI157" s="32">
        <f t="shared" si="80"/>
        <v>1</v>
      </c>
    </row>
    <row r="158" spans="1:61" x14ac:dyDescent="0.45">
      <c r="A158" s="30">
        <f>step3_validation[[#This Row],[Persona_ID]]</f>
        <v>157</v>
      </c>
      <c r="B158" s="31">
        <f>step3_validation[[#This Row],[Used_Seed]]</f>
        <v>2182</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93.297236366051052</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7</v>
      </c>
      <c r="R158">
        <f t="shared" si="54"/>
        <v>0.66666666666666663</v>
      </c>
      <c r="S158">
        <f>survey_responses[[#This Row],[Tôi tin rằng với các quy định quản lý thuế hiện nay, hành vi gian lận hoặc trốn thuế sẽ dễ dàng bị phát hiện và xử lý nghiêm. - HUMAN-ENF1]]</f>
        <v>10</v>
      </c>
      <c r="T158">
        <f t="shared" si="55"/>
        <v>1</v>
      </c>
      <c r="U158">
        <f>step3_validation[[#This Row],[AI_ENF2]]</f>
        <v>8</v>
      </c>
      <c r="V158">
        <f t="shared" si="56"/>
        <v>0.77777777777777779</v>
      </c>
      <c r="W158">
        <f>survey_responses[[#This Row],[Tôi tin rằng Nhà nước, cơ quan thuế có đủ khả năng và công nghệ để phát hiện, xử lý nghiêm các hành vi trốn thuế. - HUMAN-ENF2]]</f>
        <v>10</v>
      </c>
      <c r="X158">
        <f t="shared" si="57"/>
        <v>1</v>
      </c>
      <c r="Y158" s="32">
        <f t="shared" si="58"/>
        <v>0.72222222222222221</v>
      </c>
      <c r="Z158" s="32">
        <f t="shared" si="59"/>
        <v>1</v>
      </c>
      <c r="AA158">
        <f>step3_validation[[#This Row],[AI_FAC1]]</f>
        <v>9</v>
      </c>
      <c r="AB158">
        <f t="shared" si="60"/>
        <v>0.88888888888888884</v>
      </c>
      <c r="AC158">
        <f>survey_responses[[#This Row],[Các thủ tục khai báo thuế VÀ/HOẶC quy trình làm việc với cơ quan thuế đơn giản, tiện lợi, nhanh chóng hơn so với trước đây. - HUMAN-FAC1]]</f>
        <v>1</v>
      </c>
      <c r="AD158">
        <f t="shared" si="61"/>
        <v>0</v>
      </c>
      <c r="AE158">
        <f>step3_validation[[#This Row],[AI_FAC2]]</f>
        <v>9</v>
      </c>
      <c r="AF158">
        <f t="shared" si="62"/>
        <v>0.88888888888888884</v>
      </c>
      <c r="AG158">
        <f>survey_responses[[#This Row],[So với trước đây, tôi thấy cách tính thuế và các bậc thuế trong phương án mới đơn giản, dễ hiểu và dễ thực hiện hơn. - HUMAN-FAC2]]</f>
        <v>10</v>
      </c>
      <c r="AH158">
        <f t="shared" si="63"/>
        <v>1</v>
      </c>
      <c r="AI158" s="32">
        <f t="shared" si="64"/>
        <v>0.88888888888888884</v>
      </c>
      <c r="AJ158" s="32">
        <f t="shared" si="65"/>
        <v>0.5</v>
      </c>
      <c r="AK158">
        <f>step3_validation[[#This Row],[AI_TRU1]]</f>
        <v>7</v>
      </c>
      <c r="AL158">
        <f t="shared" si="66"/>
        <v>0.66666666666666663</v>
      </c>
      <c r="AM158">
        <f>survey_responses[[#This Row],[Tôi tin rằng Nhà nước, cơ quan thuế sẽ thực thi chính sách mới một cách khách quan, công tâm và đối xử bình đẳng với mọi người nộp thuế.  - HUMAN-TRU1]]</f>
        <v>1</v>
      </c>
      <c r="AN158">
        <f t="shared" si="67"/>
        <v>0</v>
      </c>
      <c r="AO158">
        <f>step3_validation[[#This Row],[AI_TRU2]]</f>
        <v>8</v>
      </c>
      <c r="AP158">
        <f t="shared" si="68"/>
        <v>0.77777777777777779</v>
      </c>
      <c r="AQ158">
        <f>survey_responses[[#This Row],[Tôi thấy mức thuế tôi phải đóng theo phương án mới là công bằng (người thu nhập như tôi đóng mức này là hợp lý). - HUMAN-TRU2]]</f>
        <v>1</v>
      </c>
      <c r="AR158">
        <f t="shared" si="69"/>
        <v>0</v>
      </c>
      <c r="AS158">
        <f>step3_validation[[#This Row],[AI_TRU3]]</f>
        <v>9</v>
      </c>
      <c r="AT158">
        <f t="shared" si="70"/>
        <v>0.88888888888888884</v>
      </c>
      <c r="AU158">
        <f>survey_responses[[#This Row],[Tôi tin tưởng số tiền thuế tôi đóng sẽ được Nhà nước sử dụng hiệu quả để cải thiện dịch vụ công (y tế, đường xá...). - HUMAN-TRU3]]</f>
        <v>1</v>
      </c>
      <c r="AV158">
        <f t="shared" si="71"/>
        <v>0</v>
      </c>
      <c r="AW158">
        <f>step3_validation[[#This Row],[AI_TRU4]]</f>
        <v>7</v>
      </c>
      <c r="AX158">
        <f t="shared" si="72"/>
        <v>0.66666666666666663</v>
      </c>
      <c r="AY158">
        <f>survey_responses[[#This Row],[Tôi thấy Nhà nước đã giải thích rõ ràng, minh bạch về lý do và mục tiêu của việc sửa đổi thuế lần này. - HUMAN-TRU4]]</f>
        <v>1</v>
      </c>
      <c r="AZ158">
        <f t="shared" si="73"/>
        <v>0</v>
      </c>
      <c r="BA158" s="32">
        <f t="shared" si="74"/>
        <v>0.74999999999999989</v>
      </c>
      <c r="BB158" s="32">
        <f t="shared" si="75"/>
        <v>0</v>
      </c>
      <c r="BC158" s="7">
        <f t="shared" si="76"/>
        <v>0.78703703703703709</v>
      </c>
      <c r="BD158" s="7">
        <f t="shared" si="77"/>
        <v>0.5</v>
      </c>
      <c r="BE158">
        <f>step3_validation[[#This Row],[AI_OUT1]]</f>
        <v>9</v>
      </c>
      <c r="BF158">
        <f t="shared" si="78"/>
        <v>0.88888888888888884</v>
      </c>
      <c r="BG158">
        <f>survey_responses[[#This Row],[Sau khi xem xét các quyền lợi và nghĩa vụ, bạn có ủng hộ và tuân thủ chính sách mới hiện nay? - HUMAN-OUT1]]</f>
        <v>6</v>
      </c>
      <c r="BH158">
        <f t="shared" si="79"/>
        <v>0.55555555555555558</v>
      </c>
      <c r="BI158" s="32">
        <f t="shared" si="80"/>
        <v>3</v>
      </c>
    </row>
    <row r="159" spans="1:61" x14ac:dyDescent="0.45">
      <c r="A159" s="30">
        <f>step3_validation[[#This Row],[Persona_ID]]</f>
        <v>158</v>
      </c>
      <c r="B159" s="31">
        <f>step3_validation[[#This Row],[Used_Seed]]</f>
        <v>2183</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74.740971459858514</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5</v>
      </c>
      <c r="R159">
        <f t="shared" si="54"/>
        <v>0.44444444444444442</v>
      </c>
      <c r="S159">
        <f>survey_responses[[#This Row],[Tôi tin rằng với các quy định quản lý thuế hiện nay, hành vi gian lận hoặc trốn thuế sẽ dễ dàng bị phát hiện và xử lý nghiêm. - HUMAN-ENF1]]</f>
        <v>7</v>
      </c>
      <c r="T159">
        <f t="shared" si="55"/>
        <v>0.66666666666666663</v>
      </c>
      <c r="U159">
        <f>step3_validation[[#This Row],[AI_ENF2]]</f>
        <v>6</v>
      </c>
      <c r="V159">
        <f t="shared" si="56"/>
        <v>0.55555555555555558</v>
      </c>
      <c r="W159">
        <f>survey_responses[[#This Row],[Tôi tin rằng Nhà nước, cơ quan thuế có đủ khả năng và công nghệ để phát hiện, xử lý nghiêm các hành vi trốn thuế. - HUMAN-ENF2]]</f>
        <v>8</v>
      </c>
      <c r="X159">
        <f t="shared" si="57"/>
        <v>0.77777777777777779</v>
      </c>
      <c r="Y159" s="32">
        <f t="shared" si="58"/>
        <v>0.5</v>
      </c>
      <c r="Z159" s="32">
        <f t="shared" si="59"/>
        <v>0.72222222222222221</v>
      </c>
      <c r="AA159">
        <f>step3_validation[[#This Row],[AI_FAC1]]</f>
        <v>8</v>
      </c>
      <c r="AB159">
        <f t="shared" si="60"/>
        <v>0.77777777777777779</v>
      </c>
      <c r="AC159">
        <f>survey_responses[[#This Row],[Các thủ tục khai báo thuế VÀ/HOẶC quy trình làm việc với cơ quan thuế đơn giản, tiện lợi, nhanh chóng hơn so với trước đây. - HUMAN-FAC1]]</f>
        <v>6</v>
      </c>
      <c r="AD159">
        <f t="shared" si="61"/>
        <v>0.55555555555555558</v>
      </c>
      <c r="AE159">
        <f>step3_validation[[#This Row],[AI_FAC2]]</f>
        <v>9</v>
      </c>
      <c r="AF159">
        <f t="shared" si="62"/>
        <v>0.88888888888888884</v>
      </c>
      <c r="AG159">
        <f>survey_responses[[#This Row],[So với trước đây, tôi thấy cách tính thuế và các bậc thuế trong phương án mới đơn giản, dễ hiểu và dễ thực hiện hơn. - HUMAN-FAC2]]</f>
        <v>6</v>
      </c>
      <c r="AH159">
        <f t="shared" si="63"/>
        <v>0.55555555555555558</v>
      </c>
      <c r="AI159" s="32">
        <f t="shared" si="64"/>
        <v>0.83333333333333326</v>
      </c>
      <c r="AJ159" s="32">
        <f t="shared" si="65"/>
        <v>0.55555555555555558</v>
      </c>
      <c r="AK159">
        <f>step3_validation[[#This Row],[AI_TRU1]]</f>
        <v>7</v>
      </c>
      <c r="AL159">
        <f t="shared" si="66"/>
        <v>0.66666666666666663</v>
      </c>
      <c r="AM159">
        <f>survey_responses[[#This Row],[Tôi tin rằng Nhà nước, cơ quan thuế sẽ thực thi chính sách mới một cách khách quan, công tâm và đối xử bình đẳng với mọi người nộp thuế.  - HUMAN-TRU1]]</f>
        <v>7</v>
      </c>
      <c r="AN159">
        <f t="shared" si="67"/>
        <v>0.66666666666666663</v>
      </c>
      <c r="AO159">
        <f>step3_validation[[#This Row],[AI_TRU2]]</f>
        <v>8</v>
      </c>
      <c r="AP159">
        <f t="shared" si="68"/>
        <v>0.77777777777777779</v>
      </c>
      <c r="AQ159">
        <f>survey_responses[[#This Row],[Tôi thấy mức thuế tôi phải đóng theo phương án mới là công bằng (người thu nhập như tôi đóng mức này là hợp lý). - HUMAN-TRU2]]</f>
        <v>5</v>
      </c>
      <c r="AR159">
        <f t="shared" si="69"/>
        <v>0.44444444444444442</v>
      </c>
      <c r="AS159">
        <f>step3_validation[[#This Row],[AI_TRU3]]</f>
        <v>6</v>
      </c>
      <c r="AT159">
        <f t="shared" si="70"/>
        <v>0.55555555555555558</v>
      </c>
      <c r="AU159">
        <f>survey_responses[[#This Row],[Tôi tin tưởng số tiền thuế tôi đóng sẽ được Nhà nước sử dụng hiệu quả để cải thiện dịch vụ công (y tế, đường xá...). - HUMAN-TRU3]]</f>
        <v>6</v>
      </c>
      <c r="AV159">
        <f t="shared" si="71"/>
        <v>0.55555555555555558</v>
      </c>
      <c r="AW159">
        <f>step3_validation[[#This Row],[AI_TRU4]]</f>
        <v>8</v>
      </c>
      <c r="AX159">
        <f t="shared" si="72"/>
        <v>0.77777777777777779</v>
      </c>
      <c r="AY159">
        <f>survey_responses[[#This Row],[Tôi thấy Nhà nước đã giải thích rõ ràng, minh bạch về lý do và mục tiêu của việc sửa đổi thuế lần này. - HUMAN-TRU4]]</f>
        <v>7</v>
      </c>
      <c r="AZ159">
        <f t="shared" si="73"/>
        <v>0.66666666666666663</v>
      </c>
      <c r="BA159" s="32">
        <f t="shared" si="74"/>
        <v>0.69444444444444442</v>
      </c>
      <c r="BB159" s="32">
        <f t="shared" si="75"/>
        <v>0.58333333333333337</v>
      </c>
      <c r="BC159" s="7">
        <f t="shared" si="76"/>
        <v>0.67592592592592593</v>
      </c>
      <c r="BD159" s="7">
        <f t="shared" si="77"/>
        <v>0.62037037037037035</v>
      </c>
      <c r="BE159">
        <f>step3_validation[[#This Row],[AI_OUT1]]</f>
        <v>9</v>
      </c>
      <c r="BF159">
        <f t="shared" si="78"/>
        <v>0.88888888888888884</v>
      </c>
      <c r="BG159">
        <f>survey_responses[[#This Row],[Sau khi xem xét các quyền lợi và nghĩa vụ, bạn có ủng hộ và tuân thủ chính sách mới hiện nay? - HUMAN-OUT1]]</f>
        <v>7</v>
      </c>
      <c r="BH159">
        <f t="shared" si="79"/>
        <v>0.66666666666666663</v>
      </c>
      <c r="BI159" s="32">
        <f t="shared" si="80"/>
        <v>2</v>
      </c>
    </row>
    <row r="160" spans="1:61" x14ac:dyDescent="0.45">
      <c r="A160" s="30">
        <f>step3_validation[[#This Row],[Persona_ID]]</f>
        <v>159</v>
      </c>
      <c r="B160" s="31">
        <f>step3_validation[[#This Row],[Used_Seed]]</f>
        <v>2184</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36.948773906421572</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8</v>
      </c>
      <c r="R160">
        <f t="shared" si="54"/>
        <v>0.77777777777777779</v>
      </c>
      <c r="S160">
        <f>survey_responses[[#This Row],[Tôi tin rằng với các quy định quản lý thuế hiện nay, hành vi gian lận hoặc trốn thuế sẽ dễ dàng bị phát hiện và xử lý nghiêm. - HUMAN-ENF1]]</f>
        <v>2</v>
      </c>
      <c r="T160">
        <f t="shared" si="55"/>
        <v>0.1111111111111111</v>
      </c>
      <c r="U160">
        <f>step3_validation[[#This Row],[AI_ENF2]]</f>
        <v>9</v>
      </c>
      <c r="V160">
        <f t="shared" si="56"/>
        <v>0.88888888888888884</v>
      </c>
      <c r="W160">
        <f>survey_responses[[#This Row],[Tôi tin rằng Nhà nước, cơ quan thuế có đủ khả năng và công nghệ để phát hiện, xử lý nghiêm các hành vi trốn thuế. - HUMAN-ENF2]]</f>
        <v>7</v>
      </c>
      <c r="X160">
        <f t="shared" si="57"/>
        <v>0.66666666666666663</v>
      </c>
      <c r="Y160" s="32">
        <f t="shared" si="58"/>
        <v>0.83333333333333326</v>
      </c>
      <c r="Z160" s="32">
        <f t="shared" si="59"/>
        <v>0.38888888888888884</v>
      </c>
      <c r="AA160">
        <f>step3_validation[[#This Row],[AI_FAC1]]</f>
        <v>7</v>
      </c>
      <c r="AB160">
        <f t="shared" si="60"/>
        <v>0.66666666666666663</v>
      </c>
      <c r="AC160">
        <f>survey_responses[[#This Row],[Các thủ tục khai báo thuế VÀ/HOẶC quy trình làm việc với cơ quan thuế đơn giản, tiện lợi, nhanh chóng hơn so với trước đây. - HUMAN-FAC1]]</f>
        <v>10</v>
      </c>
      <c r="AD160">
        <f t="shared" si="61"/>
        <v>1</v>
      </c>
      <c r="AE160">
        <f>step3_validation[[#This Row],[AI_FAC2]]</f>
        <v>9</v>
      </c>
      <c r="AF160">
        <f t="shared" si="62"/>
        <v>0.88888888888888884</v>
      </c>
      <c r="AG160">
        <f>survey_responses[[#This Row],[So với trước đây, tôi thấy cách tính thuế và các bậc thuế trong phương án mới đơn giản, dễ hiểu và dễ thực hiện hơn. - HUMAN-FAC2]]</f>
        <v>2</v>
      </c>
      <c r="AH160">
        <f t="shared" si="63"/>
        <v>0.1111111111111111</v>
      </c>
      <c r="AI160" s="32">
        <f t="shared" si="64"/>
        <v>0.77777777777777768</v>
      </c>
      <c r="AJ160" s="32">
        <f t="shared" si="65"/>
        <v>0.55555555555555558</v>
      </c>
      <c r="AK160">
        <f>step3_validation[[#This Row],[AI_TRU1]]</f>
        <v>8</v>
      </c>
      <c r="AL160">
        <f t="shared" si="66"/>
        <v>0.77777777777777779</v>
      </c>
      <c r="AM160">
        <f>survey_responses[[#This Row],[Tôi tin rằng Nhà nước, cơ quan thuế sẽ thực thi chính sách mới một cách khách quan, công tâm và đối xử bình đẳng với mọi người nộp thuế.  - HUMAN-TRU1]]</f>
        <v>10</v>
      </c>
      <c r="AN160">
        <f t="shared" si="67"/>
        <v>1</v>
      </c>
      <c r="AO160">
        <f>step3_validation[[#This Row],[AI_TRU2]]</f>
        <v>9</v>
      </c>
      <c r="AP160">
        <f t="shared" si="68"/>
        <v>0.88888888888888884</v>
      </c>
      <c r="AQ160">
        <f>survey_responses[[#This Row],[Tôi thấy mức thuế tôi phải đóng theo phương án mới là công bằng (người thu nhập như tôi đóng mức này là hợp lý). - HUMAN-TRU2]]</f>
        <v>5</v>
      </c>
      <c r="AR160">
        <f t="shared" si="69"/>
        <v>0.44444444444444442</v>
      </c>
      <c r="AS160">
        <f>step3_validation[[#This Row],[AI_TRU3]]</f>
        <v>8</v>
      </c>
      <c r="AT160">
        <f t="shared" si="70"/>
        <v>0.77777777777777779</v>
      </c>
      <c r="AU160">
        <f>survey_responses[[#This Row],[Tôi tin tưởng số tiền thuế tôi đóng sẽ được Nhà nước sử dụng hiệu quả để cải thiện dịch vụ công (y tế, đường xá...). - HUMAN-TRU3]]</f>
        <v>10</v>
      </c>
      <c r="AV160">
        <f t="shared" si="71"/>
        <v>1</v>
      </c>
      <c r="AW160">
        <f>step3_validation[[#This Row],[AI_TRU4]]</f>
        <v>9</v>
      </c>
      <c r="AX160">
        <f t="shared" si="72"/>
        <v>0.88888888888888884</v>
      </c>
      <c r="AY160">
        <f>survey_responses[[#This Row],[Tôi thấy Nhà nước đã giải thích rõ ràng, minh bạch về lý do và mục tiêu của việc sửa đổi thuế lần này. - HUMAN-TRU4]]</f>
        <v>3</v>
      </c>
      <c r="AZ160">
        <f t="shared" si="73"/>
        <v>0.22222222222222221</v>
      </c>
      <c r="BA160" s="32">
        <f t="shared" si="74"/>
        <v>0.83333333333333326</v>
      </c>
      <c r="BB160" s="32">
        <f t="shared" si="75"/>
        <v>0.66666666666666674</v>
      </c>
      <c r="BC160" s="7">
        <f t="shared" si="76"/>
        <v>0.81481481481481477</v>
      </c>
      <c r="BD160" s="7">
        <f t="shared" si="77"/>
        <v>0.53703703703703709</v>
      </c>
      <c r="BE160">
        <f>step3_validation[[#This Row],[AI_OUT1]]</f>
        <v>10</v>
      </c>
      <c r="BF160">
        <f t="shared" si="78"/>
        <v>1</v>
      </c>
      <c r="BG160">
        <f>survey_responses[[#This Row],[Sau khi xem xét các quyền lợi và nghĩa vụ, bạn có ủng hộ và tuân thủ chính sách mới hiện nay? - HUMAN-OUT1]]</f>
        <v>3</v>
      </c>
      <c r="BH160">
        <f t="shared" si="79"/>
        <v>0.22222222222222221</v>
      </c>
      <c r="BI160" s="32">
        <f t="shared" si="80"/>
        <v>7</v>
      </c>
    </row>
    <row r="161" spans="1:61" x14ac:dyDescent="0.45">
      <c r="A161" s="30">
        <f>step3_validation[[#This Row],[Persona_ID]]</f>
        <v>160</v>
      </c>
      <c r="B161" s="31">
        <f>step3_validation[[#This Row],[Used_Seed]]</f>
        <v>2185</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43.747207744892705</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7</v>
      </c>
      <c r="R161">
        <f t="shared" si="54"/>
        <v>0.66666666666666663</v>
      </c>
      <c r="S161">
        <f>survey_responses[[#This Row],[Tôi tin rằng với các quy định quản lý thuế hiện nay, hành vi gian lận hoặc trốn thuế sẽ dễ dàng bị phát hiện và xử lý nghiêm. - HUMAN-ENF1]]</f>
        <v>9</v>
      </c>
      <c r="T161">
        <f t="shared" si="55"/>
        <v>0.88888888888888884</v>
      </c>
      <c r="U161">
        <f>step3_validation[[#This Row],[AI_ENF2]]</f>
        <v>8</v>
      </c>
      <c r="V161">
        <f t="shared" si="56"/>
        <v>0.77777777777777779</v>
      </c>
      <c r="W161">
        <f>survey_responses[[#This Row],[Tôi tin rằng Nhà nước, cơ quan thuế có đủ khả năng và công nghệ để phát hiện, xử lý nghiêm các hành vi trốn thuế. - HUMAN-ENF2]]</f>
        <v>9</v>
      </c>
      <c r="X161">
        <f t="shared" si="57"/>
        <v>0.88888888888888884</v>
      </c>
      <c r="Y161" s="32">
        <f t="shared" si="58"/>
        <v>0.72222222222222221</v>
      </c>
      <c r="Z161" s="32">
        <f t="shared" si="59"/>
        <v>0.88888888888888884</v>
      </c>
      <c r="AA161">
        <f>step3_validation[[#This Row],[AI_FAC1]]</f>
        <v>9</v>
      </c>
      <c r="AB161">
        <f t="shared" si="60"/>
        <v>0.88888888888888884</v>
      </c>
      <c r="AC161">
        <f>survey_responses[[#This Row],[Các thủ tục khai báo thuế VÀ/HOẶC quy trình làm việc với cơ quan thuế đơn giản, tiện lợi, nhanh chóng hơn so với trước đây. - HUMAN-FAC1]]</f>
        <v>10</v>
      </c>
      <c r="AD161">
        <f t="shared" si="61"/>
        <v>1</v>
      </c>
      <c r="AE161">
        <f>step3_validation[[#This Row],[AI_FAC2]]</f>
        <v>9</v>
      </c>
      <c r="AF161">
        <f t="shared" si="62"/>
        <v>0.88888888888888884</v>
      </c>
      <c r="AG161">
        <f>survey_responses[[#This Row],[So với trước đây, tôi thấy cách tính thuế và các bậc thuế trong phương án mới đơn giản, dễ hiểu và dễ thực hiện hơn. - HUMAN-FAC2]]</f>
        <v>2</v>
      </c>
      <c r="AH161">
        <f t="shared" si="63"/>
        <v>0.1111111111111111</v>
      </c>
      <c r="AI161" s="32">
        <f t="shared" si="64"/>
        <v>0.88888888888888884</v>
      </c>
      <c r="AJ161" s="32">
        <f t="shared" si="65"/>
        <v>0.55555555555555558</v>
      </c>
      <c r="AK161">
        <f>step3_validation[[#This Row],[AI_TRU1]]</f>
        <v>8</v>
      </c>
      <c r="AL161">
        <f t="shared" si="66"/>
        <v>0.77777777777777779</v>
      </c>
      <c r="AM161">
        <f>survey_responses[[#This Row],[Tôi tin rằng Nhà nước, cơ quan thuế sẽ thực thi chính sách mới một cách khách quan, công tâm và đối xử bình đẳng với mọi người nộp thuế.  - HUMAN-TRU1]]</f>
        <v>9</v>
      </c>
      <c r="AN161">
        <f t="shared" si="67"/>
        <v>0.88888888888888884</v>
      </c>
      <c r="AO161">
        <f>step3_validation[[#This Row],[AI_TRU2]]</f>
        <v>9</v>
      </c>
      <c r="AP161">
        <f t="shared" si="68"/>
        <v>0.88888888888888884</v>
      </c>
      <c r="AQ161">
        <f>survey_responses[[#This Row],[Tôi thấy mức thuế tôi phải đóng theo phương án mới là công bằng (người thu nhập như tôi đóng mức này là hợp lý). - HUMAN-TRU2]]</f>
        <v>9</v>
      </c>
      <c r="AR161">
        <f t="shared" si="69"/>
        <v>0.88888888888888884</v>
      </c>
      <c r="AS161">
        <f>step3_validation[[#This Row],[AI_TRU3]]</f>
        <v>8</v>
      </c>
      <c r="AT161">
        <f t="shared" si="70"/>
        <v>0.77777777777777779</v>
      </c>
      <c r="AU161">
        <f>survey_responses[[#This Row],[Tôi tin tưởng số tiền thuế tôi đóng sẽ được Nhà nước sử dụng hiệu quả để cải thiện dịch vụ công (y tế, đường xá...). - HUMAN-TRU3]]</f>
        <v>6</v>
      </c>
      <c r="AV161">
        <f t="shared" si="71"/>
        <v>0.55555555555555558</v>
      </c>
      <c r="AW161">
        <f>step3_validation[[#This Row],[AI_TRU4]]</f>
        <v>7</v>
      </c>
      <c r="AX161">
        <f t="shared" si="72"/>
        <v>0.66666666666666663</v>
      </c>
      <c r="AY161">
        <f>survey_responses[[#This Row],[Tôi thấy Nhà nước đã giải thích rõ ràng, minh bạch về lý do và mục tiêu của việc sửa đổi thuế lần này. - HUMAN-TRU4]]</f>
        <v>8</v>
      </c>
      <c r="AZ161">
        <f t="shared" si="73"/>
        <v>0.77777777777777779</v>
      </c>
      <c r="BA161" s="32">
        <f t="shared" si="74"/>
        <v>0.77777777777777768</v>
      </c>
      <c r="BB161" s="32">
        <f t="shared" si="75"/>
        <v>0.77777777777777768</v>
      </c>
      <c r="BC161" s="7">
        <f t="shared" si="76"/>
        <v>0.79629629629629628</v>
      </c>
      <c r="BD161" s="7">
        <f t="shared" si="77"/>
        <v>0.74074074074074081</v>
      </c>
      <c r="BE161">
        <f>step3_validation[[#This Row],[AI_OUT1]]</f>
        <v>9</v>
      </c>
      <c r="BF161">
        <f t="shared" si="78"/>
        <v>0.88888888888888884</v>
      </c>
      <c r="BG161">
        <f>survey_responses[[#This Row],[Sau khi xem xét các quyền lợi và nghĩa vụ, bạn có ủng hộ và tuân thủ chính sách mới hiện nay? - HUMAN-OUT1]]</f>
        <v>10</v>
      </c>
      <c r="BH161">
        <f t="shared" si="79"/>
        <v>1</v>
      </c>
      <c r="BI161" s="32">
        <f t="shared" si="80"/>
        <v>1</v>
      </c>
    </row>
    <row r="162" spans="1:61" x14ac:dyDescent="0.45">
      <c r="A162" s="30">
        <f>step3_validation[[#This Row],[Persona_ID]]</f>
        <v>161</v>
      </c>
      <c r="B162" s="31">
        <f>step3_validation[[#This Row],[Used_Seed]]</f>
        <v>2186</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13.836921905190801</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7</v>
      </c>
      <c r="R162">
        <f t="shared" si="54"/>
        <v>0.66666666666666663</v>
      </c>
      <c r="S162">
        <f>survey_responses[[#This Row],[Tôi tin rằng với các quy định quản lý thuế hiện nay, hành vi gian lận hoặc trốn thuế sẽ dễ dàng bị phát hiện và xử lý nghiêm. - HUMAN-ENF1]]</f>
        <v>7</v>
      </c>
      <c r="T162">
        <f t="shared" si="55"/>
        <v>0.66666666666666663</v>
      </c>
      <c r="U162">
        <f>step3_validation[[#This Row],[AI_ENF2]]</f>
        <v>8</v>
      </c>
      <c r="V162">
        <f t="shared" si="56"/>
        <v>0.77777777777777779</v>
      </c>
      <c r="W162">
        <f>survey_responses[[#This Row],[Tôi tin rằng Nhà nước, cơ quan thuế có đủ khả năng và công nghệ để phát hiện, xử lý nghiêm các hành vi trốn thuế. - HUMAN-ENF2]]</f>
        <v>5</v>
      </c>
      <c r="X162">
        <f t="shared" si="57"/>
        <v>0.44444444444444442</v>
      </c>
      <c r="Y162" s="32">
        <f t="shared" si="58"/>
        <v>0.72222222222222221</v>
      </c>
      <c r="Z162" s="32">
        <f t="shared" si="59"/>
        <v>0.55555555555555558</v>
      </c>
      <c r="AA162">
        <f>step3_validation[[#This Row],[AI_FAC1]]</f>
        <v>9</v>
      </c>
      <c r="AB162">
        <f t="shared" si="60"/>
        <v>0.88888888888888884</v>
      </c>
      <c r="AC162">
        <f>survey_responses[[#This Row],[Các thủ tục khai báo thuế VÀ/HOẶC quy trình làm việc với cơ quan thuế đơn giản, tiện lợi, nhanh chóng hơn so với trước đây. - HUMAN-FAC1]]</f>
        <v>7</v>
      </c>
      <c r="AD162">
        <f t="shared" si="61"/>
        <v>0.66666666666666663</v>
      </c>
      <c r="AE162">
        <f>step3_validation[[#This Row],[AI_FAC2]]</f>
        <v>10</v>
      </c>
      <c r="AF162">
        <f t="shared" si="62"/>
        <v>1</v>
      </c>
      <c r="AG162">
        <f>survey_responses[[#This Row],[So với trước đây, tôi thấy cách tính thuế và các bậc thuế trong phương án mới đơn giản, dễ hiểu và dễ thực hiện hơn. - HUMAN-FAC2]]</f>
        <v>5</v>
      </c>
      <c r="AH162">
        <f t="shared" si="63"/>
        <v>0.44444444444444442</v>
      </c>
      <c r="AI162" s="32">
        <f t="shared" si="64"/>
        <v>0.94444444444444442</v>
      </c>
      <c r="AJ162" s="32">
        <f t="shared" si="65"/>
        <v>0.55555555555555558</v>
      </c>
      <c r="AK162">
        <f>step3_validation[[#This Row],[AI_TRU1]]</f>
        <v>7</v>
      </c>
      <c r="AL162">
        <f t="shared" si="66"/>
        <v>0.66666666666666663</v>
      </c>
      <c r="AM162">
        <f>survey_responses[[#This Row],[Tôi tin rằng Nhà nước, cơ quan thuế sẽ thực thi chính sách mới một cách khách quan, công tâm và đối xử bình đẳng với mọi người nộp thuế.  - HUMAN-TRU1]]</f>
        <v>3</v>
      </c>
      <c r="AN162">
        <f t="shared" si="67"/>
        <v>0.22222222222222221</v>
      </c>
      <c r="AO162">
        <f>step3_validation[[#This Row],[AI_TRU2]]</f>
        <v>9</v>
      </c>
      <c r="AP162">
        <f t="shared" si="68"/>
        <v>0.88888888888888884</v>
      </c>
      <c r="AQ162">
        <f>survey_responses[[#This Row],[Tôi thấy mức thuế tôi phải đóng theo phương án mới là công bằng (người thu nhập như tôi đóng mức này là hợp lý). - HUMAN-TRU2]]</f>
        <v>4</v>
      </c>
      <c r="AR162">
        <f t="shared" si="69"/>
        <v>0.33333333333333331</v>
      </c>
      <c r="AS162">
        <f>step3_validation[[#This Row],[AI_TRU3]]</f>
        <v>7</v>
      </c>
      <c r="AT162">
        <f t="shared" si="70"/>
        <v>0.66666666666666663</v>
      </c>
      <c r="AU162">
        <f>survey_responses[[#This Row],[Tôi tin tưởng số tiền thuế tôi đóng sẽ được Nhà nước sử dụng hiệu quả để cải thiện dịch vụ công (y tế, đường xá...). - HUMAN-TRU3]]</f>
        <v>1</v>
      </c>
      <c r="AV162">
        <f t="shared" si="71"/>
        <v>0</v>
      </c>
      <c r="AW162">
        <f>step3_validation[[#This Row],[AI_TRU4]]</f>
        <v>8</v>
      </c>
      <c r="AX162">
        <f t="shared" si="72"/>
        <v>0.77777777777777779</v>
      </c>
      <c r="AY162">
        <f>survey_responses[[#This Row],[Tôi thấy Nhà nước đã giải thích rõ ràng, minh bạch về lý do và mục tiêu của việc sửa đổi thuế lần này. - HUMAN-TRU4]]</f>
        <v>5</v>
      </c>
      <c r="AZ162">
        <f t="shared" si="73"/>
        <v>0.44444444444444442</v>
      </c>
      <c r="BA162" s="32">
        <f t="shared" si="74"/>
        <v>0.74999999999999989</v>
      </c>
      <c r="BB162" s="32">
        <f t="shared" si="75"/>
        <v>0.25</v>
      </c>
      <c r="BC162" s="7">
        <f t="shared" si="76"/>
        <v>0.80555555555555547</v>
      </c>
      <c r="BD162" s="7">
        <f t="shared" si="77"/>
        <v>0.45370370370370372</v>
      </c>
      <c r="BE162">
        <f>step3_validation[[#This Row],[AI_OUT1]]</f>
        <v>9</v>
      </c>
      <c r="BF162">
        <f t="shared" si="78"/>
        <v>0.88888888888888884</v>
      </c>
      <c r="BG162">
        <f>survey_responses[[#This Row],[Sau khi xem xét các quyền lợi và nghĩa vụ, bạn có ủng hộ và tuân thủ chính sách mới hiện nay? - HUMAN-OUT1]]</f>
        <v>5</v>
      </c>
      <c r="BH162">
        <f t="shared" si="79"/>
        <v>0.44444444444444442</v>
      </c>
      <c r="BI162" s="32">
        <f t="shared" si="80"/>
        <v>4</v>
      </c>
    </row>
    <row r="163" spans="1:61" x14ac:dyDescent="0.45">
      <c r="A163" s="30">
        <f>step3_validation[[#This Row],[Persona_ID]]</f>
        <v>162</v>
      </c>
      <c r="B163" s="31">
        <f>step3_validation[[#This Row],[Used_Seed]]</f>
        <v>2187</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6</v>
      </c>
      <c r="R163">
        <f t="shared" si="54"/>
        <v>0.55555555555555558</v>
      </c>
      <c r="S163">
        <f>survey_responses[[#This Row],[Tôi tin rằng với các quy định quản lý thuế hiện nay, hành vi gian lận hoặc trốn thuế sẽ dễ dàng bị phát hiện và xử lý nghiêm. - HUMAN-ENF1]]</f>
        <v>3</v>
      </c>
      <c r="T163">
        <f t="shared" si="55"/>
        <v>0.22222222222222221</v>
      </c>
      <c r="U163">
        <f>step3_validation[[#This Row],[AI_ENF2]]</f>
        <v>7</v>
      </c>
      <c r="V163">
        <f t="shared" si="56"/>
        <v>0.66666666666666663</v>
      </c>
      <c r="W163">
        <f>survey_responses[[#This Row],[Tôi tin rằng Nhà nước, cơ quan thuế có đủ khả năng và công nghệ để phát hiện, xử lý nghiêm các hành vi trốn thuế. - HUMAN-ENF2]]</f>
        <v>8</v>
      </c>
      <c r="X163">
        <f t="shared" si="57"/>
        <v>0.77777777777777779</v>
      </c>
      <c r="Y163" s="32">
        <f t="shared" si="58"/>
        <v>0.61111111111111116</v>
      </c>
      <c r="Z163" s="32">
        <f t="shared" si="59"/>
        <v>0.5</v>
      </c>
      <c r="AA163">
        <f>step3_validation[[#This Row],[AI_FAC1]]</f>
        <v>9</v>
      </c>
      <c r="AB163">
        <f t="shared" si="60"/>
        <v>0.88888888888888884</v>
      </c>
      <c r="AC163">
        <f>survey_responses[[#This Row],[Các thủ tục khai báo thuế VÀ/HOẶC quy trình làm việc với cơ quan thuế đơn giản, tiện lợi, nhanh chóng hơn so với trước đây. - HUMAN-FAC1]]</f>
        <v>4</v>
      </c>
      <c r="AD163">
        <f t="shared" si="61"/>
        <v>0.33333333333333331</v>
      </c>
      <c r="AE163">
        <f>step3_validation[[#This Row],[AI_FAC2]]</f>
        <v>10</v>
      </c>
      <c r="AF163">
        <f t="shared" si="62"/>
        <v>1</v>
      </c>
      <c r="AG163">
        <f>survey_responses[[#This Row],[So với trước đây, tôi thấy cách tính thuế và các bậc thuế trong phương án mới đơn giản, dễ hiểu và dễ thực hiện hơn. - HUMAN-FAC2]]</f>
        <v>5</v>
      </c>
      <c r="AH163">
        <f t="shared" si="63"/>
        <v>0.44444444444444442</v>
      </c>
      <c r="AI163" s="32">
        <f t="shared" si="64"/>
        <v>0.94444444444444442</v>
      </c>
      <c r="AJ163" s="32">
        <f t="shared" si="65"/>
        <v>0.38888888888888884</v>
      </c>
      <c r="AK163">
        <f>step3_validation[[#This Row],[AI_TRU1]]</f>
        <v>8</v>
      </c>
      <c r="AL163">
        <f t="shared" si="66"/>
        <v>0.77777777777777779</v>
      </c>
      <c r="AM163">
        <f>survey_responses[[#This Row],[Tôi tin rằng Nhà nước, cơ quan thuế sẽ thực thi chính sách mới một cách khách quan, công tâm và đối xử bình đẳng với mọi người nộp thuế.  - HUMAN-TRU1]]</f>
        <v>5</v>
      </c>
      <c r="AN163">
        <f t="shared" si="67"/>
        <v>0.44444444444444442</v>
      </c>
      <c r="AO163">
        <f>step3_validation[[#This Row],[AI_TRU2]]</f>
        <v>9</v>
      </c>
      <c r="AP163">
        <f t="shared" si="68"/>
        <v>0.88888888888888884</v>
      </c>
      <c r="AQ163">
        <f>survey_responses[[#This Row],[Tôi thấy mức thuế tôi phải đóng theo phương án mới là công bằng (người thu nhập như tôi đóng mức này là hợp lý). - HUMAN-TRU2]]</f>
        <v>5</v>
      </c>
      <c r="AR163">
        <f t="shared" si="69"/>
        <v>0.44444444444444442</v>
      </c>
      <c r="AS163">
        <f>step3_validation[[#This Row],[AI_TRU3]]</f>
        <v>8</v>
      </c>
      <c r="AT163">
        <f t="shared" si="70"/>
        <v>0.77777777777777779</v>
      </c>
      <c r="AU163">
        <f>survey_responses[[#This Row],[Tôi tin tưởng số tiền thuế tôi đóng sẽ được Nhà nước sử dụng hiệu quả để cải thiện dịch vụ công (y tế, đường xá...). - HUMAN-TRU3]]</f>
        <v>5</v>
      </c>
      <c r="AV163">
        <f t="shared" si="71"/>
        <v>0.44444444444444442</v>
      </c>
      <c r="AW163">
        <f>step3_validation[[#This Row],[AI_TRU4]]</f>
        <v>7</v>
      </c>
      <c r="AX163">
        <f t="shared" si="72"/>
        <v>0.66666666666666663</v>
      </c>
      <c r="AY163">
        <f>survey_responses[[#This Row],[Tôi thấy Nhà nước đã giải thích rõ ràng, minh bạch về lý do và mục tiêu của việc sửa đổi thuế lần này. - HUMAN-TRU4]]</f>
        <v>5</v>
      </c>
      <c r="AZ163">
        <f t="shared" si="73"/>
        <v>0.44444444444444442</v>
      </c>
      <c r="BA163" s="32">
        <f t="shared" si="74"/>
        <v>0.77777777777777768</v>
      </c>
      <c r="BB163" s="32">
        <f t="shared" si="75"/>
        <v>0.44444444444444442</v>
      </c>
      <c r="BC163" s="7">
        <f t="shared" si="76"/>
        <v>0.77777777777777768</v>
      </c>
      <c r="BD163" s="7">
        <f t="shared" si="77"/>
        <v>0.44444444444444442</v>
      </c>
      <c r="BE163">
        <f>step3_validation[[#This Row],[AI_OUT1]]</f>
        <v>9</v>
      </c>
      <c r="BF163">
        <f t="shared" si="78"/>
        <v>0.88888888888888884</v>
      </c>
      <c r="BG163">
        <f>survey_responses[[#This Row],[Sau khi xem xét các quyền lợi và nghĩa vụ, bạn có ủng hộ và tuân thủ chính sách mới hiện nay? - HUMAN-OUT1]]</f>
        <v>5</v>
      </c>
      <c r="BH163">
        <f t="shared" si="79"/>
        <v>0.44444444444444442</v>
      </c>
      <c r="BI163" s="32">
        <f t="shared" si="80"/>
        <v>4</v>
      </c>
    </row>
    <row r="164" spans="1:61" x14ac:dyDescent="0.45">
      <c r="A164" s="30">
        <f>step3_validation[[#This Row],[Persona_ID]]</f>
        <v>163</v>
      </c>
      <c r="B164" s="31">
        <f>step3_validation[[#This Row],[Used_Seed]]</f>
        <v>2188</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12.688219564202335</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9</v>
      </c>
      <c r="R164">
        <f t="shared" si="54"/>
        <v>0.88888888888888884</v>
      </c>
      <c r="S164">
        <f>survey_responses[[#This Row],[Tôi tin rằng với các quy định quản lý thuế hiện nay, hành vi gian lận hoặc trốn thuế sẽ dễ dàng bị phát hiện và xử lý nghiêm. - HUMAN-ENF1]]</f>
        <v>10</v>
      </c>
      <c r="T164">
        <f t="shared" si="55"/>
        <v>1</v>
      </c>
      <c r="U164">
        <f>step3_validation[[#This Row],[AI_ENF2]]</f>
        <v>8</v>
      </c>
      <c r="V164">
        <f t="shared" si="56"/>
        <v>0.77777777777777779</v>
      </c>
      <c r="W164">
        <f>survey_responses[[#This Row],[Tôi tin rằng Nhà nước, cơ quan thuế có đủ khả năng và công nghệ để phát hiện, xử lý nghiêm các hành vi trốn thuế. - HUMAN-ENF2]]</f>
        <v>10</v>
      </c>
      <c r="X164">
        <f t="shared" si="57"/>
        <v>1</v>
      </c>
      <c r="Y164" s="32">
        <f t="shared" si="58"/>
        <v>0.83333333333333326</v>
      </c>
      <c r="Z164" s="32">
        <f t="shared" si="59"/>
        <v>1</v>
      </c>
      <c r="AA164">
        <f>step3_validation[[#This Row],[AI_FAC1]]</f>
        <v>9</v>
      </c>
      <c r="AB164">
        <f t="shared" si="60"/>
        <v>0.88888888888888884</v>
      </c>
      <c r="AC164">
        <f>survey_responses[[#This Row],[Các thủ tục khai báo thuế VÀ/HOẶC quy trình làm việc với cơ quan thuế đơn giản, tiện lợi, nhanh chóng hơn so với trước đây. - HUMAN-FAC1]]</f>
        <v>10</v>
      </c>
      <c r="AD164">
        <f t="shared" si="61"/>
        <v>1</v>
      </c>
      <c r="AE164">
        <f>step3_validation[[#This Row],[AI_FAC2]]</f>
        <v>8</v>
      </c>
      <c r="AF164">
        <f t="shared" si="62"/>
        <v>0.77777777777777779</v>
      </c>
      <c r="AG164">
        <f>survey_responses[[#This Row],[So với trước đây, tôi thấy cách tính thuế và các bậc thuế trong phương án mới đơn giản, dễ hiểu và dễ thực hiện hơn. - HUMAN-FAC2]]</f>
        <v>10</v>
      </c>
      <c r="AH164">
        <f t="shared" si="63"/>
        <v>1</v>
      </c>
      <c r="AI164" s="32">
        <f t="shared" si="64"/>
        <v>0.83333333333333326</v>
      </c>
      <c r="AJ164" s="32">
        <f t="shared" si="65"/>
        <v>1</v>
      </c>
      <c r="AK164">
        <f>step3_validation[[#This Row],[AI_TRU1]]</f>
        <v>9</v>
      </c>
      <c r="AL164">
        <f t="shared" si="66"/>
        <v>0.88888888888888884</v>
      </c>
      <c r="AM164">
        <f>survey_responses[[#This Row],[Tôi tin rằng Nhà nước, cơ quan thuế sẽ thực thi chính sách mới một cách khách quan, công tâm và đối xử bình đẳng với mọi người nộp thuế.  - HUMAN-TRU1]]</f>
        <v>10</v>
      </c>
      <c r="AN164">
        <f t="shared" si="67"/>
        <v>1</v>
      </c>
      <c r="AO164">
        <f>step3_validation[[#This Row],[AI_TRU2]]</f>
        <v>8</v>
      </c>
      <c r="AP164">
        <f t="shared" si="68"/>
        <v>0.77777777777777779</v>
      </c>
      <c r="AQ164">
        <f>survey_responses[[#This Row],[Tôi thấy mức thuế tôi phải đóng theo phương án mới là công bằng (người thu nhập như tôi đóng mức này là hợp lý). - HUMAN-TRU2]]</f>
        <v>10</v>
      </c>
      <c r="AR164">
        <f t="shared" si="69"/>
        <v>1</v>
      </c>
      <c r="AS164">
        <f>step3_validation[[#This Row],[AI_TRU3]]</f>
        <v>9</v>
      </c>
      <c r="AT164">
        <f t="shared" si="70"/>
        <v>0.88888888888888884</v>
      </c>
      <c r="AU164">
        <f>survey_responses[[#This Row],[Tôi tin tưởng số tiền thuế tôi đóng sẽ được Nhà nước sử dụng hiệu quả để cải thiện dịch vụ công (y tế, đường xá...). - HUMAN-TRU3]]</f>
        <v>10</v>
      </c>
      <c r="AV164">
        <f t="shared" si="71"/>
        <v>1</v>
      </c>
      <c r="AW164">
        <f>step3_validation[[#This Row],[AI_TRU4]]</f>
        <v>8</v>
      </c>
      <c r="AX164">
        <f t="shared" si="72"/>
        <v>0.77777777777777779</v>
      </c>
      <c r="AY164">
        <f>survey_responses[[#This Row],[Tôi thấy Nhà nước đã giải thích rõ ràng, minh bạch về lý do và mục tiêu của việc sửa đổi thuế lần này. - HUMAN-TRU4]]</f>
        <v>10</v>
      </c>
      <c r="AZ164">
        <f t="shared" si="73"/>
        <v>1</v>
      </c>
      <c r="BA164" s="32">
        <f t="shared" si="74"/>
        <v>0.83333333333333326</v>
      </c>
      <c r="BB164" s="32">
        <f t="shared" si="75"/>
        <v>1</v>
      </c>
      <c r="BC164" s="7">
        <f t="shared" si="76"/>
        <v>0.83333333333333337</v>
      </c>
      <c r="BD164" s="7">
        <f t="shared" si="77"/>
        <v>1</v>
      </c>
      <c r="BE164">
        <f>step3_validation[[#This Row],[AI_OUT1]]</f>
        <v>9</v>
      </c>
      <c r="BF164">
        <f t="shared" si="78"/>
        <v>0.88888888888888884</v>
      </c>
      <c r="BG164">
        <f>survey_responses[[#This Row],[Sau khi xem xét các quyền lợi và nghĩa vụ, bạn có ủng hộ và tuân thủ chính sách mới hiện nay? - HUMAN-OUT1]]</f>
        <v>10</v>
      </c>
      <c r="BH164">
        <f t="shared" si="79"/>
        <v>1</v>
      </c>
      <c r="BI164" s="32">
        <f t="shared" si="80"/>
        <v>1</v>
      </c>
    </row>
    <row r="165" spans="1:61" x14ac:dyDescent="0.45">
      <c r="A165" s="30">
        <f>step3_validation[[#This Row],[Persona_ID]]</f>
        <v>164</v>
      </c>
      <c r="B165" s="31">
        <f>step3_validation[[#This Row],[Used_Seed]]</f>
        <v>2189</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38.104304331939581</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5</v>
      </c>
      <c r="R165">
        <f t="shared" si="54"/>
        <v>0.44444444444444442</v>
      </c>
      <c r="S165">
        <f>survey_responses[[#This Row],[Tôi tin rằng với các quy định quản lý thuế hiện nay, hành vi gian lận hoặc trốn thuế sẽ dễ dàng bị phát hiện và xử lý nghiêm. - HUMAN-ENF1]]</f>
        <v>8</v>
      </c>
      <c r="T165">
        <f t="shared" si="55"/>
        <v>0.77777777777777779</v>
      </c>
      <c r="U165">
        <f>step3_validation[[#This Row],[AI_ENF2]]</f>
        <v>7</v>
      </c>
      <c r="V165">
        <f t="shared" si="56"/>
        <v>0.66666666666666663</v>
      </c>
      <c r="W165">
        <f>survey_responses[[#This Row],[Tôi tin rằng Nhà nước, cơ quan thuế có đủ khả năng và công nghệ để phát hiện, xử lý nghiêm các hành vi trốn thuế. - HUMAN-ENF2]]</f>
        <v>9</v>
      </c>
      <c r="X165">
        <f t="shared" si="57"/>
        <v>0.88888888888888884</v>
      </c>
      <c r="Y165" s="32">
        <f t="shared" si="58"/>
        <v>0.55555555555555558</v>
      </c>
      <c r="Z165" s="32">
        <f t="shared" si="59"/>
        <v>0.83333333333333326</v>
      </c>
      <c r="AA165">
        <f>step3_validation[[#This Row],[AI_FAC1]]</f>
        <v>9</v>
      </c>
      <c r="AB165">
        <f t="shared" si="60"/>
        <v>0.88888888888888884</v>
      </c>
      <c r="AC165">
        <f>survey_responses[[#This Row],[Các thủ tục khai báo thuế VÀ/HOẶC quy trình làm việc với cơ quan thuế đơn giản, tiện lợi, nhanh chóng hơn so với trước đây. - HUMAN-FAC1]]</f>
        <v>9</v>
      </c>
      <c r="AD165">
        <f t="shared" si="61"/>
        <v>0.88888888888888884</v>
      </c>
      <c r="AE165">
        <f>step3_validation[[#This Row],[AI_FAC2]]</f>
        <v>8</v>
      </c>
      <c r="AF165">
        <f t="shared" si="62"/>
        <v>0.77777777777777779</v>
      </c>
      <c r="AG165">
        <f>survey_responses[[#This Row],[So với trước đây, tôi thấy cách tính thuế và các bậc thuế trong phương án mới đơn giản, dễ hiểu và dễ thực hiện hơn. - HUMAN-FAC2]]</f>
        <v>9</v>
      </c>
      <c r="AH165">
        <f t="shared" si="63"/>
        <v>0.88888888888888884</v>
      </c>
      <c r="AI165" s="32">
        <f t="shared" si="64"/>
        <v>0.83333333333333326</v>
      </c>
      <c r="AJ165" s="32">
        <f t="shared" si="65"/>
        <v>0.88888888888888884</v>
      </c>
      <c r="AK165">
        <f>step3_validation[[#This Row],[AI_TRU1]]</f>
        <v>6</v>
      </c>
      <c r="AL165">
        <f t="shared" si="66"/>
        <v>0.55555555555555558</v>
      </c>
      <c r="AM165">
        <f>survey_responses[[#This Row],[Tôi tin rằng Nhà nước, cơ quan thuế sẽ thực thi chính sách mới một cách khách quan, công tâm và đối xử bình đẳng với mọi người nộp thuế.  - HUMAN-TRU1]]</f>
        <v>5</v>
      </c>
      <c r="AN165">
        <f t="shared" si="67"/>
        <v>0.44444444444444442</v>
      </c>
      <c r="AO165">
        <f>step3_validation[[#This Row],[AI_TRU2]]</f>
        <v>9</v>
      </c>
      <c r="AP165">
        <f t="shared" si="68"/>
        <v>0.88888888888888884</v>
      </c>
      <c r="AQ165">
        <f>survey_responses[[#This Row],[Tôi thấy mức thuế tôi phải đóng theo phương án mới là công bằng (người thu nhập như tôi đóng mức này là hợp lý). - HUMAN-TRU2]]</f>
        <v>7</v>
      </c>
      <c r="AR165">
        <f t="shared" si="69"/>
        <v>0.66666666666666663</v>
      </c>
      <c r="AS165">
        <f>step3_validation[[#This Row],[AI_TRU3]]</f>
        <v>8</v>
      </c>
      <c r="AT165">
        <f t="shared" si="70"/>
        <v>0.77777777777777779</v>
      </c>
      <c r="AU165">
        <f>survey_responses[[#This Row],[Tôi tin tưởng số tiền thuế tôi đóng sẽ được Nhà nước sử dụng hiệu quả để cải thiện dịch vụ công (y tế, đường xá...). - HUMAN-TRU3]]</f>
        <v>5</v>
      </c>
      <c r="AV165">
        <f t="shared" si="71"/>
        <v>0.44444444444444442</v>
      </c>
      <c r="AW165">
        <f>step3_validation[[#This Row],[AI_TRU4]]</f>
        <v>7</v>
      </c>
      <c r="AX165">
        <f t="shared" si="72"/>
        <v>0.66666666666666663</v>
      </c>
      <c r="AY165">
        <f>survey_responses[[#This Row],[Tôi thấy Nhà nước đã giải thích rõ ràng, minh bạch về lý do và mục tiêu của việc sửa đổi thuế lần này. - HUMAN-TRU4]]</f>
        <v>7</v>
      </c>
      <c r="AZ165">
        <f t="shared" si="73"/>
        <v>0.66666666666666663</v>
      </c>
      <c r="BA165" s="32">
        <f t="shared" si="74"/>
        <v>0.72222222222222221</v>
      </c>
      <c r="BB165" s="32">
        <f t="shared" si="75"/>
        <v>0.55555555555555558</v>
      </c>
      <c r="BC165" s="7">
        <f t="shared" si="76"/>
        <v>0.70370370370370372</v>
      </c>
      <c r="BD165" s="7">
        <f t="shared" si="77"/>
        <v>0.75925925925925919</v>
      </c>
      <c r="BE165">
        <f>step3_validation[[#This Row],[AI_OUT1]]</f>
        <v>8</v>
      </c>
      <c r="BF165">
        <f t="shared" si="78"/>
        <v>0.77777777777777779</v>
      </c>
      <c r="BG165">
        <f>survey_responses[[#This Row],[Sau khi xem xét các quyền lợi và nghĩa vụ, bạn có ủng hộ và tuân thủ chính sách mới hiện nay? - HUMAN-OUT1]]</f>
        <v>7</v>
      </c>
      <c r="BH165">
        <f t="shared" si="79"/>
        <v>0.66666666666666663</v>
      </c>
      <c r="BI165" s="32">
        <f t="shared" si="80"/>
        <v>1</v>
      </c>
    </row>
    <row r="166" spans="1:61" x14ac:dyDescent="0.45">
      <c r="A166" s="30">
        <f>step3_validation[[#This Row],[Persona_ID]]</f>
        <v>165</v>
      </c>
      <c r="B166" s="31">
        <f>step3_validation[[#This Row],[Used_Seed]]</f>
        <v>2190</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40.56640017996903</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7</v>
      </c>
      <c r="R166">
        <f t="shared" si="54"/>
        <v>0.66666666666666663</v>
      </c>
      <c r="S166">
        <f>survey_responses[[#This Row],[Tôi tin rằng với các quy định quản lý thuế hiện nay, hành vi gian lận hoặc trốn thuế sẽ dễ dàng bị phát hiện và xử lý nghiêm. - HUMAN-ENF1]]</f>
        <v>5</v>
      </c>
      <c r="T166">
        <f t="shared" si="55"/>
        <v>0.44444444444444442</v>
      </c>
      <c r="U166">
        <f>step3_validation[[#This Row],[AI_ENF2]]</f>
        <v>6</v>
      </c>
      <c r="V166">
        <f t="shared" si="56"/>
        <v>0.55555555555555558</v>
      </c>
      <c r="W166">
        <f>survey_responses[[#This Row],[Tôi tin rằng Nhà nước, cơ quan thuế có đủ khả năng và công nghệ để phát hiện, xử lý nghiêm các hành vi trốn thuế. - HUMAN-ENF2]]</f>
        <v>5</v>
      </c>
      <c r="X166">
        <f t="shared" si="57"/>
        <v>0.44444444444444442</v>
      </c>
      <c r="Y166" s="32">
        <f t="shared" si="58"/>
        <v>0.61111111111111116</v>
      </c>
      <c r="Z166" s="32">
        <f t="shared" si="59"/>
        <v>0.44444444444444442</v>
      </c>
      <c r="AA166">
        <f>step3_validation[[#This Row],[AI_FAC1]]</f>
        <v>9</v>
      </c>
      <c r="AB166">
        <f t="shared" si="60"/>
        <v>0.88888888888888884</v>
      </c>
      <c r="AC166">
        <f>survey_responses[[#This Row],[Các thủ tục khai báo thuế VÀ/HOẶC quy trình làm việc với cơ quan thuế đơn giản, tiện lợi, nhanh chóng hơn so với trước đây. - HUMAN-FAC1]]</f>
        <v>6</v>
      </c>
      <c r="AD166">
        <f t="shared" si="61"/>
        <v>0.55555555555555558</v>
      </c>
      <c r="AE166">
        <f>step3_validation[[#This Row],[AI_FAC2]]</f>
        <v>8</v>
      </c>
      <c r="AF166">
        <f t="shared" si="62"/>
        <v>0.77777777777777779</v>
      </c>
      <c r="AG166">
        <f>survey_responses[[#This Row],[So với trước đây, tôi thấy cách tính thuế và các bậc thuế trong phương án mới đơn giản, dễ hiểu và dễ thực hiện hơn. - HUMAN-FAC2]]</f>
        <v>6</v>
      </c>
      <c r="AH166">
        <f t="shared" si="63"/>
        <v>0.55555555555555558</v>
      </c>
      <c r="AI166" s="32">
        <f t="shared" si="64"/>
        <v>0.83333333333333326</v>
      </c>
      <c r="AJ166" s="32">
        <f t="shared" si="65"/>
        <v>0.55555555555555558</v>
      </c>
      <c r="AK166">
        <f>step3_validation[[#This Row],[AI_TRU1]]</f>
        <v>7</v>
      </c>
      <c r="AL166">
        <f t="shared" si="66"/>
        <v>0.66666666666666663</v>
      </c>
      <c r="AM166">
        <f>survey_responses[[#This Row],[Tôi tin rằng Nhà nước, cơ quan thuế sẽ thực thi chính sách mới một cách khách quan, công tâm và đối xử bình đẳng với mọi người nộp thuế.  - HUMAN-TRU1]]</f>
        <v>6</v>
      </c>
      <c r="AN166">
        <f t="shared" si="67"/>
        <v>0.55555555555555558</v>
      </c>
      <c r="AO166">
        <f>step3_validation[[#This Row],[AI_TRU2]]</f>
        <v>9</v>
      </c>
      <c r="AP166">
        <f t="shared" si="68"/>
        <v>0.88888888888888884</v>
      </c>
      <c r="AQ166">
        <f>survey_responses[[#This Row],[Tôi thấy mức thuế tôi phải đóng theo phương án mới là công bằng (người thu nhập như tôi đóng mức này là hợp lý). - HUMAN-TRU2]]</f>
        <v>6</v>
      </c>
      <c r="AR166">
        <f t="shared" si="69"/>
        <v>0.55555555555555558</v>
      </c>
      <c r="AS166">
        <f>step3_validation[[#This Row],[AI_TRU3]]</f>
        <v>7</v>
      </c>
      <c r="AT166">
        <f t="shared" si="70"/>
        <v>0.66666666666666663</v>
      </c>
      <c r="AU166">
        <f>survey_responses[[#This Row],[Tôi tin tưởng số tiền thuế tôi đóng sẽ được Nhà nước sử dụng hiệu quả để cải thiện dịch vụ công (y tế, đường xá...). - HUMAN-TRU3]]</f>
        <v>5</v>
      </c>
      <c r="AV166">
        <f t="shared" si="71"/>
        <v>0.44444444444444442</v>
      </c>
      <c r="AW166">
        <f>step3_validation[[#This Row],[AI_TRU4]]</f>
        <v>6</v>
      </c>
      <c r="AX166">
        <f t="shared" si="72"/>
        <v>0.55555555555555558</v>
      </c>
      <c r="AY166">
        <f>survey_responses[[#This Row],[Tôi thấy Nhà nước đã giải thích rõ ràng, minh bạch về lý do và mục tiêu của việc sửa đổi thuế lần này. - HUMAN-TRU4]]</f>
        <v>7</v>
      </c>
      <c r="AZ166">
        <f t="shared" si="73"/>
        <v>0.66666666666666663</v>
      </c>
      <c r="BA166" s="32">
        <f t="shared" si="74"/>
        <v>0.69444444444444442</v>
      </c>
      <c r="BB166" s="32">
        <f t="shared" si="75"/>
        <v>0.55555555555555558</v>
      </c>
      <c r="BC166" s="7">
        <f t="shared" si="76"/>
        <v>0.71296296296296291</v>
      </c>
      <c r="BD166" s="7">
        <f t="shared" si="77"/>
        <v>0.51851851851851849</v>
      </c>
      <c r="BE166">
        <f>step3_validation[[#This Row],[AI_OUT1]]</f>
        <v>8</v>
      </c>
      <c r="BF166">
        <f t="shared" si="78"/>
        <v>0.77777777777777779</v>
      </c>
      <c r="BG166">
        <f>survey_responses[[#This Row],[Sau khi xem xét các quyền lợi và nghĩa vụ, bạn có ủng hộ và tuân thủ chính sách mới hiện nay? - HUMAN-OUT1]]</f>
        <v>8</v>
      </c>
      <c r="BH166">
        <f t="shared" si="79"/>
        <v>0.77777777777777779</v>
      </c>
      <c r="BI166" s="32">
        <f t="shared" si="80"/>
        <v>0</v>
      </c>
    </row>
    <row r="167" spans="1:61" x14ac:dyDescent="0.45">
      <c r="A167" s="30">
        <f>step3_validation[[#This Row],[Persona_ID]]</f>
        <v>166</v>
      </c>
      <c r="B167" s="31">
        <f>step3_validation[[#This Row],[Used_Seed]]</f>
        <v>2191</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35.989241593571307</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8</v>
      </c>
      <c r="R167">
        <f t="shared" si="54"/>
        <v>0.77777777777777779</v>
      </c>
      <c r="S167">
        <f>survey_responses[[#This Row],[Tôi tin rằng với các quy định quản lý thuế hiện nay, hành vi gian lận hoặc trốn thuế sẽ dễ dàng bị phát hiện và xử lý nghiêm. - HUMAN-ENF1]]</f>
        <v>10</v>
      </c>
      <c r="T167">
        <f t="shared" si="55"/>
        <v>1</v>
      </c>
      <c r="U167">
        <f>step3_validation[[#This Row],[AI_ENF2]]</f>
        <v>9</v>
      </c>
      <c r="V167">
        <f t="shared" si="56"/>
        <v>0.88888888888888884</v>
      </c>
      <c r="W167">
        <f>survey_responses[[#This Row],[Tôi tin rằng Nhà nước, cơ quan thuế có đủ khả năng và công nghệ để phát hiện, xử lý nghiêm các hành vi trốn thuế. - HUMAN-ENF2]]</f>
        <v>8</v>
      </c>
      <c r="X167">
        <f t="shared" si="57"/>
        <v>0.77777777777777779</v>
      </c>
      <c r="Y167" s="32">
        <f t="shared" si="58"/>
        <v>0.83333333333333326</v>
      </c>
      <c r="Z167" s="32">
        <f t="shared" si="59"/>
        <v>0.88888888888888884</v>
      </c>
      <c r="AA167">
        <f>step3_validation[[#This Row],[AI_FAC1]]</f>
        <v>9</v>
      </c>
      <c r="AB167">
        <f t="shared" si="60"/>
        <v>0.88888888888888884</v>
      </c>
      <c r="AC167">
        <f>survey_responses[[#This Row],[Các thủ tục khai báo thuế VÀ/HOẶC quy trình làm việc với cơ quan thuế đơn giản, tiện lợi, nhanh chóng hơn so với trước đây. - HUMAN-FAC1]]</f>
        <v>10</v>
      </c>
      <c r="AD167">
        <f t="shared" si="61"/>
        <v>1</v>
      </c>
      <c r="AE167">
        <f>step3_validation[[#This Row],[AI_FAC2]]</f>
        <v>9</v>
      </c>
      <c r="AF167">
        <f t="shared" si="62"/>
        <v>0.88888888888888884</v>
      </c>
      <c r="AG167">
        <f>survey_responses[[#This Row],[So với trước đây, tôi thấy cách tính thuế và các bậc thuế trong phương án mới đơn giản, dễ hiểu và dễ thực hiện hơn. - HUMAN-FAC2]]</f>
        <v>10</v>
      </c>
      <c r="AH167">
        <f t="shared" si="63"/>
        <v>1</v>
      </c>
      <c r="AI167" s="32">
        <f t="shared" si="64"/>
        <v>0.88888888888888884</v>
      </c>
      <c r="AJ167" s="32">
        <f t="shared" si="65"/>
        <v>1</v>
      </c>
      <c r="AK167">
        <f>step3_validation[[#This Row],[AI_TRU1]]</f>
        <v>8</v>
      </c>
      <c r="AL167">
        <f t="shared" si="66"/>
        <v>0.77777777777777779</v>
      </c>
      <c r="AM167">
        <f>survey_responses[[#This Row],[Tôi tin rằng Nhà nước, cơ quan thuế sẽ thực thi chính sách mới một cách khách quan, công tâm và đối xử bình đẳng với mọi người nộp thuế.  - HUMAN-TRU1]]</f>
        <v>10</v>
      </c>
      <c r="AN167">
        <f t="shared" si="67"/>
        <v>1</v>
      </c>
      <c r="AO167">
        <f>step3_validation[[#This Row],[AI_TRU2]]</f>
        <v>9</v>
      </c>
      <c r="AP167">
        <f t="shared" si="68"/>
        <v>0.88888888888888884</v>
      </c>
      <c r="AQ167">
        <f>survey_responses[[#This Row],[Tôi thấy mức thuế tôi phải đóng theo phương án mới là công bằng (người thu nhập như tôi đóng mức này là hợp lý). - HUMAN-TRU2]]</f>
        <v>10</v>
      </c>
      <c r="AR167">
        <f t="shared" si="69"/>
        <v>1</v>
      </c>
      <c r="AS167">
        <f>step3_validation[[#This Row],[AI_TRU3]]</f>
        <v>8</v>
      </c>
      <c r="AT167">
        <f t="shared" si="70"/>
        <v>0.77777777777777779</v>
      </c>
      <c r="AU167">
        <f>survey_responses[[#This Row],[Tôi tin tưởng số tiền thuế tôi đóng sẽ được Nhà nước sử dụng hiệu quả để cải thiện dịch vụ công (y tế, đường xá...). - HUMAN-TRU3]]</f>
        <v>10</v>
      </c>
      <c r="AV167">
        <f t="shared" si="71"/>
        <v>1</v>
      </c>
      <c r="AW167">
        <f>step3_validation[[#This Row],[AI_TRU4]]</f>
        <v>9</v>
      </c>
      <c r="AX167">
        <f t="shared" si="72"/>
        <v>0.88888888888888884</v>
      </c>
      <c r="AY167">
        <f>survey_responses[[#This Row],[Tôi thấy Nhà nước đã giải thích rõ ràng, minh bạch về lý do và mục tiêu của việc sửa đổi thuế lần này. - HUMAN-TRU4]]</f>
        <v>10</v>
      </c>
      <c r="AZ167">
        <f t="shared" si="73"/>
        <v>1</v>
      </c>
      <c r="BA167" s="32">
        <f t="shared" si="74"/>
        <v>0.83333333333333326</v>
      </c>
      <c r="BB167" s="32">
        <f t="shared" si="75"/>
        <v>1</v>
      </c>
      <c r="BC167" s="7">
        <f t="shared" si="76"/>
        <v>0.85185185185185175</v>
      </c>
      <c r="BD167" s="7">
        <f t="shared" si="77"/>
        <v>0.96296296296296291</v>
      </c>
      <c r="BE167">
        <f>step3_validation[[#This Row],[AI_OUT1]]</f>
        <v>8</v>
      </c>
      <c r="BF167">
        <f t="shared" si="78"/>
        <v>0.77777777777777779</v>
      </c>
      <c r="BG167">
        <f>survey_responses[[#This Row],[Sau khi xem xét các quyền lợi và nghĩa vụ, bạn có ủng hộ và tuân thủ chính sách mới hiện nay? - HUMAN-OUT1]]</f>
        <v>8</v>
      </c>
      <c r="BH167">
        <f t="shared" si="79"/>
        <v>0.77777777777777779</v>
      </c>
      <c r="BI167" s="32">
        <f t="shared" si="80"/>
        <v>0</v>
      </c>
    </row>
    <row r="168" spans="1:61" x14ac:dyDescent="0.45">
      <c r="A168" s="30">
        <f>step3_validation[[#This Row],[Persona_ID]]</f>
        <v>167</v>
      </c>
      <c r="B168" s="31">
        <f>step3_validation[[#This Row],[Used_Seed]]</f>
        <v>2192</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77.321595157775064</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8</v>
      </c>
      <c r="R168">
        <f t="shared" si="54"/>
        <v>0.77777777777777779</v>
      </c>
      <c r="S168">
        <f>survey_responses[[#This Row],[Tôi tin rằng với các quy định quản lý thuế hiện nay, hành vi gian lận hoặc trốn thuế sẽ dễ dàng bị phát hiện và xử lý nghiêm. - HUMAN-ENF1]]</f>
        <v>5</v>
      </c>
      <c r="T168">
        <f t="shared" si="55"/>
        <v>0.44444444444444442</v>
      </c>
      <c r="U168">
        <f>step3_validation[[#This Row],[AI_ENF2]]</f>
        <v>7</v>
      </c>
      <c r="V168">
        <f t="shared" si="56"/>
        <v>0.66666666666666663</v>
      </c>
      <c r="W168">
        <f>survey_responses[[#This Row],[Tôi tin rằng Nhà nước, cơ quan thuế có đủ khả năng và công nghệ để phát hiện, xử lý nghiêm các hành vi trốn thuế. - HUMAN-ENF2]]</f>
        <v>8</v>
      </c>
      <c r="X168">
        <f t="shared" si="57"/>
        <v>0.77777777777777779</v>
      </c>
      <c r="Y168" s="32">
        <f t="shared" si="58"/>
        <v>0.72222222222222221</v>
      </c>
      <c r="Z168" s="32">
        <f t="shared" si="59"/>
        <v>0.61111111111111116</v>
      </c>
      <c r="AA168">
        <f>step3_validation[[#This Row],[AI_FAC1]]</f>
        <v>9</v>
      </c>
      <c r="AB168">
        <f t="shared" si="60"/>
        <v>0.88888888888888884</v>
      </c>
      <c r="AC168">
        <f>survey_responses[[#This Row],[Các thủ tục khai báo thuế VÀ/HOẶC quy trình làm việc với cơ quan thuế đơn giản, tiện lợi, nhanh chóng hơn so với trước đây. - HUMAN-FAC1]]</f>
        <v>5</v>
      </c>
      <c r="AD168">
        <f t="shared" si="61"/>
        <v>0.44444444444444442</v>
      </c>
      <c r="AE168">
        <f>step3_validation[[#This Row],[AI_FAC2]]</f>
        <v>8</v>
      </c>
      <c r="AF168">
        <f t="shared" si="62"/>
        <v>0.77777777777777779</v>
      </c>
      <c r="AG168">
        <f>survey_responses[[#This Row],[So với trước đây, tôi thấy cách tính thuế và các bậc thuế trong phương án mới đơn giản, dễ hiểu và dễ thực hiện hơn. - HUMAN-FAC2]]</f>
        <v>8</v>
      </c>
      <c r="AH168">
        <f t="shared" si="63"/>
        <v>0.77777777777777779</v>
      </c>
      <c r="AI168" s="32">
        <f t="shared" si="64"/>
        <v>0.83333333333333326</v>
      </c>
      <c r="AJ168" s="32">
        <f t="shared" si="65"/>
        <v>0.61111111111111116</v>
      </c>
      <c r="AK168">
        <f>step3_validation[[#This Row],[AI_TRU1]]</f>
        <v>9</v>
      </c>
      <c r="AL168">
        <f t="shared" si="66"/>
        <v>0.88888888888888884</v>
      </c>
      <c r="AM168">
        <f>survey_responses[[#This Row],[Tôi tin rằng Nhà nước, cơ quan thuế sẽ thực thi chính sách mới một cách khách quan, công tâm và đối xử bình đẳng với mọi người nộp thuế.  - HUMAN-TRU1]]</f>
        <v>4</v>
      </c>
      <c r="AN168">
        <f t="shared" si="67"/>
        <v>0.33333333333333331</v>
      </c>
      <c r="AO168">
        <f>step3_validation[[#This Row],[AI_TRU2]]</f>
        <v>8</v>
      </c>
      <c r="AP168">
        <f t="shared" si="68"/>
        <v>0.77777777777777779</v>
      </c>
      <c r="AQ168">
        <f>survey_responses[[#This Row],[Tôi thấy mức thuế tôi phải đóng theo phương án mới là công bằng (người thu nhập như tôi đóng mức này là hợp lý). - HUMAN-TRU2]]</f>
        <v>5</v>
      </c>
      <c r="AR168">
        <f t="shared" si="69"/>
        <v>0.44444444444444442</v>
      </c>
      <c r="AS168">
        <f>step3_validation[[#This Row],[AI_TRU3]]</f>
        <v>9</v>
      </c>
      <c r="AT168">
        <f t="shared" si="70"/>
        <v>0.88888888888888884</v>
      </c>
      <c r="AU168">
        <f>survey_responses[[#This Row],[Tôi tin tưởng số tiền thuế tôi đóng sẽ được Nhà nước sử dụng hiệu quả để cải thiện dịch vụ công (y tế, đường xá...). - HUMAN-TRU3]]</f>
        <v>1</v>
      </c>
      <c r="AV168">
        <f t="shared" si="71"/>
        <v>0</v>
      </c>
      <c r="AW168">
        <f>step3_validation[[#This Row],[AI_TRU4]]</f>
        <v>8</v>
      </c>
      <c r="AX168">
        <f t="shared" si="72"/>
        <v>0.77777777777777779</v>
      </c>
      <c r="AY168">
        <f>survey_responses[[#This Row],[Tôi thấy Nhà nước đã giải thích rõ ràng, minh bạch về lý do và mục tiêu của việc sửa đổi thuế lần này. - HUMAN-TRU4]]</f>
        <v>5</v>
      </c>
      <c r="AZ168">
        <f t="shared" si="73"/>
        <v>0.44444444444444442</v>
      </c>
      <c r="BA168" s="32">
        <f t="shared" si="74"/>
        <v>0.83333333333333326</v>
      </c>
      <c r="BB168" s="32">
        <f t="shared" si="75"/>
        <v>0.30555555555555552</v>
      </c>
      <c r="BC168" s="7">
        <f t="shared" si="76"/>
        <v>0.79629629629629617</v>
      </c>
      <c r="BD168" s="7">
        <f t="shared" si="77"/>
        <v>0.5092592592592593</v>
      </c>
      <c r="BE168">
        <f>step3_validation[[#This Row],[AI_OUT1]]</f>
        <v>9</v>
      </c>
      <c r="BF168">
        <f t="shared" si="78"/>
        <v>0.88888888888888884</v>
      </c>
      <c r="BG168">
        <f>survey_responses[[#This Row],[Sau khi xem xét các quyền lợi và nghĩa vụ, bạn có ủng hộ và tuân thủ chính sách mới hiện nay? - HUMAN-OUT1]]</f>
        <v>5</v>
      </c>
      <c r="BH168">
        <f t="shared" si="79"/>
        <v>0.44444444444444442</v>
      </c>
      <c r="BI168" s="32">
        <f t="shared" si="80"/>
        <v>4</v>
      </c>
    </row>
    <row r="169" spans="1:61" x14ac:dyDescent="0.45">
      <c r="A169" s="30">
        <f>step3_validation[[#This Row],[Persona_ID]]</f>
        <v>168</v>
      </c>
      <c r="B169" s="31">
        <f>step3_validation[[#This Row],[Used_Seed]]</f>
        <v>2193</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20.557301222785071</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7</v>
      </c>
      <c r="R169">
        <f t="shared" si="54"/>
        <v>0.66666666666666663</v>
      </c>
      <c r="S169">
        <f>survey_responses[[#This Row],[Tôi tin rằng với các quy định quản lý thuế hiện nay, hành vi gian lận hoặc trốn thuế sẽ dễ dàng bị phát hiện và xử lý nghiêm. - HUMAN-ENF1]]</f>
        <v>7</v>
      </c>
      <c r="T169">
        <f t="shared" si="55"/>
        <v>0.66666666666666663</v>
      </c>
      <c r="U169">
        <f>step3_validation[[#This Row],[AI_ENF2]]</f>
        <v>8</v>
      </c>
      <c r="V169">
        <f t="shared" si="56"/>
        <v>0.77777777777777779</v>
      </c>
      <c r="W169">
        <f>survey_responses[[#This Row],[Tôi tin rằng Nhà nước, cơ quan thuế có đủ khả năng và công nghệ để phát hiện, xử lý nghiêm các hành vi trốn thuế. - HUMAN-ENF2]]</f>
        <v>7</v>
      </c>
      <c r="X169">
        <f t="shared" si="57"/>
        <v>0.66666666666666663</v>
      </c>
      <c r="Y169" s="32">
        <f t="shared" si="58"/>
        <v>0.72222222222222221</v>
      </c>
      <c r="Z169" s="32">
        <f t="shared" si="59"/>
        <v>0.66666666666666663</v>
      </c>
      <c r="AA169">
        <f>step3_validation[[#This Row],[AI_FAC1]]</f>
        <v>6</v>
      </c>
      <c r="AB169">
        <f t="shared" si="60"/>
        <v>0.55555555555555558</v>
      </c>
      <c r="AC169">
        <f>survey_responses[[#This Row],[Các thủ tục khai báo thuế VÀ/HOẶC quy trình làm việc với cơ quan thuế đơn giản, tiện lợi, nhanh chóng hơn so với trước đây. - HUMAN-FAC1]]</f>
        <v>8</v>
      </c>
      <c r="AD169">
        <f t="shared" si="61"/>
        <v>0.77777777777777779</v>
      </c>
      <c r="AE169">
        <f>step3_validation[[#This Row],[AI_FAC2]]</f>
        <v>9</v>
      </c>
      <c r="AF169">
        <f t="shared" si="62"/>
        <v>0.88888888888888884</v>
      </c>
      <c r="AG169">
        <f>survey_responses[[#This Row],[So với trước đây, tôi thấy cách tính thuế và các bậc thuế trong phương án mới đơn giản, dễ hiểu và dễ thực hiện hơn. - HUMAN-FAC2]]</f>
        <v>8</v>
      </c>
      <c r="AH169">
        <f t="shared" si="63"/>
        <v>0.77777777777777779</v>
      </c>
      <c r="AI169" s="32">
        <f t="shared" si="64"/>
        <v>0.72222222222222221</v>
      </c>
      <c r="AJ169" s="32">
        <f t="shared" si="65"/>
        <v>0.77777777777777779</v>
      </c>
      <c r="AK169">
        <f>step3_validation[[#This Row],[AI_TRU1]]</f>
        <v>7</v>
      </c>
      <c r="AL169">
        <f t="shared" si="66"/>
        <v>0.66666666666666663</v>
      </c>
      <c r="AM169">
        <f>survey_responses[[#This Row],[Tôi tin rằng Nhà nước, cơ quan thuế sẽ thực thi chính sách mới một cách khách quan, công tâm và đối xử bình đẳng với mọi người nộp thuế.  - HUMAN-TRU1]]</f>
        <v>7</v>
      </c>
      <c r="AN169">
        <f t="shared" si="67"/>
        <v>0.66666666666666663</v>
      </c>
      <c r="AO169">
        <f>step3_validation[[#This Row],[AI_TRU2]]</f>
        <v>8</v>
      </c>
      <c r="AP169">
        <f t="shared" si="68"/>
        <v>0.77777777777777779</v>
      </c>
      <c r="AQ169">
        <f>survey_responses[[#This Row],[Tôi thấy mức thuế tôi phải đóng theo phương án mới là công bằng (người thu nhập như tôi đóng mức này là hợp lý). - HUMAN-TRU2]]</f>
        <v>8</v>
      </c>
      <c r="AR169">
        <f t="shared" si="69"/>
        <v>0.77777777777777779</v>
      </c>
      <c r="AS169">
        <f>step3_validation[[#This Row],[AI_TRU3]]</f>
        <v>7</v>
      </c>
      <c r="AT169">
        <f t="shared" si="70"/>
        <v>0.66666666666666663</v>
      </c>
      <c r="AU169">
        <f>survey_responses[[#This Row],[Tôi tin tưởng số tiền thuế tôi đóng sẽ được Nhà nước sử dụng hiệu quả để cải thiện dịch vụ công (y tế, đường xá...). - HUMAN-TRU3]]</f>
        <v>8</v>
      </c>
      <c r="AV169">
        <f t="shared" si="71"/>
        <v>0.77777777777777779</v>
      </c>
      <c r="AW169">
        <f>step3_validation[[#This Row],[AI_TRU4]]</f>
        <v>6</v>
      </c>
      <c r="AX169">
        <f t="shared" si="72"/>
        <v>0.55555555555555558</v>
      </c>
      <c r="AY169">
        <f>survey_responses[[#This Row],[Tôi thấy Nhà nước đã giải thích rõ ràng, minh bạch về lý do và mục tiêu của việc sửa đổi thuế lần này. - HUMAN-TRU4]]</f>
        <v>8</v>
      </c>
      <c r="AZ169">
        <f t="shared" si="73"/>
        <v>0.77777777777777779</v>
      </c>
      <c r="BA169" s="32">
        <f t="shared" si="74"/>
        <v>0.66666666666666674</v>
      </c>
      <c r="BB169" s="32">
        <f t="shared" si="75"/>
        <v>0.75</v>
      </c>
      <c r="BC169" s="7">
        <f t="shared" si="76"/>
        <v>0.70370370370370372</v>
      </c>
      <c r="BD169" s="7">
        <f t="shared" si="77"/>
        <v>0.73148148148148151</v>
      </c>
      <c r="BE169">
        <f>step3_validation[[#This Row],[AI_OUT1]]</f>
        <v>8</v>
      </c>
      <c r="BF169">
        <f t="shared" si="78"/>
        <v>0.77777777777777779</v>
      </c>
      <c r="BG169">
        <f>survey_responses[[#This Row],[Sau khi xem xét các quyền lợi và nghĩa vụ, bạn có ủng hộ và tuân thủ chính sách mới hiện nay? - HUMAN-OUT1]]</f>
        <v>9</v>
      </c>
      <c r="BH169">
        <f t="shared" si="79"/>
        <v>0.88888888888888884</v>
      </c>
      <c r="BI169" s="32">
        <f t="shared" si="80"/>
        <v>1</v>
      </c>
    </row>
    <row r="170" spans="1:61" x14ac:dyDescent="0.45">
      <c r="A170" s="30">
        <f>step3_validation[[#This Row],[Persona_ID]]</f>
        <v>169</v>
      </c>
      <c r="B170" s="31">
        <f>step3_validation[[#This Row],[Used_Seed]]</f>
        <v>2194</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39.051620371938974</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8</v>
      </c>
      <c r="R170">
        <f t="shared" si="54"/>
        <v>0.77777777777777779</v>
      </c>
      <c r="S170">
        <f>survey_responses[[#This Row],[Tôi tin rằng với các quy định quản lý thuế hiện nay, hành vi gian lận hoặc trốn thuế sẽ dễ dàng bị phát hiện và xử lý nghiêm. - HUMAN-ENF1]]</f>
        <v>8</v>
      </c>
      <c r="T170">
        <f t="shared" si="55"/>
        <v>0.77777777777777779</v>
      </c>
      <c r="U170">
        <f>step3_validation[[#This Row],[AI_ENF2]]</f>
        <v>9</v>
      </c>
      <c r="V170">
        <f t="shared" si="56"/>
        <v>0.88888888888888884</v>
      </c>
      <c r="W170">
        <f>survey_responses[[#This Row],[Tôi tin rằng Nhà nước, cơ quan thuế có đủ khả năng và công nghệ để phát hiện, xử lý nghiêm các hành vi trốn thuế. - HUMAN-ENF2]]</f>
        <v>8</v>
      </c>
      <c r="X170">
        <f t="shared" si="57"/>
        <v>0.77777777777777779</v>
      </c>
      <c r="Y170" s="32">
        <f t="shared" si="58"/>
        <v>0.83333333333333326</v>
      </c>
      <c r="Z170" s="32">
        <f t="shared" si="59"/>
        <v>0.77777777777777779</v>
      </c>
      <c r="AA170">
        <f>step3_validation[[#This Row],[AI_FAC1]]</f>
        <v>9</v>
      </c>
      <c r="AB170">
        <f t="shared" si="60"/>
        <v>0.88888888888888884</v>
      </c>
      <c r="AC170">
        <f>survey_responses[[#This Row],[Các thủ tục khai báo thuế VÀ/HOẶC quy trình làm việc với cơ quan thuế đơn giản, tiện lợi, nhanh chóng hơn so với trước đây. - HUMAN-FAC1]]</f>
        <v>7</v>
      </c>
      <c r="AD170">
        <f t="shared" si="61"/>
        <v>0.66666666666666663</v>
      </c>
      <c r="AE170">
        <f>step3_validation[[#This Row],[AI_FAC2]]</f>
        <v>8</v>
      </c>
      <c r="AF170">
        <f t="shared" si="62"/>
        <v>0.77777777777777779</v>
      </c>
      <c r="AG170">
        <f>survey_responses[[#This Row],[So với trước đây, tôi thấy cách tính thuế và các bậc thuế trong phương án mới đơn giản, dễ hiểu và dễ thực hiện hơn. - HUMAN-FAC2]]</f>
        <v>8</v>
      </c>
      <c r="AH170">
        <f t="shared" si="63"/>
        <v>0.77777777777777779</v>
      </c>
      <c r="AI170" s="32">
        <f t="shared" si="64"/>
        <v>0.83333333333333326</v>
      </c>
      <c r="AJ170" s="32">
        <f t="shared" si="65"/>
        <v>0.72222222222222221</v>
      </c>
      <c r="AK170">
        <f>step3_validation[[#This Row],[AI_TRU1]]</f>
        <v>9</v>
      </c>
      <c r="AL170">
        <f t="shared" si="66"/>
        <v>0.88888888888888884</v>
      </c>
      <c r="AM170">
        <f>survey_responses[[#This Row],[Tôi tin rằng Nhà nước, cơ quan thuế sẽ thực thi chính sách mới một cách khách quan, công tâm và đối xử bình đẳng với mọi người nộp thuế.  - HUMAN-TRU1]]</f>
        <v>7</v>
      </c>
      <c r="AN170">
        <f t="shared" si="67"/>
        <v>0.66666666666666663</v>
      </c>
      <c r="AO170">
        <f>step3_validation[[#This Row],[AI_TRU2]]</f>
        <v>8</v>
      </c>
      <c r="AP170">
        <f t="shared" si="68"/>
        <v>0.77777777777777779</v>
      </c>
      <c r="AQ170">
        <f>survey_responses[[#This Row],[Tôi thấy mức thuế tôi phải đóng theo phương án mới là công bằng (người thu nhập như tôi đóng mức này là hợp lý). - HUMAN-TRU2]]</f>
        <v>7</v>
      </c>
      <c r="AR170">
        <f t="shared" si="69"/>
        <v>0.66666666666666663</v>
      </c>
      <c r="AS170">
        <f>step3_validation[[#This Row],[AI_TRU3]]</f>
        <v>9</v>
      </c>
      <c r="AT170">
        <f t="shared" si="70"/>
        <v>0.88888888888888884</v>
      </c>
      <c r="AU170">
        <f>survey_responses[[#This Row],[Tôi tin tưởng số tiền thuế tôi đóng sẽ được Nhà nước sử dụng hiệu quả để cải thiện dịch vụ công (y tế, đường xá...). - HUMAN-TRU3]]</f>
        <v>7</v>
      </c>
      <c r="AV170">
        <f t="shared" si="71"/>
        <v>0.66666666666666663</v>
      </c>
      <c r="AW170">
        <f>step3_validation[[#This Row],[AI_TRU4]]</f>
        <v>8</v>
      </c>
      <c r="AX170">
        <f t="shared" si="72"/>
        <v>0.77777777777777779</v>
      </c>
      <c r="AY170">
        <f>survey_responses[[#This Row],[Tôi thấy Nhà nước đã giải thích rõ ràng, minh bạch về lý do và mục tiêu của việc sửa đổi thuế lần này. - HUMAN-TRU4]]</f>
        <v>8</v>
      </c>
      <c r="AZ170">
        <f t="shared" si="73"/>
        <v>0.77777777777777779</v>
      </c>
      <c r="BA170" s="32">
        <f t="shared" si="74"/>
        <v>0.83333333333333326</v>
      </c>
      <c r="BB170" s="32">
        <f t="shared" si="75"/>
        <v>0.69444444444444442</v>
      </c>
      <c r="BC170" s="7">
        <f t="shared" si="76"/>
        <v>0.83333333333333337</v>
      </c>
      <c r="BD170" s="7">
        <f t="shared" si="77"/>
        <v>0.73148148148148151</v>
      </c>
      <c r="BE170">
        <f>step3_validation[[#This Row],[AI_OUT1]]</f>
        <v>9</v>
      </c>
      <c r="BF170">
        <f t="shared" si="78"/>
        <v>0.88888888888888884</v>
      </c>
      <c r="BG170">
        <f>survey_responses[[#This Row],[Sau khi xem xét các quyền lợi và nghĩa vụ, bạn có ủng hộ và tuân thủ chính sách mới hiện nay? - HUMAN-OUT1]]</f>
        <v>8</v>
      </c>
      <c r="BH170">
        <f t="shared" si="79"/>
        <v>0.77777777777777779</v>
      </c>
      <c r="BI170" s="32">
        <f t="shared" si="80"/>
        <v>1</v>
      </c>
    </row>
    <row r="171" spans="1:61" x14ac:dyDescent="0.45">
      <c r="A171" s="30">
        <f>step3_validation[[#This Row],[Persona_ID]]</f>
        <v>170</v>
      </c>
      <c r="B171" s="31">
        <f>step3_validation[[#This Row],[Used_Seed]]</f>
        <v>2195</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15.138012185357109</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6</v>
      </c>
      <c r="R171">
        <f t="shared" si="54"/>
        <v>0.55555555555555558</v>
      </c>
      <c r="S171">
        <f>survey_responses[[#This Row],[Tôi tin rằng với các quy định quản lý thuế hiện nay, hành vi gian lận hoặc trốn thuế sẽ dễ dàng bị phát hiện và xử lý nghiêm. - HUMAN-ENF1]]</f>
        <v>5</v>
      </c>
      <c r="T171">
        <f t="shared" si="55"/>
        <v>0.44444444444444442</v>
      </c>
      <c r="U171">
        <f>step3_validation[[#This Row],[AI_ENF2]]</f>
        <v>7</v>
      </c>
      <c r="V171">
        <f t="shared" si="56"/>
        <v>0.66666666666666663</v>
      </c>
      <c r="W171">
        <f>survey_responses[[#This Row],[Tôi tin rằng Nhà nước, cơ quan thuế có đủ khả năng và công nghệ để phát hiện, xử lý nghiêm các hành vi trốn thuế. - HUMAN-ENF2]]</f>
        <v>8</v>
      </c>
      <c r="X171">
        <f t="shared" si="57"/>
        <v>0.77777777777777779</v>
      </c>
      <c r="Y171" s="32">
        <f t="shared" si="58"/>
        <v>0.61111111111111116</v>
      </c>
      <c r="Z171" s="32">
        <f t="shared" si="59"/>
        <v>0.61111111111111116</v>
      </c>
      <c r="AA171">
        <f>step3_validation[[#This Row],[AI_FAC1]]</f>
        <v>8</v>
      </c>
      <c r="AB171">
        <f t="shared" si="60"/>
        <v>0.77777777777777779</v>
      </c>
      <c r="AC171">
        <f>survey_responses[[#This Row],[Các thủ tục khai báo thuế VÀ/HOẶC quy trình làm việc với cơ quan thuế đơn giản, tiện lợi, nhanh chóng hơn so với trước đây. - HUMAN-FAC1]]</f>
        <v>7</v>
      </c>
      <c r="AD171">
        <f t="shared" si="61"/>
        <v>0.66666666666666663</v>
      </c>
      <c r="AE171">
        <f>step3_validation[[#This Row],[AI_FAC2]]</f>
        <v>9</v>
      </c>
      <c r="AF171">
        <f t="shared" si="62"/>
        <v>0.88888888888888884</v>
      </c>
      <c r="AG171">
        <f>survey_responses[[#This Row],[So với trước đây, tôi thấy cách tính thuế và các bậc thuế trong phương án mới đơn giản, dễ hiểu và dễ thực hiện hơn. - HUMAN-FAC2]]</f>
        <v>8</v>
      </c>
      <c r="AH171">
        <f t="shared" si="63"/>
        <v>0.77777777777777779</v>
      </c>
      <c r="AI171" s="32">
        <f t="shared" si="64"/>
        <v>0.83333333333333326</v>
      </c>
      <c r="AJ171" s="32">
        <f t="shared" si="65"/>
        <v>0.72222222222222221</v>
      </c>
      <c r="AK171">
        <f>step3_validation[[#This Row],[AI_TRU1]]</f>
        <v>7</v>
      </c>
      <c r="AL171">
        <f t="shared" si="66"/>
        <v>0.66666666666666663</v>
      </c>
      <c r="AM171">
        <f>survey_responses[[#This Row],[Tôi tin rằng Nhà nước, cơ quan thuế sẽ thực thi chính sách mới một cách khách quan, công tâm và đối xử bình đẳng với mọi người nộp thuế.  - HUMAN-TRU1]]</f>
        <v>1</v>
      </c>
      <c r="AN171">
        <f t="shared" si="67"/>
        <v>0</v>
      </c>
      <c r="AO171">
        <f>step3_validation[[#This Row],[AI_TRU2]]</f>
        <v>8</v>
      </c>
      <c r="AP171">
        <f t="shared" si="68"/>
        <v>0.77777777777777779</v>
      </c>
      <c r="AQ171">
        <f>survey_responses[[#This Row],[Tôi thấy mức thuế tôi phải đóng theo phương án mới là công bằng (người thu nhập như tôi đóng mức này là hợp lý). - HUMAN-TRU2]]</f>
        <v>2</v>
      </c>
      <c r="AR171">
        <f t="shared" si="69"/>
        <v>0.1111111111111111</v>
      </c>
      <c r="AS171">
        <f>step3_validation[[#This Row],[AI_TRU3]]</f>
        <v>7</v>
      </c>
      <c r="AT171">
        <f t="shared" si="70"/>
        <v>0.66666666666666663</v>
      </c>
      <c r="AU171">
        <f>survey_responses[[#This Row],[Tôi tin tưởng số tiền thuế tôi đóng sẽ được Nhà nước sử dụng hiệu quả để cải thiện dịch vụ công (y tế, đường xá...). - HUMAN-TRU3]]</f>
        <v>3</v>
      </c>
      <c r="AV171">
        <f t="shared" si="71"/>
        <v>0.22222222222222221</v>
      </c>
      <c r="AW171">
        <f>step3_validation[[#This Row],[AI_TRU4]]</f>
        <v>8</v>
      </c>
      <c r="AX171">
        <f t="shared" si="72"/>
        <v>0.77777777777777779</v>
      </c>
      <c r="AY171">
        <f>survey_responses[[#This Row],[Tôi thấy Nhà nước đã giải thích rõ ràng, minh bạch về lý do và mục tiêu của việc sửa đổi thuế lần này. - HUMAN-TRU4]]</f>
        <v>3</v>
      </c>
      <c r="AZ171">
        <f t="shared" si="73"/>
        <v>0.22222222222222221</v>
      </c>
      <c r="BA171" s="32">
        <f t="shared" si="74"/>
        <v>0.72222222222222221</v>
      </c>
      <c r="BB171" s="32">
        <f t="shared" si="75"/>
        <v>0.1388888888888889</v>
      </c>
      <c r="BC171" s="7">
        <f t="shared" si="76"/>
        <v>0.72222222222222221</v>
      </c>
      <c r="BD171" s="7">
        <f t="shared" si="77"/>
        <v>0.49074074074074076</v>
      </c>
      <c r="BE171">
        <f>step3_validation[[#This Row],[AI_OUT1]]</f>
        <v>9</v>
      </c>
      <c r="BF171">
        <f t="shared" si="78"/>
        <v>0.88888888888888884</v>
      </c>
      <c r="BG171">
        <f>survey_responses[[#This Row],[Sau khi xem xét các quyền lợi và nghĩa vụ, bạn có ủng hộ và tuân thủ chính sách mới hiện nay? - HUMAN-OUT1]]</f>
        <v>7</v>
      </c>
      <c r="BH171">
        <f t="shared" si="79"/>
        <v>0.66666666666666663</v>
      </c>
      <c r="BI171" s="32">
        <f t="shared" si="80"/>
        <v>2</v>
      </c>
    </row>
    <row r="172" spans="1:61" x14ac:dyDescent="0.45">
      <c r="A172" s="30">
        <f>step3_validation[[#This Row],[Persona_ID]]</f>
        <v>171</v>
      </c>
      <c r="B172" s="31">
        <f>step3_validation[[#This Row],[Used_Seed]]</f>
        <v>2196</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7</v>
      </c>
      <c r="R172">
        <f t="shared" si="54"/>
        <v>0.66666666666666663</v>
      </c>
      <c r="S172">
        <f>survey_responses[[#This Row],[Tôi tin rằng với các quy định quản lý thuế hiện nay, hành vi gian lận hoặc trốn thuế sẽ dễ dàng bị phát hiện và xử lý nghiêm. - HUMAN-ENF1]]</f>
        <v>6</v>
      </c>
      <c r="T172">
        <f t="shared" si="55"/>
        <v>0.55555555555555558</v>
      </c>
      <c r="U172">
        <f>step3_validation[[#This Row],[AI_ENF2]]</f>
        <v>8</v>
      </c>
      <c r="V172">
        <f t="shared" si="56"/>
        <v>0.77777777777777779</v>
      </c>
      <c r="W172">
        <f>survey_responses[[#This Row],[Tôi tin rằng Nhà nước, cơ quan thuế có đủ khả năng và công nghệ để phát hiện, xử lý nghiêm các hành vi trốn thuế. - HUMAN-ENF2]]</f>
        <v>7</v>
      </c>
      <c r="X172">
        <f t="shared" si="57"/>
        <v>0.66666666666666663</v>
      </c>
      <c r="Y172" s="32">
        <f t="shared" si="58"/>
        <v>0.72222222222222221</v>
      </c>
      <c r="Z172" s="32">
        <f t="shared" si="59"/>
        <v>0.61111111111111116</v>
      </c>
      <c r="AA172">
        <f>step3_validation[[#This Row],[AI_FAC1]]</f>
        <v>9</v>
      </c>
      <c r="AB172">
        <f t="shared" si="60"/>
        <v>0.88888888888888884</v>
      </c>
      <c r="AC172">
        <f>survey_responses[[#This Row],[Các thủ tục khai báo thuế VÀ/HOẶC quy trình làm việc với cơ quan thuế đơn giản, tiện lợi, nhanh chóng hơn so với trước đây. - HUMAN-FAC1]]</f>
        <v>5</v>
      </c>
      <c r="AD172">
        <f t="shared" si="61"/>
        <v>0.44444444444444442</v>
      </c>
      <c r="AE172">
        <f>step3_validation[[#This Row],[AI_FAC2]]</f>
        <v>10</v>
      </c>
      <c r="AF172">
        <f t="shared" si="62"/>
        <v>1</v>
      </c>
      <c r="AG172">
        <f>survey_responses[[#This Row],[So với trước đây, tôi thấy cách tính thuế và các bậc thuế trong phương án mới đơn giản, dễ hiểu và dễ thực hiện hơn. - HUMAN-FAC2]]</f>
        <v>7</v>
      </c>
      <c r="AH172">
        <f t="shared" si="63"/>
        <v>0.66666666666666663</v>
      </c>
      <c r="AI172" s="32">
        <f t="shared" si="64"/>
        <v>0.94444444444444442</v>
      </c>
      <c r="AJ172" s="32">
        <f t="shared" si="65"/>
        <v>0.55555555555555558</v>
      </c>
      <c r="AK172">
        <f>step3_validation[[#This Row],[AI_TRU1]]</f>
        <v>7</v>
      </c>
      <c r="AL172">
        <f t="shared" si="66"/>
        <v>0.66666666666666663</v>
      </c>
      <c r="AM172">
        <f>survey_responses[[#This Row],[Tôi tin rằng Nhà nước, cơ quan thuế sẽ thực thi chính sách mới một cách khách quan, công tâm và đối xử bình đẳng với mọi người nộp thuế.  - HUMAN-TRU1]]</f>
        <v>7</v>
      </c>
      <c r="AN172">
        <f t="shared" si="67"/>
        <v>0.66666666666666663</v>
      </c>
      <c r="AO172">
        <f>step3_validation[[#This Row],[AI_TRU2]]</f>
        <v>9</v>
      </c>
      <c r="AP172">
        <f t="shared" si="68"/>
        <v>0.88888888888888884</v>
      </c>
      <c r="AQ172">
        <f>survey_responses[[#This Row],[Tôi thấy mức thuế tôi phải đóng theo phương án mới là công bằng (người thu nhập như tôi đóng mức này là hợp lý). - HUMAN-TRU2]]</f>
        <v>7</v>
      </c>
      <c r="AR172">
        <f t="shared" si="69"/>
        <v>0.66666666666666663</v>
      </c>
      <c r="AS172">
        <f>step3_validation[[#This Row],[AI_TRU3]]</f>
        <v>8</v>
      </c>
      <c r="AT172">
        <f t="shared" si="70"/>
        <v>0.77777777777777779</v>
      </c>
      <c r="AU172">
        <f>survey_responses[[#This Row],[Tôi tin tưởng số tiền thuế tôi đóng sẽ được Nhà nước sử dụng hiệu quả để cải thiện dịch vụ công (y tế, đường xá...). - HUMAN-TRU3]]</f>
        <v>5</v>
      </c>
      <c r="AV172">
        <f t="shared" si="71"/>
        <v>0.44444444444444442</v>
      </c>
      <c r="AW172">
        <f>step3_validation[[#This Row],[AI_TRU4]]</f>
        <v>9</v>
      </c>
      <c r="AX172">
        <f t="shared" si="72"/>
        <v>0.88888888888888884</v>
      </c>
      <c r="AY172">
        <f>survey_responses[[#This Row],[Tôi thấy Nhà nước đã giải thích rõ ràng, minh bạch về lý do và mục tiêu của việc sửa đổi thuế lần này. - HUMAN-TRU4]]</f>
        <v>7</v>
      </c>
      <c r="AZ172">
        <f t="shared" si="73"/>
        <v>0.66666666666666663</v>
      </c>
      <c r="BA172" s="32">
        <f t="shared" si="74"/>
        <v>0.80555555555555547</v>
      </c>
      <c r="BB172" s="32">
        <f t="shared" si="75"/>
        <v>0.61111111111111105</v>
      </c>
      <c r="BC172" s="7">
        <f t="shared" si="76"/>
        <v>0.82407407407407396</v>
      </c>
      <c r="BD172" s="7">
        <f t="shared" si="77"/>
        <v>0.59259259259259256</v>
      </c>
      <c r="BE172">
        <f>step3_validation[[#This Row],[AI_OUT1]]</f>
        <v>10</v>
      </c>
      <c r="BF172">
        <f t="shared" si="78"/>
        <v>1</v>
      </c>
      <c r="BG172">
        <f>survey_responses[[#This Row],[Sau khi xem xét các quyền lợi và nghĩa vụ, bạn có ủng hộ và tuân thủ chính sách mới hiện nay? - HUMAN-OUT1]]</f>
        <v>7</v>
      </c>
      <c r="BH172">
        <f t="shared" si="79"/>
        <v>0.66666666666666663</v>
      </c>
      <c r="BI172" s="32">
        <f t="shared" si="80"/>
        <v>3</v>
      </c>
    </row>
    <row r="173" spans="1:61" x14ac:dyDescent="0.45">
      <c r="A173" s="30">
        <f>step3_validation[[#This Row],[Persona_ID]]</f>
        <v>172</v>
      </c>
      <c r="B173" s="31">
        <f>step3_validation[[#This Row],[Used_Seed]]</f>
        <v>2197</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188.41791865277463</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6</v>
      </c>
      <c r="R173">
        <f t="shared" si="54"/>
        <v>0.55555555555555558</v>
      </c>
      <c r="S173">
        <f>survey_responses[[#This Row],[Tôi tin rằng với các quy định quản lý thuế hiện nay, hành vi gian lận hoặc trốn thuế sẽ dễ dàng bị phát hiện và xử lý nghiêm. - HUMAN-ENF1]]</f>
        <v>8</v>
      </c>
      <c r="T173">
        <f t="shared" si="55"/>
        <v>0.77777777777777779</v>
      </c>
      <c r="U173">
        <f>step3_validation[[#This Row],[AI_ENF2]]</f>
        <v>8</v>
      </c>
      <c r="V173">
        <f t="shared" si="56"/>
        <v>0.77777777777777779</v>
      </c>
      <c r="W173">
        <f>survey_responses[[#This Row],[Tôi tin rằng Nhà nước, cơ quan thuế có đủ khả năng và công nghệ để phát hiện, xử lý nghiêm các hành vi trốn thuế. - HUMAN-ENF2]]</f>
        <v>8</v>
      </c>
      <c r="X173">
        <f t="shared" si="57"/>
        <v>0.77777777777777779</v>
      </c>
      <c r="Y173" s="32">
        <f t="shared" si="58"/>
        <v>0.66666666666666674</v>
      </c>
      <c r="Z173" s="32">
        <f t="shared" si="59"/>
        <v>0.77777777777777779</v>
      </c>
      <c r="AA173">
        <f>step3_validation[[#This Row],[AI_FAC1]]</f>
        <v>9</v>
      </c>
      <c r="AB173">
        <f t="shared" si="60"/>
        <v>0.88888888888888884</v>
      </c>
      <c r="AC173">
        <f>survey_responses[[#This Row],[Các thủ tục khai báo thuế VÀ/HOẶC quy trình làm việc với cơ quan thuế đơn giản, tiện lợi, nhanh chóng hơn so với trước đây. - HUMAN-FAC1]]</f>
        <v>8</v>
      </c>
      <c r="AD173">
        <f t="shared" si="61"/>
        <v>0.77777777777777779</v>
      </c>
      <c r="AE173">
        <f>step3_validation[[#This Row],[AI_FAC2]]</f>
        <v>8</v>
      </c>
      <c r="AF173">
        <f t="shared" si="62"/>
        <v>0.77777777777777779</v>
      </c>
      <c r="AG173">
        <f>survey_responses[[#This Row],[So với trước đây, tôi thấy cách tính thuế và các bậc thuế trong phương án mới đơn giản, dễ hiểu và dễ thực hiện hơn. - HUMAN-FAC2]]</f>
        <v>9</v>
      </c>
      <c r="AH173">
        <f t="shared" si="63"/>
        <v>0.88888888888888884</v>
      </c>
      <c r="AI173" s="32">
        <f t="shared" si="64"/>
        <v>0.83333333333333326</v>
      </c>
      <c r="AJ173" s="32">
        <f t="shared" si="65"/>
        <v>0.83333333333333326</v>
      </c>
      <c r="AK173">
        <f>step3_validation[[#This Row],[AI_TRU1]]</f>
        <v>7</v>
      </c>
      <c r="AL173">
        <f t="shared" si="66"/>
        <v>0.66666666666666663</v>
      </c>
      <c r="AM173">
        <f>survey_responses[[#This Row],[Tôi tin rằng Nhà nước, cơ quan thuế sẽ thực thi chính sách mới một cách khách quan, công tâm và đối xử bình đẳng với mọi người nộp thuế.  - HUMAN-TRU1]]</f>
        <v>9</v>
      </c>
      <c r="AN173">
        <f t="shared" si="67"/>
        <v>0.88888888888888884</v>
      </c>
      <c r="AO173">
        <f>step3_validation[[#This Row],[AI_TRU2]]</f>
        <v>9</v>
      </c>
      <c r="AP173">
        <f t="shared" si="68"/>
        <v>0.88888888888888884</v>
      </c>
      <c r="AQ173">
        <f>survey_responses[[#This Row],[Tôi thấy mức thuế tôi phải đóng theo phương án mới là công bằng (người thu nhập như tôi đóng mức này là hợp lý). - HUMAN-TRU2]]</f>
        <v>5</v>
      </c>
      <c r="AR173">
        <f t="shared" si="69"/>
        <v>0.44444444444444442</v>
      </c>
      <c r="AS173">
        <f>step3_validation[[#This Row],[AI_TRU3]]</f>
        <v>8</v>
      </c>
      <c r="AT173">
        <f t="shared" si="70"/>
        <v>0.77777777777777779</v>
      </c>
      <c r="AU173">
        <f>survey_responses[[#This Row],[Tôi tin tưởng số tiền thuế tôi đóng sẽ được Nhà nước sử dụng hiệu quả để cải thiện dịch vụ công (y tế, đường xá...). - HUMAN-TRU3]]</f>
        <v>5</v>
      </c>
      <c r="AV173">
        <f t="shared" si="71"/>
        <v>0.44444444444444442</v>
      </c>
      <c r="AW173">
        <f>step3_validation[[#This Row],[AI_TRU4]]</f>
        <v>7</v>
      </c>
      <c r="AX173">
        <f t="shared" si="72"/>
        <v>0.66666666666666663</v>
      </c>
      <c r="AY173">
        <f>survey_responses[[#This Row],[Tôi thấy Nhà nước đã giải thích rõ ràng, minh bạch về lý do và mục tiêu của việc sửa đổi thuế lần này. - HUMAN-TRU4]]</f>
        <v>8</v>
      </c>
      <c r="AZ173">
        <f t="shared" si="73"/>
        <v>0.77777777777777779</v>
      </c>
      <c r="BA173" s="32">
        <f t="shared" si="74"/>
        <v>0.74999999999999989</v>
      </c>
      <c r="BB173" s="32">
        <f t="shared" si="75"/>
        <v>0.63888888888888884</v>
      </c>
      <c r="BC173" s="7">
        <f t="shared" si="76"/>
        <v>0.75</v>
      </c>
      <c r="BD173" s="7">
        <f t="shared" si="77"/>
        <v>0.75</v>
      </c>
      <c r="BE173">
        <f>step3_validation[[#This Row],[AI_OUT1]]</f>
        <v>9</v>
      </c>
      <c r="BF173">
        <f t="shared" si="78"/>
        <v>0.88888888888888884</v>
      </c>
      <c r="BG173">
        <f>survey_responses[[#This Row],[Sau khi xem xét các quyền lợi và nghĩa vụ, bạn có ủng hộ và tuân thủ chính sách mới hiện nay? - HUMAN-OUT1]]</f>
        <v>6</v>
      </c>
      <c r="BH173">
        <f t="shared" si="79"/>
        <v>0.55555555555555558</v>
      </c>
      <c r="BI173" s="32">
        <f t="shared" si="80"/>
        <v>3</v>
      </c>
    </row>
    <row r="174" spans="1:61" x14ac:dyDescent="0.45">
      <c r="A174" s="30">
        <f>step3_validation[[#This Row],[Persona_ID]]</f>
        <v>173</v>
      </c>
      <c r="B174" s="31">
        <f>step3_validation[[#This Row],[Used_Seed]]</f>
        <v>2198</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100.48932860121602</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7</v>
      </c>
      <c r="R174">
        <f t="shared" si="54"/>
        <v>0.66666666666666663</v>
      </c>
      <c r="S174">
        <f>survey_responses[[#This Row],[Tôi tin rằng với các quy định quản lý thuế hiện nay, hành vi gian lận hoặc trốn thuế sẽ dễ dàng bị phát hiện và xử lý nghiêm. - HUMAN-ENF1]]</f>
        <v>5</v>
      </c>
      <c r="T174">
        <f t="shared" si="55"/>
        <v>0.44444444444444442</v>
      </c>
      <c r="U174">
        <f>step3_validation[[#This Row],[AI_ENF2]]</f>
        <v>8</v>
      </c>
      <c r="V174">
        <f t="shared" si="56"/>
        <v>0.77777777777777779</v>
      </c>
      <c r="W174">
        <f>survey_responses[[#This Row],[Tôi tin rằng Nhà nước, cơ quan thuế có đủ khả năng và công nghệ để phát hiện, xử lý nghiêm các hành vi trốn thuế. - HUMAN-ENF2]]</f>
        <v>5</v>
      </c>
      <c r="X174">
        <f t="shared" si="57"/>
        <v>0.44444444444444442</v>
      </c>
      <c r="Y174" s="32">
        <f t="shared" si="58"/>
        <v>0.72222222222222221</v>
      </c>
      <c r="Z174" s="32">
        <f t="shared" si="59"/>
        <v>0.44444444444444442</v>
      </c>
      <c r="AA174">
        <f>step3_validation[[#This Row],[AI_FAC1]]</f>
        <v>7</v>
      </c>
      <c r="AB174">
        <f t="shared" si="60"/>
        <v>0.66666666666666663</v>
      </c>
      <c r="AC174">
        <f>survey_responses[[#This Row],[Các thủ tục khai báo thuế VÀ/HOẶC quy trình làm việc với cơ quan thuế đơn giản, tiện lợi, nhanh chóng hơn so với trước đây. - HUMAN-FAC1]]</f>
        <v>4</v>
      </c>
      <c r="AD174">
        <f t="shared" si="61"/>
        <v>0.33333333333333331</v>
      </c>
      <c r="AE174">
        <f>step3_validation[[#This Row],[AI_FAC2]]</f>
        <v>9</v>
      </c>
      <c r="AF174">
        <f t="shared" si="62"/>
        <v>0.88888888888888884</v>
      </c>
      <c r="AG174">
        <f>survey_responses[[#This Row],[So với trước đây, tôi thấy cách tính thuế và các bậc thuế trong phương án mới đơn giản, dễ hiểu và dễ thực hiện hơn. - HUMAN-FAC2]]</f>
        <v>6</v>
      </c>
      <c r="AH174">
        <f t="shared" si="63"/>
        <v>0.55555555555555558</v>
      </c>
      <c r="AI174" s="32">
        <f t="shared" si="64"/>
        <v>0.77777777777777768</v>
      </c>
      <c r="AJ174" s="32">
        <f t="shared" si="65"/>
        <v>0.44444444444444442</v>
      </c>
      <c r="AK174">
        <f>step3_validation[[#This Row],[AI_TRU1]]</f>
        <v>8</v>
      </c>
      <c r="AL174">
        <f t="shared" si="66"/>
        <v>0.77777777777777779</v>
      </c>
      <c r="AM174">
        <f>survey_responses[[#This Row],[Tôi tin rằng Nhà nước, cơ quan thuế sẽ thực thi chính sách mới một cách khách quan, công tâm và đối xử bình đẳng với mọi người nộp thuế.  - HUMAN-TRU1]]</f>
        <v>5</v>
      </c>
      <c r="AN174">
        <f t="shared" si="67"/>
        <v>0.44444444444444442</v>
      </c>
      <c r="AO174">
        <f>step3_validation[[#This Row],[AI_TRU2]]</f>
        <v>9</v>
      </c>
      <c r="AP174">
        <f t="shared" si="68"/>
        <v>0.88888888888888884</v>
      </c>
      <c r="AQ174">
        <f>survey_responses[[#This Row],[Tôi thấy mức thuế tôi phải đóng theo phương án mới là công bằng (người thu nhập như tôi đóng mức này là hợp lý). - HUMAN-TRU2]]</f>
        <v>4</v>
      </c>
      <c r="AR174">
        <f t="shared" si="69"/>
        <v>0.33333333333333331</v>
      </c>
      <c r="AS174">
        <f>step3_validation[[#This Row],[AI_TRU3]]</f>
        <v>7</v>
      </c>
      <c r="AT174">
        <f t="shared" si="70"/>
        <v>0.66666666666666663</v>
      </c>
      <c r="AU174">
        <f>survey_responses[[#This Row],[Tôi tin tưởng số tiền thuế tôi đóng sẽ được Nhà nước sử dụng hiệu quả để cải thiện dịch vụ công (y tế, đường xá...). - HUMAN-TRU3]]</f>
        <v>4</v>
      </c>
      <c r="AV174">
        <f t="shared" si="71"/>
        <v>0.33333333333333331</v>
      </c>
      <c r="AW174">
        <f>step3_validation[[#This Row],[AI_TRU4]]</f>
        <v>8</v>
      </c>
      <c r="AX174">
        <f t="shared" si="72"/>
        <v>0.77777777777777779</v>
      </c>
      <c r="AY174">
        <f>survey_responses[[#This Row],[Tôi thấy Nhà nước đã giải thích rõ ràng, minh bạch về lý do và mục tiêu của việc sửa đổi thuế lần này. - HUMAN-TRU4]]</f>
        <v>5</v>
      </c>
      <c r="AZ174">
        <f t="shared" si="73"/>
        <v>0.44444444444444442</v>
      </c>
      <c r="BA174" s="32">
        <f t="shared" si="74"/>
        <v>0.77777777777777768</v>
      </c>
      <c r="BB174" s="32">
        <f t="shared" si="75"/>
        <v>0.38888888888888884</v>
      </c>
      <c r="BC174" s="7">
        <f t="shared" si="76"/>
        <v>0.75925925925925919</v>
      </c>
      <c r="BD174" s="7">
        <f t="shared" si="77"/>
        <v>0.42592592592592587</v>
      </c>
      <c r="BE174">
        <f>step3_validation[[#This Row],[AI_OUT1]]</f>
        <v>9</v>
      </c>
      <c r="BF174">
        <f t="shared" si="78"/>
        <v>0.88888888888888884</v>
      </c>
      <c r="BG174">
        <f>survey_responses[[#This Row],[Sau khi xem xét các quyền lợi và nghĩa vụ, bạn có ủng hộ và tuân thủ chính sách mới hiện nay? - HUMAN-OUT1]]</f>
        <v>5</v>
      </c>
      <c r="BH174">
        <f t="shared" si="79"/>
        <v>0.44444444444444442</v>
      </c>
      <c r="BI174" s="32">
        <f t="shared" si="80"/>
        <v>4</v>
      </c>
    </row>
    <row r="175" spans="1:61" x14ac:dyDescent="0.45">
      <c r="A175" s="30">
        <f>step3_validation[[#This Row],[Persona_ID]]</f>
        <v>174</v>
      </c>
      <c r="B175" s="31">
        <f>step3_validation[[#This Row],[Used_Seed]]</f>
        <v>2199</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43.547367865424363</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6</v>
      </c>
      <c r="R175">
        <f t="shared" si="54"/>
        <v>0.55555555555555558</v>
      </c>
      <c r="S175">
        <f>survey_responses[[#This Row],[Tôi tin rằng với các quy định quản lý thuế hiện nay, hành vi gian lận hoặc trốn thuế sẽ dễ dàng bị phát hiện và xử lý nghiêm. - HUMAN-ENF1]]</f>
        <v>6</v>
      </c>
      <c r="T175">
        <f t="shared" si="55"/>
        <v>0.55555555555555558</v>
      </c>
      <c r="U175">
        <f>step3_validation[[#This Row],[AI_ENF2]]</f>
        <v>7</v>
      </c>
      <c r="V175">
        <f t="shared" si="56"/>
        <v>0.66666666666666663</v>
      </c>
      <c r="W175">
        <f>survey_responses[[#This Row],[Tôi tin rằng Nhà nước, cơ quan thuế có đủ khả năng và công nghệ để phát hiện, xử lý nghiêm các hành vi trốn thuế. - HUMAN-ENF2]]</f>
        <v>6</v>
      </c>
      <c r="X175">
        <f t="shared" si="57"/>
        <v>0.55555555555555558</v>
      </c>
      <c r="Y175" s="32">
        <f t="shared" si="58"/>
        <v>0.61111111111111116</v>
      </c>
      <c r="Z175" s="32">
        <f t="shared" si="59"/>
        <v>0.55555555555555558</v>
      </c>
      <c r="AA175">
        <f>step3_validation[[#This Row],[AI_FAC1]]</f>
        <v>8</v>
      </c>
      <c r="AB175">
        <f t="shared" si="60"/>
        <v>0.77777777777777779</v>
      </c>
      <c r="AC175">
        <f>survey_responses[[#This Row],[Các thủ tục khai báo thuế VÀ/HOẶC quy trình làm việc với cơ quan thuế đơn giản, tiện lợi, nhanh chóng hơn so với trước đây. - HUMAN-FAC1]]</f>
        <v>6</v>
      </c>
      <c r="AD175">
        <f t="shared" si="61"/>
        <v>0.55555555555555558</v>
      </c>
      <c r="AE175">
        <f>step3_validation[[#This Row],[AI_FAC2]]</f>
        <v>9</v>
      </c>
      <c r="AF175">
        <f t="shared" si="62"/>
        <v>0.88888888888888884</v>
      </c>
      <c r="AG175">
        <f>survey_responses[[#This Row],[So với trước đây, tôi thấy cách tính thuế và các bậc thuế trong phương án mới đơn giản, dễ hiểu và dễ thực hiện hơn. - HUMAN-FAC2]]</f>
        <v>6</v>
      </c>
      <c r="AH175">
        <f t="shared" si="63"/>
        <v>0.55555555555555558</v>
      </c>
      <c r="AI175" s="32">
        <f t="shared" si="64"/>
        <v>0.83333333333333326</v>
      </c>
      <c r="AJ175" s="32">
        <f t="shared" si="65"/>
        <v>0.55555555555555558</v>
      </c>
      <c r="AK175">
        <f>step3_validation[[#This Row],[AI_TRU1]]</f>
        <v>7</v>
      </c>
      <c r="AL175">
        <f t="shared" si="66"/>
        <v>0.66666666666666663</v>
      </c>
      <c r="AM175">
        <f>survey_responses[[#This Row],[Tôi tin rằng Nhà nước, cơ quan thuế sẽ thực thi chính sách mới một cách khách quan, công tâm và đối xử bình đẳng với mọi người nộp thuế.  - HUMAN-TRU1]]</f>
        <v>7</v>
      </c>
      <c r="AN175">
        <f t="shared" si="67"/>
        <v>0.66666666666666663</v>
      </c>
      <c r="AO175">
        <f>step3_validation[[#This Row],[AI_TRU2]]</f>
        <v>9</v>
      </c>
      <c r="AP175">
        <f t="shared" si="68"/>
        <v>0.88888888888888884</v>
      </c>
      <c r="AQ175">
        <f>survey_responses[[#This Row],[Tôi thấy mức thuế tôi phải đóng theo phương án mới là công bằng (người thu nhập như tôi đóng mức này là hợp lý). - HUMAN-TRU2]]</f>
        <v>7</v>
      </c>
      <c r="AR175">
        <f t="shared" si="69"/>
        <v>0.66666666666666663</v>
      </c>
      <c r="AS175">
        <f>step3_validation[[#This Row],[AI_TRU3]]</f>
        <v>8</v>
      </c>
      <c r="AT175">
        <f t="shared" si="70"/>
        <v>0.77777777777777779</v>
      </c>
      <c r="AU175">
        <f>survey_responses[[#This Row],[Tôi tin tưởng số tiền thuế tôi đóng sẽ được Nhà nước sử dụng hiệu quả để cải thiện dịch vụ công (y tế, đường xá...). - HUMAN-TRU3]]</f>
        <v>5</v>
      </c>
      <c r="AV175">
        <f t="shared" si="71"/>
        <v>0.44444444444444442</v>
      </c>
      <c r="AW175">
        <f>step3_validation[[#This Row],[AI_TRU4]]</f>
        <v>7</v>
      </c>
      <c r="AX175">
        <f t="shared" si="72"/>
        <v>0.66666666666666663</v>
      </c>
      <c r="AY175">
        <f>survey_responses[[#This Row],[Tôi thấy Nhà nước đã giải thích rõ ràng, minh bạch về lý do và mục tiêu của việc sửa đổi thuế lần này. - HUMAN-TRU4]]</f>
        <v>7</v>
      </c>
      <c r="AZ175">
        <f t="shared" si="73"/>
        <v>0.66666666666666663</v>
      </c>
      <c r="BA175" s="32">
        <f t="shared" si="74"/>
        <v>0.74999999999999989</v>
      </c>
      <c r="BB175" s="32">
        <f t="shared" si="75"/>
        <v>0.61111111111111105</v>
      </c>
      <c r="BC175" s="7">
        <f t="shared" si="76"/>
        <v>0.7314814814814814</v>
      </c>
      <c r="BD175" s="7">
        <f t="shared" si="77"/>
        <v>0.57407407407407407</v>
      </c>
      <c r="BE175">
        <f>step3_validation[[#This Row],[AI_OUT1]]</f>
        <v>9</v>
      </c>
      <c r="BF175">
        <f t="shared" si="78"/>
        <v>0.88888888888888884</v>
      </c>
      <c r="BG175">
        <f>survey_responses[[#This Row],[Sau khi xem xét các quyền lợi và nghĩa vụ, bạn có ủng hộ và tuân thủ chính sách mới hiện nay? - HUMAN-OUT1]]</f>
        <v>6</v>
      </c>
      <c r="BH175">
        <f t="shared" si="79"/>
        <v>0.55555555555555558</v>
      </c>
      <c r="BI175" s="32">
        <f t="shared" si="80"/>
        <v>3</v>
      </c>
    </row>
    <row r="176" spans="1:61" x14ac:dyDescent="0.45">
      <c r="A176" s="30">
        <f>step3_validation[[#This Row],[Persona_ID]]</f>
        <v>175</v>
      </c>
      <c r="B176" s="31">
        <f>step3_validation[[#This Row],[Used_Seed]]</f>
        <v>2200</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204.86008664032727</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8</v>
      </c>
      <c r="R176">
        <f t="shared" si="54"/>
        <v>0.77777777777777779</v>
      </c>
      <c r="S176">
        <f>survey_responses[[#This Row],[Tôi tin rằng với các quy định quản lý thuế hiện nay, hành vi gian lận hoặc trốn thuế sẽ dễ dàng bị phát hiện và xử lý nghiêm. - HUMAN-ENF1]]</f>
        <v>4</v>
      </c>
      <c r="T176">
        <f t="shared" si="55"/>
        <v>0.33333333333333331</v>
      </c>
      <c r="U176">
        <f>step3_validation[[#This Row],[AI_ENF2]]</f>
        <v>10</v>
      </c>
      <c r="V176">
        <f t="shared" si="56"/>
        <v>1</v>
      </c>
      <c r="W176">
        <f>survey_responses[[#This Row],[Tôi tin rằng Nhà nước, cơ quan thuế có đủ khả năng và công nghệ để phát hiện, xử lý nghiêm các hành vi trốn thuế. - HUMAN-ENF2]]</f>
        <v>5</v>
      </c>
      <c r="X176">
        <f t="shared" si="57"/>
        <v>0.44444444444444442</v>
      </c>
      <c r="Y176" s="32">
        <f t="shared" si="58"/>
        <v>0.88888888888888884</v>
      </c>
      <c r="Z176" s="32">
        <f t="shared" si="59"/>
        <v>0.38888888888888884</v>
      </c>
      <c r="AA176">
        <f>step3_validation[[#This Row],[AI_FAC1]]</f>
        <v>9</v>
      </c>
      <c r="AB176">
        <f t="shared" si="60"/>
        <v>0.88888888888888884</v>
      </c>
      <c r="AC176">
        <f>survey_responses[[#This Row],[Các thủ tục khai báo thuế VÀ/HOẶC quy trình làm việc với cơ quan thuế đơn giản, tiện lợi, nhanh chóng hơn so với trước đây. - HUMAN-FAC1]]</f>
        <v>4</v>
      </c>
      <c r="AD176">
        <f t="shared" si="61"/>
        <v>0.33333333333333331</v>
      </c>
      <c r="AE176">
        <f>step3_validation[[#This Row],[AI_FAC2]]</f>
        <v>10</v>
      </c>
      <c r="AF176">
        <f t="shared" si="62"/>
        <v>1</v>
      </c>
      <c r="AG176">
        <f>survey_responses[[#This Row],[So với trước đây, tôi thấy cách tính thuế và các bậc thuế trong phương án mới đơn giản, dễ hiểu và dễ thực hiện hơn. - HUMAN-FAC2]]</f>
        <v>6</v>
      </c>
      <c r="AH176">
        <f t="shared" si="63"/>
        <v>0.55555555555555558</v>
      </c>
      <c r="AI176" s="32">
        <f t="shared" si="64"/>
        <v>0.94444444444444442</v>
      </c>
      <c r="AJ176" s="32">
        <f t="shared" si="65"/>
        <v>0.44444444444444442</v>
      </c>
      <c r="AK176">
        <f>step3_validation[[#This Row],[AI_TRU1]]</f>
        <v>9</v>
      </c>
      <c r="AL176">
        <f t="shared" si="66"/>
        <v>0.88888888888888884</v>
      </c>
      <c r="AM176">
        <f>survey_responses[[#This Row],[Tôi tin rằng Nhà nước, cơ quan thuế sẽ thực thi chính sách mới một cách khách quan, công tâm và đối xử bình đẳng với mọi người nộp thuế.  - HUMAN-TRU1]]</f>
        <v>4</v>
      </c>
      <c r="AN176">
        <f t="shared" si="67"/>
        <v>0.33333333333333331</v>
      </c>
      <c r="AO176">
        <f>step3_validation[[#This Row],[AI_TRU2]]</f>
        <v>8</v>
      </c>
      <c r="AP176">
        <f t="shared" si="68"/>
        <v>0.77777777777777779</v>
      </c>
      <c r="AQ176">
        <f>survey_responses[[#This Row],[Tôi thấy mức thuế tôi phải đóng theo phương án mới là công bằng (người thu nhập như tôi đóng mức này là hợp lý). - HUMAN-TRU2]]</f>
        <v>4</v>
      </c>
      <c r="AR176">
        <f t="shared" si="69"/>
        <v>0.33333333333333331</v>
      </c>
      <c r="AS176">
        <f>step3_validation[[#This Row],[AI_TRU3]]</f>
        <v>9</v>
      </c>
      <c r="AT176">
        <f t="shared" si="70"/>
        <v>0.88888888888888884</v>
      </c>
      <c r="AU176">
        <f>survey_responses[[#This Row],[Tôi tin tưởng số tiền thuế tôi đóng sẽ được Nhà nước sử dụng hiệu quả để cải thiện dịch vụ công (y tế, đường xá...). - HUMAN-TRU3]]</f>
        <v>4</v>
      </c>
      <c r="AV176">
        <f t="shared" si="71"/>
        <v>0.33333333333333331</v>
      </c>
      <c r="AW176">
        <f>step3_validation[[#This Row],[AI_TRU4]]</f>
        <v>8</v>
      </c>
      <c r="AX176">
        <f t="shared" si="72"/>
        <v>0.77777777777777779</v>
      </c>
      <c r="AY176">
        <f>survey_responses[[#This Row],[Tôi thấy Nhà nước đã giải thích rõ ràng, minh bạch về lý do và mục tiêu của việc sửa đổi thuế lần này. - HUMAN-TRU4]]</f>
        <v>5</v>
      </c>
      <c r="AZ176">
        <f t="shared" si="73"/>
        <v>0.44444444444444442</v>
      </c>
      <c r="BA176" s="32">
        <f t="shared" si="74"/>
        <v>0.83333333333333326</v>
      </c>
      <c r="BB176" s="32">
        <f t="shared" si="75"/>
        <v>0.3611111111111111</v>
      </c>
      <c r="BC176" s="7">
        <f t="shared" si="76"/>
        <v>0.88888888888888884</v>
      </c>
      <c r="BD176" s="7">
        <f t="shared" si="77"/>
        <v>0.39814814814814814</v>
      </c>
      <c r="BE176">
        <f>step3_validation[[#This Row],[AI_OUT1]]</f>
        <v>9</v>
      </c>
      <c r="BF176">
        <f t="shared" si="78"/>
        <v>0.88888888888888884</v>
      </c>
      <c r="BG176">
        <f>survey_responses[[#This Row],[Sau khi xem xét các quyền lợi và nghĩa vụ, bạn có ủng hộ và tuân thủ chính sách mới hiện nay? - HUMAN-OUT1]]</f>
        <v>4</v>
      </c>
      <c r="BH176">
        <f t="shared" si="79"/>
        <v>0.33333333333333331</v>
      </c>
      <c r="BI176" s="32">
        <f t="shared" si="80"/>
        <v>5</v>
      </c>
    </row>
    <row r="177" spans="1:61" x14ac:dyDescent="0.45">
      <c r="A177" s="30">
        <f>step3_validation[[#This Row],[Persona_ID]]</f>
        <v>176</v>
      </c>
      <c r="B177" s="31">
        <f>step3_validation[[#This Row],[Used_Seed]]</f>
        <v>2201</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210.65034564725966</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5</v>
      </c>
      <c r="R177">
        <f t="shared" si="54"/>
        <v>0.44444444444444442</v>
      </c>
      <c r="S177">
        <f>survey_responses[[#This Row],[Tôi tin rằng với các quy định quản lý thuế hiện nay, hành vi gian lận hoặc trốn thuế sẽ dễ dàng bị phát hiện và xử lý nghiêm. - HUMAN-ENF1]]</f>
        <v>2</v>
      </c>
      <c r="T177">
        <f t="shared" si="55"/>
        <v>0.1111111111111111</v>
      </c>
      <c r="U177">
        <f>step3_validation[[#This Row],[AI_ENF2]]</f>
        <v>4</v>
      </c>
      <c r="V177">
        <f t="shared" si="56"/>
        <v>0.33333333333333331</v>
      </c>
      <c r="W177">
        <f>survey_responses[[#This Row],[Tôi tin rằng Nhà nước, cơ quan thuế có đủ khả năng và công nghệ để phát hiện, xử lý nghiêm các hành vi trốn thuế. - HUMAN-ENF2]]</f>
        <v>4</v>
      </c>
      <c r="X177">
        <f t="shared" si="57"/>
        <v>0.33333333333333331</v>
      </c>
      <c r="Y177" s="32">
        <f t="shared" si="58"/>
        <v>0.38888888888888884</v>
      </c>
      <c r="Z177" s="32">
        <f t="shared" si="59"/>
        <v>0.22222222222222221</v>
      </c>
      <c r="AA177">
        <f>step3_validation[[#This Row],[AI_FAC1]]</f>
        <v>7</v>
      </c>
      <c r="AB177">
        <f t="shared" si="60"/>
        <v>0.66666666666666663</v>
      </c>
      <c r="AC177">
        <f>survey_responses[[#This Row],[Các thủ tục khai báo thuế VÀ/HOẶC quy trình làm việc với cơ quan thuế đơn giản, tiện lợi, nhanh chóng hơn so với trước đây. - HUMAN-FAC1]]</f>
        <v>3</v>
      </c>
      <c r="AD177">
        <f t="shared" si="61"/>
        <v>0.22222222222222221</v>
      </c>
      <c r="AE177">
        <f>step3_validation[[#This Row],[AI_FAC2]]</f>
        <v>8</v>
      </c>
      <c r="AF177">
        <f t="shared" si="62"/>
        <v>0.77777777777777779</v>
      </c>
      <c r="AG177">
        <f>survey_responses[[#This Row],[So với trước đây, tôi thấy cách tính thuế và các bậc thuế trong phương án mới đơn giản, dễ hiểu và dễ thực hiện hơn. - HUMAN-FAC2]]</f>
        <v>5</v>
      </c>
      <c r="AH177">
        <f t="shared" si="63"/>
        <v>0.44444444444444442</v>
      </c>
      <c r="AI177" s="32">
        <f t="shared" si="64"/>
        <v>0.72222222222222221</v>
      </c>
      <c r="AJ177" s="32">
        <f t="shared" si="65"/>
        <v>0.33333333333333331</v>
      </c>
      <c r="AK177">
        <f>step3_validation[[#This Row],[AI_TRU1]]</f>
        <v>6</v>
      </c>
      <c r="AL177">
        <f t="shared" si="66"/>
        <v>0.55555555555555558</v>
      </c>
      <c r="AM177">
        <f>survey_responses[[#This Row],[Tôi tin rằng Nhà nước, cơ quan thuế sẽ thực thi chính sách mới một cách khách quan, công tâm và đối xử bình đẳng với mọi người nộp thuế.  - HUMAN-TRU1]]</f>
        <v>4</v>
      </c>
      <c r="AN177">
        <f t="shared" si="67"/>
        <v>0.33333333333333331</v>
      </c>
      <c r="AO177">
        <f>step3_validation[[#This Row],[AI_TRU2]]</f>
        <v>9</v>
      </c>
      <c r="AP177">
        <f t="shared" si="68"/>
        <v>0.88888888888888884</v>
      </c>
      <c r="AQ177">
        <f>survey_responses[[#This Row],[Tôi thấy mức thuế tôi phải đóng theo phương án mới là công bằng (người thu nhập như tôi đóng mức này là hợp lý). - HUMAN-TRU2]]</f>
        <v>1</v>
      </c>
      <c r="AR177">
        <f t="shared" si="69"/>
        <v>0</v>
      </c>
      <c r="AS177">
        <f>step3_validation[[#This Row],[AI_TRU3]]</f>
        <v>6</v>
      </c>
      <c r="AT177">
        <f t="shared" si="70"/>
        <v>0.55555555555555558</v>
      </c>
      <c r="AU177">
        <f>survey_responses[[#This Row],[Tôi tin tưởng số tiền thuế tôi đóng sẽ được Nhà nước sử dụng hiệu quả để cải thiện dịch vụ công (y tế, đường xá...). - HUMAN-TRU3]]</f>
        <v>1</v>
      </c>
      <c r="AV177">
        <f t="shared" si="71"/>
        <v>0</v>
      </c>
      <c r="AW177">
        <f>step3_validation[[#This Row],[AI_TRU4]]</f>
        <v>8</v>
      </c>
      <c r="AX177">
        <f t="shared" si="72"/>
        <v>0.77777777777777779</v>
      </c>
      <c r="AY177">
        <f>survey_responses[[#This Row],[Tôi thấy Nhà nước đã giải thích rõ ràng, minh bạch về lý do và mục tiêu của việc sửa đổi thuế lần này. - HUMAN-TRU4]]</f>
        <v>4</v>
      </c>
      <c r="AZ177">
        <f t="shared" si="73"/>
        <v>0.33333333333333331</v>
      </c>
      <c r="BA177" s="32">
        <f t="shared" si="74"/>
        <v>0.69444444444444442</v>
      </c>
      <c r="BB177" s="32">
        <f t="shared" si="75"/>
        <v>0.16666666666666666</v>
      </c>
      <c r="BC177" s="7">
        <f t="shared" si="76"/>
        <v>0.60185185185185186</v>
      </c>
      <c r="BD177" s="7">
        <f t="shared" si="77"/>
        <v>0.24074074074074073</v>
      </c>
      <c r="BE177">
        <f>step3_validation[[#This Row],[AI_OUT1]]</f>
        <v>7</v>
      </c>
      <c r="BF177">
        <f t="shared" si="78"/>
        <v>0.66666666666666663</v>
      </c>
      <c r="BG177">
        <f>survey_responses[[#This Row],[Sau khi xem xét các quyền lợi và nghĩa vụ, bạn có ủng hộ và tuân thủ chính sách mới hiện nay? - HUMAN-OUT1]]</f>
        <v>4</v>
      </c>
      <c r="BH177">
        <f t="shared" si="79"/>
        <v>0.33333333333333331</v>
      </c>
      <c r="BI177" s="32">
        <f t="shared" si="80"/>
        <v>3</v>
      </c>
    </row>
    <row r="178" spans="1:61" x14ac:dyDescent="0.45">
      <c r="A178" s="30">
        <f>step3_validation[[#This Row],[Persona_ID]]</f>
        <v>177</v>
      </c>
      <c r="B178" s="31">
        <f>step3_validation[[#This Row],[Used_Seed]]</f>
        <v>2202</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91.932530903322956</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8</v>
      </c>
      <c r="R178">
        <f t="shared" si="54"/>
        <v>0.77777777777777779</v>
      </c>
      <c r="S178">
        <f>survey_responses[[#This Row],[Tôi tin rằng với các quy định quản lý thuế hiện nay, hành vi gian lận hoặc trốn thuế sẽ dễ dàng bị phát hiện và xử lý nghiêm. - HUMAN-ENF1]]</f>
        <v>4</v>
      </c>
      <c r="T178">
        <f t="shared" si="55"/>
        <v>0.33333333333333331</v>
      </c>
      <c r="U178">
        <f>step3_validation[[#This Row],[AI_ENF2]]</f>
        <v>7</v>
      </c>
      <c r="V178">
        <f t="shared" si="56"/>
        <v>0.66666666666666663</v>
      </c>
      <c r="W178">
        <f>survey_responses[[#This Row],[Tôi tin rằng Nhà nước, cơ quan thuế có đủ khả năng và công nghệ để phát hiện, xử lý nghiêm các hành vi trốn thuế. - HUMAN-ENF2]]</f>
        <v>4</v>
      </c>
      <c r="X178">
        <f t="shared" si="57"/>
        <v>0.33333333333333331</v>
      </c>
      <c r="Y178" s="32">
        <f t="shared" si="58"/>
        <v>0.72222222222222221</v>
      </c>
      <c r="Z178" s="32">
        <f t="shared" si="59"/>
        <v>0.33333333333333331</v>
      </c>
      <c r="AA178">
        <f>step3_validation[[#This Row],[AI_FAC1]]</f>
        <v>9</v>
      </c>
      <c r="AB178">
        <f t="shared" si="60"/>
        <v>0.88888888888888884</v>
      </c>
      <c r="AC178">
        <f>survey_responses[[#This Row],[Các thủ tục khai báo thuế VÀ/HOẶC quy trình làm việc với cơ quan thuế đơn giản, tiện lợi, nhanh chóng hơn so với trước đây. - HUMAN-FAC1]]</f>
        <v>3</v>
      </c>
      <c r="AD178">
        <f t="shared" si="61"/>
        <v>0.22222222222222221</v>
      </c>
      <c r="AE178">
        <f>step3_validation[[#This Row],[AI_FAC2]]</f>
        <v>8</v>
      </c>
      <c r="AF178">
        <f t="shared" si="62"/>
        <v>0.77777777777777779</v>
      </c>
      <c r="AG178">
        <f>survey_responses[[#This Row],[So với trước đây, tôi thấy cách tính thuế và các bậc thuế trong phương án mới đơn giản, dễ hiểu và dễ thực hiện hơn. - HUMAN-FAC2]]</f>
        <v>5</v>
      </c>
      <c r="AH178">
        <f t="shared" si="63"/>
        <v>0.44444444444444442</v>
      </c>
      <c r="AI178" s="32">
        <f t="shared" si="64"/>
        <v>0.83333333333333326</v>
      </c>
      <c r="AJ178" s="32">
        <f t="shared" si="65"/>
        <v>0.33333333333333331</v>
      </c>
      <c r="AK178">
        <f>step3_validation[[#This Row],[AI_TRU1]]</f>
        <v>9</v>
      </c>
      <c r="AL178">
        <f t="shared" si="66"/>
        <v>0.88888888888888884</v>
      </c>
      <c r="AM178">
        <f>survey_responses[[#This Row],[Tôi tin rằng Nhà nước, cơ quan thuế sẽ thực thi chính sách mới một cách khách quan, công tâm và đối xử bình đẳng với mọi người nộp thuế.  - HUMAN-TRU1]]</f>
        <v>3</v>
      </c>
      <c r="AN178">
        <f t="shared" si="67"/>
        <v>0.22222222222222221</v>
      </c>
      <c r="AO178">
        <f>step3_validation[[#This Row],[AI_TRU2]]</f>
        <v>8</v>
      </c>
      <c r="AP178">
        <f t="shared" si="68"/>
        <v>0.77777777777777779</v>
      </c>
      <c r="AQ178">
        <f>survey_responses[[#This Row],[Tôi thấy mức thuế tôi phải đóng theo phương án mới là công bằng (người thu nhập như tôi đóng mức này là hợp lý). - HUMAN-TRU2]]</f>
        <v>2</v>
      </c>
      <c r="AR178">
        <f t="shared" si="69"/>
        <v>0.1111111111111111</v>
      </c>
      <c r="AS178">
        <f>step3_validation[[#This Row],[AI_TRU3]]</f>
        <v>9</v>
      </c>
      <c r="AT178">
        <f t="shared" si="70"/>
        <v>0.88888888888888884</v>
      </c>
      <c r="AU178">
        <f>survey_responses[[#This Row],[Tôi tin tưởng số tiền thuế tôi đóng sẽ được Nhà nước sử dụng hiệu quả để cải thiện dịch vụ công (y tế, đường xá...). - HUMAN-TRU3]]</f>
        <v>1</v>
      </c>
      <c r="AV178">
        <f t="shared" si="71"/>
        <v>0</v>
      </c>
      <c r="AW178">
        <f>step3_validation[[#This Row],[AI_TRU4]]</f>
        <v>8</v>
      </c>
      <c r="AX178">
        <f t="shared" si="72"/>
        <v>0.77777777777777779</v>
      </c>
      <c r="AY178">
        <f>survey_responses[[#This Row],[Tôi thấy Nhà nước đã giải thích rõ ràng, minh bạch về lý do và mục tiêu của việc sửa đổi thuế lần này. - HUMAN-TRU4]]</f>
        <v>1</v>
      </c>
      <c r="AZ178">
        <f t="shared" si="73"/>
        <v>0</v>
      </c>
      <c r="BA178" s="32">
        <f t="shared" si="74"/>
        <v>0.83333333333333326</v>
      </c>
      <c r="BB178" s="32">
        <f t="shared" si="75"/>
        <v>8.3333333333333329E-2</v>
      </c>
      <c r="BC178" s="7">
        <f t="shared" si="76"/>
        <v>0.79629629629629617</v>
      </c>
      <c r="BD178" s="7">
        <f t="shared" si="77"/>
        <v>0.25</v>
      </c>
      <c r="BE178">
        <f>step3_validation[[#This Row],[AI_OUT1]]</f>
        <v>9</v>
      </c>
      <c r="BF178">
        <f t="shared" si="78"/>
        <v>0.88888888888888884</v>
      </c>
      <c r="BG178">
        <f>survey_responses[[#This Row],[Sau khi xem xét các quyền lợi và nghĩa vụ, bạn có ủng hộ và tuân thủ chính sách mới hiện nay? - HUMAN-OUT1]]</f>
        <v>1</v>
      </c>
      <c r="BH178">
        <f t="shared" si="79"/>
        <v>0</v>
      </c>
      <c r="BI178" s="32">
        <f t="shared" si="80"/>
        <v>8</v>
      </c>
    </row>
    <row r="179" spans="1:61" x14ac:dyDescent="0.45">
      <c r="A179" s="30">
        <f>step3_validation[[#This Row],[Persona_ID]]</f>
        <v>178</v>
      </c>
      <c r="B179" s="31">
        <f>step3_validation[[#This Row],[Used_Seed]]</f>
        <v>2203</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36.618279209320391</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8</v>
      </c>
      <c r="R179">
        <f t="shared" si="54"/>
        <v>0.77777777777777779</v>
      </c>
      <c r="S179">
        <f>survey_responses[[#This Row],[Tôi tin rằng với các quy định quản lý thuế hiện nay, hành vi gian lận hoặc trốn thuế sẽ dễ dàng bị phát hiện và xử lý nghiêm. - HUMAN-ENF1]]</f>
        <v>6</v>
      </c>
      <c r="T179">
        <f t="shared" si="55"/>
        <v>0.55555555555555558</v>
      </c>
      <c r="U179">
        <f>step3_validation[[#This Row],[AI_ENF2]]</f>
        <v>7</v>
      </c>
      <c r="V179">
        <f t="shared" si="56"/>
        <v>0.66666666666666663</v>
      </c>
      <c r="W179">
        <f>survey_responses[[#This Row],[Tôi tin rằng Nhà nước, cơ quan thuế có đủ khả năng và công nghệ để phát hiện, xử lý nghiêm các hành vi trốn thuế. - HUMAN-ENF2]]</f>
        <v>7</v>
      </c>
      <c r="X179">
        <f t="shared" si="57"/>
        <v>0.66666666666666663</v>
      </c>
      <c r="Y179" s="32">
        <f t="shared" si="58"/>
        <v>0.72222222222222221</v>
      </c>
      <c r="Z179" s="32">
        <f t="shared" si="59"/>
        <v>0.61111111111111116</v>
      </c>
      <c r="AA179">
        <f>step3_validation[[#This Row],[AI_FAC1]]</f>
        <v>9</v>
      </c>
      <c r="AB179">
        <f t="shared" si="60"/>
        <v>0.88888888888888884</v>
      </c>
      <c r="AC179">
        <f>survey_responses[[#This Row],[Các thủ tục khai báo thuế VÀ/HOẶC quy trình làm việc với cơ quan thuế đơn giản, tiện lợi, nhanh chóng hơn so với trước đây. - HUMAN-FAC1]]</f>
        <v>6</v>
      </c>
      <c r="AD179">
        <f t="shared" si="61"/>
        <v>0.55555555555555558</v>
      </c>
      <c r="AE179">
        <f>step3_validation[[#This Row],[AI_FAC2]]</f>
        <v>9</v>
      </c>
      <c r="AF179">
        <f t="shared" si="62"/>
        <v>0.88888888888888884</v>
      </c>
      <c r="AG179">
        <f>survey_responses[[#This Row],[So với trước đây, tôi thấy cách tính thuế và các bậc thuế trong phương án mới đơn giản, dễ hiểu và dễ thực hiện hơn. - HUMAN-FAC2]]</f>
        <v>6</v>
      </c>
      <c r="AH179">
        <f t="shared" si="63"/>
        <v>0.55555555555555558</v>
      </c>
      <c r="AI179" s="32">
        <f t="shared" si="64"/>
        <v>0.88888888888888884</v>
      </c>
      <c r="AJ179" s="32">
        <f t="shared" si="65"/>
        <v>0.55555555555555558</v>
      </c>
      <c r="AK179">
        <f>step3_validation[[#This Row],[AI_TRU1]]</f>
        <v>8</v>
      </c>
      <c r="AL179">
        <f t="shared" si="66"/>
        <v>0.77777777777777779</v>
      </c>
      <c r="AM179">
        <f>survey_responses[[#This Row],[Tôi tin rằng Nhà nước, cơ quan thuế sẽ thực thi chính sách mới một cách khách quan, công tâm và đối xử bình đẳng với mọi người nộp thuế.  - HUMAN-TRU1]]</f>
        <v>6</v>
      </c>
      <c r="AN179">
        <f t="shared" si="67"/>
        <v>0.55555555555555558</v>
      </c>
      <c r="AO179">
        <f>step3_validation[[#This Row],[AI_TRU2]]</f>
        <v>9</v>
      </c>
      <c r="AP179">
        <f t="shared" si="68"/>
        <v>0.88888888888888884</v>
      </c>
      <c r="AQ179">
        <f>survey_responses[[#This Row],[Tôi thấy mức thuế tôi phải đóng theo phương án mới là công bằng (người thu nhập như tôi đóng mức này là hợp lý). - HUMAN-TRU2]]</f>
        <v>7</v>
      </c>
      <c r="AR179">
        <f t="shared" si="69"/>
        <v>0.66666666666666663</v>
      </c>
      <c r="AS179">
        <f>step3_validation[[#This Row],[AI_TRU3]]</f>
        <v>8</v>
      </c>
      <c r="AT179">
        <f t="shared" si="70"/>
        <v>0.77777777777777779</v>
      </c>
      <c r="AU179">
        <f>survey_responses[[#This Row],[Tôi tin tưởng số tiền thuế tôi đóng sẽ được Nhà nước sử dụng hiệu quả để cải thiện dịch vụ công (y tế, đường xá...). - HUMAN-TRU3]]</f>
        <v>5</v>
      </c>
      <c r="AV179">
        <f t="shared" si="71"/>
        <v>0.44444444444444442</v>
      </c>
      <c r="AW179">
        <f>step3_validation[[#This Row],[AI_TRU4]]</f>
        <v>7</v>
      </c>
      <c r="AX179">
        <f t="shared" si="72"/>
        <v>0.66666666666666663</v>
      </c>
      <c r="AY179">
        <f>survey_responses[[#This Row],[Tôi thấy Nhà nước đã giải thích rõ ràng, minh bạch về lý do và mục tiêu của việc sửa đổi thuế lần này. - HUMAN-TRU4]]</f>
        <v>6</v>
      </c>
      <c r="AZ179">
        <f t="shared" si="73"/>
        <v>0.55555555555555558</v>
      </c>
      <c r="BA179" s="32">
        <f t="shared" si="74"/>
        <v>0.77777777777777768</v>
      </c>
      <c r="BB179" s="32">
        <f t="shared" si="75"/>
        <v>0.55555555555555558</v>
      </c>
      <c r="BC179" s="7">
        <f t="shared" si="76"/>
        <v>0.79629629629629628</v>
      </c>
      <c r="BD179" s="7">
        <f t="shared" si="77"/>
        <v>0.57407407407407407</v>
      </c>
      <c r="BE179">
        <f>step3_validation[[#This Row],[AI_OUT1]]</f>
        <v>9</v>
      </c>
      <c r="BF179">
        <f t="shared" si="78"/>
        <v>0.88888888888888884</v>
      </c>
      <c r="BG179">
        <f>survey_responses[[#This Row],[Sau khi xem xét các quyền lợi và nghĩa vụ, bạn có ủng hộ và tuân thủ chính sách mới hiện nay? - HUMAN-OUT1]]</f>
        <v>7</v>
      </c>
      <c r="BH179">
        <f t="shared" si="79"/>
        <v>0.66666666666666663</v>
      </c>
      <c r="BI179" s="32">
        <f t="shared" si="80"/>
        <v>2</v>
      </c>
    </row>
    <row r="180" spans="1:61" x14ac:dyDescent="0.45">
      <c r="A180" s="30">
        <f>step3_validation[[#This Row],[Persona_ID]]</f>
        <v>179</v>
      </c>
      <c r="B180" s="31">
        <f>step3_validation[[#This Row],[Used_Seed]]</f>
        <v>2204</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29.4035575735934</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7</v>
      </c>
      <c r="R180">
        <f t="shared" si="54"/>
        <v>0.66666666666666663</v>
      </c>
      <c r="S180">
        <f>survey_responses[[#This Row],[Tôi tin rằng với các quy định quản lý thuế hiện nay, hành vi gian lận hoặc trốn thuế sẽ dễ dàng bị phát hiện và xử lý nghiêm. - HUMAN-ENF1]]</f>
        <v>7</v>
      </c>
      <c r="T180">
        <f t="shared" si="55"/>
        <v>0.66666666666666663</v>
      </c>
      <c r="U180">
        <f>step3_validation[[#This Row],[AI_ENF2]]</f>
        <v>6</v>
      </c>
      <c r="V180">
        <f t="shared" si="56"/>
        <v>0.55555555555555558</v>
      </c>
      <c r="W180">
        <f>survey_responses[[#This Row],[Tôi tin rằng Nhà nước, cơ quan thuế có đủ khả năng và công nghệ để phát hiện, xử lý nghiêm các hành vi trốn thuế. - HUMAN-ENF2]]</f>
        <v>7</v>
      </c>
      <c r="X180">
        <f t="shared" si="57"/>
        <v>0.66666666666666663</v>
      </c>
      <c r="Y180" s="32">
        <f t="shared" si="58"/>
        <v>0.61111111111111116</v>
      </c>
      <c r="Z180" s="32">
        <f t="shared" si="59"/>
        <v>0.66666666666666663</v>
      </c>
      <c r="AA180">
        <f>step3_validation[[#This Row],[AI_FAC1]]</f>
        <v>9</v>
      </c>
      <c r="AB180">
        <f t="shared" si="60"/>
        <v>0.88888888888888884</v>
      </c>
      <c r="AC180">
        <f>survey_responses[[#This Row],[Các thủ tục khai báo thuế VÀ/HOẶC quy trình làm việc với cơ quan thuế đơn giản, tiện lợi, nhanh chóng hơn so với trước đây. - HUMAN-FAC1]]</f>
        <v>7</v>
      </c>
      <c r="AD180">
        <f t="shared" si="61"/>
        <v>0.66666666666666663</v>
      </c>
      <c r="AE180">
        <f>step3_validation[[#This Row],[AI_FAC2]]</f>
        <v>10</v>
      </c>
      <c r="AF180">
        <f t="shared" si="62"/>
        <v>1</v>
      </c>
      <c r="AG180">
        <f>survey_responses[[#This Row],[So với trước đây, tôi thấy cách tính thuế và các bậc thuế trong phương án mới đơn giản, dễ hiểu và dễ thực hiện hơn. - HUMAN-FAC2]]</f>
        <v>8</v>
      </c>
      <c r="AH180">
        <f t="shared" si="63"/>
        <v>0.77777777777777779</v>
      </c>
      <c r="AI180" s="32">
        <f t="shared" si="64"/>
        <v>0.94444444444444442</v>
      </c>
      <c r="AJ180" s="32">
        <f t="shared" si="65"/>
        <v>0.72222222222222221</v>
      </c>
      <c r="AK180">
        <f>step3_validation[[#This Row],[AI_TRU1]]</f>
        <v>8</v>
      </c>
      <c r="AL180">
        <f t="shared" si="66"/>
        <v>0.77777777777777779</v>
      </c>
      <c r="AM180">
        <f>survey_responses[[#This Row],[Tôi tin rằng Nhà nước, cơ quan thuế sẽ thực thi chính sách mới một cách khách quan, công tâm và đối xử bình đẳng với mọi người nộp thuế.  - HUMAN-TRU1]]</f>
        <v>7</v>
      </c>
      <c r="AN180">
        <f t="shared" si="67"/>
        <v>0.66666666666666663</v>
      </c>
      <c r="AO180">
        <f>step3_validation[[#This Row],[AI_TRU2]]</f>
        <v>9</v>
      </c>
      <c r="AP180">
        <f t="shared" si="68"/>
        <v>0.88888888888888884</v>
      </c>
      <c r="AQ180">
        <f>survey_responses[[#This Row],[Tôi thấy mức thuế tôi phải đóng theo phương án mới là công bằng (người thu nhập như tôi đóng mức này là hợp lý). - HUMAN-TRU2]]</f>
        <v>8</v>
      </c>
      <c r="AR180">
        <f t="shared" si="69"/>
        <v>0.77777777777777779</v>
      </c>
      <c r="AS180">
        <f>step3_validation[[#This Row],[AI_TRU3]]</f>
        <v>8</v>
      </c>
      <c r="AT180">
        <f t="shared" si="70"/>
        <v>0.77777777777777779</v>
      </c>
      <c r="AU180">
        <f>survey_responses[[#This Row],[Tôi tin tưởng số tiền thuế tôi đóng sẽ được Nhà nước sử dụng hiệu quả để cải thiện dịch vụ công (y tế, đường xá...). - HUMAN-TRU3]]</f>
        <v>7</v>
      </c>
      <c r="AV180">
        <f t="shared" si="71"/>
        <v>0.66666666666666663</v>
      </c>
      <c r="AW180">
        <f>step3_validation[[#This Row],[AI_TRU4]]</f>
        <v>9</v>
      </c>
      <c r="AX180">
        <f t="shared" si="72"/>
        <v>0.88888888888888884</v>
      </c>
      <c r="AY180">
        <f>survey_responses[[#This Row],[Tôi thấy Nhà nước đã giải thích rõ ràng, minh bạch về lý do và mục tiêu của việc sửa đổi thuế lần này. - HUMAN-TRU4]]</f>
        <v>7</v>
      </c>
      <c r="AZ180">
        <f t="shared" si="73"/>
        <v>0.66666666666666663</v>
      </c>
      <c r="BA180" s="32">
        <f t="shared" si="74"/>
        <v>0.83333333333333326</v>
      </c>
      <c r="BB180" s="32">
        <f t="shared" si="75"/>
        <v>0.69444444444444442</v>
      </c>
      <c r="BC180" s="7">
        <f t="shared" si="76"/>
        <v>0.79629629629629628</v>
      </c>
      <c r="BD180" s="7">
        <f t="shared" si="77"/>
        <v>0.69444444444444431</v>
      </c>
      <c r="BE180">
        <f>step3_validation[[#This Row],[AI_OUT1]]</f>
        <v>10</v>
      </c>
      <c r="BF180">
        <f t="shared" si="78"/>
        <v>1</v>
      </c>
      <c r="BG180">
        <f>survey_responses[[#This Row],[Sau khi xem xét các quyền lợi và nghĩa vụ, bạn có ủng hộ và tuân thủ chính sách mới hiện nay? - HUMAN-OUT1]]</f>
        <v>8</v>
      </c>
      <c r="BH180">
        <f t="shared" si="79"/>
        <v>0.77777777777777779</v>
      </c>
      <c r="BI180" s="32">
        <f t="shared" si="80"/>
        <v>2</v>
      </c>
    </row>
    <row r="181" spans="1:61" x14ac:dyDescent="0.45">
      <c r="A181" s="30">
        <f>step3_validation[[#This Row],[Persona_ID]]</f>
        <v>180</v>
      </c>
      <c r="B181" s="31">
        <f>step3_validation[[#This Row],[Used_Seed]]</f>
        <v>2205</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57.563251372229828</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8</v>
      </c>
      <c r="R181">
        <f t="shared" si="54"/>
        <v>0.77777777777777779</v>
      </c>
      <c r="S181">
        <f>survey_responses[[#This Row],[Tôi tin rằng với các quy định quản lý thuế hiện nay, hành vi gian lận hoặc trốn thuế sẽ dễ dàng bị phát hiện và xử lý nghiêm. - HUMAN-ENF1]]</f>
        <v>5</v>
      </c>
      <c r="T181">
        <f t="shared" si="55"/>
        <v>0.44444444444444442</v>
      </c>
      <c r="U181">
        <f>step3_validation[[#This Row],[AI_ENF2]]</f>
        <v>9</v>
      </c>
      <c r="V181">
        <f t="shared" si="56"/>
        <v>0.88888888888888884</v>
      </c>
      <c r="W181">
        <f>survey_responses[[#This Row],[Tôi tin rằng Nhà nước, cơ quan thuế có đủ khả năng và công nghệ để phát hiện, xử lý nghiêm các hành vi trốn thuế. - HUMAN-ENF2]]</f>
        <v>5</v>
      </c>
      <c r="X181">
        <f t="shared" si="57"/>
        <v>0.44444444444444442</v>
      </c>
      <c r="Y181" s="32">
        <f t="shared" si="58"/>
        <v>0.83333333333333326</v>
      </c>
      <c r="Z181" s="32">
        <f t="shared" si="59"/>
        <v>0.44444444444444442</v>
      </c>
      <c r="AA181">
        <f>step3_validation[[#This Row],[AI_FAC1]]</f>
        <v>7</v>
      </c>
      <c r="AB181">
        <f t="shared" si="60"/>
        <v>0.66666666666666663</v>
      </c>
      <c r="AC181">
        <f>survey_responses[[#This Row],[Các thủ tục khai báo thuế VÀ/HOẶC quy trình làm việc với cơ quan thuế đơn giản, tiện lợi, nhanh chóng hơn so với trước đây. - HUMAN-FAC1]]</f>
        <v>5</v>
      </c>
      <c r="AD181">
        <f t="shared" si="61"/>
        <v>0.44444444444444442</v>
      </c>
      <c r="AE181">
        <f>step3_validation[[#This Row],[AI_FAC2]]</f>
        <v>8</v>
      </c>
      <c r="AF181">
        <f t="shared" si="62"/>
        <v>0.77777777777777779</v>
      </c>
      <c r="AG181">
        <f>survey_responses[[#This Row],[So với trước đây, tôi thấy cách tính thuế và các bậc thuế trong phương án mới đơn giản, dễ hiểu và dễ thực hiện hơn. - HUMAN-FAC2]]</f>
        <v>7</v>
      </c>
      <c r="AH181">
        <f t="shared" si="63"/>
        <v>0.66666666666666663</v>
      </c>
      <c r="AI181" s="32">
        <f t="shared" si="64"/>
        <v>0.72222222222222221</v>
      </c>
      <c r="AJ181" s="32">
        <f t="shared" si="65"/>
        <v>0.55555555555555558</v>
      </c>
      <c r="AK181">
        <f>step3_validation[[#This Row],[AI_TRU1]]</f>
        <v>9</v>
      </c>
      <c r="AL181">
        <f t="shared" si="66"/>
        <v>0.88888888888888884</v>
      </c>
      <c r="AM181">
        <f>survey_responses[[#This Row],[Tôi tin rằng Nhà nước, cơ quan thuế sẽ thực thi chính sách mới một cách khách quan, công tâm và đối xử bình đẳng với mọi người nộp thuế.  - HUMAN-TRU1]]</f>
        <v>5</v>
      </c>
      <c r="AN181">
        <f t="shared" si="67"/>
        <v>0.44444444444444442</v>
      </c>
      <c r="AO181">
        <f>step3_validation[[#This Row],[AI_TRU2]]</f>
        <v>9</v>
      </c>
      <c r="AP181">
        <f t="shared" si="68"/>
        <v>0.88888888888888884</v>
      </c>
      <c r="AQ181">
        <f>survey_responses[[#This Row],[Tôi thấy mức thuế tôi phải đóng theo phương án mới là công bằng (người thu nhập như tôi đóng mức này là hợp lý). - HUMAN-TRU2]]</f>
        <v>6</v>
      </c>
      <c r="AR181">
        <f t="shared" si="69"/>
        <v>0.55555555555555558</v>
      </c>
      <c r="AS181">
        <f>step3_validation[[#This Row],[AI_TRU3]]</f>
        <v>8</v>
      </c>
      <c r="AT181">
        <f t="shared" si="70"/>
        <v>0.77777777777777779</v>
      </c>
      <c r="AU181">
        <f>survey_responses[[#This Row],[Tôi tin tưởng số tiền thuế tôi đóng sẽ được Nhà nước sử dụng hiệu quả để cải thiện dịch vụ công (y tế, đường xá...). - HUMAN-TRU3]]</f>
        <v>5</v>
      </c>
      <c r="AV181">
        <f t="shared" si="71"/>
        <v>0.44444444444444442</v>
      </c>
      <c r="AW181">
        <f>step3_validation[[#This Row],[AI_TRU4]]</f>
        <v>9</v>
      </c>
      <c r="AX181">
        <f t="shared" si="72"/>
        <v>0.88888888888888884</v>
      </c>
      <c r="AY181">
        <f>survey_responses[[#This Row],[Tôi thấy Nhà nước đã giải thích rõ ràng, minh bạch về lý do và mục tiêu của việc sửa đổi thuế lần này. - HUMAN-TRU4]]</f>
        <v>7</v>
      </c>
      <c r="AZ181">
        <f t="shared" si="73"/>
        <v>0.66666666666666663</v>
      </c>
      <c r="BA181" s="32">
        <f t="shared" si="74"/>
        <v>0.86111111111111105</v>
      </c>
      <c r="BB181" s="32">
        <f t="shared" si="75"/>
        <v>0.52777777777777779</v>
      </c>
      <c r="BC181" s="7">
        <f t="shared" si="76"/>
        <v>0.80555555555555547</v>
      </c>
      <c r="BD181" s="7">
        <f t="shared" si="77"/>
        <v>0.50925925925925919</v>
      </c>
      <c r="BE181">
        <f>step3_validation[[#This Row],[AI_OUT1]]</f>
        <v>9</v>
      </c>
      <c r="BF181">
        <f t="shared" si="78"/>
        <v>0.88888888888888884</v>
      </c>
      <c r="BG181">
        <f>survey_responses[[#This Row],[Sau khi xem xét các quyền lợi và nghĩa vụ, bạn có ủng hộ và tuân thủ chính sách mới hiện nay? - HUMAN-OUT1]]</f>
        <v>7</v>
      </c>
      <c r="BH181">
        <f t="shared" si="79"/>
        <v>0.66666666666666663</v>
      </c>
      <c r="BI181" s="32">
        <f t="shared" si="80"/>
        <v>2</v>
      </c>
    </row>
    <row r="182" spans="1:61" x14ac:dyDescent="0.45">
      <c r="A182" s="30">
        <f>step3_validation[[#This Row],[Persona_ID]]</f>
        <v>181</v>
      </c>
      <c r="B182" s="31">
        <f>step3_validation[[#This Row],[Used_Seed]]</f>
        <v>2206</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61.161980058425847</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6</v>
      </c>
      <c r="R182">
        <f t="shared" si="54"/>
        <v>0.55555555555555558</v>
      </c>
      <c r="S182">
        <f>survey_responses[[#This Row],[Tôi tin rằng với các quy định quản lý thuế hiện nay, hành vi gian lận hoặc trốn thuế sẽ dễ dàng bị phát hiện và xử lý nghiêm. - HUMAN-ENF1]]</f>
        <v>6</v>
      </c>
      <c r="T182">
        <f t="shared" si="55"/>
        <v>0.55555555555555558</v>
      </c>
      <c r="U182">
        <f>step3_validation[[#This Row],[AI_ENF2]]</f>
        <v>6</v>
      </c>
      <c r="V182">
        <f t="shared" si="56"/>
        <v>0.55555555555555558</v>
      </c>
      <c r="W182">
        <f>survey_responses[[#This Row],[Tôi tin rằng Nhà nước, cơ quan thuế có đủ khả năng và công nghệ để phát hiện, xử lý nghiêm các hành vi trốn thuế. - HUMAN-ENF2]]</f>
        <v>7</v>
      </c>
      <c r="X182">
        <f t="shared" si="57"/>
        <v>0.66666666666666663</v>
      </c>
      <c r="Y182" s="32">
        <f t="shared" si="58"/>
        <v>0.55555555555555558</v>
      </c>
      <c r="Z182" s="32">
        <f t="shared" si="59"/>
        <v>0.61111111111111116</v>
      </c>
      <c r="AA182">
        <f>step3_validation[[#This Row],[AI_FAC1]]</f>
        <v>8</v>
      </c>
      <c r="AB182">
        <f t="shared" si="60"/>
        <v>0.77777777777777779</v>
      </c>
      <c r="AC182">
        <f>survey_responses[[#This Row],[Các thủ tục khai báo thuế VÀ/HOẶC quy trình làm việc với cơ quan thuế đơn giản, tiện lợi, nhanh chóng hơn so với trước đây. - HUMAN-FAC1]]</f>
        <v>7</v>
      </c>
      <c r="AD182">
        <f t="shared" si="61"/>
        <v>0.66666666666666663</v>
      </c>
      <c r="AE182">
        <f>step3_validation[[#This Row],[AI_FAC2]]</f>
        <v>7</v>
      </c>
      <c r="AF182">
        <f t="shared" si="62"/>
        <v>0.66666666666666663</v>
      </c>
      <c r="AG182">
        <f>survey_responses[[#This Row],[So với trước đây, tôi thấy cách tính thuế và các bậc thuế trong phương án mới đơn giản, dễ hiểu và dễ thực hiện hơn. - HUMAN-FAC2]]</f>
        <v>8</v>
      </c>
      <c r="AH182">
        <f t="shared" si="63"/>
        <v>0.77777777777777779</v>
      </c>
      <c r="AI182" s="32">
        <f t="shared" si="64"/>
        <v>0.72222222222222221</v>
      </c>
      <c r="AJ182" s="32">
        <f t="shared" si="65"/>
        <v>0.72222222222222221</v>
      </c>
      <c r="AK182">
        <f>step3_validation[[#This Row],[AI_TRU1]]</f>
        <v>7</v>
      </c>
      <c r="AL182">
        <f t="shared" si="66"/>
        <v>0.66666666666666663</v>
      </c>
      <c r="AM182">
        <f>survey_responses[[#This Row],[Tôi tin rằng Nhà nước, cơ quan thuế sẽ thực thi chính sách mới một cách khách quan, công tâm và đối xử bình đẳng với mọi người nộp thuế.  - HUMAN-TRU1]]</f>
        <v>8</v>
      </c>
      <c r="AN182">
        <f t="shared" si="67"/>
        <v>0.77777777777777779</v>
      </c>
      <c r="AO182">
        <f>step3_validation[[#This Row],[AI_TRU2]]</f>
        <v>9</v>
      </c>
      <c r="AP182">
        <f t="shared" si="68"/>
        <v>0.88888888888888884</v>
      </c>
      <c r="AQ182">
        <f>survey_responses[[#This Row],[Tôi thấy mức thuế tôi phải đóng theo phương án mới là công bằng (người thu nhập như tôi đóng mức này là hợp lý). - HUMAN-TRU2]]</f>
        <v>7</v>
      </c>
      <c r="AR182">
        <f t="shared" si="69"/>
        <v>0.66666666666666663</v>
      </c>
      <c r="AS182">
        <f>step3_validation[[#This Row],[AI_TRU3]]</f>
        <v>7</v>
      </c>
      <c r="AT182">
        <f t="shared" si="70"/>
        <v>0.66666666666666663</v>
      </c>
      <c r="AU182">
        <f>survey_responses[[#This Row],[Tôi tin tưởng số tiền thuế tôi đóng sẽ được Nhà nước sử dụng hiệu quả để cải thiện dịch vụ công (y tế, đường xá...). - HUMAN-TRU3]]</f>
        <v>5</v>
      </c>
      <c r="AV182">
        <f t="shared" si="71"/>
        <v>0.44444444444444442</v>
      </c>
      <c r="AW182">
        <f>step3_validation[[#This Row],[AI_TRU4]]</f>
        <v>8</v>
      </c>
      <c r="AX182">
        <f t="shared" si="72"/>
        <v>0.77777777777777779</v>
      </c>
      <c r="AY182">
        <f>survey_responses[[#This Row],[Tôi thấy Nhà nước đã giải thích rõ ràng, minh bạch về lý do và mục tiêu của việc sửa đổi thuế lần này. - HUMAN-TRU4]]</f>
        <v>7</v>
      </c>
      <c r="AZ182">
        <f t="shared" si="73"/>
        <v>0.66666666666666663</v>
      </c>
      <c r="BA182" s="32">
        <f t="shared" si="74"/>
        <v>0.74999999999999989</v>
      </c>
      <c r="BB182" s="32">
        <f t="shared" si="75"/>
        <v>0.63888888888888884</v>
      </c>
      <c r="BC182" s="7">
        <f t="shared" si="76"/>
        <v>0.67592592592592593</v>
      </c>
      <c r="BD182" s="7">
        <f t="shared" si="77"/>
        <v>0.65740740740740744</v>
      </c>
      <c r="BE182">
        <f>step3_validation[[#This Row],[AI_OUT1]]</f>
        <v>9</v>
      </c>
      <c r="BF182">
        <f t="shared" si="78"/>
        <v>0.88888888888888884</v>
      </c>
      <c r="BG182">
        <f>survey_responses[[#This Row],[Sau khi xem xét các quyền lợi và nghĩa vụ, bạn có ủng hộ và tuân thủ chính sách mới hiện nay? - HUMAN-OUT1]]</f>
        <v>7</v>
      </c>
      <c r="BH182">
        <f t="shared" si="79"/>
        <v>0.66666666666666663</v>
      </c>
      <c r="BI182" s="32">
        <f t="shared" si="80"/>
        <v>2</v>
      </c>
    </row>
    <row r="183" spans="1:61" x14ac:dyDescent="0.45">
      <c r="A183" s="30">
        <f>step3_validation[[#This Row],[Persona_ID]]</f>
        <v>182</v>
      </c>
      <c r="B183" s="31">
        <f>step3_validation[[#This Row],[Used_Seed]]</f>
        <v>2207</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28.244939358367787</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7</v>
      </c>
      <c r="R183">
        <f t="shared" si="54"/>
        <v>0.66666666666666663</v>
      </c>
      <c r="S183">
        <f>survey_responses[[#This Row],[Tôi tin rằng với các quy định quản lý thuế hiện nay, hành vi gian lận hoặc trốn thuế sẽ dễ dàng bị phát hiện và xử lý nghiêm. - HUMAN-ENF1]]</f>
        <v>8</v>
      </c>
      <c r="T183">
        <f t="shared" si="55"/>
        <v>0.77777777777777779</v>
      </c>
      <c r="U183">
        <f>step3_validation[[#This Row],[AI_ENF2]]</f>
        <v>8</v>
      </c>
      <c r="V183">
        <f t="shared" si="56"/>
        <v>0.77777777777777779</v>
      </c>
      <c r="W183">
        <f>survey_responses[[#This Row],[Tôi tin rằng Nhà nước, cơ quan thuế có đủ khả năng và công nghệ để phát hiện, xử lý nghiêm các hành vi trốn thuế. - HUMAN-ENF2]]</f>
        <v>8</v>
      </c>
      <c r="X183">
        <f t="shared" si="57"/>
        <v>0.77777777777777779</v>
      </c>
      <c r="Y183" s="32">
        <f t="shared" si="58"/>
        <v>0.72222222222222221</v>
      </c>
      <c r="Z183" s="32">
        <f t="shared" si="59"/>
        <v>0.77777777777777779</v>
      </c>
      <c r="AA183">
        <f>step3_validation[[#This Row],[AI_FAC1]]</f>
        <v>9</v>
      </c>
      <c r="AB183">
        <f t="shared" si="60"/>
        <v>0.88888888888888884</v>
      </c>
      <c r="AC183">
        <f>survey_responses[[#This Row],[Các thủ tục khai báo thuế VÀ/HOẶC quy trình làm việc với cơ quan thuế đơn giản, tiện lợi, nhanh chóng hơn so với trước đây. - HUMAN-FAC1]]</f>
        <v>5</v>
      </c>
      <c r="AD183">
        <f t="shared" si="61"/>
        <v>0.44444444444444442</v>
      </c>
      <c r="AE183">
        <f>step3_validation[[#This Row],[AI_FAC2]]</f>
        <v>8</v>
      </c>
      <c r="AF183">
        <f t="shared" si="62"/>
        <v>0.77777777777777779</v>
      </c>
      <c r="AG183">
        <f>survey_responses[[#This Row],[So với trước đây, tôi thấy cách tính thuế và các bậc thuế trong phương án mới đơn giản, dễ hiểu và dễ thực hiện hơn. - HUMAN-FAC2]]</f>
        <v>8</v>
      </c>
      <c r="AH183">
        <f t="shared" si="63"/>
        <v>0.77777777777777779</v>
      </c>
      <c r="AI183" s="32">
        <f t="shared" si="64"/>
        <v>0.83333333333333326</v>
      </c>
      <c r="AJ183" s="32">
        <f t="shared" si="65"/>
        <v>0.61111111111111116</v>
      </c>
      <c r="AK183">
        <f>step3_validation[[#This Row],[AI_TRU1]]</f>
        <v>7</v>
      </c>
      <c r="AL183">
        <f t="shared" si="66"/>
        <v>0.66666666666666663</v>
      </c>
      <c r="AM183">
        <f>survey_responses[[#This Row],[Tôi tin rằng Nhà nước, cơ quan thuế sẽ thực thi chính sách mới một cách khách quan, công tâm và đối xử bình đẳng với mọi người nộp thuế.  - HUMAN-TRU1]]</f>
        <v>6</v>
      </c>
      <c r="AN183">
        <f t="shared" si="67"/>
        <v>0.55555555555555558</v>
      </c>
      <c r="AO183">
        <f>step3_validation[[#This Row],[AI_TRU2]]</f>
        <v>9</v>
      </c>
      <c r="AP183">
        <f t="shared" si="68"/>
        <v>0.88888888888888884</v>
      </c>
      <c r="AQ183">
        <f>survey_responses[[#This Row],[Tôi thấy mức thuế tôi phải đóng theo phương án mới là công bằng (người thu nhập như tôi đóng mức này là hợp lý). - HUMAN-TRU2]]</f>
        <v>8</v>
      </c>
      <c r="AR183">
        <f t="shared" si="69"/>
        <v>0.77777777777777779</v>
      </c>
      <c r="AS183">
        <f>step3_validation[[#This Row],[AI_TRU3]]</f>
        <v>8</v>
      </c>
      <c r="AT183">
        <f t="shared" si="70"/>
        <v>0.77777777777777779</v>
      </c>
      <c r="AU183">
        <f>survey_responses[[#This Row],[Tôi tin tưởng số tiền thuế tôi đóng sẽ được Nhà nước sử dụng hiệu quả để cải thiện dịch vụ công (y tế, đường xá...). - HUMAN-TRU3]]</f>
        <v>6</v>
      </c>
      <c r="AV183">
        <f t="shared" si="71"/>
        <v>0.55555555555555558</v>
      </c>
      <c r="AW183">
        <f>step3_validation[[#This Row],[AI_TRU4]]</f>
        <v>9</v>
      </c>
      <c r="AX183">
        <f t="shared" si="72"/>
        <v>0.88888888888888884</v>
      </c>
      <c r="AY183">
        <f>survey_responses[[#This Row],[Tôi thấy Nhà nước đã giải thích rõ ràng, minh bạch về lý do và mục tiêu của việc sửa đổi thuế lần này. - HUMAN-TRU4]]</f>
        <v>7</v>
      </c>
      <c r="AZ183">
        <f t="shared" si="73"/>
        <v>0.66666666666666663</v>
      </c>
      <c r="BA183" s="32">
        <f t="shared" si="74"/>
        <v>0.80555555555555547</v>
      </c>
      <c r="BB183" s="32">
        <f t="shared" si="75"/>
        <v>0.63888888888888895</v>
      </c>
      <c r="BC183" s="7">
        <f t="shared" si="76"/>
        <v>0.78703703703703687</v>
      </c>
      <c r="BD183" s="7">
        <f t="shared" si="77"/>
        <v>0.67592592592592593</v>
      </c>
      <c r="BE183">
        <f>step3_validation[[#This Row],[AI_OUT1]]</f>
        <v>8</v>
      </c>
      <c r="BF183">
        <f t="shared" si="78"/>
        <v>0.77777777777777779</v>
      </c>
      <c r="BG183">
        <f>survey_responses[[#This Row],[Sau khi xem xét các quyền lợi và nghĩa vụ, bạn có ủng hộ và tuân thủ chính sách mới hiện nay? - HUMAN-OUT1]]</f>
        <v>7</v>
      </c>
      <c r="BH183">
        <f t="shared" si="79"/>
        <v>0.66666666666666663</v>
      </c>
      <c r="BI183" s="32">
        <f t="shared" si="80"/>
        <v>1</v>
      </c>
    </row>
    <row r="184" spans="1:61" x14ac:dyDescent="0.45">
      <c r="A184" s="30">
        <f>step3_validation[[#This Row],[Persona_ID]]</f>
        <v>183</v>
      </c>
      <c r="B184" s="31">
        <f>step3_validation[[#This Row],[Used_Seed]]</f>
        <v>2208</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223.60694142834305</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7</v>
      </c>
      <c r="R184">
        <f t="shared" si="54"/>
        <v>0.66666666666666663</v>
      </c>
      <c r="S184">
        <f>survey_responses[[#This Row],[Tôi tin rằng với các quy định quản lý thuế hiện nay, hành vi gian lận hoặc trốn thuế sẽ dễ dàng bị phát hiện và xử lý nghiêm. - HUMAN-ENF1]]</f>
        <v>2</v>
      </c>
      <c r="T184">
        <f t="shared" si="55"/>
        <v>0.1111111111111111</v>
      </c>
      <c r="U184">
        <f>step3_validation[[#This Row],[AI_ENF2]]</f>
        <v>7</v>
      </c>
      <c r="V184">
        <f t="shared" si="56"/>
        <v>0.66666666666666663</v>
      </c>
      <c r="W184">
        <f>survey_responses[[#This Row],[Tôi tin rằng Nhà nước, cơ quan thuế có đủ khả năng và công nghệ để phát hiện, xử lý nghiêm các hành vi trốn thuế. - HUMAN-ENF2]]</f>
        <v>5</v>
      </c>
      <c r="X184">
        <f t="shared" si="57"/>
        <v>0.44444444444444442</v>
      </c>
      <c r="Y184" s="32">
        <f t="shared" si="58"/>
        <v>0.66666666666666663</v>
      </c>
      <c r="Z184" s="32">
        <f t="shared" si="59"/>
        <v>0.27777777777777779</v>
      </c>
      <c r="AA184">
        <f>step3_validation[[#This Row],[AI_FAC1]]</f>
        <v>8</v>
      </c>
      <c r="AB184">
        <f t="shared" si="60"/>
        <v>0.77777777777777779</v>
      </c>
      <c r="AC184">
        <f>survey_responses[[#This Row],[Các thủ tục khai báo thuế VÀ/HOẶC quy trình làm việc với cơ quan thuế đơn giản, tiện lợi, nhanh chóng hơn so với trước đây. - HUMAN-FAC1]]</f>
        <v>3</v>
      </c>
      <c r="AD184">
        <f t="shared" si="61"/>
        <v>0.22222222222222221</v>
      </c>
      <c r="AE184">
        <f>step3_validation[[#This Row],[AI_FAC2]]</f>
        <v>8</v>
      </c>
      <c r="AF184">
        <f t="shared" si="62"/>
        <v>0.77777777777777779</v>
      </c>
      <c r="AG184">
        <f>survey_responses[[#This Row],[So với trước đây, tôi thấy cách tính thuế và các bậc thuế trong phương án mới đơn giản, dễ hiểu và dễ thực hiện hơn. - HUMAN-FAC2]]</f>
        <v>5</v>
      </c>
      <c r="AH184">
        <f t="shared" si="63"/>
        <v>0.44444444444444442</v>
      </c>
      <c r="AI184" s="32">
        <f t="shared" si="64"/>
        <v>0.77777777777777779</v>
      </c>
      <c r="AJ184" s="32">
        <f t="shared" si="65"/>
        <v>0.33333333333333331</v>
      </c>
      <c r="AK184">
        <f>step3_validation[[#This Row],[AI_TRU1]]</f>
        <v>7</v>
      </c>
      <c r="AL184">
        <f t="shared" si="66"/>
        <v>0.66666666666666663</v>
      </c>
      <c r="AM184">
        <f>survey_responses[[#This Row],[Tôi tin rằng Nhà nước, cơ quan thuế sẽ thực thi chính sách mới một cách khách quan, công tâm và đối xử bình đẳng với mọi người nộp thuế.  - HUMAN-TRU1]]</f>
        <v>3</v>
      </c>
      <c r="AN184">
        <f t="shared" si="67"/>
        <v>0.22222222222222221</v>
      </c>
      <c r="AO184">
        <f>step3_validation[[#This Row],[AI_TRU2]]</f>
        <v>8</v>
      </c>
      <c r="AP184">
        <f t="shared" si="68"/>
        <v>0.77777777777777779</v>
      </c>
      <c r="AQ184">
        <f>survey_responses[[#This Row],[Tôi thấy mức thuế tôi phải đóng theo phương án mới là công bằng (người thu nhập như tôi đóng mức này là hợp lý). - HUMAN-TRU2]]</f>
        <v>2</v>
      </c>
      <c r="AR184">
        <f t="shared" si="69"/>
        <v>0.1111111111111111</v>
      </c>
      <c r="AS184">
        <f>step3_validation[[#This Row],[AI_TRU3]]</f>
        <v>7</v>
      </c>
      <c r="AT184">
        <f t="shared" si="70"/>
        <v>0.66666666666666663</v>
      </c>
      <c r="AU184">
        <f>survey_responses[[#This Row],[Tôi tin tưởng số tiền thuế tôi đóng sẽ được Nhà nước sử dụng hiệu quả để cải thiện dịch vụ công (y tế, đường xá...). - HUMAN-TRU3]]</f>
        <v>1</v>
      </c>
      <c r="AV184">
        <f t="shared" si="71"/>
        <v>0</v>
      </c>
      <c r="AW184">
        <f>step3_validation[[#This Row],[AI_TRU4]]</f>
        <v>8</v>
      </c>
      <c r="AX184">
        <f t="shared" si="72"/>
        <v>0.77777777777777779</v>
      </c>
      <c r="AY184">
        <f>survey_responses[[#This Row],[Tôi thấy Nhà nước đã giải thích rõ ràng, minh bạch về lý do và mục tiêu của việc sửa đổi thuế lần này. - HUMAN-TRU4]]</f>
        <v>5</v>
      </c>
      <c r="AZ184">
        <f t="shared" si="73"/>
        <v>0.44444444444444442</v>
      </c>
      <c r="BA184" s="32">
        <f t="shared" si="74"/>
        <v>0.72222222222222221</v>
      </c>
      <c r="BB184" s="32">
        <f t="shared" si="75"/>
        <v>0.19444444444444442</v>
      </c>
      <c r="BC184" s="7">
        <f t="shared" si="76"/>
        <v>0.72222222222222221</v>
      </c>
      <c r="BD184" s="7">
        <f t="shared" si="77"/>
        <v>0.26851851851851855</v>
      </c>
      <c r="BE184">
        <f>step3_validation[[#This Row],[AI_OUT1]]</f>
        <v>8</v>
      </c>
      <c r="BF184">
        <f t="shared" si="78"/>
        <v>0.77777777777777779</v>
      </c>
      <c r="BG184">
        <f>survey_responses[[#This Row],[Sau khi xem xét các quyền lợi và nghĩa vụ, bạn có ủng hộ và tuân thủ chính sách mới hiện nay? - HUMAN-OUT1]]</f>
        <v>5</v>
      </c>
      <c r="BH184">
        <f t="shared" si="79"/>
        <v>0.44444444444444442</v>
      </c>
      <c r="BI184" s="32">
        <f t="shared" si="80"/>
        <v>3</v>
      </c>
    </row>
    <row r="185" spans="1:61" x14ac:dyDescent="0.45">
      <c r="A185" s="30">
        <f>step3_validation[[#This Row],[Persona_ID]]</f>
        <v>184</v>
      </c>
      <c r="B185" s="31">
        <f>step3_validation[[#This Row],[Used_Seed]]</f>
        <v>2209</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13.590698473914165</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7</v>
      </c>
      <c r="R185">
        <f t="shared" si="54"/>
        <v>0.66666666666666663</v>
      </c>
      <c r="S185">
        <f>survey_responses[[#This Row],[Tôi tin rằng với các quy định quản lý thuế hiện nay, hành vi gian lận hoặc trốn thuế sẽ dễ dàng bị phát hiện và xử lý nghiêm. - HUMAN-ENF1]]</f>
        <v>6</v>
      </c>
      <c r="T185">
        <f t="shared" si="55"/>
        <v>0.55555555555555558</v>
      </c>
      <c r="U185">
        <f>step3_validation[[#This Row],[AI_ENF2]]</f>
        <v>6</v>
      </c>
      <c r="V185">
        <f t="shared" si="56"/>
        <v>0.55555555555555558</v>
      </c>
      <c r="W185">
        <f>survey_responses[[#This Row],[Tôi tin rằng Nhà nước, cơ quan thuế có đủ khả năng và công nghệ để phát hiện, xử lý nghiêm các hành vi trốn thuế. - HUMAN-ENF2]]</f>
        <v>6</v>
      </c>
      <c r="X185">
        <f t="shared" si="57"/>
        <v>0.55555555555555558</v>
      </c>
      <c r="Y185" s="32">
        <f t="shared" si="58"/>
        <v>0.61111111111111116</v>
      </c>
      <c r="Z185" s="32">
        <f t="shared" si="59"/>
        <v>0.55555555555555558</v>
      </c>
      <c r="AA185">
        <f>step3_validation[[#This Row],[AI_FAC1]]</f>
        <v>9</v>
      </c>
      <c r="AB185">
        <f t="shared" si="60"/>
        <v>0.88888888888888884</v>
      </c>
      <c r="AC185">
        <f>survey_responses[[#This Row],[Các thủ tục khai báo thuế VÀ/HOẶC quy trình làm việc với cơ quan thuế đơn giản, tiện lợi, nhanh chóng hơn so với trước đây. - HUMAN-FAC1]]</f>
        <v>5</v>
      </c>
      <c r="AD185">
        <f t="shared" si="61"/>
        <v>0.44444444444444442</v>
      </c>
      <c r="AE185">
        <f>step3_validation[[#This Row],[AI_FAC2]]</f>
        <v>8</v>
      </c>
      <c r="AF185">
        <f t="shared" si="62"/>
        <v>0.77777777777777779</v>
      </c>
      <c r="AG185">
        <f>survey_responses[[#This Row],[So với trước đây, tôi thấy cách tính thuế và các bậc thuế trong phương án mới đơn giản, dễ hiểu và dễ thực hiện hơn. - HUMAN-FAC2]]</f>
        <v>9</v>
      </c>
      <c r="AH185">
        <f t="shared" si="63"/>
        <v>0.88888888888888884</v>
      </c>
      <c r="AI185" s="32">
        <f t="shared" si="64"/>
        <v>0.83333333333333326</v>
      </c>
      <c r="AJ185" s="32">
        <f t="shared" si="65"/>
        <v>0.66666666666666663</v>
      </c>
      <c r="AK185">
        <f>step3_validation[[#This Row],[AI_TRU1]]</f>
        <v>9</v>
      </c>
      <c r="AL185">
        <f t="shared" si="66"/>
        <v>0.88888888888888884</v>
      </c>
      <c r="AM185">
        <f>survey_responses[[#This Row],[Tôi tin rằng Nhà nước, cơ quan thuế sẽ thực thi chính sách mới một cách khách quan, công tâm và đối xử bình đẳng với mọi người nộp thuế.  - HUMAN-TRU1]]</f>
        <v>7</v>
      </c>
      <c r="AN185">
        <f t="shared" si="67"/>
        <v>0.66666666666666663</v>
      </c>
      <c r="AO185">
        <f>step3_validation[[#This Row],[AI_TRU2]]</f>
        <v>8</v>
      </c>
      <c r="AP185">
        <f t="shared" si="68"/>
        <v>0.77777777777777779</v>
      </c>
      <c r="AQ185">
        <f>survey_responses[[#This Row],[Tôi thấy mức thuế tôi phải đóng theo phương án mới là công bằng (người thu nhập như tôi đóng mức này là hợp lý). - HUMAN-TRU2]]</f>
        <v>8</v>
      </c>
      <c r="AR185">
        <f t="shared" si="69"/>
        <v>0.77777777777777779</v>
      </c>
      <c r="AS185">
        <f>step3_validation[[#This Row],[AI_TRU3]]</f>
        <v>9</v>
      </c>
      <c r="AT185">
        <f t="shared" si="70"/>
        <v>0.88888888888888884</v>
      </c>
      <c r="AU185">
        <f>survey_responses[[#This Row],[Tôi tin tưởng số tiền thuế tôi đóng sẽ được Nhà nước sử dụng hiệu quả để cải thiện dịch vụ công (y tế, đường xá...). - HUMAN-TRU3]]</f>
        <v>5</v>
      </c>
      <c r="AV185">
        <f t="shared" si="71"/>
        <v>0.44444444444444442</v>
      </c>
      <c r="AW185">
        <f>step3_validation[[#This Row],[AI_TRU4]]</f>
        <v>7</v>
      </c>
      <c r="AX185">
        <f t="shared" si="72"/>
        <v>0.66666666666666663</v>
      </c>
      <c r="AY185">
        <f>survey_responses[[#This Row],[Tôi thấy Nhà nước đã giải thích rõ ràng, minh bạch về lý do và mục tiêu của việc sửa đổi thuế lần này. - HUMAN-TRU4]]</f>
        <v>7</v>
      </c>
      <c r="AZ185">
        <f t="shared" si="73"/>
        <v>0.66666666666666663</v>
      </c>
      <c r="BA185" s="32">
        <f t="shared" si="74"/>
        <v>0.80555555555555547</v>
      </c>
      <c r="BB185" s="32">
        <f t="shared" si="75"/>
        <v>0.63888888888888884</v>
      </c>
      <c r="BC185" s="7">
        <f t="shared" si="76"/>
        <v>0.75</v>
      </c>
      <c r="BD185" s="7">
        <f t="shared" si="77"/>
        <v>0.62037037037037035</v>
      </c>
      <c r="BE185">
        <f>step3_validation[[#This Row],[AI_OUT1]]</f>
        <v>9</v>
      </c>
      <c r="BF185">
        <f t="shared" si="78"/>
        <v>0.88888888888888884</v>
      </c>
      <c r="BG185">
        <f>survey_responses[[#This Row],[Sau khi xem xét các quyền lợi và nghĩa vụ, bạn có ủng hộ và tuân thủ chính sách mới hiện nay? - HUMAN-OUT1]]</f>
        <v>7</v>
      </c>
      <c r="BH185">
        <f t="shared" si="79"/>
        <v>0.66666666666666663</v>
      </c>
      <c r="BI185" s="32">
        <f t="shared" si="80"/>
        <v>2</v>
      </c>
    </row>
    <row r="186" spans="1:61" x14ac:dyDescent="0.45">
      <c r="A186" s="30">
        <f>step3_validation[[#This Row],[Persona_ID]]</f>
        <v>185</v>
      </c>
      <c r="B186" s="31">
        <f>step3_validation[[#This Row],[Used_Seed]]</f>
        <v>2210</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43.499319405292795</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9</v>
      </c>
      <c r="R186">
        <f t="shared" si="54"/>
        <v>0.88888888888888884</v>
      </c>
      <c r="S186">
        <f>survey_responses[[#This Row],[Tôi tin rằng với các quy định quản lý thuế hiện nay, hành vi gian lận hoặc trốn thuế sẽ dễ dàng bị phát hiện và xử lý nghiêm. - HUMAN-ENF1]]</f>
        <v>7</v>
      </c>
      <c r="T186">
        <f t="shared" si="55"/>
        <v>0.66666666666666663</v>
      </c>
      <c r="U186">
        <f>step3_validation[[#This Row],[AI_ENF2]]</f>
        <v>9</v>
      </c>
      <c r="V186">
        <f t="shared" si="56"/>
        <v>0.88888888888888884</v>
      </c>
      <c r="W186">
        <f>survey_responses[[#This Row],[Tôi tin rằng Nhà nước, cơ quan thuế có đủ khả năng và công nghệ để phát hiện, xử lý nghiêm các hành vi trốn thuế. - HUMAN-ENF2]]</f>
        <v>7</v>
      </c>
      <c r="X186">
        <f t="shared" si="57"/>
        <v>0.66666666666666663</v>
      </c>
      <c r="Y186" s="32">
        <f t="shared" si="58"/>
        <v>0.88888888888888884</v>
      </c>
      <c r="Z186" s="32">
        <f t="shared" si="59"/>
        <v>0.66666666666666663</v>
      </c>
      <c r="AA186">
        <f>step3_validation[[#This Row],[AI_FAC1]]</f>
        <v>8</v>
      </c>
      <c r="AB186">
        <f t="shared" si="60"/>
        <v>0.77777777777777779</v>
      </c>
      <c r="AC186">
        <f>survey_responses[[#This Row],[Các thủ tục khai báo thuế VÀ/HOẶC quy trình làm việc với cơ quan thuế đơn giản, tiện lợi, nhanh chóng hơn so với trước đây. - HUMAN-FAC1]]</f>
        <v>6</v>
      </c>
      <c r="AD186">
        <f t="shared" si="61"/>
        <v>0.55555555555555558</v>
      </c>
      <c r="AE186">
        <f>step3_validation[[#This Row],[AI_FAC2]]</f>
        <v>9</v>
      </c>
      <c r="AF186">
        <f t="shared" si="62"/>
        <v>0.88888888888888884</v>
      </c>
      <c r="AG186">
        <f>survey_responses[[#This Row],[So với trước đây, tôi thấy cách tính thuế và các bậc thuế trong phương án mới đơn giản, dễ hiểu và dễ thực hiện hơn. - HUMAN-FAC2]]</f>
        <v>8</v>
      </c>
      <c r="AH186">
        <f t="shared" si="63"/>
        <v>0.77777777777777779</v>
      </c>
      <c r="AI186" s="32">
        <f t="shared" si="64"/>
        <v>0.83333333333333326</v>
      </c>
      <c r="AJ186" s="32">
        <f t="shared" si="65"/>
        <v>0.66666666666666674</v>
      </c>
      <c r="AK186">
        <f>step3_validation[[#This Row],[AI_TRU1]]</f>
        <v>8</v>
      </c>
      <c r="AL186">
        <f t="shared" si="66"/>
        <v>0.77777777777777779</v>
      </c>
      <c r="AM186">
        <f>survey_responses[[#This Row],[Tôi tin rằng Nhà nước, cơ quan thuế sẽ thực thi chính sách mới một cách khách quan, công tâm và đối xử bình đẳng với mọi người nộp thuế.  - HUMAN-TRU1]]</f>
        <v>5</v>
      </c>
      <c r="AN186">
        <f t="shared" si="67"/>
        <v>0.44444444444444442</v>
      </c>
      <c r="AO186">
        <f>step3_validation[[#This Row],[AI_TRU2]]</f>
        <v>9</v>
      </c>
      <c r="AP186">
        <f t="shared" si="68"/>
        <v>0.88888888888888884</v>
      </c>
      <c r="AQ186">
        <f>survey_responses[[#This Row],[Tôi thấy mức thuế tôi phải đóng theo phương án mới là công bằng (người thu nhập như tôi đóng mức này là hợp lý). - HUMAN-TRU2]]</f>
        <v>5</v>
      </c>
      <c r="AR186">
        <f t="shared" si="69"/>
        <v>0.44444444444444442</v>
      </c>
      <c r="AS186">
        <f>step3_validation[[#This Row],[AI_TRU3]]</f>
        <v>8</v>
      </c>
      <c r="AT186">
        <f t="shared" si="70"/>
        <v>0.77777777777777779</v>
      </c>
      <c r="AU186">
        <f>survey_responses[[#This Row],[Tôi tin tưởng số tiền thuế tôi đóng sẽ được Nhà nước sử dụng hiệu quả để cải thiện dịch vụ công (y tế, đường xá...). - HUMAN-TRU3]]</f>
        <v>5</v>
      </c>
      <c r="AV186">
        <f t="shared" si="71"/>
        <v>0.44444444444444442</v>
      </c>
      <c r="AW186">
        <f>step3_validation[[#This Row],[AI_TRU4]]</f>
        <v>9</v>
      </c>
      <c r="AX186">
        <f t="shared" si="72"/>
        <v>0.88888888888888884</v>
      </c>
      <c r="AY186">
        <f>survey_responses[[#This Row],[Tôi thấy Nhà nước đã giải thích rõ ràng, minh bạch về lý do và mục tiêu của việc sửa đổi thuế lần này. - HUMAN-TRU4]]</f>
        <v>6</v>
      </c>
      <c r="AZ186">
        <f t="shared" si="73"/>
        <v>0.55555555555555558</v>
      </c>
      <c r="BA186" s="32">
        <f t="shared" si="74"/>
        <v>0.83333333333333326</v>
      </c>
      <c r="BB186" s="32">
        <f t="shared" si="75"/>
        <v>0.47222222222222221</v>
      </c>
      <c r="BC186" s="7">
        <f t="shared" si="76"/>
        <v>0.85185185185185175</v>
      </c>
      <c r="BD186" s="7">
        <f t="shared" si="77"/>
        <v>0.60185185185185197</v>
      </c>
      <c r="BE186">
        <f>step3_validation[[#This Row],[AI_OUT1]]</f>
        <v>8</v>
      </c>
      <c r="BF186">
        <f t="shared" si="78"/>
        <v>0.77777777777777779</v>
      </c>
      <c r="BG186">
        <f>survey_responses[[#This Row],[Sau khi xem xét các quyền lợi và nghĩa vụ, bạn có ủng hộ và tuân thủ chính sách mới hiện nay? - HUMAN-OUT1]]</f>
        <v>5</v>
      </c>
      <c r="BH186">
        <f t="shared" si="79"/>
        <v>0.44444444444444442</v>
      </c>
      <c r="BI186" s="32">
        <f t="shared" si="80"/>
        <v>3</v>
      </c>
    </row>
    <row r="187" spans="1:61" x14ac:dyDescent="0.45">
      <c r="A187" s="30">
        <f>step3_validation[[#This Row],[Persona_ID]]</f>
        <v>186</v>
      </c>
      <c r="B187" s="31">
        <f>step3_validation[[#This Row],[Used_Seed]]</f>
        <v>2211</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15.882232999897195</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6</v>
      </c>
      <c r="R187">
        <f t="shared" si="54"/>
        <v>0.55555555555555558</v>
      </c>
      <c r="S187">
        <f>survey_responses[[#This Row],[Tôi tin rằng với các quy định quản lý thuế hiện nay, hành vi gian lận hoặc trốn thuế sẽ dễ dàng bị phát hiện và xử lý nghiêm. - HUMAN-ENF1]]</f>
        <v>7</v>
      </c>
      <c r="T187">
        <f t="shared" si="55"/>
        <v>0.66666666666666663</v>
      </c>
      <c r="U187">
        <f>step3_validation[[#This Row],[AI_ENF2]]</f>
        <v>6</v>
      </c>
      <c r="V187">
        <f t="shared" si="56"/>
        <v>0.55555555555555558</v>
      </c>
      <c r="W187">
        <f>survey_responses[[#This Row],[Tôi tin rằng Nhà nước, cơ quan thuế có đủ khả năng và công nghệ để phát hiện, xử lý nghiêm các hành vi trốn thuế. - HUMAN-ENF2]]</f>
        <v>7</v>
      </c>
      <c r="X187">
        <f t="shared" si="57"/>
        <v>0.66666666666666663</v>
      </c>
      <c r="Y187" s="32">
        <f t="shared" si="58"/>
        <v>0.55555555555555558</v>
      </c>
      <c r="Z187" s="32">
        <f t="shared" si="59"/>
        <v>0.66666666666666663</v>
      </c>
      <c r="AA187">
        <f>step3_validation[[#This Row],[AI_FAC1]]</f>
        <v>8</v>
      </c>
      <c r="AB187">
        <f t="shared" si="60"/>
        <v>0.77777777777777779</v>
      </c>
      <c r="AC187">
        <f>survey_responses[[#This Row],[Các thủ tục khai báo thuế VÀ/HOẶC quy trình làm việc với cơ quan thuế đơn giản, tiện lợi, nhanh chóng hơn so với trước đây. - HUMAN-FAC1]]</f>
        <v>5</v>
      </c>
      <c r="AD187">
        <f t="shared" si="61"/>
        <v>0.44444444444444442</v>
      </c>
      <c r="AE187">
        <f>step3_validation[[#This Row],[AI_FAC2]]</f>
        <v>7</v>
      </c>
      <c r="AF187">
        <f t="shared" si="62"/>
        <v>0.66666666666666663</v>
      </c>
      <c r="AG187">
        <f>survey_responses[[#This Row],[So với trước đây, tôi thấy cách tính thuế và các bậc thuế trong phương án mới đơn giản, dễ hiểu và dễ thực hiện hơn. - HUMAN-FAC2]]</f>
        <v>7</v>
      </c>
      <c r="AH187">
        <f t="shared" si="63"/>
        <v>0.66666666666666663</v>
      </c>
      <c r="AI187" s="32">
        <f t="shared" si="64"/>
        <v>0.72222222222222221</v>
      </c>
      <c r="AJ187" s="32">
        <f t="shared" si="65"/>
        <v>0.55555555555555558</v>
      </c>
      <c r="AK187">
        <f>step3_validation[[#This Row],[AI_TRU1]]</f>
        <v>5</v>
      </c>
      <c r="AL187">
        <f t="shared" si="66"/>
        <v>0.44444444444444442</v>
      </c>
      <c r="AM187">
        <f>survey_responses[[#This Row],[Tôi tin rằng Nhà nước, cơ quan thuế sẽ thực thi chính sách mới một cách khách quan, công tâm và đối xử bình đẳng với mọi người nộp thuế.  - HUMAN-TRU1]]</f>
        <v>5</v>
      </c>
      <c r="AN187">
        <f t="shared" si="67"/>
        <v>0.44444444444444442</v>
      </c>
      <c r="AO187">
        <f>step3_validation[[#This Row],[AI_TRU2]]</f>
        <v>9</v>
      </c>
      <c r="AP187">
        <f t="shared" si="68"/>
        <v>0.88888888888888884</v>
      </c>
      <c r="AQ187">
        <f>survey_responses[[#This Row],[Tôi thấy mức thuế tôi phải đóng theo phương án mới là công bằng (người thu nhập như tôi đóng mức này là hợp lý). - HUMAN-TRU2]]</f>
        <v>5</v>
      </c>
      <c r="AR187">
        <f t="shared" si="69"/>
        <v>0.44444444444444442</v>
      </c>
      <c r="AS187">
        <f>step3_validation[[#This Row],[AI_TRU3]]</f>
        <v>8</v>
      </c>
      <c r="AT187">
        <f t="shared" si="70"/>
        <v>0.77777777777777779</v>
      </c>
      <c r="AU187">
        <f>survey_responses[[#This Row],[Tôi tin tưởng số tiền thuế tôi đóng sẽ được Nhà nước sử dụng hiệu quả để cải thiện dịch vụ công (y tế, đường xá...). - HUMAN-TRU3]]</f>
        <v>5</v>
      </c>
      <c r="AV187">
        <f t="shared" si="71"/>
        <v>0.44444444444444442</v>
      </c>
      <c r="AW187">
        <f>step3_validation[[#This Row],[AI_TRU4]]</f>
        <v>6</v>
      </c>
      <c r="AX187">
        <f t="shared" si="72"/>
        <v>0.55555555555555558</v>
      </c>
      <c r="AY187">
        <f>survey_responses[[#This Row],[Tôi thấy Nhà nước đã giải thích rõ ràng, minh bạch về lý do và mục tiêu của việc sửa đổi thuế lần này. - HUMAN-TRU4]]</f>
        <v>5</v>
      </c>
      <c r="AZ187">
        <f t="shared" si="73"/>
        <v>0.44444444444444442</v>
      </c>
      <c r="BA187" s="32">
        <f t="shared" si="74"/>
        <v>0.66666666666666674</v>
      </c>
      <c r="BB187" s="32">
        <f t="shared" si="75"/>
        <v>0.44444444444444442</v>
      </c>
      <c r="BC187" s="7">
        <f t="shared" si="76"/>
        <v>0.64814814814814814</v>
      </c>
      <c r="BD187" s="7">
        <f t="shared" si="77"/>
        <v>0.55555555555555558</v>
      </c>
      <c r="BE187">
        <f>step3_validation[[#This Row],[AI_OUT1]]</f>
        <v>9</v>
      </c>
      <c r="BF187">
        <f t="shared" si="78"/>
        <v>0.88888888888888884</v>
      </c>
      <c r="BG187">
        <f>survey_responses[[#This Row],[Sau khi xem xét các quyền lợi và nghĩa vụ, bạn có ủng hộ và tuân thủ chính sách mới hiện nay? - HUMAN-OUT1]]</f>
        <v>6</v>
      </c>
      <c r="BH187">
        <f t="shared" si="79"/>
        <v>0.55555555555555558</v>
      </c>
      <c r="BI187" s="32">
        <f t="shared" si="80"/>
        <v>3</v>
      </c>
    </row>
    <row r="188" spans="1:61" x14ac:dyDescent="0.45">
      <c r="A188" s="30">
        <f>step3_validation[[#This Row],[Persona_ID]]</f>
        <v>187</v>
      </c>
      <c r="B188" s="31">
        <f>step3_validation[[#This Row],[Used_Seed]]</f>
        <v>2212</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44.141240573551528</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7</v>
      </c>
      <c r="R188">
        <f t="shared" si="54"/>
        <v>0.66666666666666663</v>
      </c>
      <c r="S188">
        <f>survey_responses[[#This Row],[Tôi tin rằng với các quy định quản lý thuế hiện nay, hành vi gian lận hoặc trốn thuế sẽ dễ dàng bị phát hiện và xử lý nghiêm. - HUMAN-ENF1]]</f>
        <v>6</v>
      </c>
      <c r="T188">
        <f t="shared" si="55"/>
        <v>0.55555555555555558</v>
      </c>
      <c r="U188">
        <f>step3_validation[[#This Row],[AI_ENF2]]</f>
        <v>8</v>
      </c>
      <c r="V188">
        <f t="shared" si="56"/>
        <v>0.77777777777777779</v>
      </c>
      <c r="W188">
        <f>survey_responses[[#This Row],[Tôi tin rằng Nhà nước, cơ quan thuế có đủ khả năng và công nghệ để phát hiện, xử lý nghiêm các hành vi trốn thuế. - HUMAN-ENF2]]</f>
        <v>7</v>
      </c>
      <c r="X188">
        <f t="shared" si="57"/>
        <v>0.66666666666666663</v>
      </c>
      <c r="Y188" s="32">
        <f t="shared" si="58"/>
        <v>0.72222222222222221</v>
      </c>
      <c r="Z188" s="32">
        <f t="shared" si="59"/>
        <v>0.61111111111111116</v>
      </c>
      <c r="AA188">
        <f>step3_validation[[#This Row],[AI_FAC1]]</f>
        <v>7</v>
      </c>
      <c r="AB188">
        <f t="shared" si="60"/>
        <v>0.66666666666666663</v>
      </c>
      <c r="AC188">
        <f>survey_responses[[#This Row],[Các thủ tục khai báo thuế VÀ/HOẶC quy trình làm việc với cơ quan thuế đơn giản, tiện lợi, nhanh chóng hơn so với trước đây. - HUMAN-FAC1]]</f>
        <v>6</v>
      </c>
      <c r="AD188">
        <f t="shared" si="61"/>
        <v>0.55555555555555558</v>
      </c>
      <c r="AE188">
        <f>step3_validation[[#This Row],[AI_FAC2]]</f>
        <v>9</v>
      </c>
      <c r="AF188">
        <f t="shared" si="62"/>
        <v>0.88888888888888884</v>
      </c>
      <c r="AG188">
        <f>survey_responses[[#This Row],[So với trước đây, tôi thấy cách tính thuế và các bậc thuế trong phương án mới đơn giản, dễ hiểu và dễ thực hiện hơn. - HUMAN-FAC2]]</f>
        <v>7</v>
      </c>
      <c r="AH188">
        <f t="shared" si="63"/>
        <v>0.66666666666666663</v>
      </c>
      <c r="AI188" s="32">
        <f t="shared" si="64"/>
        <v>0.77777777777777768</v>
      </c>
      <c r="AJ188" s="32">
        <f t="shared" si="65"/>
        <v>0.61111111111111116</v>
      </c>
      <c r="AK188">
        <f>step3_validation[[#This Row],[AI_TRU1]]</f>
        <v>6</v>
      </c>
      <c r="AL188">
        <f t="shared" si="66"/>
        <v>0.55555555555555558</v>
      </c>
      <c r="AM188">
        <f>survey_responses[[#This Row],[Tôi tin rằng Nhà nước, cơ quan thuế sẽ thực thi chính sách mới một cách khách quan, công tâm và đối xử bình đẳng với mọi người nộp thuế.  - HUMAN-TRU1]]</f>
        <v>6</v>
      </c>
      <c r="AN188">
        <f t="shared" si="67"/>
        <v>0.55555555555555558</v>
      </c>
      <c r="AO188">
        <f>step3_validation[[#This Row],[AI_TRU2]]</f>
        <v>8</v>
      </c>
      <c r="AP188">
        <f t="shared" si="68"/>
        <v>0.77777777777777779</v>
      </c>
      <c r="AQ188">
        <f>survey_responses[[#This Row],[Tôi thấy mức thuế tôi phải đóng theo phương án mới là công bằng (người thu nhập như tôi đóng mức này là hợp lý). - HUMAN-TRU2]]</f>
        <v>6</v>
      </c>
      <c r="AR188">
        <f t="shared" si="69"/>
        <v>0.55555555555555558</v>
      </c>
      <c r="AS188">
        <f>step3_validation[[#This Row],[AI_TRU3]]</f>
        <v>6</v>
      </c>
      <c r="AT188">
        <f t="shared" si="70"/>
        <v>0.55555555555555558</v>
      </c>
      <c r="AU188">
        <f>survey_responses[[#This Row],[Tôi tin tưởng số tiền thuế tôi đóng sẽ được Nhà nước sử dụng hiệu quả để cải thiện dịch vụ công (y tế, đường xá...). - HUMAN-TRU3]]</f>
        <v>5</v>
      </c>
      <c r="AV188">
        <f t="shared" si="71"/>
        <v>0.44444444444444442</v>
      </c>
      <c r="AW188">
        <f>step3_validation[[#This Row],[AI_TRU4]]</f>
        <v>7</v>
      </c>
      <c r="AX188">
        <f t="shared" si="72"/>
        <v>0.66666666666666663</v>
      </c>
      <c r="AY188">
        <f>survey_responses[[#This Row],[Tôi thấy Nhà nước đã giải thích rõ ràng, minh bạch về lý do và mục tiêu của việc sửa đổi thuế lần này. - HUMAN-TRU4]]</f>
        <v>5</v>
      </c>
      <c r="AZ188">
        <f t="shared" si="73"/>
        <v>0.44444444444444442</v>
      </c>
      <c r="BA188" s="32">
        <f t="shared" si="74"/>
        <v>0.63888888888888895</v>
      </c>
      <c r="BB188" s="32">
        <f t="shared" si="75"/>
        <v>0.5</v>
      </c>
      <c r="BC188" s="7">
        <f t="shared" si="76"/>
        <v>0.71296296296296291</v>
      </c>
      <c r="BD188" s="7">
        <f t="shared" si="77"/>
        <v>0.57407407407407407</v>
      </c>
      <c r="BE188">
        <f>step3_validation[[#This Row],[AI_OUT1]]</f>
        <v>8</v>
      </c>
      <c r="BF188">
        <f t="shared" si="78"/>
        <v>0.77777777777777779</v>
      </c>
      <c r="BG188">
        <f>survey_responses[[#This Row],[Sau khi xem xét các quyền lợi và nghĩa vụ, bạn có ủng hộ và tuân thủ chính sách mới hiện nay? - HUMAN-OUT1]]</f>
        <v>6</v>
      </c>
      <c r="BH188">
        <f t="shared" si="79"/>
        <v>0.55555555555555558</v>
      </c>
      <c r="BI188" s="32">
        <f t="shared" si="80"/>
        <v>2</v>
      </c>
    </row>
    <row r="189" spans="1:61" x14ac:dyDescent="0.45">
      <c r="A189" s="30">
        <f>step3_validation[[#This Row],[Persona_ID]]</f>
        <v>188</v>
      </c>
      <c r="B189" s="31">
        <f>step3_validation[[#This Row],[Used_Seed]]</f>
        <v>2213</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29.826746547450107</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7</v>
      </c>
      <c r="R189">
        <f t="shared" si="54"/>
        <v>0.66666666666666663</v>
      </c>
      <c r="S189">
        <f>survey_responses[[#This Row],[Tôi tin rằng với các quy định quản lý thuế hiện nay, hành vi gian lận hoặc trốn thuế sẽ dễ dàng bị phát hiện và xử lý nghiêm. - HUMAN-ENF1]]</f>
        <v>5</v>
      </c>
      <c r="T189">
        <f t="shared" si="55"/>
        <v>0.44444444444444442</v>
      </c>
      <c r="U189">
        <f>step3_validation[[#This Row],[AI_ENF2]]</f>
        <v>6</v>
      </c>
      <c r="V189">
        <f t="shared" si="56"/>
        <v>0.55555555555555558</v>
      </c>
      <c r="W189">
        <f>survey_responses[[#This Row],[Tôi tin rằng Nhà nước, cơ quan thuế có đủ khả năng và công nghệ để phát hiện, xử lý nghiêm các hành vi trốn thuế. - HUMAN-ENF2]]</f>
        <v>5</v>
      </c>
      <c r="X189">
        <f t="shared" si="57"/>
        <v>0.44444444444444442</v>
      </c>
      <c r="Y189" s="32">
        <f t="shared" si="58"/>
        <v>0.61111111111111116</v>
      </c>
      <c r="Z189" s="32">
        <f t="shared" si="59"/>
        <v>0.44444444444444442</v>
      </c>
      <c r="AA189">
        <f>step3_validation[[#This Row],[AI_FAC1]]</f>
        <v>8</v>
      </c>
      <c r="AB189">
        <f t="shared" si="60"/>
        <v>0.77777777777777779</v>
      </c>
      <c r="AC189">
        <f>survey_responses[[#This Row],[Các thủ tục khai báo thuế VÀ/HOẶC quy trình làm việc với cơ quan thuế đơn giản, tiện lợi, nhanh chóng hơn so với trước đây. - HUMAN-FAC1]]</f>
        <v>4</v>
      </c>
      <c r="AD189">
        <f t="shared" si="61"/>
        <v>0.33333333333333331</v>
      </c>
      <c r="AE189">
        <f>step3_validation[[#This Row],[AI_FAC2]]</f>
        <v>9</v>
      </c>
      <c r="AF189">
        <f t="shared" si="62"/>
        <v>0.88888888888888884</v>
      </c>
      <c r="AG189">
        <f>survey_responses[[#This Row],[So với trước đây, tôi thấy cách tính thuế và các bậc thuế trong phương án mới đơn giản, dễ hiểu và dễ thực hiện hơn. - HUMAN-FAC2]]</f>
        <v>6</v>
      </c>
      <c r="AH189">
        <f t="shared" si="63"/>
        <v>0.55555555555555558</v>
      </c>
      <c r="AI189" s="32">
        <f t="shared" si="64"/>
        <v>0.83333333333333326</v>
      </c>
      <c r="AJ189" s="32">
        <f t="shared" si="65"/>
        <v>0.44444444444444442</v>
      </c>
      <c r="AK189">
        <f>step3_validation[[#This Row],[AI_TRU1]]</f>
        <v>6</v>
      </c>
      <c r="AL189">
        <f t="shared" si="66"/>
        <v>0.55555555555555558</v>
      </c>
      <c r="AM189">
        <f>survey_responses[[#This Row],[Tôi tin rằng Nhà nước, cơ quan thuế sẽ thực thi chính sách mới một cách khách quan, công tâm và đối xử bình đẳng với mọi người nộp thuế.  - HUMAN-TRU1]]</f>
        <v>5</v>
      </c>
      <c r="AN189">
        <f t="shared" si="67"/>
        <v>0.44444444444444442</v>
      </c>
      <c r="AO189">
        <f>step3_validation[[#This Row],[AI_TRU2]]</f>
        <v>9</v>
      </c>
      <c r="AP189">
        <f t="shared" si="68"/>
        <v>0.88888888888888884</v>
      </c>
      <c r="AQ189">
        <f>survey_responses[[#This Row],[Tôi thấy mức thuế tôi phải đóng theo phương án mới là công bằng (người thu nhập như tôi đóng mức này là hợp lý). - HUMAN-TRU2]]</f>
        <v>5</v>
      </c>
      <c r="AR189">
        <f t="shared" si="69"/>
        <v>0.44444444444444442</v>
      </c>
      <c r="AS189">
        <f>step3_validation[[#This Row],[AI_TRU3]]</f>
        <v>8</v>
      </c>
      <c r="AT189">
        <f t="shared" si="70"/>
        <v>0.77777777777777779</v>
      </c>
      <c r="AU189">
        <f>survey_responses[[#This Row],[Tôi tin tưởng số tiền thuế tôi đóng sẽ được Nhà nước sử dụng hiệu quả để cải thiện dịch vụ công (y tế, đường xá...). - HUMAN-TRU3]]</f>
        <v>5</v>
      </c>
      <c r="AV189">
        <f t="shared" si="71"/>
        <v>0.44444444444444442</v>
      </c>
      <c r="AW189">
        <f>step3_validation[[#This Row],[AI_TRU4]]</f>
        <v>7</v>
      </c>
      <c r="AX189">
        <f t="shared" si="72"/>
        <v>0.66666666666666663</v>
      </c>
      <c r="AY189">
        <f>survey_responses[[#This Row],[Tôi thấy Nhà nước đã giải thích rõ ràng, minh bạch về lý do và mục tiêu của việc sửa đổi thuế lần này. - HUMAN-TRU4]]</f>
        <v>5</v>
      </c>
      <c r="AZ189">
        <f t="shared" si="73"/>
        <v>0.44444444444444442</v>
      </c>
      <c r="BA189" s="32">
        <f t="shared" si="74"/>
        <v>0.72222222222222221</v>
      </c>
      <c r="BB189" s="32">
        <f t="shared" si="75"/>
        <v>0.44444444444444442</v>
      </c>
      <c r="BC189" s="7">
        <f t="shared" si="76"/>
        <v>0.72222222222222221</v>
      </c>
      <c r="BD189" s="7">
        <f t="shared" si="77"/>
        <v>0.44444444444444442</v>
      </c>
      <c r="BE189">
        <f>step3_validation[[#This Row],[AI_OUT1]]</f>
        <v>8</v>
      </c>
      <c r="BF189">
        <f t="shared" si="78"/>
        <v>0.77777777777777779</v>
      </c>
      <c r="BG189">
        <f>survey_responses[[#This Row],[Sau khi xem xét các quyền lợi và nghĩa vụ, bạn có ủng hộ và tuân thủ chính sách mới hiện nay? - HUMAN-OUT1]]</f>
        <v>5</v>
      </c>
      <c r="BH189">
        <f t="shared" si="79"/>
        <v>0.44444444444444442</v>
      </c>
      <c r="BI189" s="32">
        <f t="shared" si="80"/>
        <v>3</v>
      </c>
    </row>
    <row r="190" spans="1:61" x14ac:dyDescent="0.45">
      <c r="A190" s="30">
        <f>step3_validation[[#This Row],[Persona_ID]]</f>
        <v>189</v>
      </c>
      <c r="B190" s="31">
        <f>step3_validation[[#This Row],[Used_Seed]]</f>
        <v>2214</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54.0873404483496</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9</v>
      </c>
      <c r="R190">
        <f t="shared" si="54"/>
        <v>0.88888888888888884</v>
      </c>
      <c r="S190">
        <f>survey_responses[[#This Row],[Tôi tin rằng với các quy định quản lý thuế hiện nay, hành vi gian lận hoặc trốn thuế sẽ dễ dàng bị phát hiện và xử lý nghiêm. - HUMAN-ENF1]]</f>
        <v>8</v>
      </c>
      <c r="T190">
        <f t="shared" si="55"/>
        <v>0.77777777777777779</v>
      </c>
      <c r="U190">
        <f>step3_validation[[#This Row],[AI_ENF2]]</f>
        <v>8</v>
      </c>
      <c r="V190">
        <f t="shared" si="56"/>
        <v>0.77777777777777779</v>
      </c>
      <c r="W190">
        <f>survey_responses[[#This Row],[Tôi tin rằng Nhà nước, cơ quan thuế có đủ khả năng và công nghệ để phát hiện, xử lý nghiêm các hành vi trốn thuế. - HUMAN-ENF2]]</f>
        <v>8</v>
      </c>
      <c r="X190">
        <f t="shared" si="57"/>
        <v>0.77777777777777779</v>
      </c>
      <c r="Y190" s="32">
        <f t="shared" si="58"/>
        <v>0.83333333333333326</v>
      </c>
      <c r="Z190" s="32">
        <f t="shared" si="59"/>
        <v>0.77777777777777779</v>
      </c>
      <c r="AA190">
        <f>step3_validation[[#This Row],[AI_FAC1]]</f>
        <v>9</v>
      </c>
      <c r="AB190">
        <f t="shared" si="60"/>
        <v>0.88888888888888884</v>
      </c>
      <c r="AC190">
        <f>survey_responses[[#This Row],[Các thủ tục khai báo thuế VÀ/HOẶC quy trình làm việc với cơ quan thuế đơn giản, tiện lợi, nhanh chóng hơn so với trước đây. - HUMAN-FAC1]]</f>
        <v>5</v>
      </c>
      <c r="AD190">
        <f t="shared" si="61"/>
        <v>0.44444444444444442</v>
      </c>
      <c r="AE190">
        <f>step3_validation[[#This Row],[AI_FAC2]]</f>
        <v>10</v>
      </c>
      <c r="AF190">
        <f t="shared" si="62"/>
        <v>1</v>
      </c>
      <c r="AG190">
        <f>survey_responses[[#This Row],[So với trước đây, tôi thấy cách tính thuế và các bậc thuế trong phương án mới đơn giản, dễ hiểu và dễ thực hiện hơn. - HUMAN-FAC2]]</f>
        <v>7</v>
      </c>
      <c r="AH190">
        <f t="shared" si="63"/>
        <v>0.66666666666666663</v>
      </c>
      <c r="AI190" s="32">
        <f t="shared" si="64"/>
        <v>0.94444444444444442</v>
      </c>
      <c r="AJ190" s="32">
        <f t="shared" si="65"/>
        <v>0.55555555555555558</v>
      </c>
      <c r="AK190">
        <f>step3_validation[[#This Row],[AI_TRU1]]</f>
        <v>9</v>
      </c>
      <c r="AL190">
        <f t="shared" si="66"/>
        <v>0.88888888888888884</v>
      </c>
      <c r="AM190">
        <f>survey_responses[[#This Row],[Tôi tin rằng Nhà nước, cơ quan thuế sẽ thực thi chính sách mới một cách khách quan, công tâm và đối xử bình đẳng với mọi người nộp thuế.  - HUMAN-TRU1]]</f>
        <v>6</v>
      </c>
      <c r="AN190">
        <f t="shared" si="67"/>
        <v>0.55555555555555558</v>
      </c>
      <c r="AO190">
        <f>step3_validation[[#This Row],[AI_TRU2]]</f>
        <v>9</v>
      </c>
      <c r="AP190">
        <f t="shared" si="68"/>
        <v>0.88888888888888884</v>
      </c>
      <c r="AQ190">
        <f>survey_responses[[#This Row],[Tôi thấy mức thuế tôi phải đóng theo phương án mới là công bằng (người thu nhập như tôi đóng mức này là hợp lý). - HUMAN-TRU2]]</f>
        <v>8</v>
      </c>
      <c r="AR190">
        <f t="shared" si="69"/>
        <v>0.77777777777777779</v>
      </c>
      <c r="AS190">
        <f>step3_validation[[#This Row],[AI_TRU3]]</f>
        <v>8</v>
      </c>
      <c r="AT190">
        <f t="shared" si="70"/>
        <v>0.77777777777777779</v>
      </c>
      <c r="AU190">
        <f>survey_responses[[#This Row],[Tôi tin tưởng số tiền thuế tôi đóng sẽ được Nhà nước sử dụng hiệu quả để cải thiện dịch vụ công (y tế, đường xá...). - HUMAN-TRU3]]</f>
        <v>5</v>
      </c>
      <c r="AV190">
        <f t="shared" si="71"/>
        <v>0.44444444444444442</v>
      </c>
      <c r="AW190">
        <f>step3_validation[[#This Row],[AI_TRU4]]</f>
        <v>9</v>
      </c>
      <c r="AX190">
        <f t="shared" si="72"/>
        <v>0.88888888888888884</v>
      </c>
      <c r="AY190">
        <f>survey_responses[[#This Row],[Tôi thấy Nhà nước đã giải thích rõ ràng, minh bạch về lý do và mục tiêu của việc sửa đổi thuế lần này. - HUMAN-TRU4]]</f>
        <v>7</v>
      </c>
      <c r="AZ190">
        <f t="shared" si="73"/>
        <v>0.66666666666666663</v>
      </c>
      <c r="BA190" s="32">
        <f t="shared" si="74"/>
        <v>0.86111111111111105</v>
      </c>
      <c r="BB190" s="32">
        <f t="shared" si="75"/>
        <v>0.61111111111111116</v>
      </c>
      <c r="BC190" s="7">
        <f t="shared" si="76"/>
        <v>0.87962962962962965</v>
      </c>
      <c r="BD190" s="7">
        <f t="shared" si="77"/>
        <v>0.64814814814814825</v>
      </c>
      <c r="BE190">
        <f>step3_validation[[#This Row],[AI_OUT1]]</f>
        <v>9</v>
      </c>
      <c r="BF190">
        <f t="shared" si="78"/>
        <v>0.88888888888888884</v>
      </c>
      <c r="BG190">
        <f>survey_responses[[#This Row],[Sau khi xem xét các quyền lợi và nghĩa vụ, bạn có ủng hộ và tuân thủ chính sách mới hiện nay? - HUMAN-OUT1]]</f>
        <v>8</v>
      </c>
      <c r="BH190">
        <f t="shared" si="79"/>
        <v>0.77777777777777779</v>
      </c>
      <c r="BI190" s="32">
        <f t="shared" si="80"/>
        <v>1</v>
      </c>
    </row>
    <row r="191" spans="1:61" x14ac:dyDescent="0.45">
      <c r="A191" s="30">
        <f>step3_validation[[#This Row],[Persona_ID]]</f>
        <v>190</v>
      </c>
      <c r="B191" s="31">
        <f>step3_validation[[#This Row],[Used_Seed]]</f>
        <v>2215</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29.08783472951399</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7</v>
      </c>
      <c r="R191">
        <f t="shared" si="54"/>
        <v>0.66666666666666663</v>
      </c>
      <c r="S191">
        <f>survey_responses[[#This Row],[Tôi tin rằng với các quy định quản lý thuế hiện nay, hành vi gian lận hoặc trốn thuế sẽ dễ dàng bị phát hiện và xử lý nghiêm. - HUMAN-ENF1]]</f>
        <v>7</v>
      </c>
      <c r="T191">
        <f t="shared" si="55"/>
        <v>0.66666666666666663</v>
      </c>
      <c r="U191">
        <f>step3_validation[[#This Row],[AI_ENF2]]</f>
        <v>6</v>
      </c>
      <c r="V191">
        <f t="shared" si="56"/>
        <v>0.55555555555555558</v>
      </c>
      <c r="W191">
        <f>survey_responses[[#This Row],[Tôi tin rằng Nhà nước, cơ quan thuế có đủ khả năng và công nghệ để phát hiện, xử lý nghiêm các hành vi trốn thuế. - HUMAN-ENF2]]</f>
        <v>7</v>
      </c>
      <c r="X191">
        <f t="shared" si="57"/>
        <v>0.66666666666666663</v>
      </c>
      <c r="Y191" s="32">
        <f t="shared" si="58"/>
        <v>0.61111111111111116</v>
      </c>
      <c r="Z191" s="32">
        <f t="shared" si="59"/>
        <v>0.66666666666666663</v>
      </c>
      <c r="AA191">
        <f>step3_validation[[#This Row],[AI_FAC1]]</f>
        <v>9</v>
      </c>
      <c r="AB191">
        <f t="shared" si="60"/>
        <v>0.88888888888888884</v>
      </c>
      <c r="AC191">
        <f>survey_responses[[#This Row],[Các thủ tục khai báo thuế VÀ/HOẶC quy trình làm việc với cơ quan thuế đơn giản, tiện lợi, nhanh chóng hơn so với trước đây. - HUMAN-FAC1]]</f>
        <v>7</v>
      </c>
      <c r="AD191">
        <f t="shared" si="61"/>
        <v>0.66666666666666663</v>
      </c>
      <c r="AE191">
        <f>step3_validation[[#This Row],[AI_FAC2]]</f>
        <v>8</v>
      </c>
      <c r="AF191">
        <f t="shared" si="62"/>
        <v>0.77777777777777779</v>
      </c>
      <c r="AG191">
        <f>survey_responses[[#This Row],[So với trước đây, tôi thấy cách tính thuế và các bậc thuế trong phương án mới đơn giản, dễ hiểu và dễ thực hiện hơn. - HUMAN-FAC2]]</f>
        <v>8</v>
      </c>
      <c r="AH191">
        <f t="shared" si="63"/>
        <v>0.77777777777777779</v>
      </c>
      <c r="AI191" s="32">
        <f t="shared" si="64"/>
        <v>0.83333333333333326</v>
      </c>
      <c r="AJ191" s="32">
        <f t="shared" si="65"/>
        <v>0.72222222222222221</v>
      </c>
      <c r="AK191">
        <f>step3_validation[[#This Row],[AI_TRU1]]</f>
        <v>9</v>
      </c>
      <c r="AL191">
        <f t="shared" si="66"/>
        <v>0.88888888888888884</v>
      </c>
      <c r="AM191">
        <f>survey_responses[[#This Row],[Tôi tin rằng Nhà nước, cơ quan thuế sẽ thực thi chính sách mới một cách khách quan, công tâm và đối xử bình đẳng với mọi người nộp thuế.  - HUMAN-TRU1]]</f>
        <v>3</v>
      </c>
      <c r="AN191">
        <f t="shared" si="67"/>
        <v>0.22222222222222221</v>
      </c>
      <c r="AO191">
        <f>step3_validation[[#This Row],[AI_TRU2]]</f>
        <v>8</v>
      </c>
      <c r="AP191">
        <f t="shared" si="68"/>
        <v>0.77777777777777779</v>
      </c>
      <c r="AQ191">
        <f>survey_responses[[#This Row],[Tôi thấy mức thuế tôi phải đóng theo phương án mới là công bằng (người thu nhập như tôi đóng mức này là hợp lý). - HUMAN-TRU2]]</f>
        <v>3</v>
      </c>
      <c r="AR191">
        <f t="shared" si="69"/>
        <v>0.22222222222222221</v>
      </c>
      <c r="AS191">
        <f>step3_validation[[#This Row],[AI_TRU3]]</f>
        <v>9</v>
      </c>
      <c r="AT191">
        <f t="shared" si="70"/>
        <v>0.88888888888888884</v>
      </c>
      <c r="AU191">
        <f>survey_responses[[#This Row],[Tôi tin tưởng số tiền thuế tôi đóng sẽ được Nhà nước sử dụng hiệu quả để cải thiện dịch vụ công (y tế, đường xá...). - HUMAN-TRU3]]</f>
        <v>2</v>
      </c>
      <c r="AV191">
        <f t="shared" si="71"/>
        <v>0.1111111111111111</v>
      </c>
      <c r="AW191">
        <f>step3_validation[[#This Row],[AI_TRU4]]</f>
        <v>7</v>
      </c>
      <c r="AX191">
        <f t="shared" si="72"/>
        <v>0.66666666666666663</v>
      </c>
      <c r="AY191">
        <f>survey_responses[[#This Row],[Tôi thấy Nhà nước đã giải thích rõ ràng, minh bạch về lý do và mục tiêu của việc sửa đổi thuế lần này. - HUMAN-TRU4]]</f>
        <v>3</v>
      </c>
      <c r="AZ191">
        <f t="shared" si="73"/>
        <v>0.22222222222222221</v>
      </c>
      <c r="BA191" s="32">
        <f t="shared" si="74"/>
        <v>0.80555555555555547</v>
      </c>
      <c r="BB191" s="32">
        <f t="shared" si="75"/>
        <v>0.19444444444444445</v>
      </c>
      <c r="BC191" s="7">
        <f t="shared" si="76"/>
        <v>0.75</v>
      </c>
      <c r="BD191" s="7">
        <f t="shared" si="77"/>
        <v>0.52777777777777779</v>
      </c>
      <c r="BE191">
        <f>step3_validation[[#This Row],[AI_OUT1]]</f>
        <v>9</v>
      </c>
      <c r="BF191">
        <f t="shared" si="78"/>
        <v>0.88888888888888884</v>
      </c>
      <c r="BG191">
        <f>survey_responses[[#This Row],[Sau khi xem xét các quyền lợi và nghĩa vụ, bạn có ủng hộ và tuân thủ chính sách mới hiện nay? - HUMAN-OUT1]]</f>
        <v>8</v>
      </c>
      <c r="BH191">
        <f t="shared" si="79"/>
        <v>0.77777777777777779</v>
      </c>
      <c r="BI191" s="32">
        <f t="shared" si="80"/>
        <v>1</v>
      </c>
    </row>
    <row r="192" spans="1:61" x14ac:dyDescent="0.45">
      <c r="A192" s="30">
        <f>step3_validation[[#This Row],[Persona_ID]]</f>
        <v>191</v>
      </c>
      <c r="B192" s="31">
        <f>step3_validation[[#This Row],[Used_Seed]]</f>
        <v>2216</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57.534023892659114</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9</v>
      </c>
      <c r="R192">
        <f t="shared" si="54"/>
        <v>0.88888888888888884</v>
      </c>
      <c r="S192">
        <f>survey_responses[[#This Row],[Tôi tin rằng với các quy định quản lý thuế hiện nay, hành vi gian lận hoặc trốn thuế sẽ dễ dàng bị phát hiện và xử lý nghiêm. - HUMAN-ENF1]]</f>
        <v>7</v>
      </c>
      <c r="T192">
        <f t="shared" si="55"/>
        <v>0.66666666666666663</v>
      </c>
      <c r="U192">
        <f>step3_validation[[#This Row],[AI_ENF2]]</f>
        <v>8</v>
      </c>
      <c r="V192">
        <f t="shared" si="56"/>
        <v>0.77777777777777779</v>
      </c>
      <c r="W192">
        <f>survey_responses[[#This Row],[Tôi tin rằng Nhà nước, cơ quan thuế có đủ khả năng và công nghệ để phát hiện, xử lý nghiêm các hành vi trốn thuế. - HUMAN-ENF2]]</f>
        <v>7</v>
      </c>
      <c r="X192">
        <f t="shared" si="57"/>
        <v>0.66666666666666663</v>
      </c>
      <c r="Y192" s="32">
        <f t="shared" si="58"/>
        <v>0.83333333333333326</v>
      </c>
      <c r="Z192" s="32">
        <f t="shared" si="59"/>
        <v>0.66666666666666663</v>
      </c>
      <c r="AA192">
        <f>step3_validation[[#This Row],[AI_FAC1]]</f>
        <v>9</v>
      </c>
      <c r="AB192">
        <f t="shared" si="60"/>
        <v>0.88888888888888884</v>
      </c>
      <c r="AC192">
        <f>survey_responses[[#This Row],[Các thủ tục khai báo thuế VÀ/HOẶC quy trình làm việc với cơ quan thuế đơn giản, tiện lợi, nhanh chóng hơn so với trước đây. - HUMAN-FAC1]]</f>
        <v>6</v>
      </c>
      <c r="AD192">
        <f t="shared" si="61"/>
        <v>0.55555555555555558</v>
      </c>
      <c r="AE192">
        <f>step3_validation[[#This Row],[AI_FAC2]]</f>
        <v>8</v>
      </c>
      <c r="AF192">
        <f t="shared" si="62"/>
        <v>0.77777777777777779</v>
      </c>
      <c r="AG192">
        <f>survey_responses[[#This Row],[So với trước đây, tôi thấy cách tính thuế và các bậc thuế trong phương án mới đơn giản, dễ hiểu và dễ thực hiện hơn. - HUMAN-FAC2]]</f>
        <v>8</v>
      </c>
      <c r="AH192">
        <f t="shared" si="63"/>
        <v>0.77777777777777779</v>
      </c>
      <c r="AI192" s="32">
        <f t="shared" si="64"/>
        <v>0.83333333333333326</v>
      </c>
      <c r="AJ192" s="32">
        <f t="shared" si="65"/>
        <v>0.66666666666666674</v>
      </c>
      <c r="AK192">
        <f>step3_validation[[#This Row],[AI_TRU1]]</f>
        <v>7</v>
      </c>
      <c r="AL192">
        <f t="shared" si="66"/>
        <v>0.66666666666666663</v>
      </c>
      <c r="AM192">
        <f>survey_responses[[#This Row],[Tôi tin rằng Nhà nước, cơ quan thuế sẽ thực thi chính sách mới một cách khách quan, công tâm và đối xử bình đẳng với mọi người nộp thuế.  - HUMAN-TRU1]]</f>
        <v>7</v>
      </c>
      <c r="AN192">
        <f t="shared" si="67"/>
        <v>0.66666666666666663</v>
      </c>
      <c r="AO192">
        <f>step3_validation[[#This Row],[AI_TRU2]]</f>
        <v>8</v>
      </c>
      <c r="AP192">
        <f t="shared" si="68"/>
        <v>0.77777777777777779</v>
      </c>
      <c r="AQ192">
        <f>survey_responses[[#This Row],[Tôi thấy mức thuế tôi phải đóng theo phương án mới là công bằng (người thu nhập như tôi đóng mức này là hợp lý). - HUMAN-TRU2]]</f>
        <v>8</v>
      </c>
      <c r="AR192">
        <f t="shared" si="69"/>
        <v>0.77777777777777779</v>
      </c>
      <c r="AS192">
        <f>step3_validation[[#This Row],[AI_TRU3]]</f>
        <v>7</v>
      </c>
      <c r="AT192">
        <f t="shared" si="70"/>
        <v>0.66666666666666663</v>
      </c>
      <c r="AU192">
        <f>survey_responses[[#This Row],[Tôi tin tưởng số tiền thuế tôi đóng sẽ được Nhà nước sử dụng hiệu quả để cải thiện dịch vụ công (y tế, đường xá...). - HUMAN-TRU3]]</f>
        <v>7</v>
      </c>
      <c r="AV192">
        <f t="shared" si="71"/>
        <v>0.66666666666666663</v>
      </c>
      <c r="AW192">
        <f>step3_validation[[#This Row],[AI_TRU4]]</f>
        <v>8</v>
      </c>
      <c r="AX192">
        <f t="shared" si="72"/>
        <v>0.77777777777777779</v>
      </c>
      <c r="AY192">
        <f>survey_responses[[#This Row],[Tôi thấy Nhà nước đã giải thích rõ ràng, minh bạch về lý do và mục tiêu của việc sửa đổi thuế lần này. - HUMAN-TRU4]]</f>
        <v>7</v>
      </c>
      <c r="AZ192">
        <f t="shared" si="73"/>
        <v>0.66666666666666663</v>
      </c>
      <c r="BA192" s="32">
        <f t="shared" si="74"/>
        <v>0.72222222222222221</v>
      </c>
      <c r="BB192" s="32">
        <f t="shared" si="75"/>
        <v>0.69444444444444442</v>
      </c>
      <c r="BC192" s="7">
        <f t="shared" si="76"/>
        <v>0.79629629629629628</v>
      </c>
      <c r="BD192" s="7">
        <f t="shared" si="77"/>
        <v>0.67592592592592593</v>
      </c>
      <c r="BE192">
        <f>step3_validation[[#This Row],[AI_OUT1]]</f>
        <v>9</v>
      </c>
      <c r="BF192">
        <f t="shared" si="78"/>
        <v>0.88888888888888884</v>
      </c>
      <c r="BG192">
        <f>survey_responses[[#This Row],[Sau khi xem xét các quyền lợi và nghĩa vụ, bạn có ủng hộ và tuân thủ chính sách mới hiện nay? - HUMAN-OUT1]]</f>
        <v>7</v>
      </c>
      <c r="BH192">
        <f t="shared" si="79"/>
        <v>0.66666666666666663</v>
      </c>
      <c r="BI192" s="32">
        <f t="shared" si="80"/>
        <v>2</v>
      </c>
    </row>
    <row r="193" spans="1:61" x14ac:dyDescent="0.45">
      <c r="A193" s="30">
        <f>step3_validation[[#This Row],[Persona_ID]]</f>
        <v>192</v>
      </c>
      <c r="B193" s="31">
        <f>step3_validation[[#This Row],[Used_Seed]]</f>
        <v>2217</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19.777293062118758</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7</v>
      </c>
      <c r="R193">
        <f t="shared" si="54"/>
        <v>0.66666666666666663</v>
      </c>
      <c r="S193">
        <f>survey_responses[[#This Row],[Tôi tin rằng với các quy định quản lý thuế hiện nay, hành vi gian lận hoặc trốn thuế sẽ dễ dàng bị phát hiện và xử lý nghiêm. - HUMAN-ENF1]]</f>
        <v>8</v>
      </c>
      <c r="T193">
        <f t="shared" si="55"/>
        <v>0.77777777777777779</v>
      </c>
      <c r="U193">
        <f>step3_validation[[#This Row],[AI_ENF2]]</f>
        <v>8</v>
      </c>
      <c r="V193">
        <f t="shared" si="56"/>
        <v>0.77777777777777779</v>
      </c>
      <c r="W193">
        <f>survey_responses[[#This Row],[Tôi tin rằng Nhà nước, cơ quan thuế có đủ khả năng và công nghệ để phát hiện, xử lý nghiêm các hành vi trốn thuế. - HUMAN-ENF2]]</f>
        <v>8</v>
      </c>
      <c r="X193">
        <f t="shared" si="57"/>
        <v>0.77777777777777779</v>
      </c>
      <c r="Y193" s="32">
        <f t="shared" si="58"/>
        <v>0.72222222222222221</v>
      </c>
      <c r="Z193" s="32">
        <f t="shared" si="59"/>
        <v>0.77777777777777779</v>
      </c>
      <c r="AA193">
        <f>step3_validation[[#This Row],[AI_FAC1]]</f>
        <v>6</v>
      </c>
      <c r="AB193">
        <f t="shared" si="60"/>
        <v>0.55555555555555558</v>
      </c>
      <c r="AC193">
        <f>survey_responses[[#This Row],[Các thủ tục khai báo thuế VÀ/HOẶC quy trình làm việc với cơ quan thuế đơn giản, tiện lợi, nhanh chóng hơn so với trước đây. - HUMAN-FAC1]]</f>
        <v>9</v>
      </c>
      <c r="AD193">
        <f t="shared" si="61"/>
        <v>0.88888888888888884</v>
      </c>
      <c r="AE193">
        <f>step3_validation[[#This Row],[AI_FAC2]]</f>
        <v>5</v>
      </c>
      <c r="AF193">
        <f t="shared" si="62"/>
        <v>0.44444444444444442</v>
      </c>
      <c r="AG193">
        <f>survey_responses[[#This Row],[So với trước đây, tôi thấy cách tính thuế và các bậc thuế trong phương án mới đơn giản, dễ hiểu và dễ thực hiện hơn. - HUMAN-FAC2]]</f>
        <v>9</v>
      </c>
      <c r="AH193">
        <f t="shared" si="63"/>
        <v>0.88888888888888884</v>
      </c>
      <c r="AI193" s="32">
        <f t="shared" si="64"/>
        <v>0.5</v>
      </c>
      <c r="AJ193" s="32">
        <f t="shared" si="65"/>
        <v>0.88888888888888884</v>
      </c>
      <c r="AK193">
        <f>step3_validation[[#This Row],[AI_TRU1]]</f>
        <v>7</v>
      </c>
      <c r="AL193">
        <f t="shared" si="66"/>
        <v>0.66666666666666663</v>
      </c>
      <c r="AM193">
        <f>survey_responses[[#This Row],[Tôi tin rằng Nhà nước, cơ quan thuế sẽ thực thi chính sách mới một cách khách quan, công tâm và đối xử bình đẳng với mọi người nộp thuế.  - HUMAN-TRU1]]</f>
        <v>9</v>
      </c>
      <c r="AN193">
        <f t="shared" si="67"/>
        <v>0.88888888888888884</v>
      </c>
      <c r="AO193">
        <f>step3_validation[[#This Row],[AI_TRU2]]</f>
        <v>6</v>
      </c>
      <c r="AP193">
        <f t="shared" si="68"/>
        <v>0.55555555555555558</v>
      </c>
      <c r="AQ193">
        <f>survey_responses[[#This Row],[Tôi thấy mức thuế tôi phải đóng theo phương án mới là công bằng (người thu nhập như tôi đóng mức này là hợp lý). - HUMAN-TRU2]]</f>
        <v>9</v>
      </c>
      <c r="AR193">
        <f t="shared" si="69"/>
        <v>0.88888888888888884</v>
      </c>
      <c r="AS193">
        <f>step3_validation[[#This Row],[AI_TRU3]]</f>
        <v>7</v>
      </c>
      <c r="AT193">
        <f t="shared" si="70"/>
        <v>0.66666666666666663</v>
      </c>
      <c r="AU193">
        <f>survey_responses[[#This Row],[Tôi tin tưởng số tiền thuế tôi đóng sẽ được Nhà nước sử dụng hiệu quả để cải thiện dịch vụ công (y tế, đường xá...). - HUMAN-TRU3]]</f>
        <v>8</v>
      </c>
      <c r="AV193">
        <f t="shared" si="71"/>
        <v>0.77777777777777779</v>
      </c>
      <c r="AW193">
        <f>step3_validation[[#This Row],[AI_TRU4]]</f>
        <v>8</v>
      </c>
      <c r="AX193">
        <f t="shared" si="72"/>
        <v>0.77777777777777779</v>
      </c>
      <c r="AY193">
        <f>survey_responses[[#This Row],[Tôi thấy Nhà nước đã giải thích rõ ràng, minh bạch về lý do và mục tiêu của việc sửa đổi thuế lần này. - HUMAN-TRU4]]</f>
        <v>8</v>
      </c>
      <c r="AZ193">
        <f t="shared" si="73"/>
        <v>0.77777777777777779</v>
      </c>
      <c r="BA193" s="32">
        <f t="shared" si="74"/>
        <v>0.66666666666666663</v>
      </c>
      <c r="BB193" s="32">
        <f t="shared" si="75"/>
        <v>0.83333333333333326</v>
      </c>
      <c r="BC193" s="7">
        <f t="shared" si="76"/>
        <v>0.62962962962962965</v>
      </c>
      <c r="BD193" s="7">
        <f t="shared" si="77"/>
        <v>0.83333333333333337</v>
      </c>
      <c r="BE193">
        <f>step3_validation[[#This Row],[AI_OUT1]]</f>
        <v>7</v>
      </c>
      <c r="BF193">
        <f t="shared" si="78"/>
        <v>0.66666666666666663</v>
      </c>
      <c r="BG193">
        <f>survey_responses[[#This Row],[Sau khi xem xét các quyền lợi và nghĩa vụ, bạn có ủng hộ và tuân thủ chính sách mới hiện nay? - HUMAN-OUT1]]</f>
        <v>9</v>
      </c>
      <c r="BH193">
        <f t="shared" si="79"/>
        <v>0.88888888888888884</v>
      </c>
      <c r="BI193" s="32">
        <f t="shared" si="80"/>
        <v>2</v>
      </c>
    </row>
    <row r="194" spans="1:61" x14ac:dyDescent="0.45">
      <c r="A194" s="30">
        <f>step3_validation[[#This Row],[Persona_ID]]</f>
        <v>193</v>
      </c>
      <c r="B194" s="31">
        <f>step3_validation[[#This Row],[Used_Seed]]</f>
        <v>2218</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24.943350167528614</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6</v>
      </c>
      <c r="R194">
        <f t="shared" si="54"/>
        <v>0.55555555555555558</v>
      </c>
      <c r="S194">
        <f>survey_responses[[#This Row],[Tôi tin rằng với các quy định quản lý thuế hiện nay, hành vi gian lận hoặc trốn thuế sẽ dễ dàng bị phát hiện và xử lý nghiêm. - HUMAN-ENF1]]</f>
        <v>1</v>
      </c>
      <c r="T194">
        <f t="shared" si="55"/>
        <v>0</v>
      </c>
      <c r="U194">
        <f>step3_validation[[#This Row],[AI_ENF2]]</f>
        <v>7</v>
      </c>
      <c r="V194">
        <f t="shared" si="56"/>
        <v>0.66666666666666663</v>
      </c>
      <c r="W194">
        <f>survey_responses[[#This Row],[Tôi tin rằng Nhà nước, cơ quan thuế có đủ khả năng và công nghệ để phát hiện, xử lý nghiêm các hành vi trốn thuế. - HUMAN-ENF2]]</f>
        <v>1</v>
      </c>
      <c r="X194">
        <f t="shared" si="57"/>
        <v>0</v>
      </c>
      <c r="Y194" s="32">
        <f t="shared" si="58"/>
        <v>0.61111111111111116</v>
      </c>
      <c r="Z194" s="32">
        <f t="shared" si="59"/>
        <v>0</v>
      </c>
      <c r="AA194">
        <f>step3_validation[[#This Row],[AI_FAC1]]</f>
        <v>8</v>
      </c>
      <c r="AB194">
        <f t="shared" si="60"/>
        <v>0.77777777777777779</v>
      </c>
      <c r="AC194">
        <f>survey_responses[[#This Row],[Các thủ tục khai báo thuế VÀ/HOẶC quy trình làm việc với cơ quan thuế đơn giản, tiện lợi, nhanh chóng hơn so với trước đây. - HUMAN-FAC1]]</f>
        <v>7</v>
      </c>
      <c r="AD194">
        <f t="shared" si="61"/>
        <v>0.66666666666666663</v>
      </c>
      <c r="AE194">
        <f>step3_validation[[#This Row],[AI_FAC2]]</f>
        <v>9</v>
      </c>
      <c r="AF194">
        <f t="shared" si="62"/>
        <v>0.88888888888888884</v>
      </c>
      <c r="AG194">
        <f>survey_responses[[#This Row],[So với trước đây, tôi thấy cách tính thuế và các bậc thuế trong phương án mới đơn giản, dễ hiểu và dễ thực hiện hơn. - HUMAN-FAC2]]</f>
        <v>5</v>
      </c>
      <c r="AH194">
        <f t="shared" si="63"/>
        <v>0.44444444444444442</v>
      </c>
      <c r="AI194" s="32">
        <f t="shared" si="64"/>
        <v>0.83333333333333326</v>
      </c>
      <c r="AJ194" s="32">
        <f t="shared" si="65"/>
        <v>0.55555555555555558</v>
      </c>
      <c r="AK194">
        <f>step3_validation[[#This Row],[AI_TRU1]]</f>
        <v>7</v>
      </c>
      <c r="AL194">
        <f t="shared" si="66"/>
        <v>0.66666666666666663</v>
      </c>
      <c r="AM194">
        <f>survey_responses[[#This Row],[Tôi tin rằng Nhà nước, cơ quan thuế sẽ thực thi chính sách mới một cách khách quan, công tâm và đối xử bình đẳng với mọi người nộp thuế.  - HUMAN-TRU1]]</f>
        <v>5</v>
      </c>
      <c r="AN194">
        <f t="shared" si="67"/>
        <v>0.44444444444444442</v>
      </c>
      <c r="AO194">
        <f>step3_validation[[#This Row],[AI_TRU2]]</f>
        <v>8</v>
      </c>
      <c r="AP194">
        <f t="shared" si="68"/>
        <v>0.77777777777777779</v>
      </c>
      <c r="AQ194">
        <f>survey_responses[[#This Row],[Tôi thấy mức thuế tôi phải đóng theo phương án mới là công bằng (người thu nhập như tôi đóng mức này là hợp lý). - HUMAN-TRU2]]</f>
        <v>7</v>
      </c>
      <c r="AR194">
        <f t="shared" si="69"/>
        <v>0.66666666666666663</v>
      </c>
      <c r="AS194">
        <f>step3_validation[[#This Row],[AI_TRU3]]</f>
        <v>7</v>
      </c>
      <c r="AT194">
        <f t="shared" si="70"/>
        <v>0.66666666666666663</v>
      </c>
      <c r="AU194">
        <f>survey_responses[[#This Row],[Tôi tin tưởng số tiền thuế tôi đóng sẽ được Nhà nước sử dụng hiệu quả để cải thiện dịch vụ công (y tế, đường xá...). - HUMAN-TRU3]]</f>
        <v>2</v>
      </c>
      <c r="AV194">
        <f t="shared" si="71"/>
        <v>0.1111111111111111</v>
      </c>
      <c r="AW194">
        <f>step3_validation[[#This Row],[AI_TRU4]]</f>
        <v>8</v>
      </c>
      <c r="AX194">
        <f t="shared" si="72"/>
        <v>0.77777777777777779</v>
      </c>
      <c r="AY194">
        <f>survey_responses[[#This Row],[Tôi thấy Nhà nước đã giải thích rõ ràng, minh bạch về lý do và mục tiêu của việc sửa đổi thuế lần này. - HUMAN-TRU4]]</f>
        <v>5</v>
      </c>
      <c r="AZ194">
        <f t="shared" si="73"/>
        <v>0.44444444444444442</v>
      </c>
      <c r="BA194" s="32">
        <f t="shared" si="74"/>
        <v>0.72222222222222221</v>
      </c>
      <c r="BB194" s="32">
        <f t="shared" si="75"/>
        <v>0.41666666666666669</v>
      </c>
      <c r="BC194" s="7">
        <f t="shared" si="76"/>
        <v>0.72222222222222221</v>
      </c>
      <c r="BD194" s="7">
        <f t="shared" si="77"/>
        <v>0.32407407407407413</v>
      </c>
      <c r="BE194">
        <f>step3_validation[[#This Row],[AI_OUT1]]</f>
        <v>9</v>
      </c>
      <c r="BF194">
        <f t="shared" si="78"/>
        <v>0.88888888888888884</v>
      </c>
      <c r="BG194">
        <f>survey_responses[[#This Row],[Sau khi xem xét các quyền lợi và nghĩa vụ, bạn có ủng hộ và tuân thủ chính sách mới hiện nay? - HUMAN-OUT1]]</f>
        <v>5</v>
      </c>
      <c r="BH194">
        <f t="shared" si="79"/>
        <v>0.44444444444444442</v>
      </c>
      <c r="BI194" s="32">
        <f t="shared" si="80"/>
        <v>4</v>
      </c>
    </row>
    <row r="195" spans="1:61" x14ac:dyDescent="0.45">
      <c r="A195" s="30">
        <f>step3_validation[[#This Row],[Persona_ID]]</f>
        <v>194</v>
      </c>
      <c r="B195" s="31">
        <f>step3_validation[[#This Row],[Used_Seed]]</f>
        <v>2219</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20.784714665914258</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5</v>
      </c>
      <c r="R195">
        <f t="shared" ref="R195:R258" si="81">(Q195-1)/9</f>
        <v>0.44444444444444442</v>
      </c>
      <c r="S195">
        <f>survey_responses[[#This Row],[Tôi tin rằng với các quy định quản lý thuế hiện nay, hành vi gian lận hoặc trốn thuế sẽ dễ dàng bị phát hiện và xử lý nghiêm. - HUMAN-ENF1]]</f>
        <v>10</v>
      </c>
      <c r="T195">
        <f t="shared" ref="T195:T258" si="82">(S195-1)/9</f>
        <v>1</v>
      </c>
      <c r="U195">
        <f>step3_validation[[#This Row],[AI_ENF2]]</f>
        <v>6</v>
      </c>
      <c r="V195">
        <f t="shared" ref="V195:V258" si="83">(U195-1)/9</f>
        <v>0.55555555555555558</v>
      </c>
      <c r="W195">
        <f>survey_responses[[#This Row],[Tôi tin rằng Nhà nước, cơ quan thuế có đủ khả năng và công nghệ để phát hiện, xử lý nghiêm các hành vi trốn thuế. - HUMAN-ENF2]]</f>
        <v>10</v>
      </c>
      <c r="X195">
        <f t="shared" ref="X195:X258" si="84">(W195-1)/9</f>
        <v>1</v>
      </c>
      <c r="Y195" s="32">
        <f t="shared" ref="Y195:Y258" si="85">AVERAGE(R195,V195)</f>
        <v>0.5</v>
      </c>
      <c r="Z195" s="32">
        <f t="shared" ref="Z195:Z258" si="86">AVERAGE(T195,X195)</f>
        <v>1</v>
      </c>
      <c r="AA195">
        <f>step3_validation[[#This Row],[AI_FAC1]]</f>
        <v>9</v>
      </c>
      <c r="AB195">
        <f t="shared" ref="AB195:AB258" si="87">(AA195-1)/9</f>
        <v>0.88888888888888884</v>
      </c>
      <c r="AC195">
        <f>survey_responses[[#This Row],[Các thủ tục khai báo thuế VÀ/HOẶC quy trình làm việc với cơ quan thuế đơn giản, tiện lợi, nhanh chóng hơn so với trước đây. - HUMAN-FAC1]]</f>
        <v>6</v>
      </c>
      <c r="AD195">
        <f t="shared" ref="AD195:AD258" si="88">(AC195-1)/9</f>
        <v>0.55555555555555558</v>
      </c>
      <c r="AE195">
        <f>step3_validation[[#This Row],[AI_FAC2]]</f>
        <v>10</v>
      </c>
      <c r="AF195">
        <f t="shared" ref="AF195:AF258" si="89">(AE195-1)/9</f>
        <v>1</v>
      </c>
      <c r="AG195">
        <f>survey_responses[[#This Row],[So với trước đây, tôi thấy cách tính thuế và các bậc thuế trong phương án mới đơn giản, dễ hiểu và dễ thực hiện hơn. - HUMAN-FAC2]]</f>
        <v>4</v>
      </c>
      <c r="AH195">
        <f t="shared" ref="AH195:AH258" si="90">(AG195-1)/9</f>
        <v>0.33333333333333331</v>
      </c>
      <c r="AI195" s="32">
        <f t="shared" ref="AI195:AI258" si="91">AVERAGE(AB195,AF195)</f>
        <v>0.94444444444444442</v>
      </c>
      <c r="AJ195" s="32">
        <f t="shared" ref="AJ195:AJ258" si="92">AVERAGE(AD195,AH195)</f>
        <v>0.44444444444444442</v>
      </c>
      <c r="AK195">
        <f>step3_validation[[#This Row],[AI_TRU1]]</f>
        <v>7</v>
      </c>
      <c r="AL195">
        <f t="shared" ref="AL195:AL258" si="93">(AK195-1)/9</f>
        <v>0.66666666666666663</v>
      </c>
      <c r="AM195">
        <f>survey_responses[[#This Row],[Tôi tin rằng Nhà nước, cơ quan thuế sẽ thực thi chính sách mới một cách khách quan, công tâm và đối xử bình đẳng với mọi người nộp thuế.  - HUMAN-TRU1]]</f>
        <v>8</v>
      </c>
      <c r="AN195">
        <f t="shared" ref="AN195:AN258" si="94">(AM195-1)/9</f>
        <v>0.77777777777777779</v>
      </c>
      <c r="AO195">
        <f>step3_validation[[#This Row],[AI_TRU2]]</f>
        <v>9</v>
      </c>
      <c r="AP195">
        <f t="shared" ref="AP195:AP258" si="95">(AO195-1)/9</f>
        <v>0.88888888888888884</v>
      </c>
      <c r="AQ195">
        <f>survey_responses[[#This Row],[Tôi thấy mức thuế tôi phải đóng theo phương án mới là công bằng (người thu nhập như tôi đóng mức này là hợp lý). - HUMAN-TRU2]]</f>
        <v>3</v>
      </c>
      <c r="AR195">
        <f t="shared" ref="AR195:AR258" si="96">(AQ195-1)/9</f>
        <v>0.22222222222222221</v>
      </c>
      <c r="AS195">
        <f>step3_validation[[#This Row],[AI_TRU3]]</f>
        <v>8</v>
      </c>
      <c r="AT195">
        <f t="shared" ref="AT195:AT258" si="97">(AS195-1)/9</f>
        <v>0.77777777777777779</v>
      </c>
      <c r="AU195">
        <f>survey_responses[[#This Row],[Tôi tin tưởng số tiền thuế tôi đóng sẽ được Nhà nước sử dụng hiệu quả để cải thiện dịch vụ công (y tế, đường xá...). - HUMAN-TRU3]]</f>
        <v>10</v>
      </c>
      <c r="AV195">
        <f t="shared" ref="AV195:AV258" si="98">(AU195-1)/9</f>
        <v>1</v>
      </c>
      <c r="AW195">
        <f>step3_validation[[#This Row],[AI_TRU4]]</f>
        <v>6</v>
      </c>
      <c r="AX195">
        <f t="shared" ref="AX195:AX258" si="99">(AW195-1)/9</f>
        <v>0.55555555555555558</v>
      </c>
      <c r="AY195">
        <f>survey_responses[[#This Row],[Tôi thấy Nhà nước đã giải thích rõ ràng, minh bạch về lý do và mục tiêu của việc sửa đổi thuế lần này. - HUMAN-TRU4]]</f>
        <v>10</v>
      </c>
      <c r="AZ195">
        <f t="shared" ref="AZ195:AZ258" si="100">(AY195-1)/9</f>
        <v>1</v>
      </c>
      <c r="BA195" s="32">
        <f t="shared" ref="BA195:BA258" si="101">AVERAGE(AL195,AP195,AT195,AX195)</f>
        <v>0.7222222222222221</v>
      </c>
      <c r="BB195" s="32">
        <f t="shared" ref="BB195:BB258" si="102">AVERAGE(AN195,AR195,AV195,AZ195)</f>
        <v>0.75</v>
      </c>
      <c r="BC195" s="7">
        <f t="shared" ref="BC195:BC258" si="103">(Y195+AI195+BA195)/3</f>
        <v>0.72222222222222221</v>
      </c>
      <c r="BD195" s="7">
        <f t="shared" ref="BD195:BD258" si="104">(Z195+AJ195+BB195)/3</f>
        <v>0.73148148148148151</v>
      </c>
      <c r="BE195">
        <f>step3_validation[[#This Row],[AI_OUT1]]</f>
        <v>9</v>
      </c>
      <c r="BF195">
        <f t="shared" ref="BF195:BF258" si="105">(BE195-1)/9</f>
        <v>0.88888888888888884</v>
      </c>
      <c r="BG195">
        <f>survey_responses[[#This Row],[Sau khi xem xét các quyền lợi và nghĩa vụ, bạn có ủng hộ và tuân thủ chính sách mới hiện nay? - HUMAN-OUT1]]</f>
        <v>10</v>
      </c>
      <c r="BH195">
        <f t="shared" ref="BH195:BH258" si="106">(BG195-1)/9</f>
        <v>1</v>
      </c>
      <c r="BI195" s="32">
        <f t="shared" ref="BI195:BI258" si="107">ABS(BG195-BE195)</f>
        <v>1</v>
      </c>
    </row>
    <row r="196" spans="1:61" x14ac:dyDescent="0.45">
      <c r="A196" s="30">
        <f>step3_validation[[#This Row],[Persona_ID]]</f>
        <v>195</v>
      </c>
      <c r="B196" s="31">
        <f>step3_validation[[#This Row],[Used_Seed]]</f>
        <v>2220</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16.041100748087107</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7</v>
      </c>
      <c r="R196">
        <f t="shared" si="81"/>
        <v>0.66666666666666663</v>
      </c>
      <c r="S196">
        <f>survey_responses[[#This Row],[Tôi tin rằng với các quy định quản lý thuế hiện nay, hành vi gian lận hoặc trốn thuế sẽ dễ dàng bị phát hiện và xử lý nghiêm. - HUMAN-ENF1]]</f>
        <v>9</v>
      </c>
      <c r="T196">
        <f t="shared" si="82"/>
        <v>0.88888888888888884</v>
      </c>
      <c r="U196">
        <f>step3_validation[[#This Row],[AI_ENF2]]</f>
        <v>6</v>
      </c>
      <c r="V196">
        <f t="shared" si="83"/>
        <v>0.55555555555555558</v>
      </c>
      <c r="W196">
        <f>survey_responses[[#This Row],[Tôi tin rằng Nhà nước, cơ quan thuế có đủ khả năng và công nghệ để phát hiện, xử lý nghiêm các hành vi trốn thuế. - HUMAN-ENF2]]</f>
        <v>9</v>
      </c>
      <c r="X196">
        <f t="shared" si="84"/>
        <v>0.88888888888888884</v>
      </c>
      <c r="Y196" s="32">
        <f t="shared" si="85"/>
        <v>0.61111111111111116</v>
      </c>
      <c r="Z196" s="32">
        <f t="shared" si="86"/>
        <v>0.88888888888888884</v>
      </c>
      <c r="AA196">
        <f>step3_validation[[#This Row],[AI_FAC1]]</f>
        <v>9</v>
      </c>
      <c r="AB196">
        <f t="shared" si="87"/>
        <v>0.88888888888888884</v>
      </c>
      <c r="AC196">
        <f>survey_responses[[#This Row],[Các thủ tục khai báo thuế VÀ/HOẶC quy trình làm việc với cơ quan thuế đơn giản, tiện lợi, nhanh chóng hơn so với trước đây. - HUMAN-FAC1]]</f>
        <v>5</v>
      </c>
      <c r="AD196">
        <f t="shared" si="88"/>
        <v>0.44444444444444442</v>
      </c>
      <c r="AE196">
        <f>step3_validation[[#This Row],[AI_FAC2]]</f>
        <v>8</v>
      </c>
      <c r="AF196">
        <f t="shared" si="89"/>
        <v>0.77777777777777779</v>
      </c>
      <c r="AG196">
        <f>survey_responses[[#This Row],[So với trước đây, tôi thấy cách tính thuế và các bậc thuế trong phương án mới đơn giản, dễ hiểu và dễ thực hiện hơn. - HUMAN-FAC2]]</f>
        <v>5</v>
      </c>
      <c r="AH196">
        <f t="shared" si="90"/>
        <v>0.44444444444444442</v>
      </c>
      <c r="AI196" s="32">
        <f t="shared" si="91"/>
        <v>0.83333333333333326</v>
      </c>
      <c r="AJ196" s="32">
        <f t="shared" si="92"/>
        <v>0.44444444444444442</v>
      </c>
      <c r="AK196">
        <f>step3_validation[[#This Row],[AI_TRU1]]</f>
        <v>7</v>
      </c>
      <c r="AL196">
        <f t="shared" si="93"/>
        <v>0.66666666666666663</v>
      </c>
      <c r="AM196">
        <f>survey_responses[[#This Row],[Tôi tin rằng Nhà nước, cơ quan thuế sẽ thực thi chính sách mới một cách khách quan, công tâm và đối xử bình đẳng với mọi người nộp thuế.  - HUMAN-TRU1]]</f>
        <v>7</v>
      </c>
      <c r="AN196">
        <f t="shared" si="94"/>
        <v>0.66666666666666663</v>
      </c>
      <c r="AO196">
        <f>step3_validation[[#This Row],[AI_TRU2]]</f>
        <v>9</v>
      </c>
      <c r="AP196">
        <f t="shared" si="95"/>
        <v>0.88888888888888884</v>
      </c>
      <c r="AQ196">
        <f>survey_responses[[#This Row],[Tôi thấy mức thuế tôi phải đóng theo phương án mới là công bằng (người thu nhập như tôi đóng mức này là hợp lý). - HUMAN-TRU2]]</f>
        <v>7</v>
      </c>
      <c r="AR196">
        <f t="shared" si="96"/>
        <v>0.66666666666666663</v>
      </c>
      <c r="AS196">
        <f>step3_validation[[#This Row],[AI_TRU3]]</f>
        <v>8</v>
      </c>
      <c r="AT196">
        <f t="shared" si="97"/>
        <v>0.77777777777777779</v>
      </c>
      <c r="AU196">
        <f>survey_responses[[#This Row],[Tôi tin tưởng số tiền thuế tôi đóng sẽ được Nhà nước sử dụng hiệu quả để cải thiện dịch vụ công (y tế, đường xá...). - HUMAN-TRU3]]</f>
        <v>8</v>
      </c>
      <c r="AV196">
        <f t="shared" si="98"/>
        <v>0.77777777777777779</v>
      </c>
      <c r="AW196">
        <f>step3_validation[[#This Row],[AI_TRU4]]</f>
        <v>7</v>
      </c>
      <c r="AX196">
        <f t="shared" si="99"/>
        <v>0.66666666666666663</v>
      </c>
      <c r="AY196">
        <f>survey_responses[[#This Row],[Tôi thấy Nhà nước đã giải thích rõ ràng, minh bạch về lý do và mục tiêu của việc sửa đổi thuế lần này. - HUMAN-TRU4]]</f>
        <v>8</v>
      </c>
      <c r="AZ196">
        <f t="shared" si="100"/>
        <v>0.77777777777777779</v>
      </c>
      <c r="BA196" s="32">
        <f t="shared" si="101"/>
        <v>0.74999999999999989</v>
      </c>
      <c r="BB196" s="32">
        <f t="shared" si="102"/>
        <v>0.72222222222222221</v>
      </c>
      <c r="BC196" s="7">
        <f t="shared" si="103"/>
        <v>0.7314814814814814</v>
      </c>
      <c r="BD196" s="7">
        <f t="shared" si="104"/>
        <v>0.68518518518518512</v>
      </c>
      <c r="BE196">
        <f>step3_validation[[#This Row],[AI_OUT1]]</f>
        <v>9</v>
      </c>
      <c r="BF196">
        <f t="shared" si="105"/>
        <v>0.88888888888888884</v>
      </c>
      <c r="BG196">
        <f>survey_responses[[#This Row],[Sau khi xem xét các quyền lợi và nghĩa vụ, bạn có ủng hộ và tuân thủ chính sách mới hiện nay? - HUMAN-OUT1]]</f>
        <v>8</v>
      </c>
      <c r="BH196">
        <f t="shared" si="106"/>
        <v>0.77777777777777779</v>
      </c>
      <c r="BI196" s="32">
        <f t="shared" si="107"/>
        <v>1</v>
      </c>
    </row>
    <row r="197" spans="1:61" x14ac:dyDescent="0.45">
      <c r="A197" s="30">
        <f>step3_validation[[#This Row],[Persona_ID]]</f>
        <v>196</v>
      </c>
      <c r="B197" s="31">
        <f>step3_validation[[#This Row],[Used_Seed]]</f>
        <v>2221</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14.852598890685107</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7</v>
      </c>
      <c r="R197">
        <f t="shared" si="81"/>
        <v>0.66666666666666663</v>
      </c>
      <c r="S197">
        <f>survey_responses[[#This Row],[Tôi tin rằng với các quy định quản lý thuế hiện nay, hành vi gian lận hoặc trốn thuế sẽ dễ dàng bị phát hiện và xử lý nghiêm. - HUMAN-ENF1]]</f>
        <v>9</v>
      </c>
      <c r="T197">
        <f t="shared" si="82"/>
        <v>0.88888888888888884</v>
      </c>
      <c r="U197">
        <f>step3_validation[[#This Row],[AI_ENF2]]</f>
        <v>6</v>
      </c>
      <c r="V197">
        <f t="shared" si="83"/>
        <v>0.55555555555555558</v>
      </c>
      <c r="W197">
        <f>survey_responses[[#This Row],[Tôi tin rằng Nhà nước, cơ quan thuế có đủ khả năng và công nghệ để phát hiện, xử lý nghiêm các hành vi trốn thuế. - HUMAN-ENF2]]</f>
        <v>9</v>
      </c>
      <c r="X197">
        <f t="shared" si="84"/>
        <v>0.88888888888888884</v>
      </c>
      <c r="Y197" s="32">
        <f t="shared" si="85"/>
        <v>0.61111111111111116</v>
      </c>
      <c r="Z197" s="32">
        <f t="shared" si="86"/>
        <v>0.88888888888888884</v>
      </c>
      <c r="AA197">
        <f>step3_validation[[#This Row],[AI_FAC1]]</f>
        <v>9</v>
      </c>
      <c r="AB197">
        <f t="shared" si="87"/>
        <v>0.88888888888888884</v>
      </c>
      <c r="AC197">
        <f>survey_responses[[#This Row],[Các thủ tục khai báo thuế VÀ/HOẶC quy trình làm việc với cơ quan thuế đơn giản, tiện lợi, nhanh chóng hơn so với trước đây. - HUMAN-FAC1]]</f>
        <v>9</v>
      </c>
      <c r="AD197">
        <f t="shared" si="88"/>
        <v>0.88888888888888884</v>
      </c>
      <c r="AE197">
        <f>step3_validation[[#This Row],[AI_FAC2]]</f>
        <v>8</v>
      </c>
      <c r="AF197">
        <f t="shared" si="89"/>
        <v>0.77777777777777779</v>
      </c>
      <c r="AG197">
        <f>survey_responses[[#This Row],[So với trước đây, tôi thấy cách tính thuế và các bậc thuế trong phương án mới đơn giản, dễ hiểu và dễ thực hiện hơn. - HUMAN-FAC2]]</f>
        <v>9</v>
      </c>
      <c r="AH197">
        <f t="shared" si="90"/>
        <v>0.88888888888888884</v>
      </c>
      <c r="AI197" s="32">
        <f t="shared" si="91"/>
        <v>0.83333333333333326</v>
      </c>
      <c r="AJ197" s="32">
        <f t="shared" si="92"/>
        <v>0.88888888888888884</v>
      </c>
      <c r="AK197">
        <f>step3_validation[[#This Row],[AI_TRU1]]</f>
        <v>9</v>
      </c>
      <c r="AL197">
        <f t="shared" si="93"/>
        <v>0.88888888888888884</v>
      </c>
      <c r="AM197">
        <f>survey_responses[[#This Row],[Tôi tin rằng Nhà nước, cơ quan thuế sẽ thực thi chính sách mới một cách khách quan, công tâm và đối xử bình đẳng với mọi người nộp thuế.  - HUMAN-TRU1]]</f>
        <v>9</v>
      </c>
      <c r="AN197">
        <f t="shared" si="94"/>
        <v>0.88888888888888884</v>
      </c>
      <c r="AO197">
        <f>step3_validation[[#This Row],[AI_TRU2]]</f>
        <v>8</v>
      </c>
      <c r="AP197">
        <f t="shared" si="95"/>
        <v>0.77777777777777779</v>
      </c>
      <c r="AQ197">
        <f>survey_responses[[#This Row],[Tôi thấy mức thuế tôi phải đóng theo phương án mới là công bằng (người thu nhập như tôi đóng mức này là hợp lý). - HUMAN-TRU2]]</f>
        <v>9</v>
      </c>
      <c r="AR197">
        <f t="shared" si="96"/>
        <v>0.88888888888888884</v>
      </c>
      <c r="AS197">
        <f>step3_validation[[#This Row],[AI_TRU3]]</f>
        <v>9</v>
      </c>
      <c r="AT197">
        <f t="shared" si="97"/>
        <v>0.88888888888888884</v>
      </c>
      <c r="AU197">
        <f>survey_responses[[#This Row],[Tôi tin tưởng số tiền thuế tôi đóng sẽ được Nhà nước sử dụng hiệu quả để cải thiện dịch vụ công (y tế, đường xá...). - HUMAN-TRU3]]</f>
        <v>9</v>
      </c>
      <c r="AV197">
        <f t="shared" si="98"/>
        <v>0.88888888888888884</v>
      </c>
      <c r="AW197">
        <f>step3_validation[[#This Row],[AI_TRU4]]</f>
        <v>8</v>
      </c>
      <c r="AX197">
        <f t="shared" si="99"/>
        <v>0.77777777777777779</v>
      </c>
      <c r="AY197">
        <f>survey_responses[[#This Row],[Tôi thấy Nhà nước đã giải thích rõ ràng, minh bạch về lý do và mục tiêu của việc sửa đổi thuế lần này. - HUMAN-TRU4]]</f>
        <v>9</v>
      </c>
      <c r="AZ197">
        <f t="shared" si="100"/>
        <v>0.88888888888888884</v>
      </c>
      <c r="BA197" s="32">
        <f t="shared" si="101"/>
        <v>0.83333333333333326</v>
      </c>
      <c r="BB197" s="32">
        <f t="shared" si="102"/>
        <v>0.88888888888888884</v>
      </c>
      <c r="BC197" s="7">
        <f t="shared" si="103"/>
        <v>0.75925925925925919</v>
      </c>
      <c r="BD197" s="7">
        <f t="shared" si="104"/>
        <v>0.88888888888888884</v>
      </c>
      <c r="BE197">
        <f>step3_validation[[#This Row],[AI_OUT1]]</f>
        <v>9</v>
      </c>
      <c r="BF197">
        <f t="shared" si="105"/>
        <v>0.88888888888888884</v>
      </c>
      <c r="BG197">
        <f>survey_responses[[#This Row],[Sau khi xem xét các quyền lợi và nghĩa vụ, bạn có ủng hộ và tuân thủ chính sách mới hiện nay? - HUMAN-OUT1]]</f>
        <v>9</v>
      </c>
      <c r="BH197">
        <f t="shared" si="106"/>
        <v>0.88888888888888884</v>
      </c>
      <c r="BI197" s="32">
        <f t="shared" si="107"/>
        <v>0</v>
      </c>
    </row>
    <row r="198" spans="1:61" x14ac:dyDescent="0.45">
      <c r="A198" s="30">
        <f>step3_validation[[#This Row],[Persona_ID]]</f>
        <v>197</v>
      </c>
      <c r="B198" s="31">
        <f>step3_validation[[#This Row],[Used_Seed]]</f>
        <v>2222</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13.589778063185207</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9</v>
      </c>
      <c r="R198">
        <f t="shared" si="81"/>
        <v>0.88888888888888884</v>
      </c>
      <c r="S198">
        <f>survey_responses[[#This Row],[Tôi tin rằng với các quy định quản lý thuế hiện nay, hành vi gian lận hoặc trốn thuế sẽ dễ dàng bị phát hiện và xử lý nghiêm. - HUMAN-ENF1]]</f>
        <v>9</v>
      </c>
      <c r="T198">
        <f t="shared" si="82"/>
        <v>0.88888888888888884</v>
      </c>
      <c r="U198">
        <f>step3_validation[[#This Row],[AI_ENF2]]</f>
        <v>9</v>
      </c>
      <c r="V198">
        <f t="shared" si="83"/>
        <v>0.88888888888888884</v>
      </c>
      <c r="W198">
        <f>survey_responses[[#This Row],[Tôi tin rằng Nhà nước, cơ quan thuế có đủ khả năng và công nghệ để phát hiện, xử lý nghiêm các hành vi trốn thuế. - HUMAN-ENF2]]</f>
        <v>10</v>
      </c>
      <c r="X198">
        <f t="shared" si="84"/>
        <v>1</v>
      </c>
      <c r="Y198" s="32">
        <f t="shared" si="85"/>
        <v>0.88888888888888884</v>
      </c>
      <c r="Z198" s="32">
        <f t="shared" si="86"/>
        <v>0.94444444444444442</v>
      </c>
      <c r="AA198">
        <f>step3_validation[[#This Row],[AI_FAC1]]</f>
        <v>8</v>
      </c>
      <c r="AB198">
        <f t="shared" si="87"/>
        <v>0.77777777777777779</v>
      </c>
      <c r="AC198">
        <f>survey_responses[[#This Row],[Các thủ tục khai báo thuế VÀ/HOẶC quy trình làm việc với cơ quan thuế đơn giản, tiện lợi, nhanh chóng hơn so với trước đây. - HUMAN-FAC1]]</f>
        <v>10</v>
      </c>
      <c r="AD198">
        <f t="shared" si="88"/>
        <v>1</v>
      </c>
      <c r="AE198">
        <f>step3_validation[[#This Row],[AI_FAC2]]</f>
        <v>8</v>
      </c>
      <c r="AF198">
        <f t="shared" si="89"/>
        <v>0.77777777777777779</v>
      </c>
      <c r="AG198">
        <f>survey_responses[[#This Row],[So với trước đây, tôi thấy cách tính thuế và các bậc thuế trong phương án mới đơn giản, dễ hiểu và dễ thực hiện hơn. - HUMAN-FAC2]]</f>
        <v>9</v>
      </c>
      <c r="AH198">
        <f t="shared" si="90"/>
        <v>0.88888888888888884</v>
      </c>
      <c r="AI198" s="32">
        <f t="shared" si="91"/>
        <v>0.77777777777777779</v>
      </c>
      <c r="AJ198" s="32">
        <f t="shared" si="92"/>
        <v>0.94444444444444442</v>
      </c>
      <c r="AK198">
        <f>step3_validation[[#This Row],[AI_TRU1]]</f>
        <v>9</v>
      </c>
      <c r="AL198">
        <f t="shared" si="93"/>
        <v>0.88888888888888884</v>
      </c>
      <c r="AM198">
        <f>survey_responses[[#This Row],[Tôi tin rằng Nhà nước, cơ quan thuế sẽ thực thi chính sách mới một cách khách quan, công tâm và đối xử bình đẳng với mọi người nộp thuế.  - HUMAN-TRU1]]</f>
        <v>10</v>
      </c>
      <c r="AN198">
        <f t="shared" si="94"/>
        <v>1</v>
      </c>
      <c r="AO198">
        <f>step3_validation[[#This Row],[AI_TRU2]]</f>
        <v>8</v>
      </c>
      <c r="AP198">
        <f t="shared" si="95"/>
        <v>0.77777777777777779</v>
      </c>
      <c r="AQ198">
        <f>survey_responses[[#This Row],[Tôi thấy mức thuế tôi phải đóng theo phương án mới là công bằng (người thu nhập như tôi đóng mức này là hợp lý). - HUMAN-TRU2]]</f>
        <v>10</v>
      </c>
      <c r="AR198">
        <f t="shared" si="96"/>
        <v>1</v>
      </c>
      <c r="AS198">
        <f>step3_validation[[#This Row],[AI_TRU3]]</f>
        <v>9</v>
      </c>
      <c r="AT198">
        <f t="shared" si="97"/>
        <v>0.88888888888888884</v>
      </c>
      <c r="AU198">
        <f>survey_responses[[#This Row],[Tôi tin tưởng số tiền thuế tôi đóng sẽ được Nhà nước sử dụng hiệu quả để cải thiện dịch vụ công (y tế, đường xá...). - HUMAN-TRU3]]</f>
        <v>10</v>
      </c>
      <c r="AV198">
        <f t="shared" si="98"/>
        <v>1</v>
      </c>
      <c r="AW198">
        <f>step3_validation[[#This Row],[AI_TRU4]]</f>
        <v>9</v>
      </c>
      <c r="AX198">
        <f t="shared" si="99"/>
        <v>0.88888888888888884</v>
      </c>
      <c r="AY198">
        <f>survey_responses[[#This Row],[Tôi thấy Nhà nước đã giải thích rõ ràng, minh bạch về lý do và mục tiêu của việc sửa đổi thuế lần này. - HUMAN-TRU4]]</f>
        <v>9</v>
      </c>
      <c r="AZ198">
        <f t="shared" si="100"/>
        <v>0.88888888888888884</v>
      </c>
      <c r="BA198" s="32">
        <f t="shared" si="101"/>
        <v>0.86111111111111105</v>
      </c>
      <c r="BB198" s="32">
        <f t="shared" si="102"/>
        <v>0.97222222222222221</v>
      </c>
      <c r="BC198" s="7">
        <f t="shared" si="103"/>
        <v>0.84259259259259256</v>
      </c>
      <c r="BD198" s="7">
        <f t="shared" si="104"/>
        <v>0.95370370370370372</v>
      </c>
      <c r="BE198">
        <f>step3_validation[[#This Row],[AI_OUT1]]</f>
        <v>9</v>
      </c>
      <c r="BF198">
        <f t="shared" si="105"/>
        <v>0.88888888888888884</v>
      </c>
      <c r="BG198">
        <f>survey_responses[[#This Row],[Sau khi xem xét các quyền lợi và nghĩa vụ, bạn có ủng hộ và tuân thủ chính sách mới hiện nay? - HUMAN-OUT1]]</f>
        <v>10</v>
      </c>
      <c r="BH198">
        <f t="shared" si="106"/>
        <v>1</v>
      </c>
      <c r="BI198" s="32">
        <f t="shared" si="107"/>
        <v>1</v>
      </c>
    </row>
    <row r="199" spans="1:61" x14ac:dyDescent="0.45">
      <c r="A199" s="30">
        <f>step3_validation[[#This Row],[Persona_ID]]</f>
        <v>198</v>
      </c>
      <c r="B199" s="31">
        <f>step3_validation[[#This Row],[Used_Seed]]</f>
        <v>2223</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13.101521068160853</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8</v>
      </c>
      <c r="R199">
        <f t="shared" si="81"/>
        <v>0.77777777777777779</v>
      </c>
      <c r="S199">
        <f>survey_responses[[#This Row],[Tôi tin rằng với các quy định quản lý thuế hiện nay, hành vi gian lận hoặc trốn thuế sẽ dễ dàng bị phát hiện và xử lý nghiêm. - HUMAN-ENF1]]</f>
        <v>5</v>
      </c>
      <c r="T199">
        <f t="shared" si="82"/>
        <v>0.44444444444444442</v>
      </c>
      <c r="U199">
        <f>step3_validation[[#This Row],[AI_ENF2]]</f>
        <v>7</v>
      </c>
      <c r="V199">
        <f t="shared" si="83"/>
        <v>0.66666666666666663</v>
      </c>
      <c r="W199">
        <f>survey_responses[[#This Row],[Tôi tin rằng Nhà nước, cơ quan thuế có đủ khả năng và công nghệ để phát hiện, xử lý nghiêm các hành vi trốn thuế. - HUMAN-ENF2]]</f>
        <v>5</v>
      </c>
      <c r="X199">
        <f t="shared" si="84"/>
        <v>0.44444444444444442</v>
      </c>
      <c r="Y199" s="32">
        <f t="shared" si="85"/>
        <v>0.72222222222222221</v>
      </c>
      <c r="Z199" s="32">
        <f t="shared" si="86"/>
        <v>0.44444444444444442</v>
      </c>
      <c r="AA199">
        <f>step3_validation[[#This Row],[AI_FAC1]]</f>
        <v>5</v>
      </c>
      <c r="AB199">
        <f t="shared" si="87"/>
        <v>0.44444444444444442</v>
      </c>
      <c r="AC199">
        <f>survey_responses[[#This Row],[Các thủ tục khai báo thuế VÀ/HOẶC quy trình làm việc với cơ quan thuế đơn giản, tiện lợi, nhanh chóng hơn so với trước đây. - HUMAN-FAC1]]</f>
        <v>5</v>
      </c>
      <c r="AD199">
        <f t="shared" si="88"/>
        <v>0.44444444444444442</v>
      </c>
      <c r="AE199">
        <f>step3_validation[[#This Row],[AI_FAC2]]</f>
        <v>6</v>
      </c>
      <c r="AF199">
        <f t="shared" si="89"/>
        <v>0.55555555555555558</v>
      </c>
      <c r="AG199">
        <f>survey_responses[[#This Row],[So với trước đây, tôi thấy cách tính thuế và các bậc thuế trong phương án mới đơn giản, dễ hiểu và dễ thực hiện hơn. - HUMAN-FAC2]]</f>
        <v>5</v>
      </c>
      <c r="AH199">
        <f t="shared" si="90"/>
        <v>0.44444444444444442</v>
      </c>
      <c r="AI199" s="32">
        <f t="shared" si="91"/>
        <v>0.5</v>
      </c>
      <c r="AJ199" s="32">
        <f t="shared" si="92"/>
        <v>0.44444444444444442</v>
      </c>
      <c r="AK199">
        <f>step3_validation[[#This Row],[AI_TRU1]]</f>
        <v>7</v>
      </c>
      <c r="AL199">
        <f t="shared" si="93"/>
        <v>0.66666666666666663</v>
      </c>
      <c r="AM199">
        <f>survey_responses[[#This Row],[Tôi tin rằng Nhà nước, cơ quan thuế sẽ thực thi chính sách mới một cách khách quan, công tâm và đối xử bình đẳng với mọi người nộp thuế.  - HUMAN-TRU1]]</f>
        <v>5</v>
      </c>
      <c r="AN199">
        <f t="shared" si="94"/>
        <v>0.44444444444444442</v>
      </c>
      <c r="AO199">
        <f>step3_validation[[#This Row],[AI_TRU2]]</f>
        <v>9</v>
      </c>
      <c r="AP199">
        <f t="shared" si="95"/>
        <v>0.88888888888888884</v>
      </c>
      <c r="AQ199">
        <f>survey_responses[[#This Row],[Tôi thấy mức thuế tôi phải đóng theo phương án mới là công bằng (người thu nhập như tôi đóng mức này là hợp lý). - HUMAN-TRU2]]</f>
        <v>5</v>
      </c>
      <c r="AR199">
        <f t="shared" si="96"/>
        <v>0.44444444444444442</v>
      </c>
      <c r="AS199">
        <f>step3_validation[[#This Row],[AI_TRU3]]</f>
        <v>5</v>
      </c>
      <c r="AT199">
        <f t="shared" si="97"/>
        <v>0.44444444444444442</v>
      </c>
      <c r="AU199">
        <f>survey_responses[[#This Row],[Tôi tin tưởng số tiền thuế tôi đóng sẽ được Nhà nước sử dụng hiệu quả để cải thiện dịch vụ công (y tế, đường xá...). - HUMAN-TRU3]]</f>
        <v>5</v>
      </c>
      <c r="AV199">
        <f t="shared" si="98"/>
        <v>0.44444444444444442</v>
      </c>
      <c r="AW199">
        <f>step3_validation[[#This Row],[AI_TRU4]]</f>
        <v>7</v>
      </c>
      <c r="AX199">
        <f t="shared" si="99"/>
        <v>0.66666666666666663</v>
      </c>
      <c r="AY199">
        <f>survey_responses[[#This Row],[Tôi thấy Nhà nước đã giải thích rõ ràng, minh bạch về lý do và mục tiêu của việc sửa đổi thuế lần này. - HUMAN-TRU4]]</f>
        <v>4</v>
      </c>
      <c r="AZ199">
        <f t="shared" si="100"/>
        <v>0.33333333333333331</v>
      </c>
      <c r="BA199" s="32">
        <f t="shared" si="101"/>
        <v>0.66666666666666663</v>
      </c>
      <c r="BB199" s="32">
        <f t="shared" si="102"/>
        <v>0.41666666666666663</v>
      </c>
      <c r="BC199" s="7">
        <f t="shared" si="103"/>
        <v>0.62962962962962965</v>
      </c>
      <c r="BD199" s="7">
        <f t="shared" si="104"/>
        <v>0.43518518518518512</v>
      </c>
      <c r="BE199">
        <f>step3_validation[[#This Row],[AI_OUT1]]</f>
        <v>3</v>
      </c>
      <c r="BF199">
        <f t="shared" si="105"/>
        <v>0.22222222222222221</v>
      </c>
      <c r="BG199">
        <f>survey_responses[[#This Row],[Sau khi xem xét các quyền lợi và nghĩa vụ, bạn có ủng hộ và tuân thủ chính sách mới hiện nay? - HUMAN-OUT1]]</f>
        <v>5</v>
      </c>
      <c r="BH199">
        <f t="shared" si="106"/>
        <v>0.44444444444444442</v>
      </c>
      <c r="BI199" s="32">
        <f t="shared" si="107"/>
        <v>2</v>
      </c>
    </row>
    <row r="200" spans="1:61" x14ac:dyDescent="0.45">
      <c r="A200" s="30">
        <f>step3_validation[[#This Row],[Persona_ID]]</f>
        <v>199</v>
      </c>
      <c r="B200" s="31">
        <f>step3_validation[[#This Row],[Used_Seed]]</f>
        <v>2224</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7</v>
      </c>
      <c r="R200">
        <f t="shared" si="81"/>
        <v>0.66666666666666663</v>
      </c>
      <c r="S200">
        <f>survey_responses[[#This Row],[Tôi tin rằng với các quy định quản lý thuế hiện nay, hành vi gian lận hoặc trốn thuế sẽ dễ dàng bị phát hiện và xử lý nghiêm. - HUMAN-ENF1]]</f>
        <v>9</v>
      </c>
      <c r="T200">
        <f t="shared" si="82"/>
        <v>0.88888888888888884</v>
      </c>
      <c r="U200">
        <f>step3_validation[[#This Row],[AI_ENF2]]</f>
        <v>6</v>
      </c>
      <c r="V200">
        <f t="shared" si="83"/>
        <v>0.55555555555555558</v>
      </c>
      <c r="W200">
        <f>survey_responses[[#This Row],[Tôi tin rằng Nhà nước, cơ quan thuế có đủ khả năng và công nghệ để phát hiện, xử lý nghiêm các hành vi trốn thuế. - HUMAN-ENF2]]</f>
        <v>8</v>
      </c>
      <c r="X200">
        <f t="shared" si="84"/>
        <v>0.77777777777777779</v>
      </c>
      <c r="Y200" s="32">
        <f t="shared" si="85"/>
        <v>0.61111111111111116</v>
      </c>
      <c r="Z200" s="32">
        <f t="shared" si="86"/>
        <v>0.83333333333333326</v>
      </c>
      <c r="AA200">
        <f>step3_validation[[#This Row],[AI_FAC1]]</f>
        <v>5</v>
      </c>
      <c r="AB200">
        <f t="shared" si="87"/>
        <v>0.44444444444444442</v>
      </c>
      <c r="AC200">
        <f>survey_responses[[#This Row],[Các thủ tục khai báo thuế VÀ/HOẶC quy trình làm việc với cơ quan thuế đơn giản, tiện lợi, nhanh chóng hơn so với trước đây. - HUMAN-FAC1]]</f>
        <v>9</v>
      </c>
      <c r="AD200">
        <f t="shared" si="88"/>
        <v>0.88888888888888884</v>
      </c>
      <c r="AE200">
        <f>step3_validation[[#This Row],[AI_FAC2]]</f>
        <v>8</v>
      </c>
      <c r="AF200">
        <f t="shared" si="89"/>
        <v>0.77777777777777779</v>
      </c>
      <c r="AG200">
        <f>survey_responses[[#This Row],[So với trước đây, tôi thấy cách tính thuế và các bậc thuế trong phương án mới đơn giản, dễ hiểu và dễ thực hiện hơn. - HUMAN-FAC2]]</f>
        <v>9</v>
      </c>
      <c r="AH200">
        <f t="shared" si="90"/>
        <v>0.88888888888888884</v>
      </c>
      <c r="AI200" s="32">
        <f t="shared" si="91"/>
        <v>0.61111111111111116</v>
      </c>
      <c r="AJ200" s="32">
        <f t="shared" si="92"/>
        <v>0.88888888888888884</v>
      </c>
      <c r="AK200">
        <f>step3_validation[[#This Row],[AI_TRU1]]</f>
        <v>7</v>
      </c>
      <c r="AL200">
        <f t="shared" si="93"/>
        <v>0.66666666666666663</v>
      </c>
      <c r="AM200">
        <f>survey_responses[[#This Row],[Tôi tin rằng Nhà nước, cơ quan thuế sẽ thực thi chính sách mới một cách khách quan, công tâm và đối xử bình đẳng với mọi người nộp thuế.  - HUMAN-TRU1]]</f>
        <v>8</v>
      </c>
      <c r="AN200">
        <f t="shared" si="94"/>
        <v>0.77777777777777779</v>
      </c>
      <c r="AO200">
        <f>step3_validation[[#This Row],[AI_TRU2]]</f>
        <v>8</v>
      </c>
      <c r="AP200">
        <f t="shared" si="95"/>
        <v>0.77777777777777779</v>
      </c>
      <c r="AQ200">
        <f>survey_responses[[#This Row],[Tôi thấy mức thuế tôi phải đóng theo phương án mới là công bằng (người thu nhập như tôi đóng mức này là hợp lý). - HUMAN-TRU2]]</f>
        <v>9</v>
      </c>
      <c r="AR200">
        <f t="shared" si="96"/>
        <v>0.88888888888888884</v>
      </c>
      <c r="AS200">
        <f>step3_validation[[#This Row],[AI_TRU3]]</f>
        <v>6</v>
      </c>
      <c r="AT200">
        <f t="shared" si="97"/>
        <v>0.55555555555555558</v>
      </c>
      <c r="AU200">
        <f>survey_responses[[#This Row],[Tôi tin tưởng số tiền thuế tôi đóng sẽ được Nhà nước sử dụng hiệu quả để cải thiện dịch vụ công (y tế, đường xá...). - HUMAN-TRU3]]</f>
        <v>10</v>
      </c>
      <c r="AV200">
        <f t="shared" si="98"/>
        <v>1</v>
      </c>
      <c r="AW200">
        <f>step3_validation[[#This Row],[AI_TRU4]]</f>
        <v>9</v>
      </c>
      <c r="AX200">
        <f t="shared" si="99"/>
        <v>0.88888888888888884</v>
      </c>
      <c r="AY200">
        <f>survey_responses[[#This Row],[Tôi thấy Nhà nước đã giải thích rõ ràng, minh bạch về lý do và mục tiêu của việc sửa đổi thuế lần này. - HUMAN-TRU4]]</f>
        <v>9</v>
      </c>
      <c r="AZ200">
        <f t="shared" si="100"/>
        <v>0.88888888888888884</v>
      </c>
      <c r="BA200" s="32">
        <f t="shared" si="101"/>
        <v>0.72222222222222221</v>
      </c>
      <c r="BB200" s="32">
        <f t="shared" si="102"/>
        <v>0.88888888888888884</v>
      </c>
      <c r="BC200" s="7">
        <f t="shared" si="103"/>
        <v>0.64814814814814825</v>
      </c>
      <c r="BD200" s="7">
        <f t="shared" si="104"/>
        <v>0.87037037037037024</v>
      </c>
      <c r="BE200">
        <f>step3_validation[[#This Row],[AI_OUT1]]</f>
        <v>8</v>
      </c>
      <c r="BF200">
        <f t="shared" si="105"/>
        <v>0.77777777777777779</v>
      </c>
      <c r="BG200">
        <f>survey_responses[[#This Row],[Sau khi xem xét các quyền lợi và nghĩa vụ, bạn có ủng hộ và tuân thủ chính sách mới hiện nay? - HUMAN-OUT1]]</f>
        <v>10</v>
      </c>
      <c r="BH200">
        <f t="shared" si="106"/>
        <v>1</v>
      </c>
      <c r="BI200" s="32">
        <f t="shared" si="107"/>
        <v>2</v>
      </c>
    </row>
    <row r="201" spans="1:61" x14ac:dyDescent="0.45">
      <c r="A201" s="30">
        <f>step3_validation[[#This Row],[Persona_ID]]</f>
        <v>200</v>
      </c>
      <c r="B201" s="31">
        <f>step3_validation[[#This Row],[Used_Seed]]</f>
        <v>2225</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77.671959396393106</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7</v>
      </c>
      <c r="R201">
        <f t="shared" si="81"/>
        <v>0.66666666666666663</v>
      </c>
      <c r="S201">
        <f>survey_responses[[#This Row],[Tôi tin rằng với các quy định quản lý thuế hiện nay, hành vi gian lận hoặc trốn thuế sẽ dễ dàng bị phát hiện và xử lý nghiêm. - HUMAN-ENF1]]</f>
        <v>4</v>
      </c>
      <c r="T201">
        <f t="shared" si="82"/>
        <v>0.33333333333333331</v>
      </c>
      <c r="U201">
        <f>step3_validation[[#This Row],[AI_ENF2]]</f>
        <v>8</v>
      </c>
      <c r="V201">
        <f t="shared" si="83"/>
        <v>0.77777777777777779</v>
      </c>
      <c r="W201">
        <f>survey_responses[[#This Row],[Tôi tin rằng Nhà nước, cơ quan thuế có đủ khả năng và công nghệ để phát hiện, xử lý nghiêm các hành vi trốn thuế. - HUMAN-ENF2]]</f>
        <v>4</v>
      </c>
      <c r="X201">
        <f t="shared" si="84"/>
        <v>0.33333333333333331</v>
      </c>
      <c r="Y201" s="32">
        <f t="shared" si="85"/>
        <v>0.72222222222222221</v>
      </c>
      <c r="Z201" s="32">
        <f t="shared" si="86"/>
        <v>0.33333333333333331</v>
      </c>
      <c r="AA201">
        <f>step3_validation[[#This Row],[AI_FAC1]]</f>
        <v>9</v>
      </c>
      <c r="AB201">
        <f t="shared" si="87"/>
        <v>0.88888888888888884</v>
      </c>
      <c r="AC201">
        <f>survey_responses[[#This Row],[Các thủ tục khai báo thuế VÀ/HOẶC quy trình làm việc với cơ quan thuế đơn giản, tiện lợi, nhanh chóng hơn so với trước đây. - HUMAN-FAC1]]</f>
        <v>3</v>
      </c>
      <c r="AD201">
        <f t="shared" si="88"/>
        <v>0.22222222222222221</v>
      </c>
      <c r="AE201">
        <f>step3_validation[[#This Row],[AI_FAC2]]</f>
        <v>9</v>
      </c>
      <c r="AF201">
        <f t="shared" si="89"/>
        <v>0.88888888888888884</v>
      </c>
      <c r="AG201">
        <f>survey_responses[[#This Row],[So với trước đây, tôi thấy cách tính thuế và các bậc thuế trong phương án mới đơn giản, dễ hiểu và dễ thực hiện hơn. - HUMAN-FAC2]]</f>
        <v>5</v>
      </c>
      <c r="AH201">
        <f t="shared" si="90"/>
        <v>0.44444444444444442</v>
      </c>
      <c r="AI201" s="32">
        <f t="shared" si="91"/>
        <v>0.88888888888888884</v>
      </c>
      <c r="AJ201" s="32">
        <f t="shared" si="92"/>
        <v>0.33333333333333331</v>
      </c>
      <c r="AK201">
        <f>step3_validation[[#This Row],[AI_TRU1]]</f>
        <v>6</v>
      </c>
      <c r="AL201">
        <f t="shared" si="93"/>
        <v>0.55555555555555558</v>
      </c>
      <c r="AM201">
        <f>survey_responses[[#This Row],[Tôi tin rằng Nhà nước, cơ quan thuế sẽ thực thi chính sách mới một cách khách quan, công tâm và đối xử bình đẳng với mọi người nộp thuế.  - HUMAN-TRU1]]</f>
        <v>4</v>
      </c>
      <c r="AN201">
        <f t="shared" si="94"/>
        <v>0.33333333333333331</v>
      </c>
      <c r="AO201">
        <f>step3_validation[[#This Row],[AI_TRU2]]</f>
        <v>8</v>
      </c>
      <c r="AP201">
        <f t="shared" si="95"/>
        <v>0.77777777777777779</v>
      </c>
      <c r="AQ201">
        <f>survey_responses[[#This Row],[Tôi thấy mức thuế tôi phải đóng theo phương án mới là công bằng (người thu nhập như tôi đóng mức này là hợp lý). - HUMAN-TRU2]]</f>
        <v>5</v>
      </c>
      <c r="AR201">
        <f t="shared" si="96"/>
        <v>0.44444444444444442</v>
      </c>
      <c r="AS201">
        <f>step3_validation[[#This Row],[AI_TRU3]]</f>
        <v>7</v>
      </c>
      <c r="AT201">
        <f t="shared" si="97"/>
        <v>0.66666666666666663</v>
      </c>
      <c r="AU201">
        <f>survey_responses[[#This Row],[Tôi tin tưởng số tiền thuế tôi đóng sẽ được Nhà nước sử dụng hiệu quả để cải thiện dịch vụ công (y tế, đường xá...). - HUMAN-TRU3]]</f>
        <v>1</v>
      </c>
      <c r="AV201">
        <f t="shared" si="98"/>
        <v>0</v>
      </c>
      <c r="AW201">
        <f>step3_validation[[#This Row],[AI_TRU4]]</f>
        <v>6</v>
      </c>
      <c r="AX201">
        <f t="shared" si="99"/>
        <v>0.55555555555555558</v>
      </c>
      <c r="AY201">
        <f>survey_responses[[#This Row],[Tôi thấy Nhà nước đã giải thích rõ ràng, minh bạch về lý do và mục tiêu của việc sửa đổi thuế lần này. - HUMAN-TRU4]]</f>
        <v>5</v>
      </c>
      <c r="AZ201">
        <f t="shared" si="100"/>
        <v>0.44444444444444442</v>
      </c>
      <c r="BA201" s="32">
        <f t="shared" si="101"/>
        <v>0.63888888888888884</v>
      </c>
      <c r="BB201" s="32">
        <f t="shared" si="102"/>
        <v>0.30555555555555552</v>
      </c>
      <c r="BC201" s="7">
        <f t="shared" si="103"/>
        <v>0.75</v>
      </c>
      <c r="BD201" s="7">
        <f t="shared" si="104"/>
        <v>0.32407407407407401</v>
      </c>
      <c r="BE201">
        <f>step3_validation[[#This Row],[AI_OUT1]]</f>
        <v>9</v>
      </c>
      <c r="BF201">
        <f t="shared" si="105"/>
        <v>0.88888888888888884</v>
      </c>
      <c r="BG201">
        <f>survey_responses[[#This Row],[Sau khi xem xét các quyền lợi và nghĩa vụ, bạn có ủng hộ và tuân thủ chính sách mới hiện nay? - HUMAN-OUT1]]</f>
        <v>5</v>
      </c>
      <c r="BH201">
        <f t="shared" si="106"/>
        <v>0.44444444444444442</v>
      </c>
      <c r="BI201" s="32">
        <f t="shared" si="107"/>
        <v>4</v>
      </c>
    </row>
    <row r="202" spans="1:61" x14ac:dyDescent="0.45">
      <c r="A202" s="30">
        <f>step3_validation[[#This Row],[Persona_ID]]</f>
        <v>201</v>
      </c>
      <c r="B202" s="31">
        <f>step3_validation[[#This Row],[Used_Seed]]</f>
        <v>2226</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58.668880008919636</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8</v>
      </c>
      <c r="R202">
        <f t="shared" si="81"/>
        <v>0.77777777777777779</v>
      </c>
      <c r="S202">
        <f>survey_responses[[#This Row],[Tôi tin rằng với các quy định quản lý thuế hiện nay, hành vi gian lận hoặc trốn thuế sẽ dễ dàng bị phát hiện và xử lý nghiêm. - HUMAN-ENF1]]</f>
        <v>5</v>
      </c>
      <c r="T202">
        <f t="shared" si="82"/>
        <v>0.44444444444444442</v>
      </c>
      <c r="U202">
        <f>step3_validation[[#This Row],[AI_ENF2]]</f>
        <v>9</v>
      </c>
      <c r="V202">
        <f t="shared" si="83"/>
        <v>0.88888888888888884</v>
      </c>
      <c r="W202">
        <f>survey_responses[[#This Row],[Tôi tin rằng Nhà nước, cơ quan thuế có đủ khả năng và công nghệ để phát hiện, xử lý nghiêm các hành vi trốn thuế. - HUMAN-ENF2]]</f>
        <v>5</v>
      </c>
      <c r="X202">
        <f t="shared" si="84"/>
        <v>0.44444444444444442</v>
      </c>
      <c r="Y202" s="32">
        <f t="shared" si="85"/>
        <v>0.83333333333333326</v>
      </c>
      <c r="Z202" s="32">
        <f t="shared" si="86"/>
        <v>0.44444444444444442</v>
      </c>
      <c r="AA202">
        <f>step3_validation[[#This Row],[AI_FAC1]]</f>
        <v>9</v>
      </c>
      <c r="AB202">
        <f t="shared" si="87"/>
        <v>0.88888888888888884</v>
      </c>
      <c r="AC202">
        <f>survey_responses[[#This Row],[Các thủ tục khai báo thuế VÀ/HOẶC quy trình làm việc với cơ quan thuế đơn giản, tiện lợi, nhanh chóng hơn so với trước đây. - HUMAN-FAC1]]</f>
        <v>1</v>
      </c>
      <c r="AD202">
        <f t="shared" si="88"/>
        <v>0</v>
      </c>
      <c r="AE202">
        <f>step3_validation[[#This Row],[AI_FAC2]]</f>
        <v>9</v>
      </c>
      <c r="AF202">
        <f t="shared" si="89"/>
        <v>0.88888888888888884</v>
      </c>
      <c r="AG202">
        <f>survey_responses[[#This Row],[So với trước đây, tôi thấy cách tính thuế và các bậc thuế trong phương án mới đơn giản, dễ hiểu và dễ thực hiện hơn. - HUMAN-FAC2]]</f>
        <v>5</v>
      </c>
      <c r="AH202">
        <f t="shared" si="90"/>
        <v>0.44444444444444442</v>
      </c>
      <c r="AI202" s="32">
        <f t="shared" si="91"/>
        <v>0.88888888888888884</v>
      </c>
      <c r="AJ202" s="32">
        <f t="shared" si="92"/>
        <v>0.22222222222222221</v>
      </c>
      <c r="AK202">
        <f>step3_validation[[#This Row],[AI_TRU1]]</f>
        <v>8</v>
      </c>
      <c r="AL202">
        <f t="shared" si="93"/>
        <v>0.77777777777777779</v>
      </c>
      <c r="AM202">
        <f>survey_responses[[#This Row],[Tôi tin rằng Nhà nước, cơ quan thuế sẽ thực thi chính sách mới một cách khách quan, công tâm và đối xử bình đẳng với mọi người nộp thuế.  - HUMAN-TRU1]]</f>
        <v>4</v>
      </c>
      <c r="AN202">
        <f t="shared" si="94"/>
        <v>0.33333333333333331</v>
      </c>
      <c r="AO202">
        <f>step3_validation[[#This Row],[AI_TRU2]]</f>
        <v>9</v>
      </c>
      <c r="AP202">
        <f t="shared" si="95"/>
        <v>0.88888888888888884</v>
      </c>
      <c r="AQ202">
        <f>survey_responses[[#This Row],[Tôi thấy mức thuế tôi phải đóng theo phương án mới là công bằng (người thu nhập như tôi đóng mức này là hợp lý). - HUMAN-TRU2]]</f>
        <v>2</v>
      </c>
      <c r="AR202">
        <f t="shared" si="96"/>
        <v>0.1111111111111111</v>
      </c>
      <c r="AS202">
        <f>step3_validation[[#This Row],[AI_TRU3]]</f>
        <v>8</v>
      </c>
      <c r="AT202">
        <f t="shared" si="97"/>
        <v>0.77777777777777779</v>
      </c>
      <c r="AU202">
        <f>survey_responses[[#This Row],[Tôi tin tưởng số tiền thuế tôi đóng sẽ được Nhà nước sử dụng hiệu quả để cải thiện dịch vụ công (y tế, đường xá...). - HUMAN-TRU3]]</f>
        <v>2</v>
      </c>
      <c r="AV202">
        <f t="shared" si="98"/>
        <v>0.1111111111111111</v>
      </c>
      <c r="AW202">
        <f>step3_validation[[#This Row],[AI_TRU4]]</f>
        <v>8</v>
      </c>
      <c r="AX202">
        <f t="shared" si="99"/>
        <v>0.77777777777777779</v>
      </c>
      <c r="AY202">
        <f>survey_responses[[#This Row],[Tôi thấy Nhà nước đã giải thích rõ ràng, minh bạch về lý do và mục tiêu của việc sửa đổi thuế lần này. - HUMAN-TRU4]]</f>
        <v>5</v>
      </c>
      <c r="AZ202">
        <f t="shared" si="100"/>
        <v>0.44444444444444442</v>
      </c>
      <c r="BA202" s="32">
        <f t="shared" si="101"/>
        <v>0.80555555555555547</v>
      </c>
      <c r="BB202" s="32">
        <f t="shared" si="102"/>
        <v>0.25</v>
      </c>
      <c r="BC202" s="7">
        <f t="shared" si="103"/>
        <v>0.84259259259259256</v>
      </c>
      <c r="BD202" s="7">
        <f t="shared" si="104"/>
        <v>0.30555555555555552</v>
      </c>
      <c r="BE202">
        <f>step3_validation[[#This Row],[AI_OUT1]]</f>
        <v>9</v>
      </c>
      <c r="BF202">
        <f t="shared" si="105"/>
        <v>0.88888888888888884</v>
      </c>
      <c r="BG202">
        <f>survey_responses[[#This Row],[Sau khi xem xét các quyền lợi và nghĩa vụ, bạn có ủng hộ và tuân thủ chính sách mới hiện nay? - HUMAN-OUT1]]</f>
        <v>4</v>
      </c>
      <c r="BH202">
        <f t="shared" si="106"/>
        <v>0.33333333333333331</v>
      </c>
      <c r="BI202" s="32">
        <f t="shared" si="107"/>
        <v>5</v>
      </c>
    </row>
    <row r="203" spans="1:61" x14ac:dyDescent="0.45">
      <c r="A203" s="30">
        <f>step3_validation[[#This Row],[Persona_ID]]</f>
        <v>202</v>
      </c>
      <c r="B203" s="31">
        <f>step3_validation[[#This Row],[Used_Seed]]</f>
        <v>2227</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93.417320678687318</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5</v>
      </c>
      <c r="R203">
        <f t="shared" si="81"/>
        <v>0.44444444444444442</v>
      </c>
      <c r="S203">
        <f>survey_responses[[#This Row],[Tôi tin rằng với các quy định quản lý thuế hiện nay, hành vi gian lận hoặc trốn thuế sẽ dễ dàng bị phát hiện và xử lý nghiêm. - HUMAN-ENF1]]</f>
        <v>6</v>
      </c>
      <c r="T203">
        <f t="shared" si="82"/>
        <v>0.55555555555555558</v>
      </c>
      <c r="U203">
        <f>step3_validation[[#This Row],[AI_ENF2]]</f>
        <v>5</v>
      </c>
      <c r="V203">
        <f t="shared" si="83"/>
        <v>0.44444444444444442</v>
      </c>
      <c r="W203">
        <f>survey_responses[[#This Row],[Tôi tin rằng Nhà nước, cơ quan thuế có đủ khả năng và công nghệ để phát hiện, xử lý nghiêm các hành vi trốn thuế. - HUMAN-ENF2]]</f>
        <v>8</v>
      </c>
      <c r="X203">
        <f t="shared" si="84"/>
        <v>0.77777777777777779</v>
      </c>
      <c r="Y203" s="32">
        <f t="shared" si="85"/>
        <v>0.44444444444444442</v>
      </c>
      <c r="Z203" s="32">
        <f t="shared" si="86"/>
        <v>0.66666666666666674</v>
      </c>
      <c r="AA203">
        <f>step3_validation[[#This Row],[AI_FAC1]]</f>
        <v>7</v>
      </c>
      <c r="AB203">
        <f t="shared" si="87"/>
        <v>0.66666666666666663</v>
      </c>
      <c r="AC203">
        <f>survey_responses[[#This Row],[Các thủ tục khai báo thuế VÀ/HOẶC quy trình làm việc với cơ quan thuế đơn giản, tiện lợi, nhanh chóng hơn so với trước đây. - HUMAN-FAC1]]</f>
        <v>8</v>
      </c>
      <c r="AD203">
        <f t="shared" si="88"/>
        <v>0.77777777777777779</v>
      </c>
      <c r="AE203">
        <f>step3_validation[[#This Row],[AI_FAC2]]</f>
        <v>8</v>
      </c>
      <c r="AF203">
        <f t="shared" si="89"/>
        <v>0.77777777777777779</v>
      </c>
      <c r="AG203">
        <f>survey_responses[[#This Row],[So với trước đây, tôi thấy cách tính thuế và các bậc thuế trong phương án mới đơn giản, dễ hiểu và dễ thực hiện hơn. - HUMAN-FAC2]]</f>
        <v>9</v>
      </c>
      <c r="AH203">
        <f t="shared" si="90"/>
        <v>0.88888888888888884</v>
      </c>
      <c r="AI203" s="32">
        <f t="shared" si="91"/>
        <v>0.72222222222222221</v>
      </c>
      <c r="AJ203" s="32">
        <f t="shared" si="92"/>
        <v>0.83333333333333326</v>
      </c>
      <c r="AK203">
        <f>step3_validation[[#This Row],[AI_TRU1]]</f>
        <v>7</v>
      </c>
      <c r="AL203">
        <f t="shared" si="93"/>
        <v>0.66666666666666663</v>
      </c>
      <c r="AM203">
        <f>survey_responses[[#This Row],[Tôi tin rằng Nhà nước, cơ quan thuế sẽ thực thi chính sách mới một cách khách quan, công tâm và đối xử bình đẳng với mọi người nộp thuế.  - HUMAN-TRU1]]</f>
        <v>7</v>
      </c>
      <c r="AN203">
        <f t="shared" si="94"/>
        <v>0.66666666666666663</v>
      </c>
      <c r="AO203">
        <f>step3_validation[[#This Row],[AI_TRU2]]</f>
        <v>9</v>
      </c>
      <c r="AP203">
        <f t="shared" si="95"/>
        <v>0.88888888888888884</v>
      </c>
      <c r="AQ203">
        <f>survey_responses[[#This Row],[Tôi thấy mức thuế tôi phải đóng theo phương án mới là công bằng (người thu nhập như tôi đóng mức này là hợp lý). - HUMAN-TRU2]]</f>
        <v>7</v>
      </c>
      <c r="AR203">
        <f t="shared" si="96"/>
        <v>0.66666666666666663</v>
      </c>
      <c r="AS203">
        <f>step3_validation[[#This Row],[AI_TRU3]]</f>
        <v>7</v>
      </c>
      <c r="AT203">
        <f t="shared" si="97"/>
        <v>0.66666666666666663</v>
      </c>
      <c r="AU203">
        <f>survey_responses[[#This Row],[Tôi tin tưởng số tiền thuế tôi đóng sẽ được Nhà nước sử dụng hiệu quả để cải thiện dịch vụ công (y tế, đường xá...). - HUMAN-TRU3]]</f>
        <v>7</v>
      </c>
      <c r="AV203">
        <f t="shared" si="98"/>
        <v>0.66666666666666663</v>
      </c>
      <c r="AW203">
        <f>step3_validation[[#This Row],[AI_TRU4]]</f>
        <v>9</v>
      </c>
      <c r="AX203">
        <f t="shared" si="99"/>
        <v>0.88888888888888884</v>
      </c>
      <c r="AY203">
        <f>survey_responses[[#This Row],[Tôi thấy Nhà nước đã giải thích rõ ràng, minh bạch về lý do và mục tiêu của việc sửa đổi thuế lần này. - HUMAN-TRU4]]</f>
        <v>8</v>
      </c>
      <c r="AZ203">
        <f t="shared" si="100"/>
        <v>0.77777777777777779</v>
      </c>
      <c r="BA203" s="32">
        <f t="shared" si="101"/>
        <v>0.77777777777777768</v>
      </c>
      <c r="BB203" s="32">
        <f t="shared" si="102"/>
        <v>0.69444444444444442</v>
      </c>
      <c r="BC203" s="7">
        <f t="shared" si="103"/>
        <v>0.64814814814814803</v>
      </c>
      <c r="BD203" s="7">
        <f t="shared" si="104"/>
        <v>0.73148148148148151</v>
      </c>
      <c r="BE203">
        <f>step3_validation[[#This Row],[AI_OUT1]]</f>
        <v>8</v>
      </c>
      <c r="BF203">
        <f t="shared" si="105"/>
        <v>0.77777777777777779</v>
      </c>
      <c r="BG203">
        <f>survey_responses[[#This Row],[Sau khi xem xét các quyền lợi và nghĩa vụ, bạn có ủng hộ và tuân thủ chính sách mới hiện nay? - HUMAN-OUT1]]</f>
        <v>8</v>
      </c>
      <c r="BH203">
        <f t="shared" si="106"/>
        <v>0.77777777777777779</v>
      </c>
      <c r="BI203" s="32">
        <f t="shared" si="107"/>
        <v>0</v>
      </c>
    </row>
    <row r="204" spans="1:61" x14ac:dyDescent="0.45">
      <c r="A204" s="30">
        <f>step3_validation[[#This Row],[Persona_ID]]</f>
        <v>203</v>
      </c>
      <c r="B204" s="31">
        <f>step3_validation[[#This Row],[Used_Seed]]</f>
        <v>2228</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206.81017455348751</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9</v>
      </c>
      <c r="R204">
        <f t="shared" si="81"/>
        <v>0.88888888888888884</v>
      </c>
      <c r="S204">
        <f>survey_responses[[#This Row],[Tôi tin rằng với các quy định quản lý thuế hiện nay, hành vi gian lận hoặc trốn thuế sẽ dễ dàng bị phát hiện và xử lý nghiêm. - HUMAN-ENF1]]</f>
        <v>5</v>
      </c>
      <c r="T204">
        <f t="shared" si="82"/>
        <v>0.44444444444444442</v>
      </c>
      <c r="U204">
        <f>step3_validation[[#This Row],[AI_ENF2]]</f>
        <v>8</v>
      </c>
      <c r="V204">
        <f t="shared" si="83"/>
        <v>0.77777777777777779</v>
      </c>
      <c r="W204">
        <f>survey_responses[[#This Row],[Tôi tin rằng Nhà nước, cơ quan thuế có đủ khả năng và công nghệ để phát hiện, xử lý nghiêm các hành vi trốn thuế. - HUMAN-ENF2]]</f>
        <v>5</v>
      </c>
      <c r="X204">
        <f t="shared" si="84"/>
        <v>0.44444444444444442</v>
      </c>
      <c r="Y204" s="32">
        <f t="shared" si="85"/>
        <v>0.83333333333333326</v>
      </c>
      <c r="Z204" s="32">
        <f t="shared" si="86"/>
        <v>0.44444444444444442</v>
      </c>
      <c r="AA204">
        <f>step3_validation[[#This Row],[AI_FAC1]]</f>
        <v>9</v>
      </c>
      <c r="AB204">
        <f t="shared" si="87"/>
        <v>0.88888888888888884</v>
      </c>
      <c r="AC204">
        <f>survey_responses[[#This Row],[Các thủ tục khai báo thuế VÀ/HOẶC quy trình làm việc với cơ quan thuế đơn giản, tiện lợi, nhanh chóng hơn so với trước đây. - HUMAN-FAC1]]</f>
        <v>5</v>
      </c>
      <c r="AD204">
        <f t="shared" si="88"/>
        <v>0.44444444444444442</v>
      </c>
      <c r="AE204">
        <f>step3_validation[[#This Row],[AI_FAC2]]</f>
        <v>8</v>
      </c>
      <c r="AF204">
        <f t="shared" si="89"/>
        <v>0.77777777777777779</v>
      </c>
      <c r="AG204">
        <f>survey_responses[[#This Row],[So với trước đây, tôi thấy cách tính thuế và các bậc thuế trong phương án mới đơn giản, dễ hiểu và dễ thực hiện hơn. - HUMAN-FAC2]]</f>
        <v>5</v>
      </c>
      <c r="AH204">
        <f t="shared" si="90"/>
        <v>0.44444444444444442</v>
      </c>
      <c r="AI204" s="32">
        <f t="shared" si="91"/>
        <v>0.83333333333333326</v>
      </c>
      <c r="AJ204" s="32">
        <f t="shared" si="92"/>
        <v>0.44444444444444442</v>
      </c>
      <c r="AK204">
        <f>step3_validation[[#This Row],[AI_TRU1]]</f>
        <v>9</v>
      </c>
      <c r="AL204">
        <f t="shared" si="93"/>
        <v>0.88888888888888884</v>
      </c>
      <c r="AM204">
        <f>survey_responses[[#This Row],[Tôi tin rằng Nhà nước, cơ quan thuế sẽ thực thi chính sách mới một cách khách quan, công tâm và đối xử bình đẳng với mọi người nộp thuế.  - HUMAN-TRU1]]</f>
        <v>5</v>
      </c>
      <c r="AN204">
        <f t="shared" si="94"/>
        <v>0.44444444444444442</v>
      </c>
      <c r="AO204">
        <f>step3_validation[[#This Row],[AI_TRU2]]</f>
        <v>8</v>
      </c>
      <c r="AP204">
        <f t="shared" si="95"/>
        <v>0.77777777777777779</v>
      </c>
      <c r="AQ204">
        <f>survey_responses[[#This Row],[Tôi thấy mức thuế tôi phải đóng theo phương án mới là công bằng (người thu nhập như tôi đóng mức này là hợp lý). - HUMAN-TRU2]]</f>
        <v>5</v>
      </c>
      <c r="AR204">
        <f t="shared" si="96"/>
        <v>0.44444444444444442</v>
      </c>
      <c r="AS204">
        <f>step3_validation[[#This Row],[AI_TRU3]]</f>
        <v>9</v>
      </c>
      <c r="AT204">
        <f t="shared" si="97"/>
        <v>0.88888888888888884</v>
      </c>
      <c r="AU204">
        <f>survey_responses[[#This Row],[Tôi tin tưởng số tiền thuế tôi đóng sẽ được Nhà nước sử dụng hiệu quả để cải thiện dịch vụ công (y tế, đường xá...). - HUMAN-TRU3]]</f>
        <v>5</v>
      </c>
      <c r="AV204">
        <f t="shared" si="98"/>
        <v>0.44444444444444442</v>
      </c>
      <c r="AW204">
        <f>step3_validation[[#This Row],[AI_TRU4]]</f>
        <v>8</v>
      </c>
      <c r="AX204">
        <f t="shared" si="99"/>
        <v>0.77777777777777779</v>
      </c>
      <c r="AY204">
        <f>survey_responses[[#This Row],[Tôi thấy Nhà nước đã giải thích rõ ràng, minh bạch về lý do và mục tiêu của việc sửa đổi thuế lần này. - HUMAN-TRU4]]</f>
        <v>5</v>
      </c>
      <c r="AZ204">
        <f t="shared" si="100"/>
        <v>0.44444444444444442</v>
      </c>
      <c r="BA204" s="32">
        <f t="shared" si="101"/>
        <v>0.83333333333333326</v>
      </c>
      <c r="BB204" s="32">
        <f t="shared" si="102"/>
        <v>0.44444444444444442</v>
      </c>
      <c r="BC204" s="7">
        <f t="shared" si="103"/>
        <v>0.83333333333333337</v>
      </c>
      <c r="BD204" s="7">
        <f t="shared" si="104"/>
        <v>0.44444444444444442</v>
      </c>
      <c r="BE204">
        <f>step3_validation[[#This Row],[AI_OUT1]]</f>
        <v>9</v>
      </c>
      <c r="BF204">
        <f t="shared" si="105"/>
        <v>0.88888888888888884</v>
      </c>
      <c r="BG204">
        <f>survey_responses[[#This Row],[Sau khi xem xét các quyền lợi và nghĩa vụ, bạn có ủng hộ và tuân thủ chính sách mới hiện nay? - HUMAN-OUT1]]</f>
        <v>5</v>
      </c>
      <c r="BH204">
        <f t="shared" si="106"/>
        <v>0.44444444444444442</v>
      </c>
      <c r="BI204" s="32">
        <f t="shared" si="107"/>
        <v>4</v>
      </c>
    </row>
    <row r="205" spans="1:61" x14ac:dyDescent="0.45">
      <c r="A205" s="30">
        <f>step3_validation[[#This Row],[Persona_ID]]</f>
        <v>204</v>
      </c>
      <c r="B205" s="31">
        <f>step3_validation[[#This Row],[Used_Seed]]</f>
        <v>2229</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32.306418821954402</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7</v>
      </c>
      <c r="R205">
        <f t="shared" si="81"/>
        <v>0.66666666666666663</v>
      </c>
      <c r="S205">
        <f>survey_responses[[#This Row],[Tôi tin rằng với các quy định quản lý thuế hiện nay, hành vi gian lận hoặc trốn thuế sẽ dễ dàng bị phát hiện và xử lý nghiêm. - HUMAN-ENF1]]</f>
        <v>7</v>
      </c>
      <c r="T205">
        <f t="shared" si="82"/>
        <v>0.66666666666666663</v>
      </c>
      <c r="U205">
        <f>step3_validation[[#This Row],[AI_ENF2]]</f>
        <v>8</v>
      </c>
      <c r="V205">
        <f t="shared" si="83"/>
        <v>0.77777777777777779</v>
      </c>
      <c r="W205">
        <f>survey_responses[[#This Row],[Tôi tin rằng Nhà nước, cơ quan thuế có đủ khả năng và công nghệ để phát hiện, xử lý nghiêm các hành vi trốn thuế. - HUMAN-ENF2]]</f>
        <v>7</v>
      </c>
      <c r="X205">
        <f t="shared" si="84"/>
        <v>0.66666666666666663</v>
      </c>
      <c r="Y205" s="32">
        <f t="shared" si="85"/>
        <v>0.72222222222222221</v>
      </c>
      <c r="Z205" s="32">
        <f t="shared" si="86"/>
        <v>0.66666666666666663</v>
      </c>
      <c r="AA205">
        <f>step3_validation[[#This Row],[AI_FAC1]]</f>
        <v>9</v>
      </c>
      <c r="AB205">
        <f t="shared" si="87"/>
        <v>0.88888888888888884</v>
      </c>
      <c r="AC205">
        <f>survey_responses[[#This Row],[Các thủ tục khai báo thuế VÀ/HOẶC quy trình làm việc với cơ quan thuế đơn giản, tiện lợi, nhanh chóng hơn so với trước đây. - HUMAN-FAC1]]</f>
        <v>7</v>
      </c>
      <c r="AD205">
        <f t="shared" si="88"/>
        <v>0.66666666666666663</v>
      </c>
      <c r="AE205">
        <f>step3_validation[[#This Row],[AI_FAC2]]</f>
        <v>9</v>
      </c>
      <c r="AF205">
        <f t="shared" si="89"/>
        <v>0.88888888888888884</v>
      </c>
      <c r="AG205">
        <f>survey_responses[[#This Row],[So với trước đây, tôi thấy cách tính thuế và các bậc thuế trong phương án mới đơn giản, dễ hiểu và dễ thực hiện hơn. - HUMAN-FAC2]]</f>
        <v>8</v>
      </c>
      <c r="AH205">
        <f t="shared" si="90"/>
        <v>0.77777777777777779</v>
      </c>
      <c r="AI205" s="32">
        <f t="shared" si="91"/>
        <v>0.88888888888888884</v>
      </c>
      <c r="AJ205" s="32">
        <f t="shared" si="92"/>
        <v>0.72222222222222221</v>
      </c>
      <c r="AK205">
        <f>step3_validation[[#This Row],[AI_TRU1]]</f>
        <v>6</v>
      </c>
      <c r="AL205">
        <f t="shared" si="93"/>
        <v>0.55555555555555558</v>
      </c>
      <c r="AM205">
        <f>survey_responses[[#This Row],[Tôi tin rằng Nhà nước, cơ quan thuế sẽ thực thi chính sách mới một cách khách quan, công tâm và đối xử bình đẳng với mọi người nộp thuế.  - HUMAN-TRU1]]</f>
        <v>7</v>
      </c>
      <c r="AN205">
        <f t="shared" si="94"/>
        <v>0.66666666666666663</v>
      </c>
      <c r="AO205">
        <f>step3_validation[[#This Row],[AI_TRU2]]</f>
        <v>8</v>
      </c>
      <c r="AP205">
        <f t="shared" si="95"/>
        <v>0.77777777777777779</v>
      </c>
      <c r="AQ205">
        <f>survey_responses[[#This Row],[Tôi thấy mức thuế tôi phải đóng theo phương án mới là công bằng (người thu nhập như tôi đóng mức này là hợp lý). - HUMAN-TRU2]]</f>
        <v>7</v>
      </c>
      <c r="AR205">
        <f t="shared" si="96"/>
        <v>0.66666666666666663</v>
      </c>
      <c r="AS205">
        <f>step3_validation[[#This Row],[AI_TRU3]]</f>
        <v>7</v>
      </c>
      <c r="AT205">
        <f t="shared" si="97"/>
        <v>0.66666666666666663</v>
      </c>
      <c r="AU205">
        <f>survey_responses[[#This Row],[Tôi tin tưởng số tiền thuế tôi đóng sẽ được Nhà nước sử dụng hiệu quả để cải thiện dịch vụ công (y tế, đường xá...). - HUMAN-TRU3]]</f>
        <v>7</v>
      </c>
      <c r="AV205">
        <f t="shared" si="98"/>
        <v>0.66666666666666663</v>
      </c>
      <c r="AW205">
        <f>step3_validation[[#This Row],[AI_TRU4]]</f>
        <v>8</v>
      </c>
      <c r="AX205">
        <f t="shared" si="99"/>
        <v>0.77777777777777779</v>
      </c>
      <c r="AY205">
        <f>survey_responses[[#This Row],[Tôi thấy Nhà nước đã giải thích rõ ràng, minh bạch về lý do và mục tiêu của việc sửa đổi thuế lần này. - HUMAN-TRU4]]</f>
        <v>7</v>
      </c>
      <c r="AZ205">
        <f t="shared" si="100"/>
        <v>0.66666666666666663</v>
      </c>
      <c r="BA205" s="32">
        <f t="shared" si="101"/>
        <v>0.69444444444444442</v>
      </c>
      <c r="BB205" s="32">
        <f t="shared" si="102"/>
        <v>0.66666666666666663</v>
      </c>
      <c r="BC205" s="7">
        <f t="shared" si="103"/>
        <v>0.76851851851851849</v>
      </c>
      <c r="BD205" s="7">
        <f t="shared" si="104"/>
        <v>0.68518518518518512</v>
      </c>
      <c r="BE205">
        <f>step3_validation[[#This Row],[AI_OUT1]]</f>
        <v>9</v>
      </c>
      <c r="BF205">
        <f t="shared" si="105"/>
        <v>0.88888888888888884</v>
      </c>
      <c r="BG205">
        <f>survey_responses[[#This Row],[Sau khi xem xét các quyền lợi và nghĩa vụ, bạn có ủng hộ và tuân thủ chính sách mới hiện nay? - HUMAN-OUT1]]</f>
        <v>7</v>
      </c>
      <c r="BH205">
        <f t="shared" si="106"/>
        <v>0.66666666666666663</v>
      </c>
      <c r="BI205" s="32">
        <f t="shared" si="107"/>
        <v>2</v>
      </c>
    </row>
    <row r="206" spans="1:61" x14ac:dyDescent="0.45">
      <c r="A206" s="30">
        <f>step3_validation[[#This Row],[Persona_ID]]</f>
        <v>205</v>
      </c>
      <c r="B206" s="31">
        <f>step3_validation[[#This Row],[Used_Seed]]</f>
        <v>2230</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30.62342370542337</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7</v>
      </c>
      <c r="R206">
        <f t="shared" si="81"/>
        <v>0.66666666666666663</v>
      </c>
      <c r="S206">
        <f>survey_responses[[#This Row],[Tôi tin rằng với các quy định quản lý thuế hiện nay, hành vi gian lận hoặc trốn thuế sẽ dễ dàng bị phát hiện và xử lý nghiêm. - HUMAN-ENF1]]</f>
        <v>3</v>
      </c>
      <c r="T206">
        <f t="shared" si="82"/>
        <v>0.22222222222222221</v>
      </c>
      <c r="U206">
        <f>step3_validation[[#This Row],[AI_ENF2]]</f>
        <v>6</v>
      </c>
      <c r="V206">
        <f t="shared" si="83"/>
        <v>0.55555555555555558</v>
      </c>
      <c r="W206">
        <f>survey_responses[[#This Row],[Tôi tin rằng Nhà nước, cơ quan thuế có đủ khả năng và công nghệ để phát hiện, xử lý nghiêm các hành vi trốn thuế. - HUMAN-ENF2]]</f>
        <v>1</v>
      </c>
      <c r="X206">
        <f t="shared" si="84"/>
        <v>0</v>
      </c>
      <c r="Y206" s="32">
        <f t="shared" si="85"/>
        <v>0.61111111111111116</v>
      </c>
      <c r="Z206" s="32">
        <f t="shared" si="86"/>
        <v>0.1111111111111111</v>
      </c>
      <c r="AA206">
        <f>step3_validation[[#This Row],[AI_FAC1]]</f>
        <v>8</v>
      </c>
      <c r="AB206">
        <f t="shared" si="87"/>
        <v>0.77777777777777779</v>
      </c>
      <c r="AC206">
        <f>survey_responses[[#This Row],[Các thủ tục khai báo thuế VÀ/HOẶC quy trình làm việc với cơ quan thuế đơn giản, tiện lợi, nhanh chóng hơn so với trước đây. - HUMAN-FAC1]]</f>
        <v>1</v>
      </c>
      <c r="AD206">
        <f t="shared" si="88"/>
        <v>0</v>
      </c>
      <c r="AE206">
        <f>step3_validation[[#This Row],[AI_FAC2]]</f>
        <v>9</v>
      </c>
      <c r="AF206">
        <f t="shared" si="89"/>
        <v>0.88888888888888884</v>
      </c>
      <c r="AG206">
        <f>survey_responses[[#This Row],[So với trước đây, tôi thấy cách tính thuế và các bậc thuế trong phương án mới đơn giản, dễ hiểu và dễ thực hiện hơn. - HUMAN-FAC2]]</f>
        <v>5</v>
      </c>
      <c r="AH206">
        <f t="shared" si="90"/>
        <v>0.44444444444444442</v>
      </c>
      <c r="AI206" s="32">
        <f t="shared" si="91"/>
        <v>0.83333333333333326</v>
      </c>
      <c r="AJ206" s="32">
        <f t="shared" si="92"/>
        <v>0.22222222222222221</v>
      </c>
      <c r="AK206">
        <f>step3_validation[[#This Row],[AI_TRU1]]</f>
        <v>7</v>
      </c>
      <c r="AL206">
        <f t="shared" si="93"/>
        <v>0.66666666666666663</v>
      </c>
      <c r="AM206">
        <f>survey_responses[[#This Row],[Tôi tin rằng Nhà nước, cơ quan thuế sẽ thực thi chính sách mới một cách khách quan, công tâm và đối xử bình đẳng với mọi người nộp thuế.  - HUMAN-TRU1]]</f>
        <v>1</v>
      </c>
      <c r="AN206">
        <f t="shared" si="94"/>
        <v>0</v>
      </c>
      <c r="AO206">
        <f>step3_validation[[#This Row],[AI_TRU2]]</f>
        <v>9</v>
      </c>
      <c r="AP206">
        <f t="shared" si="95"/>
        <v>0.88888888888888884</v>
      </c>
      <c r="AQ206">
        <f>survey_responses[[#This Row],[Tôi thấy mức thuế tôi phải đóng theo phương án mới là công bằng (người thu nhập như tôi đóng mức này là hợp lý). - HUMAN-TRU2]]</f>
        <v>1</v>
      </c>
      <c r="AR206">
        <f t="shared" si="96"/>
        <v>0</v>
      </c>
      <c r="AS206">
        <f>step3_validation[[#This Row],[AI_TRU3]]</f>
        <v>7</v>
      </c>
      <c r="AT206">
        <f t="shared" si="97"/>
        <v>0.66666666666666663</v>
      </c>
      <c r="AU206">
        <f>survey_responses[[#This Row],[Tôi tin tưởng số tiền thuế tôi đóng sẽ được Nhà nước sử dụng hiệu quả để cải thiện dịch vụ công (y tế, đường xá...). - HUMAN-TRU3]]</f>
        <v>1</v>
      </c>
      <c r="AV206">
        <f t="shared" si="98"/>
        <v>0</v>
      </c>
      <c r="AW206">
        <f>step3_validation[[#This Row],[AI_TRU4]]</f>
        <v>6</v>
      </c>
      <c r="AX206">
        <f t="shared" si="99"/>
        <v>0.55555555555555558</v>
      </c>
      <c r="AY206">
        <f>survey_responses[[#This Row],[Tôi thấy Nhà nước đã giải thích rõ ràng, minh bạch về lý do và mục tiêu của việc sửa đổi thuế lần này. - HUMAN-TRU4]]</f>
        <v>4</v>
      </c>
      <c r="AZ206">
        <f t="shared" si="100"/>
        <v>0.33333333333333331</v>
      </c>
      <c r="BA206" s="32">
        <f t="shared" si="101"/>
        <v>0.69444444444444442</v>
      </c>
      <c r="BB206" s="32">
        <f t="shared" si="102"/>
        <v>8.3333333333333329E-2</v>
      </c>
      <c r="BC206" s="7">
        <f t="shared" si="103"/>
        <v>0.71296296296296291</v>
      </c>
      <c r="BD206" s="7">
        <f t="shared" si="104"/>
        <v>0.13888888888888887</v>
      </c>
      <c r="BE206">
        <f>step3_validation[[#This Row],[AI_OUT1]]</f>
        <v>9</v>
      </c>
      <c r="BF206">
        <f t="shared" si="105"/>
        <v>0.88888888888888884</v>
      </c>
      <c r="BG206">
        <f>survey_responses[[#This Row],[Sau khi xem xét các quyền lợi và nghĩa vụ, bạn có ủng hộ và tuân thủ chính sách mới hiện nay? - HUMAN-OUT1]]</f>
        <v>5</v>
      </c>
      <c r="BH206">
        <f t="shared" si="106"/>
        <v>0.44444444444444442</v>
      </c>
      <c r="BI206" s="32">
        <f t="shared" si="107"/>
        <v>4</v>
      </c>
    </row>
    <row r="207" spans="1:61" x14ac:dyDescent="0.45">
      <c r="A207" s="30">
        <f>step3_validation[[#This Row],[Persona_ID]]</f>
        <v>206</v>
      </c>
      <c r="B207" s="31">
        <f>step3_validation[[#This Row],[Used_Seed]]</f>
        <v>2231</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66.754555655497384</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7</v>
      </c>
      <c r="R207">
        <f t="shared" si="81"/>
        <v>0.66666666666666663</v>
      </c>
      <c r="S207">
        <f>survey_responses[[#This Row],[Tôi tin rằng với các quy định quản lý thuế hiện nay, hành vi gian lận hoặc trốn thuế sẽ dễ dàng bị phát hiện và xử lý nghiêm. - HUMAN-ENF1]]</f>
        <v>8</v>
      </c>
      <c r="T207">
        <f t="shared" si="82"/>
        <v>0.77777777777777779</v>
      </c>
      <c r="U207">
        <f>step3_validation[[#This Row],[AI_ENF2]]</f>
        <v>6</v>
      </c>
      <c r="V207">
        <f t="shared" si="83"/>
        <v>0.55555555555555558</v>
      </c>
      <c r="W207">
        <f>survey_responses[[#This Row],[Tôi tin rằng Nhà nước, cơ quan thuế có đủ khả năng và công nghệ để phát hiện, xử lý nghiêm các hành vi trốn thuế. - HUMAN-ENF2]]</f>
        <v>8</v>
      </c>
      <c r="X207">
        <f t="shared" si="84"/>
        <v>0.77777777777777779</v>
      </c>
      <c r="Y207" s="32">
        <f t="shared" si="85"/>
        <v>0.61111111111111116</v>
      </c>
      <c r="Z207" s="32">
        <f t="shared" si="86"/>
        <v>0.77777777777777779</v>
      </c>
      <c r="AA207">
        <f>step3_validation[[#This Row],[AI_FAC1]]</f>
        <v>8</v>
      </c>
      <c r="AB207">
        <f t="shared" si="87"/>
        <v>0.77777777777777779</v>
      </c>
      <c r="AC207">
        <f>survey_responses[[#This Row],[Các thủ tục khai báo thuế VÀ/HOẶC quy trình làm việc với cơ quan thuế đơn giản, tiện lợi, nhanh chóng hơn so với trước đây. - HUMAN-FAC1]]</f>
        <v>5</v>
      </c>
      <c r="AD207">
        <f t="shared" si="88"/>
        <v>0.44444444444444442</v>
      </c>
      <c r="AE207">
        <f>step3_validation[[#This Row],[AI_FAC2]]</f>
        <v>9</v>
      </c>
      <c r="AF207">
        <f t="shared" si="89"/>
        <v>0.88888888888888884</v>
      </c>
      <c r="AG207">
        <f>survey_responses[[#This Row],[So với trước đây, tôi thấy cách tính thuế và các bậc thuế trong phương án mới đơn giản, dễ hiểu và dễ thực hiện hơn. - HUMAN-FAC2]]</f>
        <v>7</v>
      </c>
      <c r="AH207">
        <f t="shared" si="90"/>
        <v>0.66666666666666663</v>
      </c>
      <c r="AI207" s="32">
        <f t="shared" si="91"/>
        <v>0.83333333333333326</v>
      </c>
      <c r="AJ207" s="32">
        <f t="shared" si="92"/>
        <v>0.55555555555555558</v>
      </c>
      <c r="AK207">
        <f>step3_validation[[#This Row],[AI_TRU1]]</f>
        <v>8</v>
      </c>
      <c r="AL207">
        <f t="shared" si="93"/>
        <v>0.77777777777777779</v>
      </c>
      <c r="AM207">
        <f>survey_responses[[#This Row],[Tôi tin rằng Nhà nước, cơ quan thuế sẽ thực thi chính sách mới một cách khách quan, công tâm và đối xử bình đẳng với mọi người nộp thuế.  - HUMAN-TRU1]]</f>
        <v>7</v>
      </c>
      <c r="AN207">
        <f t="shared" si="94"/>
        <v>0.66666666666666663</v>
      </c>
      <c r="AO207">
        <f>step3_validation[[#This Row],[AI_TRU2]]</f>
        <v>9</v>
      </c>
      <c r="AP207">
        <f t="shared" si="95"/>
        <v>0.88888888888888884</v>
      </c>
      <c r="AQ207">
        <f>survey_responses[[#This Row],[Tôi thấy mức thuế tôi phải đóng theo phương án mới là công bằng (người thu nhập như tôi đóng mức này là hợp lý). - HUMAN-TRU2]]</f>
        <v>6</v>
      </c>
      <c r="AR207">
        <f t="shared" si="96"/>
        <v>0.55555555555555558</v>
      </c>
      <c r="AS207">
        <f>step3_validation[[#This Row],[AI_TRU3]]</f>
        <v>8</v>
      </c>
      <c r="AT207">
        <f t="shared" si="97"/>
        <v>0.77777777777777779</v>
      </c>
      <c r="AU207">
        <f>survey_responses[[#This Row],[Tôi tin tưởng số tiền thuế tôi đóng sẽ được Nhà nước sử dụng hiệu quả để cải thiện dịch vụ công (y tế, đường xá...). - HUMAN-TRU3]]</f>
        <v>6</v>
      </c>
      <c r="AV207">
        <f t="shared" si="98"/>
        <v>0.55555555555555558</v>
      </c>
      <c r="AW207">
        <f>step3_validation[[#This Row],[AI_TRU4]]</f>
        <v>7</v>
      </c>
      <c r="AX207">
        <f t="shared" si="99"/>
        <v>0.66666666666666663</v>
      </c>
      <c r="AY207">
        <f>survey_responses[[#This Row],[Tôi thấy Nhà nước đã giải thích rõ ràng, minh bạch về lý do và mục tiêu của việc sửa đổi thuế lần này. - HUMAN-TRU4]]</f>
        <v>7</v>
      </c>
      <c r="AZ207">
        <f t="shared" si="100"/>
        <v>0.66666666666666663</v>
      </c>
      <c r="BA207" s="32">
        <f t="shared" si="101"/>
        <v>0.77777777777777768</v>
      </c>
      <c r="BB207" s="32">
        <f t="shared" si="102"/>
        <v>0.61111111111111116</v>
      </c>
      <c r="BC207" s="7">
        <f t="shared" si="103"/>
        <v>0.74074074074074081</v>
      </c>
      <c r="BD207" s="7">
        <f t="shared" si="104"/>
        <v>0.64814814814814825</v>
      </c>
      <c r="BE207">
        <f>step3_validation[[#This Row],[AI_OUT1]]</f>
        <v>9</v>
      </c>
      <c r="BF207">
        <f t="shared" si="105"/>
        <v>0.88888888888888884</v>
      </c>
      <c r="BG207">
        <f>survey_responses[[#This Row],[Sau khi xem xét các quyền lợi và nghĩa vụ, bạn có ủng hộ và tuân thủ chính sách mới hiện nay? - HUMAN-OUT1]]</f>
        <v>7</v>
      </c>
      <c r="BH207">
        <f t="shared" si="106"/>
        <v>0.66666666666666663</v>
      </c>
      <c r="BI207" s="32">
        <f t="shared" si="107"/>
        <v>2</v>
      </c>
    </row>
    <row r="208" spans="1:61" x14ac:dyDescent="0.45">
      <c r="A208" s="30">
        <f>step3_validation[[#This Row],[Persona_ID]]</f>
        <v>207</v>
      </c>
      <c r="B208" s="31">
        <f>step3_validation[[#This Row],[Used_Seed]]</f>
        <v>2232</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48.582354279252861</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9</v>
      </c>
      <c r="R208">
        <f t="shared" si="81"/>
        <v>0.88888888888888884</v>
      </c>
      <c r="S208">
        <f>survey_responses[[#This Row],[Tôi tin rằng với các quy định quản lý thuế hiện nay, hành vi gian lận hoặc trốn thuế sẽ dễ dàng bị phát hiện và xử lý nghiêm. - HUMAN-ENF1]]</f>
        <v>4</v>
      </c>
      <c r="T208">
        <f t="shared" si="82"/>
        <v>0.33333333333333331</v>
      </c>
      <c r="U208">
        <f>step3_validation[[#This Row],[AI_ENF2]]</f>
        <v>8</v>
      </c>
      <c r="V208">
        <f t="shared" si="83"/>
        <v>0.77777777777777779</v>
      </c>
      <c r="W208">
        <f>survey_responses[[#This Row],[Tôi tin rằng Nhà nước, cơ quan thuế có đủ khả năng và công nghệ để phát hiện, xử lý nghiêm các hành vi trốn thuế. - HUMAN-ENF2]]</f>
        <v>3</v>
      </c>
      <c r="X208">
        <f t="shared" si="84"/>
        <v>0.22222222222222221</v>
      </c>
      <c r="Y208" s="32">
        <f t="shared" si="85"/>
        <v>0.83333333333333326</v>
      </c>
      <c r="Z208" s="32">
        <f t="shared" si="86"/>
        <v>0.27777777777777779</v>
      </c>
      <c r="AA208">
        <f>step3_validation[[#This Row],[AI_FAC1]]</f>
        <v>7</v>
      </c>
      <c r="AB208">
        <f t="shared" si="87"/>
        <v>0.66666666666666663</v>
      </c>
      <c r="AC208">
        <f>survey_responses[[#This Row],[Các thủ tục khai báo thuế VÀ/HOẶC quy trình làm việc với cơ quan thuế đơn giản, tiện lợi, nhanh chóng hơn so với trước đây. - HUMAN-FAC1]]</f>
        <v>1</v>
      </c>
      <c r="AD208">
        <f t="shared" si="88"/>
        <v>0</v>
      </c>
      <c r="AE208">
        <f>step3_validation[[#This Row],[AI_FAC2]]</f>
        <v>8</v>
      </c>
      <c r="AF208">
        <f t="shared" si="89"/>
        <v>0.77777777777777779</v>
      </c>
      <c r="AG208">
        <f>survey_responses[[#This Row],[So với trước đây, tôi thấy cách tính thuế và các bậc thuế trong phương án mới đơn giản, dễ hiểu và dễ thực hiện hơn. - HUMAN-FAC2]]</f>
        <v>2</v>
      </c>
      <c r="AH208">
        <f t="shared" si="90"/>
        <v>0.1111111111111111</v>
      </c>
      <c r="AI208" s="32">
        <f t="shared" si="91"/>
        <v>0.72222222222222221</v>
      </c>
      <c r="AJ208" s="32">
        <f t="shared" si="92"/>
        <v>5.5555555555555552E-2</v>
      </c>
      <c r="AK208">
        <f>step3_validation[[#This Row],[AI_TRU1]]</f>
        <v>9</v>
      </c>
      <c r="AL208">
        <f t="shared" si="93"/>
        <v>0.88888888888888884</v>
      </c>
      <c r="AM208">
        <f>survey_responses[[#This Row],[Tôi tin rằng Nhà nước, cơ quan thuế sẽ thực thi chính sách mới một cách khách quan, công tâm và đối xử bình đẳng với mọi người nộp thuế.  - HUMAN-TRU1]]</f>
        <v>1</v>
      </c>
      <c r="AN208">
        <f t="shared" si="94"/>
        <v>0</v>
      </c>
      <c r="AO208">
        <f>step3_validation[[#This Row],[AI_TRU2]]</f>
        <v>9</v>
      </c>
      <c r="AP208">
        <f t="shared" si="95"/>
        <v>0.88888888888888884</v>
      </c>
      <c r="AQ208">
        <f>survey_responses[[#This Row],[Tôi thấy mức thuế tôi phải đóng theo phương án mới là công bằng (người thu nhập như tôi đóng mức này là hợp lý). - HUMAN-TRU2]]</f>
        <v>1</v>
      </c>
      <c r="AR208">
        <f t="shared" si="96"/>
        <v>0</v>
      </c>
      <c r="AS208">
        <f>step3_validation[[#This Row],[AI_TRU3]]</f>
        <v>8</v>
      </c>
      <c r="AT208">
        <f t="shared" si="97"/>
        <v>0.77777777777777779</v>
      </c>
      <c r="AU208">
        <f>survey_responses[[#This Row],[Tôi tin tưởng số tiền thuế tôi đóng sẽ được Nhà nước sử dụng hiệu quả để cải thiện dịch vụ công (y tế, đường xá...). - HUMAN-TRU3]]</f>
        <v>1</v>
      </c>
      <c r="AV208">
        <f t="shared" si="98"/>
        <v>0</v>
      </c>
      <c r="AW208">
        <f>step3_validation[[#This Row],[AI_TRU4]]</f>
        <v>9</v>
      </c>
      <c r="AX208">
        <f t="shared" si="99"/>
        <v>0.88888888888888884</v>
      </c>
      <c r="AY208">
        <f>survey_responses[[#This Row],[Tôi thấy Nhà nước đã giải thích rõ ràng, minh bạch về lý do và mục tiêu của việc sửa đổi thuế lần này. - HUMAN-TRU4]]</f>
        <v>4</v>
      </c>
      <c r="AZ208">
        <f t="shared" si="100"/>
        <v>0.33333333333333331</v>
      </c>
      <c r="BA208" s="32">
        <f t="shared" si="101"/>
        <v>0.86111111111111105</v>
      </c>
      <c r="BB208" s="32">
        <f t="shared" si="102"/>
        <v>8.3333333333333329E-2</v>
      </c>
      <c r="BC208" s="7">
        <f t="shared" si="103"/>
        <v>0.80555555555555547</v>
      </c>
      <c r="BD208" s="7">
        <f t="shared" si="104"/>
        <v>0.1388888888888889</v>
      </c>
      <c r="BE208">
        <f>step3_validation[[#This Row],[AI_OUT1]]</f>
        <v>9</v>
      </c>
      <c r="BF208">
        <f t="shared" si="105"/>
        <v>0.88888888888888884</v>
      </c>
      <c r="BG208">
        <f>survey_responses[[#This Row],[Sau khi xem xét các quyền lợi và nghĩa vụ, bạn có ủng hộ và tuân thủ chính sách mới hiện nay? - HUMAN-OUT1]]</f>
        <v>2</v>
      </c>
      <c r="BH208">
        <f t="shared" si="106"/>
        <v>0.1111111111111111</v>
      </c>
      <c r="BI208" s="32">
        <f t="shared" si="107"/>
        <v>7</v>
      </c>
    </row>
    <row r="209" spans="1:61" x14ac:dyDescent="0.45">
      <c r="A209" s="30">
        <f>step3_validation[[#This Row],[Persona_ID]]</f>
        <v>208</v>
      </c>
      <c r="B209" s="31">
        <f>step3_validation[[#This Row],[Used_Seed]]</f>
        <v>2233</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36.61376532837847</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5</v>
      </c>
      <c r="R209">
        <f t="shared" si="81"/>
        <v>0.44444444444444442</v>
      </c>
      <c r="S209">
        <f>survey_responses[[#This Row],[Tôi tin rằng với các quy định quản lý thuế hiện nay, hành vi gian lận hoặc trốn thuế sẽ dễ dàng bị phát hiện và xử lý nghiêm. - HUMAN-ENF1]]</f>
        <v>7</v>
      </c>
      <c r="T209">
        <f t="shared" si="82"/>
        <v>0.66666666666666663</v>
      </c>
      <c r="U209">
        <f>step3_validation[[#This Row],[AI_ENF2]]</f>
        <v>6</v>
      </c>
      <c r="V209">
        <f t="shared" si="83"/>
        <v>0.55555555555555558</v>
      </c>
      <c r="W209">
        <f>survey_responses[[#This Row],[Tôi tin rằng Nhà nước, cơ quan thuế có đủ khả năng và công nghệ để phát hiện, xử lý nghiêm các hành vi trốn thuế. - HUMAN-ENF2]]</f>
        <v>8</v>
      </c>
      <c r="X209">
        <f t="shared" si="84"/>
        <v>0.77777777777777779</v>
      </c>
      <c r="Y209" s="32">
        <f t="shared" si="85"/>
        <v>0.5</v>
      </c>
      <c r="Z209" s="32">
        <f t="shared" si="86"/>
        <v>0.72222222222222221</v>
      </c>
      <c r="AA209">
        <f>step3_validation[[#This Row],[AI_FAC1]]</f>
        <v>7</v>
      </c>
      <c r="AB209">
        <f t="shared" si="87"/>
        <v>0.66666666666666663</v>
      </c>
      <c r="AC209">
        <f>survey_responses[[#This Row],[Các thủ tục khai báo thuế VÀ/HOẶC quy trình làm việc với cơ quan thuế đơn giản, tiện lợi, nhanh chóng hơn so với trước đây. - HUMAN-FAC1]]</f>
        <v>6</v>
      </c>
      <c r="AD209">
        <f t="shared" si="88"/>
        <v>0.55555555555555558</v>
      </c>
      <c r="AE209">
        <f>step3_validation[[#This Row],[AI_FAC2]]</f>
        <v>9</v>
      </c>
      <c r="AF209">
        <f t="shared" si="89"/>
        <v>0.88888888888888884</v>
      </c>
      <c r="AG209">
        <f>survey_responses[[#This Row],[So với trước đây, tôi thấy cách tính thuế và các bậc thuế trong phương án mới đơn giản, dễ hiểu và dễ thực hiện hơn. - HUMAN-FAC2]]</f>
        <v>7</v>
      </c>
      <c r="AH209">
        <f t="shared" si="90"/>
        <v>0.66666666666666663</v>
      </c>
      <c r="AI209" s="32">
        <f t="shared" si="91"/>
        <v>0.77777777777777768</v>
      </c>
      <c r="AJ209" s="32">
        <f t="shared" si="92"/>
        <v>0.61111111111111116</v>
      </c>
      <c r="AK209">
        <f>step3_validation[[#This Row],[AI_TRU1]]</f>
        <v>4</v>
      </c>
      <c r="AL209">
        <f t="shared" si="93"/>
        <v>0.33333333333333331</v>
      </c>
      <c r="AM209">
        <f>survey_responses[[#This Row],[Tôi tin rằng Nhà nước, cơ quan thuế sẽ thực thi chính sách mới một cách khách quan, công tâm và đối xử bình đẳng với mọi người nộp thuế.  - HUMAN-TRU1]]</f>
        <v>6</v>
      </c>
      <c r="AN209">
        <f t="shared" si="94"/>
        <v>0.55555555555555558</v>
      </c>
      <c r="AO209">
        <f>step3_validation[[#This Row],[AI_TRU2]]</f>
        <v>8</v>
      </c>
      <c r="AP209">
        <f t="shared" si="95"/>
        <v>0.77777777777777779</v>
      </c>
      <c r="AQ209">
        <f>survey_responses[[#This Row],[Tôi thấy mức thuế tôi phải đóng theo phương án mới là công bằng (người thu nhập như tôi đóng mức này là hợp lý). - HUMAN-TRU2]]</f>
        <v>7</v>
      </c>
      <c r="AR209">
        <f t="shared" si="96"/>
        <v>0.66666666666666663</v>
      </c>
      <c r="AS209">
        <f>step3_validation[[#This Row],[AI_TRU3]]</f>
        <v>6</v>
      </c>
      <c r="AT209">
        <f t="shared" si="97"/>
        <v>0.55555555555555558</v>
      </c>
      <c r="AU209">
        <f>survey_responses[[#This Row],[Tôi tin tưởng số tiền thuế tôi đóng sẽ được Nhà nước sử dụng hiệu quả để cải thiện dịch vụ công (y tế, đường xá...). - HUMAN-TRU3]]</f>
        <v>6</v>
      </c>
      <c r="AV209">
        <f t="shared" si="98"/>
        <v>0.55555555555555558</v>
      </c>
      <c r="AW209">
        <f>step3_validation[[#This Row],[AI_TRU4]]</f>
        <v>7</v>
      </c>
      <c r="AX209">
        <f t="shared" si="99"/>
        <v>0.66666666666666663</v>
      </c>
      <c r="AY209">
        <f>survey_responses[[#This Row],[Tôi thấy Nhà nước đã giải thích rõ ràng, minh bạch về lý do và mục tiêu của việc sửa đổi thuế lần này. - HUMAN-TRU4]]</f>
        <v>6</v>
      </c>
      <c r="AZ209">
        <f t="shared" si="100"/>
        <v>0.55555555555555558</v>
      </c>
      <c r="BA209" s="32">
        <f t="shared" si="101"/>
        <v>0.58333333333333337</v>
      </c>
      <c r="BB209" s="32">
        <f t="shared" si="102"/>
        <v>0.58333333333333337</v>
      </c>
      <c r="BC209" s="7">
        <f t="shared" si="103"/>
        <v>0.62037037037037035</v>
      </c>
      <c r="BD209" s="7">
        <f t="shared" si="104"/>
        <v>0.63888888888888895</v>
      </c>
      <c r="BE209">
        <f>step3_validation[[#This Row],[AI_OUT1]]</f>
        <v>6</v>
      </c>
      <c r="BF209">
        <f t="shared" si="105"/>
        <v>0.55555555555555558</v>
      </c>
      <c r="BG209">
        <f>survey_responses[[#This Row],[Sau khi xem xét các quyền lợi và nghĩa vụ, bạn có ủng hộ và tuân thủ chính sách mới hiện nay? - HUMAN-OUT1]]</f>
        <v>6</v>
      </c>
      <c r="BH209">
        <f t="shared" si="106"/>
        <v>0.55555555555555558</v>
      </c>
      <c r="BI209" s="32">
        <f t="shared" si="107"/>
        <v>0</v>
      </c>
    </row>
    <row r="210" spans="1:61" x14ac:dyDescent="0.45">
      <c r="A210" s="30">
        <f>step3_validation[[#This Row],[Persona_ID]]</f>
        <v>209</v>
      </c>
      <c r="B210" s="31">
        <f>step3_validation[[#This Row],[Used_Seed]]</f>
        <v>2234</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37.444890378158497</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7</v>
      </c>
      <c r="R210">
        <f t="shared" si="81"/>
        <v>0.66666666666666663</v>
      </c>
      <c r="S210">
        <f>survey_responses[[#This Row],[Tôi tin rằng với các quy định quản lý thuế hiện nay, hành vi gian lận hoặc trốn thuế sẽ dễ dàng bị phát hiện và xử lý nghiêm. - HUMAN-ENF1]]</f>
        <v>6</v>
      </c>
      <c r="T210">
        <f t="shared" si="82"/>
        <v>0.55555555555555558</v>
      </c>
      <c r="U210">
        <f>step3_validation[[#This Row],[AI_ENF2]]</f>
        <v>8</v>
      </c>
      <c r="V210">
        <f t="shared" si="83"/>
        <v>0.77777777777777779</v>
      </c>
      <c r="W210">
        <f>survey_responses[[#This Row],[Tôi tin rằng Nhà nước, cơ quan thuế có đủ khả năng và công nghệ để phát hiện, xử lý nghiêm các hành vi trốn thuế. - HUMAN-ENF2]]</f>
        <v>6</v>
      </c>
      <c r="X210">
        <f t="shared" si="84"/>
        <v>0.55555555555555558</v>
      </c>
      <c r="Y210" s="32">
        <f t="shared" si="85"/>
        <v>0.72222222222222221</v>
      </c>
      <c r="Z210" s="32">
        <f t="shared" si="86"/>
        <v>0.55555555555555558</v>
      </c>
      <c r="AA210">
        <f>step3_validation[[#This Row],[AI_FAC1]]</f>
        <v>9</v>
      </c>
      <c r="AB210">
        <f t="shared" si="87"/>
        <v>0.88888888888888884</v>
      </c>
      <c r="AC210">
        <f>survey_responses[[#This Row],[Các thủ tục khai báo thuế VÀ/HOẶC quy trình làm việc với cơ quan thuế đơn giản, tiện lợi, nhanh chóng hơn so với trước đây. - HUMAN-FAC1]]</f>
        <v>6</v>
      </c>
      <c r="AD210">
        <f t="shared" si="88"/>
        <v>0.55555555555555558</v>
      </c>
      <c r="AE210">
        <f>step3_validation[[#This Row],[AI_FAC2]]</f>
        <v>8</v>
      </c>
      <c r="AF210">
        <f t="shared" si="89"/>
        <v>0.77777777777777779</v>
      </c>
      <c r="AG210">
        <f>survey_responses[[#This Row],[So với trước đây, tôi thấy cách tính thuế và các bậc thuế trong phương án mới đơn giản, dễ hiểu và dễ thực hiện hơn. - HUMAN-FAC2]]</f>
        <v>6</v>
      </c>
      <c r="AH210">
        <f t="shared" si="90"/>
        <v>0.55555555555555558</v>
      </c>
      <c r="AI210" s="32">
        <f t="shared" si="91"/>
        <v>0.83333333333333326</v>
      </c>
      <c r="AJ210" s="32">
        <f t="shared" si="92"/>
        <v>0.55555555555555558</v>
      </c>
      <c r="AK210">
        <f>step3_validation[[#This Row],[AI_TRU1]]</f>
        <v>9</v>
      </c>
      <c r="AL210">
        <f t="shared" si="93"/>
        <v>0.88888888888888884</v>
      </c>
      <c r="AM210">
        <f>survey_responses[[#This Row],[Tôi tin rằng Nhà nước, cơ quan thuế sẽ thực thi chính sách mới một cách khách quan, công tâm và đối xử bình đẳng với mọi người nộp thuế.  - HUMAN-TRU1]]</f>
        <v>6</v>
      </c>
      <c r="AN210">
        <f t="shared" si="94"/>
        <v>0.55555555555555558</v>
      </c>
      <c r="AO210">
        <f>step3_validation[[#This Row],[AI_TRU2]]</f>
        <v>8</v>
      </c>
      <c r="AP210">
        <f t="shared" si="95"/>
        <v>0.77777777777777779</v>
      </c>
      <c r="AQ210">
        <f>survey_responses[[#This Row],[Tôi thấy mức thuế tôi phải đóng theo phương án mới là công bằng (người thu nhập như tôi đóng mức này là hợp lý). - HUMAN-TRU2]]</f>
        <v>5</v>
      </c>
      <c r="AR210">
        <f t="shared" si="96"/>
        <v>0.44444444444444442</v>
      </c>
      <c r="AS210">
        <f>step3_validation[[#This Row],[AI_TRU3]]</f>
        <v>9</v>
      </c>
      <c r="AT210">
        <f t="shared" si="97"/>
        <v>0.88888888888888884</v>
      </c>
      <c r="AU210">
        <f>survey_responses[[#This Row],[Tôi tin tưởng số tiền thuế tôi đóng sẽ được Nhà nước sử dụng hiệu quả để cải thiện dịch vụ công (y tế, đường xá...). - HUMAN-TRU3]]</f>
        <v>6</v>
      </c>
      <c r="AV210">
        <f t="shared" si="98"/>
        <v>0.55555555555555558</v>
      </c>
      <c r="AW210">
        <f>step3_validation[[#This Row],[AI_TRU4]]</f>
        <v>8</v>
      </c>
      <c r="AX210">
        <f t="shared" si="99"/>
        <v>0.77777777777777779</v>
      </c>
      <c r="AY210">
        <f>survey_responses[[#This Row],[Tôi thấy Nhà nước đã giải thích rõ ràng, minh bạch về lý do và mục tiêu của việc sửa đổi thuế lần này. - HUMAN-TRU4]]</f>
        <v>6</v>
      </c>
      <c r="AZ210">
        <f t="shared" si="100"/>
        <v>0.55555555555555558</v>
      </c>
      <c r="BA210" s="32">
        <f t="shared" si="101"/>
        <v>0.83333333333333326</v>
      </c>
      <c r="BB210" s="32">
        <f t="shared" si="102"/>
        <v>0.52777777777777779</v>
      </c>
      <c r="BC210" s="7">
        <f t="shared" si="103"/>
        <v>0.79629629629629617</v>
      </c>
      <c r="BD210" s="7">
        <f t="shared" si="104"/>
        <v>0.54629629629629628</v>
      </c>
      <c r="BE210">
        <f>step3_validation[[#This Row],[AI_OUT1]]</f>
        <v>9</v>
      </c>
      <c r="BF210">
        <f t="shared" si="105"/>
        <v>0.88888888888888884</v>
      </c>
      <c r="BG210">
        <f>survey_responses[[#This Row],[Sau khi xem xét các quyền lợi và nghĩa vụ, bạn có ủng hộ và tuân thủ chính sách mới hiện nay? - HUMAN-OUT1]]</f>
        <v>6</v>
      </c>
      <c r="BH210">
        <f t="shared" si="106"/>
        <v>0.55555555555555558</v>
      </c>
      <c r="BI210" s="32">
        <f t="shared" si="107"/>
        <v>3</v>
      </c>
    </row>
    <row r="211" spans="1:61" x14ac:dyDescent="0.45">
      <c r="A211" s="30">
        <f>step3_validation[[#This Row],[Persona_ID]]</f>
        <v>210</v>
      </c>
      <c r="B211" s="31">
        <f>step3_validation[[#This Row],[Used_Seed]]</f>
        <v>2235</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26.478413865656933</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8</v>
      </c>
      <c r="R211">
        <f t="shared" si="81"/>
        <v>0.77777777777777779</v>
      </c>
      <c r="S211">
        <f>survey_responses[[#This Row],[Tôi tin rằng với các quy định quản lý thuế hiện nay, hành vi gian lận hoặc trốn thuế sẽ dễ dàng bị phát hiện và xử lý nghiêm. - HUMAN-ENF1]]</f>
        <v>7</v>
      </c>
      <c r="T211">
        <f t="shared" si="82"/>
        <v>0.66666666666666663</v>
      </c>
      <c r="U211">
        <f>step3_validation[[#This Row],[AI_ENF2]]</f>
        <v>9</v>
      </c>
      <c r="V211">
        <f t="shared" si="83"/>
        <v>0.88888888888888884</v>
      </c>
      <c r="W211">
        <f>survey_responses[[#This Row],[Tôi tin rằng Nhà nước, cơ quan thuế có đủ khả năng và công nghệ để phát hiện, xử lý nghiêm các hành vi trốn thuế. - HUMAN-ENF2]]</f>
        <v>7</v>
      </c>
      <c r="X211">
        <f t="shared" si="84"/>
        <v>0.66666666666666663</v>
      </c>
      <c r="Y211" s="32">
        <f t="shared" si="85"/>
        <v>0.83333333333333326</v>
      </c>
      <c r="Z211" s="32">
        <f t="shared" si="86"/>
        <v>0.66666666666666663</v>
      </c>
      <c r="AA211">
        <f>step3_validation[[#This Row],[AI_FAC1]]</f>
        <v>8</v>
      </c>
      <c r="AB211">
        <f t="shared" si="87"/>
        <v>0.77777777777777779</v>
      </c>
      <c r="AC211">
        <f>survey_responses[[#This Row],[Các thủ tục khai báo thuế VÀ/HOẶC quy trình làm việc với cơ quan thuế đơn giản, tiện lợi, nhanh chóng hơn so với trước đây. - HUMAN-FAC1]]</f>
        <v>8</v>
      </c>
      <c r="AD211">
        <f t="shared" si="88"/>
        <v>0.77777777777777779</v>
      </c>
      <c r="AE211">
        <f>step3_validation[[#This Row],[AI_FAC2]]</f>
        <v>9</v>
      </c>
      <c r="AF211">
        <f t="shared" si="89"/>
        <v>0.88888888888888884</v>
      </c>
      <c r="AG211">
        <f>survey_responses[[#This Row],[So với trước đây, tôi thấy cách tính thuế và các bậc thuế trong phương án mới đơn giản, dễ hiểu và dễ thực hiện hơn. - HUMAN-FAC2]]</f>
        <v>8</v>
      </c>
      <c r="AH211">
        <f t="shared" si="90"/>
        <v>0.77777777777777779</v>
      </c>
      <c r="AI211" s="32">
        <f t="shared" si="91"/>
        <v>0.83333333333333326</v>
      </c>
      <c r="AJ211" s="32">
        <f t="shared" si="92"/>
        <v>0.77777777777777779</v>
      </c>
      <c r="AK211">
        <f>step3_validation[[#This Row],[AI_TRU1]]</f>
        <v>8</v>
      </c>
      <c r="AL211">
        <f t="shared" si="93"/>
        <v>0.77777777777777779</v>
      </c>
      <c r="AM211">
        <f>survey_responses[[#This Row],[Tôi tin rằng Nhà nước, cơ quan thuế sẽ thực thi chính sách mới một cách khách quan, công tâm và đối xử bình đẳng với mọi người nộp thuế.  - HUMAN-TRU1]]</f>
        <v>8</v>
      </c>
      <c r="AN211">
        <f t="shared" si="94"/>
        <v>0.77777777777777779</v>
      </c>
      <c r="AO211">
        <f>step3_validation[[#This Row],[AI_TRU2]]</f>
        <v>9</v>
      </c>
      <c r="AP211">
        <f t="shared" si="95"/>
        <v>0.88888888888888884</v>
      </c>
      <c r="AQ211">
        <f>survey_responses[[#This Row],[Tôi thấy mức thuế tôi phải đóng theo phương án mới là công bằng (người thu nhập như tôi đóng mức này là hợp lý). - HUMAN-TRU2]]</f>
        <v>9</v>
      </c>
      <c r="AR211">
        <f t="shared" si="96"/>
        <v>0.88888888888888884</v>
      </c>
      <c r="AS211">
        <f>step3_validation[[#This Row],[AI_TRU3]]</f>
        <v>8</v>
      </c>
      <c r="AT211">
        <f t="shared" si="97"/>
        <v>0.77777777777777779</v>
      </c>
      <c r="AU211">
        <f>survey_responses[[#This Row],[Tôi tin tưởng số tiền thuế tôi đóng sẽ được Nhà nước sử dụng hiệu quả để cải thiện dịch vụ công (y tế, đường xá...). - HUMAN-TRU3]]</f>
        <v>8</v>
      </c>
      <c r="AV211">
        <f t="shared" si="98"/>
        <v>0.77777777777777779</v>
      </c>
      <c r="AW211">
        <f>step3_validation[[#This Row],[AI_TRU4]]</f>
        <v>9</v>
      </c>
      <c r="AX211">
        <f t="shared" si="99"/>
        <v>0.88888888888888884</v>
      </c>
      <c r="AY211">
        <f>survey_responses[[#This Row],[Tôi thấy Nhà nước đã giải thích rõ ràng, minh bạch về lý do và mục tiêu của việc sửa đổi thuế lần này. - HUMAN-TRU4]]</f>
        <v>8</v>
      </c>
      <c r="AZ211">
        <f t="shared" si="100"/>
        <v>0.77777777777777779</v>
      </c>
      <c r="BA211" s="32">
        <f t="shared" si="101"/>
        <v>0.83333333333333326</v>
      </c>
      <c r="BB211" s="32">
        <f t="shared" si="102"/>
        <v>0.80555555555555547</v>
      </c>
      <c r="BC211" s="7">
        <f t="shared" si="103"/>
        <v>0.83333333333333337</v>
      </c>
      <c r="BD211" s="7">
        <f t="shared" si="104"/>
        <v>0.75</v>
      </c>
      <c r="BE211">
        <f>step3_validation[[#This Row],[AI_OUT1]]</f>
        <v>8</v>
      </c>
      <c r="BF211">
        <f t="shared" si="105"/>
        <v>0.77777777777777779</v>
      </c>
      <c r="BG211">
        <f>survey_responses[[#This Row],[Sau khi xem xét các quyền lợi và nghĩa vụ, bạn có ủng hộ và tuân thủ chính sách mới hiện nay? - HUMAN-OUT1]]</f>
        <v>8</v>
      </c>
      <c r="BH211">
        <f t="shared" si="106"/>
        <v>0.77777777777777779</v>
      </c>
      <c r="BI211" s="32">
        <f t="shared" si="107"/>
        <v>0</v>
      </c>
    </row>
    <row r="212" spans="1:61" x14ac:dyDescent="0.45">
      <c r="A212" s="30">
        <f>step3_validation[[#This Row],[Persona_ID]]</f>
        <v>211</v>
      </c>
      <c r="B212" s="31">
        <f>step3_validation[[#This Row],[Used_Seed]]</f>
        <v>2236</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56.273450871487782</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7</v>
      </c>
      <c r="R212">
        <f t="shared" si="81"/>
        <v>0.66666666666666663</v>
      </c>
      <c r="S212">
        <f>survey_responses[[#This Row],[Tôi tin rằng với các quy định quản lý thuế hiện nay, hành vi gian lận hoặc trốn thuế sẽ dễ dàng bị phát hiện và xử lý nghiêm. - HUMAN-ENF1]]</f>
        <v>7</v>
      </c>
      <c r="T212">
        <f t="shared" si="82"/>
        <v>0.66666666666666663</v>
      </c>
      <c r="U212">
        <f>step3_validation[[#This Row],[AI_ENF2]]</f>
        <v>6</v>
      </c>
      <c r="V212">
        <f t="shared" si="83"/>
        <v>0.55555555555555558</v>
      </c>
      <c r="W212">
        <f>survey_responses[[#This Row],[Tôi tin rằng Nhà nước, cơ quan thuế có đủ khả năng và công nghệ để phát hiện, xử lý nghiêm các hành vi trốn thuế. - HUMAN-ENF2]]</f>
        <v>7</v>
      </c>
      <c r="X212">
        <f t="shared" si="84"/>
        <v>0.66666666666666663</v>
      </c>
      <c r="Y212" s="32">
        <f t="shared" si="85"/>
        <v>0.61111111111111116</v>
      </c>
      <c r="Z212" s="32">
        <f t="shared" si="86"/>
        <v>0.66666666666666663</v>
      </c>
      <c r="AA212">
        <f>step3_validation[[#This Row],[AI_FAC1]]</f>
        <v>8</v>
      </c>
      <c r="AB212">
        <f t="shared" si="87"/>
        <v>0.77777777777777779</v>
      </c>
      <c r="AC212">
        <f>survey_responses[[#This Row],[Các thủ tục khai báo thuế VÀ/HOẶC quy trình làm việc với cơ quan thuế đơn giản, tiện lợi, nhanh chóng hơn so với trước đây. - HUMAN-FAC1]]</f>
        <v>7</v>
      </c>
      <c r="AD212">
        <f t="shared" si="88"/>
        <v>0.66666666666666663</v>
      </c>
      <c r="AE212">
        <f>step3_validation[[#This Row],[AI_FAC2]]</f>
        <v>9</v>
      </c>
      <c r="AF212">
        <f t="shared" si="89"/>
        <v>0.88888888888888884</v>
      </c>
      <c r="AG212">
        <f>survey_responses[[#This Row],[So với trước đây, tôi thấy cách tính thuế và các bậc thuế trong phương án mới đơn giản, dễ hiểu và dễ thực hiện hơn. - HUMAN-FAC2]]</f>
        <v>7</v>
      </c>
      <c r="AH212">
        <f t="shared" si="90"/>
        <v>0.66666666666666663</v>
      </c>
      <c r="AI212" s="32">
        <f t="shared" si="91"/>
        <v>0.83333333333333326</v>
      </c>
      <c r="AJ212" s="32">
        <f t="shared" si="92"/>
        <v>0.66666666666666663</v>
      </c>
      <c r="AK212">
        <f>step3_validation[[#This Row],[AI_TRU1]]</f>
        <v>7</v>
      </c>
      <c r="AL212">
        <f t="shared" si="93"/>
        <v>0.66666666666666663</v>
      </c>
      <c r="AM212">
        <f>survey_responses[[#This Row],[Tôi tin rằng Nhà nước, cơ quan thuế sẽ thực thi chính sách mới một cách khách quan, công tâm và đối xử bình đẳng với mọi người nộp thuế.  - HUMAN-TRU1]]</f>
        <v>7</v>
      </c>
      <c r="AN212">
        <f t="shared" si="94"/>
        <v>0.66666666666666663</v>
      </c>
      <c r="AO212">
        <f>step3_validation[[#This Row],[AI_TRU2]]</f>
        <v>8</v>
      </c>
      <c r="AP212">
        <f t="shared" si="95"/>
        <v>0.77777777777777779</v>
      </c>
      <c r="AQ212">
        <f>survey_responses[[#This Row],[Tôi thấy mức thuế tôi phải đóng theo phương án mới là công bằng (người thu nhập như tôi đóng mức này là hợp lý). - HUMAN-TRU2]]</f>
        <v>7</v>
      </c>
      <c r="AR212">
        <f t="shared" si="96"/>
        <v>0.66666666666666663</v>
      </c>
      <c r="AS212">
        <f>step3_validation[[#This Row],[AI_TRU3]]</f>
        <v>7</v>
      </c>
      <c r="AT212">
        <f t="shared" si="97"/>
        <v>0.66666666666666663</v>
      </c>
      <c r="AU212">
        <f>survey_responses[[#This Row],[Tôi tin tưởng số tiền thuế tôi đóng sẽ được Nhà nước sử dụng hiệu quả để cải thiện dịch vụ công (y tế, đường xá...). - HUMAN-TRU3]]</f>
        <v>7</v>
      </c>
      <c r="AV212">
        <f t="shared" si="98"/>
        <v>0.66666666666666663</v>
      </c>
      <c r="AW212">
        <f>step3_validation[[#This Row],[AI_TRU4]]</f>
        <v>6</v>
      </c>
      <c r="AX212">
        <f t="shared" si="99"/>
        <v>0.55555555555555558</v>
      </c>
      <c r="AY212">
        <f>survey_responses[[#This Row],[Tôi thấy Nhà nước đã giải thích rõ ràng, minh bạch về lý do và mục tiêu của việc sửa đổi thuế lần này. - HUMAN-TRU4]]</f>
        <v>7</v>
      </c>
      <c r="AZ212">
        <f t="shared" si="100"/>
        <v>0.66666666666666663</v>
      </c>
      <c r="BA212" s="32">
        <f t="shared" si="101"/>
        <v>0.66666666666666674</v>
      </c>
      <c r="BB212" s="32">
        <f t="shared" si="102"/>
        <v>0.66666666666666663</v>
      </c>
      <c r="BC212" s="7">
        <f t="shared" si="103"/>
        <v>0.70370370370370372</v>
      </c>
      <c r="BD212" s="7">
        <f t="shared" si="104"/>
        <v>0.66666666666666663</v>
      </c>
      <c r="BE212">
        <f>step3_validation[[#This Row],[AI_OUT1]]</f>
        <v>9</v>
      </c>
      <c r="BF212">
        <f t="shared" si="105"/>
        <v>0.88888888888888884</v>
      </c>
      <c r="BG212">
        <f>survey_responses[[#This Row],[Sau khi xem xét các quyền lợi và nghĩa vụ, bạn có ủng hộ và tuân thủ chính sách mới hiện nay? - HUMAN-OUT1]]</f>
        <v>7</v>
      </c>
      <c r="BH212">
        <f t="shared" si="106"/>
        <v>0.66666666666666663</v>
      </c>
      <c r="BI212" s="32">
        <f t="shared" si="107"/>
        <v>2</v>
      </c>
    </row>
    <row r="213" spans="1:61" x14ac:dyDescent="0.45">
      <c r="A213" s="30">
        <f>step3_validation[[#This Row],[Persona_ID]]</f>
        <v>212</v>
      </c>
      <c r="B213" s="31">
        <f>step3_validation[[#This Row],[Used_Seed]]</f>
        <v>2237</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64.505820703954043</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6</v>
      </c>
      <c r="R213">
        <f t="shared" si="81"/>
        <v>0.55555555555555558</v>
      </c>
      <c r="S213">
        <f>survey_responses[[#This Row],[Tôi tin rằng với các quy định quản lý thuế hiện nay, hành vi gian lận hoặc trốn thuế sẽ dễ dàng bị phát hiện và xử lý nghiêm. - HUMAN-ENF1]]</f>
        <v>5</v>
      </c>
      <c r="T213">
        <f t="shared" si="82"/>
        <v>0.44444444444444442</v>
      </c>
      <c r="U213">
        <f>step3_validation[[#This Row],[AI_ENF2]]</f>
        <v>5</v>
      </c>
      <c r="V213">
        <f t="shared" si="83"/>
        <v>0.44444444444444442</v>
      </c>
      <c r="W213">
        <f>survey_responses[[#This Row],[Tôi tin rằng Nhà nước, cơ quan thuế có đủ khả năng và công nghệ để phát hiện, xử lý nghiêm các hành vi trốn thuế. - HUMAN-ENF2]]</f>
        <v>5</v>
      </c>
      <c r="X213">
        <f t="shared" si="84"/>
        <v>0.44444444444444442</v>
      </c>
      <c r="Y213" s="32">
        <f t="shared" si="85"/>
        <v>0.5</v>
      </c>
      <c r="Z213" s="32">
        <f t="shared" si="86"/>
        <v>0.44444444444444442</v>
      </c>
      <c r="AA213">
        <f>step3_validation[[#This Row],[AI_FAC1]]</f>
        <v>7</v>
      </c>
      <c r="AB213">
        <f t="shared" si="87"/>
        <v>0.66666666666666663</v>
      </c>
      <c r="AC213">
        <f>survey_responses[[#This Row],[Các thủ tục khai báo thuế VÀ/HOẶC quy trình làm việc với cơ quan thuế đơn giản, tiện lợi, nhanh chóng hơn so với trước đây. - HUMAN-FAC1]]</f>
        <v>1</v>
      </c>
      <c r="AD213">
        <f t="shared" si="88"/>
        <v>0</v>
      </c>
      <c r="AE213">
        <f>step3_validation[[#This Row],[AI_FAC2]]</f>
        <v>8</v>
      </c>
      <c r="AF213">
        <f t="shared" si="89"/>
        <v>0.77777777777777779</v>
      </c>
      <c r="AG213">
        <f>survey_responses[[#This Row],[So với trước đây, tôi thấy cách tính thuế và các bậc thuế trong phương án mới đơn giản, dễ hiểu và dễ thực hiện hơn. - HUMAN-FAC2]]</f>
        <v>5</v>
      </c>
      <c r="AH213">
        <f t="shared" si="90"/>
        <v>0.44444444444444442</v>
      </c>
      <c r="AI213" s="32">
        <f t="shared" si="91"/>
        <v>0.72222222222222221</v>
      </c>
      <c r="AJ213" s="32">
        <f t="shared" si="92"/>
        <v>0.22222222222222221</v>
      </c>
      <c r="AK213">
        <f>step3_validation[[#This Row],[AI_TRU1]]</f>
        <v>6</v>
      </c>
      <c r="AL213">
        <f t="shared" si="93"/>
        <v>0.55555555555555558</v>
      </c>
      <c r="AM213">
        <f>survey_responses[[#This Row],[Tôi tin rằng Nhà nước, cơ quan thuế sẽ thực thi chính sách mới một cách khách quan, công tâm và đối xử bình đẳng với mọi người nộp thuế.  - HUMAN-TRU1]]</f>
        <v>5</v>
      </c>
      <c r="AN213">
        <f t="shared" si="94"/>
        <v>0.44444444444444442</v>
      </c>
      <c r="AO213">
        <f>step3_validation[[#This Row],[AI_TRU2]]</f>
        <v>9</v>
      </c>
      <c r="AP213">
        <f t="shared" si="95"/>
        <v>0.88888888888888884</v>
      </c>
      <c r="AQ213">
        <f>survey_responses[[#This Row],[Tôi thấy mức thuế tôi phải đóng theo phương án mới là công bằng (người thu nhập như tôi đóng mức này là hợp lý). - HUMAN-TRU2]]</f>
        <v>5</v>
      </c>
      <c r="AR213">
        <f t="shared" si="96"/>
        <v>0.44444444444444442</v>
      </c>
      <c r="AS213">
        <f>step3_validation[[#This Row],[AI_TRU3]]</f>
        <v>7</v>
      </c>
      <c r="AT213">
        <f t="shared" si="97"/>
        <v>0.66666666666666663</v>
      </c>
      <c r="AU213">
        <f>survey_responses[[#This Row],[Tôi tin tưởng số tiền thuế tôi đóng sẽ được Nhà nước sử dụng hiệu quả để cải thiện dịch vụ công (y tế, đường xá...). - HUMAN-TRU3]]</f>
        <v>4</v>
      </c>
      <c r="AV213">
        <f t="shared" si="98"/>
        <v>0.33333333333333331</v>
      </c>
      <c r="AW213">
        <f>step3_validation[[#This Row],[AI_TRU4]]</f>
        <v>8</v>
      </c>
      <c r="AX213">
        <f t="shared" si="99"/>
        <v>0.77777777777777779</v>
      </c>
      <c r="AY213">
        <f>survey_responses[[#This Row],[Tôi thấy Nhà nước đã giải thích rõ ràng, minh bạch về lý do và mục tiêu của việc sửa đổi thuế lần này. - HUMAN-TRU4]]</f>
        <v>5</v>
      </c>
      <c r="AZ213">
        <f t="shared" si="100"/>
        <v>0.44444444444444442</v>
      </c>
      <c r="BA213" s="32">
        <f t="shared" si="101"/>
        <v>0.72222222222222221</v>
      </c>
      <c r="BB213" s="32">
        <f t="shared" si="102"/>
        <v>0.41666666666666663</v>
      </c>
      <c r="BC213" s="7">
        <f t="shared" si="103"/>
        <v>0.64814814814814825</v>
      </c>
      <c r="BD213" s="7">
        <f t="shared" si="104"/>
        <v>0.3611111111111111</v>
      </c>
      <c r="BE213">
        <f>step3_validation[[#This Row],[AI_OUT1]]</f>
        <v>9</v>
      </c>
      <c r="BF213">
        <f t="shared" si="105"/>
        <v>0.88888888888888884</v>
      </c>
      <c r="BG213">
        <f>survey_responses[[#This Row],[Sau khi xem xét các quyền lợi và nghĩa vụ, bạn có ủng hộ và tuân thủ chính sách mới hiện nay? - HUMAN-OUT1]]</f>
        <v>5</v>
      </c>
      <c r="BH213">
        <f t="shared" si="106"/>
        <v>0.44444444444444442</v>
      </c>
      <c r="BI213" s="32">
        <f t="shared" si="107"/>
        <v>4</v>
      </c>
    </row>
    <row r="214" spans="1:61" x14ac:dyDescent="0.45">
      <c r="A214" s="30">
        <f>step3_validation[[#This Row],[Persona_ID]]</f>
        <v>213</v>
      </c>
      <c r="B214" s="31">
        <f>step3_validation[[#This Row],[Used_Seed]]</f>
        <v>2238</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56.55646127419498</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7</v>
      </c>
      <c r="R214">
        <f t="shared" si="81"/>
        <v>0.66666666666666663</v>
      </c>
      <c r="S214">
        <f>survey_responses[[#This Row],[Tôi tin rằng với các quy định quản lý thuế hiện nay, hành vi gian lận hoặc trốn thuế sẽ dễ dàng bị phát hiện và xử lý nghiêm. - HUMAN-ENF1]]</f>
        <v>7</v>
      </c>
      <c r="T214">
        <f t="shared" si="82"/>
        <v>0.66666666666666663</v>
      </c>
      <c r="U214">
        <f>step3_validation[[#This Row],[AI_ENF2]]</f>
        <v>6</v>
      </c>
      <c r="V214">
        <f t="shared" si="83"/>
        <v>0.55555555555555558</v>
      </c>
      <c r="W214">
        <f>survey_responses[[#This Row],[Tôi tin rằng Nhà nước, cơ quan thuế có đủ khả năng và công nghệ để phát hiện, xử lý nghiêm các hành vi trốn thuế. - HUMAN-ENF2]]</f>
        <v>8</v>
      </c>
      <c r="X214">
        <f t="shared" si="84"/>
        <v>0.77777777777777779</v>
      </c>
      <c r="Y214" s="32">
        <f t="shared" si="85"/>
        <v>0.61111111111111116</v>
      </c>
      <c r="Z214" s="32">
        <f t="shared" si="86"/>
        <v>0.72222222222222221</v>
      </c>
      <c r="AA214">
        <f>step3_validation[[#This Row],[AI_FAC1]]</f>
        <v>8</v>
      </c>
      <c r="AB214">
        <f t="shared" si="87"/>
        <v>0.77777777777777779</v>
      </c>
      <c r="AC214">
        <f>survey_responses[[#This Row],[Các thủ tục khai báo thuế VÀ/HOẶC quy trình làm việc với cơ quan thuế đơn giản, tiện lợi, nhanh chóng hơn so với trước đây. - HUMAN-FAC1]]</f>
        <v>8</v>
      </c>
      <c r="AD214">
        <f t="shared" si="88"/>
        <v>0.77777777777777779</v>
      </c>
      <c r="AE214">
        <f>step3_validation[[#This Row],[AI_FAC2]]</f>
        <v>9</v>
      </c>
      <c r="AF214">
        <f t="shared" si="89"/>
        <v>0.88888888888888884</v>
      </c>
      <c r="AG214">
        <f>survey_responses[[#This Row],[So với trước đây, tôi thấy cách tính thuế và các bậc thuế trong phương án mới đơn giản, dễ hiểu và dễ thực hiện hơn. - HUMAN-FAC2]]</f>
        <v>8</v>
      </c>
      <c r="AH214">
        <f t="shared" si="90"/>
        <v>0.77777777777777779</v>
      </c>
      <c r="AI214" s="32">
        <f t="shared" si="91"/>
        <v>0.83333333333333326</v>
      </c>
      <c r="AJ214" s="32">
        <f t="shared" si="92"/>
        <v>0.77777777777777779</v>
      </c>
      <c r="AK214">
        <f>step3_validation[[#This Row],[AI_TRU1]]</f>
        <v>7</v>
      </c>
      <c r="AL214">
        <f t="shared" si="93"/>
        <v>0.66666666666666663</v>
      </c>
      <c r="AM214">
        <f>survey_responses[[#This Row],[Tôi tin rằng Nhà nước, cơ quan thuế sẽ thực thi chính sách mới một cách khách quan, công tâm và đối xử bình đẳng với mọi người nộp thuế.  - HUMAN-TRU1]]</f>
        <v>8</v>
      </c>
      <c r="AN214">
        <f t="shared" si="94"/>
        <v>0.77777777777777779</v>
      </c>
      <c r="AO214">
        <f>step3_validation[[#This Row],[AI_TRU2]]</f>
        <v>9</v>
      </c>
      <c r="AP214">
        <f t="shared" si="95"/>
        <v>0.88888888888888884</v>
      </c>
      <c r="AQ214">
        <f>survey_responses[[#This Row],[Tôi thấy mức thuế tôi phải đóng theo phương án mới là công bằng (người thu nhập như tôi đóng mức này là hợp lý). - HUMAN-TRU2]]</f>
        <v>8</v>
      </c>
      <c r="AR214">
        <f t="shared" si="96"/>
        <v>0.77777777777777779</v>
      </c>
      <c r="AS214">
        <f>step3_validation[[#This Row],[AI_TRU3]]</f>
        <v>7</v>
      </c>
      <c r="AT214">
        <f t="shared" si="97"/>
        <v>0.66666666666666663</v>
      </c>
      <c r="AU214">
        <f>survey_responses[[#This Row],[Tôi tin tưởng số tiền thuế tôi đóng sẽ được Nhà nước sử dụng hiệu quả để cải thiện dịch vụ công (y tế, đường xá...). - HUMAN-TRU3]]</f>
        <v>8</v>
      </c>
      <c r="AV214">
        <f t="shared" si="98"/>
        <v>0.77777777777777779</v>
      </c>
      <c r="AW214">
        <f>step3_validation[[#This Row],[AI_TRU4]]</f>
        <v>8</v>
      </c>
      <c r="AX214">
        <f t="shared" si="99"/>
        <v>0.77777777777777779</v>
      </c>
      <c r="AY214">
        <f>survey_responses[[#This Row],[Tôi thấy Nhà nước đã giải thích rõ ràng, minh bạch về lý do và mục tiêu của việc sửa đổi thuế lần này. - HUMAN-TRU4]]</f>
        <v>8</v>
      </c>
      <c r="AZ214">
        <f t="shared" si="100"/>
        <v>0.77777777777777779</v>
      </c>
      <c r="BA214" s="32">
        <f t="shared" si="101"/>
        <v>0.74999999999999989</v>
      </c>
      <c r="BB214" s="32">
        <f t="shared" si="102"/>
        <v>0.77777777777777779</v>
      </c>
      <c r="BC214" s="7">
        <f t="shared" si="103"/>
        <v>0.7314814814814814</v>
      </c>
      <c r="BD214" s="7">
        <f t="shared" si="104"/>
        <v>0.75925925925925919</v>
      </c>
      <c r="BE214">
        <f>step3_validation[[#This Row],[AI_OUT1]]</f>
        <v>9</v>
      </c>
      <c r="BF214">
        <f t="shared" si="105"/>
        <v>0.88888888888888884</v>
      </c>
      <c r="BG214">
        <f>survey_responses[[#This Row],[Sau khi xem xét các quyền lợi và nghĩa vụ, bạn có ủng hộ và tuân thủ chính sách mới hiện nay? - HUMAN-OUT1]]</f>
        <v>8</v>
      </c>
      <c r="BH214">
        <f t="shared" si="106"/>
        <v>0.77777777777777779</v>
      </c>
      <c r="BI214" s="32">
        <f t="shared" si="107"/>
        <v>1</v>
      </c>
    </row>
    <row r="215" spans="1:61" x14ac:dyDescent="0.45">
      <c r="A215" s="30">
        <f>step3_validation[[#This Row],[Persona_ID]]</f>
        <v>214</v>
      </c>
      <c r="B215" s="31">
        <f>step3_validation[[#This Row],[Used_Seed]]</f>
        <v>2239</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62.367035847502066</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6</v>
      </c>
      <c r="R215">
        <f t="shared" si="81"/>
        <v>0.55555555555555558</v>
      </c>
      <c r="S215">
        <f>survey_responses[[#This Row],[Tôi tin rằng với các quy định quản lý thuế hiện nay, hành vi gian lận hoặc trốn thuế sẽ dễ dàng bị phát hiện và xử lý nghiêm. - HUMAN-ENF1]]</f>
        <v>9</v>
      </c>
      <c r="T215">
        <f t="shared" si="82"/>
        <v>0.88888888888888884</v>
      </c>
      <c r="U215">
        <f>step3_validation[[#This Row],[AI_ENF2]]</f>
        <v>7</v>
      </c>
      <c r="V215">
        <f t="shared" si="83"/>
        <v>0.66666666666666663</v>
      </c>
      <c r="W215">
        <f>survey_responses[[#This Row],[Tôi tin rằng Nhà nước, cơ quan thuế có đủ khả năng và công nghệ để phát hiện, xử lý nghiêm các hành vi trốn thuế. - HUMAN-ENF2]]</f>
        <v>9</v>
      </c>
      <c r="X215">
        <f t="shared" si="84"/>
        <v>0.88888888888888884</v>
      </c>
      <c r="Y215" s="32">
        <f t="shared" si="85"/>
        <v>0.61111111111111116</v>
      </c>
      <c r="Z215" s="32">
        <f t="shared" si="86"/>
        <v>0.88888888888888884</v>
      </c>
      <c r="AA215">
        <f>step3_validation[[#This Row],[AI_FAC1]]</f>
        <v>8</v>
      </c>
      <c r="AB215">
        <f t="shared" si="87"/>
        <v>0.77777777777777779</v>
      </c>
      <c r="AC215">
        <f>survey_responses[[#This Row],[Các thủ tục khai báo thuế VÀ/HOẶC quy trình làm việc với cơ quan thuế đơn giản, tiện lợi, nhanh chóng hơn so với trước đây. - HUMAN-FAC1]]</f>
        <v>9</v>
      </c>
      <c r="AD215">
        <f t="shared" si="88"/>
        <v>0.88888888888888884</v>
      </c>
      <c r="AE215">
        <f>step3_validation[[#This Row],[AI_FAC2]]</f>
        <v>9</v>
      </c>
      <c r="AF215">
        <f t="shared" si="89"/>
        <v>0.88888888888888884</v>
      </c>
      <c r="AG215">
        <f>survey_responses[[#This Row],[So với trước đây, tôi thấy cách tính thuế và các bậc thuế trong phương án mới đơn giản, dễ hiểu và dễ thực hiện hơn. - HUMAN-FAC2]]</f>
        <v>9</v>
      </c>
      <c r="AH215">
        <f t="shared" si="90"/>
        <v>0.88888888888888884</v>
      </c>
      <c r="AI215" s="32">
        <f t="shared" si="91"/>
        <v>0.83333333333333326</v>
      </c>
      <c r="AJ215" s="32">
        <f t="shared" si="92"/>
        <v>0.88888888888888884</v>
      </c>
      <c r="AK215">
        <f>step3_validation[[#This Row],[AI_TRU1]]</f>
        <v>7</v>
      </c>
      <c r="AL215">
        <f t="shared" si="93"/>
        <v>0.66666666666666663</v>
      </c>
      <c r="AM215">
        <f>survey_responses[[#This Row],[Tôi tin rằng Nhà nước, cơ quan thuế sẽ thực thi chính sách mới một cách khách quan, công tâm và đối xử bình đẳng với mọi người nộp thuế.  - HUMAN-TRU1]]</f>
        <v>9</v>
      </c>
      <c r="AN215">
        <f t="shared" si="94"/>
        <v>0.88888888888888884</v>
      </c>
      <c r="AO215">
        <f>step3_validation[[#This Row],[AI_TRU2]]</f>
        <v>9</v>
      </c>
      <c r="AP215">
        <f t="shared" si="95"/>
        <v>0.88888888888888884</v>
      </c>
      <c r="AQ215">
        <f>survey_responses[[#This Row],[Tôi thấy mức thuế tôi phải đóng theo phương án mới là công bằng (người thu nhập như tôi đóng mức này là hợp lý). - HUMAN-TRU2]]</f>
        <v>9</v>
      </c>
      <c r="AR215">
        <f t="shared" si="96"/>
        <v>0.88888888888888884</v>
      </c>
      <c r="AS215">
        <f>step3_validation[[#This Row],[AI_TRU3]]</f>
        <v>7</v>
      </c>
      <c r="AT215">
        <f t="shared" si="97"/>
        <v>0.66666666666666663</v>
      </c>
      <c r="AU215">
        <f>survey_responses[[#This Row],[Tôi tin tưởng số tiền thuế tôi đóng sẽ được Nhà nước sử dụng hiệu quả để cải thiện dịch vụ công (y tế, đường xá...). - HUMAN-TRU3]]</f>
        <v>9</v>
      </c>
      <c r="AV215">
        <f t="shared" si="98"/>
        <v>0.88888888888888884</v>
      </c>
      <c r="AW215">
        <f>step3_validation[[#This Row],[AI_TRU4]]</f>
        <v>6</v>
      </c>
      <c r="AX215">
        <f t="shared" si="99"/>
        <v>0.55555555555555558</v>
      </c>
      <c r="AY215">
        <f>survey_responses[[#This Row],[Tôi thấy Nhà nước đã giải thích rõ ràng, minh bạch về lý do và mục tiêu của việc sửa đổi thuế lần này. - HUMAN-TRU4]]</f>
        <v>9</v>
      </c>
      <c r="AZ215">
        <f t="shared" si="100"/>
        <v>0.88888888888888884</v>
      </c>
      <c r="BA215" s="32">
        <f t="shared" si="101"/>
        <v>0.69444444444444442</v>
      </c>
      <c r="BB215" s="32">
        <f t="shared" si="102"/>
        <v>0.88888888888888884</v>
      </c>
      <c r="BC215" s="7">
        <f t="shared" si="103"/>
        <v>0.71296296296296291</v>
      </c>
      <c r="BD215" s="7">
        <f t="shared" si="104"/>
        <v>0.88888888888888884</v>
      </c>
      <c r="BE215">
        <f>step3_validation[[#This Row],[AI_OUT1]]</f>
        <v>8</v>
      </c>
      <c r="BF215">
        <f t="shared" si="105"/>
        <v>0.77777777777777779</v>
      </c>
      <c r="BG215">
        <f>survey_responses[[#This Row],[Sau khi xem xét các quyền lợi và nghĩa vụ, bạn có ủng hộ và tuân thủ chính sách mới hiện nay? - HUMAN-OUT1]]</f>
        <v>9</v>
      </c>
      <c r="BH215">
        <f t="shared" si="106"/>
        <v>0.88888888888888884</v>
      </c>
      <c r="BI215" s="32">
        <f t="shared" si="107"/>
        <v>1</v>
      </c>
    </row>
    <row r="216" spans="1:61" x14ac:dyDescent="0.45">
      <c r="A216" s="30">
        <f>step3_validation[[#This Row],[Persona_ID]]</f>
        <v>215</v>
      </c>
      <c r="B216" s="31">
        <f>step3_validation[[#This Row],[Used_Seed]]</f>
        <v>2240</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21.156921352696777</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8</v>
      </c>
      <c r="R216">
        <f t="shared" si="81"/>
        <v>0.77777777777777779</v>
      </c>
      <c r="S216">
        <f>survey_responses[[#This Row],[Tôi tin rằng với các quy định quản lý thuế hiện nay, hành vi gian lận hoặc trốn thuế sẽ dễ dàng bị phát hiện và xử lý nghiêm. - HUMAN-ENF1]]</f>
        <v>5</v>
      </c>
      <c r="T216">
        <f t="shared" si="82"/>
        <v>0.44444444444444442</v>
      </c>
      <c r="U216">
        <f>step3_validation[[#This Row],[AI_ENF2]]</f>
        <v>7</v>
      </c>
      <c r="V216">
        <f t="shared" si="83"/>
        <v>0.66666666666666663</v>
      </c>
      <c r="W216">
        <f>survey_responses[[#This Row],[Tôi tin rằng Nhà nước, cơ quan thuế có đủ khả năng và công nghệ để phát hiện, xử lý nghiêm các hành vi trốn thuế. - HUMAN-ENF2]]</f>
        <v>5</v>
      </c>
      <c r="X216">
        <f t="shared" si="84"/>
        <v>0.44444444444444442</v>
      </c>
      <c r="Y216" s="32">
        <f t="shared" si="85"/>
        <v>0.72222222222222221</v>
      </c>
      <c r="Z216" s="32">
        <f t="shared" si="86"/>
        <v>0.44444444444444442</v>
      </c>
      <c r="AA216">
        <f>step3_validation[[#This Row],[AI_FAC1]]</f>
        <v>9</v>
      </c>
      <c r="AB216">
        <f t="shared" si="87"/>
        <v>0.88888888888888884</v>
      </c>
      <c r="AC216">
        <f>survey_responses[[#This Row],[Các thủ tục khai báo thuế VÀ/HOẶC quy trình làm việc với cơ quan thuế đơn giản, tiện lợi, nhanh chóng hơn so với trước đây. - HUMAN-FAC1]]</f>
        <v>5</v>
      </c>
      <c r="AD216">
        <f t="shared" si="88"/>
        <v>0.44444444444444442</v>
      </c>
      <c r="AE216">
        <f>step3_validation[[#This Row],[AI_FAC2]]</f>
        <v>8</v>
      </c>
      <c r="AF216">
        <f t="shared" si="89"/>
        <v>0.77777777777777779</v>
      </c>
      <c r="AG216">
        <f>survey_responses[[#This Row],[So với trước đây, tôi thấy cách tính thuế và các bậc thuế trong phương án mới đơn giản, dễ hiểu và dễ thực hiện hơn. - HUMAN-FAC2]]</f>
        <v>5</v>
      </c>
      <c r="AH216">
        <f t="shared" si="90"/>
        <v>0.44444444444444442</v>
      </c>
      <c r="AI216" s="32">
        <f t="shared" si="91"/>
        <v>0.83333333333333326</v>
      </c>
      <c r="AJ216" s="32">
        <f t="shared" si="92"/>
        <v>0.44444444444444442</v>
      </c>
      <c r="AK216">
        <f>step3_validation[[#This Row],[AI_TRU1]]</f>
        <v>9</v>
      </c>
      <c r="AL216">
        <f t="shared" si="93"/>
        <v>0.88888888888888884</v>
      </c>
      <c r="AM216">
        <f>survey_responses[[#This Row],[Tôi tin rằng Nhà nước, cơ quan thuế sẽ thực thi chính sách mới một cách khách quan, công tâm và đối xử bình đẳng với mọi người nộp thuế.  - HUMAN-TRU1]]</f>
        <v>5</v>
      </c>
      <c r="AN216">
        <f t="shared" si="94"/>
        <v>0.44444444444444442</v>
      </c>
      <c r="AO216">
        <f>step3_validation[[#This Row],[AI_TRU2]]</f>
        <v>8</v>
      </c>
      <c r="AP216">
        <f t="shared" si="95"/>
        <v>0.77777777777777779</v>
      </c>
      <c r="AQ216">
        <f>survey_responses[[#This Row],[Tôi thấy mức thuế tôi phải đóng theo phương án mới là công bằng (người thu nhập như tôi đóng mức này là hợp lý). - HUMAN-TRU2]]</f>
        <v>5</v>
      </c>
      <c r="AR216">
        <f t="shared" si="96"/>
        <v>0.44444444444444442</v>
      </c>
      <c r="AS216">
        <f>step3_validation[[#This Row],[AI_TRU3]]</f>
        <v>9</v>
      </c>
      <c r="AT216">
        <f t="shared" si="97"/>
        <v>0.88888888888888884</v>
      </c>
      <c r="AU216">
        <f>survey_responses[[#This Row],[Tôi tin tưởng số tiền thuế tôi đóng sẽ được Nhà nước sử dụng hiệu quả để cải thiện dịch vụ công (y tế, đường xá...). - HUMAN-TRU3]]</f>
        <v>5</v>
      </c>
      <c r="AV216">
        <f t="shared" si="98"/>
        <v>0.44444444444444442</v>
      </c>
      <c r="AW216">
        <f>step3_validation[[#This Row],[AI_TRU4]]</f>
        <v>8</v>
      </c>
      <c r="AX216">
        <f t="shared" si="99"/>
        <v>0.77777777777777779</v>
      </c>
      <c r="AY216">
        <f>survey_responses[[#This Row],[Tôi thấy Nhà nước đã giải thích rõ ràng, minh bạch về lý do và mục tiêu của việc sửa đổi thuế lần này. - HUMAN-TRU4]]</f>
        <v>5</v>
      </c>
      <c r="AZ216">
        <f t="shared" si="100"/>
        <v>0.44444444444444442</v>
      </c>
      <c r="BA216" s="32">
        <f t="shared" si="101"/>
        <v>0.83333333333333326</v>
      </c>
      <c r="BB216" s="32">
        <f t="shared" si="102"/>
        <v>0.44444444444444442</v>
      </c>
      <c r="BC216" s="7">
        <f t="shared" si="103"/>
        <v>0.79629629629629617</v>
      </c>
      <c r="BD216" s="7">
        <f t="shared" si="104"/>
        <v>0.44444444444444442</v>
      </c>
      <c r="BE216">
        <f>step3_validation[[#This Row],[AI_OUT1]]</f>
        <v>9</v>
      </c>
      <c r="BF216">
        <f t="shared" si="105"/>
        <v>0.88888888888888884</v>
      </c>
      <c r="BG216">
        <f>survey_responses[[#This Row],[Sau khi xem xét các quyền lợi và nghĩa vụ, bạn có ủng hộ và tuân thủ chính sách mới hiện nay? - HUMAN-OUT1]]</f>
        <v>5</v>
      </c>
      <c r="BH216">
        <f t="shared" si="106"/>
        <v>0.44444444444444442</v>
      </c>
      <c r="BI216" s="32">
        <f t="shared" si="107"/>
        <v>4</v>
      </c>
    </row>
    <row r="217" spans="1:61" x14ac:dyDescent="0.45">
      <c r="A217" s="30">
        <f>step3_validation[[#This Row],[Persona_ID]]</f>
        <v>216</v>
      </c>
      <c r="B217" s="31">
        <f>step3_validation[[#This Row],[Used_Seed]]</f>
        <v>2241</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46.732707487689403</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6</v>
      </c>
      <c r="R217">
        <f t="shared" si="81"/>
        <v>0.55555555555555558</v>
      </c>
      <c r="S217">
        <f>survey_responses[[#This Row],[Tôi tin rằng với các quy định quản lý thuế hiện nay, hành vi gian lận hoặc trốn thuế sẽ dễ dàng bị phát hiện và xử lý nghiêm. - HUMAN-ENF1]]</f>
        <v>6</v>
      </c>
      <c r="T217">
        <f t="shared" si="82"/>
        <v>0.55555555555555558</v>
      </c>
      <c r="U217">
        <f>step3_validation[[#This Row],[AI_ENF2]]</f>
        <v>6</v>
      </c>
      <c r="V217">
        <f t="shared" si="83"/>
        <v>0.55555555555555558</v>
      </c>
      <c r="W217">
        <f>survey_responses[[#This Row],[Tôi tin rằng Nhà nước, cơ quan thuế có đủ khả năng và công nghệ để phát hiện, xử lý nghiêm các hành vi trốn thuế. - HUMAN-ENF2]]</f>
        <v>7</v>
      </c>
      <c r="X217">
        <f t="shared" si="84"/>
        <v>0.66666666666666663</v>
      </c>
      <c r="Y217" s="32">
        <f t="shared" si="85"/>
        <v>0.55555555555555558</v>
      </c>
      <c r="Z217" s="32">
        <f t="shared" si="86"/>
        <v>0.61111111111111116</v>
      </c>
      <c r="AA217">
        <f>step3_validation[[#This Row],[AI_FAC1]]</f>
        <v>9</v>
      </c>
      <c r="AB217">
        <f t="shared" si="87"/>
        <v>0.88888888888888884</v>
      </c>
      <c r="AC217">
        <f>survey_responses[[#This Row],[Các thủ tục khai báo thuế VÀ/HOẶC quy trình làm việc với cơ quan thuế đơn giản, tiện lợi, nhanh chóng hơn so với trước đây. - HUMAN-FAC1]]</f>
        <v>7</v>
      </c>
      <c r="AD217">
        <f t="shared" si="88"/>
        <v>0.66666666666666663</v>
      </c>
      <c r="AE217">
        <f>step3_validation[[#This Row],[AI_FAC2]]</f>
        <v>9</v>
      </c>
      <c r="AF217">
        <f t="shared" si="89"/>
        <v>0.88888888888888884</v>
      </c>
      <c r="AG217">
        <f>survey_responses[[#This Row],[So với trước đây, tôi thấy cách tính thuế và các bậc thuế trong phương án mới đơn giản, dễ hiểu và dễ thực hiện hơn. - HUMAN-FAC2]]</f>
        <v>7</v>
      </c>
      <c r="AH217">
        <f t="shared" si="90"/>
        <v>0.66666666666666663</v>
      </c>
      <c r="AI217" s="32">
        <f t="shared" si="91"/>
        <v>0.88888888888888884</v>
      </c>
      <c r="AJ217" s="32">
        <f t="shared" si="92"/>
        <v>0.66666666666666663</v>
      </c>
      <c r="AK217">
        <f>step3_validation[[#This Row],[AI_TRU1]]</f>
        <v>8</v>
      </c>
      <c r="AL217">
        <f t="shared" si="93"/>
        <v>0.77777777777777779</v>
      </c>
      <c r="AM217">
        <f>survey_responses[[#This Row],[Tôi tin rằng Nhà nước, cơ quan thuế sẽ thực thi chính sách mới một cách khách quan, công tâm và đối xử bình đẳng với mọi người nộp thuế.  - HUMAN-TRU1]]</f>
        <v>6</v>
      </c>
      <c r="AN217">
        <f t="shared" si="94"/>
        <v>0.55555555555555558</v>
      </c>
      <c r="AO217">
        <f>step3_validation[[#This Row],[AI_TRU2]]</f>
        <v>8</v>
      </c>
      <c r="AP217">
        <f t="shared" si="95"/>
        <v>0.77777777777777779</v>
      </c>
      <c r="AQ217">
        <f>survey_responses[[#This Row],[Tôi thấy mức thuế tôi phải đóng theo phương án mới là công bằng (người thu nhập như tôi đóng mức này là hợp lý). - HUMAN-TRU2]]</f>
        <v>7</v>
      </c>
      <c r="AR217">
        <f t="shared" si="96"/>
        <v>0.66666666666666663</v>
      </c>
      <c r="AS217">
        <f>step3_validation[[#This Row],[AI_TRU3]]</f>
        <v>7</v>
      </c>
      <c r="AT217">
        <f t="shared" si="97"/>
        <v>0.66666666666666663</v>
      </c>
      <c r="AU217">
        <f>survey_responses[[#This Row],[Tôi tin tưởng số tiền thuế tôi đóng sẽ được Nhà nước sử dụng hiệu quả để cải thiện dịch vụ công (y tế, đường xá...). - HUMAN-TRU3]]</f>
        <v>7</v>
      </c>
      <c r="AV217">
        <f t="shared" si="98"/>
        <v>0.66666666666666663</v>
      </c>
      <c r="AW217">
        <f>step3_validation[[#This Row],[AI_TRU4]]</f>
        <v>8</v>
      </c>
      <c r="AX217">
        <f t="shared" si="99"/>
        <v>0.77777777777777779</v>
      </c>
      <c r="AY217">
        <f>survey_responses[[#This Row],[Tôi thấy Nhà nước đã giải thích rõ ràng, minh bạch về lý do và mục tiêu của việc sửa đổi thuế lần này. - HUMAN-TRU4]]</f>
        <v>7</v>
      </c>
      <c r="AZ217">
        <f t="shared" si="100"/>
        <v>0.66666666666666663</v>
      </c>
      <c r="BA217" s="32">
        <f t="shared" si="101"/>
        <v>0.75</v>
      </c>
      <c r="BB217" s="32">
        <f t="shared" si="102"/>
        <v>0.63888888888888884</v>
      </c>
      <c r="BC217" s="7">
        <f t="shared" si="103"/>
        <v>0.73148148148148151</v>
      </c>
      <c r="BD217" s="7">
        <f t="shared" si="104"/>
        <v>0.63888888888888884</v>
      </c>
      <c r="BE217">
        <f>step3_validation[[#This Row],[AI_OUT1]]</f>
        <v>7</v>
      </c>
      <c r="BF217">
        <f t="shared" si="105"/>
        <v>0.66666666666666663</v>
      </c>
      <c r="BG217">
        <f>survey_responses[[#This Row],[Sau khi xem xét các quyền lợi và nghĩa vụ, bạn có ủng hộ và tuân thủ chính sách mới hiện nay? - HUMAN-OUT1]]</f>
        <v>7</v>
      </c>
      <c r="BH217">
        <f t="shared" si="106"/>
        <v>0.66666666666666663</v>
      </c>
      <c r="BI217" s="32">
        <f t="shared" si="107"/>
        <v>0</v>
      </c>
    </row>
    <row r="218" spans="1:61" x14ac:dyDescent="0.45">
      <c r="A218" s="30">
        <f>step3_validation[[#This Row],[Persona_ID]]</f>
        <v>217</v>
      </c>
      <c r="B218" s="31">
        <f>step3_validation[[#This Row],[Used_Seed]]</f>
        <v>2242</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44.52353099344927</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7</v>
      </c>
      <c r="R218">
        <f t="shared" si="81"/>
        <v>0.66666666666666663</v>
      </c>
      <c r="S218">
        <f>survey_responses[[#This Row],[Tôi tin rằng với các quy định quản lý thuế hiện nay, hành vi gian lận hoặc trốn thuế sẽ dễ dàng bị phát hiện và xử lý nghiêm. - HUMAN-ENF1]]</f>
        <v>5</v>
      </c>
      <c r="T218">
        <f t="shared" si="82"/>
        <v>0.44444444444444442</v>
      </c>
      <c r="U218">
        <f>step3_validation[[#This Row],[AI_ENF2]]</f>
        <v>8</v>
      </c>
      <c r="V218">
        <f t="shared" si="83"/>
        <v>0.77777777777777779</v>
      </c>
      <c r="W218">
        <f>survey_responses[[#This Row],[Tôi tin rằng Nhà nước, cơ quan thuế có đủ khả năng và công nghệ để phát hiện, xử lý nghiêm các hành vi trốn thuế. - HUMAN-ENF2]]</f>
        <v>5</v>
      </c>
      <c r="X218">
        <f t="shared" si="84"/>
        <v>0.44444444444444442</v>
      </c>
      <c r="Y218" s="32">
        <f t="shared" si="85"/>
        <v>0.72222222222222221</v>
      </c>
      <c r="Z218" s="32">
        <f t="shared" si="86"/>
        <v>0.44444444444444442</v>
      </c>
      <c r="AA218">
        <f>step3_validation[[#This Row],[AI_FAC1]]</f>
        <v>9</v>
      </c>
      <c r="AB218">
        <f t="shared" si="87"/>
        <v>0.88888888888888884</v>
      </c>
      <c r="AC218">
        <f>survey_responses[[#This Row],[Các thủ tục khai báo thuế VÀ/HOẶC quy trình làm việc với cơ quan thuế đơn giản, tiện lợi, nhanh chóng hơn so với trước đây. - HUMAN-FAC1]]</f>
        <v>5</v>
      </c>
      <c r="AD218">
        <f t="shared" si="88"/>
        <v>0.44444444444444442</v>
      </c>
      <c r="AE218">
        <f>step3_validation[[#This Row],[AI_FAC2]]</f>
        <v>10</v>
      </c>
      <c r="AF218">
        <f t="shared" si="89"/>
        <v>1</v>
      </c>
      <c r="AG218">
        <f>survey_responses[[#This Row],[So với trước đây, tôi thấy cách tính thuế và các bậc thuế trong phương án mới đơn giản, dễ hiểu và dễ thực hiện hơn. - HUMAN-FAC2]]</f>
        <v>6</v>
      </c>
      <c r="AH218">
        <f t="shared" si="90"/>
        <v>0.55555555555555558</v>
      </c>
      <c r="AI218" s="32">
        <f t="shared" si="91"/>
        <v>0.94444444444444442</v>
      </c>
      <c r="AJ218" s="32">
        <f t="shared" si="92"/>
        <v>0.5</v>
      </c>
      <c r="AK218">
        <f>step3_validation[[#This Row],[AI_TRU1]]</f>
        <v>7</v>
      </c>
      <c r="AL218">
        <f t="shared" si="93"/>
        <v>0.66666666666666663</v>
      </c>
      <c r="AM218">
        <f>survey_responses[[#This Row],[Tôi tin rằng Nhà nước, cơ quan thuế sẽ thực thi chính sách mới một cách khách quan, công tâm và đối xử bình đẳng với mọi người nộp thuế.  - HUMAN-TRU1]]</f>
        <v>5</v>
      </c>
      <c r="AN218">
        <f t="shared" si="94"/>
        <v>0.44444444444444442</v>
      </c>
      <c r="AO218">
        <f>step3_validation[[#This Row],[AI_TRU2]]</f>
        <v>9</v>
      </c>
      <c r="AP218">
        <f t="shared" si="95"/>
        <v>0.88888888888888884</v>
      </c>
      <c r="AQ218">
        <f>survey_responses[[#This Row],[Tôi thấy mức thuế tôi phải đóng theo phương án mới là công bằng (người thu nhập như tôi đóng mức này là hợp lý). - HUMAN-TRU2]]</f>
        <v>5</v>
      </c>
      <c r="AR218">
        <f t="shared" si="96"/>
        <v>0.44444444444444442</v>
      </c>
      <c r="AS218">
        <f>step3_validation[[#This Row],[AI_TRU3]]</f>
        <v>8</v>
      </c>
      <c r="AT218">
        <f t="shared" si="97"/>
        <v>0.77777777777777779</v>
      </c>
      <c r="AU218">
        <f>survey_responses[[#This Row],[Tôi tin tưởng số tiền thuế tôi đóng sẽ được Nhà nước sử dụng hiệu quả để cải thiện dịch vụ công (y tế, đường xá...). - HUMAN-TRU3]]</f>
        <v>5</v>
      </c>
      <c r="AV218">
        <f t="shared" si="98"/>
        <v>0.44444444444444442</v>
      </c>
      <c r="AW218">
        <f>step3_validation[[#This Row],[AI_TRU4]]</f>
        <v>9</v>
      </c>
      <c r="AX218">
        <f t="shared" si="99"/>
        <v>0.88888888888888884</v>
      </c>
      <c r="AY218">
        <f>survey_responses[[#This Row],[Tôi thấy Nhà nước đã giải thích rõ ràng, minh bạch về lý do và mục tiêu của việc sửa đổi thuế lần này. - HUMAN-TRU4]]</f>
        <v>5</v>
      </c>
      <c r="AZ218">
        <f t="shared" si="100"/>
        <v>0.44444444444444442</v>
      </c>
      <c r="BA218" s="32">
        <f t="shared" si="101"/>
        <v>0.80555555555555547</v>
      </c>
      <c r="BB218" s="32">
        <f t="shared" si="102"/>
        <v>0.44444444444444442</v>
      </c>
      <c r="BC218" s="7">
        <f t="shared" si="103"/>
        <v>0.82407407407407396</v>
      </c>
      <c r="BD218" s="7">
        <f t="shared" si="104"/>
        <v>0.46296296296296297</v>
      </c>
      <c r="BE218">
        <f>step3_validation[[#This Row],[AI_OUT1]]</f>
        <v>10</v>
      </c>
      <c r="BF218">
        <f t="shared" si="105"/>
        <v>1</v>
      </c>
      <c r="BG218">
        <f>survey_responses[[#This Row],[Sau khi xem xét các quyền lợi và nghĩa vụ, bạn có ủng hộ và tuân thủ chính sách mới hiện nay? - HUMAN-OUT1]]</f>
        <v>5</v>
      </c>
      <c r="BH218">
        <f t="shared" si="106"/>
        <v>0.44444444444444442</v>
      </c>
      <c r="BI218" s="32">
        <f t="shared" si="107"/>
        <v>5</v>
      </c>
    </row>
    <row r="219" spans="1:61" x14ac:dyDescent="0.45">
      <c r="A219" s="30">
        <f>step3_validation[[#This Row],[Persona_ID]]</f>
        <v>218</v>
      </c>
      <c r="B219" s="31">
        <f>step3_validation[[#This Row],[Used_Seed]]</f>
        <v>2243</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56.230318205755836</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7</v>
      </c>
      <c r="R219">
        <f t="shared" si="81"/>
        <v>0.66666666666666663</v>
      </c>
      <c r="S219">
        <f>survey_responses[[#This Row],[Tôi tin rằng với các quy định quản lý thuế hiện nay, hành vi gian lận hoặc trốn thuế sẽ dễ dàng bị phát hiện và xử lý nghiêm. - HUMAN-ENF1]]</f>
        <v>6</v>
      </c>
      <c r="T219">
        <f t="shared" si="82"/>
        <v>0.55555555555555558</v>
      </c>
      <c r="U219">
        <f>step3_validation[[#This Row],[AI_ENF2]]</f>
        <v>8</v>
      </c>
      <c r="V219">
        <f t="shared" si="83"/>
        <v>0.77777777777777779</v>
      </c>
      <c r="W219">
        <f>survey_responses[[#This Row],[Tôi tin rằng Nhà nước, cơ quan thuế có đủ khả năng và công nghệ để phát hiện, xử lý nghiêm các hành vi trốn thuế. - HUMAN-ENF2]]</f>
        <v>7</v>
      </c>
      <c r="X219">
        <f t="shared" si="84"/>
        <v>0.66666666666666663</v>
      </c>
      <c r="Y219" s="32">
        <f t="shared" si="85"/>
        <v>0.72222222222222221</v>
      </c>
      <c r="Z219" s="32">
        <f t="shared" si="86"/>
        <v>0.61111111111111116</v>
      </c>
      <c r="AA219">
        <f>step3_validation[[#This Row],[AI_FAC1]]</f>
        <v>9</v>
      </c>
      <c r="AB219">
        <f t="shared" si="87"/>
        <v>0.88888888888888884</v>
      </c>
      <c r="AC219">
        <f>survey_responses[[#This Row],[Các thủ tục khai báo thuế VÀ/HOẶC quy trình làm việc với cơ quan thuế đơn giản, tiện lợi, nhanh chóng hơn so với trước đây. - HUMAN-FAC1]]</f>
        <v>7</v>
      </c>
      <c r="AD219">
        <f t="shared" si="88"/>
        <v>0.66666666666666663</v>
      </c>
      <c r="AE219">
        <f>step3_validation[[#This Row],[AI_FAC2]]</f>
        <v>9</v>
      </c>
      <c r="AF219">
        <f t="shared" si="89"/>
        <v>0.88888888888888884</v>
      </c>
      <c r="AG219">
        <f>survey_responses[[#This Row],[So với trước đây, tôi thấy cách tính thuế và các bậc thuế trong phương án mới đơn giản, dễ hiểu và dễ thực hiện hơn. - HUMAN-FAC2]]</f>
        <v>7</v>
      </c>
      <c r="AH219">
        <f t="shared" si="90"/>
        <v>0.66666666666666663</v>
      </c>
      <c r="AI219" s="32">
        <f t="shared" si="91"/>
        <v>0.88888888888888884</v>
      </c>
      <c r="AJ219" s="32">
        <f t="shared" si="92"/>
        <v>0.66666666666666663</v>
      </c>
      <c r="AK219">
        <f>step3_validation[[#This Row],[AI_TRU1]]</f>
        <v>8</v>
      </c>
      <c r="AL219">
        <f t="shared" si="93"/>
        <v>0.77777777777777779</v>
      </c>
      <c r="AM219">
        <f>survey_responses[[#This Row],[Tôi tin rằng Nhà nước, cơ quan thuế sẽ thực thi chính sách mới một cách khách quan, công tâm và đối xử bình đẳng với mọi người nộp thuế.  - HUMAN-TRU1]]</f>
        <v>7</v>
      </c>
      <c r="AN219">
        <f t="shared" si="94"/>
        <v>0.66666666666666663</v>
      </c>
      <c r="AO219">
        <f>step3_validation[[#This Row],[AI_TRU2]]</f>
        <v>8</v>
      </c>
      <c r="AP219">
        <f t="shared" si="95"/>
        <v>0.77777777777777779</v>
      </c>
      <c r="AQ219">
        <f>survey_responses[[#This Row],[Tôi thấy mức thuế tôi phải đóng theo phương án mới là công bằng (người thu nhập như tôi đóng mức này là hợp lý). - HUMAN-TRU2]]</f>
        <v>7</v>
      </c>
      <c r="AR219">
        <f t="shared" si="96"/>
        <v>0.66666666666666663</v>
      </c>
      <c r="AS219">
        <f>step3_validation[[#This Row],[AI_TRU3]]</f>
        <v>7</v>
      </c>
      <c r="AT219">
        <f t="shared" si="97"/>
        <v>0.66666666666666663</v>
      </c>
      <c r="AU219">
        <f>survey_responses[[#This Row],[Tôi tin tưởng số tiền thuế tôi đóng sẽ được Nhà nước sử dụng hiệu quả để cải thiện dịch vụ công (y tế, đường xá...). - HUMAN-TRU3]]</f>
        <v>7</v>
      </c>
      <c r="AV219">
        <f t="shared" si="98"/>
        <v>0.66666666666666663</v>
      </c>
      <c r="AW219">
        <f>step3_validation[[#This Row],[AI_TRU4]]</f>
        <v>8</v>
      </c>
      <c r="AX219">
        <f t="shared" si="99"/>
        <v>0.77777777777777779</v>
      </c>
      <c r="AY219">
        <f>survey_responses[[#This Row],[Tôi thấy Nhà nước đã giải thích rõ ràng, minh bạch về lý do và mục tiêu của việc sửa đổi thuế lần này. - HUMAN-TRU4]]</f>
        <v>7</v>
      </c>
      <c r="AZ219">
        <f t="shared" si="100"/>
        <v>0.66666666666666663</v>
      </c>
      <c r="BA219" s="32">
        <f t="shared" si="101"/>
        <v>0.75</v>
      </c>
      <c r="BB219" s="32">
        <f t="shared" si="102"/>
        <v>0.66666666666666663</v>
      </c>
      <c r="BC219" s="7">
        <f t="shared" si="103"/>
        <v>0.78703703703703709</v>
      </c>
      <c r="BD219" s="7">
        <f t="shared" si="104"/>
        <v>0.64814814814814803</v>
      </c>
      <c r="BE219">
        <f>step3_validation[[#This Row],[AI_OUT1]]</f>
        <v>9</v>
      </c>
      <c r="BF219">
        <f t="shared" si="105"/>
        <v>0.88888888888888884</v>
      </c>
      <c r="BG219">
        <f>survey_responses[[#This Row],[Sau khi xem xét các quyền lợi và nghĩa vụ, bạn có ủng hộ và tuân thủ chính sách mới hiện nay? - HUMAN-OUT1]]</f>
        <v>7</v>
      </c>
      <c r="BH219">
        <f t="shared" si="106"/>
        <v>0.66666666666666663</v>
      </c>
      <c r="BI219" s="32">
        <f t="shared" si="107"/>
        <v>2</v>
      </c>
    </row>
    <row r="220" spans="1:61" x14ac:dyDescent="0.45">
      <c r="A220" s="30">
        <f>step3_validation[[#This Row],[Persona_ID]]</f>
        <v>219</v>
      </c>
      <c r="B220" s="31">
        <f>step3_validation[[#This Row],[Used_Seed]]</f>
        <v>2244</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182.44724905347212</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8</v>
      </c>
      <c r="R220">
        <f t="shared" si="81"/>
        <v>0.77777777777777779</v>
      </c>
      <c r="S220">
        <f>survey_responses[[#This Row],[Tôi tin rằng với các quy định quản lý thuế hiện nay, hành vi gian lận hoặc trốn thuế sẽ dễ dàng bị phát hiện và xử lý nghiêm. - HUMAN-ENF1]]</f>
        <v>7</v>
      </c>
      <c r="T220">
        <f t="shared" si="82"/>
        <v>0.66666666666666663</v>
      </c>
      <c r="U220">
        <f>step3_validation[[#This Row],[AI_ENF2]]</f>
        <v>9</v>
      </c>
      <c r="V220">
        <f t="shared" si="83"/>
        <v>0.88888888888888884</v>
      </c>
      <c r="W220">
        <f>survey_responses[[#This Row],[Tôi tin rằng Nhà nước, cơ quan thuế có đủ khả năng và công nghệ để phát hiện, xử lý nghiêm các hành vi trốn thuế. - HUMAN-ENF2]]</f>
        <v>8</v>
      </c>
      <c r="X220">
        <f t="shared" si="84"/>
        <v>0.77777777777777779</v>
      </c>
      <c r="Y220" s="32">
        <f t="shared" si="85"/>
        <v>0.83333333333333326</v>
      </c>
      <c r="Z220" s="32">
        <f t="shared" si="86"/>
        <v>0.72222222222222221</v>
      </c>
      <c r="AA220">
        <f>step3_validation[[#This Row],[AI_FAC1]]</f>
        <v>8</v>
      </c>
      <c r="AB220">
        <f t="shared" si="87"/>
        <v>0.77777777777777779</v>
      </c>
      <c r="AC220">
        <f>survey_responses[[#This Row],[Các thủ tục khai báo thuế VÀ/HOẶC quy trình làm việc với cơ quan thuế đơn giản, tiện lợi, nhanh chóng hơn so với trước đây. - HUMAN-FAC1]]</f>
        <v>8</v>
      </c>
      <c r="AD220">
        <f t="shared" si="88"/>
        <v>0.77777777777777779</v>
      </c>
      <c r="AE220">
        <f>step3_validation[[#This Row],[AI_FAC2]]</f>
        <v>9</v>
      </c>
      <c r="AF220">
        <f t="shared" si="89"/>
        <v>0.88888888888888884</v>
      </c>
      <c r="AG220">
        <f>survey_responses[[#This Row],[So với trước đây, tôi thấy cách tính thuế và các bậc thuế trong phương án mới đơn giản, dễ hiểu và dễ thực hiện hơn. - HUMAN-FAC2]]</f>
        <v>8</v>
      </c>
      <c r="AH220">
        <f t="shared" si="90"/>
        <v>0.77777777777777779</v>
      </c>
      <c r="AI220" s="32">
        <f t="shared" si="91"/>
        <v>0.83333333333333326</v>
      </c>
      <c r="AJ220" s="32">
        <f t="shared" si="92"/>
        <v>0.77777777777777779</v>
      </c>
      <c r="AK220">
        <f>step3_validation[[#This Row],[AI_TRU1]]</f>
        <v>8</v>
      </c>
      <c r="AL220">
        <f t="shared" si="93"/>
        <v>0.77777777777777779</v>
      </c>
      <c r="AM220">
        <f>survey_responses[[#This Row],[Tôi tin rằng Nhà nước, cơ quan thuế sẽ thực thi chính sách mới một cách khách quan, công tâm và đối xử bình đẳng với mọi người nộp thuế.  - HUMAN-TRU1]]</f>
        <v>8</v>
      </c>
      <c r="AN220">
        <f t="shared" si="94"/>
        <v>0.77777777777777779</v>
      </c>
      <c r="AO220">
        <f>step3_validation[[#This Row],[AI_TRU2]]</f>
        <v>9</v>
      </c>
      <c r="AP220">
        <f t="shared" si="95"/>
        <v>0.88888888888888884</v>
      </c>
      <c r="AQ220">
        <f>survey_responses[[#This Row],[Tôi thấy mức thuế tôi phải đóng theo phương án mới là công bằng (người thu nhập như tôi đóng mức này là hợp lý). - HUMAN-TRU2]]</f>
        <v>5</v>
      </c>
      <c r="AR220">
        <f t="shared" si="96"/>
        <v>0.44444444444444442</v>
      </c>
      <c r="AS220">
        <f>step3_validation[[#This Row],[AI_TRU3]]</f>
        <v>8</v>
      </c>
      <c r="AT220">
        <f t="shared" si="97"/>
        <v>0.77777777777777779</v>
      </c>
      <c r="AU220">
        <f>survey_responses[[#This Row],[Tôi tin tưởng số tiền thuế tôi đóng sẽ được Nhà nước sử dụng hiệu quả để cải thiện dịch vụ công (y tế, đường xá...). - HUMAN-TRU3]]</f>
        <v>5</v>
      </c>
      <c r="AV220">
        <f t="shared" si="98"/>
        <v>0.44444444444444442</v>
      </c>
      <c r="AW220">
        <f>step3_validation[[#This Row],[AI_TRU4]]</f>
        <v>9</v>
      </c>
      <c r="AX220">
        <f t="shared" si="99"/>
        <v>0.88888888888888884</v>
      </c>
      <c r="AY220">
        <f>survey_responses[[#This Row],[Tôi thấy Nhà nước đã giải thích rõ ràng, minh bạch về lý do và mục tiêu của việc sửa đổi thuế lần này. - HUMAN-TRU4]]</f>
        <v>7</v>
      </c>
      <c r="AZ220">
        <f t="shared" si="100"/>
        <v>0.66666666666666663</v>
      </c>
      <c r="BA220" s="32">
        <f t="shared" si="101"/>
        <v>0.83333333333333326</v>
      </c>
      <c r="BB220" s="32">
        <f t="shared" si="102"/>
        <v>0.58333333333333337</v>
      </c>
      <c r="BC220" s="7">
        <f t="shared" si="103"/>
        <v>0.83333333333333337</v>
      </c>
      <c r="BD220" s="7">
        <f t="shared" si="104"/>
        <v>0.69444444444444453</v>
      </c>
      <c r="BE220">
        <f>step3_validation[[#This Row],[AI_OUT1]]</f>
        <v>8</v>
      </c>
      <c r="BF220">
        <f t="shared" si="105"/>
        <v>0.77777777777777779</v>
      </c>
      <c r="BG220">
        <f>survey_responses[[#This Row],[Sau khi xem xét các quyền lợi và nghĩa vụ, bạn có ủng hộ và tuân thủ chính sách mới hiện nay? - HUMAN-OUT1]]</f>
        <v>6</v>
      </c>
      <c r="BH220">
        <f t="shared" si="106"/>
        <v>0.55555555555555558</v>
      </c>
      <c r="BI220" s="32">
        <f t="shared" si="107"/>
        <v>2</v>
      </c>
    </row>
    <row r="221" spans="1:61" x14ac:dyDescent="0.45">
      <c r="A221" s="30">
        <f>step3_validation[[#This Row],[Persona_ID]]</f>
        <v>220</v>
      </c>
      <c r="B221" s="31">
        <f>step3_validation[[#This Row],[Used_Seed]]</f>
        <v>2245</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196.9270448940442</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6</v>
      </c>
      <c r="R221">
        <f t="shared" si="81"/>
        <v>0.55555555555555558</v>
      </c>
      <c r="S221">
        <f>survey_responses[[#This Row],[Tôi tin rằng với các quy định quản lý thuế hiện nay, hành vi gian lận hoặc trốn thuế sẽ dễ dàng bị phát hiện và xử lý nghiêm. - HUMAN-ENF1]]</f>
        <v>10</v>
      </c>
      <c r="T221">
        <f t="shared" si="82"/>
        <v>1</v>
      </c>
      <c r="U221">
        <f>step3_validation[[#This Row],[AI_ENF2]]</f>
        <v>6</v>
      </c>
      <c r="V221">
        <f t="shared" si="83"/>
        <v>0.55555555555555558</v>
      </c>
      <c r="W221">
        <f>survey_responses[[#This Row],[Tôi tin rằng Nhà nước, cơ quan thuế có đủ khả năng và công nghệ để phát hiện, xử lý nghiêm các hành vi trốn thuế. - HUMAN-ENF2]]</f>
        <v>10</v>
      </c>
      <c r="X221">
        <f t="shared" si="84"/>
        <v>1</v>
      </c>
      <c r="Y221" s="32">
        <f t="shared" si="85"/>
        <v>0.55555555555555558</v>
      </c>
      <c r="Z221" s="32">
        <f t="shared" si="86"/>
        <v>1</v>
      </c>
      <c r="AA221">
        <f>step3_validation[[#This Row],[AI_FAC1]]</f>
        <v>8</v>
      </c>
      <c r="AB221">
        <f t="shared" si="87"/>
        <v>0.77777777777777779</v>
      </c>
      <c r="AC221">
        <f>survey_responses[[#This Row],[Các thủ tục khai báo thuế VÀ/HOẶC quy trình làm việc với cơ quan thuế đơn giản, tiện lợi, nhanh chóng hơn so với trước đây. - HUMAN-FAC1]]</f>
        <v>6</v>
      </c>
      <c r="AD221">
        <f t="shared" si="88"/>
        <v>0.55555555555555558</v>
      </c>
      <c r="AE221">
        <f>step3_validation[[#This Row],[AI_FAC2]]</f>
        <v>9</v>
      </c>
      <c r="AF221">
        <f t="shared" si="89"/>
        <v>0.88888888888888884</v>
      </c>
      <c r="AG221">
        <f>survey_responses[[#This Row],[So với trước đây, tôi thấy cách tính thuế và các bậc thuế trong phương án mới đơn giản, dễ hiểu và dễ thực hiện hơn. - HUMAN-FAC2]]</f>
        <v>9</v>
      </c>
      <c r="AH221">
        <f t="shared" si="90"/>
        <v>0.88888888888888884</v>
      </c>
      <c r="AI221" s="32">
        <f t="shared" si="91"/>
        <v>0.83333333333333326</v>
      </c>
      <c r="AJ221" s="32">
        <f t="shared" si="92"/>
        <v>0.72222222222222221</v>
      </c>
      <c r="AK221">
        <f>step3_validation[[#This Row],[AI_TRU1]]</f>
        <v>7</v>
      </c>
      <c r="AL221">
        <f t="shared" si="93"/>
        <v>0.66666666666666663</v>
      </c>
      <c r="AM221">
        <f>survey_responses[[#This Row],[Tôi tin rằng Nhà nước, cơ quan thuế sẽ thực thi chính sách mới một cách khách quan, công tâm và đối xử bình đẳng với mọi người nộp thuế.  - HUMAN-TRU1]]</f>
        <v>9</v>
      </c>
      <c r="AN221">
        <f t="shared" si="94"/>
        <v>0.88888888888888884</v>
      </c>
      <c r="AO221">
        <f>step3_validation[[#This Row],[AI_TRU2]]</f>
        <v>9</v>
      </c>
      <c r="AP221">
        <f t="shared" si="95"/>
        <v>0.88888888888888884</v>
      </c>
      <c r="AQ221">
        <f>survey_responses[[#This Row],[Tôi thấy mức thuế tôi phải đóng theo phương án mới là công bằng (người thu nhập như tôi đóng mức này là hợp lý). - HUMAN-TRU2]]</f>
        <v>9</v>
      </c>
      <c r="AR221">
        <f t="shared" si="96"/>
        <v>0.88888888888888884</v>
      </c>
      <c r="AS221">
        <f>step3_validation[[#This Row],[AI_TRU3]]</f>
        <v>8</v>
      </c>
      <c r="AT221">
        <f t="shared" si="97"/>
        <v>0.77777777777777779</v>
      </c>
      <c r="AU221">
        <f>survey_responses[[#This Row],[Tôi tin tưởng số tiền thuế tôi đóng sẽ được Nhà nước sử dụng hiệu quả để cải thiện dịch vụ công (y tế, đường xá...). - HUMAN-TRU3]]</f>
        <v>9</v>
      </c>
      <c r="AV221">
        <f t="shared" si="98"/>
        <v>0.88888888888888884</v>
      </c>
      <c r="AW221">
        <f>step3_validation[[#This Row],[AI_TRU4]]</f>
        <v>7</v>
      </c>
      <c r="AX221">
        <f t="shared" si="99"/>
        <v>0.66666666666666663</v>
      </c>
      <c r="AY221">
        <f>survey_responses[[#This Row],[Tôi thấy Nhà nước đã giải thích rõ ràng, minh bạch về lý do và mục tiêu của việc sửa đổi thuế lần này. - HUMAN-TRU4]]</f>
        <v>8</v>
      </c>
      <c r="AZ221">
        <f t="shared" si="100"/>
        <v>0.77777777777777779</v>
      </c>
      <c r="BA221" s="32">
        <f t="shared" si="101"/>
        <v>0.74999999999999989</v>
      </c>
      <c r="BB221" s="32">
        <f t="shared" si="102"/>
        <v>0.86111111111111105</v>
      </c>
      <c r="BC221" s="7">
        <f t="shared" si="103"/>
        <v>0.71296296296296291</v>
      </c>
      <c r="BD221" s="7">
        <f t="shared" si="104"/>
        <v>0.86111111111111116</v>
      </c>
      <c r="BE221">
        <f>step3_validation[[#This Row],[AI_OUT1]]</f>
        <v>9</v>
      </c>
      <c r="BF221">
        <f t="shared" si="105"/>
        <v>0.88888888888888884</v>
      </c>
      <c r="BG221">
        <f>survey_responses[[#This Row],[Sau khi xem xét các quyền lợi và nghĩa vụ, bạn có ủng hộ và tuân thủ chính sách mới hiện nay? - HUMAN-OUT1]]</f>
        <v>8</v>
      </c>
      <c r="BH221">
        <f t="shared" si="106"/>
        <v>0.77777777777777779</v>
      </c>
      <c r="BI221" s="32">
        <f t="shared" si="107"/>
        <v>1</v>
      </c>
    </row>
    <row r="222" spans="1:61" x14ac:dyDescent="0.45">
      <c r="A222" s="30">
        <f>step3_validation[[#This Row],[Persona_ID]]</f>
        <v>221</v>
      </c>
      <c r="B222" s="31">
        <f>step3_validation[[#This Row],[Used_Seed]]</f>
        <v>2246</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55.586348861787485</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7</v>
      </c>
      <c r="R222">
        <f t="shared" si="81"/>
        <v>0.66666666666666663</v>
      </c>
      <c r="S222">
        <f>survey_responses[[#This Row],[Tôi tin rằng với các quy định quản lý thuế hiện nay, hành vi gian lận hoặc trốn thuế sẽ dễ dàng bị phát hiện và xử lý nghiêm. - HUMAN-ENF1]]</f>
        <v>4</v>
      </c>
      <c r="T222">
        <f t="shared" si="82"/>
        <v>0.33333333333333331</v>
      </c>
      <c r="U222">
        <f>step3_validation[[#This Row],[AI_ENF2]]</f>
        <v>6</v>
      </c>
      <c r="V222">
        <f t="shared" si="83"/>
        <v>0.55555555555555558</v>
      </c>
      <c r="W222">
        <f>survey_responses[[#This Row],[Tôi tin rằng Nhà nước, cơ quan thuế có đủ khả năng và công nghệ để phát hiện, xử lý nghiêm các hành vi trốn thuế. - HUMAN-ENF2]]</f>
        <v>4</v>
      </c>
      <c r="X222">
        <f t="shared" si="84"/>
        <v>0.33333333333333331</v>
      </c>
      <c r="Y222" s="32">
        <f t="shared" si="85"/>
        <v>0.61111111111111116</v>
      </c>
      <c r="Z222" s="32">
        <f t="shared" si="86"/>
        <v>0.33333333333333331</v>
      </c>
      <c r="AA222">
        <f>step3_validation[[#This Row],[AI_FAC1]]</f>
        <v>9</v>
      </c>
      <c r="AB222">
        <f t="shared" si="87"/>
        <v>0.88888888888888884</v>
      </c>
      <c r="AC222">
        <f>survey_responses[[#This Row],[Các thủ tục khai báo thuế VÀ/HOẶC quy trình làm việc với cơ quan thuế đơn giản, tiện lợi, nhanh chóng hơn so với trước đây. - HUMAN-FAC1]]</f>
        <v>4</v>
      </c>
      <c r="AD222">
        <f t="shared" si="88"/>
        <v>0.33333333333333331</v>
      </c>
      <c r="AE222">
        <f>step3_validation[[#This Row],[AI_FAC2]]</f>
        <v>8</v>
      </c>
      <c r="AF222">
        <f t="shared" si="89"/>
        <v>0.77777777777777779</v>
      </c>
      <c r="AG222">
        <f>survey_responses[[#This Row],[So với trước đây, tôi thấy cách tính thuế và các bậc thuế trong phương án mới đơn giản, dễ hiểu và dễ thực hiện hơn. - HUMAN-FAC2]]</f>
        <v>6</v>
      </c>
      <c r="AH222">
        <f t="shared" si="90"/>
        <v>0.55555555555555558</v>
      </c>
      <c r="AI222" s="32">
        <f t="shared" si="91"/>
        <v>0.83333333333333326</v>
      </c>
      <c r="AJ222" s="32">
        <f t="shared" si="92"/>
        <v>0.44444444444444442</v>
      </c>
      <c r="AK222">
        <f>step3_validation[[#This Row],[AI_TRU1]]</f>
        <v>7</v>
      </c>
      <c r="AL222">
        <f t="shared" si="93"/>
        <v>0.66666666666666663</v>
      </c>
      <c r="AM222">
        <f>survey_responses[[#This Row],[Tôi tin rằng Nhà nước, cơ quan thuế sẽ thực thi chính sách mới một cách khách quan, công tâm và đối xử bình đẳng với mọi người nộp thuế.  - HUMAN-TRU1]]</f>
        <v>5</v>
      </c>
      <c r="AN222">
        <f t="shared" si="94"/>
        <v>0.44444444444444442</v>
      </c>
      <c r="AO222">
        <f>step3_validation[[#This Row],[AI_TRU2]]</f>
        <v>9</v>
      </c>
      <c r="AP222">
        <f t="shared" si="95"/>
        <v>0.88888888888888884</v>
      </c>
      <c r="AQ222">
        <f>survey_responses[[#This Row],[Tôi thấy mức thuế tôi phải đóng theo phương án mới là công bằng (người thu nhập như tôi đóng mức này là hợp lý). - HUMAN-TRU2]]</f>
        <v>6</v>
      </c>
      <c r="AR222">
        <f t="shared" si="96"/>
        <v>0.55555555555555558</v>
      </c>
      <c r="AS222">
        <f>step3_validation[[#This Row],[AI_TRU3]]</f>
        <v>8</v>
      </c>
      <c r="AT222">
        <f t="shared" si="97"/>
        <v>0.77777777777777779</v>
      </c>
      <c r="AU222">
        <f>survey_responses[[#This Row],[Tôi tin tưởng số tiền thuế tôi đóng sẽ được Nhà nước sử dụng hiệu quả để cải thiện dịch vụ công (y tế, đường xá...). - HUMAN-TRU3]]</f>
        <v>5</v>
      </c>
      <c r="AV222">
        <f t="shared" si="98"/>
        <v>0.44444444444444442</v>
      </c>
      <c r="AW222">
        <f>step3_validation[[#This Row],[AI_TRU4]]</f>
        <v>7</v>
      </c>
      <c r="AX222">
        <f t="shared" si="99"/>
        <v>0.66666666666666663</v>
      </c>
      <c r="AY222">
        <f>survey_responses[[#This Row],[Tôi thấy Nhà nước đã giải thích rõ ràng, minh bạch về lý do và mục tiêu của việc sửa đổi thuế lần này. - HUMAN-TRU4]]</f>
        <v>6</v>
      </c>
      <c r="AZ222">
        <f t="shared" si="100"/>
        <v>0.55555555555555558</v>
      </c>
      <c r="BA222" s="32">
        <f t="shared" si="101"/>
        <v>0.74999999999999989</v>
      </c>
      <c r="BB222" s="32">
        <f t="shared" si="102"/>
        <v>0.5</v>
      </c>
      <c r="BC222" s="7">
        <f t="shared" si="103"/>
        <v>0.7314814814814814</v>
      </c>
      <c r="BD222" s="7">
        <f t="shared" si="104"/>
        <v>0.42592592592592587</v>
      </c>
      <c r="BE222">
        <f>step3_validation[[#This Row],[AI_OUT1]]</f>
        <v>8</v>
      </c>
      <c r="BF222">
        <f t="shared" si="105"/>
        <v>0.77777777777777779</v>
      </c>
      <c r="BG222">
        <f>survey_responses[[#This Row],[Sau khi xem xét các quyền lợi và nghĩa vụ, bạn có ủng hộ và tuân thủ chính sách mới hiện nay? - HUMAN-OUT1]]</f>
        <v>5</v>
      </c>
      <c r="BH222">
        <f t="shared" si="106"/>
        <v>0.44444444444444442</v>
      </c>
      <c r="BI222" s="32">
        <f t="shared" si="107"/>
        <v>3</v>
      </c>
    </row>
    <row r="223" spans="1:61" x14ac:dyDescent="0.45">
      <c r="A223" s="30">
        <f>step3_validation[[#This Row],[Persona_ID]]</f>
        <v>222</v>
      </c>
      <c r="B223" s="31">
        <f>step3_validation[[#This Row],[Used_Seed]]</f>
        <v>2247</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49.179815053040443</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6</v>
      </c>
      <c r="R223">
        <f t="shared" si="81"/>
        <v>0.55555555555555558</v>
      </c>
      <c r="S223">
        <f>survey_responses[[#This Row],[Tôi tin rằng với các quy định quản lý thuế hiện nay, hành vi gian lận hoặc trốn thuế sẽ dễ dàng bị phát hiện và xử lý nghiêm. - HUMAN-ENF1]]</f>
        <v>4</v>
      </c>
      <c r="T223">
        <f t="shared" si="82"/>
        <v>0.33333333333333331</v>
      </c>
      <c r="U223">
        <f>step3_validation[[#This Row],[AI_ENF2]]</f>
        <v>5</v>
      </c>
      <c r="V223">
        <f t="shared" si="83"/>
        <v>0.44444444444444442</v>
      </c>
      <c r="W223">
        <f>survey_responses[[#This Row],[Tôi tin rằng Nhà nước, cơ quan thuế có đủ khả năng và công nghệ để phát hiện, xử lý nghiêm các hành vi trốn thuế. - HUMAN-ENF2]]</f>
        <v>5</v>
      </c>
      <c r="X223">
        <f t="shared" si="84"/>
        <v>0.44444444444444442</v>
      </c>
      <c r="Y223" s="32">
        <f t="shared" si="85"/>
        <v>0.5</v>
      </c>
      <c r="Z223" s="32">
        <f t="shared" si="86"/>
        <v>0.38888888888888884</v>
      </c>
      <c r="AA223">
        <f>step3_validation[[#This Row],[AI_FAC1]]</f>
        <v>8</v>
      </c>
      <c r="AB223">
        <f t="shared" si="87"/>
        <v>0.77777777777777779</v>
      </c>
      <c r="AC223">
        <f>survey_responses[[#This Row],[Các thủ tục khai báo thuế VÀ/HOẶC quy trình làm việc với cơ quan thuế đơn giản, tiện lợi, nhanh chóng hơn so với trước đây. - HUMAN-FAC1]]</f>
        <v>4</v>
      </c>
      <c r="AD223">
        <f t="shared" si="88"/>
        <v>0.33333333333333331</v>
      </c>
      <c r="AE223">
        <f>step3_validation[[#This Row],[AI_FAC2]]</f>
        <v>9</v>
      </c>
      <c r="AF223">
        <f t="shared" si="89"/>
        <v>0.88888888888888884</v>
      </c>
      <c r="AG223">
        <f>survey_responses[[#This Row],[So với trước đây, tôi thấy cách tính thuế và các bậc thuế trong phương án mới đơn giản, dễ hiểu và dễ thực hiện hơn. - HUMAN-FAC2]]</f>
        <v>5</v>
      </c>
      <c r="AH223">
        <f t="shared" si="90"/>
        <v>0.44444444444444442</v>
      </c>
      <c r="AI223" s="32">
        <f t="shared" si="91"/>
        <v>0.83333333333333326</v>
      </c>
      <c r="AJ223" s="32">
        <f t="shared" si="92"/>
        <v>0.38888888888888884</v>
      </c>
      <c r="AK223">
        <f>step3_validation[[#This Row],[AI_TRU1]]</f>
        <v>7</v>
      </c>
      <c r="AL223">
        <f t="shared" si="93"/>
        <v>0.66666666666666663</v>
      </c>
      <c r="AM223">
        <f>survey_responses[[#This Row],[Tôi tin rằng Nhà nước, cơ quan thuế sẽ thực thi chính sách mới một cách khách quan, công tâm và đối xử bình đẳng với mọi người nộp thuế.  - HUMAN-TRU1]]</f>
        <v>5</v>
      </c>
      <c r="AN223">
        <f t="shared" si="94"/>
        <v>0.44444444444444442</v>
      </c>
      <c r="AO223">
        <f>step3_validation[[#This Row],[AI_TRU2]]</f>
        <v>8</v>
      </c>
      <c r="AP223">
        <f t="shared" si="95"/>
        <v>0.77777777777777779</v>
      </c>
      <c r="AQ223">
        <f>survey_responses[[#This Row],[Tôi thấy mức thuế tôi phải đóng theo phương án mới là công bằng (người thu nhập như tôi đóng mức này là hợp lý). - HUMAN-TRU2]]</f>
        <v>5</v>
      </c>
      <c r="AR223">
        <f t="shared" si="96"/>
        <v>0.44444444444444442</v>
      </c>
      <c r="AS223">
        <f>step3_validation[[#This Row],[AI_TRU3]]</f>
        <v>7</v>
      </c>
      <c r="AT223">
        <f t="shared" si="97"/>
        <v>0.66666666666666663</v>
      </c>
      <c r="AU223">
        <f>survey_responses[[#This Row],[Tôi tin tưởng số tiền thuế tôi đóng sẽ được Nhà nước sử dụng hiệu quả để cải thiện dịch vụ công (y tế, đường xá...). - HUMAN-TRU3]]</f>
        <v>5</v>
      </c>
      <c r="AV223">
        <f t="shared" si="98"/>
        <v>0.44444444444444442</v>
      </c>
      <c r="AW223">
        <f>step3_validation[[#This Row],[AI_TRU4]]</f>
        <v>8</v>
      </c>
      <c r="AX223">
        <f t="shared" si="99"/>
        <v>0.77777777777777779</v>
      </c>
      <c r="AY223">
        <f>survey_responses[[#This Row],[Tôi thấy Nhà nước đã giải thích rõ ràng, minh bạch về lý do và mục tiêu của việc sửa đổi thuế lần này. - HUMAN-TRU4]]</f>
        <v>5</v>
      </c>
      <c r="AZ223">
        <f t="shared" si="100"/>
        <v>0.44444444444444442</v>
      </c>
      <c r="BA223" s="32">
        <f t="shared" si="101"/>
        <v>0.72222222222222221</v>
      </c>
      <c r="BB223" s="32">
        <f t="shared" si="102"/>
        <v>0.44444444444444442</v>
      </c>
      <c r="BC223" s="7">
        <f t="shared" si="103"/>
        <v>0.68518518518518512</v>
      </c>
      <c r="BD223" s="7">
        <f t="shared" si="104"/>
        <v>0.40740740740740738</v>
      </c>
      <c r="BE223">
        <f>step3_validation[[#This Row],[AI_OUT1]]</f>
        <v>7</v>
      </c>
      <c r="BF223">
        <f t="shared" si="105"/>
        <v>0.66666666666666663</v>
      </c>
      <c r="BG223">
        <f>survey_responses[[#This Row],[Sau khi xem xét các quyền lợi và nghĩa vụ, bạn có ủng hộ và tuân thủ chính sách mới hiện nay? - HUMAN-OUT1]]</f>
        <v>5</v>
      </c>
      <c r="BH223">
        <f t="shared" si="106"/>
        <v>0.44444444444444442</v>
      </c>
      <c r="BI223" s="32">
        <f t="shared" si="107"/>
        <v>2</v>
      </c>
    </row>
    <row r="224" spans="1:61" x14ac:dyDescent="0.45">
      <c r="A224" s="30">
        <f>step3_validation[[#This Row],[Persona_ID]]</f>
        <v>223</v>
      </c>
      <c r="B224" s="31">
        <f>step3_validation[[#This Row],[Used_Seed]]</f>
        <v>2248</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68.345061331934133</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8</v>
      </c>
      <c r="R224">
        <f t="shared" si="81"/>
        <v>0.77777777777777779</v>
      </c>
      <c r="S224">
        <f>survey_responses[[#This Row],[Tôi tin rằng với các quy định quản lý thuế hiện nay, hành vi gian lận hoặc trốn thuế sẽ dễ dàng bị phát hiện và xử lý nghiêm. - HUMAN-ENF1]]</f>
        <v>6</v>
      </c>
      <c r="T224">
        <f t="shared" si="82"/>
        <v>0.55555555555555558</v>
      </c>
      <c r="U224">
        <f>step3_validation[[#This Row],[AI_ENF2]]</f>
        <v>8</v>
      </c>
      <c r="V224">
        <f t="shared" si="83"/>
        <v>0.77777777777777779</v>
      </c>
      <c r="W224">
        <f>survey_responses[[#This Row],[Tôi tin rằng Nhà nước, cơ quan thuế có đủ khả năng và công nghệ để phát hiện, xử lý nghiêm các hành vi trốn thuế. - HUMAN-ENF2]]</f>
        <v>6</v>
      </c>
      <c r="X224">
        <f t="shared" si="84"/>
        <v>0.55555555555555558</v>
      </c>
      <c r="Y224" s="32">
        <f t="shared" si="85"/>
        <v>0.77777777777777779</v>
      </c>
      <c r="Z224" s="32">
        <f t="shared" si="86"/>
        <v>0.55555555555555558</v>
      </c>
      <c r="AA224">
        <f>step3_validation[[#This Row],[AI_FAC1]]</f>
        <v>9</v>
      </c>
      <c r="AB224">
        <f t="shared" si="87"/>
        <v>0.88888888888888884</v>
      </c>
      <c r="AC224">
        <f>survey_responses[[#This Row],[Các thủ tục khai báo thuế VÀ/HOẶC quy trình làm việc với cơ quan thuế đơn giản, tiện lợi, nhanh chóng hơn so với trước đây. - HUMAN-FAC1]]</f>
        <v>7</v>
      </c>
      <c r="AD224">
        <f t="shared" si="88"/>
        <v>0.66666666666666663</v>
      </c>
      <c r="AE224">
        <f>step3_validation[[#This Row],[AI_FAC2]]</f>
        <v>8</v>
      </c>
      <c r="AF224">
        <f t="shared" si="89"/>
        <v>0.77777777777777779</v>
      </c>
      <c r="AG224">
        <f>survey_responses[[#This Row],[So với trước đây, tôi thấy cách tính thuế và các bậc thuế trong phương án mới đơn giản, dễ hiểu và dễ thực hiện hơn. - HUMAN-FAC2]]</f>
        <v>7</v>
      </c>
      <c r="AH224">
        <f t="shared" si="90"/>
        <v>0.66666666666666663</v>
      </c>
      <c r="AI224" s="32">
        <f t="shared" si="91"/>
        <v>0.83333333333333326</v>
      </c>
      <c r="AJ224" s="32">
        <f t="shared" si="92"/>
        <v>0.66666666666666663</v>
      </c>
      <c r="AK224">
        <f>step3_validation[[#This Row],[AI_TRU1]]</f>
        <v>8</v>
      </c>
      <c r="AL224">
        <f t="shared" si="93"/>
        <v>0.77777777777777779</v>
      </c>
      <c r="AM224">
        <f>survey_responses[[#This Row],[Tôi tin rằng Nhà nước, cơ quan thuế sẽ thực thi chính sách mới một cách khách quan, công tâm và đối xử bình đẳng với mọi người nộp thuế.  - HUMAN-TRU1]]</f>
        <v>6</v>
      </c>
      <c r="AN224">
        <f t="shared" si="94"/>
        <v>0.55555555555555558</v>
      </c>
      <c r="AO224">
        <f>step3_validation[[#This Row],[AI_TRU2]]</f>
        <v>9</v>
      </c>
      <c r="AP224">
        <f t="shared" si="95"/>
        <v>0.88888888888888884</v>
      </c>
      <c r="AQ224">
        <f>survey_responses[[#This Row],[Tôi thấy mức thuế tôi phải đóng theo phương án mới là công bằng (người thu nhập như tôi đóng mức này là hợp lý). - HUMAN-TRU2]]</f>
        <v>6</v>
      </c>
      <c r="AR224">
        <f t="shared" si="96"/>
        <v>0.55555555555555558</v>
      </c>
      <c r="AS224">
        <f>step3_validation[[#This Row],[AI_TRU3]]</f>
        <v>8</v>
      </c>
      <c r="AT224">
        <f t="shared" si="97"/>
        <v>0.77777777777777779</v>
      </c>
      <c r="AU224">
        <f>survey_responses[[#This Row],[Tôi tin tưởng số tiền thuế tôi đóng sẽ được Nhà nước sử dụng hiệu quả để cải thiện dịch vụ công (y tế, đường xá...). - HUMAN-TRU3]]</f>
        <v>8</v>
      </c>
      <c r="AV224">
        <f t="shared" si="98"/>
        <v>0.77777777777777779</v>
      </c>
      <c r="AW224">
        <f>step3_validation[[#This Row],[AI_TRU4]]</f>
        <v>8</v>
      </c>
      <c r="AX224">
        <f t="shared" si="99"/>
        <v>0.77777777777777779</v>
      </c>
      <c r="AY224">
        <f>survey_responses[[#This Row],[Tôi thấy Nhà nước đã giải thích rõ ràng, minh bạch về lý do và mục tiêu của việc sửa đổi thuế lần này. - HUMAN-TRU4]]</f>
        <v>8</v>
      </c>
      <c r="AZ224">
        <f t="shared" si="100"/>
        <v>0.77777777777777779</v>
      </c>
      <c r="BA224" s="32">
        <f t="shared" si="101"/>
        <v>0.80555555555555547</v>
      </c>
      <c r="BB224" s="32">
        <f t="shared" si="102"/>
        <v>0.66666666666666663</v>
      </c>
      <c r="BC224" s="7">
        <f t="shared" si="103"/>
        <v>0.80555555555555547</v>
      </c>
      <c r="BD224" s="7">
        <f t="shared" si="104"/>
        <v>0.62962962962962965</v>
      </c>
      <c r="BE224">
        <f>step3_validation[[#This Row],[AI_OUT1]]</f>
        <v>9</v>
      </c>
      <c r="BF224">
        <f t="shared" si="105"/>
        <v>0.88888888888888884</v>
      </c>
      <c r="BG224">
        <f>survey_responses[[#This Row],[Sau khi xem xét các quyền lợi và nghĩa vụ, bạn có ủng hộ và tuân thủ chính sách mới hiện nay? - HUMAN-OUT1]]</f>
        <v>7</v>
      </c>
      <c r="BH224">
        <f t="shared" si="106"/>
        <v>0.66666666666666663</v>
      </c>
      <c r="BI224" s="32">
        <f t="shared" si="107"/>
        <v>2</v>
      </c>
    </row>
    <row r="225" spans="1:61" x14ac:dyDescent="0.45">
      <c r="A225" s="30">
        <f>step3_validation[[#This Row],[Persona_ID]]</f>
        <v>224</v>
      </c>
      <c r="B225" s="31">
        <f>step3_validation[[#This Row],[Used_Seed]]</f>
        <v>2249</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60.750625424014274</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6</v>
      </c>
      <c r="R225">
        <f t="shared" si="81"/>
        <v>0.55555555555555558</v>
      </c>
      <c r="S225">
        <f>survey_responses[[#This Row],[Tôi tin rằng với các quy định quản lý thuế hiện nay, hành vi gian lận hoặc trốn thuế sẽ dễ dàng bị phát hiện và xử lý nghiêm. - HUMAN-ENF1]]</f>
        <v>7</v>
      </c>
      <c r="T225">
        <f t="shared" si="82"/>
        <v>0.66666666666666663</v>
      </c>
      <c r="U225">
        <f>step3_validation[[#This Row],[AI_ENF2]]</f>
        <v>7</v>
      </c>
      <c r="V225">
        <f t="shared" si="83"/>
        <v>0.66666666666666663</v>
      </c>
      <c r="W225">
        <f>survey_responses[[#This Row],[Tôi tin rằng Nhà nước, cơ quan thuế có đủ khả năng và công nghệ để phát hiện, xử lý nghiêm các hành vi trốn thuế. - HUMAN-ENF2]]</f>
        <v>7</v>
      </c>
      <c r="X225">
        <f t="shared" si="84"/>
        <v>0.66666666666666663</v>
      </c>
      <c r="Y225" s="32">
        <f t="shared" si="85"/>
        <v>0.61111111111111116</v>
      </c>
      <c r="Z225" s="32">
        <f t="shared" si="86"/>
        <v>0.66666666666666663</v>
      </c>
      <c r="AA225">
        <f>step3_validation[[#This Row],[AI_FAC1]]</f>
        <v>5</v>
      </c>
      <c r="AB225">
        <f t="shared" si="87"/>
        <v>0.44444444444444442</v>
      </c>
      <c r="AC225">
        <f>survey_responses[[#This Row],[Các thủ tục khai báo thuế VÀ/HOẶC quy trình làm việc với cơ quan thuế đơn giản, tiện lợi, nhanh chóng hơn so với trước đây. - HUMAN-FAC1]]</f>
        <v>7</v>
      </c>
      <c r="AD225">
        <f t="shared" si="88"/>
        <v>0.66666666666666663</v>
      </c>
      <c r="AE225">
        <f>step3_validation[[#This Row],[AI_FAC2]]</f>
        <v>8</v>
      </c>
      <c r="AF225">
        <f t="shared" si="89"/>
        <v>0.77777777777777779</v>
      </c>
      <c r="AG225">
        <f>survey_responses[[#This Row],[So với trước đây, tôi thấy cách tính thuế và các bậc thuế trong phương án mới đơn giản, dễ hiểu và dễ thực hiện hơn. - HUMAN-FAC2]]</f>
        <v>7</v>
      </c>
      <c r="AH225">
        <f t="shared" si="90"/>
        <v>0.66666666666666663</v>
      </c>
      <c r="AI225" s="32">
        <f t="shared" si="91"/>
        <v>0.61111111111111116</v>
      </c>
      <c r="AJ225" s="32">
        <f t="shared" si="92"/>
        <v>0.66666666666666663</v>
      </c>
      <c r="AK225">
        <f>step3_validation[[#This Row],[AI_TRU1]]</f>
        <v>6</v>
      </c>
      <c r="AL225">
        <f t="shared" si="93"/>
        <v>0.55555555555555558</v>
      </c>
      <c r="AM225">
        <f>survey_responses[[#This Row],[Tôi tin rằng Nhà nước, cơ quan thuế sẽ thực thi chính sách mới một cách khách quan, công tâm và đối xử bình đẳng với mọi người nộp thuế.  - HUMAN-TRU1]]</f>
        <v>7</v>
      </c>
      <c r="AN225">
        <f t="shared" si="94"/>
        <v>0.66666666666666663</v>
      </c>
      <c r="AO225">
        <f>step3_validation[[#This Row],[AI_TRU2]]</f>
        <v>7</v>
      </c>
      <c r="AP225">
        <f t="shared" si="95"/>
        <v>0.66666666666666663</v>
      </c>
      <c r="AQ225">
        <f>survey_responses[[#This Row],[Tôi thấy mức thuế tôi phải đóng theo phương án mới là công bằng (người thu nhập như tôi đóng mức này là hợp lý). - HUMAN-TRU2]]</f>
        <v>7</v>
      </c>
      <c r="AR225">
        <f t="shared" si="96"/>
        <v>0.66666666666666663</v>
      </c>
      <c r="AS225">
        <f>step3_validation[[#This Row],[AI_TRU3]]</f>
        <v>6</v>
      </c>
      <c r="AT225">
        <f t="shared" si="97"/>
        <v>0.55555555555555558</v>
      </c>
      <c r="AU225">
        <f>survey_responses[[#This Row],[Tôi tin tưởng số tiền thuế tôi đóng sẽ được Nhà nước sử dụng hiệu quả để cải thiện dịch vụ công (y tế, đường xá...). - HUMAN-TRU3]]</f>
        <v>7</v>
      </c>
      <c r="AV225">
        <f t="shared" si="98"/>
        <v>0.66666666666666663</v>
      </c>
      <c r="AW225">
        <f>step3_validation[[#This Row],[AI_TRU4]]</f>
        <v>7</v>
      </c>
      <c r="AX225">
        <f t="shared" si="99"/>
        <v>0.66666666666666663</v>
      </c>
      <c r="AY225">
        <f>survey_responses[[#This Row],[Tôi thấy Nhà nước đã giải thích rõ ràng, minh bạch về lý do và mục tiêu của việc sửa đổi thuế lần này. - HUMAN-TRU4]]</f>
        <v>7</v>
      </c>
      <c r="AZ225">
        <f t="shared" si="100"/>
        <v>0.66666666666666663</v>
      </c>
      <c r="BA225" s="32">
        <f t="shared" si="101"/>
        <v>0.61111111111111116</v>
      </c>
      <c r="BB225" s="32">
        <f t="shared" si="102"/>
        <v>0.66666666666666663</v>
      </c>
      <c r="BC225" s="7">
        <f t="shared" si="103"/>
        <v>0.61111111111111116</v>
      </c>
      <c r="BD225" s="7">
        <f t="shared" si="104"/>
        <v>0.66666666666666663</v>
      </c>
      <c r="BE225">
        <f>step3_validation[[#This Row],[AI_OUT1]]</f>
        <v>9</v>
      </c>
      <c r="BF225">
        <f t="shared" si="105"/>
        <v>0.88888888888888884</v>
      </c>
      <c r="BG225">
        <f>survey_responses[[#This Row],[Sau khi xem xét các quyền lợi và nghĩa vụ, bạn có ủng hộ và tuân thủ chính sách mới hiện nay? - HUMAN-OUT1]]</f>
        <v>7</v>
      </c>
      <c r="BH225">
        <f t="shared" si="106"/>
        <v>0.66666666666666663</v>
      </c>
      <c r="BI225" s="32">
        <f t="shared" si="107"/>
        <v>2</v>
      </c>
    </row>
    <row r="226" spans="1:61" x14ac:dyDescent="0.45">
      <c r="A226" s="30">
        <f>step3_validation[[#This Row],[Persona_ID]]</f>
        <v>225</v>
      </c>
      <c r="B226" s="31">
        <f>step3_validation[[#This Row],[Used_Seed]]</f>
        <v>2250</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37.838960492696707</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7</v>
      </c>
      <c r="R226">
        <f t="shared" si="81"/>
        <v>0.66666666666666663</v>
      </c>
      <c r="S226">
        <f>survey_responses[[#This Row],[Tôi tin rằng với các quy định quản lý thuế hiện nay, hành vi gian lận hoặc trốn thuế sẽ dễ dàng bị phát hiện và xử lý nghiêm. - HUMAN-ENF1]]</f>
        <v>6</v>
      </c>
      <c r="T226">
        <f t="shared" si="82"/>
        <v>0.55555555555555558</v>
      </c>
      <c r="U226">
        <f>step3_validation[[#This Row],[AI_ENF2]]</f>
        <v>8</v>
      </c>
      <c r="V226">
        <f t="shared" si="83"/>
        <v>0.77777777777777779</v>
      </c>
      <c r="W226">
        <f>survey_responses[[#This Row],[Tôi tin rằng Nhà nước, cơ quan thuế có đủ khả năng và công nghệ để phát hiện, xử lý nghiêm các hành vi trốn thuế. - HUMAN-ENF2]]</f>
        <v>6</v>
      </c>
      <c r="X226">
        <f t="shared" si="84"/>
        <v>0.55555555555555558</v>
      </c>
      <c r="Y226" s="32">
        <f t="shared" si="85"/>
        <v>0.72222222222222221</v>
      </c>
      <c r="Z226" s="32">
        <f t="shared" si="86"/>
        <v>0.55555555555555558</v>
      </c>
      <c r="AA226">
        <f>step3_validation[[#This Row],[AI_FAC1]]</f>
        <v>6</v>
      </c>
      <c r="AB226">
        <f t="shared" si="87"/>
        <v>0.55555555555555558</v>
      </c>
      <c r="AC226">
        <f>survey_responses[[#This Row],[Các thủ tục khai báo thuế VÀ/HOẶC quy trình làm việc với cơ quan thuế đơn giản, tiện lợi, nhanh chóng hơn so với trước đây. - HUMAN-FAC1]]</f>
        <v>7</v>
      </c>
      <c r="AD226">
        <f t="shared" si="88"/>
        <v>0.66666666666666663</v>
      </c>
      <c r="AE226">
        <f>step3_validation[[#This Row],[AI_FAC2]]</f>
        <v>9</v>
      </c>
      <c r="AF226">
        <f t="shared" si="89"/>
        <v>0.88888888888888884</v>
      </c>
      <c r="AG226">
        <f>survey_responses[[#This Row],[So với trước đây, tôi thấy cách tính thuế và các bậc thuế trong phương án mới đơn giản, dễ hiểu và dễ thực hiện hơn. - HUMAN-FAC2]]</f>
        <v>7</v>
      </c>
      <c r="AH226">
        <f t="shared" si="90"/>
        <v>0.66666666666666663</v>
      </c>
      <c r="AI226" s="32">
        <f t="shared" si="91"/>
        <v>0.72222222222222221</v>
      </c>
      <c r="AJ226" s="32">
        <f t="shared" si="92"/>
        <v>0.66666666666666663</v>
      </c>
      <c r="AK226">
        <f>step3_validation[[#This Row],[AI_TRU1]]</f>
        <v>7</v>
      </c>
      <c r="AL226">
        <f t="shared" si="93"/>
        <v>0.66666666666666663</v>
      </c>
      <c r="AM226">
        <f>survey_responses[[#This Row],[Tôi tin rằng Nhà nước, cơ quan thuế sẽ thực thi chính sách mới một cách khách quan, công tâm và đối xử bình đẳng với mọi người nộp thuế.  - HUMAN-TRU1]]</f>
        <v>5</v>
      </c>
      <c r="AN226">
        <f t="shared" si="94"/>
        <v>0.44444444444444442</v>
      </c>
      <c r="AO226">
        <f>step3_validation[[#This Row],[AI_TRU2]]</f>
        <v>9</v>
      </c>
      <c r="AP226">
        <f t="shared" si="95"/>
        <v>0.88888888888888884</v>
      </c>
      <c r="AQ226">
        <f>survey_responses[[#This Row],[Tôi thấy mức thuế tôi phải đóng theo phương án mới là công bằng (người thu nhập như tôi đóng mức này là hợp lý). - HUMAN-TRU2]]</f>
        <v>6</v>
      </c>
      <c r="AR226">
        <f t="shared" si="96"/>
        <v>0.55555555555555558</v>
      </c>
      <c r="AS226">
        <f>step3_validation[[#This Row],[AI_TRU3]]</f>
        <v>7</v>
      </c>
      <c r="AT226">
        <f t="shared" si="97"/>
        <v>0.66666666666666663</v>
      </c>
      <c r="AU226">
        <f>survey_responses[[#This Row],[Tôi tin tưởng số tiền thuế tôi đóng sẽ được Nhà nước sử dụng hiệu quả để cải thiện dịch vụ công (y tế, đường xá...). - HUMAN-TRU3]]</f>
        <v>6</v>
      </c>
      <c r="AV226">
        <f t="shared" si="98"/>
        <v>0.55555555555555558</v>
      </c>
      <c r="AW226">
        <f>step3_validation[[#This Row],[AI_TRU4]]</f>
        <v>6</v>
      </c>
      <c r="AX226">
        <f t="shared" si="99"/>
        <v>0.55555555555555558</v>
      </c>
      <c r="AY226">
        <f>survey_responses[[#This Row],[Tôi thấy Nhà nước đã giải thích rõ ràng, minh bạch về lý do và mục tiêu của việc sửa đổi thuế lần này. - HUMAN-TRU4]]</f>
        <v>6</v>
      </c>
      <c r="AZ226">
        <f t="shared" si="100"/>
        <v>0.55555555555555558</v>
      </c>
      <c r="BA226" s="32">
        <f t="shared" si="101"/>
        <v>0.69444444444444442</v>
      </c>
      <c r="BB226" s="32">
        <f t="shared" si="102"/>
        <v>0.52777777777777779</v>
      </c>
      <c r="BC226" s="7">
        <f t="shared" si="103"/>
        <v>0.71296296296296291</v>
      </c>
      <c r="BD226" s="7">
        <f t="shared" si="104"/>
        <v>0.58333333333333337</v>
      </c>
      <c r="BE226">
        <f>step3_validation[[#This Row],[AI_OUT1]]</f>
        <v>9</v>
      </c>
      <c r="BF226">
        <f t="shared" si="105"/>
        <v>0.88888888888888884</v>
      </c>
      <c r="BG226">
        <f>survey_responses[[#This Row],[Sau khi xem xét các quyền lợi và nghĩa vụ, bạn có ủng hộ và tuân thủ chính sách mới hiện nay? - HUMAN-OUT1]]</f>
        <v>7</v>
      </c>
      <c r="BH226">
        <f t="shared" si="106"/>
        <v>0.66666666666666663</v>
      </c>
      <c r="BI226" s="32">
        <f t="shared" si="107"/>
        <v>2</v>
      </c>
    </row>
    <row r="227" spans="1:61" x14ac:dyDescent="0.45">
      <c r="A227" s="30">
        <f>step3_validation[[#This Row],[Persona_ID]]</f>
        <v>226</v>
      </c>
      <c r="B227" s="31">
        <f>step3_validation[[#This Row],[Used_Seed]]</f>
        <v>2251</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96.15980918559913</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6</v>
      </c>
      <c r="R227">
        <f t="shared" si="81"/>
        <v>0.55555555555555558</v>
      </c>
      <c r="S227">
        <f>survey_responses[[#This Row],[Tôi tin rằng với các quy định quản lý thuế hiện nay, hành vi gian lận hoặc trốn thuế sẽ dễ dàng bị phát hiện và xử lý nghiêm. - HUMAN-ENF1]]</f>
        <v>7</v>
      </c>
      <c r="T227">
        <f t="shared" si="82"/>
        <v>0.66666666666666663</v>
      </c>
      <c r="U227">
        <f>step3_validation[[#This Row],[AI_ENF2]]</f>
        <v>5</v>
      </c>
      <c r="V227">
        <f t="shared" si="83"/>
        <v>0.44444444444444442</v>
      </c>
      <c r="W227">
        <f>survey_responses[[#This Row],[Tôi tin rằng Nhà nước, cơ quan thuế có đủ khả năng và công nghệ để phát hiện, xử lý nghiêm các hành vi trốn thuế. - HUMAN-ENF2]]</f>
        <v>7</v>
      </c>
      <c r="X227">
        <f t="shared" si="84"/>
        <v>0.66666666666666663</v>
      </c>
      <c r="Y227" s="32">
        <f t="shared" si="85"/>
        <v>0.5</v>
      </c>
      <c r="Z227" s="32">
        <f t="shared" si="86"/>
        <v>0.66666666666666663</v>
      </c>
      <c r="AA227">
        <f>step3_validation[[#This Row],[AI_FAC1]]</f>
        <v>8</v>
      </c>
      <c r="AB227">
        <f t="shared" si="87"/>
        <v>0.77777777777777779</v>
      </c>
      <c r="AC227">
        <f>survey_responses[[#This Row],[Các thủ tục khai báo thuế VÀ/HOẶC quy trình làm việc với cơ quan thuế đơn giản, tiện lợi, nhanh chóng hơn so với trước đây. - HUMAN-FAC1]]</f>
        <v>6</v>
      </c>
      <c r="AD227">
        <f t="shared" si="88"/>
        <v>0.55555555555555558</v>
      </c>
      <c r="AE227">
        <f>step3_validation[[#This Row],[AI_FAC2]]</f>
        <v>9</v>
      </c>
      <c r="AF227">
        <f t="shared" si="89"/>
        <v>0.88888888888888884</v>
      </c>
      <c r="AG227">
        <f>survey_responses[[#This Row],[So với trước đây, tôi thấy cách tính thuế và các bậc thuế trong phương án mới đơn giản, dễ hiểu và dễ thực hiện hơn. - HUMAN-FAC2]]</f>
        <v>7</v>
      </c>
      <c r="AH227">
        <f t="shared" si="90"/>
        <v>0.66666666666666663</v>
      </c>
      <c r="AI227" s="32">
        <f t="shared" si="91"/>
        <v>0.83333333333333326</v>
      </c>
      <c r="AJ227" s="32">
        <f t="shared" si="92"/>
        <v>0.61111111111111116</v>
      </c>
      <c r="AK227">
        <f>step3_validation[[#This Row],[AI_TRU1]]</f>
        <v>7</v>
      </c>
      <c r="AL227">
        <f t="shared" si="93"/>
        <v>0.66666666666666663</v>
      </c>
      <c r="AM227">
        <f>survey_responses[[#This Row],[Tôi tin rằng Nhà nước, cơ quan thuế sẽ thực thi chính sách mới một cách khách quan, công tâm và đối xử bình đẳng với mọi người nộp thuế.  - HUMAN-TRU1]]</f>
        <v>7</v>
      </c>
      <c r="AN227">
        <f t="shared" si="94"/>
        <v>0.66666666666666663</v>
      </c>
      <c r="AO227">
        <f>step3_validation[[#This Row],[AI_TRU2]]</f>
        <v>8</v>
      </c>
      <c r="AP227">
        <f t="shared" si="95"/>
        <v>0.77777777777777779</v>
      </c>
      <c r="AQ227">
        <f>survey_responses[[#This Row],[Tôi thấy mức thuế tôi phải đóng theo phương án mới là công bằng (người thu nhập như tôi đóng mức này là hợp lý). - HUMAN-TRU2]]</f>
        <v>7</v>
      </c>
      <c r="AR227">
        <f t="shared" si="96"/>
        <v>0.66666666666666663</v>
      </c>
      <c r="AS227">
        <f>step3_validation[[#This Row],[AI_TRU3]]</f>
        <v>6</v>
      </c>
      <c r="AT227">
        <f t="shared" si="97"/>
        <v>0.55555555555555558</v>
      </c>
      <c r="AU227">
        <f>survey_responses[[#This Row],[Tôi tin tưởng số tiền thuế tôi đóng sẽ được Nhà nước sử dụng hiệu quả để cải thiện dịch vụ công (y tế, đường xá...). - HUMAN-TRU3]]</f>
        <v>7</v>
      </c>
      <c r="AV227">
        <f t="shared" si="98"/>
        <v>0.66666666666666663</v>
      </c>
      <c r="AW227">
        <f>step3_validation[[#This Row],[AI_TRU4]]</f>
        <v>7</v>
      </c>
      <c r="AX227">
        <f t="shared" si="99"/>
        <v>0.66666666666666663</v>
      </c>
      <c r="AY227">
        <f>survey_responses[[#This Row],[Tôi thấy Nhà nước đã giải thích rõ ràng, minh bạch về lý do và mục tiêu của việc sửa đổi thuế lần này. - HUMAN-TRU4]]</f>
        <v>7</v>
      </c>
      <c r="AZ227">
        <f t="shared" si="100"/>
        <v>0.66666666666666663</v>
      </c>
      <c r="BA227" s="32">
        <f t="shared" si="101"/>
        <v>0.66666666666666663</v>
      </c>
      <c r="BB227" s="32">
        <f t="shared" si="102"/>
        <v>0.66666666666666663</v>
      </c>
      <c r="BC227" s="7">
        <f t="shared" si="103"/>
        <v>0.66666666666666663</v>
      </c>
      <c r="BD227" s="7">
        <f t="shared" si="104"/>
        <v>0.64814814814814803</v>
      </c>
      <c r="BE227">
        <f>step3_validation[[#This Row],[AI_OUT1]]</f>
        <v>9</v>
      </c>
      <c r="BF227">
        <f t="shared" si="105"/>
        <v>0.88888888888888884</v>
      </c>
      <c r="BG227">
        <f>survey_responses[[#This Row],[Sau khi xem xét các quyền lợi và nghĩa vụ, bạn có ủng hộ và tuân thủ chính sách mới hiện nay? - HUMAN-OUT1]]</f>
        <v>7</v>
      </c>
      <c r="BH227">
        <f t="shared" si="106"/>
        <v>0.66666666666666663</v>
      </c>
      <c r="BI227" s="32">
        <f t="shared" si="107"/>
        <v>2</v>
      </c>
    </row>
    <row r="228" spans="1:61" x14ac:dyDescent="0.45">
      <c r="A228" s="30">
        <f>step3_validation[[#This Row],[Persona_ID]]</f>
        <v>227</v>
      </c>
      <c r="B228" s="31">
        <f>step3_validation[[#This Row],[Used_Seed]]</f>
        <v>2252</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24.711511458319233</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7</v>
      </c>
      <c r="R228">
        <f t="shared" si="81"/>
        <v>0.66666666666666663</v>
      </c>
      <c r="S228">
        <f>survey_responses[[#This Row],[Tôi tin rằng với các quy định quản lý thuế hiện nay, hành vi gian lận hoặc trốn thuế sẽ dễ dàng bị phát hiện và xử lý nghiêm. - HUMAN-ENF1]]</f>
        <v>6</v>
      </c>
      <c r="T228">
        <f t="shared" si="82"/>
        <v>0.55555555555555558</v>
      </c>
      <c r="U228">
        <f>step3_validation[[#This Row],[AI_ENF2]]</f>
        <v>8</v>
      </c>
      <c r="V228">
        <f t="shared" si="83"/>
        <v>0.77777777777777779</v>
      </c>
      <c r="W228">
        <f>survey_responses[[#This Row],[Tôi tin rằng Nhà nước, cơ quan thuế có đủ khả năng và công nghệ để phát hiện, xử lý nghiêm các hành vi trốn thuế. - HUMAN-ENF2]]</f>
        <v>6</v>
      </c>
      <c r="X228">
        <f t="shared" si="84"/>
        <v>0.55555555555555558</v>
      </c>
      <c r="Y228" s="32">
        <f t="shared" si="85"/>
        <v>0.72222222222222221</v>
      </c>
      <c r="Z228" s="32">
        <f t="shared" si="86"/>
        <v>0.55555555555555558</v>
      </c>
      <c r="AA228">
        <f>step3_validation[[#This Row],[AI_FAC1]]</f>
        <v>9</v>
      </c>
      <c r="AB228">
        <f t="shared" si="87"/>
        <v>0.88888888888888884</v>
      </c>
      <c r="AC228">
        <f>survey_responses[[#This Row],[Các thủ tục khai báo thuế VÀ/HOẶC quy trình làm việc với cơ quan thuế đơn giản, tiện lợi, nhanh chóng hơn so với trước đây. - HUMAN-FAC1]]</f>
        <v>6</v>
      </c>
      <c r="AD228">
        <f t="shared" si="88"/>
        <v>0.55555555555555558</v>
      </c>
      <c r="AE228">
        <f>step3_validation[[#This Row],[AI_FAC2]]</f>
        <v>10</v>
      </c>
      <c r="AF228">
        <f t="shared" si="89"/>
        <v>1</v>
      </c>
      <c r="AG228">
        <f>survey_responses[[#This Row],[So với trước đây, tôi thấy cách tính thuế và các bậc thuế trong phương án mới đơn giản, dễ hiểu và dễ thực hiện hơn. - HUMAN-FAC2]]</f>
        <v>6</v>
      </c>
      <c r="AH228">
        <f t="shared" si="90"/>
        <v>0.55555555555555558</v>
      </c>
      <c r="AI228" s="32">
        <f t="shared" si="91"/>
        <v>0.94444444444444442</v>
      </c>
      <c r="AJ228" s="32">
        <f t="shared" si="92"/>
        <v>0.55555555555555558</v>
      </c>
      <c r="AK228">
        <f>step3_validation[[#This Row],[AI_TRU1]]</f>
        <v>8</v>
      </c>
      <c r="AL228">
        <f t="shared" si="93"/>
        <v>0.77777777777777779</v>
      </c>
      <c r="AM228">
        <f>survey_responses[[#This Row],[Tôi tin rằng Nhà nước, cơ quan thuế sẽ thực thi chính sách mới một cách khách quan, công tâm và đối xử bình đẳng với mọi người nộp thuế.  - HUMAN-TRU1]]</f>
        <v>6</v>
      </c>
      <c r="AN228">
        <f t="shared" si="94"/>
        <v>0.55555555555555558</v>
      </c>
      <c r="AO228">
        <f>step3_validation[[#This Row],[AI_TRU2]]</f>
        <v>9</v>
      </c>
      <c r="AP228">
        <f t="shared" si="95"/>
        <v>0.88888888888888884</v>
      </c>
      <c r="AQ228">
        <f>survey_responses[[#This Row],[Tôi thấy mức thuế tôi phải đóng theo phương án mới là công bằng (người thu nhập như tôi đóng mức này là hợp lý). - HUMAN-TRU2]]</f>
        <v>6</v>
      </c>
      <c r="AR228">
        <f t="shared" si="96"/>
        <v>0.55555555555555558</v>
      </c>
      <c r="AS228">
        <f>step3_validation[[#This Row],[AI_TRU3]]</f>
        <v>8</v>
      </c>
      <c r="AT228">
        <f t="shared" si="97"/>
        <v>0.77777777777777779</v>
      </c>
      <c r="AU228">
        <f>survey_responses[[#This Row],[Tôi tin tưởng số tiền thuế tôi đóng sẽ được Nhà nước sử dụng hiệu quả để cải thiện dịch vụ công (y tế, đường xá...). - HUMAN-TRU3]]</f>
        <v>6</v>
      </c>
      <c r="AV228">
        <f t="shared" si="98"/>
        <v>0.55555555555555558</v>
      </c>
      <c r="AW228">
        <f>step3_validation[[#This Row],[AI_TRU4]]</f>
        <v>9</v>
      </c>
      <c r="AX228">
        <f t="shared" si="99"/>
        <v>0.88888888888888884</v>
      </c>
      <c r="AY228">
        <f>survey_responses[[#This Row],[Tôi thấy Nhà nước đã giải thích rõ ràng, minh bạch về lý do và mục tiêu của việc sửa đổi thuế lần này. - HUMAN-TRU4]]</f>
        <v>6</v>
      </c>
      <c r="AZ228">
        <f t="shared" si="100"/>
        <v>0.55555555555555558</v>
      </c>
      <c r="BA228" s="32">
        <f t="shared" si="101"/>
        <v>0.83333333333333326</v>
      </c>
      <c r="BB228" s="32">
        <f t="shared" si="102"/>
        <v>0.55555555555555558</v>
      </c>
      <c r="BC228" s="7">
        <f t="shared" si="103"/>
        <v>0.83333333333333337</v>
      </c>
      <c r="BD228" s="7">
        <f t="shared" si="104"/>
        <v>0.55555555555555558</v>
      </c>
      <c r="BE228">
        <f>step3_validation[[#This Row],[AI_OUT1]]</f>
        <v>9</v>
      </c>
      <c r="BF228">
        <f t="shared" si="105"/>
        <v>0.88888888888888884</v>
      </c>
      <c r="BG228">
        <f>survey_responses[[#This Row],[Sau khi xem xét các quyền lợi và nghĩa vụ, bạn có ủng hộ và tuân thủ chính sách mới hiện nay? - HUMAN-OUT1]]</f>
        <v>6</v>
      </c>
      <c r="BH228">
        <f t="shared" si="106"/>
        <v>0.55555555555555558</v>
      </c>
      <c r="BI228" s="32">
        <f t="shared" si="107"/>
        <v>3</v>
      </c>
    </row>
    <row r="229" spans="1:61" x14ac:dyDescent="0.45">
      <c r="A229" s="30">
        <f>step3_validation[[#This Row],[Persona_ID]]</f>
        <v>228</v>
      </c>
      <c r="B229" s="31">
        <f>step3_validation[[#This Row],[Used_Seed]]</f>
        <v>2253</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18.526748555527661</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7</v>
      </c>
      <c r="R229">
        <f t="shared" si="81"/>
        <v>0.66666666666666663</v>
      </c>
      <c r="S229">
        <f>survey_responses[[#This Row],[Tôi tin rằng với các quy định quản lý thuế hiện nay, hành vi gian lận hoặc trốn thuế sẽ dễ dàng bị phát hiện và xử lý nghiêm. - HUMAN-ENF1]]</f>
        <v>8</v>
      </c>
      <c r="T229">
        <f t="shared" si="82"/>
        <v>0.77777777777777779</v>
      </c>
      <c r="U229">
        <f>step3_validation[[#This Row],[AI_ENF2]]</f>
        <v>8</v>
      </c>
      <c r="V229">
        <f t="shared" si="83"/>
        <v>0.77777777777777779</v>
      </c>
      <c r="W229">
        <f>survey_responses[[#This Row],[Tôi tin rằng Nhà nước, cơ quan thuế có đủ khả năng và công nghệ để phát hiện, xử lý nghiêm các hành vi trốn thuế. - HUMAN-ENF2]]</f>
        <v>9</v>
      </c>
      <c r="X229">
        <f t="shared" si="84"/>
        <v>0.88888888888888884</v>
      </c>
      <c r="Y229" s="32">
        <f t="shared" si="85"/>
        <v>0.72222222222222221</v>
      </c>
      <c r="Z229" s="32">
        <f t="shared" si="86"/>
        <v>0.83333333333333326</v>
      </c>
      <c r="AA229">
        <f>step3_validation[[#This Row],[AI_FAC1]]</f>
        <v>9</v>
      </c>
      <c r="AB229">
        <f t="shared" si="87"/>
        <v>0.88888888888888884</v>
      </c>
      <c r="AC229">
        <f>survey_responses[[#This Row],[Các thủ tục khai báo thuế VÀ/HOẶC quy trình làm việc với cơ quan thuế đơn giản, tiện lợi, nhanh chóng hơn so với trước đây. - HUMAN-FAC1]]</f>
        <v>7</v>
      </c>
      <c r="AD229">
        <f t="shared" si="88"/>
        <v>0.66666666666666663</v>
      </c>
      <c r="AE229">
        <f>step3_validation[[#This Row],[AI_FAC2]]</f>
        <v>9</v>
      </c>
      <c r="AF229">
        <f t="shared" si="89"/>
        <v>0.88888888888888884</v>
      </c>
      <c r="AG229">
        <f>survey_responses[[#This Row],[So với trước đây, tôi thấy cách tính thuế và các bậc thuế trong phương án mới đơn giản, dễ hiểu và dễ thực hiện hơn. - HUMAN-FAC2]]</f>
        <v>8</v>
      </c>
      <c r="AH229">
        <f t="shared" si="90"/>
        <v>0.77777777777777779</v>
      </c>
      <c r="AI229" s="32">
        <f t="shared" si="91"/>
        <v>0.88888888888888884</v>
      </c>
      <c r="AJ229" s="32">
        <f t="shared" si="92"/>
        <v>0.72222222222222221</v>
      </c>
      <c r="AK229">
        <f>step3_validation[[#This Row],[AI_TRU1]]</f>
        <v>8</v>
      </c>
      <c r="AL229">
        <f t="shared" si="93"/>
        <v>0.77777777777777779</v>
      </c>
      <c r="AM229">
        <f>survey_responses[[#This Row],[Tôi tin rằng Nhà nước, cơ quan thuế sẽ thực thi chính sách mới một cách khách quan, công tâm và đối xử bình đẳng với mọi người nộp thuế.  - HUMAN-TRU1]]</f>
        <v>9</v>
      </c>
      <c r="AN229">
        <f t="shared" si="94"/>
        <v>0.88888888888888884</v>
      </c>
      <c r="AO229">
        <f>step3_validation[[#This Row],[AI_TRU2]]</f>
        <v>9</v>
      </c>
      <c r="AP229">
        <f t="shared" si="95"/>
        <v>0.88888888888888884</v>
      </c>
      <c r="AQ229">
        <f>survey_responses[[#This Row],[Tôi thấy mức thuế tôi phải đóng theo phương án mới là công bằng (người thu nhập như tôi đóng mức này là hợp lý). - HUMAN-TRU2]]</f>
        <v>8</v>
      </c>
      <c r="AR229">
        <f t="shared" si="96"/>
        <v>0.77777777777777779</v>
      </c>
      <c r="AS229">
        <f>step3_validation[[#This Row],[AI_TRU3]]</f>
        <v>8</v>
      </c>
      <c r="AT229">
        <f t="shared" si="97"/>
        <v>0.77777777777777779</v>
      </c>
      <c r="AU229">
        <f>survey_responses[[#This Row],[Tôi tin tưởng số tiền thuế tôi đóng sẽ được Nhà nước sử dụng hiệu quả để cải thiện dịch vụ công (y tế, đường xá...). - HUMAN-TRU3]]</f>
        <v>8</v>
      </c>
      <c r="AV229">
        <f t="shared" si="98"/>
        <v>0.77777777777777779</v>
      </c>
      <c r="AW229">
        <f>step3_validation[[#This Row],[AI_TRU4]]</f>
        <v>9</v>
      </c>
      <c r="AX229">
        <f t="shared" si="99"/>
        <v>0.88888888888888884</v>
      </c>
      <c r="AY229">
        <f>survey_responses[[#This Row],[Tôi thấy Nhà nước đã giải thích rõ ràng, minh bạch về lý do và mục tiêu của việc sửa đổi thuế lần này. - HUMAN-TRU4]]</f>
        <v>8</v>
      </c>
      <c r="AZ229">
        <f t="shared" si="100"/>
        <v>0.77777777777777779</v>
      </c>
      <c r="BA229" s="32">
        <f t="shared" si="101"/>
        <v>0.83333333333333326</v>
      </c>
      <c r="BB229" s="32">
        <f t="shared" si="102"/>
        <v>0.80555555555555547</v>
      </c>
      <c r="BC229" s="7">
        <f t="shared" si="103"/>
        <v>0.81481481481481488</v>
      </c>
      <c r="BD229" s="7">
        <f t="shared" si="104"/>
        <v>0.78703703703703687</v>
      </c>
      <c r="BE229">
        <f>step3_validation[[#This Row],[AI_OUT1]]</f>
        <v>8</v>
      </c>
      <c r="BF229">
        <f t="shared" si="105"/>
        <v>0.77777777777777779</v>
      </c>
      <c r="BG229">
        <f>survey_responses[[#This Row],[Sau khi xem xét các quyền lợi và nghĩa vụ, bạn có ủng hộ và tuân thủ chính sách mới hiện nay? - HUMAN-OUT1]]</f>
        <v>8</v>
      </c>
      <c r="BH229">
        <f t="shared" si="106"/>
        <v>0.77777777777777779</v>
      </c>
      <c r="BI229" s="32">
        <f t="shared" si="107"/>
        <v>0</v>
      </c>
    </row>
    <row r="230" spans="1:61" x14ac:dyDescent="0.45">
      <c r="A230" s="30">
        <f>step3_validation[[#This Row],[Persona_ID]]</f>
        <v>229</v>
      </c>
      <c r="B230" s="31">
        <f>step3_validation[[#This Row],[Used_Seed]]</f>
        <v>2254</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53.322674605307988</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8</v>
      </c>
      <c r="R230">
        <f t="shared" si="81"/>
        <v>0.77777777777777779</v>
      </c>
      <c r="S230">
        <f>survey_responses[[#This Row],[Tôi tin rằng với các quy định quản lý thuế hiện nay, hành vi gian lận hoặc trốn thuế sẽ dễ dàng bị phát hiện và xử lý nghiêm. - HUMAN-ENF1]]</f>
        <v>6</v>
      </c>
      <c r="T230">
        <f t="shared" si="82"/>
        <v>0.55555555555555558</v>
      </c>
      <c r="U230">
        <f>step3_validation[[#This Row],[AI_ENF2]]</f>
        <v>9</v>
      </c>
      <c r="V230">
        <f t="shared" si="83"/>
        <v>0.88888888888888884</v>
      </c>
      <c r="W230">
        <f>survey_responses[[#This Row],[Tôi tin rằng Nhà nước, cơ quan thuế có đủ khả năng và công nghệ để phát hiện, xử lý nghiêm các hành vi trốn thuế. - HUMAN-ENF2]]</f>
        <v>6</v>
      </c>
      <c r="X230">
        <f t="shared" si="84"/>
        <v>0.55555555555555558</v>
      </c>
      <c r="Y230" s="32">
        <f t="shared" si="85"/>
        <v>0.83333333333333326</v>
      </c>
      <c r="Z230" s="32">
        <f t="shared" si="86"/>
        <v>0.55555555555555558</v>
      </c>
      <c r="AA230">
        <f>step3_validation[[#This Row],[AI_FAC1]]</f>
        <v>8</v>
      </c>
      <c r="AB230">
        <f t="shared" si="87"/>
        <v>0.77777777777777779</v>
      </c>
      <c r="AC230">
        <f>survey_responses[[#This Row],[Các thủ tục khai báo thuế VÀ/HOẶC quy trình làm việc với cơ quan thuế đơn giản, tiện lợi, nhanh chóng hơn so với trước đây. - HUMAN-FAC1]]</f>
        <v>6</v>
      </c>
      <c r="AD230">
        <f t="shared" si="88"/>
        <v>0.55555555555555558</v>
      </c>
      <c r="AE230">
        <f>step3_validation[[#This Row],[AI_FAC2]]</f>
        <v>9</v>
      </c>
      <c r="AF230">
        <f t="shared" si="89"/>
        <v>0.88888888888888884</v>
      </c>
      <c r="AG230">
        <f>survey_responses[[#This Row],[So với trước đây, tôi thấy cách tính thuế và các bậc thuế trong phương án mới đơn giản, dễ hiểu và dễ thực hiện hơn. - HUMAN-FAC2]]</f>
        <v>6</v>
      </c>
      <c r="AH230">
        <f t="shared" si="90"/>
        <v>0.55555555555555558</v>
      </c>
      <c r="AI230" s="32">
        <f t="shared" si="91"/>
        <v>0.83333333333333326</v>
      </c>
      <c r="AJ230" s="32">
        <f t="shared" si="92"/>
        <v>0.55555555555555558</v>
      </c>
      <c r="AK230">
        <f>step3_validation[[#This Row],[AI_TRU1]]</f>
        <v>8</v>
      </c>
      <c r="AL230">
        <f t="shared" si="93"/>
        <v>0.77777777777777779</v>
      </c>
      <c r="AM230">
        <f>survey_responses[[#This Row],[Tôi tin rằng Nhà nước, cơ quan thuế sẽ thực thi chính sách mới một cách khách quan, công tâm và đối xử bình đẳng với mọi người nộp thuế.  - HUMAN-TRU1]]</f>
        <v>6</v>
      </c>
      <c r="AN230">
        <f t="shared" si="94"/>
        <v>0.55555555555555558</v>
      </c>
      <c r="AO230">
        <f>step3_validation[[#This Row],[AI_TRU2]]</f>
        <v>9</v>
      </c>
      <c r="AP230">
        <f t="shared" si="95"/>
        <v>0.88888888888888884</v>
      </c>
      <c r="AQ230">
        <f>survey_responses[[#This Row],[Tôi thấy mức thuế tôi phải đóng theo phương án mới là công bằng (người thu nhập như tôi đóng mức này là hợp lý). - HUMAN-TRU2]]</f>
        <v>7</v>
      </c>
      <c r="AR230">
        <f t="shared" si="96"/>
        <v>0.66666666666666663</v>
      </c>
      <c r="AS230">
        <f>step3_validation[[#This Row],[AI_TRU3]]</f>
        <v>8</v>
      </c>
      <c r="AT230">
        <f t="shared" si="97"/>
        <v>0.77777777777777779</v>
      </c>
      <c r="AU230">
        <f>survey_responses[[#This Row],[Tôi tin tưởng số tiền thuế tôi đóng sẽ được Nhà nước sử dụng hiệu quả để cải thiện dịch vụ công (y tế, đường xá...). - HUMAN-TRU3]]</f>
        <v>6</v>
      </c>
      <c r="AV230">
        <f t="shared" si="98"/>
        <v>0.55555555555555558</v>
      </c>
      <c r="AW230">
        <f>step3_validation[[#This Row],[AI_TRU4]]</f>
        <v>9</v>
      </c>
      <c r="AX230">
        <f t="shared" si="99"/>
        <v>0.88888888888888884</v>
      </c>
      <c r="AY230">
        <f>survey_responses[[#This Row],[Tôi thấy Nhà nước đã giải thích rõ ràng, minh bạch về lý do và mục tiêu của việc sửa đổi thuế lần này. - HUMAN-TRU4]]</f>
        <v>6</v>
      </c>
      <c r="AZ230">
        <f t="shared" si="100"/>
        <v>0.55555555555555558</v>
      </c>
      <c r="BA230" s="32">
        <f t="shared" si="101"/>
        <v>0.83333333333333326</v>
      </c>
      <c r="BB230" s="32">
        <f t="shared" si="102"/>
        <v>0.58333333333333337</v>
      </c>
      <c r="BC230" s="7">
        <f t="shared" si="103"/>
        <v>0.83333333333333337</v>
      </c>
      <c r="BD230" s="7">
        <f t="shared" si="104"/>
        <v>0.56481481481481488</v>
      </c>
      <c r="BE230">
        <f>step3_validation[[#This Row],[AI_OUT1]]</f>
        <v>8</v>
      </c>
      <c r="BF230">
        <f t="shared" si="105"/>
        <v>0.77777777777777779</v>
      </c>
      <c r="BG230">
        <f>survey_responses[[#This Row],[Sau khi xem xét các quyền lợi và nghĩa vụ, bạn có ủng hộ và tuân thủ chính sách mới hiện nay? - HUMAN-OUT1]]</f>
        <v>7</v>
      </c>
      <c r="BH230">
        <f t="shared" si="106"/>
        <v>0.66666666666666663</v>
      </c>
      <c r="BI230" s="32">
        <f t="shared" si="107"/>
        <v>1</v>
      </c>
    </row>
    <row r="231" spans="1:61" x14ac:dyDescent="0.45">
      <c r="A231" s="30">
        <f>step3_validation[[#This Row],[Persona_ID]]</f>
        <v>230</v>
      </c>
      <c r="B231" s="31">
        <f>step3_validation[[#This Row],[Used_Seed]]</f>
        <v>2255</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71.793361494037015</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6</v>
      </c>
      <c r="R231">
        <f t="shared" si="81"/>
        <v>0.55555555555555558</v>
      </c>
      <c r="S231">
        <f>survey_responses[[#This Row],[Tôi tin rằng với các quy định quản lý thuế hiện nay, hành vi gian lận hoặc trốn thuế sẽ dễ dàng bị phát hiện và xử lý nghiêm. - HUMAN-ENF1]]</f>
        <v>4</v>
      </c>
      <c r="T231">
        <f t="shared" si="82"/>
        <v>0.33333333333333331</v>
      </c>
      <c r="U231">
        <f>step3_validation[[#This Row],[AI_ENF2]]</f>
        <v>7</v>
      </c>
      <c r="V231">
        <f t="shared" si="83"/>
        <v>0.66666666666666663</v>
      </c>
      <c r="W231">
        <f>survey_responses[[#This Row],[Tôi tin rằng Nhà nước, cơ quan thuế có đủ khả năng và công nghệ để phát hiện, xử lý nghiêm các hành vi trốn thuế. - HUMAN-ENF2]]</f>
        <v>5</v>
      </c>
      <c r="X231">
        <f t="shared" si="84"/>
        <v>0.44444444444444442</v>
      </c>
      <c r="Y231" s="32">
        <f t="shared" si="85"/>
        <v>0.61111111111111116</v>
      </c>
      <c r="Z231" s="32">
        <f t="shared" si="86"/>
        <v>0.38888888888888884</v>
      </c>
      <c r="AA231">
        <f>step3_validation[[#This Row],[AI_FAC1]]</f>
        <v>8</v>
      </c>
      <c r="AB231">
        <f t="shared" si="87"/>
        <v>0.77777777777777779</v>
      </c>
      <c r="AC231">
        <f>survey_responses[[#This Row],[Các thủ tục khai báo thuế VÀ/HOẶC quy trình làm việc với cơ quan thuế đơn giản, tiện lợi, nhanh chóng hơn so với trước đây. - HUMAN-FAC1]]</f>
        <v>1</v>
      </c>
      <c r="AD231">
        <f t="shared" si="88"/>
        <v>0</v>
      </c>
      <c r="AE231">
        <f>step3_validation[[#This Row],[AI_FAC2]]</f>
        <v>9</v>
      </c>
      <c r="AF231">
        <f t="shared" si="89"/>
        <v>0.88888888888888884</v>
      </c>
      <c r="AG231">
        <f>survey_responses[[#This Row],[So với trước đây, tôi thấy cách tính thuế và các bậc thuế trong phương án mới đơn giản, dễ hiểu và dễ thực hiện hơn. - HUMAN-FAC2]]</f>
        <v>6</v>
      </c>
      <c r="AH231">
        <f t="shared" si="90"/>
        <v>0.55555555555555558</v>
      </c>
      <c r="AI231" s="32">
        <f t="shared" si="91"/>
        <v>0.83333333333333326</v>
      </c>
      <c r="AJ231" s="32">
        <f t="shared" si="92"/>
        <v>0.27777777777777779</v>
      </c>
      <c r="AK231">
        <f>step3_validation[[#This Row],[AI_TRU1]]</f>
        <v>7</v>
      </c>
      <c r="AL231">
        <f t="shared" si="93"/>
        <v>0.66666666666666663</v>
      </c>
      <c r="AM231">
        <f>survey_responses[[#This Row],[Tôi tin rằng Nhà nước, cơ quan thuế sẽ thực thi chính sách mới một cách khách quan, công tâm và đối xử bình đẳng với mọi người nộp thuế.  - HUMAN-TRU1]]</f>
        <v>4</v>
      </c>
      <c r="AN231">
        <f t="shared" si="94"/>
        <v>0.33333333333333331</v>
      </c>
      <c r="AO231">
        <f>step3_validation[[#This Row],[AI_TRU2]]</f>
        <v>9</v>
      </c>
      <c r="AP231">
        <f t="shared" si="95"/>
        <v>0.88888888888888884</v>
      </c>
      <c r="AQ231">
        <f>survey_responses[[#This Row],[Tôi thấy mức thuế tôi phải đóng theo phương án mới là công bằng (người thu nhập như tôi đóng mức này là hợp lý). - HUMAN-TRU2]]</f>
        <v>4</v>
      </c>
      <c r="AR231">
        <f t="shared" si="96"/>
        <v>0.33333333333333331</v>
      </c>
      <c r="AS231">
        <f>step3_validation[[#This Row],[AI_TRU3]]</f>
        <v>7</v>
      </c>
      <c r="AT231">
        <f t="shared" si="97"/>
        <v>0.66666666666666663</v>
      </c>
      <c r="AU231">
        <f>survey_responses[[#This Row],[Tôi tin tưởng số tiền thuế tôi đóng sẽ được Nhà nước sử dụng hiệu quả để cải thiện dịch vụ công (y tế, đường xá...). - HUMAN-TRU3]]</f>
        <v>5</v>
      </c>
      <c r="AV231">
        <f t="shared" si="98"/>
        <v>0.44444444444444442</v>
      </c>
      <c r="AW231">
        <f>step3_validation[[#This Row],[AI_TRU4]]</f>
        <v>8</v>
      </c>
      <c r="AX231">
        <f t="shared" si="99"/>
        <v>0.77777777777777779</v>
      </c>
      <c r="AY231">
        <f>survey_responses[[#This Row],[Tôi thấy Nhà nước đã giải thích rõ ràng, minh bạch về lý do và mục tiêu của việc sửa đổi thuế lần này. - HUMAN-TRU4]]</f>
        <v>5</v>
      </c>
      <c r="AZ231">
        <f t="shared" si="100"/>
        <v>0.44444444444444442</v>
      </c>
      <c r="BA231" s="32">
        <f t="shared" si="101"/>
        <v>0.74999999999999989</v>
      </c>
      <c r="BB231" s="32">
        <f t="shared" si="102"/>
        <v>0.3888888888888889</v>
      </c>
      <c r="BC231" s="7">
        <f t="shared" si="103"/>
        <v>0.7314814814814814</v>
      </c>
      <c r="BD231" s="7">
        <f t="shared" si="104"/>
        <v>0.35185185185185186</v>
      </c>
      <c r="BE231">
        <f>step3_validation[[#This Row],[AI_OUT1]]</f>
        <v>6</v>
      </c>
      <c r="BF231">
        <f t="shared" si="105"/>
        <v>0.55555555555555558</v>
      </c>
      <c r="BG231">
        <f>survey_responses[[#This Row],[Sau khi xem xét các quyền lợi và nghĩa vụ, bạn có ủng hộ và tuân thủ chính sách mới hiện nay? - HUMAN-OUT1]]</f>
        <v>5</v>
      </c>
      <c r="BH231">
        <f t="shared" si="106"/>
        <v>0.44444444444444442</v>
      </c>
      <c r="BI231" s="32">
        <f t="shared" si="107"/>
        <v>1</v>
      </c>
    </row>
    <row r="232" spans="1:61" x14ac:dyDescent="0.45">
      <c r="A232" s="30">
        <f>step3_validation[[#This Row],[Persona_ID]]</f>
        <v>231</v>
      </c>
      <c r="B232" s="31">
        <f>step3_validation[[#This Row],[Used_Seed]]</f>
        <v>2256</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202.49652860808334</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8</v>
      </c>
      <c r="R232">
        <f t="shared" si="81"/>
        <v>0.77777777777777779</v>
      </c>
      <c r="S232">
        <f>survey_responses[[#This Row],[Tôi tin rằng với các quy định quản lý thuế hiện nay, hành vi gian lận hoặc trốn thuế sẽ dễ dàng bị phát hiện và xử lý nghiêm. - HUMAN-ENF1]]</f>
        <v>8</v>
      </c>
      <c r="T232">
        <f t="shared" si="82"/>
        <v>0.77777777777777779</v>
      </c>
      <c r="U232">
        <f>step3_validation[[#This Row],[AI_ENF2]]</f>
        <v>9</v>
      </c>
      <c r="V232">
        <f t="shared" si="83"/>
        <v>0.88888888888888884</v>
      </c>
      <c r="W232">
        <f>survey_responses[[#This Row],[Tôi tin rằng Nhà nước, cơ quan thuế có đủ khả năng và công nghệ để phát hiện, xử lý nghiêm các hành vi trốn thuế. - HUMAN-ENF2]]</f>
        <v>8</v>
      </c>
      <c r="X232">
        <f t="shared" si="84"/>
        <v>0.77777777777777779</v>
      </c>
      <c r="Y232" s="32">
        <f t="shared" si="85"/>
        <v>0.83333333333333326</v>
      </c>
      <c r="Z232" s="32">
        <f t="shared" si="86"/>
        <v>0.77777777777777779</v>
      </c>
      <c r="AA232">
        <f>step3_validation[[#This Row],[AI_FAC1]]</f>
        <v>6</v>
      </c>
      <c r="AB232">
        <f t="shared" si="87"/>
        <v>0.55555555555555558</v>
      </c>
      <c r="AC232">
        <f>survey_responses[[#This Row],[Các thủ tục khai báo thuế VÀ/HOẶC quy trình làm việc với cơ quan thuế đơn giản, tiện lợi, nhanh chóng hơn so với trước đây. - HUMAN-FAC1]]</f>
        <v>8</v>
      </c>
      <c r="AD232">
        <f t="shared" si="88"/>
        <v>0.77777777777777779</v>
      </c>
      <c r="AE232">
        <f>step3_validation[[#This Row],[AI_FAC2]]</f>
        <v>8</v>
      </c>
      <c r="AF232">
        <f t="shared" si="89"/>
        <v>0.77777777777777779</v>
      </c>
      <c r="AG232">
        <f>survey_responses[[#This Row],[So với trước đây, tôi thấy cách tính thuế và các bậc thuế trong phương án mới đơn giản, dễ hiểu và dễ thực hiện hơn. - HUMAN-FAC2]]</f>
        <v>8</v>
      </c>
      <c r="AH232">
        <f t="shared" si="90"/>
        <v>0.77777777777777779</v>
      </c>
      <c r="AI232" s="32">
        <f t="shared" si="91"/>
        <v>0.66666666666666674</v>
      </c>
      <c r="AJ232" s="32">
        <f t="shared" si="92"/>
        <v>0.77777777777777779</v>
      </c>
      <c r="AK232">
        <f>step3_validation[[#This Row],[AI_TRU1]]</f>
        <v>7</v>
      </c>
      <c r="AL232">
        <f t="shared" si="93"/>
        <v>0.66666666666666663</v>
      </c>
      <c r="AM232">
        <f>survey_responses[[#This Row],[Tôi tin rằng Nhà nước, cơ quan thuế sẽ thực thi chính sách mới một cách khách quan, công tâm và đối xử bình đẳng với mọi người nộp thuế.  - HUMAN-TRU1]]</f>
        <v>7</v>
      </c>
      <c r="AN232">
        <f t="shared" si="94"/>
        <v>0.66666666666666663</v>
      </c>
      <c r="AO232">
        <f>step3_validation[[#This Row],[AI_TRU2]]</f>
        <v>9</v>
      </c>
      <c r="AP232">
        <f t="shared" si="95"/>
        <v>0.88888888888888884</v>
      </c>
      <c r="AQ232">
        <f>survey_responses[[#This Row],[Tôi thấy mức thuế tôi phải đóng theo phương án mới là công bằng (người thu nhập như tôi đóng mức này là hợp lý). - HUMAN-TRU2]]</f>
        <v>7</v>
      </c>
      <c r="AR232">
        <f t="shared" si="96"/>
        <v>0.66666666666666663</v>
      </c>
      <c r="AS232">
        <f>step3_validation[[#This Row],[AI_TRU3]]</f>
        <v>7</v>
      </c>
      <c r="AT232">
        <f t="shared" si="97"/>
        <v>0.66666666666666663</v>
      </c>
      <c r="AU232">
        <f>survey_responses[[#This Row],[Tôi tin tưởng số tiền thuế tôi đóng sẽ được Nhà nước sử dụng hiệu quả để cải thiện dịch vụ công (y tế, đường xá...). - HUMAN-TRU3]]</f>
        <v>8</v>
      </c>
      <c r="AV232">
        <f t="shared" si="98"/>
        <v>0.77777777777777779</v>
      </c>
      <c r="AW232">
        <f>step3_validation[[#This Row],[AI_TRU4]]</f>
        <v>8</v>
      </c>
      <c r="AX232">
        <f t="shared" si="99"/>
        <v>0.77777777777777779</v>
      </c>
      <c r="AY232">
        <f>survey_responses[[#This Row],[Tôi thấy Nhà nước đã giải thích rõ ràng, minh bạch về lý do và mục tiêu của việc sửa đổi thuế lần này. - HUMAN-TRU4]]</f>
        <v>7</v>
      </c>
      <c r="AZ232">
        <f t="shared" si="100"/>
        <v>0.66666666666666663</v>
      </c>
      <c r="BA232" s="32">
        <f t="shared" si="101"/>
        <v>0.74999999999999989</v>
      </c>
      <c r="BB232" s="32">
        <f t="shared" si="102"/>
        <v>0.69444444444444442</v>
      </c>
      <c r="BC232" s="7">
        <f t="shared" si="103"/>
        <v>0.75</v>
      </c>
      <c r="BD232" s="7">
        <f t="shared" si="104"/>
        <v>0.75</v>
      </c>
      <c r="BE232">
        <f>step3_validation[[#This Row],[AI_OUT1]]</f>
        <v>9</v>
      </c>
      <c r="BF232">
        <f t="shared" si="105"/>
        <v>0.88888888888888884</v>
      </c>
      <c r="BG232">
        <f>survey_responses[[#This Row],[Sau khi xem xét các quyền lợi và nghĩa vụ, bạn có ủng hộ và tuân thủ chính sách mới hiện nay? - HUMAN-OUT1]]</f>
        <v>8</v>
      </c>
      <c r="BH232">
        <f t="shared" si="106"/>
        <v>0.77777777777777779</v>
      </c>
      <c r="BI232" s="32">
        <f t="shared" si="107"/>
        <v>1</v>
      </c>
    </row>
    <row r="233" spans="1:61" x14ac:dyDescent="0.45">
      <c r="A233" s="30">
        <f>step3_validation[[#This Row],[Persona_ID]]</f>
        <v>232</v>
      </c>
      <c r="B233" s="31">
        <f>step3_validation[[#This Row],[Used_Seed]]</f>
        <v>2257</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60.808420867312741</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7</v>
      </c>
      <c r="R233">
        <f t="shared" si="81"/>
        <v>0.66666666666666663</v>
      </c>
      <c r="S233">
        <f>survey_responses[[#This Row],[Tôi tin rằng với các quy định quản lý thuế hiện nay, hành vi gian lận hoặc trốn thuế sẽ dễ dàng bị phát hiện và xử lý nghiêm. - HUMAN-ENF1]]</f>
        <v>6</v>
      </c>
      <c r="T233">
        <f t="shared" si="82"/>
        <v>0.55555555555555558</v>
      </c>
      <c r="U233">
        <f>step3_validation[[#This Row],[AI_ENF2]]</f>
        <v>8</v>
      </c>
      <c r="V233">
        <f t="shared" si="83"/>
        <v>0.77777777777777779</v>
      </c>
      <c r="W233">
        <f>survey_responses[[#This Row],[Tôi tin rằng Nhà nước, cơ quan thuế có đủ khả năng và công nghệ để phát hiện, xử lý nghiêm các hành vi trốn thuế. - HUMAN-ENF2]]</f>
        <v>6</v>
      </c>
      <c r="X233">
        <f t="shared" si="84"/>
        <v>0.55555555555555558</v>
      </c>
      <c r="Y233" s="32">
        <f t="shared" si="85"/>
        <v>0.72222222222222221</v>
      </c>
      <c r="Z233" s="32">
        <f t="shared" si="86"/>
        <v>0.55555555555555558</v>
      </c>
      <c r="AA233">
        <f>step3_validation[[#This Row],[AI_FAC1]]</f>
        <v>9</v>
      </c>
      <c r="AB233">
        <f t="shared" si="87"/>
        <v>0.88888888888888884</v>
      </c>
      <c r="AC233">
        <f>survey_responses[[#This Row],[Các thủ tục khai báo thuế VÀ/HOẶC quy trình làm việc với cơ quan thuế đơn giản, tiện lợi, nhanh chóng hơn so với trước đây. - HUMAN-FAC1]]</f>
        <v>6</v>
      </c>
      <c r="AD233">
        <f t="shared" si="88"/>
        <v>0.55555555555555558</v>
      </c>
      <c r="AE233">
        <f>step3_validation[[#This Row],[AI_FAC2]]</f>
        <v>10</v>
      </c>
      <c r="AF233">
        <f t="shared" si="89"/>
        <v>1</v>
      </c>
      <c r="AG233">
        <f>survey_responses[[#This Row],[So với trước đây, tôi thấy cách tính thuế và các bậc thuế trong phương án mới đơn giản, dễ hiểu và dễ thực hiện hơn. - HUMAN-FAC2]]</f>
        <v>6</v>
      </c>
      <c r="AH233">
        <f t="shared" si="90"/>
        <v>0.55555555555555558</v>
      </c>
      <c r="AI233" s="32">
        <f t="shared" si="91"/>
        <v>0.94444444444444442</v>
      </c>
      <c r="AJ233" s="32">
        <f t="shared" si="92"/>
        <v>0.55555555555555558</v>
      </c>
      <c r="AK233">
        <f>step3_validation[[#This Row],[AI_TRU1]]</f>
        <v>7</v>
      </c>
      <c r="AL233">
        <f t="shared" si="93"/>
        <v>0.66666666666666663</v>
      </c>
      <c r="AM233">
        <f>survey_responses[[#This Row],[Tôi tin rằng Nhà nước, cơ quan thuế sẽ thực thi chính sách mới một cách khách quan, công tâm và đối xử bình đẳng với mọi người nộp thuế.  - HUMAN-TRU1]]</f>
        <v>6</v>
      </c>
      <c r="AN233">
        <f t="shared" si="94"/>
        <v>0.55555555555555558</v>
      </c>
      <c r="AO233">
        <f>step3_validation[[#This Row],[AI_TRU2]]</f>
        <v>9</v>
      </c>
      <c r="AP233">
        <f t="shared" si="95"/>
        <v>0.88888888888888884</v>
      </c>
      <c r="AQ233">
        <f>survey_responses[[#This Row],[Tôi thấy mức thuế tôi phải đóng theo phương án mới là công bằng (người thu nhập như tôi đóng mức này là hợp lý). - HUMAN-TRU2]]</f>
        <v>6</v>
      </c>
      <c r="AR233">
        <f t="shared" si="96"/>
        <v>0.55555555555555558</v>
      </c>
      <c r="AS233">
        <f>step3_validation[[#This Row],[AI_TRU3]]</f>
        <v>8</v>
      </c>
      <c r="AT233">
        <f t="shared" si="97"/>
        <v>0.77777777777777779</v>
      </c>
      <c r="AU233">
        <f>survey_responses[[#This Row],[Tôi tin tưởng số tiền thuế tôi đóng sẽ được Nhà nước sử dụng hiệu quả để cải thiện dịch vụ công (y tế, đường xá...). - HUMAN-TRU3]]</f>
        <v>6</v>
      </c>
      <c r="AV233">
        <f t="shared" si="98"/>
        <v>0.55555555555555558</v>
      </c>
      <c r="AW233">
        <f>step3_validation[[#This Row],[AI_TRU4]]</f>
        <v>7</v>
      </c>
      <c r="AX233">
        <f t="shared" si="99"/>
        <v>0.66666666666666663</v>
      </c>
      <c r="AY233">
        <f>survey_responses[[#This Row],[Tôi thấy Nhà nước đã giải thích rõ ràng, minh bạch về lý do và mục tiêu của việc sửa đổi thuế lần này. - HUMAN-TRU4]]</f>
        <v>6</v>
      </c>
      <c r="AZ233">
        <f t="shared" si="100"/>
        <v>0.55555555555555558</v>
      </c>
      <c r="BA233" s="32">
        <f t="shared" si="101"/>
        <v>0.74999999999999989</v>
      </c>
      <c r="BB233" s="32">
        <f t="shared" si="102"/>
        <v>0.55555555555555558</v>
      </c>
      <c r="BC233" s="7">
        <f t="shared" si="103"/>
        <v>0.80555555555555547</v>
      </c>
      <c r="BD233" s="7">
        <f t="shared" si="104"/>
        <v>0.55555555555555558</v>
      </c>
      <c r="BE233">
        <f>step3_validation[[#This Row],[AI_OUT1]]</f>
        <v>9</v>
      </c>
      <c r="BF233">
        <f t="shared" si="105"/>
        <v>0.88888888888888884</v>
      </c>
      <c r="BG233">
        <f>survey_responses[[#This Row],[Sau khi xem xét các quyền lợi và nghĩa vụ, bạn có ủng hộ và tuân thủ chính sách mới hiện nay? - HUMAN-OUT1]]</f>
        <v>6</v>
      </c>
      <c r="BH233">
        <f t="shared" si="106"/>
        <v>0.55555555555555558</v>
      </c>
      <c r="BI233" s="32">
        <f t="shared" si="107"/>
        <v>3</v>
      </c>
    </row>
    <row r="234" spans="1:61" x14ac:dyDescent="0.45">
      <c r="A234" s="30">
        <f>step3_validation[[#This Row],[Persona_ID]]</f>
        <v>233</v>
      </c>
      <c r="B234" s="31">
        <f>step3_validation[[#This Row],[Used_Seed]]</f>
        <v>2258</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12.648962453409608</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8</v>
      </c>
      <c r="R234">
        <f t="shared" si="81"/>
        <v>0.77777777777777779</v>
      </c>
      <c r="S234">
        <f>survey_responses[[#This Row],[Tôi tin rằng với các quy định quản lý thuế hiện nay, hành vi gian lận hoặc trốn thuế sẽ dễ dàng bị phát hiện và xử lý nghiêm. - HUMAN-ENF1]]</f>
        <v>8</v>
      </c>
      <c r="T234">
        <f t="shared" si="82"/>
        <v>0.77777777777777779</v>
      </c>
      <c r="U234">
        <f>step3_validation[[#This Row],[AI_ENF2]]</f>
        <v>9</v>
      </c>
      <c r="V234">
        <f t="shared" si="83"/>
        <v>0.88888888888888884</v>
      </c>
      <c r="W234">
        <f>survey_responses[[#This Row],[Tôi tin rằng Nhà nước, cơ quan thuế có đủ khả năng và công nghệ để phát hiện, xử lý nghiêm các hành vi trốn thuế. - HUMAN-ENF2]]</f>
        <v>8</v>
      </c>
      <c r="X234">
        <f t="shared" si="84"/>
        <v>0.77777777777777779</v>
      </c>
      <c r="Y234" s="32">
        <f t="shared" si="85"/>
        <v>0.83333333333333326</v>
      </c>
      <c r="Z234" s="32">
        <f t="shared" si="86"/>
        <v>0.77777777777777779</v>
      </c>
      <c r="AA234">
        <f>step3_validation[[#This Row],[AI_FAC1]]</f>
        <v>8</v>
      </c>
      <c r="AB234">
        <f t="shared" si="87"/>
        <v>0.77777777777777779</v>
      </c>
      <c r="AC234">
        <f>survey_responses[[#This Row],[Các thủ tục khai báo thuế VÀ/HOẶC quy trình làm việc với cơ quan thuế đơn giản, tiện lợi, nhanh chóng hơn so với trước đây. - HUMAN-FAC1]]</f>
        <v>8</v>
      </c>
      <c r="AD234">
        <f t="shared" si="88"/>
        <v>0.77777777777777779</v>
      </c>
      <c r="AE234">
        <f>step3_validation[[#This Row],[AI_FAC2]]</f>
        <v>9</v>
      </c>
      <c r="AF234">
        <f t="shared" si="89"/>
        <v>0.88888888888888884</v>
      </c>
      <c r="AG234">
        <f>survey_responses[[#This Row],[So với trước đây, tôi thấy cách tính thuế và các bậc thuế trong phương án mới đơn giản, dễ hiểu và dễ thực hiện hơn. - HUMAN-FAC2]]</f>
        <v>8</v>
      </c>
      <c r="AH234">
        <f t="shared" si="90"/>
        <v>0.77777777777777779</v>
      </c>
      <c r="AI234" s="32">
        <f t="shared" si="91"/>
        <v>0.83333333333333326</v>
      </c>
      <c r="AJ234" s="32">
        <f t="shared" si="92"/>
        <v>0.77777777777777779</v>
      </c>
      <c r="AK234">
        <f>step3_validation[[#This Row],[AI_TRU1]]</f>
        <v>8</v>
      </c>
      <c r="AL234">
        <f t="shared" si="93"/>
        <v>0.77777777777777779</v>
      </c>
      <c r="AM234">
        <f>survey_responses[[#This Row],[Tôi tin rằng Nhà nước, cơ quan thuế sẽ thực thi chính sách mới một cách khách quan, công tâm và đối xử bình đẳng với mọi người nộp thuế.  - HUMAN-TRU1]]</f>
        <v>9</v>
      </c>
      <c r="AN234">
        <f t="shared" si="94"/>
        <v>0.88888888888888884</v>
      </c>
      <c r="AO234">
        <f>step3_validation[[#This Row],[AI_TRU2]]</f>
        <v>9</v>
      </c>
      <c r="AP234">
        <f t="shared" si="95"/>
        <v>0.88888888888888884</v>
      </c>
      <c r="AQ234">
        <f>survey_responses[[#This Row],[Tôi thấy mức thuế tôi phải đóng theo phương án mới là công bằng (người thu nhập như tôi đóng mức này là hợp lý). - HUMAN-TRU2]]</f>
        <v>8</v>
      </c>
      <c r="AR234">
        <f t="shared" si="96"/>
        <v>0.77777777777777779</v>
      </c>
      <c r="AS234">
        <f>step3_validation[[#This Row],[AI_TRU3]]</f>
        <v>8</v>
      </c>
      <c r="AT234">
        <f t="shared" si="97"/>
        <v>0.77777777777777779</v>
      </c>
      <c r="AU234">
        <f>survey_responses[[#This Row],[Tôi tin tưởng số tiền thuế tôi đóng sẽ được Nhà nước sử dụng hiệu quả để cải thiện dịch vụ công (y tế, đường xá...). - HUMAN-TRU3]]</f>
        <v>8</v>
      </c>
      <c r="AV234">
        <f t="shared" si="98"/>
        <v>0.77777777777777779</v>
      </c>
      <c r="AW234">
        <f>step3_validation[[#This Row],[AI_TRU4]]</f>
        <v>7</v>
      </c>
      <c r="AX234">
        <f t="shared" si="99"/>
        <v>0.66666666666666663</v>
      </c>
      <c r="AY234">
        <f>survey_responses[[#This Row],[Tôi thấy Nhà nước đã giải thích rõ ràng, minh bạch về lý do và mục tiêu của việc sửa đổi thuế lần này. - HUMAN-TRU4]]</f>
        <v>8</v>
      </c>
      <c r="AZ234">
        <f t="shared" si="100"/>
        <v>0.77777777777777779</v>
      </c>
      <c r="BA234" s="32">
        <f t="shared" si="101"/>
        <v>0.77777777777777768</v>
      </c>
      <c r="BB234" s="32">
        <f t="shared" si="102"/>
        <v>0.80555555555555547</v>
      </c>
      <c r="BC234" s="7">
        <f t="shared" si="103"/>
        <v>0.81481481481481477</v>
      </c>
      <c r="BD234" s="7">
        <f t="shared" si="104"/>
        <v>0.78703703703703709</v>
      </c>
      <c r="BE234">
        <f>step3_validation[[#This Row],[AI_OUT1]]</f>
        <v>8</v>
      </c>
      <c r="BF234">
        <f t="shared" si="105"/>
        <v>0.77777777777777779</v>
      </c>
      <c r="BG234">
        <f>survey_responses[[#This Row],[Sau khi xem xét các quyền lợi và nghĩa vụ, bạn có ủng hộ và tuân thủ chính sách mới hiện nay? - HUMAN-OUT1]]</f>
        <v>10</v>
      </c>
      <c r="BH234">
        <f t="shared" si="106"/>
        <v>1</v>
      </c>
      <c r="BI234" s="32">
        <f t="shared" si="107"/>
        <v>2</v>
      </c>
    </row>
    <row r="235" spans="1:61" x14ac:dyDescent="0.45">
      <c r="A235" s="30">
        <f>step3_validation[[#This Row],[Persona_ID]]</f>
        <v>234</v>
      </c>
      <c r="B235" s="31">
        <f>step3_validation[[#This Row],[Used_Seed]]</f>
        <v>2259</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88.673723159444748</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7</v>
      </c>
      <c r="R235">
        <f t="shared" si="81"/>
        <v>0.66666666666666663</v>
      </c>
      <c r="S235">
        <f>survey_responses[[#This Row],[Tôi tin rằng với các quy định quản lý thuế hiện nay, hành vi gian lận hoặc trốn thuế sẽ dễ dàng bị phát hiện và xử lý nghiêm. - HUMAN-ENF1]]</f>
        <v>4</v>
      </c>
      <c r="T235">
        <f t="shared" si="82"/>
        <v>0.33333333333333331</v>
      </c>
      <c r="U235">
        <f>step3_validation[[#This Row],[AI_ENF2]]</f>
        <v>8</v>
      </c>
      <c r="V235">
        <f t="shared" si="83"/>
        <v>0.77777777777777779</v>
      </c>
      <c r="W235">
        <f>survey_responses[[#This Row],[Tôi tin rằng Nhà nước, cơ quan thuế có đủ khả năng và công nghệ để phát hiện, xử lý nghiêm các hành vi trốn thuế. - HUMAN-ENF2]]</f>
        <v>4</v>
      </c>
      <c r="X235">
        <f t="shared" si="84"/>
        <v>0.33333333333333331</v>
      </c>
      <c r="Y235" s="32">
        <f t="shared" si="85"/>
        <v>0.72222222222222221</v>
      </c>
      <c r="Z235" s="32">
        <f t="shared" si="86"/>
        <v>0.33333333333333331</v>
      </c>
      <c r="AA235">
        <f>step3_validation[[#This Row],[AI_FAC1]]</f>
        <v>6</v>
      </c>
      <c r="AB235">
        <f t="shared" si="87"/>
        <v>0.55555555555555558</v>
      </c>
      <c r="AC235">
        <f>survey_responses[[#This Row],[Các thủ tục khai báo thuế VÀ/HOẶC quy trình làm việc với cơ quan thuế đơn giản, tiện lợi, nhanh chóng hơn so với trước đây. - HUMAN-FAC1]]</f>
        <v>4</v>
      </c>
      <c r="AD235">
        <f t="shared" si="88"/>
        <v>0.33333333333333331</v>
      </c>
      <c r="AE235">
        <f>step3_validation[[#This Row],[AI_FAC2]]</f>
        <v>9</v>
      </c>
      <c r="AF235">
        <f t="shared" si="89"/>
        <v>0.88888888888888884</v>
      </c>
      <c r="AG235">
        <f>survey_responses[[#This Row],[So với trước đây, tôi thấy cách tính thuế và các bậc thuế trong phương án mới đơn giản, dễ hiểu và dễ thực hiện hơn. - HUMAN-FAC2]]</f>
        <v>4</v>
      </c>
      <c r="AH235">
        <f t="shared" si="90"/>
        <v>0.33333333333333331</v>
      </c>
      <c r="AI235" s="32">
        <f t="shared" si="91"/>
        <v>0.72222222222222221</v>
      </c>
      <c r="AJ235" s="32">
        <f t="shared" si="92"/>
        <v>0.33333333333333331</v>
      </c>
      <c r="AK235">
        <f>step3_validation[[#This Row],[AI_TRU1]]</f>
        <v>7</v>
      </c>
      <c r="AL235">
        <f t="shared" si="93"/>
        <v>0.66666666666666663</v>
      </c>
      <c r="AM235">
        <f>survey_responses[[#This Row],[Tôi tin rằng Nhà nước, cơ quan thuế sẽ thực thi chính sách mới một cách khách quan, công tâm và đối xử bình đẳng với mọi người nộp thuế.  - HUMAN-TRU1]]</f>
        <v>1</v>
      </c>
      <c r="AN235">
        <f t="shared" si="94"/>
        <v>0</v>
      </c>
      <c r="AO235">
        <f>step3_validation[[#This Row],[AI_TRU2]]</f>
        <v>9</v>
      </c>
      <c r="AP235">
        <f t="shared" si="95"/>
        <v>0.88888888888888884</v>
      </c>
      <c r="AQ235">
        <f>survey_responses[[#This Row],[Tôi thấy mức thuế tôi phải đóng theo phương án mới là công bằng (người thu nhập như tôi đóng mức này là hợp lý). - HUMAN-TRU2]]</f>
        <v>3</v>
      </c>
      <c r="AR235">
        <f t="shared" si="96"/>
        <v>0.22222222222222221</v>
      </c>
      <c r="AS235">
        <f>step3_validation[[#This Row],[AI_TRU3]]</f>
        <v>7</v>
      </c>
      <c r="AT235">
        <f t="shared" si="97"/>
        <v>0.66666666666666663</v>
      </c>
      <c r="AU235">
        <f>survey_responses[[#This Row],[Tôi tin tưởng số tiền thuế tôi đóng sẽ được Nhà nước sử dụng hiệu quả để cải thiện dịch vụ công (y tế, đường xá...). - HUMAN-TRU3]]</f>
        <v>1</v>
      </c>
      <c r="AV235">
        <f t="shared" si="98"/>
        <v>0</v>
      </c>
      <c r="AW235">
        <f>step3_validation[[#This Row],[AI_TRU4]]</f>
        <v>8</v>
      </c>
      <c r="AX235">
        <f t="shared" si="99"/>
        <v>0.77777777777777779</v>
      </c>
      <c r="AY235">
        <f>survey_responses[[#This Row],[Tôi thấy Nhà nước đã giải thích rõ ràng, minh bạch về lý do và mục tiêu của việc sửa đổi thuế lần này. - HUMAN-TRU4]]</f>
        <v>1</v>
      </c>
      <c r="AZ235">
        <f t="shared" si="100"/>
        <v>0</v>
      </c>
      <c r="BA235" s="32">
        <f t="shared" si="101"/>
        <v>0.74999999999999989</v>
      </c>
      <c r="BB235" s="32">
        <f t="shared" si="102"/>
        <v>5.5555555555555552E-2</v>
      </c>
      <c r="BC235" s="7">
        <f t="shared" si="103"/>
        <v>0.7314814814814814</v>
      </c>
      <c r="BD235" s="7">
        <f t="shared" si="104"/>
        <v>0.24074074074074073</v>
      </c>
      <c r="BE235">
        <f>step3_validation[[#This Row],[AI_OUT1]]</f>
        <v>9</v>
      </c>
      <c r="BF235">
        <f t="shared" si="105"/>
        <v>0.88888888888888884</v>
      </c>
      <c r="BG235">
        <f>survey_responses[[#This Row],[Sau khi xem xét các quyền lợi và nghĩa vụ, bạn có ủng hộ và tuân thủ chính sách mới hiện nay? - HUMAN-OUT1]]</f>
        <v>1</v>
      </c>
      <c r="BH235">
        <f t="shared" si="106"/>
        <v>0</v>
      </c>
      <c r="BI235" s="32">
        <f t="shared" si="107"/>
        <v>8</v>
      </c>
    </row>
    <row r="236" spans="1:61" x14ac:dyDescent="0.45">
      <c r="A236" s="30">
        <f>step3_validation[[#This Row],[Persona_ID]]</f>
        <v>235</v>
      </c>
      <c r="B236" s="31">
        <f>step3_validation[[#This Row],[Used_Seed]]</f>
        <v>2260</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32.902722301167124</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7</v>
      </c>
      <c r="R236">
        <f t="shared" si="81"/>
        <v>0.66666666666666663</v>
      </c>
      <c r="S236">
        <f>survey_responses[[#This Row],[Tôi tin rằng với các quy định quản lý thuế hiện nay, hành vi gian lận hoặc trốn thuế sẽ dễ dàng bị phát hiện và xử lý nghiêm. - HUMAN-ENF1]]</f>
        <v>6</v>
      </c>
      <c r="T236">
        <f t="shared" si="82"/>
        <v>0.55555555555555558</v>
      </c>
      <c r="U236">
        <f>step3_validation[[#This Row],[AI_ENF2]]</f>
        <v>8</v>
      </c>
      <c r="V236">
        <f t="shared" si="83"/>
        <v>0.77777777777777779</v>
      </c>
      <c r="W236">
        <f>survey_responses[[#This Row],[Tôi tin rằng Nhà nước, cơ quan thuế có đủ khả năng và công nghệ để phát hiện, xử lý nghiêm các hành vi trốn thuế. - HUMAN-ENF2]]</f>
        <v>6</v>
      </c>
      <c r="X236">
        <f t="shared" si="84"/>
        <v>0.55555555555555558</v>
      </c>
      <c r="Y236" s="32">
        <f t="shared" si="85"/>
        <v>0.72222222222222221</v>
      </c>
      <c r="Z236" s="32">
        <f t="shared" si="86"/>
        <v>0.55555555555555558</v>
      </c>
      <c r="AA236">
        <f>step3_validation[[#This Row],[AI_FAC1]]</f>
        <v>6</v>
      </c>
      <c r="AB236">
        <f t="shared" si="87"/>
        <v>0.55555555555555558</v>
      </c>
      <c r="AC236">
        <f>survey_responses[[#This Row],[Các thủ tục khai báo thuế VÀ/HOẶC quy trình làm việc với cơ quan thuế đơn giản, tiện lợi, nhanh chóng hơn so với trước đây. - HUMAN-FAC1]]</f>
        <v>1</v>
      </c>
      <c r="AD236">
        <f t="shared" si="88"/>
        <v>0</v>
      </c>
      <c r="AE236">
        <f>step3_validation[[#This Row],[AI_FAC2]]</f>
        <v>7</v>
      </c>
      <c r="AF236">
        <f t="shared" si="89"/>
        <v>0.66666666666666663</v>
      </c>
      <c r="AG236">
        <f>survey_responses[[#This Row],[So với trước đây, tôi thấy cách tính thuế và các bậc thuế trong phương án mới đơn giản, dễ hiểu và dễ thực hiện hơn. - HUMAN-FAC2]]</f>
        <v>6</v>
      </c>
      <c r="AH236">
        <f t="shared" si="90"/>
        <v>0.55555555555555558</v>
      </c>
      <c r="AI236" s="32">
        <f t="shared" si="91"/>
        <v>0.61111111111111116</v>
      </c>
      <c r="AJ236" s="32">
        <f t="shared" si="92"/>
        <v>0.27777777777777779</v>
      </c>
      <c r="AK236">
        <f>step3_validation[[#This Row],[AI_TRU1]]</f>
        <v>9</v>
      </c>
      <c r="AL236">
        <f t="shared" si="93"/>
        <v>0.88888888888888884</v>
      </c>
      <c r="AM236">
        <f>survey_responses[[#This Row],[Tôi tin rằng Nhà nước, cơ quan thuế sẽ thực thi chính sách mới một cách khách quan, công tâm và đối xử bình đẳng với mọi người nộp thuế.  - HUMAN-TRU1]]</f>
        <v>5</v>
      </c>
      <c r="AN236">
        <f t="shared" si="94"/>
        <v>0.44444444444444442</v>
      </c>
      <c r="AO236">
        <f>step3_validation[[#This Row],[AI_TRU2]]</f>
        <v>8</v>
      </c>
      <c r="AP236">
        <f t="shared" si="95"/>
        <v>0.77777777777777779</v>
      </c>
      <c r="AQ236">
        <f>survey_responses[[#This Row],[Tôi thấy mức thuế tôi phải đóng theo phương án mới là công bằng (người thu nhập như tôi đóng mức này là hợp lý). - HUMAN-TRU2]]</f>
        <v>6</v>
      </c>
      <c r="AR236">
        <f t="shared" si="96"/>
        <v>0.55555555555555558</v>
      </c>
      <c r="AS236">
        <f>step3_validation[[#This Row],[AI_TRU3]]</f>
        <v>9</v>
      </c>
      <c r="AT236">
        <f t="shared" si="97"/>
        <v>0.88888888888888884</v>
      </c>
      <c r="AU236">
        <f>survey_responses[[#This Row],[Tôi tin tưởng số tiền thuế tôi đóng sẽ được Nhà nước sử dụng hiệu quả để cải thiện dịch vụ công (y tế, đường xá...). - HUMAN-TRU3]]</f>
        <v>5</v>
      </c>
      <c r="AV236">
        <f t="shared" si="98"/>
        <v>0.44444444444444442</v>
      </c>
      <c r="AW236">
        <f>step3_validation[[#This Row],[AI_TRU4]]</f>
        <v>8</v>
      </c>
      <c r="AX236">
        <f t="shared" si="99"/>
        <v>0.77777777777777779</v>
      </c>
      <c r="AY236">
        <f>survey_responses[[#This Row],[Tôi thấy Nhà nước đã giải thích rõ ràng, minh bạch về lý do và mục tiêu của việc sửa đổi thuế lần này. - HUMAN-TRU4]]</f>
        <v>6</v>
      </c>
      <c r="AZ236">
        <f t="shared" si="100"/>
        <v>0.55555555555555558</v>
      </c>
      <c r="BA236" s="32">
        <f t="shared" si="101"/>
        <v>0.83333333333333326</v>
      </c>
      <c r="BB236" s="32">
        <f t="shared" si="102"/>
        <v>0.5</v>
      </c>
      <c r="BC236" s="7">
        <f t="shared" si="103"/>
        <v>0.72222222222222232</v>
      </c>
      <c r="BD236" s="7">
        <f t="shared" si="104"/>
        <v>0.44444444444444448</v>
      </c>
      <c r="BE236">
        <f>step3_validation[[#This Row],[AI_OUT1]]</f>
        <v>9</v>
      </c>
      <c r="BF236">
        <f t="shared" si="105"/>
        <v>0.88888888888888884</v>
      </c>
      <c r="BG236">
        <f>survey_responses[[#This Row],[Sau khi xem xét các quyền lợi và nghĩa vụ, bạn có ủng hộ và tuân thủ chính sách mới hiện nay? - HUMAN-OUT1]]</f>
        <v>6</v>
      </c>
      <c r="BH236">
        <f t="shared" si="106"/>
        <v>0.55555555555555558</v>
      </c>
      <c r="BI236" s="32">
        <f t="shared" si="107"/>
        <v>3</v>
      </c>
    </row>
    <row r="237" spans="1:61" x14ac:dyDescent="0.45">
      <c r="A237" s="30">
        <f>step3_validation[[#This Row],[Persona_ID]]</f>
        <v>236</v>
      </c>
      <c r="B237" s="31">
        <f>step3_validation[[#This Row],[Used_Seed]]</f>
        <v>2261</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61.79431873802563</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6</v>
      </c>
      <c r="R237">
        <f t="shared" si="81"/>
        <v>0.55555555555555558</v>
      </c>
      <c r="S237">
        <f>survey_responses[[#This Row],[Tôi tin rằng với các quy định quản lý thuế hiện nay, hành vi gian lận hoặc trốn thuế sẽ dễ dàng bị phát hiện và xử lý nghiêm. - HUMAN-ENF1]]</f>
        <v>7</v>
      </c>
      <c r="T237">
        <f t="shared" si="82"/>
        <v>0.66666666666666663</v>
      </c>
      <c r="U237">
        <f>step3_validation[[#This Row],[AI_ENF2]]</f>
        <v>7</v>
      </c>
      <c r="V237">
        <f t="shared" si="83"/>
        <v>0.66666666666666663</v>
      </c>
      <c r="W237">
        <f>survey_responses[[#This Row],[Tôi tin rằng Nhà nước, cơ quan thuế có đủ khả năng và công nghệ để phát hiện, xử lý nghiêm các hành vi trốn thuế. - HUMAN-ENF2]]</f>
        <v>7</v>
      </c>
      <c r="X237">
        <f t="shared" si="84"/>
        <v>0.66666666666666663</v>
      </c>
      <c r="Y237" s="32">
        <f t="shared" si="85"/>
        <v>0.61111111111111116</v>
      </c>
      <c r="Z237" s="32">
        <f t="shared" si="86"/>
        <v>0.66666666666666663</v>
      </c>
      <c r="AA237">
        <f>step3_validation[[#This Row],[AI_FAC1]]</f>
        <v>8</v>
      </c>
      <c r="AB237">
        <f t="shared" si="87"/>
        <v>0.77777777777777779</v>
      </c>
      <c r="AC237">
        <f>survey_responses[[#This Row],[Các thủ tục khai báo thuế VÀ/HOẶC quy trình làm việc với cơ quan thuế đơn giản, tiện lợi, nhanh chóng hơn so với trước đây. - HUMAN-FAC1]]</f>
        <v>7</v>
      </c>
      <c r="AD237">
        <f t="shared" si="88"/>
        <v>0.66666666666666663</v>
      </c>
      <c r="AE237">
        <f>step3_validation[[#This Row],[AI_FAC2]]</f>
        <v>9</v>
      </c>
      <c r="AF237">
        <f t="shared" si="89"/>
        <v>0.88888888888888884</v>
      </c>
      <c r="AG237">
        <f>survey_responses[[#This Row],[So với trước đây, tôi thấy cách tính thuế và các bậc thuế trong phương án mới đơn giản, dễ hiểu và dễ thực hiện hơn. - HUMAN-FAC2]]</f>
        <v>7</v>
      </c>
      <c r="AH237">
        <f t="shared" si="90"/>
        <v>0.66666666666666663</v>
      </c>
      <c r="AI237" s="32">
        <f t="shared" si="91"/>
        <v>0.83333333333333326</v>
      </c>
      <c r="AJ237" s="32">
        <f t="shared" si="92"/>
        <v>0.66666666666666663</v>
      </c>
      <c r="AK237">
        <f>step3_validation[[#This Row],[AI_TRU1]]</f>
        <v>7</v>
      </c>
      <c r="AL237">
        <f t="shared" si="93"/>
        <v>0.66666666666666663</v>
      </c>
      <c r="AM237">
        <f>survey_responses[[#This Row],[Tôi tin rằng Nhà nước, cơ quan thuế sẽ thực thi chính sách mới một cách khách quan, công tâm và đối xử bình đẳng với mọi người nộp thuế.  - HUMAN-TRU1]]</f>
        <v>7</v>
      </c>
      <c r="AN237">
        <f t="shared" si="94"/>
        <v>0.66666666666666663</v>
      </c>
      <c r="AO237">
        <f>step3_validation[[#This Row],[AI_TRU2]]</f>
        <v>9</v>
      </c>
      <c r="AP237">
        <f t="shared" si="95"/>
        <v>0.88888888888888884</v>
      </c>
      <c r="AQ237">
        <f>survey_responses[[#This Row],[Tôi thấy mức thuế tôi phải đóng theo phương án mới là công bằng (người thu nhập như tôi đóng mức này là hợp lý). - HUMAN-TRU2]]</f>
        <v>7</v>
      </c>
      <c r="AR237">
        <f t="shared" si="96"/>
        <v>0.66666666666666663</v>
      </c>
      <c r="AS237">
        <f>step3_validation[[#This Row],[AI_TRU3]]</f>
        <v>8</v>
      </c>
      <c r="AT237">
        <f t="shared" si="97"/>
        <v>0.77777777777777779</v>
      </c>
      <c r="AU237">
        <f>survey_responses[[#This Row],[Tôi tin tưởng số tiền thuế tôi đóng sẽ được Nhà nước sử dụng hiệu quả để cải thiện dịch vụ công (y tế, đường xá...). - HUMAN-TRU3]]</f>
        <v>7</v>
      </c>
      <c r="AV237">
        <f t="shared" si="98"/>
        <v>0.66666666666666663</v>
      </c>
      <c r="AW237">
        <f>step3_validation[[#This Row],[AI_TRU4]]</f>
        <v>7</v>
      </c>
      <c r="AX237">
        <f t="shared" si="99"/>
        <v>0.66666666666666663</v>
      </c>
      <c r="AY237">
        <f>survey_responses[[#This Row],[Tôi thấy Nhà nước đã giải thích rõ ràng, minh bạch về lý do và mục tiêu của việc sửa đổi thuế lần này. - HUMAN-TRU4]]</f>
        <v>7</v>
      </c>
      <c r="AZ237">
        <f t="shared" si="100"/>
        <v>0.66666666666666663</v>
      </c>
      <c r="BA237" s="32">
        <f t="shared" si="101"/>
        <v>0.74999999999999989</v>
      </c>
      <c r="BB237" s="32">
        <f t="shared" si="102"/>
        <v>0.66666666666666663</v>
      </c>
      <c r="BC237" s="7">
        <f t="shared" si="103"/>
        <v>0.7314814814814814</v>
      </c>
      <c r="BD237" s="7">
        <f t="shared" si="104"/>
        <v>0.66666666666666663</v>
      </c>
      <c r="BE237">
        <f>step3_validation[[#This Row],[AI_OUT1]]</f>
        <v>9</v>
      </c>
      <c r="BF237">
        <f t="shared" si="105"/>
        <v>0.88888888888888884</v>
      </c>
      <c r="BG237">
        <f>survey_responses[[#This Row],[Sau khi xem xét các quyền lợi và nghĩa vụ, bạn có ủng hộ và tuân thủ chính sách mới hiện nay? - HUMAN-OUT1]]</f>
        <v>7</v>
      </c>
      <c r="BH237">
        <f t="shared" si="106"/>
        <v>0.66666666666666663</v>
      </c>
      <c r="BI237" s="32">
        <f t="shared" si="107"/>
        <v>2</v>
      </c>
    </row>
    <row r="238" spans="1:61" x14ac:dyDescent="0.45">
      <c r="A238" s="30">
        <f>step3_validation[[#This Row],[Persona_ID]]</f>
        <v>237</v>
      </c>
      <c r="B238" s="31">
        <f>step3_validation[[#This Row],[Used_Seed]]</f>
        <v>2262</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15.736009406673354</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8</v>
      </c>
      <c r="R238">
        <f t="shared" si="81"/>
        <v>0.77777777777777779</v>
      </c>
      <c r="S238">
        <f>survey_responses[[#This Row],[Tôi tin rằng với các quy định quản lý thuế hiện nay, hành vi gian lận hoặc trốn thuế sẽ dễ dàng bị phát hiện và xử lý nghiêm. - HUMAN-ENF1]]</f>
        <v>10</v>
      </c>
      <c r="T238">
        <f t="shared" si="82"/>
        <v>1</v>
      </c>
      <c r="U238">
        <f>step3_validation[[#This Row],[AI_ENF2]]</f>
        <v>7</v>
      </c>
      <c r="V238">
        <f t="shared" si="83"/>
        <v>0.66666666666666663</v>
      </c>
      <c r="W238">
        <f>survey_responses[[#This Row],[Tôi tin rằng Nhà nước, cơ quan thuế có đủ khả năng và công nghệ để phát hiện, xử lý nghiêm các hành vi trốn thuế. - HUMAN-ENF2]]</f>
        <v>10</v>
      </c>
      <c r="X238">
        <f t="shared" si="84"/>
        <v>1</v>
      </c>
      <c r="Y238" s="32">
        <f t="shared" si="85"/>
        <v>0.72222222222222221</v>
      </c>
      <c r="Z238" s="32">
        <f t="shared" si="86"/>
        <v>1</v>
      </c>
      <c r="AA238">
        <f>step3_validation[[#This Row],[AI_FAC1]]</f>
        <v>6</v>
      </c>
      <c r="AB238">
        <f t="shared" si="87"/>
        <v>0.55555555555555558</v>
      </c>
      <c r="AC238">
        <f>survey_responses[[#This Row],[Các thủ tục khai báo thuế VÀ/HOẶC quy trình làm việc với cơ quan thuế đơn giản, tiện lợi, nhanh chóng hơn so với trước đây. - HUMAN-FAC1]]</f>
        <v>4</v>
      </c>
      <c r="AD238">
        <f t="shared" si="88"/>
        <v>0.33333333333333331</v>
      </c>
      <c r="AE238">
        <f>step3_validation[[#This Row],[AI_FAC2]]</f>
        <v>9</v>
      </c>
      <c r="AF238">
        <f t="shared" si="89"/>
        <v>0.88888888888888884</v>
      </c>
      <c r="AG238">
        <f>survey_responses[[#This Row],[So với trước đây, tôi thấy cách tính thuế và các bậc thuế trong phương án mới đơn giản, dễ hiểu và dễ thực hiện hơn. - HUMAN-FAC2]]</f>
        <v>6</v>
      </c>
      <c r="AH238">
        <f t="shared" si="90"/>
        <v>0.55555555555555558</v>
      </c>
      <c r="AI238" s="32">
        <f t="shared" si="91"/>
        <v>0.72222222222222221</v>
      </c>
      <c r="AJ238" s="32">
        <f t="shared" si="92"/>
        <v>0.44444444444444442</v>
      </c>
      <c r="AK238">
        <f>step3_validation[[#This Row],[AI_TRU1]]</f>
        <v>7</v>
      </c>
      <c r="AL238">
        <f t="shared" si="93"/>
        <v>0.66666666666666663</v>
      </c>
      <c r="AM238">
        <f>survey_responses[[#This Row],[Tôi tin rằng Nhà nước, cơ quan thuế sẽ thực thi chính sách mới một cách khách quan, công tâm và đối xử bình đẳng với mọi người nộp thuế.  - HUMAN-TRU1]]</f>
        <v>3</v>
      </c>
      <c r="AN238">
        <f t="shared" si="94"/>
        <v>0.22222222222222221</v>
      </c>
      <c r="AO238">
        <f>step3_validation[[#This Row],[AI_TRU2]]</f>
        <v>9</v>
      </c>
      <c r="AP238">
        <f t="shared" si="95"/>
        <v>0.88888888888888884</v>
      </c>
      <c r="AQ238">
        <f>survey_responses[[#This Row],[Tôi thấy mức thuế tôi phải đóng theo phương án mới là công bằng (người thu nhập như tôi đóng mức này là hợp lý). - HUMAN-TRU2]]</f>
        <v>1</v>
      </c>
      <c r="AR238">
        <f t="shared" si="96"/>
        <v>0</v>
      </c>
      <c r="AS238">
        <f>step3_validation[[#This Row],[AI_TRU3]]</f>
        <v>8</v>
      </c>
      <c r="AT238">
        <f t="shared" si="97"/>
        <v>0.77777777777777779</v>
      </c>
      <c r="AU238">
        <f>survey_responses[[#This Row],[Tôi tin tưởng số tiền thuế tôi đóng sẽ được Nhà nước sử dụng hiệu quả để cải thiện dịch vụ công (y tế, đường xá...). - HUMAN-TRU3]]</f>
        <v>1</v>
      </c>
      <c r="AV238">
        <f t="shared" si="98"/>
        <v>0</v>
      </c>
      <c r="AW238">
        <f>step3_validation[[#This Row],[AI_TRU4]]</f>
        <v>7</v>
      </c>
      <c r="AX238">
        <f t="shared" si="99"/>
        <v>0.66666666666666663</v>
      </c>
      <c r="AY238">
        <f>survey_responses[[#This Row],[Tôi thấy Nhà nước đã giải thích rõ ràng, minh bạch về lý do và mục tiêu của việc sửa đổi thuế lần này. - HUMAN-TRU4]]</f>
        <v>3</v>
      </c>
      <c r="AZ238">
        <f t="shared" si="100"/>
        <v>0.22222222222222221</v>
      </c>
      <c r="BA238" s="32">
        <f t="shared" si="101"/>
        <v>0.74999999999999989</v>
      </c>
      <c r="BB238" s="32">
        <f t="shared" si="102"/>
        <v>0.1111111111111111</v>
      </c>
      <c r="BC238" s="7">
        <f t="shared" si="103"/>
        <v>0.7314814814814814</v>
      </c>
      <c r="BD238" s="7">
        <f t="shared" si="104"/>
        <v>0.51851851851851849</v>
      </c>
      <c r="BE238">
        <f>step3_validation[[#This Row],[AI_OUT1]]</f>
        <v>9</v>
      </c>
      <c r="BF238">
        <f t="shared" si="105"/>
        <v>0.88888888888888884</v>
      </c>
      <c r="BG238">
        <f>survey_responses[[#This Row],[Sau khi xem xét các quyền lợi và nghĩa vụ, bạn có ủng hộ và tuân thủ chính sách mới hiện nay? - HUMAN-OUT1]]</f>
        <v>1</v>
      </c>
      <c r="BH238">
        <f t="shared" si="106"/>
        <v>0</v>
      </c>
      <c r="BI238" s="32">
        <f t="shared" si="107"/>
        <v>8</v>
      </c>
    </row>
    <row r="239" spans="1:61" x14ac:dyDescent="0.45">
      <c r="A239" s="30">
        <f>step3_validation[[#This Row],[Persona_ID]]</f>
        <v>238</v>
      </c>
      <c r="B239" s="31">
        <f>step3_validation[[#This Row],[Used_Seed]]</f>
        <v>2263</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26.40450771697769</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9</v>
      </c>
      <c r="R239">
        <f t="shared" si="81"/>
        <v>0.88888888888888884</v>
      </c>
      <c r="S239">
        <f>survey_responses[[#This Row],[Tôi tin rằng với các quy định quản lý thuế hiện nay, hành vi gian lận hoặc trốn thuế sẽ dễ dàng bị phát hiện và xử lý nghiêm. - HUMAN-ENF1]]</f>
        <v>8</v>
      </c>
      <c r="T239">
        <f t="shared" si="82"/>
        <v>0.77777777777777779</v>
      </c>
      <c r="U239">
        <f>step3_validation[[#This Row],[AI_ENF2]]</f>
        <v>9</v>
      </c>
      <c r="V239">
        <f t="shared" si="83"/>
        <v>0.88888888888888884</v>
      </c>
      <c r="W239">
        <f>survey_responses[[#This Row],[Tôi tin rằng Nhà nước, cơ quan thuế có đủ khả năng và công nghệ để phát hiện, xử lý nghiêm các hành vi trốn thuế. - HUMAN-ENF2]]</f>
        <v>10</v>
      </c>
      <c r="X239">
        <f t="shared" si="84"/>
        <v>1</v>
      </c>
      <c r="Y239" s="32">
        <f t="shared" si="85"/>
        <v>0.88888888888888884</v>
      </c>
      <c r="Z239" s="32">
        <f t="shared" si="86"/>
        <v>0.88888888888888884</v>
      </c>
      <c r="AA239">
        <f>step3_validation[[#This Row],[AI_FAC1]]</f>
        <v>8</v>
      </c>
      <c r="AB239">
        <f t="shared" si="87"/>
        <v>0.77777777777777779</v>
      </c>
      <c r="AC239">
        <f>survey_responses[[#This Row],[Các thủ tục khai báo thuế VÀ/HOẶC quy trình làm việc với cơ quan thuế đơn giản, tiện lợi, nhanh chóng hơn so với trước đây. - HUMAN-FAC1]]</f>
        <v>8</v>
      </c>
      <c r="AD239">
        <f t="shared" si="88"/>
        <v>0.77777777777777779</v>
      </c>
      <c r="AE239">
        <f>step3_validation[[#This Row],[AI_FAC2]]</f>
        <v>9</v>
      </c>
      <c r="AF239">
        <f t="shared" si="89"/>
        <v>0.88888888888888884</v>
      </c>
      <c r="AG239">
        <f>survey_responses[[#This Row],[So với trước đây, tôi thấy cách tính thuế và các bậc thuế trong phương án mới đơn giản, dễ hiểu và dễ thực hiện hơn. - HUMAN-FAC2]]</f>
        <v>10</v>
      </c>
      <c r="AH239">
        <f t="shared" si="90"/>
        <v>1</v>
      </c>
      <c r="AI239" s="32">
        <f t="shared" si="91"/>
        <v>0.83333333333333326</v>
      </c>
      <c r="AJ239" s="32">
        <f t="shared" si="92"/>
        <v>0.88888888888888884</v>
      </c>
      <c r="AK239">
        <f>step3_validation[[#This Row],[AI_TRU1]]</f>
        <v>9</v>
      </c>
      <c r="AL239">
        <f t="shared" si="93"/>
        <v>0.88888888888888884</v>
      </c>
      <c r="AM239">
        <f>survey_responses[[#This Row],[Tôi tin rằng Nhà nước, cơ quan thuế sẽ thực thi chính sách mới một cách khách quan, công tâm và đối xử bình đẳng với mọi người nộp thuế.  - HUMAN-TRU1]]</f>
        <v>9</v>
      </c>
      <c r="AN239">
        <f t="shared" si="94"/>
        <v>0.88888888888888884</v>
      </c>
      <c r="AO239">
        <f>step3_validation[[#This Row],[AI_TRU2]]</f>
        <v>9</v>
      </c>
      <c r="AP239">
        <f t="shared" si="95"/>
        <v>0.88888888888888884</v>
      </c>
      <c r="AQ239">
        <f>survey_responses[[#This Row],[Tôi thấy mức thuế tôi phải đóng theo phương án mới là công bằng (người thu nhập như tôi đóng mức này là hợp lý). - HUMAN-TRU2]]</f>
        <v>8</v>
      </c>
      <c r="AR239">
        <f t="shared" si="96"/>
        <v>0.77777777777777779</v>
      </c>
      <c r="AS239">
        <f>step3_validation[[#This Row],[AI_TRU3]]</f>
        <v>9</v>
      </c>
      <c r="AT239">
        <f t="shared" si="97"/>
        <v>0.88888888888888884</v>
      </c>
      <c r="AU239">
        <f>survey_responses[[#This Row],[Tôi tin tưởng số tiền thuế tôi đóng sẽ được Nhà nước sử dụng hiệu quả để cải thiện dịch vụ công (y tế, đường xá...). - HUMAN-TRU3]]</f>
        <v>7</v>
      </c>
      <c r="AV239">
        <f t="shared" si="98"/>
        <v>0.66666666666666663</v>
      </c>
      <c r="AW239">
        <f>step3_validation[[#This Row],[AI_TRU4]]</f>
        <v>9</v>
      </c>
      <c r="AX239">
        <f t="shared" si="99"/>
        <v>0.88888888888888884</v>
      </c>
      <c r="AY239">
        <f>survey_responses[[#This Row],[Tôi thấy Nhà nước đã giải thích rõ ràng, minh bạch về lý do và mục tiêu của việc sửa đổi thuế lần này. - HUMAN-TRU4]]</f>
        <v>9</v>
      </c>
      <c r="AZ239">
        <f t="shared" si="100"/>
        <v>0.88888888888888884</v>
      </c>
      <c r="BA239" s="32">
        <f t="shared" si="101"/>
        <v>0.88888888888888884</v>
      </c>
      <c r="BB239" s="32">
        <f t="shared" si="102"/>
        <v>0.80555555555555547</v>
      </c>
      <c r="BC239" s="7">
        <f t="shared" si="103"/>
        <v>0.87037037037037024</v>
      </c>
      <c r="BD239" s="7">
        <f t="shared" si="104"/>
        <v>0.86111111111111105</v>
      </c>
      <c r="BE239">
        <f>step3_validation[[#This Row],[AI_OUT1]]</f>
        <v>9</v>
      </c>
      <c r="BF239">
        <f t="shared" si="105"/>
        <v>0.88888888888888884</v>
      </c>
      <c r="BG239">
        <f>survey_responses[[#This Row],[Sau khi xem xét các quyền lợi và nghĩa vụ, bạn có ủng hộ và tuân thủ chính sách mới hiện nay? - HUMAN-OUT1]]</f>
        <v>9</v>
      </c>
      <c r="BH239">
        <f t="shared" si="106"/>
        <v>0.88888888888888884</v>
      </c>
      <c r="BI239" s="32">
        <f t="shared" si="107"/>
        <v>0</v>
      </c>
    </row>
    <row r="240" spans="1:61" x14ac:dyDescent="0.45">
      <c r="A240" s="30">
        <f>step3_validation[[#This Row],[Persona_ID]]</f>
        <v>239</v>
      </c>
      <c r="B240" s="31">
        <f>step3_validation[[#This Row],[Used_Seed]]</f>
        <v>2264</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94.086136189230544</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6</v>
      </c>
      <c r="R240">
        <f t="shared" si="81"/>
        <v>0.55555555555555558</v>
      </c>
      <c r="S240">
        <f>survey_responses[[#This Row],[Tôi tin rằng với các quy định quản lý thuế hiện nay, hành vi gian lận hoặc trốn thuế sẽ dễ dàng bị phát hiện và xử lý nghiêm. - HUMAN-ENF1]]</f>
        <v>6</v>
      </c>
      <c r="T240">
        <f t="shared" si="82"/>
        <v>0.55555555555555558</v>
      </c>
      <c r="U240">
        <f>step3_validation[[#This Row],[AI_ENF2]]</f>
        <v>8</v>
      </c>
      <c r="V240">
        <f t="shared" si="83"/>
        <v>0.77777777777777779</v>
      </c>
      <c r="W240">
        <f>survey_responses[[#This Row],[Tôi tin rằng Nhà nước, cơ quan thuế có đủ khả năng và công nghệ để phát hiện, xử lý nghiêm các hành vi trốn thuế. - HUMAN-ENF2]]</f>
        <v>6</v>
      </c>
      <c r="X240">
        <f t="shared" si="84"/>
        <v>0.55555555555555558</v>
      </c>
      <c r="Y240" s="32">
        <f t="shared" si="85"/>
        <v>0.66666666666666674</v>
      </c>
      <c r="Z240" s="32">
        <f t="shared" si="86"/>
        <v>0.55555555555555558</v>
      </c>
      <c r="AA240">
        <f>step3_validation[[#This Row],[AI_FAC1]]</f>
        <v>7</v>
      </c>
      <c r="AB240">
        <f t="shared" si="87"/>
        <v>0.66666666666666663</v>
      </c>
      <c r="AC240">
        <f>survey_responses[[#This Row],[Các thủ tục khai báo thuế VÀ/HOẶC quy trình làm việc với cơ quan thuế đơn giản, tiện lợi, nhanh chóng hơn so với trước đây. - HUMAN-FAC1]]</f>
        <v>6</v>
      </c>
      <c r="AD240">
        <f t="shared" si="88"/>
        <v>0.55555555555555558</v>
      </c>
      <c r="AE240">
        <f>step3_validation[[#This Row],[AI_FAC2]]</f>
        <v>9</v>
      </c>
      <c r="AF240">
        <f t="shared" si="89"/>
        <v>0.88888888888888884</v>
      </c>
      <c r="AG240">
        <f>survey_responses[[#This Row],[So với trước đây, tôi thấy cách tính thuế và các bậc thuế trong phương án mới đơn giản, dễ hiểu và dễ thực hiện hơn. - HUMAN-FAC2]]</f>
        <v>6</v>
      </c>
      <c r="AH240">
        <f t="shared" si="90"/>
        <v>0.55555555555555558</v>
      </c>
      <c r="AI240" s="32">
        <f t="shared" si="91"/>
        <v>0.77777777777777768</v>
      </c>
      <c r="AJ240" s="32">
        <f t="shared" si="92"/>
        <v>0.55555555555555558</v>
      </c>
      <c r="AK240">
        <f>step3_validation[[#This Row],[AI_TRU1]]</f>
        <v>7</v>
      </c>
      <c r="AL240">
        <f t="shared" si="93"/>
        <v>0.66666666666666663</v>
      </c>
      <c r="AM240">
        <f>survey_responses[[#This Row],[Tôi tin rằng Nhà nước, cơ quan thuế sẽ thực thi chính sách mới một cách khách quan, công tâm và đối xử bình đẳng với mọi người nộp thuế.  - HUMAN-TRU1]]</f>
        <v>6</v>
      </c>
      <c r="AN240">
        <f t="shared" si="94"/>
        <v>0.55555555555555558</v>
      </c>
      <c r="AO240">
        <f>step3_validation[[#This Row],[AI_TRU2]]</f>
        <v>9</v>
      </c>
      <c r="AP240">
        <f t="shared" si="95"/>
        <v>0.88888888888888884</v>
      </c>
      <c r="AQ240">
        <f>survey_responses[[#This Row],[Tôi thấy mức thuế tôi phải đóng theo phương án mới là công bằng (người thu nhập như tôi đóng mức này là hợp lý). - HUMAN-TRU2]]</f>
        <v>6</v>
      </c>
      <c r="AR240">
        <f t="shared" si="96"/>
        <v>0.55555555555555558</v>
      </c>
      <c r="AS240">
        <f>step3_validation[[#This Row],[AI_TRU3]]</f>
        <v>8</v>
      </c>
      <c r="AT240">
        <f t="shared" si="97"/>
        <v>0.77777777777777779</v>
      </c>
      <c r="AU240">
        <f>survey_responses[[#This Row],[Tôi tin tưởng số tiền thuế tôi đóng sẽ được Nhà nước sử dụng hiệu quả để cải thiện dịch vụ công (y tế, đường xá...). - HUMAN-TRU3]]</f>
        <v>6</v>
      </c>
      <c r="AV240">
        <f t="shared" si="98"/>
        <v>0.55555555555555558</v>
      </c>
      <c r="AW240">
        <f>step3_validation[[#This Row],[AI_TRU4]]</f>
        <v>7</v>
      </c>
      <c r="AX240">
        <f t="shared" si="99"/>
        <v>0.66666666666666663</v>
      </c>
      <c r="AY240">
        <f>survey_responses[[#This Row],[Tôi thấy Nhà nước đã giải thích rõ ràng, minh bạch về lý do và mục tiêu của việc sửa đổi thuế lần này. - HUMAN-TRU4]]</f>
        <v>7</v>
      </c>
      <c r="AZ240">
        <f t="shared" si="100"/>
        <v>0.66666666666666663</v>
      </c>
      <c r="BA240" s="32">
        <f t="shared" si="101"/>
        <v>0.74999999999999989</v>
      </c>
      <c r="BB240" s="32">
        <f t="shared" si="102"/>
        <v>0.58333333333333337</v>
      </c>
      <c r="BC240" s="7">
        <f t="shared" si="103"/>
        <v>0.7314814814814814</v>
      </c>
      <c r="BD240" s="7">
        <f t="shared" si="104"/>
        <v>0.56481481481481488</v>
      </c>
      <c r="BE240">
        <f>step3_validation[[#This Row],[AI_OUT1]]</f>
        <v>8</v>
      </c>
      <c r="BF240">
        <f t="shared" si="105"/>
        <v>0.77777777777777779</v>
      </c>
      <c r="BG240">
        <f>survey_responses[[#This Row],[Sau khi xem xét các quyền lợi và nghĩa vụ, bạn có ủng hộ và tuân thủ chính sách mới hiện nay? - HUMAN-OUT1]]</f>
        <v>6</v>
      </c>
      <c r="BH240">
        <f t="shared" si="106"/>
        <v>0.55555555555555558</v>
      </c>
      <c r="BI240" s="32">
        <f t="shared" si="107"/>
        <v>2</v>
      </c>
    </row>
    <row r="241" spans="1:61" x14ac:dyDescent="0.45">
      <c r="A241" s="30">
        <f>step3_validation[[#This Row],[Persona_ID]]</f>
        <v>240</v>
      </c>
      <c r="B241" s="31">
        <f>step3_validation[[#This Row],[Used_Seed]]</f>
        <v>2265</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56.468503536521119</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8</v>
      </c>
      <c r="R241">
        <f t="shared" si="81"/>
        <v>0.77777777777777779</v>
      </c>
      <c r="S241">
        <f>survey_responses[[#This Row],[Tôi tin rằng với các quy định quản lý thuế hiện nay, hành vi gian lận hoặc trốn thuế sẽ dễ dàng bị phát hiện và xử lý nghiêm. - HUMAN-ENF1]]</f>
        <v>8</v>
      </c>
      <c r="T241">
        <f t="shared" si="82"/>
        <v>0.77777777777777779</v>
      </c>
      <c r="U241">
        <f>step3_validation[[#This Row],[AI_ENF2]]</f>
        <v>8</v>
      </c>
      <c r="V241">
        <f t="shared" si="83"/>
        <v>0.77777777777777779</v>
      </c>
      <c r="W241">
        <f>survey_responses[[#This Row],[Tôi tin rằng Nhà nước, cơ quan thuế có đủ khả năng và công nghệ để phát hiện, xử lý nghiêm các hành vi trốn thuế. - HUMAN-ENF2]]</f>
        <v>8</v>
      </c>
      <c r="X241">
        <f t="shared" si="84"/>
        <v>0.77777777777777779</v>
      </c>
      <c r="Y241" s="32">
        <f t="shared" si="85"/>
        <v>0.77777777777777779</v>
      </c>
      <c r="Z241" s="32">
        <f t="shared" si="86"/>
        <v>0.77777777777777779</v>
      </c>
      <c r="AA241">
        <f>step3_validation[[#This Row],[AI_FAC1]]</f>
        <v>9</v>
      </c>
      <c r="AB241">
        <f t="shared" si="87"/>
        <v>0.88888888888888884</v>
      </c>
      <c r="AC241">
        <f>survey_responses[[#This Row],[Các thủ tục khai báo thuế VÀ/HOẶC quy trình làm việc với cơ quan thuế đơn giản, tiện lợi, nhanh chóng hơn so với trước đây. - HUMAN-FAC1]]</f>
        <v>8</v>
      </c>
      <c r="AD241">
        <f t="shared" si="88"/>
        <v>0.77777777777777779</v>
      </c>
      <c r="AE241">
        <f>step3_validation[[#This Row],[AI_FAC2]]</f>
        <v>9</v>
      </c>
      <c r="AF241">
        <f t="shared" si="89"/>
        <v>0.88888888888888884</v>
      </c>
      <c r="AG241">
        <f>survey_responses[[#This Row],[So với trước đây, tôi thấy cách tính thuế và các bậc thuế trong phương án mới đơn giản, dễ hiểu và dễ thực hiện hơn. - HUMAN-FAC2]]</f>
        <v>8</v>
      </c>
      <c r="AH241">
        <f t="shared" si="90"/>
        <v>0.77777777777777779</v>
      </c>
      <c r="AI241" s="32">
        <f t="shared" si="91"/>
        <v>0.88888888888888884</v>
      </c>
      <c r="AJ241" s="32">
        <f t="shared" si="92"/>
        <v>0.77777777777777779</v>
      </c>
      <c r="AK241">
        <f>step3_validation[[#This Row],[AI_TRU1]]</f>
        <v>8</v>
      </c>
      <c r="AL241">
        <f t="shared" si="93"/>
        <v>0.77777777777777779</v>
      </c>
      <c r="AM241">
        <f>survey_responses[[#This Row],[Tôi tin rằng Nhà nước, cơ quan thuế sẽ thực thi chính sách mới một cách khách quan, công tâm và đối xử bình đẳng với mọi người nộp thuế.  - HUMAN-TRU1]]</f>
        <v>8</v>
      </c>
      <c r="AN241">
        <f t="shared" si="94"/>
        <v>0.77777777777777779</v>
      </c>
      <c r="AO241">
        <f>step3_validation[[#This Row],[AI_TRU2]]</f>
        <v>9</v>
      </c>
      <c r="AP241">
        <f t="shared" si="95"/>
        <v>0.88888888888888884</v>
      </c>
      <c r="AQ241">
        <f>survey_responses[[#This Row],[Tôi thấy mức thuế tôi phải đóng theo phương án mới là công bằng (người thu nhập như tôi đóng mức này là hợp lý). - HUMAN-TRU2]]</f>
        <v>8</v>
      </c>
      <c r="AR241">
        <f t="shared" si="96"/>
        <v>0.77777777777777779</v>
      </c>
      <c r="AS241">
        <f>step3_validation[[#This Row],[AI_TRU3]]</f>
        <v>8</v>
      </c>
      <c r="AT241">
        <f t="shared" si="97"/>
        <v>0.77777777777777779</v>
      </c>
      <c r="AU241">
        <f>survey_responses[[#This Row],[Tôi tin tưởng số tiền thuế tôi đóng sẽ được Nhà nước sử dụng hiệu quả để cải thiện dịch vụ công (y tế, đường xá...). - HUMAN-TRU3]]</f>
        <v>8</v>
      </c>
      <c r="AV241">
        <f t="shared" si="98"/>
        <v>0.77777777777777779</v>
      </c>
      <c r="AW241">
        <f>step3_validation[[#This Row],[AI_TRU4]]</f>
        <v>9</v>
      </c>
      <c r="AX241">
        <f t="shared" si="99"/>
        <v>0.88888888888888884</v>
      </c>
      <c r="AY241">
        <f>survey_responses[[#This Row],[Tôi thấy Nhà nước đã giải thích rõ ràng, minh bạch về lý do và mục tiêu của việc sửa đổi thuế lần này. - HUMAN-TRU4]]</f>
        <v>8</v>
      </c>
      <c r="AZ241">
        <f t="shared" si="100"/>
        <v>0.77777777777777779</v>
      </c>
      <c r="BA241" s="32">
        <f t="shared" si="101"/>
        <v>0.83333333333333326</v>
      </c>
      <c r="BB241" s="32">
        <f t="shared" si="102"/>
        <v>0.77777777777777779</v>
      </c>
      <c r="BC241" s="7">
        <f t="shared" si="103"/>
        <v>0.83333333333333337</v>
      </c>
      <c r="BD241" s="7">
        <f t="shared" si="104"/>
        <v>0.77777777777777779</v>
      </c>
      <c r="BE241">
        <f>step3_validation[[#This Row],[AI_OUT1]]</f>
        <v>8</v>
      </c>
      <c r="BF241">
        <f t="shared" si="105"/>
        <v>0.77777777777777779</v>
      </c>
      <c r="BG241">
        <f>survey_responses[[#This Row],[Sau khi xem xét các quyền lợi và nghĩa vụ, bạn có ủng hộ và tuân thủ chính sách mới hiện nay? - HUMAN-OUT1]]</f>
        <v>8</v>
      </c>
      <c r="BH241">
        <f t="shared" si="106"/>
        <v>0.77777777777777779</v>
      </c>
      <c r="BI241" s="32">
        <f t="shared" si="107"/>
        <v>0</v>
      </c>
    </row>
    <row r="242" spans="1:61" x14ac:dyDescent="0.45">
      <c r="A242" s="30">
        <f>step3_validation[[#This Row],[Persona_ID]]</f>
        <v>241</v>
      </c>
      <c r="B242" s="31">
        <f>step3_validation[[#This Row],[Used_Seed]]</f>
        <v>2266</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65.234155035261509</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7</v>
      </c>
      <c r="R242">
        <f t="shared" si="81"/>
        <v>0.66666666666666663</v>
      </c>
      <c r="S242">
        <f>survey_responses[[#This Row],[Tôi tin rằng với các quy định quản lý thuế hiện nay, hành vi gian lận hoặc trốn thuế sẽ dễ dàng bị phát hiện và xử lý nghiêm. - HUMAN-ENF1]]</f>
        <v>7</v>
      </c>
      <c r="T242">
        <f t="shared" si="82"/>
        <v>0.66666666666666663</v>
      </c>
      <c r="U242">
        <f>step3_validation[[#This Row],[AI_ENF2]]</f>
        <v>6</v>
      </c>
      <c r="V242">
        <f t="shared" si="83"/>
        <v>0.55555555555555558</v>
      </c>
      <c r="W242">
        <f>survey_responses[[#This Row],[Tôi tin rằng Nhà nước, cơ quan thuế có đủ khả năng và công nghệ để phát hiện, xử lý nghiêm các hành vi trốn thuế. - HUMAN-ENF2]]</f>
        <v>6</v>
      </c>
      <c r="X242">
        <f t="shared" si="84"/>
        <v>0.55555555555555558</v>
      </c>
      <c r="Y242" s="32">
        <f t="shared" si="85"/>
        <v>0.61111111111111116</v>
      </c>
      <c r="Z242" s="32">
        <f t="shared" si="86"/>
        <v>0.61111111111111116</v>
      </c>
      <c r="AA242">
        <f>step3_validation[[#This Row],[AI_FAC1]]</f>
        <v>8</v>
      </c>
      <c r="AB242">
        <f t="shared" si="87"/>
        <v>0.77777777777777779</v>
      </c>
      <c r="AC242">
        <f>survey_responses[[#This Row],[Các thủ tục khai báo thuế VÀ/HOẶC quy trình làm việc với cơ quan thuế đơn giản, tiện lợi, nhanh chóng hơn so với trước đây. - HUMAN-FAC1]]</f>
        <v>7</v>
      </c>
      <c r="AD242">
        <f t="shared" si="88"/>
        <v>0.66666666666666663</v>
      </c>
      <c r="AE242">
        <f>step3_validation[[#This Row],[AI_FAC2]]</f>
        <v>9</v>
      </c>
      <c r="AF242">
        <f t="shared" si="89"/>
        <v>0.88888888888888884</v>
      </c>
      <c r="AG242">
        <f>survey_responses[[#This Row],[So với trước đây, tôi thấy cách tính thuế và các bậc thuế trong phương án mới đơn giản, dễ hiểu và dễ thực hiện hơn. - HUMAN-FAC2]]</f>
        <v>7</v>
      </c>
      <c r="AH242">
        <f t="shared" si="90"/>
        <v>0.66666666666666663</v>
      </c>
      <c r="AI242" s="32">
        <f t="shared" si="91"/>
        <v>0.83333333333333326</v>
      </c>
      <c r="AJ242" s="32">
        <f t="shared" si="92"/>
        <v>0.66666666666666663</v>
      </c>
      <c r="AK242">
        <f>step3_validation[[#This Row],[AI_TRU1]]</f>
        <v>9</v>
      </c>
      <c r="AL242">
        <f t="shared" si="93"/>
        <v>0.88888888888888884</v>
      </c>
      <c r="AM242">
        <f>survey_responses[[#This Row],[Tôi tin rằng Nhà nước, cơ quan thuế sẽ thực thi chính sách mới một cách khách quan, công tâm và đối xử bình đẳng với mọi người nộp thuế.  - HUMAN-TRU1]]</f>
        <v>8</v>
      </c>
      <c r="AN242">
        <f t="shared" si="94"/>
        <v>0.77777777777777779</v>
      </c>
      <c r="AO242">
        <f>step3_validation[[#This Row],[AI_TRU2]]</f>
        <v>8</v>
      </c>
      <c r="AP242">
        <f t="shared" si="95"/>
        <v>0.77777777777777779</v>
      </c>
      <c r="AQ242">
        <f>survey_responses[[#This Row],[Tôi thấy mức thuế tôi phải đóng theo phương án mới là công bằng (người thu nhập như tôi đóng mức này là hợp lý). - HUMAN-TRU2]]</f>
        <v>8</v>
      </c>
      <c r="AR242">
        <f t="shared" si="96"/>
        <v>0.77777777777777779</v>
      </c>
      <c r="AS242">
        <f>step3_validation[[#This Row],[AI_TRU3]]</f>
        <v>9</v>
      </c>
      <c r="AT242">
        <f t="shared" si="97"/>
        <v>0.88888888888888884</v>
      </c>
      <c r="AU242">
        <f>survey_responses[[#This Row],[Tôi tin tưởng số tiền thuế tôi đóng sẽ được Nhà nước sử dụng hiệu quả để cải thiện dịch vụ công (y tế, đường xá...). - HUMAN-TRU3]]</f>
        <v>8</v>
      </c>
      <c r="AV242">
        <f t="shared" si="98"/>
        <v>0.77777777777777779</v>
      </c>
      <c r="AW242">
        <f>step3_validation[[#This Row],[AI_TRU4]]</f>
        <v>7</v>
      </c>
      <c r="AX242">
        <f t="shared" si="99"/>
        <v>0.66666666666666663</v>
      </c>
      <c r="AY242">
        <f>survey_responses[[#This Row],[Tôi thấy Nhà nước đã giải thích rõ ràng, minh bạch về lý do và mục tiêu của việc sửa đổi thuế lần này. - HUMAN-TRU4]]</f>
        <v>8</v>
      </c>
      <c r="AZ242">
        <f t="shared" si="100"/>
        <v>0.77777777777777779</v>
      </c>
      <c r="BA242" s="32">
        <f t="shared" si="101"/>
        <v>0.80555555555555547</v>
      </c>
      <c r="BB242" s="32">
        <f t="shared" si="102"/>
        <v>0.77777777777777779</v>
      </c>
      <c r="BC242" s="7">
        <f t="shared" si="103"/>
        <v>0.75</v>
      </c>
      <c r="BD242" s="7">
        <f t="shared" si="104"/>
        <v>0.68518518518518512</v>
      </c>
      <c r="BE242">
        <f>step3_validation[[#This Row],[AI_OUT1]]</f>
        <v>9</v>
      </c>
      <c r="BF242">
        <f t="shared" si="105"/>
        <v>0.88888888888888884</v>
      </c>
      <c r="BG242">
        <f>survey_responses[[#This Row],[Sau khi xem xét các quyền lợi và nghĩa vụ, bạn có ủng hộ và tuân thủ chính sách mới hiện nay? - HUMAN-OUT1]]</f>
        <v>8</v>
      </c>
      <c r="BH242">
        <f t="shared" si="106"/>
        <v>0.77777777777777779</v>
      </c>
      <c r="BI242" s="32">
        <f t="shared" si="107"/>
        <v>1</v>
      </c>
    </row>
    <row r="243" spans="1:61" x14ac:dyDescent="0.45">
      <c r="A243" s="30">
        <f>step3_validation[[#This Row],[Persona_ID]]</f>
        <v>242</v>
      </c>
      <c r="B243" s="31">
        <f>step3_validation[[#This Row],[Used_Seed]]</f>
        <v>2267</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61.291200347062542</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7</v>
      </c>
      <c r="R243">
        <f t="shared" si="81"/>
        <v>0.66666666666666663</v>
      </c>
      <c r="S243">
        <f>survey_responses[[#This Row],[Tôi tin rằng với các quy định quản lý thuế hiện nay, hành vi gian lận hoặc trốn thuế sẽ dễ dàng bị phát hiện và xử lý nghiêm. - HUMAN-ENF1]]</f>
        <v>6</v>
      </c>
      <c r="T243">
        <f t="shared" si="82"/>
        <v>0.55555555555555558</v>
      </c>
      <c r="U243">
        <f>step3_validation[[#This Row],[AI_ENF2]]</f>
        <v>6</v>
      </c>
      <c r="V243">
        <f t="shared" si="83"/>
        <v>0.55555555555555558</v>
      </c>
      <c r="W243">
        <f>survey_responses[[#This Row],[Tôi tin rằng Nhà nước, cơ quan thuế có đủ khả năng và công nghệ để phát hiện, xử lý nghiêm các hành vi trốn thuế. - HUMAN-ENF2]]</f>
        <v>5</v>
      </c>
      <c r="X243">
        <f t="shared" si="84"/>
        <v>0.44444444444444442</v>
      </c>
      <c r="Y243" s="32">
        <f t="shared" si="85"/>
        <v>0.61111111111111116</v>
      </c>
      <c r="Z243" s="32">
        <f t="shared" si="86"/>
        <v>0.5</v>
      </c>
      <c r="AA243">
        <f>step3_validation[[#This Row],[AI_FAC1]]</f>
        <v>8</v>
      </c>
      <c r="AB243">
        <f t="shared" si="87"/>
        <v>0.77777777777777779</v>
      </c>
      <c r="AC243">
        <f>survey_responses[[#This Row],[Các thủ tục khai báo thuế VÀ/HOẶC quy trình làm việc với cơ quan thuế đơn giản, tiện lợi, nhanh chóng hơn so với trước đây. - HUMAN-FAC1]]</f>
        <v>5</v>
      </c>
      <c r="AD243">
        <f t="shared" si="88"/>
        <v>0.44444444444444442</v>
      </c>
      <c r="AE243">
        <f>step3_validation[[#This Row],[AI_FAC2]]</f>
        <v>9</v>
      </c>
      <c r="AF243">
        <f t="shared" si="89"/>
        <v>0.88888888888888884</v>
      </c>
      <c r="AG243">
        <f>survey_responses[[#This Row],[So với trước đây, tôi thấy cách tính thuế và các bậc thuế trong phương án mới đơn giản, dễ hiểu và dễ thực hiện hơn. - HUMAN-FAC2]]</f>
        <v>7</v>
      </c>
      <c r="AH243">
        <f t="shared" si="90"/>
        <v>0.66666666666666663</v>
      </c>
      <c r="AI243" s="32">
        <f t="shared" si="91"/>
        <v>0.83333333333333326</v>
      </c>
      <c r="AJ243" s="32">
        <f t="shared" si="92"/>
        <v>0.55555555555555558</v>
      </c>
      <c r="AK243">
        <f>step3_validation[[#This Row],[AI_TRU1]]</f>
        <v>7</v>
      </c>
      <c r="AL243">
        <f t="shared" si="93"/>
        <v>0.66666666666666663</v>
      </c>
      <c r="AM243">
        <f>survey_responses[[#This Row],[Tôi tin rằng Nhà nước, cơ quan thuế sẽ thực thi chính sách mới một cách khách quan, công tâm và đối xử bình đẳng với mọi người nộp thuế.  - HUMAN-TRU1]]</f>
        <v>7</v>
      </c>
      <c r="AN243">
        <f t="shared" si="94"/>
        <v>0.66666666666666663</v>
      </c>
      <c r="AO243">
        <f>step3_validation[[#This Row],[AI_TRU2]]</f>
        <v>8</v>
      </c>
      <c r="AP243">
        <f t="shared" si="95"/>
        <v>0.77777777777777779</v>
      </c>
      <c r="AQ243">
        <f>survey_responses[[#This Row],[Tôi thấy mức thuế tôi phải đóng theo phương án mới là công bằng (người thu nhập như tôi đóng mức này là hợp lý). - HUMAN-TRU2]]</f>
        <v>7</v>
      </c>
      <c r="AR243">
        <f t="shared" si="96"/>
        <v>0.66666666666666663</v>
      </c>
      <c r="AS243">
        <f>step3_validation[[#This Row],[AI_TRU3]]</f>
        <v>9</v>
      </c>
      <c r="AT243">
        <f t="shared" si="97"/>
        <v>0.88888888888888884</v>
      </c>
      <c r="AU243">
        <f>survey_responses[[#This Row],[Tôi tin tưởng số tiền thuế tôi đóng sẽ được Nhà nước sử dụng hiệu quả để cải thiện dịch vụ công (y tế, đường xá...). - HUMAN-TRU3]]</f>
        <v>7</v>
      </c>
      <c r="AV243">
        <f t="shared" si="98"/>
        <v>0.66666666666666663</v>
      </c>
      <c r="AW243">
        <f>step3_validation[[#This Row],[AI_TRU4]]</f>
        <v>7</v>
      </c>
      <c r="AX243">
        <f t="shared" si="99"/>
        <v>0.66666666666666663</v>
      </c>
      <c r="AY243">
        <f>survey_responses[[#This Row],[Tôi thấy Nhà nước đã giải thích rõ ràng, minh bạch về lý do và mục tiêu của việc sửa đổi thuế lần này. - HUMAN-TRU4]]</f>
        <v>8</v>
      </c>
      <c r="AZ243">
        <f t="shared" si="100"/>
        <v>0.77777777777777779</v>
      </c>
      <c r="BA243" s="32">
        <f t="shared" si="101"/>
        <v>0.74999999999999989</v>
      </c>
      <c r="BB243" s="32">
        <f t="shared" si="102"/>
        <v>0.69444444444444442</v>
      </c>
      <c r="BC243" s="7">
        <f t="shared" si="103"/>
        <v>0.7314814814814814</v>
      </c>
      <c r="BD243" s="7">
        <f t="shared" si="104"/>
        <v>0.58333333333333337</v>
      </c>
      <c r="BE243">
        <f>step3_validation[[#This Row],[AI_OUT1]]</f>
        <v>9</v>
      </c>
      <c r="BF243">
        <f t="shared" si="105"/>
        <v>0.88888888888888884</v>
      </c>
      <c r="BG243">
        <f>survey_responses[[#This Row],[Sau khi xem xét các quyền lợi và nghĩa vụ, bạn có ủng hộ và tuân thủ chính sách mới hiện nay? - HUMAN-OUT1]]</f>
        <v>8</v>
      </c>
      <c r="BH243">
        <f t="shared" si="106"/>
        <v>0.77777777777777779</v>
      </c>
      <c r="BI243" s="32">
        <f t="shared" si="107"/>
        <v>1</v>
      </c>
    </row>
    <row r="244" spans="1:61" x14ac:dyDescent="0.45">
      <c r="A244" s="30">
        <f>step3_validation[[#This Row],[Persona_ID]]</f>
        <v>243</v>
      </c>
      <c r="B244" s="31">
        <f>step3_validation[[#This Row],[Used_Seed]]</f>
        <v>2268</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92.427218596042579</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8</v>
      </c>
      <c r="R244">
        <f t="shared" si="81"/>
        <v>0.77777777777777779</v>
      </c>
      <c r="S244">
        <f>survey_responses[[#This Row],[Tôi tin rằng với các quy định quản lý thuế hiện nay, hành vi gian lận hoặc trốn thuế sẽ dễ dàng bị phát hiện và xử lý nghiêm. - HUMAN-ENF1]]</f>
        <v>6</v>
      </c>
      <c r="T244">
        <f t="shared" si="82"/>
        <v>0.55555555555555558</v>
      </c>
      <c r="U244">
        <f>step3_validation[[#This Row],[AI_ENF2]]</f>
        <v>9</v>
      </c>
      <c r="V244">
        <f t="shared" si="83"/>
        <v>0.88888888888888884</v>
      </c>
      <c r="W244">
        <f>survey_responses[[#This Row],[Tôi tin rằng Nhà nước, cơ quan thuế có đủ khả năng và công nghệ để phát hiện, xử lý nghiêm các hành vi trốn thuế. - HUMAN-ENF2]]</f>
        <v>6</v>
      </c>
      <c r="X244">
        <f t="shared" si="84"/>
        <v>0.55555555555555558</v>
      </c>
      <c r="Y244" s="32">
        <f t="shared" si="85"/>
        <v>0.83333333333333326</v>
      </c>
      <c r="Z244" s="32">
        <f t="shared" si="86"/>
        <v>0.55555555555555558</v>
      </c>
      <c r="AA244">
        <f>step3_validation[[#This Row],[AI_FAC1]]</f>
        <v>9</v>
      </c>
      <c r="AB244">
        <f t="shared" si="87"/>
        <v>0.88888888888888884</v>
      </c>
      <c r="AC244">
        <f>survey_responses[[#This Row],[Các thủ tục khai báo thuế VÀ/HOẶC quy trình làm việc với cơ quan thuế đơn giản, tiện lợi, nhanh chóng hơn so với trước đây. - HUMAN-FAC1]]</f>
        <v>6</v>
      </c>
      <c r="AD244">
        <f t="shared" si="88"/>
        <v>0.55555555555555558</v>
      </c>
      <c r="AE244">
        <f>step3_validation[[#This Row],[AI_FAC2]]</f>
        <v>8</v>
      </c>
      <c r="AF244">
        <f t="shared" si="89"/>
        <v>0.77777777777777779</v>
      </c>
      <c r="AG244">
        <f>survey_responses[[#This Row],[So với trước đây, tôi thấy cách tính thuế và các bậc thuế trong phương án mới đơn giản, dễ hiểu và dễ thực hiện hơn. - HUMAN-FAC2]]</f>
        <v>6</v>
      </c>
      <c r="AH244">
        <f t="shared" si="90"/>
        <v>0.55555555555555558</v>
      </c>
      <c r="AI244" s="32">
        <f t="shared" si="91"/>
        <v>0.83333333333333326</v>
      </c>
      <c r="AJ244" s="32">
        <f t="shared" si="92"/>
        <v>0.55555555555555558</v>
      </c>
      <c r="AK244">
        <f>step3_validation[[#This Row],[AI_TRU1]]</f>
        <v>9</v>
      </c>
      <c r="AL244">
        <f t="shared" si="93"/>
        <v>0.88888888888888884</v>
      </c>
      <c r="AM244">
        <f>survey_responses[[#This Row],[Tôi tin rằng Nhà nước, cơ quan thuế sẽ thực thi chính sách mới một cách khách quan, công tâm và đối xử bình đẳng với mọi người nộp thuế.  - HUMAN-TRU1]]</f>
        <v>6</v>
      </c>
      <c r="AN244">
        <f t="shared" si="94"/>
        <v>0.55555555555555558</v>
      </c>
      <c r="AO244">
        <f>step3_validation[[#This Row],[AI_TRU2]]</f>
        <v>9</v>
      </c>
      <c r="AP244">
        <f t="shared" si="95"/>
        <v>0.88888888888888884</v>
      </c>
      <c r="AQ244">
        <f>survey_responses[[#This Row],[Tôi thấy mức thuế tôi phải đóng theo phương án mới là công bằng (người thu nhập như tôi đóng mức này là hợp lý). - HUMAN-TRU2]]</f>
        <v>6</v>
      </c>
      <c r="AR244">
        <f t="shared" si="96"/>
        <v>0.55555555555555558</v>
      </c>
      <c r="AS244">
        <f>step3_validation[[#This Row],[AI_TRU3]]</f>
        <v>8</v>
      </c>
      <c r="AT244">
        <f t="shared" si="97"/>
        <v>0.77777777777777779</v>
      </c>
      <c r="AU244">
        <f>survey_responses[[#This Row],[Tôi tin tưởng số tiền thuế tôi đóng sẽ được Nhà nước sử dụng hiệu quả để cải thiện dịch vụ công (y tế, đường xá...). - HUMAN-TRU3]]</f>
        <v>6</v>
      </c>
      <c r="AV244">
        <f t="shared" si="98"/>
        <v>0.55555555555555558</v>
      </c>
      <c r="AW244">
        <f>step3_validation[[#This Row],[AI_TRU4]]</f>
        <v>9</v>
      </c>
      <c r="AX244">
        <f t="shared" si="99"/>
        <v>0.88888888888888884</v>
      </c>
      <c r="AY244">
        <f>survey_responses[[#This Row],[Tôi thấy Nhà nước đã giải thích rõ ràng, minh bạch về lý do và mục tiêu của việc sửa đổi thuế lần này. - HUMAN-TRU4]]</f>
        <v>6</v>
      </c>
      <c r="AZ244">
        <f t="shared" si="100"/>
        <v>0.55555555555555558</v>
      </c>
      <c r="BA244" s="32">
        <f t="shared" si="101"/>
        <v>0.86111111111111105</v>
      </c>
      <c r="BB244" s="32">
        <f t="shared" si="102"/>
        <v>0.55555555555555558</v>
      </c>
      <c r="BC244" s="7">
        <f t="shared" si="103"/>
        <v>0.84259259259259256</v>
      </c>
      <c r="BD244" s="7">
        <f t="shared" si="104"/>
        <v>0.55555555555555558</v>
      </c>
      <c r="BE244">
        <f>step3_validation[[#This Row],[AI_OUT1]]</f>
        <v>10</v>
      </c>
      <c r="BF244">
        <f t="shared" si="105"/>
        <v>1</v>
      </c>
      <c r="BG244">
        <f>survey_responses[[#This Row],[Sau khi xem xét các quyền lợi và nghĩa vụ, bạn có ủng hộ và tuân thủ chính sách mới hiện nay? - HUMAN-OUT1]]</f>
        <v>6</v>
      </c>
      <c r="BH244">
        <f t="shared" si="106"/>
        <v>0.55555555555555558</v>
      </c>
      <c r="BI244" s="32">
        <f t="shared" si="107"/>
        <v>4</v>
      </c>
    </row>
    <row r="245" spans="1:61" x14ac:dyDescent="0.45">
      <c r="A245" s="30">
        <f>step3_validation[[#This Row],[Persona_ID]]</f>
        <v>244</v>
      </c>
      <c r="B245" s="31">
        <f>step3_validation[[#This Row],[Used_Seed]]</f>
        <v>2269</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52.483739341609798</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8</v>
      </c>
      <c r="R245">
        <f t="shared" si="81"/>
        <v>0.77777777777777779</v>
      </c>
      <c r="S245">
        <f>survey_responses[[#This Row],[Tôi tin rằng với các quy định quản lý thuế hiện nay, hành vi gian lận hoặc trốn thuế sẽ dễ dàng bị phát hiện và xử lý nghiêm. - HUMAN-ENF1]]</f>
        <v>7</v>
      </c>
      <c r="T245">
        <f t="shared" si="82"/>
        <v>0.66666666666666663</v>
      </c>
      <c r="U245">
        <f>step3_validation[[#This Row],[AI_ENF2]]</f>
        <v>7</v>
      </c>
      <c r="V245">
        <f t="shared" si="83"/>
        <v>0.66666666666666663</v>
      </c>
      <c r="W245">
        <f>survey_responses[[#This Row],[Tôi tin rằng Nhà nước, cơ quan thuế có đủ khả năng và công nghệ để phát hiện, xử lý nghiêm các hành vi trốn thuế. - HUMAN-ENF2]]</f>
        <v>6</v>
      </c>
      <c r="X245">
        <f t="shared" si="84"/>
        <v>0.55555555555555558</v>
      </c>
      <c r="Y245" s="32">
        <f t="shared" si="85"/>
        <v>0.72222222222222221</v>
      </c>
      <c r="Z245" s="32">
        <f t="shared" si="86"/>
        <v>0.61111111111111116</v>
      </c>
      <c r="AA245">
        <f>step3_validation[[#This Row],[AI_FAC1]]</f>
        <v>6</v>
      </c>
      <c r="AB245">
        <f t="shared" si="87"/>
        <v>0.55555555555555558</v>
      </c>
      <c r="AC245">
        <f>survey_responses[[#This Row],[Các thủ tục khai báo thuế VÀ/HOẶC quy trình làm việc với cơ quan thuế đơn giản, tiện lợi, nhanh chóng hơn so với trước đây. - HUMAN-FAC1]]</f>
        <v>6</v>
      </c>
      <c r="AD245">
        <f t="shared" si="88"/>
        <v>0.55555555555555558</v>
      </c>
      <c r="AE245">
        <f>step3_validation[[#This Row],[AI_FAC2]]</f>
        <v>9</v>
      </c>
      <c r="AF245">
        <f t="shared" si="89"/>
        <v>0.88888888888888884</v>
      </c>
      <c r="AG245">
        <f>survey_responses[[#This Row],[So với trước đây, tôi thấy cách tính thuế và các bậc thuế trong phương án mới đơn giản, dễ hiểu và dễ thực hiện hơn. - HUMAN-FAC2]]</f>
        <v>8</v>
      </c>
      <c r="AH245">
        <f t="shared" si="90"/>
        <v>0.77777777777777779</v>
      </c>
      <c r="AI245" s="32">
        <f t="shared" si="91"/>
        <v>0.72222222222222221</v>
      </c>
      <c r="AJ245" s="32">
        <f t="shared" si="92"/>
        <v>0.66666666666666674</v>
      </c>
      <c r="AK245">
        <f>step3_validation[[#This Row],[AI_TRU1]]</f>
        <v>8</v>
      </c>
      <c r="AL245">
        <f t="shared" si="93"/>
        <v>0.77777777777777779</v>
      </c>
      <c r="AM245">
        <f>survey_responses[[#This Row],[Tôi tin rằng Nhà nước, cơ quan thuế sẽ thực thi chính sách mới một cách khách quan, công tâm và đối xử bình đẳng với mọi người nộp thuế.  - HUMAN-TRU1]]</f>
        <v>6</v>
      </c>
      <c r="AN245">
        <f t="shared" si="94"/>
        <v>0.55555555555555558</v>
      </c>
      <c r="AO245">
        <f>step3_validation[[#This Row],[AI_TRU2]]</f>
        <v>9</v>
      </c>
      <c r="AP245">
        <f t="shared" si="95"/>
        <v>0.88888888888888884</v>
      </c>
      <c r="AQ245">
        <f>survey_responses[[#This Row],[Tôi thấy mức thuế tôi phải đóng theo phương án mới là công bằng (người thu nhập như tôi đóng mức này là hợp lý). - HUMAN-TRU2]]</f>
        <v>6</v>
      </c>
      <c r="AR245">
        <f t="shared" si="96"/>
        <v>0.55555555555555558</v>
      </c>
      <c r="AS245">
        <f>step3_validation[[#This Row],[AI_TRU3]]</f>
        <v>8</v>
      </c>
      <c r="AT245">
        <f t="shared" si="97"/>
        <v>0.77777777777777779</v>
      </c>
      <c r="AU245">
        <f>survey_responses[[#This Row],[Tôi tin tưởng số tiền thuế tôi đóng sẽ được Nhà nước sử dụng hiệu quả để cải thiện dịch vụ công (y tế, đường xá...). - HUMAN-TRU3]]</f>
        <v>6</v>
      </c>
      <c r="AV245">
        <f t="shared" si="98"/>
        <v>0.55555555555555558</v>
      </c>
      <c r="AW245">
        <f>step3_validation[[#This Row],[AI_TRU4]]</f>
        <v>9</v>
      </c>
      <c r="AX245">
        <f t="shared" si="99"/>
        <v>0.88888888888888884</v>
      </c>
      <c r="AY245">
        <f>survey_responses[[#This Row],[Tôi thấy Nhà nước đã giải thích rõ ràng, minh bạch về lý do và mục tiêu của việc sửa đổi thuế lần này. - HUMAN-TRU4]]</f>
        <v>6</v>
      </c>
      <c r="AZ245">
        <f t="shared" si="100"/>
        <v>0.55555555555555558</v>
      </c>
      <c r="BA245" s="32">
        <f t="shared" si="101"/>
        <v>0.83333333333333326</v>
      </c>
      <c r="BB245" s="32">
        <f t="shared" si="102"/>
        <v>0.55555555555555558</v>
      </c>
      <c r="BC245" s="7">
        <f t="shared" si="103"/>
        <v>0.75925925925925919</v>
      </c>
      <c r="BD245" s="7">
        <f t="shared" si="104"/>
        <v>0.61111111111111116</v>
      </c>
      <c r="BE245">
        <f>step3_validation[[#This Row],[AI_OUT1]]</f>
        <v>8</v>
      </c>
      <c r="BF245">
        <f t="shared" si="105"/>
        <v>0.77777777777777779</v>
      </c>
      <c r="BG245">
        <f>survey_responses[[#This Row],[Sau khi xem xét các quyền lợi và nghĩa vụ, bạn có ủng hộ và tuân thủ chính sách mới hiện nay? - HUMAN-OUT1]]</f>
        <v>6</v>
      </c>
      <c r="BH245">
        <f t="shared" si="106"/>
        <v>0.55555555555555558</v>
      </c>
      <c r="BI245" s="32">
        <f t="shared" si="107"/>
        <v>2</v>
      </c>
    </row>
    <row r="246" spans="1:61" x14ac:dyDescent="0.45">
      <c r="A246" s="30">
        <f>step3_validation[[#This Row],[Persona_ID]]</f>
        <v>245</v>
      </c>
      <c r="B246" s="31">
        <f>step3_validation[[#This Row],[Used_Seed]]</f>
        <v>2270</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107.4817735908309</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7</v>
      </c>
      <c r="R246">
        <f t="shared" si="81"/>
        <v>0.66666666666666663</v>
      </c>
      <c r="S246">
        <f>survey_responses[[#This Row],[Tôi tin rằng với các quy định quản lý thuế hiện nay, hành vi gian lận hoặc trốn thuế sẽ dễ dàng bị phát hiện và xử lý nghiêm. - HUMAN-ENF1]]</f>
        <v>4</v>
      </c>
      <c r="T246">
        <f t="shared" si="82"/>
        <v>0.33333333333333331</v>
      </c>
      <c r="U246">
        <f>step3_validation[[#This Row],[AI_ENF2]]</f>
        <v>8</v>
      </c>
      <c r="V246">
        <f t="shared" si="83"/>
        <v>0.77777777777777779</v>
      </c>
      <c r="W246">
        <f>survey_responses[[#This Row],[Tôi tin rằng Nhà nước, cơ quan thuế có đủ khả năng và công nghệ để phát hiện, xử lý nghiêm các hành vi trốn thuế. - HUMAN-ENF2]]</f>
        <v>4</v>
      </c>
      <c r="X246">
        <f t="shared" si="84"/>
        <v>0.33333333333333331</v>
      </c>
      <c r="Y246" s="32">
        <f t="shared" si="85"/>
        <v>0.72222222222222221</v>
      </c>
      <c r="Z246" s="32">
        <f t="shared" si="86"/>
        <v>0.33333333333333331</v>
      </c>
      <c r="AA246">
        <f>step3_validation[[#This Row],[AI_FAC1]]</f>
        <v>9</v>
      </c>
      <c r="AB246">
        <f t="shared" si="87"/>
        <v>0.88888888888888884</v>
      </c>
      <c r="AC246">
        <f>survey_responses[[#This Row],[Các thủ tục khai báo thuế VÀ/HOẶC quy trình làm việc với cơ quan thuế đơn giản, tiện lợi, nhanh chóng hơn so với trước đây. - HUMAN-FAC1]]</f>
        <v>1</v>
      </c>
      <c r="AD246">
        <f t="shared" si="88"/>
        <v>0</v>
      </c>
      <c r="AE246">
        <f>step3_validation[[#This Row],[AI_FAC2]]</f>
        <v>8</v>
      </c>
      <c r="AF246">
        <f t="shared" si="89"/>
        <v>0.77777777777777779</v>
      </c>
      <c r="AG246">
        <f>survey_responses[[#This Row],[So với trước đây, tôi thấy cách tính thuế và các bậc thuế trong phương án mới đơn giản, dễ hiểu và dễ thực hiện hơn. - HUMAN-FAC2]]</f>
        <v>4</v>
      </c>
      <c r="AH246">
        <f t="shared" si="90"/>
        <v>0.33333333333333331</v>
      </c>
      <c r="AI246" s="32">
        <f t="shared" si="91"/>
        <v>0.83333333333333326</v>
      </c>
      <c r="AJ246" s="32">
        <f t="shared" si="92"/>
        <v>0.16666666666666666</v>
      </c>
      <c r="AK246">
        <f>step3_validation[[#This Row],[AI_TRU1]]</f>
        <v>9</v>
      </c>
      <c r="AL246">
        <f t="shared" si="93"/>
        <v>0.88888888888888884</v>
      </c>
      <c r="AM246">
        <f>survey_responses[[#This Row],[Tôi tin rằng Nhà nước, cơ quan thuế sẽ thực thi chính sách mới một cách khách quan, công tâm và đối xử bình đẳng với mọi người nộp thuế.  - HUMAN-TRU1]]</f>
        <v>4</v>
      </c>
      <c r="AN246">
        <f t="shared" si="94"/>
        <v>0.33333333333333331</v>
      </c>
      <c r="AO246">
        <f>step3_validation[[#This Row],[AI_TRU2]]</f>
        <v>9</v>
      </c>
      <c r="AP246">
        <f t="shared" si="95"/>
        <v>0.88888888888888884</v>
      </c>
      <c r="AQ246">
        <f>survey_responses[[#This Row],[Tôi thấy mức thuế tôi phải đóng theo phương án mới là công bằng (người thu nhập như tôi đóng mức này là hợp lý). - HUMAN-TRU2]]</f>
        <v>4</v>
      </c>
      <c r="AR246">
        <f t="shared" si="96"/>
        <v>0.33333333333333331</v>
      </c>
      <c r="AS246">
        <f>step3_validation[[#This Row],[AI_TRU3]]</f>
        <v>8</v>
      </c>
      <c r="AT246">
        <f t="shared" si="97"/>
        <v>0.77777777777777779</v>
      </c>
      <c r="AU246">
        <f>survey_responses[[#This Row],[Tôi tin tưởng số tiền thuế tôi đóng sẽ được Nhà nước sử dụng hiệu quả để cải thiện dịch vụ công (y tế, đường xá...). - HUMAN-TRU3]]</f>
        <v>5</v>
      </c>
      <c r="AV246">
        <f t="shared" si="98"/>
        <v>0.44444444444444442</v>
      </c>
      <c r="AW246">
        <f>step3_validation[[#This Row],[AI_TRU4]]</f>
        <v>7</v>
      </c>
      <c r="AX246">
        <f t="shared" si="99"/>
        <v>0.66666666666666663</v>
      </c>
      <c r="AY246">
        <f>survey_responses[[#This Row],[Tôi thấy Nhà nước đã giải thích rõ ràng, minh bạch về lý do và mục tiêu của việc sửa đổi thuế lần này. - HUMAN-TRU4]]</f>
        <v>5</v>
      </c>
      <c r="AZ246">
        <f t="shared" si="100"/>
        <v>0.44444444444444442</v>
      </c>
      <c r="BA246" s="32">
        <f t="shared" si="101"/>
        <v>0.80555555555555547</v>
      </c>
      <c r="BB246" s="32">
        <f t="shared" si="102"/>
        <v>0.3888888888888889</v>
      </c>
      <c r="BC246" s="7">
        <f t="shared" si="103"/>
        <v>0.78703703703703687</v>
      </c>
      <c r="BD246" s="7">
        <f t="shared" si="104"/>
        <v>0.29629629629629628</v>
      </c>
      <c r="BE246">
        <f>step3_validation[[#This Row],[AI_OUT1]]</f>
        <v>9</v>
      </c>
      <c r="BF246">
        <f t="shared" si="105"/>
        <v>0.88888888888888884</v>
      </c>
      <c r="BG246">
        <f>survey_responses[[#This Row],[Sau khi xem xét các quyền lợi và nghĩa vụ, bạn có ủng hộ và tuân thủ chính sách mới hiện nay? - HUMAN-OUT1]]</f>
        <v>5</v>
      </c>
      <c r="BH246">
        <f t="shared" si="106"/>
        <v>0.44444444444444442</v>
      </c>
      <c r="BI246" s="32">
        <f t="shared" si="107"/>
        <v>4</v>
      </c>
    </row>
    <row r="247" spans="1:61" x14ac:dyDescent="0.45">
      <c r="A247" s="30">
        <f>step3_validation[[#This Row],[Persona_ID]]</f>
        <v>246</v>
      </c>
      <c r="B247" s="31">
        <f>step3_validation[[#This Row],[Used_Seed]]</f>
        <v>2271</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28.258216592770246</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8</v>
      </c>
      <c r="R247">
        <f t="shared" si="81"/>
        <v>0.77777777777777779</v>
      </c>
      <c r="S247">
        <f>survey_responses[[#This Row],[Tôi tin rằng với các quy định quản lý thuế hiện nay, hành vi gian lận hoặc trốn thuế sẽ dễ dàng bị phát hiện và xử lý nghiêm. - HUMAN-ENF1]]</f>
        <v>6</v>
      </c>
      <c r="T247">
        <f t="shared" si="82"/>
        <v>0.55555555555555558</v>
      </c>
      <c r="U247">
        <f>step3_validation[[#This Row],[AI_ENF2]]</f>
        <v>7</v>
      </c>
      <c r="V247">
        <f t="shared" si="83"/>
        <v>0.66666666666666663</v>
      </c>
      <c r="W247">
        <f>survey_responses[[#This Row],[Tôi tin rằng Nhà nước, cơ quan thuế có đủ khả năng và công nghệ để phát hiện, xử lý nghiêm các hành vi trốn thuế. - HUMAN-ENF2]]</f>
        <v>7</v>
      </c>
      <c r="X247">
        <f t="shared" si="84"/>
        <v>0.66666666666666663</v>
      </c>
      <c r="Y247" s="32">
        <f t="shared" si="85"/>
        <v>0.72222222222222221</v>
      </c>
      <c r="Z247" s="32">
        <f t="shared" si="86"/>
        <v>0.61111111111111116</v>
      </c>
      <c r="AA247">
        <f>step3_validation[[#This Row],[AI_FAC1]]</f>
        <v>9</v>
      </c>
      <c r="AB247">
        <f t="shared" si="87"/>
        <v>0.88888888888888884</v>
      </c>
      <c r="AC247">
        <f>survey_responses[[#This Row],[Các thủ tục khai báo thuế VÀ/HOẶC quy trình làm việc với cơ quan thuế đơn giản, tiện lợi, nhanh chóng hơn so với trước đây. - HUMAN-FAC1]]</f>
        <v>7</v>
      </c>
      <c r="AD247">
        <f t="shared" si="88"/>
        <v>0.66666666666666663</v>
      </c>
      <c r="AE247">
        <f>step3_validation[[#This Row],[AI_FAC2]]</f>
        <v>8</v>
      </c>
      <c r="AF247">
        <f t="shared" si="89"/>
        <v>0.77777777777777779</v>
      </c>
      <c r="AG247">
        <f>survey_responses[[#This Row],[So với trước đây, tôi thấy cách tính thuế và các bậc thuế trong phương án mới đơn giản, dễ hiểu và dễ thực hiện hơn. - HUMAN-FAC2]]</f>
        <v>7</v>
      </c>
      <c r="AH247">
        <f t="shared" si="90"/>
        <v>0.66666666666666663</v>
      </c>
      <c r="AI247" s="32">
        <f t="shared" si="91"/>
        <v>0.83333333333333326</v>
      </c>
      <c r="AJ247" s="32">
        <f t="shared" si="92"/>
        <v>0.66666666666666663</v>
      </c>
      <c r="AK247">
        <f>step3_validation[[#This Row],[AI_TRU1]]</f>
        <v>9</v>
      </c>
      <c r="AL247">
        <f t="shared" si="93"/>
        <v>0.88888888888888884</v>
      </c>
      <c r="AM247">
        <f>survey_responses[[#This Row],[Tôi tin rằng Nhà nước, cơ quan thuế sẽ thực thi chính sách mới một cách khách quan, công tâm và đối xử bình đẳng với mọi người nộp thuế.  - HUMAN-TRU1]]</f>
        <v>7</v>
      </c>
      <c r="AN247">
        <f t="shared" si="94"/>
        <v>0.66666666666666663</v>
      </c>
      <c r="AO247">
        <f>step3_validation[[#This Row],[AI_TRU2]]</f>
        <v>8</v>
      </c>
      <c r="AP247">
        <f t="shared" si="95"/>
        <v>0.77777777777777779</v>
      </c>
      <c r="AQ247">
        <f>survey_responses[[#This Row],[Tôi thấy mức thuế tôi phải đóng theo phương án mới là công bằng (người thu nhập như tôi đóng mức này là hợp lý). - HUMAN-TRU2]]</f>
        <v>7</v>
      </c>
      <c r="AR247">
        <f t="shared" si="96"/>
        <v>0.66666666666666663</v>
      </c>
      <c r="AS247">
        <f>step3_validation[[#This Row],[AI_TRU3]]</f>
        <v>9</v>
      </c>
      <c r="AT247">
        <f t="shared" si="97"/>
        <v>0.88888888888888884</v>
      </c>
      <c r="AU247">
        <f>survey_responses[[#This Row],[Tôi tin tưởng số tiền thuế tôi đóng sẽ được Nhà nước sử dụng hiệu quả để cải thiện dịch vụ công (y tế, đường xá...). - HUMAN-TRU3]]</f>
        <v>7</v>
      </c>
      <c r="AV247">
        <f t="shared" si="98"/>
        <v>0.66666666666666663</v>
      </c>
      <c r="AW247">
        <f>step3_validation[[#This Row],[AI_TRU4]]</f>
        <v>8</v>
      </c>
      <c r="AX247">
        <f t="shared" si="99"/>
        <v>0.77777777777777779</v>
      </c>
      <c r="AY247">
        <f>survey_responses[[#This Row],[Tôi thấy Nhà nước đã giải thích rõ ràng, minh bạch về lý do và mục tiêu của việc sửa đổi thuế lần này. - HUMAN-TRU4]]</f>
        <v>7</v>
      </c>
      <c r="AZ247">
        <f t="shared" si="100"/>
        <v>0.66666666666666663</v>
      </c>
      <c r="BA247" s="32">
        <f t="shared" si="101"/>
        <v>0.83333333333333326</v>
      </c>
      <c r="BB247" s="32">
        <f t="shared" si="102"/>
        <v>0.66666666666666663</v>
      </c>
      <c r="BC247" s="7">
        <f t="shared" si="103"/>
        <v>0.79629629629629617</v>
      </c>
      <c r="BD247" s="7">
        <f t="shared" si="104"/>
        <v>0.64814814814814803</v>
      </c>
      <c r="BE247">
        <f>step3_validation[[#This Row],[AI_OUT1]]</f>
        <v>9</v>
      </c>
      <c r="BF247">
        <f t="shared" si="105"/>
        <v>0.88888888888888884</v>
      </c>
      <c r="BG247">
        <f>survey_responses[[#This Row],[Sau khi xem xét các quyền lợi và nghĩa vụ, bạn có ủng hộ và tuân thủ chính sách mới hiện nay? - HUMAN-OUT1]]</f>
        <v>7</v>
      </c>
      <c r="BH247">
        <f t="shared" si="106"/>
        <v>0.66666666666666663</v>
      </c>
      <c r="BI247" s="32">
        <f t="shared" si="107"/>
        <v>2</v>
      </c>
    </row>
    <row r="248" spans="1:61" x14ac:dyDescent="0.45">
      <c r="A248" s="30">
        <f>step3_validation[[#This Row],[Persona_ID]]</f>
        <v>247</v>
      </c>
      <c r="B248" s="31">
        <f>step3_validation[[#This Row],[Used_Seed]]</f>
        <v>2272</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63.194104882923128</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6</v>
      </c>
      <c r="R248">
        <f t="shared" si="81"/>
        <v>0.55555555555555558</v>
      </c>
      <c r="S248">
        <f>survey_responses[[#This Row],[Tôi tin rằng với các quy định quản lý thuế hiện nay, hành vi gian lận hoặc trốn thuế sẽ dễ dàng bị phát hiện và xử lý nghiêm. - HUMAN-ENF1]]</f>
        <v>8</v>
      </c>
      <c r="T248">
        <f t="shared" si="82"/>
        <v>0.77777777777777779</v>
      </c>
      <c r="U248">
        <f>step3_validation[[#This Row],[AI_ENF2]]</f>
        <v>7</v>
      </c>
      <c r="V248">
        <f t="shared" si="83"/>
        <v>0.66666666666666663</v>
      </c>
      <c r="W248">
        <f>survey_responses[[#This Row],[Tôi tin rằng Nhà nước, cơ quan thuế có đủ khả năng và công nghệ để phát hiện, xử lý nghiêm các hành vi trốn thuế. - HUMAN-ENF2]]</f>
        <v>8</v>
      </c>
      <c r="X248">
        <f t="shared" si="84"/>
        <v>0.77777777777777779</v>
      </c>
      <c r="Y248" s="32">
        <f t="shared" si="85"/>
        <v>0.61111111111111116</v>
      </c>
      <c r="Z248" s="32">
        <f t="shared" si="86"/>
        <v>0.77777777777777779</v>
      </c>
      <c r="AA248">
        <f>step3_validation[[#This Row],[AI_FAC1]]</f>
        <v>8</v>
      </c>
      <c r="AB248">
        <f t="shared" si="87"/>
        <v>0.77777777777777779</v>
      </c>
      <c r="AC248">
        <f>survey_responses[[#This Row],[Các thủ tục khai báo thuế VÀ/HOẶC quy trình làm việc với cơ quan thuế đơn giản, tiện lợi, nhanh chóng hơn so với trước đây. - HUMAN-FAC1]]</f>
        <v>8</v>
      </c>
      <c r="AD248">
        <f t="shared" si="88"/>
        <v>0.77777777777777779</v>
      </c>
      <c r="AE248">
        <f>step3_validation[[#This Row],[AI_FAC2]]</f>
        <v>9</v>
      </c>
      <c r="AF248">
        <f t="shared" si="89"/>
        <v>0.88888888888888884</v>
      </c>
      <c r="AG248">
        <f>survey_responses[[#This Row],[So với trước đây, tôi thấy cách tính thuế và các bậc thuế trong phương án mới đơn giản, dễ hiểu và dễ thực hiện hơn. - HUMAN-FAC2]]</f>
        <v>8</v>
      </c>
      <c r="AH248">
        <f t="shared" si="90"/>
        <v>0.77777777777777779</v>
      </c>
      <c r="AI248" s="32">
        <f t="shared" si="91"/>
        <v>0.83333333333333326</v>
      </c>
      <c r="AJ248" s="32">
        <f t="shared" si="92"/>
        <v>0.77777777777777779</v>
      </c>
      <c r="AK248">
        <f>step3_validation[[#This Row],[AI_TRU1]]</f>
        <v>7</v>
      </c>
      <c r="AL248">
        <f t="shared" si="93"/>
        <v>0.66666666666666663</v>
      </c>
      <c r="AM248">
        <f>survey_responses[[#This Row],[Tôi tin rằng Nhà nước, cơ quan thuế sẽ thực thi chính sách mới một cách khách quan, công tâm và đối xử bình đẳng với mọi người nộp thuế.  - HUMAN-TRU1]]</f>
        <v>8</v>
      </c>
      <c r="AN248">
        <f t="shared" si="94"/>
        <v>0.77777777777777779</v>
      </c>
      <c r="AO248">
        <f>step3_validation[[#This Row],[AI_TRU2]]</f>
        <v>8</v>
      </c>
      <c r="AP248">
        <f t="shared" si="95"/>
        <v>0.77777777777777779</v>
      </c>
      <c r="AQ248">
        <f>survey_responses[[#This Row],[Tôi thấy mức thuế tôi phải đóng theo phương án mới là công bằng (người thu nhập như tôi đóng mức này là hợp lý). - HUMAN-TRU2]]</f>
        <v>8</v>
      </c>
      <c r="AR248">
        <f t="shared" si="96"/>
        <v>0.77777777777777779</v>
      </c>
      <c r="AS248">
        <f>step3_validation[[#This Row],[AI_TRU3]]</f>
        <v>7</v>
      </c>
      <c r="AT248">
        <f t="shared" si="97"/>
        <v>0.66666666666666663</v>
      </c>
      <c r="AU248">
        <f>survey_responses[[#This Row],[Tôi tin tưởng số tiền thuế tôi đóng sẽ được Nhà nước sử dụng hiệu quả để cải thiện dịch vụ công (y tế, đường xá...). - HUMAN-TRU3]]</f>
        <v>8</v>
      </c>
      <c r="AV248">
        <f t="shared" si="98"/>
        <v>0.77777777777777779</v>
      </c>
      <c r="AW248">
        <f>step3_validation[[#This Row],[AI_TRU4]]</f>
        <v>6</v>
      </c>
      <c r="AX248">
        <f t="shared" si="99"/>
        <v>0.55555555555555558</v>
      </c>
      <c r="AY248">
        <f>survey_responses[[#This Row],[Tôi thấy Nhà nước đã giải thích rõ ràng, minh bạch về lý do và mục tiêu của việc sửa đổi thuế lần này. - HUMAN-TRU4]]</f>
        <v>8</v>
      </c>
      <c r="AZ248">
        <f t="shared" si="100"/>
        <v>0.77777777777777779</v>
      </c>
      <c r="BA248" s="32">
        <f t="shared" si="101"/>
        <v>0.66666666666666674</v>
      </c>
      <c r="BB248" s="32">
        <f t="shared" si="102"/>
        <v>0.77777777777777779</v>
      </c>
      <c r="BC248" s="7">
        <f t="shared" si="103"/>
        <v>0.70370370370370372</v>
      </c>
      <c r="BD248" s="7">
        <f t="shared" si="104"/>
        <v>0.77777777777777779</v>
      </c>
      <c r="BE248">
        <f>step3_validation[[#This Row],[AI_OUT1]]</f>
        <v>9</v>
      </c>
      <c r="BF248">
        <f t="shared" si="105"/>
        <v>0.88888888888888884</v>
      </c>
      <c r="BG248">
        <f>survey_responses[[#This Row],[Sau khi xem xét các quyền lợi và nghĩa vụ, bạn có ủng hộ và tuân thủ chính sách mới hiện nay? - HUMAN-OUT1]]</f>
        <v>8</v>
      </c>
      <c r="BH248">
        <f t="shared" si="106"/>
        <v>0.77777777777777779</v>
      </c>
      <c r="BI248" s="32">
        <f t="shared" si="107"/>
        <v>1</v>
      </c>
    </row>
    <row r="249" spans="1:61" x14ac:dyDescent="0.45">
      <c r="A249" s="30">
        <f>step3_validation[[#This Row],[Persona_ID]]</f>
        <v>248</v>
      </c>
      <c r="B249" s="31">
        <f>step3_validation[[#This Row],[Used_Seed]]</f>
        <v>2273</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38.630349952692882</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7</v>
      </c>
      <c r="R249">
        <f t="shared" si="81"/>
        <v>0.66666666666666663</v>
      </c>
      <c r="S249">
        <f>survey_responses[[#This Row],[Tôi tin rằng với các quy định quản lý thuế hiện nay, hành vi gian lận hoặc trốn thuế sẽ dễ dàng bị phát hiện và xử lý nghiêm. - HUMAN-ENF1]]</f>
        <v>7</v>
      </c>
      <c r="T249">
        <f t="shared" si="82"/>
        <v>0.66666666666666663</v>
      </c>
      <c r="U249">
        <f>step3_validation[[#This Row],[AI_ENF2]]</f>
        <v>8</v>
      </c>
      <c r="V249">
        <f t="shared" si="83"/>
        <v>0.77777777777777779</v>
      </c>
      <c r="W249">
        <f>survey_responses[[#This Row],[Tôi tin rằng Nhà nước, cơ quan thuế có đủ khả năng và công nghệ để phát hiện, xử lý nghiêm các hành vi trốn thuế. - HUMAN-ENF2]]</f>
        <v>7</v>
      </c>
      <c r="X249">
        <f t="shared" si="84"/>
        <v>0.66666666666666663</v>
      </c>
      <c r="Y249" s="32">
        <f t="shared" si="85"/>
        <v>0.72222222222222221</v>
      </c>
      <c r="Z249" s="32">
        <f t="shared" si="86"/>
        <v>0.66666666666666663</v>
      </c>
      <c r="AA249">
        <f>step3_validation[[#This Row],[AI_FAC1]]</f>
        <v>9</v>
      </c>
      <c r="AB249">
        <f t="shared" si="87"/>
        <v>0.88888888888888884</v>
      </c>
      <c r="AC249">
        <f>survey_responses[[#This Row],[Các thủ tục khai báo thuế VÀ/HOẶC quy trình làm việc với cơ quan thuế đơn giản, tiện lợi, nhanh chóng hơn so với trước đây. - HUMAN-FAC1]]</f>
        <v>7</v>
      </c>
      <c r="AD249">
        <f t="shared" si="88"/>
        <v>0.66666666666666663</v>
      </c>
      <c r="AE249">
        <f>step3_validation[[#This Row],[AI_FAC2]]</f>
        <v>9</v>
      </c>
      <c r="AF249">
        <f t="shared" si="89"/>
        <v>0.88888888888888884</v>
      </c>
      <c r="AG249">
        <f>survey_responses[[#This Row],[So với trước đây, tôi thấy cách tính thuế và các bậc thuế trong phương án mới đơn giản, dễ hiểu và dễ thực hiện hơn. - HUMAN-FAC2]]</f>
        <v>7</v>
      </c>
      <c r="AH249">
        <f t="shared" si="90"/>
        <v>0.66666666666666663</v>
      </c>
      <c r="AI249" s="32">
        <f t="shared" si="91"/>
        <v>0.88888888888888884</v>
      </c>
      <c r="AJ249" s="32">
        <f t="shared" si="92"/>
        <v>0.66666666666666663</v>
      </c>
      <c r="AK249">
        <f>step3_validation[[#This Row],[AI_TRU1]]</f>
        <v>8</v>
      </c>
      <c r="AL249">
        <f t="shared" si="93"/>
        <v>0.77777777777777779</v>
      </c>
      <c r="AM249">
        <f>survey_responses[[#This Row],[Tôi tin rằng Nhà nước, cơ quan thuế sẽ thực thi chính sách mới một cách khách quan, công tâm và đối xử bình đẳng với mọi người nộp thuế.  - HUMAN-TRU1]]</f>
        <v>7</v>
      </c>
      <c r="AN249">
        <f t="shared" si="94"/>
        <v>0.66666666666666663</v>
      </c>
      <c r="AO249">
        <f>step3_validation[[#This Row],[AI_TRU2]]</f>
        <v>9</v>
      </c>
      <c r="AP249">
        <f t="shared" si="95"/>
        <v>0.88888888888888884</v>
      </c>
      <c r="AQ249">
        <f>survey_responses[[#This Row],[Tôi thấy mức thuế tôi phải đóng theo phương án mới là công bằng (người thu nhập như tôi đóng mức này là hợp lý). - HUMAN-TRU2]]</f>
        <v>7</v>
      </c>
      <c r="AR249">
        <f t="shared" si="96"/>
        <v>0.66666666666666663</v>
      </c>
      <c r="AS249">
        <f>step3_validation[[#This Row],[AI_TRU3]]</f>
        <v>8</v>
      </c>
      <c r="AT249">
        <f t="shared" si="97"/>
        <v>0.77777777777777779</v>
      </c>
      <c r="AU249">
        <f>survey_responses[[#This Row],[Tôi tin tưởng số tiền thuế tôi đóng sẽ được Nhà nước sử dụng hiệu quả để cải thiện dịch vụ công (y tế, đường xá...). - HUMAN-TRU3]]</f>
        <v>7</v>
      </c>
      <c r="AV249">
        <f t="shared" si="98"/>
        <v>0.66666666666666663</v>
      </c>
      <c r="AW249">
        <f>step3_validation[[#This Row],[AI_TRU4]]</f>
        <v>7</v>
      </c>
      <c r="AX249">
        <f t="shared" si="99"/>
        <v>0.66666666666666663</v>
      </c>
      <c r="AY249">
        <f>survey_responses[[#This Row],[Tôi thấy Nhà nước đã giải thích rõ ràng, minh bạch về lý do và mục tiêu của việc sửa đổi thuế lần này. - HUMAN-TRU4]]</f>
        <v>7</v>
      </c>
      <c r="AZ249">
        <f t="shared" si="100"/>
        <v>0.66666666666666663</v>
      </c>
      <c r="BA249" s="32">
        <f t="shared" si="101"/>
        <v>0.77777777777777768</v>
      </c>
      <c r="BB249" s="32">
        <f t="shared" si="102"/>
        <v>0.66666666666666663</v>
      </c>
      <c r="BC249" s="7">
        <f t="shared" si="103"/>
        <v>0.79629629629629628</v>
      </c>
      <c r="BD249" s="7">
        <f t="shared" si="104"/>
        <v>0.66666666666666663</v>
      </c>
      <c r="BE249">
        <f>step3_validation[[#This Row],[AI_OUT1]]</f>
        <v>9</v>
      </c>
      <c r="BF249">
        <f t="shared" si="105"/>
        <v>0.88888888888888884</v>
      </c>
      <c r="BG249">
        <f>survey_responses[[#This Row],[Sau khi xem xét các quyền lợi và nghĩa vụ, bạn có ủng hộ và tuân thủ chính sách mới hiện nay? - HUMAN-OUT1]]</f>
        <v>7</v>
      </c>
      <c r="BH249">
        <f t="shared" si="106"/>
        <v>0.66666666666666663</v>
      </c>
      <c r="BI249" s="32">
        <f t="shared" si="107"/>
        <v>2</v>
      </c>
    </row>
    <row r="250" spans="1:61" x14ac:dyDescent="0.45">
      <c r="A250" s="30">
        <f>step3_validation[[#This Row],[Persona_ID]]</f>
        <v>249</v>
      </c>
      <c r="B250" s="31">
        <f>step3_validation[[#This Row],[Used_Seed]]</f>
        <v>2274</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92.724372049302261</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9</v>
      </c>
      <c r="R250">
        <f t="shared" si="81"/>
        <v>0.88888888888888884</v>
      </c>
      <c r="S250">
        <f>survey_responses[[#This Row],[Tôi tin rằng với các quy định quản lý thuế hiện nay, hành vi gian lận hoặc trốn thuế sẽ dễ dàng bị phát hiện và xử lý nghiêm. - HUMAN-ENF1]]</f>
        <v>9</v>
      </c>
      <c r="T250">
        <f t="shared" si="82"/>
        <v>0.88888888888888884</v>
      </c>
      <c r="U250">
        <f>step3_validation[[#This Row],[AI_ENF2]]</f>
        <v>8</v>
      </c>
      <c r="V250">
        <f t="shared" si="83"/>
        <v>0.77777777777777779</v>
      </c>
      <c r="W250">
        <f>survey_responses[[#This Row],[Tôi tin rằng Nhà nước, cơ quan thuế có đủ khả năng và công nghệ để phát hiện, xử lý nghiêm các hành vi trốn thuế. - HUMAN-ENF2]]</f>
        <v>9</v>
      </c>
      <c r="X250">
        <f t="shared" si="84"/>
        <v>0.88888888888888884</v>
      </c>
      <c r="Y250" s="32">
        <f t="shared" si="85"/>
        <v>0.83333333333333326</v>
      </c>
      <c r="Z250" s="32">
        <f t="shared" si="86"/>
        <v>0.88888888888888884</v>
      </c>
      <c r="AA250">
        <f>step3_validation[[#This Row],[AI_FAC1]]</f>
        <v>9</v>
      </c>
      <c r="AB250">
        <f t="shared" si="87"/>
        <v>0.88888888888888884</v>
      </c>
      <c r="AC250">
        <f>survey_responses[[#This Row],[Các thủ tục khai báo thuế VÀ/HOẶC quy trình làm việc với cơ quan thuế đơn giản, tiện lợi, nhanh chóng hơn so với trước đây. - HUMAN-FAC1]]</f>
        <v>9</v>
      </c>
      <c r="AD250">
        <f t="shared" si="88"/>
        <v>0.88888888888888884</v>
      </c>
      <c r="AE250">
        <f>step3_validation[[#This Row],[AI_FAC2]]</f>
        <v>8</v>
      </c>
      <c r="AF250">
        <f t="shared" si="89"/>
        <v>0.77777777777777779</v>
      </c>
      <c r="AG250">
        <f>survey_responses[[#This Row],[So với trước đây, tôi thấy cách tính thuế và các bậc thuế trong phương án mới đơn giản, dễ hiểu và dễ thực hiện hơn. - HUMAN-FAC2]]</f>
        <v>9</v>
      </c>
      <c r="AH250">
        <f t="shared" si="90"/>
        <v>0.88888888888888884</v>
      </c>
      <c r="AI250" s="32">
        <f t="shared" si="91"/>
        <v>0.83333333333333326</v>
      </c>
      <c r="AJ250" s="32">
        <f t="shared" si="92"/>
        <v>0.88888888888888884</v>
      </c>
      <c r="AK250">
        <f>step3_validation[[#This Row],[AI_TRU1]]</f>
        <v>9</v>
      </c>
      <c r="AL250">
        <f t="shared" si="93"/>
        <v>0.88888888888888884</v>
      </c>
      <c r="AM250">
        <f>survey_responses[[#This Row],[Tôi tin rằng Nhà nước, cơ quan thuế sẽ thực thi chính sách mới một cách khách quan, công tâm và đối xử bình đẳng với mọi người nộp thuế.  - HUMAN-TRU1]]</f>
        <v>9</v>
      </c>
      <c r="AN250">
        <f t="shared" si="94"/>
        <v>0.88888888888888884</v>
      </c>
      <c r="AO250">
        <f>step3_validation[[#This Row],[AI_TRU2]]</f>
        <v>8</v>
      </c>
      <c r="AP250">
        <f t="shared" si="95"/>
        <v>0.77777777777777779</v>
      </c>
      <c r="AQ250">
        <f>survey_responses[[#This Row],[Tôi thấy mức thuế tôi phải đóng theo phương án mới là công bằng (người thu nhập như tôi đóng mức này là hợp lý). - HUMAN-TRU2]]</f>
        <v>9</v>
      </c>
      <c r="AR250">
        <f t="shared" si="96"/>
        <v>0.88888888888888884</v>
      </c>
      <c r="AS250">
        <f>step3_validation[[#This Row],[AI_TRU3]]</f>
        <v>9</v>
      </c>
      <c r="AT250">
        <f t="shared" si="97"/>
        <v>0.88888888888888884</v>
      </c>
      <c r="AU250">
        <f>survey_responses[[#This Row],[Tôi tin tưởng số tiền thuế tôi đóng sẽ được Nhà nước sử dụng hiệu quả để cải thiện dịch vụ công (y tế, đường xá...). - HUMAN-TRU3]]</f>
        <v>9</v>
      </c>
      <c r="AV250">
        <f t="shared" si="98"/>
        <v>0.88888888888888884</v>
      </c>
      <c r="AW250">
        <f>step3_validation[[#This Row],[AI_TRU4]]</f>
        <v>8</v>
      </c>
      <c r="AX250">
        <f t="shared" si="99"/>
        <v>0.77777777777777779</v>
      </c>
      <c r="AY250">
        <f>survey_responses[[#This Row],[Tôi thấy Nhà nước đã giải thích rõ ràng, minh bạch về lý do và mục tiêu của việc sửa đổi thuế lần này. - HUMAN-TRU4]]</f>
        <v>9</v>
      </c>
      <c r="AZ250">
        <f t="shared" si="100"/>
        <v>0.88888888888888884</v>
      </c>
      <c r="BA250" s="32">
        <f t="shared" si="101"/>
        <v>0.83333333333333326</v>
      </c>
      <c r="BB250" s="32">
        <f t="shared" si="102"/>
        <v>0.88888888888888884</v>
      </c>
      <c r="BC250" s="7">
        <f t="shared" si="103"/>
        <v>0.83333333333333337</v>
      </c>
      <c r="BD250" s="7">
        <f t="shared" si="104"/>
        <v>0.88888888888888884</v>
      </c>
      <c r="BE250">
        <f>step3_validation[[#This Row],[AI_OUT1]]</f>
        <v>9</v>
      </c>
      <c r="BF250">
        <f t="shared" si="105"/>
        <v>0.88888888888888884</v>
      </c>
      <c r="BG250">
        <f>survey_responses[[#This Row],[Sau khi xem xét các quyền lợi và nghĩa vụ, bạn có ủng hộ và tuân thủ chính sách mới hiện nay? - HUMAN-OUT1]]</f>
        <v>9</v>
      </c>
      <c r="BH250">
        <f t="shared" si="106"/>
        <v>0.88888888888888884</v>
      </c>
      <c r="BI250" s="32">
        <f t="shared" si="107"/>
        <v>0</v>
      </c>
    </row>
    <row r="251" spans="1:61" x14ac:dyDescent="0.45">
      <c r="A251" s="30">
        <f>step3_validation[[#This Row],[Persona_ID]]</f>
        <v>250</v>
      </c>
      <c r="B251" s="31">
        <f>step3_validation[[#This Row],[Used_Seed]]</f>
        <v>2275</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67.086355157018815</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9</v>
      </c>
      <c r="R251">
        <f t="shared" si="81"/>
        <v>0.88888888888888884</v>
      </c>
      <c r="S251">
        <f>survey_responses[[#This Row],[Tôi tin rằng với các quy định quản lý thuế hiện nay, hành vi gian lận hoặc trốn thuế sẽ dễ dàng bị phát hiện và xử lý nghiêm. - HUMAN-ENF1]]</f>
        <v>7</v>
      </c>
      <c r="T251">
        <f t="shared" si="82"/>
        <v>0.66666666666666663</v>
      </c>
      <c r="U251">
        <f>step3_validation[[#This Row],[AI_ENF2]]</f>
        <v>8</v>
      </c>
      <c r="V251">
        <f t="shared" si="83"/>
        <v>0.77777777777777779</v>
      </c>
      <c r="W251">
        <f>survey_responses[[#This Row],[Tôi tin rằng Nhà nước, cơ quan thuế có đủ khả năng và công nghệ để phát hiện, xử lý nghiêm các hành vi trốn thuế. - HUMAN-ENF2]]</f>
        <v>6</v>
      </c>
      <c r="X251">
        <f t="shared" si="84"/>
        <v>0.55555555555555558</v>
      </c>
      <c r="Y251" s="32">
        <f t="shared" si="85"/>
        <v>0.83333333333333326</v>
      </c>
      <c r="Z251" s="32">
        <f t="shared" si="86"/>
        <v>0.61111111111111116</v>
      </c>
      <c r="AA251">
        <f>step3_validation[[#This Row],[AI_FAC1]]</f>
        <v>9</v>
      </c>
      <c r="AB251">
        <f t="shared" si="87"/>
        <v>0.88888888888888884</v>
      </c>
      <c r="AC251">
        <f>survey_responses[[#This Row],[Các thủ tục khai báo thuế VÀ/HOẶC quy trình làm việc với cơ quan thuế đơn giản, tiện lợi, nhanh chóng hơn so với trước đây. - HUMAN-FAC1]]</f>
        <v>5</v>
      </c>
      <c r="AD251">
        <f t="shared" si="88"/>
        <v>0.44444444444444442</v>
      </c>
      <c r="AE251">
        <f>step3_validation[[#This Row],[AI_FAC2]]</f>
        <v>8</v>
      </c>
      <c r="AF251">
        <f t="shared" si="89"/>
        <v>0.77777777777777779</v>
      </c>
      <c r="AG251">
        <f>survey_responses[[#This Row],[So với trước đây, tôi thấy cách tính thuế và các bậc thuế trong phương án mới đơn giản, dễ hiểu và dễ thực hiện hơn. - HUMAN-FAC2]]</f>
        <v>6</v>
      </c>
      <c r="AH251">
        <f t="shared" si="90"/>
        <v>0.55555555555555558</v>
      </c>
      <c r="AI251" s="32">
        <f t="shared" si="91"/>
        <v>0.83333333333333326</v>
      </c>
      <c r="AJ251" s="32">
        <f t="shared" si="92"/>
        <v>0.5</v>
      </c>
      <c r="AK251">
        <f>step3_validation[[#This Row],[AI_TRU1]]</f>
        <v>9</v>
      </c>
      <c r="AL251">
        <f t="shared" si="93"/>
        <v>0.88888888888888884</v>
      </c>
      <c r="AM251">
        <f>survey_responses[[#This Row],[Tôi tin rằng Nhà nước, cơ quan thuế sẽ thực thi chính sách mới một cách khách quan, công tâm và đối xử bình đẳng với mọi người nộp thuế.  - HUMAN-TRU1]]</f>
        <v>6</v>
      </c>
      <c r="AN251">
        <f t="shared" si="94"/>
        <v>0.55555555555555558</v>
      </c>
      <c r="AO251">
        <f>step3_validation[[#This Row],[AI_TRU2]]</f>
        <v>8</v>
      </c>
      <c r="AP251">
        <f t="shared" si="95"/>
        <v>0.77777777777777779</v>
      </c>
      <c r="AQ251">
        <f>survey_responses[[#This Row],[Tôi thấy mức thuế tôi phải đóng theo phương án mới là công bằng (người thu nhập như tôi đóng mức này là hợp lý). - HUMAN-TRU2]]</f>
        <v>6</v>
      </c>
      <c r="AR251">
        <f t="shared" si="96"/>
        <v>0.55555555555555558</v>
      </c>
      <c r="AS251">
        <f>step3_validation[[#This Row],[AI_TRU3]]</f>
        <v>9</v>
      </c>
      <c r="AT251">
        <f t="shared" si="97"/>
        <v>0.88888888888888884</v>
      </c>
      <c r="AU251">
        <f>survey_responses[[#This Row],[Tôi tin tưởng số tiền thuế tôi đóng sẽ được Nhà nước sử dụng hiệu quả để cải thiện dịch vụ công (y tế, đường xá...). - HUMAN-TRU3]]</f>
        <v>6</v>
      </c>
      <c r="AV251">
        <f t="shared" si="98"/>
        <v>0.55555555555555558</v>
      </c>
      <c r="AW251">
        <f>step3_validation[[#This Row],[AI_TRU4]]</f>
        <v>8</v>
      </c>
      <c r="AX251">
        <f t="shared" si="99"/>
        <v>0.77777777777777779</v>
      </c>
      <c r="AY251">
        <f>survey_responses[[#This Row],[Tôi thấy Nhà nước đã giải thích rõ ràng, minh bạch về lý do và mục tiêu của việc sửa đổi thuế lần này. - HUMAN-TRU4]]</f>
        <v>6</v>
      </c>
      <c r="AZ251">
        <f t="shared" si="100"/>
        <v>0.55555555555555558</v>
      </c>
      <c r="BA251" s="32">
        <f t="shared" si="101"/>
        <v>0.83333333333333326</v>
      </c>
      <c r="BB251" s="32">
        <f t="shared" si="102"/>
        <v>0.55555555555555558</v>
      </c>
      <c r="BC251" s="7">
        <f t="shared" si="103"/>
        <v>0.83333333333333337</v>
      </c>
      <c r="BD251" s="7">
        <f t="shared" si="104"/>
        <v>0.55555555555555558</v>
      </c>
      <c r="BE251">
        <f>step3_validation[[#This Row],[AI_OUT1]]</f>
        <v>9</v>
      </c>
      <c r="BF251">
        <f t="shared" si="105"/>
        <v>0.88888888888888884</v>
      </c>
      <c r="BG251">
        <f>survey_responses[[#This Row],[Sau khi xem xét các quyền lợi và nghĩa vụ, bạn có ủng hộ và tuân thủ chính sách mới hiện nay? - HUMAN-OUT1]]</f>
        <v>7</v>
      </c>
      <c r="BH251">
        <f t="shared" si="106"/>
        <v>0.66666666666666663</v>
      </c>
      <c r="BI251" s="32">
        <f t="shared" si="107"/>
        <v>2</v>
      </c>
    </row>
    <row r="252" spans="1:61" x14ac:dyDescent="0.45">
      <c r="A252" s="30">
        <f>step3_validation[[#This Row],[Persona_ID]]</f>
        <v>251</v>
      </c>
      <c r="B252" s="31">
        <f>step3_validation[[#This Row],[Used_Seed]]</f>
        <v>2276</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37.978933802969514</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7</v>
      </c>
      <c r="R252">
        <f t="shared" si="81"/>
        <v>0.66666666666666663</v>
      </c>
      <c r="S252">
        <f>survey_responses[[#This Row],[Tôi tin rằng với các quy định quản lý thuế hiện nay, hành vi gian lận hoặc trốn thuế sẽ dễ dàng bị phát hiện và xử lý nghiêm. - HUMAN-ENF1]]</f>
        <v>8</v>
      </c>
      <c r="T252">
        <f t="shared" si="82"/>
        <v>0.77777777777777779</v>
      </c>
      <c r="U252">
        <f>step3_validation[[#This Row],[AI_ENF2]]</f>
        <v>6</v>
      </c>
      <c r="V252">
        <f t="shared" si="83"/>
        <v>0.55555555555555558</v>
      </c>
      <c r="W252">
        <f>survey_responses[[#This Row],[Tôi tin rằng Nhà nước, cơ quan thuế có đủ khả năng và công nghệ để phát hiện, xử lý nghiêm các hành vi trốn thuế. - HUMAN-ENF2]]</f>
        <v>8</v>
      </c>
      <c r="X252">
        <f t="shared" si="84"/>
        <v>0.77777777777777779</v>
      </c>
      <c r="Y252" s="32">
        <f t="shared" si="85"/>
        <v>0.61111111111111116</v>
      </c>
      <c r="Z252" s="32">
        <f t="shared" si="86"/>
        <v>0.77777777777777779</v>
      </c>
      <c r="AA252">
        <f>step3_validation[[#This Row],[AI_FAC1]]</f>
        <v>8</v>
      </c>
      <c r="AB252">
        <f t="shared" si="87"/>
        <v>0.77777777777777779</v>
      </c>
      <c r="AC252">
        <f>survey_responses[[#This Row],[Các thủ tục khai báo thuế VÀ/HOẶC quy trình làm việc với cơ quan thuế đơn giản, tiện lợi, nhanh chóng hơn so với trước đây. - HUMAN-FAC1]]</f>
        <v>8</v>
      </c>
      <c r="AD252">
        <f t="shared" si="88"/>
        <v>0.77777777777777779</v>
      </c>
      <c r="AE252">
        <f>step3_validation[[#This Row],[AI_FAC2]]</f>
        <v>9</v>
      </c>
      <c r="AF252">
        <f t="shared" si="89"/>
        <v>0.88888888888888884</v>
      </c>
      <c r="AG252">
        <f>survey_responses[[#This Row],[So với trước đây, tôi thấy cách tính thuế và các bậc thuế trong phương án mới đơn giản, dễ hiểu và dễ thực hiện hơn. - HUMAN-FAC2]]</f>
        <v>9</v>
      </c>
      <c r="AH252">
        <f t="shared" si="90"/>
        <v>0.88888888888888884</v>
      </c>
      <c r="AI252" s="32">
        <f t="shared" si="91"/>
        <v>0.83333333333333326</v>
      </c>
      <c r="AJ252" s="32">
        <f t="shared" si="92"/>
        <v>0.83333333333333326</v>
      </c>
      <c r="AK252">
        <f>step3_validation[[#This Row],[AI_TRU1]]</f>
        <v>7</v>
      </c>
      <c r="AL252">
        <f t="shared" si="93"/>
        <v>0.66666666666666663</v>
      </c>
      <c r="AM252">
        <f>survey_responses[[#This Row],[Tôi tin rằng Nhà nước, cơ quan thuế sẽ thực thi chính sách mới một cách khách quan, công tâm và đối xử bình đẳng với mọi người nộp thuế.  - HUMAN-TRU1]]</f>
        <v>8</v>
      </c>
      <c r="AN252">
        <f t="shared" si="94"/>
        <v>0.77777777777777779</v>
      </c>
      <c r="AO252">
        <f>step3_validation[[#This Row],[AI_TRU2]]</f>
        <v>9</v>
      </c>
      <c r="AP252">
        <f t="shared" si="95"/>
        <v>0.88888888888888884</v>
      </c>
      <c r="AQ252">
        <f>survey_responses[[#This Row],[Tôi thấy mức thuế tôi phải đóng theo phương án mới là công bằng (người thu nhập như tôi đóng mức này là hợp lý). - HUMAN-TRU2]]</f>
        <v>10</v>
      </c>
      <c r="AR252">
        <f t="shared" si="96"/>
        <v>1</v>
      </c>
      <c r="AS252">
        <f>step3_validation[[#This Row],[AI_TRU3]]</f>
        <v>8</v>
      </c>
      <c r="AT252">
        <f t="shared" si="97"/>
        <v>0.77777777777777779</v>
      </c>
      <c r="AU252">
        <f>survey_responses[[#This Row],[Tôi tin tưởng số tiền thuế tôi đóng sẽ được Nhà nước sử dụng hiệu quả để cải thiện dịch vụ công (y tế, đường xá...). - HUMAN-TRU3]]</f>
        <v>7</v>
      </c>
      <c r="AV252">
        <f t="shared" si="98"/>
        <v>0.66666666666666663</v>
      </c>
      <c r="AW252">
        <f>step3_validation[[#This Row],[AI_TRU4]]</f>
        <v>7</v>
      </c>
      <c r="AX252">
        <f t="shared" si="99"/>
        <v>0.66666666666666663</v>
      </c>
      <c r="AY252">
        <f>survey_responses[[#This Row],[Tôi thấy Nhà nước đã giải thích rõ ràng, minh bạch về lý do và mục tiêu của việc sửa đổi thuế lần này. - HUMAN-TRU4]]</f>
        <v>7</v>
      </c>
      <c r="AZ252">
        <f t="shared" si="100"/>
        <v>0.66666666666666663</v>
      </c>
      <c r="BA252" s="32">
        <f t="shared" si="101"/>
        <v>0.74999999999999989</v>
      </c>
      <c r="BB252" s="32">
        <f t="shared" si="102"/>
        <v>0.77777777777777768</v>
      </c>
      <c r="BC252" s="7">
        <f t="shared" si="103"/>
        <v>0.7314814814814814</v>
      </c>
      <c r="BD252" s="7">
        <f t="shared" si="104"/>
        <v>0.79629629629629628</v>
      </c>
      <c r="BE252">
        <f>step3_validation[[#This Row],[AI_OUT1]]</f>
        <v>8</v>
      </c>
      <c r="BF252">
        <f t="shared" si="105"/>
        <v>0.77777777777777779</v>
      </c>
      <c r="BG252">
        <f>survey_responses[[#This Row],[Sau khi xem xét các quyền lợi và nghĩa vụ, bạn có ủng hộ và tuân thủ chính sách mới hiện nay? - HUMAN-OUT1]]</f>
        <v>10</v>
      </c>
      <c r="BH252">
        <f t="shared" si="106"/>
        <v>1</v>
      </c>
      <c r="BI252" s="32">
        <f t="shared" si="107"/>
        <v>2</v>
      </c>
    </row>
    <row r="253" spans="1:61" x14ac:dyDescent="0.45">
      <c r="A253" s="30">
        <f>step3_validation[[#This Row],[Persona_ID]]</f>
        <v>252</v>
      </c>
      <c r="B253" s="31">
        <f>step3_validation[[#This Row],[Used_Seed]]</f>
        <v>2277</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68.388741481585825</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7</v>
      </c>
      <c r="R253">
        <f t="shared" si="81"/>
        <v>0.66666666666666663</v>
      </c>
      <c r="S253">
        <f>survey_responses[[#This Row],[Tôi tin rằng với các quy định quản lý thuế hiện nay, hành vi gian lận hoặc trốn thuế sẽ dễ dàng bị phát hiện và xử lý nghiêm. - HUMAN-ENF1]]</f>
        <v>6</v>
      </c>
      <c r="T253">
        <f t="shared" si="82"/>
        <v>0.55555555555555558</v>
      </c>
      <c r="U253">
        <f>step3_validation[[#This Row],[AI_ENF2]]</f>
        <v>8</v>
      </c>
      <c r="V253">
        <f t="shared" si="83"/>
        <v>0.77777777777777779</v>
      </c>
      <c r="W253">
        <f>survey_responses[[#This Row],[Tôi tin rằng Nhà nước, cơ quan thuế có đủ khả năng và công nghệ để phát hiện, xử lý nghiêm các hành vi trốn thuế. - HUMAN-ENF2]]</f>
        <v>6</v>
      </c>
      <c r="X253">
        <f t="shared" si="84"/>
        <v>0.55555555555555558</v>
      </c>
      <c r="Y253" s="32">
        <f t="shared" si="85"/>
        <v>0.72222222222222221</v>
      </c>
      <c r="Z253" s="32">
        <f t="shared" si="86"/>
        <v>0.55555555555555558</v>
      </c>
      <c r="AA253">
        <f>step3_validation[[#This Row],[AI_FAC1]]</f>
        <v>9</v>
      </c>
      <c r="AB253">
        <f t="shared" si="87"/>
        <v>0.88888888888888884</v>
      </c>
      <c r="AC253">
        <f>survey_responses[[#This Row],[Các thủ tục khai báo thuế VÀ/HOẶC quy trình làm việc với cơ quan thuế đơn giản, tiện lợi, nhanh chóng hơn so với trước đây. - HUMAN-FAC1]]</f>
        <v>1</v>
      </c>
      <c r="AD253">
        <f t="shared" si="88"/>
        <v>0</v>
      </c>
      <c r="AE253">
        <f>step3_validation[[#This Row],[AI_FAC2]]</f>
        <v>10</v>
      </c>
      <c r="AF253">
        <f t="shared" si="89"/>
        <v>1</v>
      </c>
      <c r="AG253">
        <f>survey_responses[[#This Row],[So với trước đây, tôi thấy cách tính thuế và các bậc thuế trong phương án mới đơn giản, dễ hiểu và dễ thực hiện hơn. - HUMAN-FAC2]]</f>
        <v>6</v>
      </c>
      <c r="AH253">
        <f t="shared" si="90"/>
        <v>0.55555555555555558</v>
      </c>
      <c r="AI253" s="32">
        <f t="shared" si="91"/>
        <v>0.94444444444444442</v>
      </c>
      <c r="AJ253" s="32">
        <f t="shared" si="92"/>
        <v>0.27777777777777779</v>
      </c>
      <c r="AK253">
        <f>step3_validation[[#This Row],[AI_TRU1]]</f>
        <v>7</v>
      </c>
      <c r="AL253">
        <f t="shared" si="93"/>
        <v>0.66666666666666663</v>
      </c>
      <c r="AM253">
        <f>survey_responses[[#This Row],[Tôi tin rằng Nhà nước, cơ quan thuế sẽ thực thi chính sách mới một cách khách quan, công tâm và đối xử bình đẳng với mọi người nộp thuế.  - HUMAN-TRU1]]</f>
        <v>5</v>
      </c>
      <c r="AN253">
        <f t="shared" si="94"/>
        <v>0.44444444444444442</v>
      </c>
      <c r="AO253">
        <f>step3_validation[[#This Row],[AI_TRU2]]</f>
        <v>9</v>
      </c>
      <c r="AP253">
        <f t="shared" si="95"/>
        <v>0.88888888888888884</v>
      </c>
      <c r="AQ253">
        <f>survey_responses[[#This Row],[Tôi thấy mức thuế tôi phải đóng theo phương án mới là công bằng (người thu nhập như tôi đóng mức này là hợp lý). - HUMAN-TRU2]]</f>
        <v>6</v>
      </c>
      <c r="AR253">
        <f t="shared" si="96"/>
        <v>0.55555555555555558</v>
      </c>
      <c r="AS253">
        <f>step3_validation[[#This Row],[AI_TRU3]]</f>
        <v>8</v>
      </c>
      <c r="AT253">
        <f t="shared" si="97"/>
        <v>0.77777777777777779</v>
      </c>
      <c r="AU253">
        <f>survey_responses[[#This Row],[Tôi tin tưởng số tiền thuế tôi đóng sẽ được Nhà nước sử dụng hiệu quả để cải thiện dịch vụ công (y tế, đường xá...). - HUMAN-TRU3]]</f>
        <v>6</v>
      </c>
      <c r="AV253">
        <f t="shared" si="98"/>
        <v>0.55555555555555558</v>
      </c>
      <c r="AW253">
        <f>step3_validation[[#This Row],[AI_TRU4]]</f>
        <v>9</v>
      </c>
      <c r="AX253">
        <f t="shared" si="99"/>
        <v>0.88888888888888884</v>
      </c>
      <c r="AY253">
        <f>survey_responses[[#This Row],[Tôi thấy Nhà nước đã giải thích rõ ràng, minh bạch về lý do và mục tiêu của việc sửa đổi thuế lần này. - HUMAN-TRU4]]</f>
        <v>6</v>
      </c>
      <c r="AZ253">
        <f t="shared" si="100"/>
        <v>0.55555555555555558</v>
      </c>
      <c r="BA253" s="32">
        <f t="shared" si="101"/>
        <v>0.80555555555555547</v>
      </c>
      <c r="BB253" s="32">
        <f t="shared" si="102"/>
        <v>0.52777777777777779</v>
      </c>
      <c r="BC253" s="7">
        <f t="shared" si="103"/>
        <v>0.82407407407407396</v>
      </c>
      <c r="BD253" s="7">
        <f t="shared" si="104"/>
        <v>0.45370370370370372</v>
      </c>
      <c r="BE253">
        <f>step3_validation[[#This Row],[AI_OUT1]]</f>
        <v>9</v>
      </c>
      <c r="BF253">
        <f t="shared" si="105"/>
        <v>0.88888888888888884</v>
      </c>
      <c r="BG253">
        <f>survey_responses[[#This Row],[Sau khi xem xét các quyền lợi và nghĩa vụ, bạn có ủng hộ và tuân thủ chính sách mới hiện nay? - HUMAN-OUT1]]</f>
        <v>6</v>
      </c>
      <c r="BH253">
        <f t="shared" si="106"/>
        <v>0.55555555555555558</v>
      </c>
      <c r="BI253" s="32">
        <f t="shared" si="107"/>
        <v>3</v>
      </c>
    </row>
    <row r="254" spans="1:61" x14ac:dyDescent="0.45">
      <c r="A254" s="30">
        <f>step3_validation[[#This Row],[Persona_ID]]</f>
        <v>253</v>
      </c>
      <c r="B254" s="31">
        <f>step3_validation[[#This Row],[Used_Seed]]</f>
        <v>2278</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93.11240041634484</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7</v>
      </c>
      <c r="R254">
        <f t="shared" si="81"/>
        <v>0.66666666666666663</v>
      </c>
      <c r="S254">
        <f>survey_responses[[#This Row],[Tôi tin rằng với các quy định quản lý thuế hiện nay, hành vi gian lận hoặc trốn thuế sẽ dễ dàng bị phát hiện và xử lý nghiêm. - HUMAN-ENF1]]</f>
        <v>8</v>
      </c>
      <c r="T254">
        <f t="shared" si="82"/>
        <v>0.77777777777777779</v>
      </c>
      <c r="U254">
        <f>step3_validation[[#This Row],[AI_ENF2]]</f>
        <v>8</v>
      </c>
      <c r="V254">
        <f t="shared" si="83"/>
        <v>0.77777777777777779</v>
      </c>
      <c r="W254">
        <f>survey_responses[[#This Row],[Tôi tin rằng Nhà nước, cơ quan thuế có đủ khả năng và công nghệ để phát hiện, xử lý nghiêm các hành vi trốn thuế. - HUMAN-ENF2]]</f>
        <v>8</v>
      </c>
      <c r="X254">
        <f t="shared" si="84"/>
        <v>0.77777777777777779</v>
      </c>
      <c r="Y254" s="32">
        <f t="shared" si="85"/>
        <v>0.72222222222222221</v>
      </c>
      <c r="Z254" s="32">
        <f t="shared" si="86"/>
        <v>0.77777777777777779</v>
      </c>
      <c r="AA254">
        <f>step3_validation[[#This Row],[AI_FAC1]]</f>
        <v>9</v>
      </c>
      <c r="AB254">
        <f t="shared" si="87"/>
        <v>0.88888888888888884</v>
      </c>
      <c r="AC254">
        <f>survey_responses[[#This Row],[Các thủ tục khai báo thuế VÀ/HOẶC quy trình làm việc với cơ quan thuế đơn giản, tiện lợi, nhanh chóng hơn so với trước đây. - HUMAN-FAC1]]</f>
        <v>3</v>
      </c>
      <c r="AD254">
        <f t="shared" si="88"/>
        <v>0.22222222222222221</v>
      </c>
      <c r="AE254">
        <f>step3_validation[[#This Row],[AI_FAC2]]</f>
        <v>9</v>
      </c>
      <c r="AF254">
        <f t="shared" si="89"/>
        <v>0.88888888888888884</v>
      </c>
      <c r="AG254">
        <f>survey_responses[[#This Row],[So với trước đây, tôi thấy cách tính thuế và các bậc thuế trong phương án mới đơn giản, dễ hiểu và dễ thực hiện hơn. - HUMAN-FAC2]]</f>
        <v>9</v>
      </c>
      <c r="AH254">
        <f t="shared" si="90"/>
        <v>0.88888888888888884</v>
      </c>
      <c r="AI254" s="32">
        <f t="shared" si="91"/>
        <v>0.88888888888888884</v>
      </c>
      <c r="AJ254" s="32">
        <f t="shared" si="92"/>
        <v>0.55555555555555558</v>
      </c>
      <c r="AK254">
        <f>step3_validation[[#This Row],[AI_TRU1]]</f>
        <v>8</v>
      </c>
      <c r="AL254">
        <f t="shared" si="93"/>
        <v>0.77777777777777779</v>
      </c>
      <c r="AM254">
        <f>survey_responses[[#This Row],[Tôi tin rằng Nhà nước, cơ quan thuế sẽ thực thi chính sách mới một cách khách quan, công tâm và đối xử bình đẳng với mọi người nộp thuế.  - HUMAN-TRU1]]</f>
        <v>8</v>
      </c>
      <c r="AN254">
        <f t="shared" si="94"/>
        <v>0.77777777777777779</v>
      </c>
      <c r="AO254">
        <f>step3_validation[[#This Row],[AI_TRU2]]</f>
        <v>8</v>
      </c>
      <c r="AP254">
        <f t="shared" si="95"/>
        <v>0.77777777777777779</v>
      </c>
      <c r="AQ254">
        <f>survey_responses[[#This Row],[Tôi thấy mức thuế tôi phải đóng theo phương án mới là công bằng (người thu nhập như tôi đóng mức này là hợp lý). - HUMAN-TRU2]]</f>
        <v>8</v>
      </c>
      <c r="AR254">
        <f t="shared" si="96"/>
        <v>0.77777777777777779</v>
      </c>
      <c r="AS254">
        <f>step3_validation[[#This Row],[AI_TRU3]]</f>
        <v>7</v>
      </c>
      <c r="AT254">
        <f t="shared" si="97"/>
        <v>0.66666666666666663</v>
      </c>
      <c r="AU254">
        <f>survey_responses[[#This Row],[Tôi tin tưởng số tiền thuế tôi đóng sẽ được Nhà nước sử dụng hiệu quả để cải thiện dịch vụ công (y tế, đường xá...). - HUMAN-TRU3]]</f>
        <v>8</v>
      </c>
      <c r="AV254">
        <f t="shared" si="98"/>
        <v>0.77777777777777779</v>
      </c>
      <c r="AW254">
        <f>step3_validation[[#This Row],[AI_TRU4]]</f>
        <v>6</v>
      </c>
      <c r="AX254">
        <f t="shared" si="99"/>
        <v>0.55555555555555558</v>
      </c>
      <c r="AY254">
        <f>survey_responses[[#This Row],[Tôi thấy Nhà nước đã giải thích rõ ràng, minh bạch về lý do và mục tiêu của việc sửa đổi thuế lần này. - HUMAN-TRU4]]</f>
        <v>8</v>
      </c>
      <c r="AZ254">
        <f t="shared" si="100"/>
        <v>0.77777777777777779</v>
      </c>
      <c r="BA254" s="32">
        <f t="shared" si="101"/>
        <v>0.69444444444444442</v>
      </c>
      <c r="BB254" s="32">
        <f t="shared" si="102"/>
        <v>0.77777777777777779</v>
      </c>
      <c r="BC254" s="7">
        <f t="shared" si="103"/>
        <v>0.76851851851851849</v>
      </c>
      <c r="BD254" s="7">
        <f t="shared" si="104"/>
        <v>0.70370370370370372</v>
      </c>
      <c r="BE254">
        <f>step3_validation[[#This Row],[AI_OUT1]]</f>
        <v>8</v>
      </c>
      <c r="BF254">
        <f t="shared" si="105"/>
        <v>0.77777777777777779</v>
      </c>
      <c r="BG254">
        <f>survey_responses[[#This Row],[Sau khi xem xét các quyền lợi và nghĩa vụ, bạn có ủng hộ và tuân thủ chính sách mới hiện nay? - HUMAN-OUT1]]</f>
        <v>8</v>
      </c>
      <c r="BH254">
        <f t="shared" si="106"/>
        <v>0.77777777777777779</v>
      </c>
      <c r="BI254" s="32">
        <f t="shared" si="107"/>
        <v>0</v>
      </c>
    </row>
    <row r="255" spans="1:61" x14ac:dyDescent="0.45">
      <c r="A255" s="30">
        <f>step3_validation[[#This Row],[Persona_ID]]</f>
        <v>254</v>
      </c>
      <c r="B255" s="31">
        <f>step3_validation[[#This Row],[Used_Seed]]</f>
        <v>2279</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88.754105105392284</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8</v>
      </c>
      <c r="R255">
        <f t="shared" si="81"/>
        <v>0.77777777777777779</v>
      </c>
      <c r="S255">
        <f>survey_responses[[#This Row],[Tôi tin rằng với các quy định quản lý thuế hiện nay, hành vi gian lận hoặc trốn thuế sẽ dễ dàng bị phát hiện và xử lý nghiêm. - HUMAN-ENF1]]</f>
        <v>4</v>
      </c>
      <c r="T255">
        <f t="shared" si="82"/>
        <v>0.33333333333333331</v>
      </c>
      <c r="U255">
        <f>step3_validation[[#This Row],[AI_ENF2]]</f>
        <v>8</v>
      </c>
      <c r="V255">
        <f t="shared" si="83"/>
        <v>0.77777777777777779</v>
      </c>
      <c r="W255">
        <f>survey_responses[[#This Row],[Tôi tin rằng Nhà nước, cơ quan thuế có đủ khả năng và công nghệ để phát hiện, xử lý nghiêm các hành vi trốn thuế. - HUMAN-ENF2]]</f>
        <v>3</v>
      </c>
      <c r="X255">
        <f t="shared" si="84"/>
        <v>0.22222222222222221</v>
      </c>
      <c r="Y255" s="32">
        <f t="shared" si="85"/>
        <v>0.77777777777777779</v>
      </c>
      <c r="Z255" s="32">
        <f t="shared" si="86"/>
        <v>0.27777777777777779</v>
      </c>
      <c r="AA255">
        <f>step3_validation[[#This Row],[AI_FAC1]]</f>
        <v>9</v>
      </c>
      <c r="AB255">
        <f t="shared" si="87"/>
        <v>0.88888888888888884</v>
      </c>
      <c r="AC255">
        <f>survey_responses[[#This Row],[Các thủ tục khai báo thuế VÀ/HOẶC quy trình làm việc với cơ quan thuế đơn giản, tiện lợi, nhanh chóng hơn so với trước đây. - HUMAN-FAC1]]</f>
        <v>1</v>
      </c>
      <c r="AD255">
        <f t="shared" si="88"/>
        <v>0</v>
      </c>
      <c r="AE255">
        <f>step3_validation[[#This Row],[AI_FAC2]]</f>
        <v>9</v>
      </c>
      <c r="AF255">
        <f t="shared" si="89"/>
        <v>0.88888888888888884</v>
      </c>
      <c r="AG255">
        <f>survey_responses[[#This Row],[So với trước đây, tôi thấy cách tính thuế và các bậc thuế trong phương án mới đơn giản, dễ hiểu và dễ thực hiện hơn. - HUMAN-FAC2]]</f>
        <v>7</v>
      </c>
      <c r="AH255">
        <f t="shared" si="90"/>
        <v>0.66666666666666663</v>
      </c>
      <c r="AI255" s="32">
        <f t="shared" si="91"/>
        <v>0.88888888888888884</v>
      </c>
      <c r="AJ255" s="32">
        <f t="shared" si="92"/>
        <v>0.33333333333333331</v>
      </c>
      <c r="AK255">
        <f>step3_validation[[#This Row],[AI_TRU1]]</f>
        <v>7</v>
      </c>
      <c r="AL255">
        <f t="shared" si="93"/>
        <v>0.66666666666666663</v>
      </c>
      <c r="AM255">
        <f>survey_responses[[#This Row],[Tôi tin rằng Nhà nước, cơ quan thuế sẽ thực thi chính sách mới một cách khách quan, công tâm và đối xử bình đẳng với mọi người nộp thuế.  - HUMAN-TRU1]]</f>
        <v>3</v>
      </c>
      <c r="AN255">
        <f t="shared" si="94"/>
        <v>0.22222222222222221</v>
      </c>
      <c r="AO255">
        <f>step3_validation[[#This Row],[AI_TRU2]]</f>
        <v>8</v>
      </c>
      <c r="AP255">
        <f t="shared" si="95"/>
        <v>0.77777777777777779</v>
      </c>
      <c r="AQ255">
        <f>survey_responses[[#This Row],[Tôi thấy mức thuế tôi phải đóng theo phương án mới là công bằng (người thu nhập như tôi đóng mức này là hợp lý). - HUMAN-TRU2]]</f>
        <v>6</v>
      </c>
      <c r="AR255">
        <f t="shared" si="96"/>
        <v>0.55555555555555558</v>
      </c>
      <c r="AS255">
        <f>step3_validation[[#This Row],[AI_TRU3]]</f>
        <v>7</v>
      </c>
      <c r="AT255">
        <f t="shared" si="97"/>
        <v>0.66666666666666663</v>
      </c>
      <c r="AU255">
        <f>survey_responses[[#This Row],[Tôi tin tưởng số tiền thuế tôi đóng sẽ được Nhà nước sử dụng hiệu quả để cải thiện dịch vụ công (y tế, đường xá...). - HUMAN-TRU3]]</f>
        <v>5</v>
      </c>
      <c r="AV255">
        <f t="shared" si="98"/>
        <v>0.44444444444444442</v>
      </c>
      <c r="AW255">
        <f>step3_validation[[#This Row],[AI_TRU4]]</f>
        <v>6</v>
      </c>
      <c r="AX255">
        <f t="shared" si="99"/>
        <v>0.55555555555555558</v>
      </c>
      <c r="AY255">
        <f>survey_responses[[#This Row],[Tôi thấy Nhà nước đã giải thích rõ ràng, minh bạch về lý do và mục tiêu của việc sửa đổi thuế lần này. - HUMAN-TRU4]]</f>
        <v>6</v>
      </c>
      <c r="AZ255">
        <f t="shared" si="100"/>
        <v>0.55555555555555558</v>
      </c>
      <c r="BA255" s="32">
        <f t="shared" si="101"/>
        <v>0.66666666666666674</v>
      </c>
      <c r="BB255" s="32">
        <f t="shared" si="102"/>
        <v>0.44444444444444448</v>
      </c>
      <c r="BC255" s="7">
        <f t="shared" si="103"/>
        <v>0.77777777777777768</v>
      </c>
      <c r="BD255" s="7">
        <f t="shared" si="104"/>
        <v>0.35185185185185186</v>
      </c>
      <c r="BE255">
        <f>step3_validation[[#This Row],[AI_OUT1]]</f>
        <v>9</v>
      </c>
      <c r="BF255">
        <f t="shared" si="105"/>
        <v>0.88888888888888884</v>
      </c>
      <c r="BG255">
        <f>survey_responses[[#This Row],[Sau khi xem xét các quyền lợi và nghĩa vụ, bạn có ủng hộ và tuân thủ chính sách mới hiện nay? - HUMAN-OUT1]]</f>
        <v>6</v>
      </c>
      <c r="BH255">
        <f t="shared" si="106"/>
        <v>0.55555555555555558</v>
      </c>
      <c r="BI255" s="32">
        <f t="shared" si="107"/>
        <v>3</v>
      </c>
    </row>
    <row r="256" spans="1:61" x14ac:dyDescent="0.45">
      <c r="A256" s="30">
        <f>step3_validation[[#This Row],[Persona_ID]]</f>
        <v>255</v>
      </c>
      <c r="B256" s="31">
        <f>step3_validation[[#This Row],[Used_Seed]]</f>
        <v>2280</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55.451391784362599</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7</v>
      </c>
      <c r="R256">
        <f t="shared" si="81"/>
        <v>0.66666666666666663</v>
      </c>
      <c r="S256">
        <f>survey_responses[[#This Row],[Tôi tin rằng với các quy định quản lý thuế hiện nay, hành vi gian lận hoặc trốn thuế sẽ dễ dàng bị phát hiện và xử lý nghiêm. - HUMAN-ENF1]]</f>
        <v>6</v>
      </c>
      <c r="T256">
        <f t="shared" si="82"/>
        <v>0.55555555555555558</v>
      </c>
      <c r="U256">
        <f>step3_validation[[#This Row],[AI_ENF2]]</f>
        <v>6</v>
      </c>
      <c r="V256">
        <f t="shared" si="83"/>
        <v>0.55555555555555558</v>
      </c>
      <c r="W256">
        <f>survey_responses[[#This Row],[Tôi tin rằng Nhà nước, cơ quan thuế có đủ khả năng và công nghệ để phát hiện, xử lý nghiêm các hành vi trốn thuế. - HUMAN-ENF2]]</f>
        <v>6</v>
      </c>
      <c r="X256">
        <f t="shared" si="84"/>
        <v>0.55555555555555558</v>
      </c>
      <c r="Y256" s="32">
        <f t="shared" si="85"/>
        <v>0.61111111111111116</v>
      </c>
      <c r="Z256" s="32">
        <f t="shared" si="86"/>
        <v>0.55555555555555558</v>
      </c>
      <c r="AA256">
        <f>step3_validation[[#This Row],[AI_FAC1]]</f>
        <v>8</v>
      </c>
      <c r="AB256">
        <f t="shared" si="87"/>
        <v>0.77777777777777779</v>
      </c>
      <c r="AC256">
        <f>survey_responses[[#This Row],[Các thủ tục khai báo thuế VÀ/HOẶC quy trình làm việc với cơ quan thuế đơn giản, tiện lợi, nhanh chóng hơn so với trước đây. - HUMAN-FAC1]]</f>
        <v>1</v>
      </c>
      <c r="AD256">
        <f t="shared" si="88"/>
        <v>0</v>
      </c>
      <c r="AE256">
        <f>step3_validation[[#This Row],[AI_FAC2]]</f>
        <v>9</v>
      </c>
      <c r="AF256">
        <f t="shared" si="89"/>
        <v>0.88888888888888884</v>
      </c>
      <c r="AG256">
        <f>survey_responses[[#This Row],[So với trước đây, tôi thấy cách tính thuế và các bậc thuế trong phương án mới đơn giản, dễ hiểu và dễ thực hiện hơn. - HUMAN-FAC2]]</f>
        <v>7</v>
      </c>
      <c r="AH256">
        <f t="shared" si="90"/>
        <v>0.66666666666666663</v>
      </c>
      <c r="AI256" s="32">
        <f t="shared" si="91"/>
        <v>0.83333333333333326</v>
      </c>
      <c r="AJ256" s="32">
        <f t="shared" si="92"/>
        <v>0.33333333333333331</v>
      </c>
      <c r="AK256">
        <f>step3_validation[[#This Row],[AI_TRU1]]</f>
        <v>7</v>
      </c>
      <c r="AL256">
        <f t="shared" si="93"/>
        <v>0.66666666666666663</v>
      </c>
      <c r="AM256">
        <f>survey_responses[[#This Row],[Tôi tin rằng Nhà nước, cơ quan thuế sẽ thực thi chính sách mới một cách khách quan, công tâm và đối xử bình đẳng với mọi người nộp thuế.  - HUMAN-TRU1]]</f>
        <v>5</v>
      </c>
      <c r="AN256">
        <f t="shared" si="94"/>
        <v>0.44444444444444442</v>
      </c>
      <c r="AO256">
        <f>step3_validation[[#This Row],[AI_TRU2]]</f>
        <v>9</v>
      </c>
      <c r="AP256">
        <f t="shared" si="95"/>
        <v>0.88888888888888884</v>
      </c>
      <c r="AQ256">
        <f>survey_responses[[#This Row],[Tôi thấy mức thuế tôi phải đóng theo phương án mới là công bằng (người thu nhập như tôi đóng mức này là hợp lý). - HUMAN-TRU2]]</f>
        <v>6</v>
      </c>
      <c r="AR256">
        <f t="shared" si="96"/>
        <v>0.55555555555555558</v>
      </c>
      <c r="AS256">
        <f>step3_validation[[#This Row],[AI_TRU3]]</f>
        <v>7</v>
      </c>
      <c r="AT256">
        <f t="shared" si="97"/>
        <v>0.66666666666666663</v>
      </c>
      <c r="AU256">
        <f>survey_responses[[#This Row],[Tôi tin tưởng số tiền thuế tôi đóng sẽ được Nhà nước sử dụng hiệu quả để cải thiện dịch vụ công (y tế, đường xá...). - HUMAN-TRU3]]</f>
        <v>6</v>
      </c>
      <c r="AV256">
        <f t="shared" si="98"/>
        <v>0.55555555555555558</v>
      </c>
      <c r="AW256">
        <f>step3_validation[[#This Row],[AI_TRU4]]</f>
        <v>8</v>
      </c>
      <c r="AX256">
        <f t="shared" si="99"/>
        <v>0.77777777777777779</v>
      </c>
      <c r="AY256">
        <f>survey_responses[[#This Row],[Tôi thấy Nhà nước đã giải thích rõ ràng, minh bạch về lý do và mục tiêu của việc sửa đổi thuế lần này. - HUMAN-TRU4]]</f>
        <v>6</v>
      </c>
      <c r="AZ256">
        <f t="shared" si="100"/>
        <v>0.55555555555555558</v>
      </c>
      <c r="BA256" s="32">
        <f t="shared" si="101"/>
        <v>0.74999999999999989</v>
      </c>
      <c r="BB256" s="32">
        <f t="shared" si="102"/>
        <v>0.52777777777777779</v>
      </c>
      <c r="BC256" s="7">
        <f t="shared" si="103"/>
        <v>0.7314814814814814</v>
      </c>
      <c r="BD256" s="7">
        <f t="shared" si="104"/>
        <v>0.47222222222222215</v>
      </c>
      <c r="BE256">
        <f>step3_validation[[#This Row],[AI_OUT1]]</f>
        <v>9</v>
      </c>
      <c r="BF256">
        <f t="shared" si="105"/>
        <v>0.88888888888888884</v>
      </c>
      <c r="BG256">
        <f>survey_responses[[#This Row],[Sau khi xem xét các quyền lợi và nghĩa vụ, bạn có ủng hộ và tuân thủ chính sách mới hiện nay? - HUMAN-OUT1]]</f>
        <v>6</v>
      </c>
      <c r="BH256">
        <f t="shared" si="106"/>
        <v>0.55555555555555558</v>
      </c>
      <c r="BI256" s="32">
        <f t="shared" si="107"/>
        <v>3</v>
      </c>
    </row>
    <row r="257" spans="1:61" x14ac:dyDescent="0.45">
      <c r="A257" s="30">
        <f>step3_validation[[#This Row],[Persona_ID]]</f>
        <v>256</v>
      </c>
      <c r="B257" s="31">
        <f>step3_validation[[#This Row],[Used_Seed]]</f>
        <v>2281</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137.91560640133088</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7</v>
      </c>
      <c r="R257">
        <f t="shared" si="81"/>
        <v>0.66666666666666663</v>
      </c>
      <c r="S257">
        <f>survey_responses[[#This Row],[Tôi tin rằng với các quy định quản lý thuế hiện nay, hành vi gian lận hoặc trốn thuế sẽ dễ dàng bị phát hiện và xử lý nghiêm. - HUMAN-ENF1]]</f>
        <v>8</v>
      </c>
      <c r="T257">
        <f t="shared" si="82"/>
        <v>0.77777777777777779</v>
      </c>
      <c r="U257">
        <f>step3_validation[[#This Row],[AI_ENF2]]</f>
        <v>8</v>
      </c>
      <c r="V257">
        <f t="shared" si="83"/>
        <v>0.77777777777777779</v>
      </c>
      <c r="W257">
        <f>survey_responses[[#This Row],[Tôi tin rằng Nhà nước, cơ quan thuế có đủ khả năng và công nghệ để phát hiện, xử lý nghiêm các hành vi trốn thuế. - HUMAN-ENF2]]</f>
        <v>8</v>
      </c>
      <c r="X257">
        <f t="shared" si="84"/>
        <v>0.77777777777777779</v>
      </c>
      <c r="Y257" s="32">
        <f t="shared" si="85"/>
        <v>0.72222222222222221</v>
      </c>
      <c r="Z257" s="32">
        <f t="shared" si="86"/>
        <v>0.77777777777777779</v>
      </c>
      <c r="AA257">
        <f>step3_validation[[#This Row],[AI_FAC1]]</f>
        <v>6</v>
      </c>
      <c r="AB257">
        <f t="shared" si="87"/>
        <v>0.55555555555555558</v>
      </c>
      <c r="AC257">
        <f>survey_responses[[#This Row],[Các thủ tục khai báo thuế VÀ/HOẶC quy trình làm việc với cơ quan thuế đơn giản, tiện lợi, nhanh chóng hơn so với trước đây. - HUMAN-FAC1]]</f>
        <v>5</v>
      </c>
      <c r="AD257">
        <f t="shared" si="88"/>
        <v>0.44444444444444442</v>
      </c>
      <c r="AE257">
        <f>step3_validation[[#This Row],[AI_FAC2]]</f>
        <v>9</v>
      </c>
      <c r="AF257">
        <f t="shared" si="89"/>
        <v>0.88888888888888884</v>
      </c>
      <c r="AG257">
        <f>survey_responses[[#This Row],[So với trước đây, tôi thấy cách tính thuế và các bậc thuế trong phương án mới đơn giản, dễ hiểu và dễ thực hiện hơn. - HUMAN-FAC2]]</f>
        <v>8</v>
      </c>
      <c r="AH257">
        <f t="shared" si="90"/>
        <v>0.77777777777777779</v>
      </c>
      <c r="AI257" s="32">
        <f t="shared" si="91"/>
        <v>0.72222222222222221</v>
      </c>
      <c r="AJ257" s="32">
        <f t="shared" si="92"/>
        <v>0.61111111111111116</v>
      </c>
      <c r="AK257">
        <f>step3_validation[[#This Row],[AI_TRU1]]</f>
        <v>7</v>
      </c>
      <c r="AL257">
        <f t="shared" si="93"/>
        <v>0.66666666666666663</v>
      </c>
      <c r="AM257">
        <f>survey_responses[[#This Row],[Tôi tin rằng Nhà nước, cơ quan thuế sẽ thực thi chính sách mới một cách khách quan, công tâm và đối xử bình đẳng với mọi người nộp thuế.  - HUMAN-TRU1]]</f>
        <v>8</v>
      </c>
      <c r="AN257">
        <f t="shared" si="94"/>
        <v>0.77777777777777779</v>
      </c>
      <c r="AO257">
        <f>step3_validation[[#This Row],[AI_TRU2]]</f>
        <v>9</v>
      </c>
      <c r="AP257">
        <f t="shared" si="95"/>
        <v>0.88888888888888884</v>
      </c>
      <c r="AQ257">
        <f>survey_responses[[#This Row],[Tôi thấy mức thuế tôi phải đóng theo phương án mới là công bằng (người thu nhập như tôi đóng mức này là hợp lý). - HUMAN-TRU2]]</f>
        <v>7</v>
      </c>
      <c r="AR257">
        <f t="shared" si="96"/>
        <v>0.66666666666666663</v>
      </c>
      <c r="AS257">
        <f>step3_validation[[#This Row],[AI_TRU3]]</f>
        <v>8</v>
      </c>
      <c r="AT257">
        <f t="shared" si="97"/>
        <v>0.77777777777777779</v>
      </c>
      <c r="AU257">
        <f>survey_responses[[#This Row],[Tôi tin tưởng số tiền thuế tôi đóng sẽ được Nhà nước sử dụng hiệu quả để cải thiện dịch vụ công (y tế, đường xá...). - HUMAN-TRU3]]</f>
        <v>7</v>
      </c>
      <c r="AV257">
        <f t="shared" si="98"/>
        <v>0.66666666666666663</v>
      </c>
      <c r="AW257">
        <f>step3_validation[[#This Row],[AI_TRU4]]</f>
        <v>7</v>
      </c>
      <c r="AX257">
        <f t="shared" si="99"/>
        <v>0.66666666666666663</v>
      </c>
      <c r="AY257">
        <f>survey_responses[[#This Row],[Tôi thấy Nhà nước đã giải thích rõ ràng, minh bạch về lý do và mục tiêu của việc sửa đổi thuế lần này. - HUMAN-TRU4]]</f>
        <v>7</v>
      </c>
      <c r="AZ257">
        <f t="shared" si="100"/>
        <v>0.66666666666666663</v>
      </c>
      <c r="BA257" s="32">
        <f t="shared" si="101"/>
        <v>0.74999999999999989</v>
      </c>
      <c r="BB257" s="32">
        <f t="shared" si="102"/>
        <v>0.69444444444444442</v>
      </c>
      <c r="BC257" s="7">
        <f t="shared" si="103"/>
        <v>0.7314814814814814</v>
      </c>
      <c r="BD257" s="7">
        <f t="shared" si="104"/>
        <v>0.69444444444444431</v>
      </c>
      <c r="BE257">
        <f>step3_validation[[#This Row],[AI_OUT1]]</f>
        <v>9</v>
      </c>
      <c r="BF257">
        <f t="shared" si="105"/>
        <v>0.88888888888888884</v>
      </c>
      <c r="BG257">
        <f>survey_responses[[#This Row],[Sau khi xem xét các quyền lợi và nghĩa vụ, bạn có ủng hộ và tuân thủ chính sách mới hiện nay? - HUMAN-OUT1]]</f>
        <v>7</v>
      </c>
      <c r="BH257">
        <f t="shared" si="106"/>
        <v>0.66666666666666663</v>
      </c>
      <c r="BI257" s="32">
        <f t="shared" si="107"/>
        <v>2</v>
      </c>
    </row>
    <row r="258" spans="1:61" x14ac:dyDescent="0.45">
      <c r="A258" s="30">
        <f>step3_validation[[#This Row],[Persona_ID]]</f>
        <v>257</v>
      </c>
      <c r="B258" s="31">
        <f>step3_validation[[#This Row],[Used_Seed]]</f>
        <v>2282</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38.004051680886214</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7</v>
      </c>
      <c r="R258">
        <f t="shared" si="81"/>
        <v>0.66666666666666663</v>
      </c>
      <c r="S258">
        <f>survey_responses[[#This Row],[Tôi tin rằng với các quy định quản lý thuế hiện nay, hành vi gian lận hoặc trốn thuế sẽ dễ dàng bị phát hiện và xử lý nghiêm. - HUMAN-ENF1]]</f>
        <v>7</v>
      </c>
      <c r="T258">
        <f t="shared" si="82"/>
        <v>0.66666666666666663</v>
      </c>
      <c r="U258">
        <f>step3_validation[[#This Row],[AI_ENF2]]</f>
        <v>7</v>
      </c>
      <c r="V258">
        <f t="shared" si="83"/>
        <v>0.66666666666666663</v>
      </c>
      <c r="W258">
        <f>survey_responses[[#This Row],[Tôi tin rằng Nhà nước, cơ quan thuế có đủ khả năng và công nghệ để phát hiện, xử lý nghiêm các hành vi trốn thuế. - HUMAN-ENF2]]</f>
        <v>8</v>
      </c>
      <c r="X258">
        <f t="shared" si="84"/>
        <v>0.77777777777777779</v>
      </c>
      <c r="Y258" s="32">
        <f t="shared" si="85"/>
        <v>0.66666666666666663</v>
      </c>
      <c r="Z258" s="32">
        <f t="shared" si="86"/>
        <v>0.72222222222222221</v>
      </c>
      <c r="AA258">
        <f>step3_validation[[#This Row],[AI_FAC1]]</f>
        <v>9</v>
      </c>
      <c r="AB258">
        <f t="shared" si="87"/>
        <v>0.88888888888888884</v>
      </c>
      <c r="AC258">
        <f>survey_responses[[#This Row],[Các thủ tục khai báo thuế VÀ/HOẶC quy trình làm việc với cơ quan thuế đơn giản, tiện lợi, nhanh chóng hơn so với trước đây. - HUMAN-FAC1]]</f>
        <v>4</v>
      </c>
      <c r="AD258">
        <f t="shared" si="88"/>
        <v>0.33333333333333331</v>
      </c>
      <c r="AE258">
        <f>step3_validation[[#This Row],[AI_FAC2]]</f>
        <v>8</v>
      </c>
      <c r="AF258">
        <f t="shared" si="89"/>
        <v>0.77777777777777779</v>
      </c>
      <c r="AG258">
        <f>survey_responses[[#This Row],[So với trước đây, tôi thấy cách tính thuế và các bậc thuế trong phương án mới đơn giản, dễ hiểu và dễ thực hiện hơn. - HUMAN-FAC2]]</f>
        <v>8</v>
      </c>
      <c r="AH258">
        <f t="shared" si="90"/>
        <v>0.77777777777777779</v>
      </c>
      <c r="AI258" s="32">
        <f t="shared" si="91"/>
        <v>0.83333333333333326</v>
      </c>
      <c r="AJ258" s="32">
        <f t="shared" si="92"/>
        <v>0.55555555555555558</v>
      </c>
      <c r="AK258">
        <f>step3_validation[[#This Row],[AI_TRU1]]</f>
        <v>7</v>
      </c>
      <c r="AL258">
        <f t="shared" si="93"/>
        <v>0.66666666666666663</v>
      </c>
      <c r="AM258">
        <f>survey_responses[[#This Row],[Tôi tin rằng Nhà nước, cơ quan thuế sẽ thực thi chính sách mới một cách khách quan, công tâm và đối xử bình đẳng với mọi người nộp thuế.  - HUMAN-TRU1]]</f>
        <v>5</v>
      </c>
      <c r="AN258">
        <f t="shared" si="94"/>
        <v>0.44444444444444442</v>
      </c>
      <c r="AO258">
        <f>step3_validation[[#This Row],[AI_TRU2]]</f>
        <v>8</v>
      </c>
      <c r="AP258">
        <f t="shared" si="95"/>
        <v>0.77777777777777779</v>
      </c>
      <c r="AQ258">
        <f>survey_responses[[#This Row],[Tôi thấy mức thuế tôi phải đóng theo phương án mới là công bằng (người thu nhập như tôi đóng mức này là hợp lý). - HUMAN-TRU2]]</f>
        <v>7</v>
      </c>
      <c r="AR258">
        <f t="shared" si="96"/>
        <v>0.66666666666666663</v>
      </c>
      <c r="AS258">
        <f>step3_validation[[#This Row],[AI_TRU3]]</f>
        <v>6</v>
      </c>
      <c r="AT258">
        <f t="shared" si="97"/>
        <v>0.55555555555555558</v>
      </c>
      <c r="AU258">
        <f>survey_responses[[#This Row],[Tôi tin tưởng số tiền thuế tôi đóng sẽ được Nhà nước sử dụng hiệu quả để cải thiện dịch vụ công (y tế, đường xá...). - HUMAN-TRU3]]</f>
        <v>5</v>
      </c>
      <c r="AV258">
        <f t="shared" si="98"/>
        <v>0.44444444444444442</v>
      </c>
      <c r="AW258">
        <f>step3_validation[[#This Row],[AI_TRU4]]</f>
        <v>7</v>
      </c>
      <c r="AX258">
        <f t="shared" si="99"/>
        <v>0.66666666666666663</v>
      </c>
      <c r="AY258">
        <f>survey_responses[[#This Row],[Tôi thấy Nhà nước đã giải thích rõ ràng, minh bạch về lý do và mục tiêu của việc sửa đổi thuế lần này. - HUMAN-TRU4]]</f>
        <v>6</v>
      </c>
      <c r="AZ258">
        <f t="shared" si="100"/>
        <v>0.55555555555555558</v>
      </c>
      <c r="BA258" s="32">
        <f t="shared" si="101"/>
        <v>0.66666666666666663</v>
      </c>
      <c r="BB258" s="32">
        <f t="shared" si="102"/>
        <v>0.52777777777777779</v>
      </c>
      <c r="BC258" s="7">
        <f t="shared" si="103"/>
        <v>0.72222222222222221</v>
      </c>
      <c r="BD258" s="7">
        <f t="shared" si="104"/>
        <v>0.60185185185185175</v>
      </c>
      <c r="BE258">
        <f>step3_validation[[#This Row],[AI_OUT1]]</f>
        <v>9</v>
      </c>
      <c r="BF258">
        <f t="shared" si="105"/>
        <v>0.88888888888888884</v>
      </c>
      <c r="BG258">
        <f>survey_responses[[#This Row],[Sau khi xem xét các quyền lợi và nghĩa vụ, bạn có ủng hộ và tuân thủ chính sách mới hiện nay? - HUMAN-OUT1]]</f>
        <v>6</v>
      </c>
      <c r="BH258">
        <f t="shared" si="106"/>
        <v>0.55555555555555558</v>
      </c>
      <c r="BI258" s="32">
        <f t="shared" si="107"/>
        <v>3</v>
      </c>
    </row>
    <row r="259" spans="1:61" x14ac:dyDescent="0.45">
      <c r="A259" s="30">
        <f>step3_validation[[#This Row],[Persona_ID]]</f>
        <v>258</v>
      </c>
      <c r="B259" s="31">
        <f>step3_validation[[#This Row],[Used_Seed]]</f>
        <v>2283</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63.589395489618362</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6</v>
      </c>
      <c r="R259">
        <f t="shared" ref="R259:R322" si="108">(Q259-1)/9</f>
        <v>0.55555555555555558</v>
      </c>
      <c r="S259">
        <f>survey_responses[[#This Row],[Tôi tin rằng với các quy định quản lý thuế hiện nay, hành vi gian lận hoặc trốn thuế sẽ dễ dàng bị phát hiện và xử lý nghiêm. - HUMAN-ENF1]]</f>
        <v>6</v>
      </c>
      <c r="T259">
        <f t="shared" ref="T259:T322" si="109">(S259-1)/9</f>
        <v>0.55555555555555558</v>
      </c>
      <c r="U259">
        <f>step3_validation[[#This Row],[AI_ENF2]]</f>
        <v>5</v>
      </c>
      <c r="V259">
        <f t="shared" ref="V259:V322" si="110">(U259-1)/9</f>
        <v>0.44444444444444442</v>
      </c>
      <c r="W259">
        <f>survey_responses[[#This Row],[Tôi tin rằng Nhà nước, cơ quan thuế có đủ khả năng và công nghệ để phát hiện, xử lý nghiêm các hành vi trốn thuế. - HUMAN-ENF2]]</f>
        <v>7</v>
      </c>
      <c r="X259">
        <f t="shared" ref="X259:X322" si="111">(W259-1)/9</f>
        <v>0.66666666666666663</v>
      </c>
      <c r="Y259" s="32">
        <f t="shared" ref="Y259:Y322" si="112">AVERAGE(R259,V259)</f>
        <v>0.5</v>
      </c>
      <c r="Z259" s="32">
        <f t="shared" ref="Z259:Z322" si="113">AVERAGE(T259,X259)</f>
        <v>0.61111111111111116</v>
      </c>
      <c r="AA259">
        <f>step3_validation[[#This Row],[AI_FAC1]]</f>
        <v>8</v>
      </c>
      <c r="AB259">
        <f t="shared" ref="AB259:AB322" si="114">(AA259-1)/9</f>
        <v>0.77777777777777779</v>
      </c>
      <c r="AC259">
        <f>survey_responses[[#This Row],[Các thủ tục khai báo thuế VÀ/HOẶC quy trình làm việc với cơ quan thuế đơn giản, tiện lợi, nhanh chóng hơn so với trước đây. - HUMAN-FAC1]]</f>
        <v>2</v>
      </c>
      <c r="AD259">
        <f t="shared" ref="AD259:AD322" si="115">(AC259-1)/9</f>
        <v>0.1111111111111111</v>
      </c>
      <c r="AE259">
        <f>step3_validation[[#This Row],[AI_FAC2]]</f>
        <v>7</v>
      </c>
      <c r="AF259">
        <f t="shared" ref="AF259:AF322" si="116">(AE259-1)/9</f>
        <v>0.66666666666666663</v>
      </c>
      <c r="AG259">
        <f>survey_responses[[#This Row],[So với trước đây, tôi thấy cách tính thuế và các bậc thuế trong phương án mới đơn giản, dễ hiểu và dễ thực hiện hơn. - HUMAN-FAC2]]</f>
        <v>7</v>
      </c>
      <c r="AH259">
        <f t="shared" ref="AH259:AH322" si="117">(AG259-1)/9</f>
        <v>0.66666666666666663</v>
      </c>
      <c r="AI259" s="32">
        <f t="shared" ref="AI259:AI322" si="118">AVERAGE(AB259,AF259)</f>
        <v>0.72222222222222221</v>
      </c>
      <c r="AJ259" s="32">
        <f t="shared" ref="AJ259:AJ322" si="119">AVERAGE(AD259,AH259)</f>
        <v>0.38888888888888884</v>
      </c>
      <c r="AK259">
        <f>step3_validation[[#This Row],[AI_TRU1]]</f>
        <v>9</v>
      </c>
      <c r="AL259">
        <f t="shared" ref="AL259:AL322" si="120">(AK259-1)/9</f>
        <v>0.88888888888888884</v>
      </c>
      <c r="AM259">
        <f>survey_responses[[#This Row],[Tôi tin rằng Nhà nước, cơ quan thuế sẽ thực thi chính sách mới một cách khách quan, công tâm và đối xử bình đẳng với mọi người nộp thuế.  - HUMAN-TRU1]]</f>
        <v>5</v>
      </c>
      <c r="AN259">
        <f t="shared" ref="AN259:AN322" si="121">(AM259-1)/9</f>
        <v>0.44444444444444442</v>
      </c>
      <c r="AO259">
        <f>step3_validation[[#This Row],[AI_TRU2]]</f>
        <v>9</v>
      </c>
      <c r="AP259">
        <f t="shared" ref="AP259:AP322" si="122">(AO259-1)/9</f>
        <v>0.88888888888888884</v>
      </c>
      <c r="AQ259">
        <f>survey_responses[[#This Row],[Tôi thấy mức thuế tôi phải đóng theo phương án mới là công bằng (người thu nhập như tôi đóng mức này là hợp lý). - HUMAN-TRU2]]</f>
        <v>5</v>
      </c>
      <c r="AR259">
        <f t="shared" ref="AR259:AR322" si="123">(AQ259-1)/9</f>
        <v>0.44444444444444442</v>
      </c>
      <c r="AS259">
        <f>step3_validation[[#This Row],[AI_TRU3]]</f>
        <v>8</v>
      </c>
      <c r="AT259">
        <f t="shared" ref="AT259:AT322" si="124">(AS259-1)/9</f>
        <v>0.77777777777777779</v>
      </c>
      <c r="AU259">
        <f>survey_responses[[#This Row],[Tôi tin tưởng số tiền thuế tôi đóng sẽ được Nhà nước sử dụng hiệu quả để cải thiện dịch vụ công (y tế, đường xá...). - HUMAN-TRU3]]</f>
        <v>5</v>
      </c>
      <c r="AV259">
        <f t="shared" ref="AV259:AV322" si="125">(AU259-1)/9</f>
        <v>0.44444444444444442</v>
      </c>
      <c r="AW259">
        <f>step3_validation[[#This Row],[AI_TRU4]]</f>
        <v>7</v>
      </c>
      <c r="AX259">
        <f t="shared" ref="AX259:AX322" si="126">(AW259-1)/9</f>
        <v>0.66666666666666663</v>
      </c>
      <c r="AY259">
        <f>survey_responses[[#This Row],[Tôi thấy Nhà nước đã giải thích rõ ràng, minh bạch về lý do và mục tiêu của việc sửa đổi thuế lần này. - HUMAN-TRU4]]</f>
        <v>6</v>
      </c>
      <c r="AZ259">
        <f t="shared" ref="AZ259:AZ322" si="127">(AY259-1)/9</f>
        <v>0.55555555555555558</v>
      </c>
      <c r="BA259" s="32">
        <f t="shared" ref="BA259:BA322" si="128">AVERAGE(AL259,AP259,AT259,AX259)</f>
        <v>0.80555555555555547</v>
      </c>
      <c r="BB259" s="32">
        <f t="shared" ref="BB259:BB322" si="129">AVERAGE(AN259,AR259,AV259,AZ259)</f>
        <v>0.47222222222222221</v>
      </c>
      <c r="BC259" s="7">
        <f t="shared" ref="BC259:BC322" si="130">(Y259+AI259+BA259)/3</f>
        <v>0.67592592592592593</v>
      </c>
      <c r="BD259" s="7">
        <f t="shared" ref="BD259:BD322" si="131">(Z259+AJ259+BB259)/3</f>
        <v>0.49074074074074076</v>
      </c>
      <c r="BE259">
        <f>step3_validation[[#This Row],[AI_OUT1]]</f>
        <v>9</v>
      </c>
      <c r="BF259">
        <f t="shared" ref="BF259:BF322" si="132">(BE259-1)/9</f>
        <v>0.88888888888888884</v>
      </c>
      <c r="BG259">
        <f>survey_responses[[#This Row],[Sau khi xem xét các quyền lợi và nghĩa vụ, bạn có ủng hộ và tuân thủ chính sách mới hiện nay? - HUMAN-OUT1]]</f>
        <v>5</v>
      </c>
      <c r="BH259">
        <f t="shared" ref="BH259:BH322" si="133">(BG259-1)/9</f>
        <v>0.44444444444444442</v>
      </c>
      <c r="BI259" s="32">
        <f t="shared" ref="BI259:BI322" si="134">ABS(BG259-BE259)</f>
        <v>4</v>
      </c>
    </row>
    <row r="260" spans="1:61" x14ac:dyDescent="0.45">
      <c r="A260" s="30">
        <f>step3_validation[[#This Row],[Persona_ID]]</f>
        <v>259</v>
      </c>
      <c r="B260" s="31">
        <f>step3_validation[[#This Row],[Used_Seed]]</f>
        <v>2284</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232.13934677245291</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7</v>
      </c>
      <c r="R260">
        <f t="shared" si="108"/>
        <v>0.66666666666666663</v>
      </c>
      <c r="S260">
        <f>survey_responses[[#This Row],[Tôi tin rằng với các quy định quản lý thuế hiện nay, hành vi gian lận hoặc trốn thuế sẽ dễ dàng bị phát hiện và xử lý nghiêm. - HUMAN-ENF1]]</f>
        <v>2</v>
      </c>
      <c r="T260">
        <f t="shared" si="109"/>
        <v>0.1111111111111111</v>
      </c>
      <c r="U260">
        <f>step3_validation[[#This Row],[AI_ENF2]]</f>
        <v>6</v>
      </c>
      <c r="V260">
        <f t="shared" si="110"/>
        <v>0.55555555555555558</v>
      </c>
      <c r="W260">
        <f>survey_responses[[#This Row],[Tôi tin rằng Nhà nước, cơ quan thuế có đủ khả năng và công nghệ để phát hiện, xử lý nghiêm các hành vi trốn thuế. - HUMAN-ENF2]]</f>
        <v>1</v>
      </c>
      <c r="X260">
        <f t="shared" si="111"/>
        <v>0</v>
      </c>
      <c r="Y260" s="32">
        <f t="shared" si="112"/>
        <v>0.61111111111111116</v>
      </c>
      <c r="Z260" s="32">
        <f t="shared" si="113"/>
        <v>5.5555555555555552E-2</v>
      </c>
      <c r="AA260">
        <f>step3_validation[[#This Row],[AI_FAC1]]</f>
        <v>9</v>
      </c>
      <c r="AB260">
        <f t="shared" si="114"/>
        <v>0.88888888888888884</v>
      </c>
      <c r="AC260">
        <f>survey_responses[[#This Row],[Các thủ tục khai báo thuế VÀ/HOẶC quy trình làm việc với cơ quan thuế đơn giản, tiện lợi, nhanh chóng hơn so với trước đây. - HUMAN-FAC1]]</f>
        <v>1</v>
      </c>
      <c r="AD260">
        <f t="shared" si="115"/>
        <v>0</v>
      </c>
      <c r="AE260">
        <f>step3_validation[[#This Row],[AI_FAC2]]</f>
        <v>8</v>
      </c>
      <c r="AF260">
        <f t="shared" si="116"/>
        <v>0.77777777777777779</v>
      </c>
      <c r="AG260">
        <f>survey_responses[[#This Row],[So với trước đây, tôi thấy cách tính thuế và các bậc thuế trong phương án mới đơn giản, dễ hiểu và dễ thực hiện hơn. - HUMAN-FAC2]]</f>
        <v>6</v>
      </c>
      <c r="AH260">
        <f t="shared" si="117"/>
        <v>0.55555555555555558</v>
      </c>
      <c r="AI260" s="32">
        <f t="shared" si="118"/>
        <v>0.83333333333333326</v>
      </c>
      <c r="AJ260" s="32">
        <f t="shared" si="119"/>
        <v>0.27777777777777779</v>
      </c>
      <c r="AK260">
        <f>step3_validation[[#This Row],[AI_TRU1]]</f>
        <v>7</v>
      </c>
      <c r="AL260">
        <f t="shared" si="120"/>
        <v>0.66666666666666663</v>
      </c>
      <c r="AM260">
        <f>survey_responses[[#This Row],[Tôi tin rằng Nhà nước, cơ quan thuế sẽ thực thi chính sách mới một cách khách quan, công tâm và đối xử bình đẳng với mọi người nộp thuế.  - HUMAN-TRU1]]</f>
        <v>2</v>
      </c>
      <c r="AN260">
        <f t="shared" si="121"/>
        <v>0.1111111111111111</v>
      </c>
      <c r="AO260">
        <f>step3_validation[[#This Row],[AI_TRU2]]</f>
        <v>9</v>
      </c>
      <c r="AP260">
        <f t="shared" si="122"/>
        <v>0.88888888888888884</v>
      </c>
      <c r="AQ260">
        <f>survey_responses[[#This Row],[Tôi thấy mức thuế tôi phải đóng theo phương án mới là công bằng (người thu nhập như tôi đóng mức này là hợp lý). - HUMAN-TRU2]]</f>
        <v>3</v>
      </c>
      <c r="AR260">
        <f t="shared" si="123"/>
        <v>0.22222222222222221</v>
      </c>
      <c r="AS260">
        <f>step3_validation[[#This Row],[AI_TRU3]]</f>
        <v>7</v>
      </c>
      <c r="AT260">
        <f t="shared" si="124"/>
        <v>0.66666666666666663</v>
      </c>
      <c r="AU260">
        <f>survey_responses[[#This Row],[Tôi tin tưởng số tiền thuế tôi đóng sẽ được Nhà nước sử dụng hiệu quả để cải thiện dịch vụ công (y tế, đường xá...). - HUMAN-TRU3]]</f>
        <v>1</v>
      </c>
      <c r="AV260">
        <f t="shared" si="125"/>
        <v>0</v>
      </c>
      <c r="AW260">
        <f>step3_validation[[#This Row],[AI_TRU4]]</f>
        <v>6</v>
      </c>
      <c r="AX260">
        <f t="shared" si="126"/>
        <v>0.55555555555555558</v>
      </c>
      <c r="AY260">
        <f>survey_responses[[#This Row],[Tôi thấy Nhà nước đã giải thích rõ ràng, minh bạch về lý do và mục tiêu của việc sửa đổi thuế lần này. - HUMAN-TRU4]]</f>
        <v>5</v>
      </c>
      <c r="AZ260">
        <f t="shared" si="127"/>
        <v>0.44444444444444442</v>
      </c>
      <c r="BA260" s="32">
        <f t="shared" si="128"/>
        <v>0.69444444444444442</v>
      </c>
      <c r="BB260" s="32">
        <f t="shared" si="129"/>
        <v>0.19444444444444442</v>
      </c>
      <c r="BC260" s="7">
        <f t="shared" si="130"/>
        <v>0.71296296296296291</v>
      </c>
      <c r="BD260" s="7">
        <f t="shared" si="131"/>
        <v>0.17592592592592593</v>
      </c>
      <c r="BE260">
        <f>step3_validation[[#This Row],[AI_OUT1]]</f>
        <v>9</v>
      </c>
      <c r="BF260">
        <f t="shared" si="132"/>
        <v>0.88888888888888884</v>
      </c>
      <c r="BG260">
        <f>survey_responses[[#This Row],[Sau khi xem xét các quyền lợi và nghĩa vụ, bạn có ủng hộ và tuân thủ chính sách mới hiện nay? - HUMAN-OUT1]]</f>
        <v>4</v>
      </c>
      <c r="BH260">
        <f t="shared" si="133"/>
        <v>0.33333333333333331</v>
      </c>
      <c r="BI260" s="32">
        <f t="shared" si="134"/>
        <v>5</v>
      </c>
    </row>
    <row r="261" spans="1:61" x14ac:dyDescent="0.45">
      <c r="A261" s="30">
        <f>step3_validation[[#This Row],[Persona_ID]]</f>
        <v>260</v>
      </c>
      <c r="B261" s="31">
        <f>step3_validation[[#This Row],[Used_Seed]]</f>
        <v>2285</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35.617338665214369</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8</v>
      </c>
      <c r="R261">
        <f t="shared" si="108"/>
        <v>0.77777777777777779</v>
      </c>
      <c r="S261">
        <f>survey_responses[[#This Row],[Tôi tin rằng với các quy định quản lý thuế hiện nay, hành vi gian lận hoặc trốn thuế sẽ dễ dàng bị phát hiện và xử lý nghiêm. - HUMAN-ENF1]]</f>
        <v>6</v>
      </c>
      <c r="T261">
        <f t="shared" si="109"/>
        <v>0.55555555555555558</v>
      </c>
      <c r="U261">
        <f>step3_validation[[#This Row],[AI_ENF2]]</f>
        <v>7</v>
      </c>
      <c r="V261">
        <f t="shared" si="110"/>
        <v>0.66666666666666663</v>
      </c>
      <c r="W261">
        <f>survey_responses[[#This Row],[Tôi tin rằng Nhà nước, cơ quan thuế có đủ khả năng và công nghệ để phát hiện, xử lý nghiêm các hành vi trốn thuế. - HUMAN-ENF2]]</f>
        <v>6</v>
      </c>
      <c r="X261">
        <f t="shared" si="111"/>
        <v>0.55555555555555558</v>
      </c>
      <c r="Y261" s="32">
        <f t="shared" si="112"/>
        <v>0.72222222222222221</v>
      </c>
      <c r="Z261" s="32">
        <f t="shared" si="113"/>
        <v>0.55555555555555558</v>
      </c>
      <c r="AA261">
        <f>step3_validation[[#This Row],[AI_FAC1]]</f>
        <v>9</v>
      </c>
      <c r="AB261">
        <f t="shared" si="114"/>
        <v>0.88888888888888884</v>
      </c>
      <c r="AC261">
        <f>survey_responses[[#This Row],[Các thủ tục khai báo thuế VÀ/HOẶC quy trình làm việc với cơ quan thuế đơn giản, tiện lợi, nhanh chóng hơn so với trước đây. - HUMAN-FAC1]]</f>
        <v>7</v>
      </c>
      <c r="AD261">
        <f t="shared" si="115"/>
        <v>0.66666666666666663</v>
      </c>
      <c r="AE261">
        <f>step3_validation[[#This Row],[AI_FAC2]]</f>
        <v>8</v>
      </c>
      <c r="AF261">
        <f t="shared" si="116"/>
        <v>0.77777777777777779</v>
      </c>
      <c r="AG261">
        <f>survey_responses[[#This Row],[So với trước đây, tôi thấy cách tính thuế và các bậc thuế trong phương án mới đơn giản, dễ hiểu và dễ thực hiện hơn. - HUMAN-FAC2]]</f>
        <v>6</v>
      </c>
      <c r="AH261">
        <f t="shared" si="117"/>
        <v>0.55555555555555558</v>
      </c>
      <c r="AI261" s="32">
        <f t="shared" si="118"/>
        <v>0.83333333333333326</v>
      </c>
      <c r="AJ261" s="32">
        <f t="shared" si="119"/>
        <v>0.61111111111111116</v>
      </c>
      <c r="AK261">
        <f>step3_validation[[#This Row],[AI_TRU1]]</f>
        <v>9</v>
      </c>
      <c r="AL261">
        <f t="shared" si="120"/>
        <v>0.88888888888888884</v>
      </c>
      <c r="AM261">
        <f>survey_responses[[#This Row],[Tôi tin rằng Nhà nước, cơ quan thuế sẽ thực thi chính sách mới một cách khách quan, công tâm và đối xử bình đẳng với mọi người nộp thuế.  - HUMAN-TRU1]]</f>
        <v>5</v>
      </c>
      <c r="AN261">
        <f t="shared" si="121"/>
        <v>0.44444444444444442</v>
      </c>
      <c r="AO261">
        <f>step3_validation[[#This Row],[AI_TRU2]]</f>
        <v>8</v>
      </c>
      <c r="AP261">
        <f t="shared" si="122"/>
        <v>0.77777777777777779</v>
      </c>
      <c r="AQ261">
        <f>survey_responses[[#This Row],[Tôi thấy mức thuế tôi phải đóng theo phương án mới là công bằng (người thu nhập như tôi đóng mức này là hợp lý). - HUMAN-TRU2]]</f>
        <v>6</v>
      </c>
      <c r="AR261">
        <f t="shared" si="123"/>
        <v>0.55555555555555558</v>
      </c>
      <c r="AS261">
        <f>step3_validation[[#This Row],[AI_TRU3]]</f>
        <v>9</v>
      </c>
      <c r="AT261">
        <f t="shared" si="124"/>
        <v>0.88888888888888884</v>
      </c>
      <c r="AU261">
        <f>survey_responses[[#This Row],[Tôi tin tưởng số tiền thuế tôi đóng sẽ được Nhà nước sử dụng hiệu quả để cải thiện dịch vụ công (y tế, đường xá...). - HUMAN-TRU3]]</f>
        <v>5</v>
      </c>
      <c r="AV261">
        <f t="shared" si="125"/>
        <v>0.44444444444444442</v>
      </c>
      <c r="AW261">
        <f>step3_validation[[#This Row],[AI_TRU4]]</f>
        <v>7</v>
      </c>
      <c r="AX261">
        <f t="shared" si="126"/>
        <v>0.66666666666666663</v>
      </c>
      <c r="AY261">
        <f>survey_responses[[#This Row],[Tôi thấy Nhà nước đã giải thích rõ ràng, minh bạch về lý do và mục tiêu của việc sửa đổi thuế lần này. - HUMAN-TRU4]]</f>
        <v>6</v>
      </c>
      <c r="AZ261">
        <f t="shared" si="127"/>
        <v>0.55555555555555558</v>
      </c>
      <c r="BA261" s="32">
        <f t="shared" si="128"/>
        <v>0.80555555555555547</v>
      </c>
      <c r="BB261" s="32">
        <f t="shared" si="129"/>
        <v>0.5</v>
      </c>
      <c r="BC261" s="7">
        <f t="shared" si="130"/>
        <v>0.78703703703703687</v>
      </c>
      <c r="BD261" s="7">
        <f t="shared" si="131"/>
        <v>0.55555555555555558</v>
      </c>
      <c r="BE261">
        <f>step3_validation[[#This Row],[AI_OUT1]]</f>
        <v>8</v>
      </c>
      <c r="BF261">
        <f t="shared" si="132"/>
        <v>0.77777777777777779</v>
      </c>
      <c r="BG261">
        <f>survey_responses[[#This Row],[Sau khi xem xét các quyền lợi và nghĩa vụ, bạn có ủng hộ và tuân thủ chính sách mới hiện nay? - HUMAN-OUT1]]</f>
        <v>6</v>
      </c>
      <c r="BH261">
        <f t="shared" si="133"/>
        <v>0.55555555555555558</v>
      </c>
      <c r="BI261" s="32">
        <f t="shared" si="134"/>
        <v>2</v>
      </c>
    </row>
    <row r="262" spans="1:61" x14ac:dyDescent="0.45">
      <c r="A262" s="30">
        <f>step3_validation[[#This Row],[Persona_ID]]</f>
        <v>261</v>
      </c>
      <c r="B262" s="31">
        <f>step3_validation[[#This Row],[Used_Seed]]</f>
        <v>2286</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33.97602373354075</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7</v>
      </c>
      <c r="R262">
        <f t="shared" si="108"/>
        <v>0.66666666666666663</v>
      </c>
      <c r="S262">
        <f>survey_responses[[#This Row],[Tôi tin rằng với các quy định quản lý thuế hiện nay, hành vi gian lận hoặc trốn thuế sẽ dễ dàng bị phát hiện và xử lý nghiêm. - HUMAN-ENF1]]</f>
        <v>6</v>
      </c>
      <c r="T262">
        <f t="shared" si="109"/>
        <v>0.55555555555555558</v>
      </c>
      <c r="U262">
        <f>step3_validation[[#This Row],[AI_ENF2]]</f>
        <v>6</v>
      </c>
      <c r="V262">
        <f t="shared" si="110"/>
        <v>0.55555555555555558</v>
      </c>
      <c r="W262">
        <f>survey_responses[[#This Row],[Tôi tin rằng Nhà nước, cơ quan thuế có đủ khả năng và công nghệ để phát hiện, xử lý nghiêm các hành vi trốn thuế. - HUMAN-ENF2]]</f>
        <v>7</v>
      </c>
      <c r="X262">
        <f t="shared" si="111"/>
        <v>0.66666666666666663</v>
      </c>
      <c r="Y262" s="32">
        <f t="shared" si="112"/>
        <v>0.61111111111111116</v>
      </c>
      <c r="Z262" s="32">
        <f t="shared" si="113"/>
        <v>0.61111111111111116</v>
      </c>
      <c r="AA262">
        <f>step3_validation[[#This Row],[AI_FAC1]]</f>
        <v>9</v>
      </c>
      <c r="AB262">
        <f t="shared" si="114"/>
        <v>0.88888888888888884</v>
      </c>
      <c r="AC262">
        <f>survey_responses[[#This Row],[Các thủ tục khai báo thuế VÀ/HOẶC quy trình làm việc với cơ quan thuế đơn giản, tiện lợi, nhanh chóng hơn so với trước đây. - HUMAN-FAC1]]</f>
        <v>1</v>
      </c>
      <c r="AD262">
        <f t="shared" si="115"/>
        <v>0</v>
      </c>
      <c r="AE262">
        <f>step3_validation[[#This Row],[AI_FAC2]]</f>
        <v>8</v>
      </c>
      <c r="AF262">
        <f t="shared" si="116"/>
        <v>0.77777777777777779</v>
      </c>
      <c r="AG262">
        <f>survey_responses[[#This Row],[So với trước đây, tôi thấy cách tính thuế và các bậc thuế trong phương án mới đơn giản, dễ hiểu và dễ thực hiện hơn. - HUMAN-FAC2]]</f>
        <v>9</v>
      </c>
      <c r="AH262">
        <f t="shared" si="117"/>
        <v>0.88888888888888884</v>
      </c>
      <c r="AI262" s="32">
        <f t="shared" si="118"/>
        <v>0.83333333333333326</v>
      </c>
      <c r="AJ262" s="32">
        <f t="shared" si="119"/>
        <v>0.44444444444444442</v>
      </c>
      <c r="AK262">
        <f>step3_validation[[#This Row],[AI_TRU1]]</f>
        <v>7</v>
      </c>
      <c r="AL262">
        <f t="shared" si="120"/>
        <v>0.66666666666666663</v>
      </c>
      <c r="AM262">
        <f>survey_responses[[#This Row],[Tôi tin rằng Nhà nước, cơ quan thuế sẽ thực thi chính sách mới một cách khách quan, công tâm và đối xử bình đẳng với mọi người nộp thuế.  - HUMAN-TRU1]]</f>
        <v>5</v>
      </c>
      <c r="AN262">
        <f t="shared" si="121"/>
        <v>0.44444444444444442</v>
      </c>
      <c r="AO262">
        <f>step3_validation[[#This Row],[AI_TRU2]]</f>
        <v>9</v>
      </c>
      <c r="AP262">
        <f t="shared" si="122"/>
        <v>0.88888888888888884</v>
      </c>
      <c r="AQ262">
        <f>survey_responses[[#This Row],[Tôi thấy mức thuế tôi phải đóng theo phương án mới là công bằng (người thu nhập như tôi đóng mức này là hợp lý). - HUMAN-TRU2]]</f>
        <v>4</v>
      </c>
      <c r="AR262">
        <f t="shared" si="123"/>
        <v>0.33333333333333331</v>
      </c>
      <c r="AS262">
        <f>step3_validation[[#This Row],[AI_TRU3]]</f>
        <v>8</v>
      </c>
      <c r="AT262">
        <f t="shared" si="124"/>
        <v>0.77777777777777779</v>
      </c>
      <c r="AU262">
        <f>survey_responses[[#This Row],[Tôi tin tưởng số tiền thuế tôi đóng sẽ được Nhà nước sử dụng hiệu quả để cải thiện dịch vụ công (y tế, đường xá...). - HUMAN-TRU3]]</f>
        <v>4</v>
      </c>
      <c r="AV262">
        <f t="shared" si="125"/>
        <v>0.33333333333333331</v>
      </c>
      <c r="AW262">
        <f>step3_validation[[#This Row],[AI_TRU4]]</f>
        <v>7</v>
      </c>
      <c r="AX262">
        <f t="shared" si="126"/>
        <v>0.66666666666666663</v>
      </c>
      <c r="AY262">
        <f>survey_responses[[#This Row],[Tôi thấy Nhà nước đã giải thích rõ ràng, minh bạch về lý do và mục tiêu của việc sửa đổi thuế lần này. - HUMAN-TRU4]]</f>
        <v>5</v>
      </c>
      <c r="AZ262">
        <f t="shared" si="127"/>
        <v>0.44444444444444442</v>
      </c>
      <c r="BA262" s="32">
        <f t="shared" si="128"/>
        <v>0.74999999999999989</v>
      </c>
      <c r="BB262" s="32">
        <f t="shared" si="129"/>
        <v>0.38888888888888884</v>
      </c>
      <c r="BC262" s="7">
        <f t="shared" si="130"/>
        <v>0.7314814814814814</v>
      </c>
      <c r="BD262" s="7">
        <f t="shared" si="131"/>
        <v>0.48148148148148145</v>
      </c>
      <c r="BE262">
        <f>step3_validation[[#This Row],[AI_OUT1]]</f>
        <v>9</v>
      </c>
      <c r="BF262">
        <f t="shared" si="132"/>
        <v>0.88888888888888884</v>
      </c>
      <c r="BG262">
        <f>survey_responses[[#This Row],[Sau khi xem xét các quyền lợi và nghĩa vụ, bạn có ủng hộ và tuân thủ chính sách mới hiện nay? - HUMAN-OUT1]]</f>
        <v>5</v>
      </c>
      <c r="BH262">
        <f t="shared" si="133"/>
        <v>0.44444444444444442</v>
      </c>
      <c r="BI262" s="32">
        <f t="shared" si="134"/>
        <v>4</v>
      </c>
    </row>
    <row r="263" spans="1:61" x14ac:dyDescent="0.45">
      <c r="A263" s="30">
        <f>step3_validation[[#This Row],[Persona_ID]]</f>
        <v>262</v>
      </c>
      <c r="B263" s="31">
        <f>step3_validation[[#This Row],[Used_Seed]]</f>
        <v>2287</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48.27742925304392</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7</v>
      </c>
      <c r="R263">
        <f t="shared" si="108"/>
        <v>0.66666666666666663</v>
      </c>
      <c r="S263">
        <f>survey_responses[[#This Row],[Tôi tin rằng với các quy định quản lý thuế hiện nay, hành vi gian lận hoặc trốn thuế sẽ dễ dàng bị phát hiện và xử lý nghiêm. - HUMAN-ENF1]]</f>
        <v>9</v>
      </c>
      <c r="T263">
        <f t="shared" si="109"/>
        <v>0.88888888888888884</v>
      </c>
      <c r="U263">
        <f>step3_validation[[#This Row],[AI_ENF2]]</f>
        <v>6</v>
      </c>
      <c r="V263">
        <f t="shared" si="110"/>
        <v>0.55555555555555558</v>
      </c>
      <c r="W263">
        <f>survey_responses[[#This Row],[Tôi tin rằng Nhà nước, cơ quan thuế có đủ khả năng và công nghệ để phát hiện, xử lý nghiêm các hành vi trốn thuế. - HUMAN-ENF2]]</f>
        <v>9</v>
      </c>
      <c r="X263">
        <f t="shared" si="111"/>
        <v>0.88888888888888884</v>
      </c>
      <c r="Y263" s="32">
        <f t="shared" si="112"/>
        <v>0.61111111111111116</v>
      </c>
      <c r="Z263" s="32">
        <f t="shared" si="113"/>
        <v>0.88888888888888884</v>
      </c>
      <c r="AA263">
        <f>step3_validation[[#This Row],[AI_FAC1]]</f>
        <v>8</v>
      </c>
      <c r="AB263">
        <f t="shared" si="114"/>
        <v>0.77777777777777779</v>
      </c>
      <c r="AC263">
        <f>survey_responses[[#This Row],[Các thủ tục khai báo thuế VÀ/HOẶC quy trình làm việc với cơ quan thuế đơn giản, tiện lợi, nhanh chóng hơn so với trước đây. - HUMAN-FAC1]]</f>
        <v>8</v>
      </c>
      <c r="AD263">
        <f t="shared" si="115"/>
        <v>0.77777777777777779</v>
      </c>
      <c r="AE263">
        <f>step3_validation[[#This Row],[AI_FAC2]]</f>
        <v>5</v>
      </c>
      <c r="AF263">
        <f t="shared" si="116"/>
        <v>0.44444444444444442</v>
      </c>
      <c r="AG263">
        <f>survey_responses[[#This Row],[So với trước đây, tôi thấy cách tính thuế và các bậc thuế trong phương án mới đơn giản, dễ hiểu và dễ thực hiện hơn. - HUMAN-FAC2]]</f>
        <v>9</v>
      </c>
      <c r="AH263">
        <f t="shared" si="117"/>
        <v>0.88888888888888884</v>
      </c>
      <c r="AI263" s="32">
        <f t="shared" si="118"/>
        <v>0.61111111111111116</v>
      </c>
      <c r="AJ263" s="32">
        <f t="shared" si="119"/>
        <v>0.83333333333333326</v>
      </c>
      <c r="AK263">
        <f>step3_validation[[#This Row],[AI_TRU1]]</f>
        <v>7</v>
      </c>
      <c r="AL263">
        <f t="shared" si="120"/>
        <v>0.66666666666666663</v>
      </c>
      <c r="AM263">
        <f>survey_responses[[#This Row],[Tôi tin rằng Nhà nước, cơ quan thuế sẽ thực thi chính sách mới một cách khách quan, công tâm và đối xử bình đẳng với mọi người nộp thuế.  - HUMAN-TRU1]]</f>
        <v>8</v>
      </c>
      <c r="AN263">
        <f t="shared" si="121"/>
        <v>0.77777777777777779</v>
      </c>
      <c r="AO263">
        <f>step3_validation[[#This Row],[AI_TRU2]]</f>
        <v>9</v>
      </c>
      <c r="AP263">
        <f t="shared" si="122"/>
        <v>0.88888888888888884</v>
      </c>
      <c r="AQ263">
        <f>survey_responses[[#This Row],[Tôi thấy mức thuế tôi phải đóng theo phương án mới là công bằng (người thu nhập như tôi đóng mức này là hợp lý). - HUMAN-TRU2]]</f>
        <v>9</v>
      </c>
      <c r="AR263">
        <f t="shared" si="123"/>
        <v>0.88888888888888884</v>
      </c>
      <c r="AS263">
        <f>step3_validation[[#This Row],[AI_TRU3]]</f>
        <v>6</v>
      </c>
      <c r="AT263">
        <f t="shared" si="124"/>
        <v>0.55555555555555558</v>
      </c>
      <c r="AU263">
        <f>survey_responses[[#This Row],[Tôi tin tưởng số tiền thuế tôi đóng sẽ được Nhà nước sử dụng hiệu quả để cải thiện dịch vụ công (y tế, đường xá...). - HUMAN-TRU3]]</f>
        <v>9</v>
      </c>
      <c r="AV263">
        <f t="shared" si="125"/>
        <v>0.88888888888888884</v>
      </c>
      <c r="AW263">
        <f>step3_validation[[#This Row],[AI_TRU4]]</f>
        <v>7</v>
      </c>
      <c r="AX263">
        <f t="shared" si="126"/>
        <v>0.66666666666666663</v>
      </c>
      <c r="AY263">
        <f>survey_responses[[#This Row],[Tôi thấy Nhà nước đã giải thích rõ ràng, minh bạch về lý do và mục tiêu của việc sửa đổi thuế lần này. - HUMAN-TRU4]]</f>
        <v>8</v>
      </c>
      <c r="AZ263">
        <f t="shared" si="127"/>
        <v>0.77777777777777779</v>
      </c>
      <c r="BA263" s="32">
        <f t="shared" si="128"/>
        <v>0.69444444444444431</v>
      </c>
      <c r="BB263" s="32">
        <f t="shared" si="129"/>
        <v>0.83333333333333326</v>
      </c>
      <c r="BC263" s="7">
        <f t="shared" si="130"/>
        <v>0.63888888888888884</v>
      </c>
      <c r="BD263" s="7">
        <f t="shared" si="131"/>
        <v>0.85185185185185175</v>
      </c>
      <c r="BE263">
        <f>step3_validation[[#This Row],[AI_OUT1]]</f>
        <v>9</v>
      </c>
      <c r="BF263">
        <f t="shared" si="132"/>
        <v>0.88888888888888884</v>
      </c>
      <c r="BG263">
        <f>survey_responses[[#This Row],[Sau khi xem xét các quyền lợi và nghĩa vụ, bạn có ủng hộ và tuân thủ chính sách mới hiện nay? - HUMAN-OUT1]]</f>
        <v>8</v>
      </c>
      <c r="BH263">
        <f t="shared" si="133"/>
        <v>0.77777777777777779</v>
      </c>
      <c r="BI263" s="32">
        <f t="shared" si="134"/>
        <v>1</v>
      </c>
    </row>
    <row r="264" spans="1:61" x14ac:dyDescent="0.45">
      <c r="A264" s="30">
        <f>step3_validation[[#This Row],[Persona_ID]]</f>
        <v>263</v>
      </c>
      <c r="B264" s="31">
        <f>step3_validation[[#This Row],[Used_Seed]]</f>
        <v>2288</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81.786182943520089</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9</v>
      </c>
      <c r="R264">
        <f t="shared" si="108"/>
        <v>0.88888888888888884</v>
      </c>
      <c r="S264">
        <f>survey_responses[[#This Row],[Tôi tin rằng với các quy định quản lý thuế hiện nay, hành vi gian lận hoặc trốn thuế sẽ dễ dàng bị phát hiện và xử lý nghiêm. - HUMAN-ENF1]]</f>
        <v>8</v>
      </c>
      <c r="T264">
        <f t="shared" si="109"/>
        <v>0.77777777777777779</v>
      </c>
      <c r="U264">
        <f>step3_validation[[#This Row],[AI_ENF2]]</f>
        <v>9</v>
      </c>
      <c r="V264">
        <f t="shared" si="110"/>
        <v>0.88888888888888884</v>
      </c>
      <c r="W264">
        <f>survey_responses[[#This Row],[Tôi tin rằng Nhà nước, cơ quan thuế có đủ khả năng và công nghệ để phát hiện, xử lý nghiêm các hành vi trốn thuế. - HUMAN-ENF2]]</f>
        <v>8</v>
      </c>
      <c r="X264">
        <f t="shared" si="111"/>
        <v>0.77777777777777779</v>
      </c>
      <c r="Y264" s="32">
        <f t="shared" si="112"/>
        <v>0.88888888888888884</v>
      </c>
      <c r="Z264" s="32">
        <f t="shared" si="113"/>
        <v>0.77777777777777779</v>
      </c>
      <c r="AA264">
        <f>step3_validation[[#This Row],[AI_FAC1]]</f>
        <v>8</v>
      </c>
      <c r="AB264">
        <f t="shared" si="114"/>
        <v>0.77777777777777779</v>
      </c>
      <c r="AC264">
        <f>survey_responses[[#This Row],[Các thủ tục khai báo thuế VÀ/HOẶC quy trình làm việc với cơ quan thuế đơn giản, tiện lợi, nhanh chóng hơn so với trước đây. - HUMAN-FAC1]]</f>
        <v>5</v>
      </c>
      <c r="AD264">
        <f t="shared" si="115"/>
        <v>0.44444444444444442</v>
      </c>
      <c r="AE264">
        <f>step3_validation[[#This Row],[AI_FAC2]]</f>
        <v>9</v>
      </c>
      <c r="AF264">
        <f t="shared" si="116"/>
        <v>0.88888888888888884</v>
      </c>
      <c r="AG264">
        <f>survey_responses[[#This Row],[So với trước đây, tôi thấy cách tính thuế và các bậc thuế trong phương án mới đơn giản, dễ hiểu và dễ thực hiện hơn. - HUMAN-FAC2]]</f>
        <v>7</v>
      </c>
      <c r="AH264">
        <f t="shared" si="117"/>
        <v>0.66666666666666663</v>
      </c>
      <c r="AI264" s="32">
        <f t="shared" si="118"/>
        <v>0.83333333333333326</v>
      </c>
      <c r="AJ264" s="32">
        <f t="shared" si="119"/>
        <v>0.55555555555555558</v>
      </c>
      <c r="AK264">
        <f>step3_validation[[#This Row],[AI_TRU1]]</f>
        <v>8</v>
      </c>
      <c r="AL264">
        <f t="shared" si="120"/>
        <v>0.77777777777777779</v>
      </c>
      <c r="AM264">
        <f>survey_responses[[#This Row],[Tôi tin rằng Nhà nước, cơ quan thuế sẽ thực thi chính sách mới một cách khách quan, công tâm và đối xử bình đẳng với mọi người nộp thuế.  - HUMAN-TRU1]]</f>
        <v>7</v>
      </c>
      <c r="AN264">
        <f t="shared" si="121"/>
        <v>0.66666666666666663</v>
      </c>
      <c r="AO264">
        <f>step3_validation[[#This Row],[AI_TRU2]]</f>
        <v>9</v>
      </c>
      <c r="AP264">
        <f t="shared" si="122"/>
        <v>0.88888888888888884</v>
      </c>
      <c r="AQ264">
        <f>survey_responses[[#This Row],[Tôi thấy mức thuế tôi phải đóng theo phương án mới là công bằng (người thu nhập như tôi đóng mức này là hợp lý). - HUMAN-TRU2]]</f>
        <v>5</v>
      </c>
      <c r="AR264">
        <f t="shared" si="123"/>
        <v>0.44444444444444442</v>
      </c>
      <c r="AS264">
        <f>step3_validation[[#This Row],[AI_TRU3]]</f>
        <v>8</v>
      </c>
      <c r="AT264">
        <f t="shared" si="124"/>
        <v>0.77777777777777779</v>
      </c>
      <c r="AU264">
        <f>survey_responses[[#This Row],[Tôi tin tưởng số tiền thuế tôi đóng sẽ được Nhà nước sử dụng hiệu quả để cải thiện dịch vụ công (y tế, đường xá...). - HUMAN-TRU3]]</f>
        <v>5</v>
      </c>
      <c r="AV264">
        <f t="shared" si="125"/>
        <v>0.44444444444444442</v>
      </c>
      <c r="AW264">
        <f>step3_validation[[#This Row],[AI_TRU4]]</f>
        <v>9</v>
      </c>
      <c r="AX264">
        <f t="shared" si="126"/>
        <v>0.88888888888888884</v>
      </c>
      <c r="AY264">
        <f>survey_responses[[#This Row],[Tôi thấy Nhà nước đã giải thích rõ ràng, minh bạch về lý do và mục tiêu của việc sửa đổi thuế lần này. - HUMAN-TRU4]]</f>
        <v>6</v>
      </c>
      <c r="AZ264">
        <f t="shared" si="127"/>
        <v>0.55555555555555558</v>
      </c>
      <c r="BA264" s="32">
        <f t="shared" si="128"/>
        <v>0.83333333333333326</v>
      </c>
      <c r="BB264" s="32">
        <f t="shared" si="129"/>
        <v>0.52777777777777779</v>
      </c>
      <c r="BC264" s="7">
        <f t="shared" si="130"/>
        <v>0.85185185185185175</v>
      </c>
      <c r="BD264" s="7">
        <f t="shared" si="131"/>
        <v>0.62037037037037035</v>
      </c>
      <c r="BE264">
        <f>step3_validation[[#This Row],[AI_OUT1]]</f>
        <v>9</v>
      </c>
      <c r="BF264">
        <f t="shared" si="132"/>
        <v>0.88888888888888884</v>
      </c>
      <c r="BG264">
        <f>survey_responses[[#This Row],[Sau khi xem xét các quyền lợi và nghĩa vụ, bạn có ủng hộ và tuân thủ chính sách mới hiện nay? - HUMAN-OUT1]]</f>
        <v>6</v>
      </c>
      <c r="BH264">
        <f t="shared" si="133"/>
        <v>0.55555555555555558</v>
      </c>
      <c r="BI264" s="32">
        <f t="shared" si="134"/>
        <v>3</v>
      </c>
    </row>
    <row r="265" spans="1:61" x14ac:dyDescent="0.45">
      <c r="A265" s="30">
        <f>step3_validation[[#This Row],[Persona_ID]]</f>
        <v>264</v>
      </c>
      <c r="B265" s="31">
        <f>step3_validation[[#This Row],[Used_Seed]]</f>
        <v>2289</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186.13826148284753</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7</v>
      </c>
      <c r="R265">
        <f t="shared" si="108"/>
        <v>0.66666666666666663</v>
      </c>
      <c r="S265">
        <f>survey_responses[[#This Row],[Tôi tin rằng với các quy định quản lý thuế hiện nay, hành vi gian lận hoặc trốn thuế sẽ dễ dàng bị phát hiện và xử lý nghiêm. - HUMAN-ENF1]]</f>
        <v>7</v>
      </c>
      <c r="T265">
        <f t="shared" si="109"/>
        <v>0.66666666666666663</v>
      </c>
      <c r="U265">
        <f>step3_validation[[#This Row],[AI_ENF2]]</f>
        <v>8</v>
      </c>
      <c r="V265">
        <f t="shared" si="110"/>
        <v>0.77777777777777779</v>
      </c>
      <c r="W265">
        <f>survey_responses[[#This Row],[Tôi tin rằng Nhà nước, cơ quan thuế có đủ khả năng và công nghệ để phát hiện, xử lý nghiêm các hành vi trốn thuế. - HUMAN-ENF2]]</f>
        <v>7</v>
      </c>
      <c r="X265">
        <f t="shared" si="111"/>
        <v>0.66666666666666663</v>
      </c>
      <c r="Y265" s="32">
        <f t="shared" si="112"/>
        <v>0.72222222222222221</v>
      </c>
      <c r="Z265" s="32">
        <f t="shared" si="113"/>
        <v>0.66666666666666663</v>
      </c>
      <c r="AA265">
        <f>step3_validation[[#This Row],[AI_FAC1]]</f>
        <v>9</v>
      </c>
      <c r="AB265">
        <f t="shared" si="114"/>
        <v>0.88888888888888884</v>
      </c>
      <c r="AC265">
        <f>survey_responses[[#This Row],[Các thủ tục khai báo thuế VÀ/HOẶC quy trình làm việc với cơ quan thuế đơn giản, tiện lợi, nhanh chóng hơn so với trước đây. - HUMAN-FAC1]]</f>
        <v>7</v>
      </c>
      <c r="AD265">
        <f t="shared" si="115"/>
        <v>0.66666666666666663</v>
      </c>
      <c r="AE265">
        <f>step3_validation[[#This Row],[AI_FAC2]]</f>
        <v>8</v>
      </c>
      <c r="AF265">
        <f t="shared" si="116"/>
        <v>0.77777777777777779</v>
      </c>
      <c r="AG265">
        <f>survey_responses[[#This Row],[So với trước đây, tôi thấy cách tính thuế và các bậc thuế trong phương án mới đơn giản, dễ hiểu và dễ thực hiện hơn. - HUMAN-FAC2]]</f>
        <v>8</v>
      </c>
      <c r="AH265">
        <f t="shared" si="117"/>
        <v>0.77777777777777779</v>
      </c>
      <c r="AI265" s="32">
        <f t="shared" si="118"/>
        <v>0.83333333333333326</v>
      </c>
      <c r="AJ265" s="32">
        <f t="shared" si="119"/>
        <v>0.72222222222222221</v>
      </c>
      <c r="AK265">
        <f>step3_validation[[#This Row],[AI_TRU1]]</f>
        <v>9</v>
      </c>
      <c r="AL265">
        <f t="shared" si="120"/>
        <v>0.88888888888888884</v>
      </c>
      <c r="AM265">
        <f>survey_responses[[#This Row],[Tôi tin rằng Nhà nước, cơ quan thuế sẽ thực thi chính sách mới một cách khách quan, công tâm và đối xử bình đẳng với mọi người nộp thuế.  - HUMAN-TRU1]]</f>
        <v>7</v>
      </c>
      <c r="AN265">
        <f t="shared" si="121"/>
        <v>0.66666666666666663</v>
      </c>
      <c r="AO265">
        <f>step3_validation[[#This Row],[AI_TRU2]]</f>
        <v>8</v>
      </c>
      <c r="AP265">
        <f t="shared" si="122"/>
        <v>0.77777777777777779</v>
      </c>
      <c r="AQ265">
        <f>survey_responses[[#This Row],[Tôi thấy mức thuế tôi phải đóng theo phương án mới là công bằng (người thu nhập như tôi đóng mức này là hợp lý). - HUMAN-TRU2]]</f>
        <v>7</v>
      </c>
      <c r="AR265">
        <f t="shared" si="123"/>
        <v>0.66666666666666663</v>
      </c>
      <c r="AS265">
        <f>step3_validation[[#This Row],[AI_TRU3]]</f>
        <v>7</v>
      </c>
      <c r="AT265">
        <f t="shared" si="124"/>
        <v>0.66666666666666663</v>
      </c>
      <c r="AU265">
        <f>survey_responses[[#This Row],[Tôi tin tưởng số tiền thuế tôi đóng sẽ được Nhà nước sử dụng hiệu quả để cải thiện dịch vụ công (y tế, đường xá...). - HUMAN-TRU3]]</f>
        <v>7</v>
      </c>
      <c r="AV265">
        <f t="shared" si="125"/>
        <v>0.66666666666666663</v>
      </c>
      <c r="AW265">
        <f>step3_validation[[#This Row],[AI_TRU4]]</f>
        <v>6</v>
      </c>
      <c r="AX265">
        <f t="shared" si="126"/>
        <v>0.55555555555555558</v>
      </c>
      <c r="AY265">
        <f>survey_responses[[#This Row],[Tôi thấy Nhà nước đã giải thích rõ ràng, minh bạch về lý do và mục tiêu của việc sửa đổi thuế lần này. - HUMAN-TRU4]]</f>
        <v>7</v>
      </c>
      <c r="AZ265">
        <f t="shared" si="127"/>
        <v>0.66666666666666663</v>
      </c>
      <c r="BA265" s="32">
        <f t="shared" si="128"/>
        <v>0.7222222222222221</v>
      </c>
      <c r="BB265" s="32">
        <f t="shared" si="129"/>
        <v>0.66666666666666663</v>
      </c>
      <c r="BC265" s="7">
        <f t="shared" si="130"/>
        <v>0.75925925925925919</v>
      </c>
      <c r="BD265" s="7">
        <f t="shared" si="131"/>
        <v>0.68518518518518512</v>
      </c>
      <c r="BE265">
        <f>step3_validation[[#This Row],[AI_OUT1]]</f>
        <v>9</v>
      </c>
      <c r="BF265">
        <f t="shared" si="132"/>
        <v>0.88888888888888884</v>
      </c>
      <c r="BG265">
        <f>survey_responses[[#This Row],[Sau khi xem xét các quyền lợi và nghĩa vụ, bạn có ủng hộ và tuân thủ chính sách mới hiện nay? - HUMAN-OUT1]]</f>
        <v>7</v>
      </c>
      <c r="BH265">
        <f t="shared" si="133"/>
        <v>0.66666666666666663</v>
      </c>
      <c r="BI265" s="32">
        <f t="shared" si="134"/>
        <v>2</v>
      </c>
    </row>
    <row r="266" spans="1:61" x14ac:dyDescent="0.45">
      <c r="A266" s="30">
        <f>step3_validation[[#This Row],[Persona_ID]]</f>
        <v>265</v>
      </c>
      <c r="B266" s="31">
        <f>step3_validation[[#This Row],[Used_Seed]]</f>
        <v>2290</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23.619644223184714</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7</v>
      </c>
      <c r="R266">
        <f t="shared" si="108"/>
        <v>0.66666666666666663</v>
      </c>
      <c r="S266">
        <f>survey_responses[[#This Row],[Tôi tin rằng với các quy định quản lý thuế hiện nay, hành vi gian lận hoặc trốn thuế sẽ dễ dàng bị phát hiện và xử lý nghiêm. - HUMAN-ENF1]]</f>
        <v>6</v>
      </c>
      <c r="T266">
        <f t="shared" si="109"/>
        <v>0.55555555555555558</v>
      </c>
      <c r="U266">
        <f>step3_validation[[#This Row],[AI_ENF2]]</f>
        <v>8</v>
      </c>
      <c r="V266">
        <f t="shared" si="110"/>
        <v>0.77777777777777779</v>
      </c>
      <c r="W266">
        <f>survey_responses[[#This Row],[Tôi tin rằng Nhà nước, cơ quan thuế có đủ khả năng và công nghệ để phát hiện, xử lý nghiêm các hành vi trốn thuế. - HUMAN-ENF2]]</f>
        <v>5</v>
      </c>
      <c r="X266">
        <f t="shared" si="111"/>
        <v>0.44444444444444442</v>
      </c>
      <c r="Y266" s="32">
        <f t="shared" si="112"/>
        <v>0.72222222222222221</v>
      </c>
      <c r="Z266" s="32">
        <f t="shared" si="113"/>
        <v>0.5</v>
      </c>
      <c r="AA266">
        <f>step3_validation[[#This Row],[AI_FAC1]]</f>
        <v>9</v>
      </c>
      <c r="AB266">
        <f t="shared" si="114"/>
        <v>0.88888888888888884</v>
      </c>
      <c r="AC266">
        <f>survey_responses[[#This Row],[Các thủ tục khai báo thuế VÀ/HOẶC quy trình làm việc với cơ quan thuế đơn giản, tiện lợi, nhanh chóng hơn so với trước đây. - HUMAN-FAC1]]</f>
        <v>5</v>
      </c>
      <c r="AD266">
        <f t="shared" si="115"/>
        <v>0.44444444444444442</v>
      </c>
      <c r="AE266">
        <f>step3_validation[[#This Row],[AI_FAC2]]</f>
        <v>9</v>
      </c>
      <c r="AF266">
        <f t="shared" si="116"/>
        <v>0.88888888888888884</v>
      </c>
      <c r="AG266">
        <f>survey_responses[[#This Row],[So với trước đây, tôi thấy cách tính thuế và các bậc thuế trong phương án mới đơn giản, dễ hiểu và dễ thực hiện hơn. - HUMAN-FAC2]]</f>
        <v>7</v>
      </c>
      <c r="AH266">
        <f t="shared" si="117"/>
        <v>0.66666666666666663</v>
      </c>
      <c r="AI266" s="32">
        <f t="shared" si="118"/>
        <v>0.88888888888888884</v>
      </c>
      <c r="AJ266" s="32">
        <f t="shared" si="119"/>
        <v>0.55555555555555558</v>
      </c>
      <c r="AK266">
        <f>step3_validation[[#This Row],[AI_TRU1]]</f>
        <v>6</v>
      </c>
      <c r="AL266">
        <f t="shared" si="120"/>
        <v>0.55555555555555558</v>
      </c>
      <c r="AM266">
        <f>survey_responses[[#This Row],[Tôi tin rằng Nhà nước, cơ quan thuế sẽ thực thi chính sách mới một cách khách quan, công tâm và đối xử bình đẳng với mọi người nộp thuế.  - HUMAN-TRU1]]</f>
        <v>6</v>
      </c>
      <c r="AN266">
        <f t="shared" si="121"/>
        <v>0.55555555555555558</v>
      </c>
      <c r="AO266">
        <f>step3_validation[[#This Row],[AI_TRU2]]</f>
        <v>8</v>
      </c>
      <c r="AP266">
        <f t="shared" si="122"/>
        <v>0.77777777777777779</v>
      </c>
      <c r="AQ266">
        <f>survey_responses[[#This Row],[Tôi thấy mức thuế tôi phải đóng theo phương án mới là công bằng (người thu nhập như tôi đóng mức này là hợp lý). - HUMAN-TRU2]]</f>
        <v>7</v>
      </c>
      <c r="AR266">
        <f t="shared" si="123"/>
        <v>0.66666666666666663</v>
      </c>
      <c r="AS266">
        <f>step3_validation[[#This Row],[AI_TRU3]]</f>
        <v>7</v>
      </c>
      <c r="AT266">
        <f t="shared" si="124"/>
        <v>0.66666666666666663</v>
      </c>
      <c r="AU266">
        <f>survey_responses[[#This Row],[Tôi tin tưởng số tiền thuế tôi đóng sẽ được Nhà nước sử dụng hiệu quả để cải thiện dịch vụ công (y tế, đường xá...). - HUMAN-TRU3]]</f>
        <v>5</v>
      </c>
      <c r="AV266">
        <f t="shared" si="125"/>
        <v>0.44444444444444442</v>
      </c>
      <c r="AW266">
        <f>step3_validation[[#This Row],[AI_TRU4]]</f>
        <v>9</v>
      </c>
      <c r="AX266">
        <f t="shared" si="126"/>
        <v>0.88888888888888884</v>
      </c>
      <c r="AY266">
        <f>survey_responses[[#This Row],[Tôi thấy Nhà nước đã giải thích rõ ràng, minh bạch về lý do và mục tiêu của việc sửa đổi thuế lần này. - HUMAN-TRU4]]</f>
        <v>6</v>
      </c>
      <c r="AZ266">
        <f t="shared" si="127"/>
        <v>0.55555555555555558</v>
      </c>
      <c r="BA266" s="32">
        <f t="shared" si="128"/>
        <v>0.72222222222222221</v>
      </c>
      <c r="BB266" s="32">
        <f t="shared" si="129"/>
        <v>0.55555555555555558</v>
      </c>
      <c r="BC266" s="7">
        <f t="shared" si="130"/>
        <v>0.77777777777777779</v>
      </c>
      <c r="BD266" s="7">
        <f t="shared" si="131"/>
        <v>0.53703703703703709</v>
      </c>
      <c r="BE266">
        <f>step3_validation[[#This Row],[AI_OUT1]]</f>
        <v>8</v>
      </c>
      <c r="BF266">
        <f t="shared" si="132"/>
        <v>0.77777777777777779</v>
      </c>
      <c r="BG266">
        <f>survey_responses[[#This Row],[Sau khi xem xét các quyền lợi và nghĩa vụ, bạn có ủng hộ và tuân thủ chính sách mới hiện nay? - HUMAN-OUT1]]</f>
        <v>6</v>
      </c>
      <c r="BH266">
        <f t="shared" si="133"/>
        <v>0.55555555555555558</v>
      </c>
      <c r="BI266" s="32">
        <f t="shared" si="134"/>
        <v>2</v>
      </c>
    </row>
    <row r="267" spans="1:61" x14ac:dyDescent="0.45">
      <c r="A267" s="30">
        <f>step3_validation[[#This Row],[Persona_ID]]</f>
        <v>266</v>
      </c>
      <c r="B267" s="31">
        <f>step3_validation[[#This Row],[Used_Seed]]</f>
        <v>2291</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50.716808869580603</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7</v>
      </c>
      <c r="R267">
        <f t="shared" si="108"/>
        <v>0.66666666666666663</v>
      </c>
      <c r="S267">
        <f>survey_responses[[#This Row],[Tôi tin rằng với các quy định quản lý thuế hiện nay, hành vi gian lận hoặc trốn thuế sẽ dễ dàng bị phát hiện và xử lý nghiêm. - HUMAN-ENF1]]</f>
        <v>7</v>
      </c>
      <c r="T267">
        <f t="shared" si="109"/>
        <v>0.66666666666666663</v>
      </c>
      <c r="U267">
        <f>step3_validation[[#This Row],[AI_ENF2]]</f>
        <v>8</v>
      </c>
      <c r="V267">
        <f t="shared" si="110"/>
        <v>0.77777777777777779</v>
      </c>
      <c r="W267">
        <f>survey_responses[[#This Row],[Tôi tin rằng Nhà nước, cơ quan thuế có đủ khả năng và công nghệ để phát hiện, xử lý nghiêm các hành vi trốn thuế. - HUMAN-ENF2]]</f>
        <v>6</v>
      </c>
      <c r="X267">
        <f t="shared" si="111"/>
        <v>0.55555555555555558</v>
      </c>
      <c r="Y267" s="32">
        <f t="shared" si="112"/>
        <v>0.72222222222222221</v>
      </c>
      <c r="Z267" s="32">
        <f t="shared" si="113"/>
        <v>0.61111111111111116</v>
      </c>
      <c r="AA267">
        <f>step3_validation[[#This Row],[AI_FAC1]]</f>
        <v>9</v>
      </c>
      <c r="AB267">
        <f t="shared" si="114"/>
        <v>0.88888888888888884</v>
      </c>
      <c r="AC267">
        <f>survey_responses[[#This Row],[Các thủ tục khai báo thuế VÀ/HOẶC quy trình làm việc với cơ quan thuế đơn giản, tiện lợi, nhanh chóng hơn so với trước đây. - HUMAN-FAC1]]</f>
        <v>6</v>
      </c>
      <c r="AD267">
        <f t="shared" si="115"/>
        <v>0.55555555555555558</v>
      </c>
      <c r="AE267">
        <f>step3_validation[[#This Row],[AI_FAC2]]</f>
        <v>10</v>
      </c>
      <c r="AF267">
        <f t="shared" si="116"/>
        <v>1</v>
      </c>
      <c r="AG267">
        <f>survey_responses[[#This Row],[So với trước đây, tôi thấy cách tính thuế và các bậc thuế trong phương án mới đơn giản, dễ hiểu và dễ thực hiện hơn. - HUMAN-FAC2]]</f>
        <v>6</v>
      </c>
      <c r="AH267">
        <f t="shared" si="117"/>
        <v>0.55555555555555558</v>
      </c>
      <c r="AI267" s="32">
        <f t="shared" si="118"/>
        <v>0.94444444444444442</v>
      </c>
      <c r="AJ267" s="32">
        <f t="shared" si="119"/>
        <v>0.55555555555555558</v>
      </c>
      <c r="AK267">
        <f>step3_validation[[#This Row],[AI_TRU1]]</f>
        <v>8</v>
      </c>
      <c r="AL267">
        <f t="shared" si="120"/>
        <v>0.77777777777777779</v>
      </c>
      <c r="AM267">
        <f>survey_responses[[#This Row],[Tôi tin rằng Nhà nước, cơ quan thuế sẽ thực thi chính sách mới một cách khách quan, công tâm và đối xử bình đẳng với mọi người nộp thuế.  - HUMAN-TRU1]]</f>
        <v>7</v>
      </c>
      <c r="AN267">
        <f t="shared" si="121"/>
        <v>0.66666666666666663</v>
      </c>
      <c r="AO267">
        <f>step3_validation[[#This Row],[AI_TRU2]]</f>
        <v>9</v>
      </c>
      <c r="AP267">
        <f t="shared" si="122"/>
        <v>0.88888888888888884</v>
      </c>
      <c r="AQ267">
        <f>survey_responses[[#This Row],[Tôi thấy mức thuế tôi phải đóng theo phương án mới là công bằng (người thu nhập như tôi đóng mức này là hợp lý). - HUMAN-TRU2]]</f>
        <v>7</v>
      </c>
      <c r="AR267">
        <f t="shared" si="123"/>
        <v>0.66666666666666663</v>
      </c>
      <c r="AS267">
        <f>step3_validation[[#This Row],[AI_TRU3]]</f>
        <v>7</v>
      </c>
      <c r="AT267">
        <f t="shared" si="124"/>
        <v>0.66666666666666663</v>
      </c>
      <c r="AU267">
        <f>survey_responses[[#This Row],[Tôi tin tưởng số tiền thuế tôi đóng sẽ được Nhà nước sử dụng hiệu quả để cải thiện dịch vụ công (y tế, đường xá...). - HUMAN-TRU3]]</f>
        <v>7</v>
      </c>
      <c r="AV267">
        <f t="shared" si="125"/>
        <v>0.66666666666666663</v>
      </c>
      <c r="AW267">
        <f>step3_validation[[#This Row],[AI_TRU4]]</f>
        <v>8</v>
      </c>
      <c r="AX267">
        <f t="shared" si="126"/>
        <v>0.77777777777777779</v>
      </c>
      <c r="AY267">
        <f>survey_responses[[#This Row],[Tôi thấy Nhà nước đã giải thích rõ ràng, minh bạch về lý do và mục tiêu của việc sửa đổi thuế lần này. - HUMAN-TRU4]]</f>
        <v>7</v>
      </c>
      <c r="AZ267">
        <f t="shared" si="127"/>
        <v>0.66666666666666663</v>
      </c>
      <c r="BA267" s="32">
        <f t="shared" si="128"/>
        <v>0.77777777777777768</v>
      </c>
      <c r="BB267" s="32">
        <f t="shared" si="129"/>
        <v>0.66666666666666663</v>
      </c>
      <c r="BC267" s="7">
        <f t="shared" si="130"/>
        <v>0.81481481481481477</v>
      </c>
      <c r="BD267" s="7">
        <f t="shared" si="131"/>
        <v>0.61111111111111116</v>
      </c>
      <c r="BE267">
        <f>step3_validation[[#This Row],[AI_OUT1]]</f>
        <v>9</v>
      </c>
      <c r="BF267">
        <f t="shared" si="132"/>
        <v>0.88888888888888884</v>
      </c>
      <c r="BG267">
        <f>survey_responses[[#This Row],[Sau khi xem xét các quyền lợi và nghĩa vụ, bạn có ủng hộ và tuân thủ chính sách mới hiện nay? - HUMAN-OUT1]]</f>
        <v>7</v>
      </c>
      <c r="BH267">
        <f t="shared" si="133"/>
        <v>0.66666666666666663</v>
      </c>
      <c r="BI267" s="32">
        <f t="shared" si="134"/>
        <v>2</v>
      </c>
    </row>
    <row r="268" spans="1:61" x14ac:dyDescent="0.45">
      <c r="A268" s="30">
        <f>step3_validation[[#This Row],[Persona_ID]]</f>
        <v>267</v>
      </c>
      <c r="B268" s="31">
        <f>step3_validation[[#This Row],[Used_Seed]]</f>
        <v>2292</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54.436543371213034</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7</v>
      </c>
      <c r="R268">
        <f t="shared" si="108"/>
        <v>0.66666666666666663</v>
      </c>
      <c r="S268">
        <f>survey_responses[[#This Row],[Tôi tin rằng với các quy định quản lý thuế hiện nay, hành vi gian lận hoặc trốn thuế sẽ dễ dàng bị phát hiện và xử lý nghiêm. - HUMAN-ENF1]]</f>
        <v>6</v>
      </c>
      <c r="T268">
        <f t="shared" si="109"/>
        <v>0.55555555555555558</v>
      </c>
      <c r="U268">
        <f>step3_validation[[#This Row],[AI_ENF2]]</f>
        <v>8</v>
      </c>
      <c r="V268">
        <f t="shared" si="110"/>
        <v>0.77777777777777779</v>
      </c>
      <c r="W268">
        <f>survey_responses[[#This Row],[Tôi tin rằng Nhà nước, cơ quan thuế có đủ khả năng và công nghệ để phát hiện, xử lý nghiêm các hành vi trốn thuế. - HUMAN-ENF2]]</f>
        <v>7</v>
      </c>
      <c r="X268">
        <f t="shared" si="111"/>
        <v>0.66666666666666663</v>
      </c>
      <c r="Y268" s="32">
        <f t="shared" si="112"/>
        <v>0.72222222222222221</v>
      </c>
      <c r="Z268" s="32">
        <f t="shared" si="113"/>
        <v>0.61111111111111116</v>
      </c>
      <c r="AA268">
        <f>step3_validation[[#This Row],[AI_FAC1]]</f>
        <v>9</v>
      </c>
      <c r="AB268">
        <f t="shared" si="114"/>
        <v>0.88888888888888884</v>
      </c>
      <c r="AC268">
        <f>survey_responses[[#This Row],[Các thủ tục khai báo thuế VÀ/HOẶC quy trình làm việc với cơ quan thuế đơn giản, tiện lợi, nhanh chóng hơn so với trước đây. - HUMAN-FAC1]]</f>
        <v>7</v>
      </c>
      <c r="AD268">
        <f t="shared" si="115"/>
        <v>0.66666666666666663</v>
      </c>
      <c r="AE268">
        <f>step3_validation[[#This Row],[AI_FAC2]]</f>
        <v>9</v>
      </c>
      <c r="AF268">
        <f t="shared" si="116"/>
        <v>0.88888888888888884</v>
      </c>
      <c r="AG268">
        <f>survey_responses[[#This Row],[So với trước đây, tôi thấy cách tính thuế và các bậc thuế trong phương án mới đơn giản, dễ hiểu và dễ thực hiện hơn. - HUMAN-FAC2]]</f>
        <v>6</v>
      </c>
      <c r="AH268">
        <f t="shared" si="117"/>
        <v>0.55555555555555558</v>
      </c>
      <c r="AI268" s="32">
        <f t="shared" si="118"/>
        <v>0.88888888888888884</v>
      </c>
      <c r="AJ268" s="32">
        <f t="shared" si="119"/>
        <v>0.61111111111111116</v>
      </c>
      <c r="AK268">
        <f>step3_validation[[#This Row],[AI_TRU1]]</f>
        <v>7</v>
      </c>
      <c r="AL268">
        <f t="shared" si="120"/>
        <v>0.66666666666666663</v>
      </c>
      <c r="AM268">
        <f>survey_responses[[#This Row],[Tôi tin rằng Nhà nước, cơ quan thuế sẽ thực thi chính sách mới một cách khách quan, công tâm và đối xử bình đẳng với mọi người nộp thuế.  - HUMAN-TRU1]]</f>
        <v>6</v>
      </c>
      <c r="AN268">
        <f t="shared" si="121"/>
        <v>0.55555555555555558</v>
      </c>
      <c r="AO268">
        <f>step3_validation[[#This Row],[AI_TRU2]]</f>
        <v>8</v>
      </c>
      <c r="AP268">
        <f t="shared" si="122"/>
        <v>0.77777777777777779</v>
      </c>
      <c r="AQ268">
        <f>survey_responses[[#This Row],[Tôi thấy mức thuế tôi phải đóng theo phương án mới là công bằng (người thu nhập như tôi đóng mức này là hợp lý). - HUMAN-TRU2]]</f>
        <v>6</v>
      </c>
      <c r="AR268">
        <f t="shared" si="123"/>
        <v>0.55555555555555558</v>
      </c>
      <c r="AS268">
        <f>step3_validation[[#This Row],[AI_TRU3]]</f>
        <v>6</v>
      </c>
      <c r="AT268">
        <f t="shared" si="124"/>
        <v>0.55555555555555558</v>
      </c>
      <c r="AU268">
        <f>survey_responses[[#This Row],[Tôi tin tưởng số tiền thuế tôi đóng sẽ được Nhà nước sử dụng hiệu quả để cải thiện dịch vụ công (y tế, đường xá...). - HUMAN-TRU3]]</f>
        <v>6</v>
      </c>
      <c r="AV268">
        <f t="shared" si="125"/>
        <v>0.55555555555555558</v>
      </c>
      <c r="AW268">
        <f>step3_validation[[#This Row],[AI_TRU4]]</f>
        <v>8</v>
      </c>
      <c r="AX268">
        <f t="shared" si="126"/>
        <v>0.77777777777777779</v>
      </c>
      <c r="AY268">
        <f>survey_responses[[#This Row],[Tôi thấy Nhà nước đã giải thích rõ ràng, minh bạch về lý do và mục tiêu của việc sửa đổi thuế lần này. - HUMAN-TRU4]]</f>
        <v>7</v>
      </c>
      <c r="AZ268">
        <f t="shared" si="127"/>
        <v>0.66666666666666663</v>
      </c>
      <c r="BA268" s="32">
        <f t="shared" si="128"/>
        <v>0.69444444444444442</v>
      </c>
      <c r="BB268" s="32">
        <f t="shared" si="129"/>
        <v>0.58333333333333337</v>
      </c>
      <c r="BC268" s="7">
        <f t="shared" si="130"/>
        <v>0.76851851851851849</v>
      </c>
      <c r="BD268" s="7">
        <f t="shared" si="131"/>
        <v>0.60185185185185197</v>
      </c>
      <c r="BE268">
        <f>step3_validation[[#This Row],[AI_OUT1]]</f>
        <v>9</v>
      </c>
      <c r="BF268">
        <f t="shared" si="132"/>
        <v>0.88888888888888884</v>
      </c>
      <c r="BG268">
        <f>survey_responses[[#This Row],[Sau khi xem xét các quyền lợi và nghĩa vụ, bạn có ủng hộ và tuân thủ chính sách mới hiện nay? - HUMAN-OUT1]]</f>
        <v>7</v>
      </c>
      <c r="BH268">
        <f t="shared" si="133"/>
        <v>0.66666666666666663</v>
      </c>
      <c r="BI268" s="32">
        <f t="shared" si="134"/>
        <v>2</v>
      </c>
    </row>
    <row r="269" spans="1:61" x14ac:dyDescent="0.45">
      <c r="A269" s="30">
        <f>step3_validation[[#This Row],[Persona_ID]]</f>
        <v>268</v>
      </c>
      <c r="B269" s="31">
        <f>step3_validation[[#This Row],[Used_Seed]]</f>
        <v>2293</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24.634858690807217</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7</v>
      </c>
      <c r="R269">
        <f t="shared" si="108"/>
        <v>0.66666666666666663</v>
      </c>
      <c r="S269">
        <f>survey_responses[[#This Row],[Tôi tin rằng với các quy định quản lý thuế hiện nay, hành vi gian lận hoặc trốn thuế sẽ dễ dàng bị phát hiện và xử lý nghiêm. - HUMAN-ENF1]]</f>
        <v>7</v>
      </c>
      <c r="T269">
        <f t="shared" si="109"/>
        <v>0.66666666666666663</v>
      </c>
      <c r="U269">
        <f>step3_validation[[#This Row],[AI_ENF2]]</f>
        <v>8</v>
      </c>
      <c r="V269">
        <f t="shared" si="110"/>
        <v>0.77777777777777779</v>
      </c>
      <c r="W269">
        <f>survey_responses[[#This Row],[Tôi tin rằng Nhà nước, cơ quan thuế có đủ khả năng và công nghệ để phát hiện, xử lý nghiêm các hành vi trốn thuế. - HUMAN-ENF2]]</f>
        <v>7</v>
      </c>
      <c r="X269">
        <f t="shared" si="111"/>
        <v>0.66666666666666663</v>
      </c>
      <c r="Y269" s="32">
        <f t="shared" si="112"/>
        <v>0.72222222222222221</v>
      </c>
      <c r="Z269" s="32">
        <f t="shared" si="113"/>
        <v>0.66666666666666663</v>
      </c>
      <c r="AA269">
        <f>step3_validation[[#This Row],[AI_FAC1]]</f>
        <v>6</v>
      </c>
      <c r="AB269">
        <f t="shared" si="114"/>
        <v>0.55555555555555558</v>
      </c>
      <c r="AC269">
        <f>survey_responses[[#This Row],[Các thủ tục khai báo thuế VÀ/HOẶC quy trình làm việc với cơ quan thuế đơn giản, tiện lợi, nhanh chóng hơn so với trước đây. - HUMAN-FAC1]]</f>
        <v>2</v>
      </c>
      <c r="AD269">
        <f t="shared" si="115"/>
        <v>0.1111111111111111</v>
      </c>
      <c r="AE269">
        <f>step3_validation[[#This Row],[AI_FAC2]]</f>
        <v>9</v>
      </c>
      <c r="AF269">
        <f t="shared" si="116"/>
        <v>0.88888888888888884</v>
      </c>
      <c r="AG269">
        <f>survey_responses[[#This Row],[So với trước đây, tôi thấy cách tính thuế và các bậc thuế trong phương án mới đơn giản, dễ hiểu và dễ thực hiện hơn. - HUMAN-FAC2]]</f>
        <v>7</v>
      </c>
      <c r="AH269">
        <f t="shared" si="117"/>
        <v>0.66666666666666663</v>
      </c>
      <c r="AI269" s="32">
        <f t="shared" si="118"/>
        <v>0.72222222222222221</v>
      </c>
      <c r="AJ269" s="32">
        <f t="shared" si="119"/>
        <v>0.38888888888888884</v>
      </c>
      <c r="AK269">
        <f>step3_validation[[#This Row],[AI_TRU1]]</f>
        <v>7</v>
      </c>
      <c r="AL269">
        <f t="shared" si="120"/>
        <v>0.66666666666666663</v>
      </c>
      <c r="AM269">
        <f>survey_responses[[#This Row],[Tôi tin rằng Nhà nước, cơ quan thuế sẽ thực thi chính sách mới một cách khách quan, công tâm và đối xử bình đẳng với mọi người nộp thuế.  - HUMAN-TRU1]]</f>
        <v>7</v>
      </c>
      <c r="AN269">
        <f t="shared" si="121"/>
        <v>0.66666666666666663</v>
      </c>
      <c r="AO269">
        <f>step3_validation[[#This Row],[AI_TRU2]]</f>
        <v>9</v>
      </c>
      <c r="AP269">
        <f t="shared" si="122"/>
        <v>0.88888888888888884</v>
      </c>
      <c r="AQ269">
        <f>survey_responses[[#This Row],[Tôi thấy mức thuế tôi phải đóng theo phương án mới là công bằng (người thu nhập như tôi đóng mức này là hợp lý). - HUMAN-TRU2]]</f>
        <v>7</v>
      </c>
      <c r="AR269">
        <f t="shared" si="123"/>
        <v>0.66666666666666663</v>
      </c>
      <c r="AS269">
        <f>step3_validation[[#This Row],[AI_TRU3]]</f>
        <v>8</v>
      </c>
      <c r="AT269">
        <f t="shared" si="124"/>
        <v>0.77777777777777779</v>
      </c>
      <c r="AU269">
        <f>survey_responses[[#This Row],[Tôi tin tưởng số tiền thuế tôi đóng sẽ được Nhà nước sử dụng hiệu quả để cải thiện dịch vụ công (y tế, đường xá...). - HUMAN-TRU3]]</f>
        <v>7</v>
      </c>
      <c r="AV269">
        <f t="shared" si="125"/>
        <v>0.66666666666666663</v>
      </c>
      <c r="AW269">
        <f>step3_validation[[#This Row],[AI_TRU4]]</f>
        <v>7</v>
      </c>
      <c r="AX269">
        <f t="shared" si="126"/>
        <v>0.66666666666666663</v>
      </c>
      <c r="AY269">
        <f>survey_responses[[#This Row],[Tôi thấy Nhà nước đã giải thích rõ ràng, minh bạch về lý do và mục tiêu của việc sửa đổi thuế lần này. - HUMAN-TRU4]]</f>
        <v>7</v>
      </c>
      <c r="AZ269">
        <f t="shared" si="127"/>
        <v>0.66666666666666663</v>
      </c>
      <c r="BA269" s="32">
        <f t="shared" si="128"/>
        <v>0.74999999999999989</v>
      </c>
      <c r="BB269" s="32">
        <f t="shared" si="129"/>
        <v>0.66666666666666663</v>
      </c>
      <c r="BC269" s="7">
        <f t="shared" si="130"/>
        <v>0.7314814814814814</v>
      </c>
      <c r="BD269" s="7">
        <f t="shared" si="131"/>
        <v>0.57407407407407396</v>
      </c>
      <c r="BE269">
        <f>step3_validation[[#This Row],[AI_OUT1]]</f>
        <v>9</v>
      </c>
      <c r="BF269">
        <f t="shared" si="132"/>
        <v>0.88888888888888884</v>
      </c>
      <c r="BG269">
        <f>survey_responses[[#This Row],[Sau khi xem xét các quyền lợi và nghĩa vụ, bạn có ủng hộ và tuân thủ chính sách mới hiện nay? - HUMAN-OUT1]]</f>
        <v>7</v>
      </c>
      <c r="BH269">
        <f t="shared" si="133"/>
        <v>0.66666666666666663</v>
      </c>
      <c r="BI269" s="32">
        <f t="shared" si="134"/>
        <v>2</v>
      </c>
    </row>
    <row r="270" spans="1:61" x14ac:dyDescent="0.45">
      <c r="A270" s="30">
        <f>step3_validation[[#This Row],[Persona_ID]]</f>
        <v>269</v>
      </c>
      <c r="B270" s="31">
        <f>step3_validation[[#This Row],[Used_Seed]]</f>
        <v>2294</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95.393258448050062</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8</v>
      </c>
      <c r="R270">
        <f t="shared" si="108"/>
        <v>0.77777777777777779</v>
      </c>
      <c r="S270">
        <f>survey_responses[[#This Row],[Tôi tin rằng với các quy định quản lý thuế hiện nay, hành vi gian lận hoặc trốn thuế sẽ dễ dàng bị phát hiện và xử lý nghiêm. - HUMAN-ENF1]]</f>
        <v>4</v>
      </c>
      <c r="T270">
        <f t="shared" si="109"/>
        <v>0.33333333333333331</v>
      </c>
      <c r="U270">
        <f>step3_validation[[#This Row],[AI_ENF2]]</f>
        <v>7</v>
      </c>
      <c r="V270">
        <f t="shared" si="110"/>
        <v>0.66666666666666663</v>
      </c>
      <c r="W270">
        <f>survey_responses[[#This Row],[Tôi tin rằng Nhà nước, cơ quan thuế có đủ khả năng và công nghệ để phát hiện, xử lý nghiêm các hành vi trốn thuế. - HUMAN-ENF2]]</f>
        <v>5</v>
      </c>
      <c r="X270">
        <f t="shared" si="111"/>
        <v>0.44444444444444442</v>
      </c>
      <c r="Y270" s="32">
        <f t="shared" si="112"/>
        <v>0.72222222222222221</v>
      </c>
      <c r="Z270" s="32">
        <f t="shared" si="113"/>
        <v>0.38888888888888884</v>
      </c>
      <c r="AA270">
        <f>step3_validation[[#This Row],[AI_FAC1]]</f>
        <v>8</v>
      </c>
      <c r="AB270">
        <f t="shared" si="114"/>
        <v>0.77777777777777779</v>
      </c>
      <c r="AC270">
        <f>survey_responses[[#This Row],[Các thủ tục khai báo thuế VÀ/HOẶC quy trình làm việc với cơ quan thuế đơn giản, tiện lợi, nhanh chóng hơn so với trước đây. - HUMAN-FAC1]]</f>
        <v>2</v>
      </c>
      <c r="AD270">
        <f t="shared" si="115"/>
        <v>0.1111111111111111</v>
      </c>
      <c r="AE270">
        <f>step3_validation[[#This Row],[AI_FAC2]]</f>
        <v>9</v>
      </c>
      <c r="AF270">
        <f t="shared" si="116"/>
        <v>0.88888888888888884</v>
      </c>
      <c r="AG270">
        <f>survey_responses[[#This Row],[So với trước đây, tôi thấy cách tính thuế và các bậc thuế trong phương án mới đơn giản, dễ hiểu và dễ thực hiện hơn. - HUMAN-FAC2]]</f>
        <v>6</v>
      </c>
      <c r="AH270">
        <f t="shared" si="117"/>
        <v>0.55555555555555558</v>
      </c>
      <c r="AI270" s="32">
        <f t="shared" si="118"/>
        <v>0.83333333333333326</v>
      </c>
      <c r="AJ270" s="32">
        <f t="shared" si="119"/>
        <v>0.33333333333333337</v>
      </c>
      <c r="AK270">
        <f>step3_validation[[#This Row],[AI_TRU1]]</f>
        <v>7</v>
      </c>
      <c r="AL270">
        <f t="shared" si="120"/>
        <v>0.66666666666666663</v>
      </c>
      <c r="AM270">
        <f>survey_responses[[#This Row],[Tôi tin rằng Nhà nước, cơ quan thuế sẽ thực thi chính sách mới một cách khách quan, công tâm và đối xử bình đẳng với mọi người nộp thuế.  - HUMAN-TRU1]]</f>
        <v>3</v>
      </c>
      <c r="AN270">
        <f t="shared" si="121"/>
        <v>0.22222222222222221</v>
      </c>
      <c r="AO270">
        <f>step3_validation[[#This Row],[AI_TRU2]]</f>
        <v>9</v>
      </c>
      <c r="AP270">
        <f t="shared" si="122"/>
        <v>0.88888888888888884</v>
      </c>
      <c r="AQ270">
        <f>survey_responses[[#This Row],[Tôi thấy mức thuế tôi phải đóng theo phương án mới là công bằng (người thu nhập như tôi đóng mức này là hợp lý). - HUMAN-TRU2]]</f>
        <v>3</v>
      </c>
      <c r="AR270">
        <f t="shared" si="123"/>
        <v>0.22222222222222221</v>
      </c>
      <c r="AS270">
        <f>step3_validation[[#This Row],[AI_TRU3]]</f>
        <v>7</v>
      </c>
      <c r="AT270">
        <f t="shared" si="124"/>
        <v>0.66666666666666663</v>
      </c>
      <c r="AU270">
        <f>survey_responses[[#This Row],[Tôi tin tưởng số tiền thuế tôi đóng sẽ được Nhà nước sử dụng hiệu quả để cải thiện dịch vụ công (y tế, đường xá...). - HUMAN-TRU3]]</f>
        <v>1</v>
      </c>
      <c r="AV270">
        <f t="shared" si="125"/>
        <v>0</v>
      </c>
      <c r="AW270">
        <f>step3_validation[[#This Row],[AI_TRU4]]</f>
        <v>8</v>
      </c>
      <c r="AX270">
        <f t="shared" si="126"/>
        <v>0.77777777777777779</v>
      </c>
      <c r="AY270">
        <f>survey_responses[[#This Row],[Tôi thấy Nhà nước đã giải thích rõ ràng, minh bạch về lý do và mục tiêu của việc sửa đổi thuế lần này. - HUMAN-TRU4]]</f>
        <v>3</v>
      </c>
      <c r="AZ270">
        <f t="shared" si="127"/>
        <v>0.22222222222222221</v>
      </c>
      <c r="BA270" s="32">
        <f t="shared" si="128"/>
        <v>0.74999999999999989</v>
      </c>
      <c r="BB270" s="32">
        <f t="shared" si="129"/>
        <v>0.16666666666666666</v>
      </c>
      <c r="BC270" s="7">
        <f t="shared" si="130"/>
        <v>0.76851851851851849</v>
      </c>
      <c r="BD270" s="7">
        <f t="shared" si="131"/>
        <v>0.29629629629629628</v>
      </c>
      <c r="BE270">
        <f>step3_validation[[#This Row],[AI_OUT1]]</f>
        <v>9</v>
      </c>
      <c r="BF270">
        <f t="shared" si="132"/>
        <v>0.88888888888888884</v>
      </c>
      <c r="BG270">
        <f>survey_responses[[#This Row],[Sau khi xem xét các quyền lợi và nghĩa vụ, bạn có ủng hộ và tuân thủ chính sách mới hiện nay? - HUMAN-OUT1]]</f>
        <v>1</v>
      </c>
      <c r="BH270">
        <f t="shared" si="133"/>
        <v>0</v>
      </c>
      <c r="BI270" s="32">
        <f t="shared" si="134"/>
        <v>8</v>
      </c>
    </row>
    <row r="271" spans="1:61" x14ac:dyDescent="0.45">
      <c r="A271" s="30">
        <f>step3_validation[[#This Row],[Persona_ID]]</f>
        <v>270</v>
      </c>
      <c r="B271" s="31">
        <f>step3_validation[[#This Row],[Used_Seed]]</f>
        <v>2295</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58.197854723316212</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7</v>
      </c>
      <c r="R271">
        <f t="shared" si="108"/>
        <v>0.66666666666666663</v>
      </c>
      <c r="S271">
        <f>survey_responses[[#This Row],[Tôi tin rằng với các quy định quản lý thuế hiện nay, hành vi gian lận hoặc trốn thuế sẽ dễ dàng bị phát hiện và xử lý nghiêm. - HUMAN-ENF1]]</f>
        <v>8</v>
      </c>
      <c r="T271">
        <f t="shared" si="109"/>
        <v>0.77777777777777779</v>
      </c>
      <c r="U271">
        <f>step3_validation[[#This Row],[AI_ENF2]]</f>
        <v>6</v>
      </c>
      <c r="V271">
        <f t="shared" si="110"/>
        <v>0.55555555555555558</v>
      </c>
      <c r="W271">
        <f>survey_responses[[#This Row],[Tôi tin rằng Nhà nước, cơ quan thuế có đủ khả năng và công nghệ để phát hiện, xử lý nghiêm các hành vi trốn thuế. - HUMAN-ENF2]]</f>
        <v>8</v>
      </c>
      <c r="X271">
        <f t="shared" si="111"/>
        <v>0.77777777777777779</v>
      </c>
      <c r="Y271" s="32">
        <f t="shared" si="112"/>
        <v>0.61111111111111116</v>
      </c>
      <c r="Z271" s="32">
        <f t="shared" si="113"/>
        <v>0.77777777777777779</v>
      </c>
      <c r="AA271">
        <f>step3_validation[[#This Row],[AI_FAC1]]</f>
        <v>5</v>
      </c>
      <c r="AB271">
        <f t="shared" si="114"/>
        <v>0.44444444444444442</v>
      </c>
      <c r="AC271">
        <f>survey_responses[[#This Row],[Các thủ tục khai báo thuế VÀ/HOẶC quy trình làm việc với cơ quan thuế đơn giản, tiện lợi, nhanh chóng hơn so với trước đây. - HUMAN-FAC1]]</f>
        <v>3</v>
      </c>
      <c r="AD271">
        <f t="shared" si="115"/>
        <v>0.22222222222222221</v>
      </c>
      <c r="AE271">
        <f>step3_validation[[#This Row],[AI_FAC2]]</f>
        <v>9</v>
      </c>
      <c r="AF271">
        <f t="shared" si="116"/>
        <v>0.88888888888888884</v>
      </c>
      <c r="AG271">
        <f>survey_responses[[#This Row],[So với trước đây, tôi thấy cách tính thuế và các bậc thuế trong phương án mới đơn giản, dễ hiểu và dễ thực hiện hơn. - HUMAN-FAC2]]</f>
        <v>8</v>
      </c>
      <c r="AH271">
        <f t="shared" si="117"/>
        <v>0.77777777777777779</v>
      </c>
      <c r="AI271" s="32">
        <f t="shared" si="118"/>
        <v>0.66666666666666663</v>
      </c>
      <c r="AJ271" s="32">
        <f t="shared" si="119"/>
        <v>0.5</v>
      </c>
      <c r="AK271">
        <f>step3_validation[[#This Row],[AI_TRU1]]</f>
        <v>8</v>
      </c>
      <c r="AL271">
        <f t="shared" si="120"/>
        <v>0.77777777777777779</v>
      </c>
      <c r="AM271">
        <f>survey_responses[[#This Row],[Tôi tin rằng Nhà nước, cơ quan thuế sẽ thực thi chính sách mới một cách khách quan, công tâm và đối xử bình đẳng với mọi người nộp thuế.  - HUMAN-TRU1]]</f>
        <v>3</v>
      </c>
      <c r="AN271">
        <f t="shared" si="121"/>
        <v>0.22222222222222221</v>
      </c>
      <c r="AO271">
        <f>step3_validation[[#This Row],[AI_TRU2]]</f>
        <v>9</v>
      </c>
      <c r="AP271">
        <f t="shared" si="122"/>
        <v>0.88888888888888884</v>
      </c>
      <c r="AQ271">
        <f>survey_responses[[#This Row],[Tôi thấy mức thuế tôi phải đóng theo phương án mới là công bằng (người thu nhập như tôi đóng mức này là hợp lý). - HUMAN-TRU2]]</f>
        <v>1</v>
      </c>
      <c r="AR271">
        <f t="shared" si="123"/>
        <v>0</v>
      </c>
      <c r="AS271">
        <f>step3_validation[[#This Row],[AI_TRU3]]</f>
        <v>7</v>
      </c>
      <c r="AT271">
        <f t="shared" si="124"/>
        <v>0.66666666666666663</v>
      </c>
      <c r="AU271">
        <f>survey_responses[[#This Row],[Tôi tin tưởng số tiền thuế tôi đóng sẽ được Nhà nước sử dụng hiệu quả để cải thiện dịch vụ công (y tế, đường xá...). - HUMAN-TRU3]]</f>
        <v>8</v>
      </c>
      <c r="AV271">
        <f t="shared" si="125"/>
        <v>0.77777777777777779</v>
      </c>
      <c r="AW271">
        <f>step3_validation[[#This Row],[AI_TRU4]]</f>
        <v>8</v>
      </c>
      <c r="AX271">
        <f t="shared" si="126"/>
        <v>0.77777777777777779</v>
      </c>
      <c r="AY271">
        <f>survey_responses[[#This Row],[Tôi thấy Nhà nước đã giải thích rõ ràng, minh bạch về lý do và mục tiêu của việc sửa đổi thuế lần này. - HUMAN-TRU4]]</f>
        <v>6</v>
      </c>
      <c r="AZ271">
        <f t="shared" si="127"/>
        <v>0.55555555555555558</v>
      </c>
      <c r="BA271" s="32">
        <f t="shared" si="128"/>
        <v>0.77777777777777768</v>
      </c>
      <c r="BB271" s="32">
        <f t="shared" si="129"/>
        <v>0.3888888888888889</v>
      </c>
      <c r="BC271" s="7">
        <f t="shared" si="130"/>
        <v>0.68518518518518512</v>
      </c>
      <c r="BD271" s="7">
        <f t="shared" si="131"/>
        <v>0.55555555555555547</v>
      </c>
      <c r="BE271">
        <f>step3_validation[[#This Row],[AI_OUT1]]</f>
        <v>9</v>
      </c>
      <c r="BF271">
        <f t="shared" si="132"/>
        <v>0.88888888888888884</v>
      </c>
      <c r="BG271">
        <f>survey_responses[[#This Row],[Sau khi xem xét các quyền lợi và nghĩa vụ, bạn có ủng hộ và tuân thủ chính sách mới hiện nay? - HUMAN-OUT1]]</f>
        <v>7</v>
      </c>
      <c r="BH271">
        <f t="shared" si="133"/>
        <v>0.66666666666666663</v>
      </c>
      <c r="BI271" s="32">
        <f t="shared" si="134"/>
        <v>2</v>
      </c>
    </row>
    <row r="272" spans="1:61" x14ac:dyDescent="0.45">
      <c r="A272" s="30">
        <f>step3_validation[[#This Row],[Persona_ID]]</f>
        <v>271</v>
      </c>
      <c r="B272" s="31">
        <f>step3_validation[[#This Row],[Used_Seed]]</f>
        <v>2296</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56.810136217068468</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7</v>
      </c>
      <c r="R272">
        <f t="shared" si="108"/>
        <v>0.66666666666666663</v>
      </c>
      <c r="S272">
        <f>survey_responses[[#This Row],[Tôi tin rằng với các quy định quản lý thuế hiện nay, hành vi gian lận hoặc trốn thuế sẽ dễ dàng bị phát hiện và xử lý nghiêm. - HUMAN-ENF1]]</f>
        <v>7</v>
      </c>
      <c r="T272">
        <f t="shared" si="109"/>
        <v>0.66666666666666663</v>
      </c>
      <c r="U272">
        <f>step3_validation[[#This Row],[AI_ENF2]]</f>
        <v>6</v>
      </c>
      <c r="V272">
        <f t="shared" si="110"/>
        <v>0.55555555555555558</v>
      </c>
      <c r="W272">
        <f>survey_responses[[#This Row],[Tôi tin rằng Nhà nước, cơ quan thuế có đủ khả năng và công nghệ để phát hiện, xử lý nghiêm các hành vi trốn thuế. - HUMAN-ENF2]]</f>
        <v>7</v>
      </c>
      <c r="X272">
        <f t="shared" si="111"/>
        <v>0.66666666666666663</v>
      </c>
      <c r="Y272" s="32">
        <f t="shared" si="112"/>
        <v>0.61111111111111116</v>
      </c>
      <c r="Z272" s="32">
        <f t="shared" si="113"/>
        <v>0.66666666666666663</v>
      </c>
      <c r="AA272">
        <f>step3_validation[[#This Row],[AI_FAC1]]</f>
        <v>8</v>
      </c>
      <c r="AB272">
        <f t="shared" si="114"/>
        <v>0.77777777777777779</v>
      </c>
      <c r="AC272">
        <f>survey_responses[[#This Row],[Các thủ tục khai báo thuế VÀ/HOẶC quy trình làm việc với cơ quan thuế đơn giản, tiện lợi, nhanh chóng hơn so với trước đây. - HUMAN-FAC1]]</f>
        <v>4</v>
      </c>
      <c r="AD272">
        <f t="shared" si="115"/>
        <v>0.33333333333333331</v>
      </c>
      <c r="AE272">
        <f>step3_validation[[#This Row],[AI_FAC2]]</f>
        <v>9</v>
      </c>
      <c r="AF272">
        <f t="shared" si="116"/>
        <v>0.88888888888888884</v>
      </c>
      <c r="AG272">
        <f>survey_responses[[#This Row],[So với trước đây, tôi thấy cách tính thuế và các bậc thuế trong phương án mới đơn giản, dễ hiểu và dễ thực hiện hơn. - HUMAN-FAC2]]</f>
        <v>7</v>
      </c>
      <c r="AH272">
        <f t="shared" si="117"/>
        <v>0.66666666666666663</v>
      </c>
      <c r="AI272" s="32">
        <f t="shared" si="118"/>
        <v>0.83333333333333326</v>
      </c>
      <c r="AJ272" s="32">
        <f t="shared" si="119"/>
        <v>0.5</v>
      </c>
      <c r="AK272">
        <f>step3_validation[[#This Row],[AI_TRU1]]</f>
        <v>7</v>
      </c>
      <c r="AL272">
        <f t="shared" si="120"/>
        <v>0.66666666666666663</v>
      </c>
      <c r="AM272">
        <f>survey_responses[[#This Row],[Tôi tin rằng Nhà nước, cơ quan thuế sẽ thực thi chính sách mới một cách khách quan, công tâm và đối xử bình đẳng với mọi người nộp thuế.  - HUMAN-TRU1]]</f>
        <v>7</v>
      </c>
      <c r="AN272">
        <f t="shared" si="121"/>
        <v>0.66666666666666663</v>
      </c>
      <c r="AO272">
        <f>step3_validation[[#This Row],[AI_TRU2]]</f>
        <v>9</v>
      </c>
      <c r="AP272">
        <f t="shared" si="122"/>
        <v>0.88888888888888884</v>
      </c>
      <c r="AQ272">
        <f>survey_responses[[#This Row],[Tôi thấy mức thuế tôi phải đóng theo phương án mới là công bằng (người thu nhập như tôi đóng mức này là hợp lý). - HUMAN-TRU2]]</f>
        <v>6</v>
      </c>
      <c r="AR272">
        <f t="shared" si="123"/>
        <v>0.55555555555555558</v>
      </c>
      <c r="AS272">
        <f>step3_validation[[#This Row],[AI_TRU3]]</f>
        <v>7</v>
      </c>
      <c r="AT272">
        <f t="shared" si="124"/>
        <v>0.66666666666666663</v>
      </c>
      <c r="AU272">
        <f>survey_responses[[#This Row],[Tôi tin tưởng số tiền thuế tôi đóng sẽ được Nhà nước sử dụng hiệu quả để cải thiện dịch vụ công (y tế, đường xá...). - HUMAN-TRU3]]</f>
        <v>5</v>
      </c>
      <c r="AV272">
        <f t="shared" si="125"/>
        <v>0.44444444444444442</v>
      </c>
      <c r="AW272">
        <f>step3_validation[[#This Row],[AI_TRU4]]</f>
        <v>6</v>
      </c>
      <c r="AX272">
        <f t="shared" si="126"/>
        <v>0.55555555555555558</v>
      </c>
      <c r="AY272">
        <f>survey_responses[[#This Row],[Tôi thấy Nhà nước đã giải thích rõ ràng, minh bạch về lý do và mục tiêu của việc sửa đổi thuế lần này. - HUMAN-TRU4]]</f>
        <v>7</v>
      </c>
      <c r="AZ272">
        <f t="shared" si="127"/>
        <v>0.66666666666666663</v>
      </c>
      <c r="BA272" s="32">
        <f t="shared" si="128"/>
        <v>0.69444444444444442</v>
      </c>
      <c r="BB272" s="32">
        <f t="shared" si="129"/>
        <v>0.58333333333333337</v>
      </c>
      <c r="BC272" s="7">
        <f t="shared" si="130"/>
        <v>0.71296296296296291</v>
      </c>
      <c r="BD272" s="7">
        <f t="shared" si="131"/>
        <v>0.58333333333333337</v>
      </c>
      <c r="BE272">
        <f>step3_validation[[#This Row],[AI_OUT1]]</f>
        <v>8</v>
      </c>
      <c r="BF272">
        <f t="shared" si="132"/>
        <v>0.77777777777777779</v>
      </c>
      <c r="BG272">
        <f>survey_responses[[#This Row],[Sau khi xem xét các quyền lợi và nghĩa vụ, bạn có ủng hộ và tuân thủ chính sách mới hiện nay? - HUMAN-OUT1]]</f>
        <v>6</v>
      </c>
      <c r="BH272">
        <f t="shared" si="133"/>
        <v>0.55555555555555558</v>
      </c>
      <c r="BI272" s="32">
        <f t="shared" si="134"/>
        <v>2</v>
      </c>
    </row>
    <row r="273" spans="1:61" x14ac:dyDescent="0.45">
      <c r="A273" s="30">
        <f>step3_validation[[#This Row],[Persona_ID]]</f>
        <v>272</v>
      </c>
      <c r="B273" s="31">
        <f>step3_validation[[#This Row],[Used_Seed]]</f>
        <v>2297</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40.863904573825955</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6</v>
      </c>
      <c r="R273">
        <f t="shared" si="108"/>
        <v>0.55555555555555558</v>
      </c>
      <c r="S273">
        <f>survey_responses[[#This Row],[Tôi tin rằng với các quy định quản lý thuế hiện nay, hành vi gian lận hoặc trốn thuế sẽ dễ dàng bị phát hiện và xử lý nghiêm. - HUMAN-ENF1]]</f>
        <v>7</v>
      </c>
      <c r="T273">
        <f t="shared" si="109"/>
        <v>0.66666666666666663</v>
      </c>
      <c r="U273">
        <f>step3_validation[[#This Row],[AI_ENF2]]</f>
        <v>7</v>
      </c>
      <c r="V273">
        <f t="shared" si="110"/>
        <v>0.66666666666666663</v>
      </c>
      <c r="W273">
        <f>survey_responses[[#This Row],[Tôi tin rằng Nhà nước, cơ quan thuế có đủ khả năng và công nghệ để phát hiện, xử lý nghiêm các hành vi trốn thuế. - HUMAN-ENF2]]</f>
        <v>8</v>
      </c>
      <c r="X273">
        <f t="shared" si="111"/>
        <v>0.77777777777777779</v>
      </c>
      <c r="Y273" s="32">
        <f t="shared" si="112"/>
        <v>0.61111111111111116</v>
      </c>
      <c r="Z273" s="32">
        <f t="shared" si="113"/>
        <v>0.72222222222222221</v>
      </c>
      <c r="AA273">
        <f>step3_validation[[#This Row],[AI_FAC1]]</f>
        <v>8</v>
      </c>
      <c r="AB273">
        <f t="shared" si="114"/>
        <v>0.77777777777777779</v>
      </c>
      <c r="AC273">
        <f>survey_responses[[#This Row],[Các thủ tục khai báo thuế VÀ/HOẶC quy trình làm việc với cơ quan thuế đơn giản, tiện lợi, nhanh chóng hơn so với trước đây. - HUMAN-FAC1]]</f>
        <v>2</v>
      </c>
      <c r="AD273">
        <f t="shared" si="115"/>
        <v>0.1111111111111111</v>
      </c>
      <c r="AE273">
        <f>step3_validation[[#This Row],[AI_FAC2]]</f>
        <v>9</v>
      </c>
      <c r="AF273">
        <f t="shared" si="116"/>
        <v>0.88888888888888884</v>
      </c>
      <c r="AG273">
        <f>survey_responses[[#This Row],[So với trước đây, tôi thấy cách tính thuế và các bậc thuế trong phương án mới đơn giản, dễ hiểu và dễ thực hiện hơn. - HUMAN-FAC2]]</f>
        <v>6</v>
      </c>
      <c r="AH273">
        <f t="shared" si="117"/>
        <v>0.55555555555555558</v>
      </c>
      <c r="AI273" s="32">
        <f t="shared" si="118"/>
        <v>0.83333333333333326</v>
      </c>
      <c r="AJ273" s="32">
        <f t="shared" si="119"/>
        <v>0.33333333333333337</v>
      </c>
      <c r="AK273">
        <f>step3_validation[[#This Row],[AI_TRU1]]</f>
        <v>7</v>
      </c>
      <c r="AL273">
        <f t="shared" si="120"/>
        <v>0.66666666666666663</v>
      </c>
      <c r="AM273">
        <f>survey_responses[[#This Row],[Tôi tin rằng Nhà nước, cơ quan thuế sẽ thực thi chính sách mới một cách khách quan, công tâm và đối xử bình đẳng với mọi người nộp thuế.  - HUMAN-TRU1]]</f>
        <v>6</v>
      </c>
      <c r="AN273">
        <f t="shared" si="121"/>
        <v>0.55555555555555558</v>
      </c>
      <c r="AO273">
        <f>step3_validation[[#This Row],[AI_TRU2]]</f>
        <v>9</v>
      </c>
      <c r="AP273">
        <f t="shared" si="122"/>
        <v>0.88888888888888884</v>
      </c>
      <c r="AQ273">
        <f>survey_responses[[#This Row],[Tôi thấy mức thuế tôi phải đóng theo phương án mới là công bằng (người thu nhập như tôi đóng mức này là hợp lý). - HUMAN-TRU2]]</f>
        <v>6</v>
      </c>
      <c r="AR273">
        <f t="shared" si="123"/>
        <v>0.55555555555555558</v>
      </c>
      <c r="AS273">
        <f>step3_validation[[#This Row],[AI_TRU3]]</f>
        <v>8</v>
      </c>
      <c r="AT273">
        <f t="shared" si="124"/>
        <v>0.77777777777777779</v>
      </c>
      <c r="AU273">
        <f>survey_responses[[#This Row],[Tôi tin tưởng số tiền thuế tôi đóng sẽ được Nhà nước sử dụng hiệu quả để cải thiện dịch vụ công (y tế, đường xá...). - HUMAN-TRU3]]</f>
        <v>5</v>
      </c>
      <c r="AV273">
        <f t="shared" si="125"/>
        <v>0.44444444444444442</v>
      </c>
      <c r="AW273">
        <f>step3_validation[[#This Row],[AI_TRU4]]</f>
        <v>7</v>
      </c>
      <c r="AX273">
        <f t="shared" si="126"/>
        <v>0.66666666666666663</v>
      </c>
      <c r="AY273">
        <f>survey_responses[[#This Row],[Tôi thấy Nhà nước đã giải thích rõ ràng, minh bạch về lý do và mục tiêu của việc sửa đổi thuế lần này. - HUMAN-TRU4]]</f>
        <v>5</v>
      </c>
      <c r="AZ273">
        <f t="shared" si="127"/>
        <v>0.44444444444444442</v>
      </c>
      <c r="BA273" s="32">
        <f t="shared" si="128"/>
        <v>0.74999999999999989</v>
      </c>
      <c r="BB273" s="32">
        <f t="shared" si="129"/>
        <v>0.5</v>
      </c>
      <c r="BC273" s="7">
        <f t="shared" si="130"/>
        <v>0.7314814814814814</v>
      </c>
      <c r="BD273" s="7">
        <f t="shared" si="131"/>
        <v>0.51851851851851849</v>
      </c>
      <c r="BE273">
        <f>step3_validation[[#This Row],[AI_OUT1]]</f>
        <v>9</v>
      </c>
      <c r="BF273">
        <f t="shared" si="132"/>
        <v>0.88888888888888884</v>
      </c>
      <c r="BG273">
        <f>survey_responses[[#This Row],[Sau khi xem xét các quyền lợi và nghĩa vụ, bạn có ủng hộ và tuân thủ chính sách mới hiện nay? - HUMAN-OUT1]]</f>
        <v>6</v>
      </c>
      <c r="BH273">
        <f t="shared" si="133"/>
        <v>0.55555555555555558</v>
      </c>
      <c r="BI273" s="32">
        <f t="shared" si="134"/>
        <v>3</v>
      </c>
    </row>
    <row r="274" spans="1:61" x14ac:dyDescent="0.45">
      <c r="A274" s="30">
        <f>step3_validation[[#This Row],[Persona_ID]]</f>
        <v>273</v>
      </c>
      <c r="B274" s="31">
        <f>step3_validation[[#This Row],[Used_Seed]]</f>
        <v>2298</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87.341336277122693</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8</v>
      </c>
      <c r="R274">
        <f t="shared" si="108"/>
        <v>0.77777777777777779</v>
      </c>
      <c r="S274">
        <f>survey_responses[[#This Row],[Tôi tin rằng với các quy định quản lý thuế hiện nay, hành vi gian lận hoặc trốn thuế sẽ dễ dàng bị phát hiện và xử lý nghiêm. - HUMAN-ENF1]]</f>
        <v>3</v>
      </c>
      <c r="T274">
        <f t="shared" si="109"/>
        <v>0.22222222222222221</v>
      </c>
      <c r="U274">
        <f>step3_validation[[#This Row],[AI_ENF2]]</f>
        <v>7</v>
      </c>
      <c r="V274">
        <f t="shared" si="110"/>
        <v>0.66666666666666663</v>
      </c>
      <c r="W274">
        <f>survey_responses[[#This Row],[Tôi tin rằng Nhà nước, cơ quan thuế có đủ khả năng và công nghệ để phát hiện, xử lý nghiêm các hành vi trốn thuế. - HUMAN-ENF2]]</f>
        <v>3</v>
      </c>
      <c r="X274">
        <f t="shared" si="111"/>
        <v>0.22222222222222221</v>
      </c>
      <c r="Y274" s="32">
        <f t="shared" si="112"/>
        <v>0.72222222222222221</v>
      </c>
      <c r="Z274" s="32">
        <f t="shared" si="113"/>
        <v>0.22222222222222221</v>
      </c>
      <c r="AA274">
        <f>step3_validation[[#This Row],[AI_FAC1]]</f>
        <v>9</v>
      </c>
      <c r="AB274">
        <f t="shared" si="114"/>
        <v>0.88888888888888884</v>
      </c>
      <c r="AC274">
        <f>survey_responses[[#This Row],[Các thủ tục khai báo thuế VÀ/HOẶC quy trình làm việc với cơ quan thuế đơn giản, tiện lợi, nhanh chóng hơn so với trước đây. - HUMAN-FAC1]]</f>
        <v>1</v>
      </c>
      <c r="AD274">
        <f t="shared" si="115"/>
        <v>0</v>
      </c>
      <c r="AE274">
        <f>step3_validation[[#This Row],[AI_FAC2]]</f>
        <v>8</v>
      </c>
      <c r="AF274">
        <f t="shared" si="116"/>
        <v>0.77777777777777779</v>
      </c>
      <c r="AG274">
        <f>survey_responses[[#This Row],[So với trước đây, tôi thấy cách tính thuế và các bậc thuế trong phương án mới đơn giản, dễ hiểu và dễ thực hiện hơn. - HUMAN-FAC2]]</f>
        <v>6</v>
      </c>
      <c r="AH274">
        <f t="shared" si="117"/>
        <v>0.55555555555555558</v>
      </c>
      <c r="AI274" s="32">
        <f t="shared" si="118"/>
        <v>0.83333333333333326</v>
      </c>
      <c r="AJ274" s="32">
        <f t="shared" si="119"/>
        <v>0.27777777777777779</v>
      </c>
      <c r="AK274">
        <f>step3_validation[[#This Row],[AI_TRU1]]</f>
        <v>7</v>
      </c>
      <c r="AL274">
        <f t="shared" si="120"/>
        <v>0.66666666666666663</v>
      </c>
      <c r="AM274">
        <f>survey_responses[[#This Row],[Tôi tin rằng Nhà nước, cơ quan thuế sẽ thực thi chính sách mới một cách khách quan, công tâm và đối xử bình đẳng với mọi người nộp thuế.  - HUMAN-TRU1]]</f>
        <v>1</v>
      </c>
      <c r="AN274">
        <f t="shared" si="121"/>
        <v>0</v>
      </c>
      <c r="AO274">
        <f>step3_validation[[#This Row],[AI_TRU2]]</f>
        <v>8</v>
      </c>
      <c r="AP274">
        <f t="shared" si="122"/>
        <v>0.77777777777777779</v>
      </c>
      <c r="AQ274">
        <f>survey_responses[[#This Row],[Tôi thấy mức thuế tôi phải đóng theo phương án mới là công bằng (người thu nhập như tôi đóng mức này là hợp lý). - HUMAN-TRU2]]</f>
        <v>1</v>
      </c>
      <c r="AR274">
        <f t="shared" si="123"/>
        <v>0</v>
      </c>
      <c r="AS274">
        <f>step3_validation[[#This Row],[AI_TRU3]]</f>
        <v>7</v>
      </c>
      <c r="AT274">
        <f t="shared" si="124"/>
        <v>0.66666666666666663</v>
      </c>
      <c r="AU274">
        <f>survey_responses[[#This Row],[Tôi tin tưởng số tiền thuế tôi đóng sẽ được Nhà nước sử dụng hiệu quả để cải thiện dịch vụ công (y tế, đường xá...). - HUMAN-TRU3]]</f>
        <v>1</v>
      </c>
      <c r="AV274">
        <f t="shared" si="125"/>
        <v>0</v>
      </c>
      <c r="AW274">
        <f>step3_validation[[#This Row],[AI_TRU4]]</f>
        <v>6</v>
      </c>
      <c r="AX274">
        <f t="shared" si="126"/>
        <v>0.55555555555555558</v>
      </c>
      <c r="AY274">
        <f>survey_responses[[#This Row],[Tôi thấy Nhà nước đã giải thích rõ ràng, minh bạch về lý do và mục tiêu của việc sửa đổi thuế lần này. - HUMAN-TRU4]]</f>
        <v>1</v>
      </c>
      <c r="AZ274">
        <f t="shared" si="127"/>
        <v>0</v>
      </c>
      <c r="BA274" s="32">
        <f t="shared" si="128"/>
        <v>0.66666666666666674</v>
      </c>
      <c r="BB274" s="32">
        <f t="shared" si="129"/>
        <v>0</v>
      </c>
      <c r="BC274" s="7">
        <f t="shared" si="130"/>
        <v>0.74074074074074081</v>
      </c>
      <c r="BD274" s="7">
        <f t="shared" si="131"/>
        <v>0.16666666666666666</v>
      </c>
      <c r="BE274">
        <f>step3_validation[[#This Row],[AI_OUT1]]</f>
        <v>9</v>
      </c>
      <c r="BF274">
        <f t="shared" si="132"/>
        <v>0.88888888888888884</v>
      </c>
      <c r="BG274">
        <f>survey_responses[[#This Row],[Sau khi xem xét các quyền lợi và nghĩa vụ, bạn có ủng hộ và tuân thủ chính sách mới hiện nay? - HUMAN-OUT1]]</f>
        <v>1</v>
      </c>
      <c r="BH274">
        <f t="shared" si="133"/>
        <v>0</v>
      </c>
      <c r="BI274" s="32">
        <f t="shared" si="134"/>
        <v>8</v>
      </c>
    </row>
    <row r="275" spans="1:61" x14ac:dyDescent="0.45">
      <c r="A275" s="30">
        <f>step3_validation[[#This Row],[Persona_ID]]</f>
        <v>274</v>
      </c>
      <c r="B275" s="31">
        <f>step3_validation[[#This Row],[Used_Seed]]</f>
        <v>2299</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50.676369719896847</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5</v>
      </c>
      <c r="R275">
        <f t="shared" si="108"/>
        <v>0.44444444444444442</v>
      </c>
      <c r="S275">
        <f>survey_responses[[#This Row],[Tôi tin rằng với các quy định quản lý thuế hiện nay, hành vi gian lận hoặc trốn thuế sẽ dễ dàng bị phát hiện và xử lý nghiêm. - HUMAN-ENF1]]</f>
        <v>6</v>
      </c>
      <c r="T275">
        <f t="shared" si="109"/>
        <v>0.55555555555555558</v>
      </c>
      <c r="U275">
        <f>step3_validation[[#This Row],[AI_ENF2]]</f>
        <v>7</v>
      </c>
      <c r="V275">
        <f t="shared" si="110"/>
        <v>0.66666666666666663</v>
      </c>
      <c r="W275">
        <f>survey_responses[[#This Row],[Tôi tin rằng Nhà nước, cơ quan thuế có đủ khả năng và công nghệ để phát hiện, xử lý nghiêm các hành vi trốn thuế. - HUMAN-ENF2]]</f>
        <v>6</v>
      </c>
      <c r="X275">
        <f t="shared" si="111"/>
        <v>0.55555555555555558</v>
      </c>
      <c r="Y275" s="32">
        <f t="shared" si="112"/>
        <v>0.55555555555555558</v>
      </c>
      <c r="Z275" s="32">
        <f t="shared" si="113"/>
        <v>0.55555555555555558</v>
      </c>
      <c r="AA275">
        <f>step3_validation[[#This Row],[AI_FAC1]]</f>
        <v>8</v>
      </c>
      <c r="AB275">
        <f t="shared" si="114"/>
        <v>0.77777777777777779</v>
      </c>
      <c r="AC275">
        <f>survey_responses[[#This Row],[Các thủ tục khai báo thuế VÀ/HOẶC quy trình làm việc với cơ quan thuế đơn giản, tiện lợi, nhanh chóng hơn so với trước đây. - HUMAN-FAC1]]</f>
        <v>5</v>
      </c>
      <c r="AD275">
        <f t="shared" si="115"/>
        <v>0.44444444444444442</v>
      </c>
      <c r="AE275">
        <f>step3_validation[[#This Row],[AI_FAC2]]</f>
        <v>9</v>
      </c>
      <c r="AF275">
        <f t="shared" si="116"/>
        <v>0.88888888888888884</v>
      </c>
      <c r="AG275">
        <f>survey_responses[[#This Row],[So với trước đây, tôi thấy cách tính thuế và các bậc thuế trong phương án mới đơn giản, dễ hiểu và dễ thực hiện hơn. - HUMAN-FAC2]]</f>
        <v>6</v>
      </c>
      <c r="AH275">
        <f t="shared" si="117"/>
        <v>0.55555555555555558</v>
      </c>
      <c r="AI275" s="32">
        <f t="shared" si="118"/>
        <v>0.83333333333333326</v>
      </c>
      <c r="AJ275" s="32">
        <f t="shared" si="119"/>
        <v>0.5</v>
      </c>
      <c r="AK275">
        <f>step3_validation[[#This Row],[AI_TRU1]]</f>
        <v>7</v>
      </c>
      <c r="AL275">
        <f t="shared" si="120"/>
        <v>0.66666666666666663</v>
      </c>
      <c r="AM275">
        <f>survey_responses[[#This Row],[Tôi tin rằng Nhà nước, cơ quan thuế sẽ thực thi chính sách mới một cách khách quan, công tâm và đối xử bình đẳng với mọi người nộp thuế.  - HUMAN-TRU1]]</f>
        <v>6</v>
      </c>
      <c r="AN275">
        <f t="shared" si="121"/>
        <v>0.55555555555555558</v>
      </c>
      <c r="AO275">
        <f>step3_validation[[#This Row],[AI_TRU2]]</f>
        <v>9</v>
      </c>
      <c r="AP275">
        <f t="shared" si="122"/>
        <v>0.88888888888888884</v>
      </c>
      <c r="AQ275">
        <f>survey_responses[[#This Row],[Tôi thấy mức thuế tôi phải đóng theo phương án mới là công bằng (người thu nhập như tôi đóng mức này là hợp lý). - HUMAN-TRU2]]</f>
        <v>6</v>
      </c>
      <c r="AR275">
        <f t="shared" si="123"/>
        <v>0.55555555555555558</v>
      </c>
      <c r="AS275">
        <f>step3_validation[[#This Row],[AI_TRU3]]</f>
        <v>6</v>
      </c>
      <c r="AT275">
        <f t="shared" si="124"/>
        <v>0.55555555555555558</v>
      </c>
      <c r="AU275">
        <f>survey_responses[[#This Row],[Tôi tin tưởng số tiền thuế tôi đóng sẽ được Nhà nước sử dụng hiệu quả để cải thiện dịch vụ công (y tế, đường xá...). - HUMAN-TRU3]]</f>
        <v>6</v>
      </c>
      <c r="AV275">
        <f t="shared" si="125"/>
        <v>0.55555555555555558</v>
      </c>
      <c r="AW275">
        <f>step3_validation[[#This Row],[AI_TRU4]]</f>
        <v>8</v>
      </c>
      <c r="AX275">
        <f t="shared" si="126"/>
        <v>0.77777777777777779</v>
      </c>
      <c r="AY275">
        <f>survey_responses[[#This Row],[Tôi thấy Nhà nước đã giải thích rõ ràng, minh bạch về lý do và mục tiêu của việc sửa đổi thuế lần này. - HUMAN-TRU4]]</f>
        <v>6</v>
      </c>
      <c r="AZ275">
        <f t="shared" si="127"/>
        <v>0.55555555555555558</v>
      </c>
      <c r="BA275" s="32">
        <f t="shared" si="128"/>
        <v>0.7222222222222221</v>
      </c>
      <c r="BB275" s="32">
        <f t="shared" si="129"/>
        <v>0.55555555555555558</v>
      </c>
      <c r="BC275" s="7">
        <f t="shared" si="130"/>
        <v>0.70370370370370361</v>
      </c>
      <c r="BD275" s="7">
        <f t="shared" si="131"/>
        <v>0.53703703703703709</v>
      </c>
      <c r="BE275">
        <f>step3_validation[[#This Row],[AI_OUT1]]</f>
        <v>9</v>
      </c>
      <c r="BF275">
        <f t="shared" si="132"/>
        <v>0.88888888888888884</v>
      </c>
      <c r="BG275">
        <f>survey_responses[[#This Row],[Sau khi xem xét các quyền lợi và nghĩa vụ, bạn có ủng hộ và tuân thủ chính sách mới hiện nay? - HUMAN-OUT1]]</f>
        <v>6</v>
      </c>
      <c r="BH275">
        <f t="shared" si="133"/>
        <v>0.55555555555555558</v>
      </c>
      <c r="BI275" s="32">
        <f t="shared" si="134"/>
        <v>3</v>
      </c>
    </row>
    <row r="276" spans="1:61" x14ac:dyDescent="0.45">
      <c r="A276" s="30">
        <f>step3_validation[[#This Row],[Persona_ID]]</f>
        <v>275</v>
      </c>
      <c r="B276" s="31">
        <f>step3_validation[[#This Row],[Used_Seed]]</f>
        <v>2300</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67.798166141260467</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7</v>
      </c>
      <c r="R276">
        <f t="shared" si="108"/>
        <v>0.66666666666666663</v>
      </c>
      <c r="S276">
        <f>survey_responses[[#This Row],[Tôi tin rằng với các quy định quản lý thuế hiện nay, hành vi gian lận hoặc trốn thuế sẽ dễ dàng bị phát hiện và xử lý nghiêm. - HUMAN-ENF1]]</f>
        <v>8</v>
      </c>
      <c r="T276">
        <f t="shared" si="109"/>
        <v>0.77777777777777779</v>
      </c>
      <c r="U276">
        <f>step3_validation[[#This Row],[AI_ENF2]]</f>
        <v>6</v>
      </c>
      <c r="V276">
        <f t="shared" si="110"/>
        <v>0.55555555555555558</v>
      </c>
      <c r="W276">
        <f>survey_responses[[#This Row],[Tôi tin rằng Nhà nước, cơ quan thuế có đủ khả năng và công nghệ để phát hiện, xử lý nghiêm các hành vi trốn thuế. - HUMAN-ENF2]]</f>
        <v>9</v>
      </c>
      <c r="X276">
        <f t="shared" si="111"/>
        <v>0.88888888888888884</v>
      </c>
      <c r="Y276" s="32">
        <f t="shared" si="112"/>
        <v>0.61111111111111116</v>
      </c>
      <c r="Z276" s="32">
        <f t="shared" si="113"/>
        <v>0.83333333333333326</v>
      </c>
      <c r="AA276">
        <f>step3_validation[[#This Row],[AI_FAC1]]</f>
        <v>8</v>
      </c>
      <c r="AB276">
        <f t="shared" si="114"/>
        <v>0.77777777777777779</v>
      </c>
      <c r="AC276">
        <f>survey_responses[[#This Row],[Các thủ tục khai báo thuế VÀ/HOẶC quy trình làm việc với cơ quan thuế đơn giản, tiện lợi, nhanh chóng hơn so với trước đây. - HUMAN-FAC1]]</f>
        <v>5</v>
      </c>
      <c r="AD276">
        <f t="shared" si="115"/>
        <v>0.44444444444444442</v>
      </c>
      <c r="AE276">
        <f>step3_validation[[#This Row],[AI_FAC2]]</f>
        <v>9</v>
      </c>
      <c r="AF276">
        <f t="shared" si="116"/>
        <v>0.88888888888888884</v>
      </c>
      <c r="AG276">
        <f>survey_responses[[#This Row],[So với trước đây, tôi thấy cách tính thuế và các bậc thuế trong phương án mới đơn giản, dễ hiểu và dễ thực hiện hơn. - HUMAN-FAC2]]</f>
        <v>7</v>
      </c>
      <c r="AH276">
        <f t="shared" si="117"/>
        <v>0.66666666666666663</v>
      </c>
      <c r="AI276" s="32">
        <f t="shared" si="118"/>
        <v>0.83333333333333326</v>
      </c>
      <c r="AJ276" s="32">
        <f t="shared" si="119"/>
        <v>0.55555555555555558</v>
      </c>
      <c r="AK276">
        <f>step3_validation[[#This Row],[AI_TRU1]]</f>
        <v>5</v>
      </c>
      <c r="AL276">
        <f t="shared" si="120"/>
        <v>0.44444444444444442</v>
      </c>
      <c r="AM276">
        <f>survey_responses[[#This Row],[Tôi tin rằng Nhà nước, cơ quan thuế sẽ thực thi chính sách mới một cách khách quan, công tâm và đối xử bình đẳng với mọi người nộp thuế.  - HUMAN-TRU1]]</f>
        <v>6</v>
      </c>
      <c r="AN276">
        <f t="shared" si="121"/>
        <v>0.55555555555555558</v>
      </c>
      <c r="AO276">
        <f>step3_validation[[#This Row],[AI_TRU2]]</f>
        <v>9</v>
      </c>
      <c r="AP276">
        <f t="shared" si="122"/>
        <v>0.88888888888888884</v>
      </c>
      <c r="AQ276">
        <f>survey_responses[[#This Row],[Tôi thấy mức thuế tôi phải đóng theo phương án mới là công bằng (người thu nhập như tôi đóng mức này là hợp lý). - HUMAN-TRU2]]</f>
        <v>7</v>
      </c>
      <c r="AR276">
        <f t="shared" si="123"/>
        <v>0.66666666666666663</v>
      </c>
      <c r="AS276">
        <f>step3_validation[[#This Row],[AI_TRU3]]</f>
        <v>6</v>
      </c>
      <c r="AT276">
        <f t="shared" si="124"/>
        <v>0.55555555555555558</v>
      </c>
      <c r="AU276">
        <f>survey_responses[[#This Row],[Tôi tin tưởng số tiền thuế tôi đóng sẽ được Nhà nước sử dụng hiệu quả để cải thiện dịch vụ công (y tế, đường xá...). - HUMAN-TRU3]]</f>
        <v>7</v>
      </c>
      <c r="AV276">
        <f t="shared" si="125"/>
        <v>0.66666666666666663</v>
      </c>
      <c r="AW276">
        <f>step3_validation[[#This Row],[AI_TRU4]]</f>
        <v>7</v>
      </c>
      <c r="AX276">
        <f t="shared" si="126"/>
        <v>0.66666666666666663</v>
      </c>
      <c r="AY276">
        <f>survey_responses[[#This Row],[Tôi thấy Nhà nước đã giải thích rõ ràng, minh bạch về lý do và mục tiêu của việc sửa đổi thuế lần này. - HUMAN-TRU4]]</f>
        <v>7</v>
      </c>
      <c r="AZ276">
        <f t="shared" si="127"/>
        <v>0.66666666666666663</v>
      </c>
      <c r="BA276" s="32">
        <f t="shared" si="128"/>
        <v>0.63888888888888884</v>
      </c>
      <c r="BB276" s="32">
        <f t="shared" si="129"/>
        <v>0.63888888888888884</v>
      </c>
      <c r="BC276" s="7">
        <f t="shared" si="130"/>
        <v>0.69444444444444431</v>
      </c>
      <c r="BD276" s="7">
        <f t="shared" si="131"/>
        <v>0.67592592592592593</v>
      </c>
      <c r="BE276">
        <f>step3_validation[[#This Row],[AI_OUT1]]</f>
        <v>9</v>
      </c>
      <c r="BF276">
        <f t="shared" si="132"/>
        <v>0.88888888888888884</v>
      </c>
      <c r="BG276">
        <f>survey_responses[[#This Row],[Sau khi xem xét các quyền lợi và nghĩa vụ, bạn có ủng hộ và tuân thủ chính sách mới hiện nay? - HUMAN-OUT1]]</f>
        <v>7</v>
      </c>
      <c r="BH276">
        <f t="shared" si="133"/>
        <v>0.66666666666666663</v>
      </c>
      <c r="BI276" s="32">
        <f t="shared" si="134"/>
        <v>2</v>
      </c>
    </row>
    <row r="277" spans="1:61" x14ac:dyDescent="0.45">
      <c r="A277" s="30">
        <f>step3_validation[[#This Row],[Persona_ID]]</f>
        <v>276</v>
      </c>
      <c r="B277" s="31">
        <f>step3_validation[[#This Row],[Used_Seed]]</f>
        <v>2301</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43.07065024677577</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6</v>
      </c>
      <c r="R277">
        <f t="shared" si="108"/>
        <v>0.55555555555555558</v>
      </c>
      <c r="S277">
        <f>survey_responses[[#This Row],[Tôi tin rằng với các quy định quản lý thuế hiện nay, hành vi gian lận hoặc trốn thuế sẽ dễ dàng bị phát hiện và xử lý nghiêm. - HUMAN-ENF1]]</f>
        <v>6</v>
      </c>
      <c r="T277">
        <f t="shared" si="109"/>
        <v>0.55555555555555558</v>
      </c>
      <c r="U277">
        <f>step3_validation[[#This Row],[AI_ENF2]]</f>
        <v>7</v>
      </c>
      <c r="V277">
        <f t="shared" si="110"/>
        <v>0.66666666666666663</v>
      </c>
      <c r="W277">
        <f>survey_responses[[#This Row],[Tôi tin rằng Nhà nước, cơ quan thuế có đủ khả năng và công nghệ để phát hiện, xử lý nghiêm các hành vi trốn thuế. - HUMAN-ENF2]]</f>
        <v>6</v>
      </c>
      <c r="X277">
        <f t="shared" si="111"/>
        <v>0.55555555555555558</v>
      </c>
      <c r="Y277" s="32">
        <f t="shared" si="112"/>
        <v>0.61111111111111116</v>
      </c>
      <c r="Z277" s="32">
        <f t="shared" si="113"/>
        <v>0.55555555555555558</v>
      </c>
      <c r="AA277">
        <f>step3_validation[[#This Row],[AI_FAC1]]</f>
        <v>8</v>
      </c>
      <c r="AB277">
        <f t="shared" si="114"/>
        <v>0.77777777777777779</v>
      </c>
      <c r="AC277">
        <f>survey_responses[[#This Row],[Các thủ tục khai báo thuế VÀ/HOẶC quy trình làm việc với cơ quan thuế đơn giản, tiện lợi, nhanh chóng hơn so với trước đây. - HUMAN-FAC1]]</f>
        <v>3</v>
      </c>
      <c r="AD277">
        <f t="shared" si="115"/>
        <v>0.22222222222222221</v>
      </c>
      <c r="AE277">
        <f>step3_validation[[#This Row],[AI_FAC2]]</f>
        <v>9</v>
      </c>
      <c r="AF277">
        <f t="shared" si="116"/>
        <v>0.88888888888888884</v>
      </c>
      <c r="AG277">
        <f>survey_responses[[#This Row],[So với trước đây, tôi thấy cách tính thuế và các bậc thuế trong phương án mới đơn giản, dễ hiểu và dễ thực hiện hơn. - HUMAN-FAC2]]</f>
        <v>7</v>
      </c>
      <c r="AH277">
        <f t="shared" si="117"/>
        <v>0.66666666666666663</v>
      </c>
      <c r="AI277" s="32">
        <f t="shared" si="118"/>
        <v>0.83333333333333326</v>
      </c>
      <c r="AJ277" s="32">
        <f t="shared" si="119"/>
        <v>0.44444444444444442</v>
      </c>
      <c r="AK277">
        <f>step3_validation[[#This Row],[AI_TRU1]]</f>
        <v>8</v>
      </c>
      <c r="AL277">
        <f t="shared" si="120"/>
        <v>0.77777777777777779</v>
      </c>
      <c r="AM277">
        <f>survey_responses[[#This Row],[Tôi tin rằng Nhà nước, cơ quan thuế sẽ thực thi chính sách mới một cách khách quan, công tâm và đối xử bình đẳng với mọi người nộp thuế.  - HUMAN-TRU1]]</f>
        <v>7</v>
      </c>
      <c r="AN277">
        <f t="shared" si="121"/>
        <v>0.66666666666666663</v>
      </c>
      <c r="AO277">
        <f>step3_validation[[#This Row],[AI_TRU2]]</f>
        <v>9</v>
      </c>
      <c r="AP277">
        <f t="shared" si="122"/>
        <v>0.88888888888888884</v>
      </c>
      <c r="AQ277">
        <f>survey_responses[[#This Row],[Tôi thấy mức thuế tôi phải đóng theo phương án mới là công bằng (người thu nhập như tôi đóng mức này là hợp lý). - HUMAN-TRU2]]</f>
        <v>7</v>
      </c>
      <c r="AR277">
        <f t="shared" si="123"/>
        <v>0.66666666666666663</v>
      </c>
      <c r="AS277">
        <f>step3_validation[[#This Row],[AI_TRU3]]</f>
        <v>8</v>
      </c>
      <c r="AT277">
        <f t="shared" si="124"/>
        <v>0.77777777777777779</v>
      </c>
      <c r="AU277">
        <f>survey_responses[[#This Row],[Tôi tin tưởng số tiền thuế tôi đóng sẽ được Nhà nước sử dụng hiệu quả để cải thiện dịch vụ công (y tế, đường xá...). - HUMAN-TRU3]]</f>
        <v>5</v>
      </c>
      <c r="AV277">
        <f t="shared" si="125"/>
        <v>0.44444444444444442</v>
      </c>
      <c r="AW277">
        <f>step3_validation[[#This Row],[AI_TRU4]]</f>
        <v>7</v>
      </c>
      <c r="AX277">
        <f t="shared" si="126"/>
        <v>0.66666666666666663</v>
      </c>
      <c r="AY277">
        <f>survey_responses[[#This Row],[Tôi thấy Nhà nước đã giải thích rõ ràng, minh bạch về lý do và mục tiêu của việc sửa đổi thuế lần này. - HUMAN-TRU4]]</f>
        <v>7</v>
      </c>
      <c r="AZ277">
        <f t="shared" si="127"/>
        <v>0.66666666666666663</v>
      </c>
      <c r="BA277" s="32">
        <f t="shared" si="128"/>
        <v>0.77777777777777768</v>
      </c>
      <c r="BB277" s="32">
        <f t="shared" si="129"/>
        <v>0.61111111111111105</v>
      </c>
      <c r="BC277" s="7">
        <f t="shared" si="130"/>
        <v>0.74074074074074081</v>
      </c>
      <c r="BD277" s="7">
        <f t="shared" si="131"/>
        <v>0.53703703703703709</v>
      </c>
      <c r="BE277">
        <f>step3_validation[[#This Row],[AI_OUT1]]</f>
        <v>8</v>
      </c>
      <c r="BF277">
        <f t="shared" si="132"/>
        <v>0.77777777777777779</v>
      </c>
      <c r="BG277">
        <f>survey_responses[[#This Row],[Sau khi xem xét các quyền lợi và nghĩa vụ, bạn có ủng hộ và tuân thủ chính sách mới hiện nay? - HUMAN-OUT1]]</f>
        <v>7</v>
      </c>
      <c r="BH277">
        <f t="shared" si="133"/>
        <v>0.66666666666666663</v>
      </c>
      <c r="BI277" s="32">
        <f t="shared" si="134"/>
        <v>1</v>
      </c>
    </row>
    <row r="278" spans="1:61" x14ac:dyDescent="0.45">
      <c r="A278" s="30">
        <f>step3_validation[[#This Row],[Persona_ID]]</f>
        <v>277</v>
      </c>
      <c r="B278" s="31">
        <f>step3_validation[[#This Row],[Used_Seed]]</f>
        <v>2302</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94.959946929181413</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9</v>
      </c>
      <c r="R278">
        <f t="shared" si="108"/>
        <v>0.88888888888888884</v>
      </c>
      <c r="S278">
        <f>survey_responses[[#This Row],[Tôi tin rằng với các quy định quản lý thuế hiện nay, hành vi gian lận hoặc trốn thuế sẽ dễ dàng bị phát hiện và xử lý nghiêm. - HUMAN-ENF1]]</f>
        <v>8</v>
      </c>
      <c r="T278">
        <f t="shared" si="109"/>
        <v>0.77777777777777779</v>
      </c>
      <c r="U278">
        <f>step3_validation[[#This Row],[AI_ENF2]]</f>
        <v>8</v>
      </c>
      <c r="V278">
        <f t="shared" si="110"/>
        <v>0.77777777777777779</v>
      </c>
      <c r="W278">
        <f>survey_responses[[#This Row],[Tôi tin rằng Nhà nước, cơ quan thuế có đủ khả năng và công nghệ để phát hiện, xử lý nghiêm các hành vi trốn thuế. - HUMAN-ENF2]]</f>
        <v>8</v>
      </c>
      <c r="X278">
        <f t="shared" si="111"/>
        <v>0.77777777777777779</v>
      </c>
      <c r="Y278" s="32">
        <f t="shared" si="112"/>
        <v>0.83333333333333326</v>
      </c>
      <c r="Z278" s="32">
        <f t="shared" si="113"/>
        <v>0.77777777777777779</v>
      </c>
      <c r="AA278">
        <f>step3_validation[[#This Row],[AI_FAC1]]</f>
        <v>7</v>
      </c>
      <c r="AB278">
        <f t="shared" si="114"/>
        <v>0.66666666666666663</v>
      </c>
      <c r="AC278">
        <f>survey_responses[[#This Row],[Các thủ tục khai báo thuế VÀ/HOẶC quy trình làm việc với cơ quan thuế đơn giản, tiện lợi, nhanh chóng hơn so với trước đây. - HUMAN-FAC1]]</f>
        <v>6</v>
      </c>
      <c r="AD278">
        <f t="shared" si="115"/>
        <v>0.55555555555555558</v>
      </c>
      <c r="AE278">
        <f>step3_validation[[#This Row],[AI_FAC2]]</f>
        <v>8</v>
      </c>
      <c r="AF278">
        <f t="shared" si="116"/>
        <v>0.77777777777777779</v>
      </c>
      <c r="AG278">
        <f>survey_responses[[#This Row],[So với trước đây, tôi thấy cách tính thuế và các bậc thuế trong phương án mới đơn giản, dễ hiểu và dễ thực hiện hơn. - HUMAN-FAC2]]</f>
        <v>7</v>
      </c>
      <c r="AH278">
        <f t="shared" si="117"/>
        <v>0.66666666666666663</v>
      </c>
      <c r="AI278" s="32">
        <f t="shared" si="118"/>
        <v>0.72222222222222221</v>
      </c>
      <c r="AJ278" s="32">
        <f t="shared" si="119"/>
        <v>0.61111111111111116</v>
      </c>
      <c r="AK278">
        <f>step3_validation[[#This Row],[AI_TRU1]]</f>
        <v>7</v>
      </c>
      <c r="AL278">
        <f t="shared" si="120"/>
        <v>0.66666666666666663</v>
      </c>
      <c r="AM278">
        <f>survey_responses[[#This Row],[Tôi tin rằng Nhà nước, cơ quan thuế sẽ thực thi chính sách mới một cách khách quan, công tâm và đối xử bình đẳng với mọi người nộp thuế.  - HUMAN-TRU1]]</f>
        <v>7</v>
      </c>
      <c r="AN278">
        <f t="shared" si="121"/>
        <v>0.66666666666666663</v>
      </c>
      <c r="AO278">
        <f>step3_validation[[#This Row],[AI_TRU2]]</f>
        <v>7</v>
      </c>
      <c r="AP278">
        <f t="shared" si="122"/>
        <v>0.66666666666666663</v>
      </c>
      <c r="AQ278">
        <f>survey_responses[[#This Row],[Tôi thấy mức thuế tôi phải đóng theo phương án mới là công bằng (người thu nhập như tôi đóng mức này là hợp lý). - HUMAN-TRU2]]</f>
        <v>4</v>
      </c>
      <c r="AR278">
        <f t="shared" si="123"/>
        <v>0.33333333333333331</v>
      </c>
      <c r="AS278">
        <f>step3_validation[[#This Row],[AI_TRU3]]</f>
        <v>6</v>
      </c>
      <c r="AT278">
        <f t="shared" si="124"/>
        <v>0.55555555555555558</v>
      </c>
      <c r="AU278">
        <f>survey_responses[[#This Row],[Tôi tin tưởng số tiền thuế tôi đóng sẽ được Nhà nước sử dụng hiệu quả để cải thiện dịch vụ công (y tế, đường xá...). - HUMAN-TRU3]]</f>
        <v>5</v>
      </c>
      <c r="AV278">
        <f t="shared" si="125"/>
        <v>0.44444444444444442</v>
      </c>
      <c r="AW278">
        <f>step3_validation[[#This Row],[AI_TRU4]]</f>
        <v>7</v>
      </c>
      <c r="AX278">
        <f t="shared" si="126"/>
        <v>0.66666666666666663</v>
      </c>
      <c r="AY278">
        <f>survey_responses[[#This Row],[Tôi thấy Nhà nước đã giải thích rõ ràng, minh bạch về lý do và mục tiêu của việc sửa đổi thuế lần này. - HUMAN-TRU4]]</f>
        <v>5</v>
      </c>
      <c r="AZ278">
        <f t="shared" si="127"/>
        <v>0.44444444444444442</v>
      </c>
      <c r="BA278" s="32">
        <f t="shared" si="128"/>
        <v>0.63888888888888884</v>
      </c>
      <c r="BB278" s="32">
        <f t="shared" si="129"/>
        <v>0.47222222222222221</v>
      </c>
      <c r="BC278" s="7">
        <f t="shared" si="130"/>
        <v>0.7314814814814814</v>
      </c>
      <c r="BD278" s="7">
        <f t="shared" si="131"/>
        <v>0.62037037037037035</v>
      </c>
      <c r="BE278">
        <f>step3_validation[[#This Row],[AI_OUT1]]</f>
        <v>8</v>
      </c>
      <c r="BF278">
        <f t="shared" si="132"/>
        <v>0.77777777777777779</v>
      </c>
      <c r="BG278">
        <f>survey_responses[[#This Row],[Sau khi xem xét các quyền lợi và nghĩa vụ, bạn có ủng hộ và tuân thủ chính sách mới hiện nay? - HUMAN-OUT1]]</f>
        <v>5</v>
      </c>
      <c r="BH278">
        <f t="shared" si="133"/>
        <v>0.44444444444444442</v>
      </c>
      <c r="BI278" s="32">
        <f t="shared" si="134"/>
        <v>3</v>
      </c>
    </row>
    <row r="279" spans="1:61" x14ac:dyDescent="0.45">
      <c r="A279" s="30">
        <f>step3_validation[[#This Row],[Persona_ID]]</f>
        <v>278</v>
      </c>
      <c r="B279" s="31">
        <f>step3_validation[[#This Row],[Used_Seed]]</f>
        <v>2303</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57.573626220631184</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9</v>
      </c>
      <c r="R279">
        <f t="shared" si="108"/>
        <v>0.88888888888888884</v>
      </c>
      <c r="S279">
        <f>survey_responses[[#This Row],[Tôi tin rằng với các quy định quản lý thuế hiện nay, hành vi gian lận hoặc trốn thuế sẽ dễ dàng bị phát hiện và xử lý nghiêm. - HUMAN-ENF1]]</f>
        <v>6</v>
      </c>
      <c r="T279">
        <f t="shared" si="109"/>
        <v>0.55555555555555558</v>
      </c>
      <c r="U279">
        <f>step3_validation[[#This Row],[AI_ENF2]]</f>
        <v>8</v>
      </c>
      <c r="V279">
        <f t="shared" si="110"/>
        <v>0.77777777777777779</v>
      </c>
      <c r="W279">
        <f>survey_responses[[#This Row],[Tôi tin rằng Nhà nước, cơ quan thuế có đủ khả năng và công nghệ để phát hiện, xử lý nghiêm các hành vi trốn thuế. - HUMAN-ENF2]]</f>
        <v>7</v>
      </c>
      <c r="X279">
        <f t="shared" si="111"/>
        <v>0.66666666666666663</v>
      </c>
      <c r="Y279" s="32">
        <f t="shared" si="112"/>
        <v>0.83333333333333326</v>
      </c>
      <c r="Z279" s="32">
        <f t="shared" si="113"/>
        <v>0.61111111111111116</v>
      </c>
      <c r="AA279">
        <f>step3_validation[[#This Row],[AI_FAC1]]</f>
        <v>9</v>
      </c>
      <c r="AB279">
        <f t="shared" si="114"/>
        <v>0.88888888888888884</v>
      </c>
      <c r="AC279">
        <f>survey_responses[[#This Row],[Các thủ tục khai báo thuế VÀ/HOẶC quy trình làm việc với cơ quan thuế đơn giản, tiện lợi, nhanh chóng hơn so với trước đây. - HUMAN-FAC1]]</f>
        <v>5</v>
      </c>
      <c r="AD279">
        <f t="shared" si="115"/>
        <v>0.44444444444444442</v>
      </c>
      <c r="AE279">
        <f>step3_validation[[#This Row],[AI_FAC2]]</f>
        <v>8</v>
      </c>
      <c r="AF279">
        <f t="shared" si="116"/>
        <v>0.77777777777777779</v>
      </c>
      <c r="AG279">
        <f>survey_responses[[#This Row],[So với trước đây, tôi thấy cách tính thuế và các bậc thuế trong phương án mới đơn giản, dễ hiểu và dễ thực hiện hơn. - HUMAN-FAC2]]</f>
        <v>7</v>
      </c>
      <c r="AH279">
        <f t="shared" si="117"/>
        <v>0.66666666666666663</v>
      </c>
      <c r="AI279" s="32">
        <f t="shared" si="118"/>
        <v>0.83333333333333326</v>
      </c>
      <c r="AJ279" s="32">
        <f t="shared" si="119"/>
        <v>0.55555555555555558</v>
      </c>
      <c r="AK279">
        <f>step3_validation[[#This Row],[AI_TRU1]]</f>
        <v>9</v>
      </c>
      <c r="AL279">
        <f t="shared" si="120"/>
        <v>0.88888888888888884</v>
      </c>
      <c r="AM279">
        <f>survey_responses[[#This Row],[Tôi tin rằng Nhà nước, cơ quan thuế sẽ thực thi chính sách mới một cách khách quan, công tâm và đối xử bình đẳng với mọi người nộp thuế.  - HUMAN-TRU1]]</f>
        <v>6</v>
      </c>
      <c r="AN279">
        <f t="shared" si="121"/>
        <v>0.55555555555555558</v>
      </c>
      <c r="AO279">
        <f>step3_validation[[#This Row],[AI_TRU2]]</f>
        <v>9</v>
      </c>
      <c r="AP279">
        <f t="shared" si="122"/>
        <v>0.88888888888888884</v>
      </c>
      <c r="AQ279">
        <f>survey_responses[[#This Row],[Tôi thấy mức thuế tôi phải đóng theo phương án mới là công bằng (người thu nhập như tôi đóng mức này là hợp lý). - HUMAN-TRU2]]</f>
        <v>6</v>
      </c>
      <c r="AR279">
        <f t="shared" si="123"/>
        <v>0.55555555555555558</v>
      </c>
      <c r="AS279">
        <f>step3_validation[[#This Row],[AI_TRU3]]</f>
        <v>8</v>
      </c>
      <c r="AT279">
        <f t="shared" si="124"/>
        <v>0.77777777777777779</v>
      </c>
      <c r="AU279">
        <f>survey_responses[[#This Row],[Tôi tin tưởng số tiền thuế tôi đóng sẽ được Nhà nước sử dụng hiệu quả để cải thiện dịch vụ công (y tế, đường xá...). - HUMAN-TRU3]]</f>
        <v>6</v>
      </c>
      <c r="AV279">
        <f t="shared" si="125"/>
        <v>0.55555555555555558</v>
      </c>
      <c r="AW279">
        <f>step3_validation[[#This Row],[AI_TRU4]]</f>
        <v>9</v>
      </c>
      <c r="AX279">
        <f t="shared" si="126"/>
        <v>0.88888888888888884</v>
      </c>
      <c r="AY279">
        <f>survey_responses[[#This Row],[Tôi thấy Nhà nước đã giải thích rõ ràng, minh bạch về lý do và mục tiêu của việc sửa đổi thuế lần này. - HUMAN-TRU4]]</f>
        <v>6</v>
      </c>
      <c r="AZ279">
        <f t="shared" si="127"/>
        <v>0.55555555555555558</v>
      </c>
      <c r="BA279" s="32">
        <f t="shared" si="128"/>
        <v>0.86111111111111105</v>
      </c>
      <c r="BB279" s="32">
        <f t="shared" si="129"/>
        <v>0.55555555555555558</v>
      </c>
      <c r="BC279" s="7">
        <f t="shared" si="130"/>
        <v>0.84259259259259256</v>
      </c>
      <c r="BD279" s="7">
        <f t="shared" si="131"/>
        <v>0.57407407407407407</v>
      </c>
      <c r="BE279">
        <f>step3_validation[[#This Row],[AI_OUT1]]</f>
        <v>9</v>
      </c>
      <c r="BF279">
        <f t="shared" si="132"/>
        <v>0.88888888888888884</v>
      </c>
      <c r="BG279">
        <f>survey_responses[[#This Row],[Sau khi xem xét các quyền lợi và nghĩa vụ, bạn có ủng hộ và tuân thủ chính sách mới hiện nay? - HUMAN-OUT1]]</f>
        <v>6</v>
      </c>
      <c r="BH279">
        <f t="shared" si="133"/>
        <v>0.55555555555555558</v>
      </c>
      <c r="BI279" s="32">
        <f t="shared" si="134"/>
        <v>3</v>
      </c>
    </row>
    <row r="280" spans="1:61" x14ac:dyDescent="0.45">
      <c r="A280" s="30">
        <f>step3_validation[[#This Row],[Persona_ID]]</f>
        <v>279</v>
      </c>
      <c r="B280" s="31">
        <f>step3_validation[[#This Row],[Used_Seed]]</f>
        <v>2304</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98.950452357114571</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7</v>
      </c>
      <c r="R280">
        <f t="shared" si="108"/>
        <v>0.66666666666666663</v>
      </c>
      <c r="S280">
        <f>survey_responses[[#This Row],[Tôi tin rằng với các quy định quản lý thuế hiện nay, hành vi gian lận hoặc trốn thuế sẽ dễ dàng bị phát hiện và xử lý nghiêm. - HUMAN-ENF1]]</f>
        <v>6</v>
      </c>
      <c r="T280">
        <f t="shared" si="109"/>
        <v>0.55555555555555558</v>
      </c>
      <c r="U280">
        <f>step3_validation[[#This Row],[AI_ENF2]]</f>
        <v>6</v>
      </c>
      <c r="V280">
        <f t="shared" si="110"/>
        <v>0.55555555555555558</v>
      </c>
      <c r="W280">
        <f>survey_responses[[#This Row],[Tôi tin rằng Nhà nước, cơ quan thuế có đủ khả năng và công nghệ để phát hiện, xử lý nghiêm các hành vi trốn thuế. - HUMAN-ENF2]]</f>
        <v>7</v>
      </c>
      <c r="X280">
        <f t="shared" si="111"/>
        <v>0.66666666666666663</v>
      </c>
      <c r="Y280" s="32">
        <f t="shared" si="112"/>
        <v>0.61111111111111116</v>
      </c>
      <c r="Z280" s="32">
        <f t="shared" si="113"/>
        <v>0.61111111111111116</v>
      </c>
      <c r="AA280">
        <f>step3_validation[[#This Row],[AI_FAC1]]</f>
        <v>8</v>
      </c>
      <c r="AB280">
        <f t="shared" si="114"/>
        <v>0.77777777777777779</v>
      </c>
      <c r="AC280">
        <f>survey_responses[[#This Row],[Các thủ tục khai báo thuế VÀ/HOẶC quy trình làm việc với cơ quan thuế đơn giản, tiện lợi, nhanh chóng hơn so với trước đây. - HUMAN-FAC1]]</f>
        <v>5</v>
      </c>
      <c r="AD280">
        <f t="shared" si="115"/>
        <v>0.44444444444444442</v>
      </c>
      <c r="AE280">
        <f>step3_validation[[#This Row],[AI_FAC2]]</f>
        <v>9</v>
      </c>
      <c r="AF280">
        <f t="shared" si="116"/>
        <v>0.88888888888888884</v>
      </c>
      <c r="AG280">
        <f>survey_responses[[#This Row],[So với trước đây, tôi thấy cách tính thuế và các bậc thuế trong phương án mới đơn giản, dễ hiểu và dễ thực hiện hơn. - HUMAN-FAC2]]</f>
        <v>8</v>
      </c>
      <c r="AH280">
        <f t="shared" si="117"/>
        <v>0.77777777777777779</v>
      </c>
      <c r="AI280" s="32">
        <f t="shared" si="118"/>
        <v>0.83333333333333326</v>
      </c>
      <c r="AJ280" s="32">
        <f t="shared" si="119"/>
        <v>0.61111111111111116</v>
      </c>
      <c r="AK280">
        <f>step3_validation[[#This Row],[AI_TRU1]]</f>
        <v>8</v>
      </c>
      <c r="AL280">
        <f t="shared" si="120"/>
        <v>0.77777777777777779</v>
      </c>
      <c r="AM280">
        <f>survey_responses[[#This Row],[Tôi tin rằng Nhà nước, cơ quan thuế sẽ thực thi chính sách mới một cách khách quan, công tâm và đối xử bình đẳng với mọi người nộp thuế.  - HUMAN-TRU1]]</f>
        <v>6</v>
      </c>
      <c r="AN280">
        <f t="shared" si="121"/>
        <v>0.55555555555555558</v>
      </c>
      <c r="AO280">
        <f>step3_validation[[#This Row],[AI_TRU2]]</f>
        <v>9</v>
      </c>
      <c r="AP280">
        <f t="shared" si="122"/>
        <v>0.88888888888888884</v>
      </c>
      <c r="AQ280">
        <f>survey_responses[[#This Row],[Tôi thấy mức thuế tôi phải đóng theo phương án mới là công bằng (người thu nhập như tôi đóng mức này là hợp lý). - HUMAN-TRU2]]</f>
        <v>3</v>
      </c>
      <c r="AR280">
        <f t="shared" si="123"/>
        <v>0.22222222222222221</v>
      </c>
      <c r="AS280">
        <f>step3_validation[[#This Row],[AI_TRU3]]</f>
        <v>7</v>
      </c>
      <c r="AT280">
        <f t="shared" si="124"/>
        <v>0.66666666666666663</v>
      </c>
      <c r="AU280">
        <f>survey_responses[[#This Row],[Tôi tin tưởng số tiền thuế tôi đóng sẽ được Nhà nước sử dụng hiệu quả để cải thiện dịch vụ công (y tế, đường xá...). - HUMAN-TRU3]]</f>
        <v>6</v>
      </c>
      <c r="AV280">
        <f t="shared" si="125"/>
        <v>0.55555555555555558</v>
      </c>
      <c r="AW280">
        <f>step3_validation[[#This Row],[AI_TRU4]]</f>
        <v>6</v>
      </c>
      <c r="AX280">
        <f t="shared" si="126"/>
        <v>0.55555555555555558</v>
      </c>
      <c r="AY280">
        <f>survey_responses[[#This Row],[Tôi thấy Nhà nước đã giải thích rõ ràng, minh bạch về lý do và mục tiêu của việc sửa đổi thuế lần này. - HUMAN-TRU4]]</f>
        <v>8</v>
      </c>
      <c r="AZ280">
        <f t="shared" si="127"/>
        <v>0.77777777777777779</v>
      </c>
      <c r="BA280" s="32">
        <f t="shared" si="128"/>
        <v>0.7222222222222221</v>
      </c>
      <c r="BB280" s="32">
        <f t="shared" si="129"/>
        <v>0.52777777777777779</v>
      </c>
      <c r="BC280" s="7">
        <f t="shared" si="130"/>
        <v>0.72222222222222221</v>
      </c>
      <c r="BD280" s="7">
        <f t="shared" si="131"/>
        <v>0.58333333333333337</v>
      </c>
      <c r="BE280">
        <f>step3_validation[[#This Row],[AI_OUT1]]</f>
        <v>9</v>
      </c>
      <c r="BF280">
        <f t="shared" si="132"/>
        <v>0.88888888888888884</v>
      </c>
      <c r="BG280">
        <f>survey_responses[[#This Row],[Sau khi xem xét các quyền lợi và nghĩa vụ, bạn có ủng hộ và tuân thủ chính sách mới hiện nay? - HUMAN-OUT1]]</f>
        <v>6</v>
      </c>
      <c r="BH280">
        <f t="shared" si="133"/>
        <v>0.55555555555555558</v>
      </c>
      <c r="BI280" s="32">
        <f t="shared" si="134"/>
        <v>3</v>
      </c>
    </row>
    <row r="281" spans="1:61" x14ac:dyDescent="0.45">
      <c r="A281" s="30">
        <f>step3_validation[[#This Row],[Persona_ID]]</f>
        <v>280</v>
      </c>
      <c r="B281" s="31">
        <f>step3_validation[[#This Row],[Used_Seed]]</f>
        <v>2305</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75.008370060338137</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9</v>
      </c>
      <c r="R281">
        <f t="shared" si="108"/>
        <v>0.88888888888888884</v>
      </c>
      <c r="S281">
        <f>survey_responses[[#This Row],[Tôi tin rằng với các quy định quản lý thuế hiện nay, hành vi gian lận hoặc trốn thuế sẽ dễ dàng bị phát hiện và xử lý nghiêm. - HUMAN-ENF1]]</f>
        <v>4</v>
      </c>
      <c r="T281">
        <f t="shared" si="109"/>
        <v>0.33333333333333331</v>
      </c>
      <c r="U281">
        <f>step3_validation[[#This Row],[AI_ENF2]]</f>
        <v>8</v>
      </c>
      <c r="V281">
        <f t="shared" si="110"/>
        <v>0.77777777777777779</v>
      </c>
      <c r="W281">
        <f>survey_responses[[#This Row],[Tôi tin rằng Nhà nước, cơ quan thuế có đủ khả năng và công nghệ để phát hiện, xử lý nghiêm các hành vi trốn thuế. - HUMAN-ENF2]]</f>
        <v>4</v>
      </c>
      <c r="X281">
        <f t="shared" si="111"/>
        <v>0.33333333333333331</v>
      </c>
      <c r="Y281" s="32">
        <f t="shared" si="112"/>
        <v>0.83333333333333326</v>
      </c>
      <c r="Z281" s="32">
        <f t="shared" si="113"/>
        <v>0.33333333333333331</v>
      </c>
      <c r="AA281">
        <f>step3_validation[[#This Row],[AI_FAC1]]</f>
        <v>7</v>
      </c>
      <c r="AB281">
        <f t="shared" si="114"/>
        <v>0.66666666666666663</v>
      </c>
      <c r="AC281">
        <f>survey_responses[[#This Row],[Các thủ tục khai báo thuế VÀ/HOẶC quy trình làm việc với cơ quan thuế đơn giản, tiện lợi, nhanh chóng hơn so với trước đây. - HUMAN-FAC1]]</f>
        <v>1</v>
      </c>
      <c r="AD281">
        <f t="shared" si="115"/>
        <v>0</v>
      </c>
      <c r="AE281">
        <f>step3_validation[[#This Row],[AI_FAC2]]</f>
        <v>8</v>
      </c>
      <c r="AF281">
        <f t="shared" si="116"/>
        <v>0.77777777777777779</v>
      </c>
      <c r="AG281">
        <f>survey_responses[[#This Row],[So với trước đây, tôi thấy cách tính thuế và các bậc thuế trong phương án mới đơn giản, dễ hiểu và dễ thực hiện hơn. - HUMAN-FAC2]]</f>
        <v>6</v>
      </c>
      <c r="AH281">
        <f t="shared" si="117"/>
        <v>0.55555555555555558</v>
      </c>
      <c r="AI281" s="32">
        <f t="shared" si="118"/>
        <v>0.72222222222222221</v>
      </c>
      <c r="AJ281" s="32">
        <f t="shared" si="119"/>
        <v>0.27777777777777779</v>
      </c>
      <c r="AK281">
        <f>step3_validation[[#This Row],[AI_TRU1]]</f>
        <v>7</v>
      </c>
      <c r="AL281">
        <f t="shared" si="120"/>
        <v>0.66666666666666663</v>
      </c>
      <c r="AM281">
        <f>survey_responses[[#This Row],[Tôi tin rằng Nhà nước, cơ quan thuế sẽ thực thi chính sách mới một cách khách quan, công tâm và đối xử bình đẳng với mọi người nộp thuế.  - HUMAN-TRU1]]</f>
        <v>3</v>
      </c>
      <c r="AN281">
        <f t="shared" si="121"/>
        <v>0.22222222222222221</v>
      </c>
      <c r="AO281">
        <f>step3_validation[[#This Row],[AI_TRU2]]</f>
        <v>9</v>
      </c>
      <c r="AP281">
        <f t="shared" si="122"/>
        <v>0.88888888888888884</v>
      </c>
      <c r="AQ281">
        <f>survey_responses[[#This Row],[Tôi thấy mức thuế tôi phải đóng theo phương án mới là công bằng (người thu nhập như tôi đóng mức này là hợp lý). - HUMAN-TRU2]]</f>
        <v>2</v>
      </c>
      <c r="AR281">
        <f t="shared" si="123"/>
        <v>0.1111111111111111</v>
      </c>
      <c r="AS281">
        <f>step3_validation[[#This Row],[AI_TRU3]]</f>
        <v>8</v>
      </c>
      <c r="AT281">
        <f t="shared" si="124"/>
        <v>0.77777777777777779</v>
      </c>
      <c r="AU281">
        <f>survey_responses[[#This Row],[Tôi tin tưởng số tiền thuế tôi đóng sẽ được Nhà nước sử dụng hiệu quả để cải thiện dịch vụ công (y tế, đường xá...). - HUMAN-TRU3]]</f>
        <v>1</v>
      </c>
      <c r="AV281">
        <f t="shared" si="125"/>
        <v>0</v>
      </c>
      <c r="AW281">
        <f>step3_validation[[#This Row],[AI_TRU4]]</f>
        <v>7</v>
      </c>
      <c r="AX281">
        <f t="shared" si="126"/>
        <v>0.66666666666666663</v>
      </c>
      <c r="AY281">
        <f>survey_responses[[#This Row],[Tôi thấy Nhà nước đã giải thích rõ ràng, minh bạch về lý do và mục tiêu của việc sửa đổi thuế lần này. - HUMAN-TRU4]]</f>
        <v>5</v>
      </c>
      <c r="AZ281">
        <f t="shared" si="127"/>
        <v>0.44444444444444442</v>
      </c>
      <c r="BA281" s="32">
        <f t="shared" si="128"/>
        <v>0.74999999999999989</v>
      </c>
      <c r="BB281" s="32">
        <f t="shared" si="129"/>
        <v>0.19444444444444442</v>
      </c>
      <c r="BC281" s="7">
        <f t="shared" si="130"/>
        <v>0.76851851851851849</v>
      </c>
      <c r="BD281" s="7">
        <f t="shared" si="131"/>
        <v>0.26851851851851855</v>
      </c>
      <c r="BE281">
        <f>step3_validation[[#This Row],[AI_OUT1]]</f>
        <v>8</v>
      </c>
      <c r="BF281">
        <f t="shared" si="132"/>
        <v>0.77777777777777779</v>
      </c>
      <c r="BG281">
        <f>survey_responses[[#This Row],[Sau khi xem xét các quyền lợi và nghĩa vụ, bạn có ủng hộ và tuân thủ chính sách mới hiện nay? - HUMAN-OUT1]]</f>
        <v>4</v>
      </c>
      <c r="BH281">
        <f t="shared" si="133"/>
        <v>0.33333333333333331</v>
      </c>
      <c r="BI281" s="32">
        <f t="shared" si="134"/>
        <v>4</v>
      </c>
    </row>
    <row r="282" spans="1:61" x14ac:dyDescent="0.45">
      <c r="A282" s="30">
        <f>step3_validation[[#This Row],[Persona_ID]]</f>
        <v>281</v>
      </c>
      <c r="B282" s="31">
        <f>step3_validation[[#This Row],[Used_Seed]]</f>
        <v>2306</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99.395966194984965</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7</v>
      </c>
      <c r="R282">
        <f t="shared" si="108"/>
        <v>0.66666666666666663</v>
      </c>
      <c r="S282">
        <f>survey_responses[[#This Row],[Tôi tin rằng với các quy định quản lý thuế hiện nay, hành vi gian lận hoặc trốn thuế sẽ dễ dàng bị phát hiện và xử lý nghiêm. - HUMAN-ENF1]]</f>
        <v>6</v>
      </c>
      <c r="T282">
        <f t="shared" si="109"/>
        <v>0.55555555555555558</v>
      </c>
      <c r="U282">
        <f>step3_validation[[#This Row],[AI_ENF2]]</f>
        <v>6</v>
      </c>
      <c r="V282">
        <f t="shared" si="110"/>
        <v>0.55555555555555558</v>
      </c>
      <c r="W282">
        <f>survey_responses[[#This Row],[Tôi tin rằng Nhà nước, cơ quan thuế có đủ khả năng và công nghệ để phát hiện, xử lý nghiêm các hành vi trốn thuế. - HUMAN-ENF2]]</f>
        <v>7</v>
      </c>
      <c r="X282">
        <f t="shared" si="111"/>
        <v>0.66666666666666663</v>
      </c>
      <c r="Y282" s="32">
        <f t="shared" si="112"/>
        <v>0.61111111111111116</v>
      </c>
      <c r="Z282" s="32">
        <f t="shared" si="113"/>
        <v>0.61111111111111116</v>
      </c>
      <c r="AA282">
        <f>step3_validation[[#This Row],[AI_FAC1]]</f>
        <v>8</v>
      </c>
      <c r="AB282">
        <f t="shared" si="114"/>
        <v>0.77777777777777779</v>
      </c>
      <c r="AC282">
        <f>survey_responses[[#This Row],[Các thủ tục khai báo thuế VÀ/HOẶC quy trình làm việc với cơ quan thuế đơn giản, tiện lợi, nhanh chóng hơn so với trước đây. - HUMAN-FAC1]]</f>
        <v>4</v>
      </c>
      <c r="AD282">
        <f t="shared" si="115"/>
        <v>0.33333333333333331</v>
      </c>
      <c r="AE282">
        <f>step3_validation[[#This Row],[AI_FAC2]]</f>
        <v>9</v>
      </c>
      <c r="AF282">
        <f t="shared" si="116"/>
        <v>0.88888888888888884</v>
      </c>
      <c r="AG282">
        <f>survey_responses[[#This Row],[So với trước đây, tôi thấy cách tính thuế và các bậc thuế trong phương án mới đơn giản, dễ hiểu và dễ thực hiện hơn. - HUMAN-FAC2]]</f>
        <v>8</v>
      </c>
      <c r="AH282">
        <f t="shared" si="117"/>
        <v>0.77777777777777779</v>
      </c>
      <c r="AI282" s="32">
        <f t="shared" si="118"/>
        <v>0.83333333333333326</v>
      </c>
      <c r="AJ282" s="32">
        <f t="shared" si="119"/>
        <v>0.55555555555555558</v>
      </c>
      <c r="AK282">
        <f>step3_validation[[#This Row],[AI_TRU1]]</f>
        <v>5</v>
      </c>
      <c r="AL282">
        <f t="shared" si="120"/>
        <v>0.44444444444444442</v>
      </c>
      <c r="AM282">
        <f>survey_responses[[#This Row],[Tôi tin rằng Nhà nước, cơ quan thuế sẽ thực thi chính sách mới một cách khách quan, công tâm và đối xử bình đẳng với mọi người nộp thuế.  - HUMAN-TRU1]]</f>
        <v>6</v>
      </c>
      <c r="AN282">
        <f t="shared" si="121"/>
        <v>0.55555555555555558</v>
      </c>
      <c r="AO282">
        <f>step3_validation[[#This Row],[AI_TRU2]]</f>
        <v>8</v>
      </c>
      <c r="AP282">
        <f t="shared" si="122"/>
        <v>0.77777777777777779</v>
      </c>
      <c r="AQ282">
        <f>survey_responses[[#This Row],[Tôi thấy mức thuế tôi phải đóng theo phương án mới là công bằng (người thu nhập như tôi đóng mức này là hợp lý). - HUMAN-TRU2]]</f>
        <v>6</v>
      </c>
      <c r="AR282">
        <f t="shared" si="123"/>
        <v>0.55555555555555558</v>
      </c>
      <c r="AS282">
        <f>step3_validation[[#This Row],[AI_TRU3]]</f>
        <v>6</v>
      </c>
      <c r="AT282">
        <f t="shared" si="124"/>
        <v>0.55555555555555558</v>
      </c>
      <c r="AU282">
        <f>survey_responses[[#This Row],[Tôi tin tưởng số tiền thuế tôi đóng sẽ được Nhà nước sử dụng hiệu quả để cải thiện dịch vụ công (y tế, đường xá...). - HUMAN-TRU3]]</f>
        <v>5</v>
      </c>
      <c r="AV282">
        <f t="shared" si="125"/>
        <v>0.44444444444444442</v>
      </c>
      <c r="AW282">
        <f>step3_validation[[#This Row],[AI_TRU4]]</f>
        <v>7</v>
      </c>
      <c r="AX282">
        <f t="shared" si="126"/>
        <v>0.66666666666666663</v>
      </c>
      <c r="AY282">
        <f>survey_responses[[#This Row],[Tôi thấy Nhà nước đã giải thích rõ ràng, minh bạch về lý do và mục tiêu của việc sửa đổi thuế lần này. - HUMAN-TRU4]]</f>
        <v>7</v>
      </c>
      <c r="AZ282">
        <f t="shared" si="127"/>
        <v>0.66666666666666663</v>
      </c>
      <c r="BA282" s="32">
        <f t="shared" si="128"/>
        <v>0.61111111111111116</v>
      </c>
      <c r="BB282" s="32">
        <f t="shared" si="129"/>
        <v>0.55555555555555558</v>
      </c>
      <c r="BC282" s="7">
        <f t="shared" si="130"/>
        <v>0.68518518518518512</v>
      </c>
      <c r="BD282" s="7">
        <f t="shared" si="131"/>
        <v>0.57407407407407407</v>
      </c>
      <c r="BE282">
        <f>step3_validation[[#This Row],[AI_OUT1]]</f>
        <v>8</v>
      </c>
      <c r="BF282">
        <f t="shared" si="132"/>
        <v>0.77777777777777779</v>
      </c>
      <c r="BG282">
        <f>survey_responses[[#This Row],[Sau khi xem xét các quyền lợi và nghĩa vụ, bạn có ủng hộ và tuân thủ chính sách mới hiện nay? - HUMAN-OUT1]]</f>
        <v>6</v>
      </c>
      <c r="BH282">
        <f t="shared" si="133"/>
        <v>0.55555555555555558</v>
      </c>
      <c r="BI282" s="32">
        <f t="shared" si="134"/>
        <v>2</v>
      </c>
    </row>
    <row r="283" spans="1:61" x14ac:dyDescent="0.45">
      <c r="A283" s="30">
        <f>step3_validation[[#This Row],[Persona_ID]]</f>
        <v>282</v>
      </c>
      <c r="B283" s="31">
        <f>step3_validation[[#This Row],[Used_Seed]]</f>
        <v>2307</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149.78934462067241</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7</v>
      </c>
      <c r="R283">
        <f t="shared" si="108"/>
        <v>0.66666666666666663</v>
      </c>
      <c r="S283">
        <f>survey_responses[[#This Row],[Tôi tin rằng với các quy định quản lý thuế hiện nay, hành vi gian lận hoặc trốn thuế sẽ dễ dàng bị phát hiện và xử lý nghiêm. - HUMAN-ENF1]]</f>
        <v>8</v>
      </c>
      <c r="T283">
        <f t="shared" si="109"/>
        <v>0.77777777777777779</v>
      </c>
      <c r="U283">
        <f>step3_validation[[#This Row],[AI_ENF2]]</f>
        <v>8</v>
      </c>
      <c r="V283">
        <f t="shared" si="110"/>
        <v>0.77777777777777779</v>
      </c>
      <c r="W283">
        <f>survey_responses[[#This Row],[Tôi tin rằng Nhà nước, cơ quan thuế có đủ khả năng và công nghệ để phát hiện, xử lý nghiêm các hành vi trốn thuế. - HUMAN-ENF2]]</f>
        <v>8</v>
      </c>
      <c r="X283">
        <f t="shared" si="111"/>
        <v>0.77777777777777779</v>
      </c>
      <c r="Y283" s="32">
        <f t="shared" si="112"/>
        <v>0.72222222222222221</v>
      </c>
      <c r="Z283" s="32">
        <f t="shared" si="113"/>
        <v>0.77777777777777779</v>
      </c>
      <c r="AA283">
        <f>step3_validation[[#This Row],[AI_FAC1]]</f>
        <v>9</v>
      </c>
      <c r="AB283">
        <f t="shared" si="114"/>
        <v>0.88888888888888884</v>
      </c>
      <c r="AC283">
        <f>survey_responses[[#This Row],[Các thủ tục khai báo thuế VÀ/HOẶC quy trình làm việc với cơ quan thuế đơn giản, tiện lợi, nhanh chóng hơn so với trước đây. - HUMAN-FAC1]]</f>
        <v>9</v>
      </c>
      <c r="AD283">
        <f t="shared" si="115"/>
        <v>0.88888888888888884</v>
      </c>
      <c r="AE283">
        <f>step3_validation[[#This Row],[AI_FAC2]]</f>
        <v>10</v>
      </c>
      <c r="AF283">
        <f t="shared" si="116"/>
        <v>1</v>
      </c>
      <c r="AG283">
        <f>survey_responses[[#This Row],[So với trước đây, tôi thấy cách tính thuế và các bậc thuế trong phương án mới đơn giản, dễ hiểu và dễ thực hiện hơn. - HUMAN-FAC2]]</f>
        <v>9</v>
      </c>
      <c r="AH283">
        <f t="shared" si="117"/>
        <v>0.88888888888888884</v>
      </c>
      <c r="AI283" s="32">
        <f t="shared" si="118"/>
        <v>0.94444444444444442</v>
      </c>
      <c r="AJ283" s="32">
        <f t="shared" si="119"/>
        <v>0.88888888888888884</v>
      </c>
      <c r="AK283">
        <f>step3_validation[[#This Row],[AI_TRU1]]</f>
        <v>7</v>
      </c>
      <c r="AL283">
        <f t="shared" si="120"/>
        <v>0.66666666666666663</v>
      </c>
      <c r="AM283">
        <f>survey_responses[[#This Row],[Tôi tin rằng Nhà nước, cơ quan thuế sẽ thực thi chính sách mới một cách khách quan, công tâm và đối xử bình đẳng với mọi người nộp thuế.  - HUMAN-TRU1]]</f>
        <v>7</v>
      </c>
      <c r="AN283">
        <f t="shared" si="121"/>
        <v>0.66666666666666663</v>
      </c>
      <c r="AO283">
        <f>step3_validation[[#This Row],[AI_TRU2]]</f>
        <v>9</v>
      </c>
      <c r="AP283">
        <f t="shared" si="122"/>
        <v>0.88888888888888884</v>
      </c>
      <c r="AQ283">
        <f>survey_responses[[#This Row],[Tôi thấy mức thuế tôi phải đóng theo phương án mới là công bằng (người thu nhập như tôi đóng mức này là hợp lý). - HUMAN-TRU2]]</f>
        <v>8</v>
      </c>
      <c r="AR283">
        <f t="shared" si="123"/>
        <v>0.77777777777777779</v>
      </c>
      <c r="AS283">
        <f>step3_validation[[#This Row],[AI_TRU3]]</f>
        <v>7</v>
      </c>
      <c r="AT283">
        <f t="shared" si="124"/>
        <v>0.66666666666666663</v>
      </c>
      <c r="AU283">
        <f>survey_responses[[#This Row],[Tôi tin tưởng số tiền thuế tôi đóng sẽ được Nhà nước sử dụng hiệu quả để cải thiện dịch vụ công (y tế, đường xá...). - HUMAN-TRU3]]</f>
        <v>8</v>
      </c>
      <c r="AV283">
        <f t="shared" si="125"/>
        <v>0.77777777777777779</v>
      </c>
      <c r="AW283">
        <f>step3_validation[[#This Row],[AI_TRU4]]</f>
        <v>8</v>
      </c>
      <c r="AX283">
        <f t="shared" si="126"/>
        <v>0.77777777777777779</v>
      </c>
      <c r="AY283">
        <f>survey_responses[[#This Row],[Tôi thấy Nhà nước đã giải thích rõ ràng, minh bạch về lý do và mục tiêu của việc sửa đổi thuế lần này. - HUMAN-TRU4]]</f>
        <v>8</v>
      </c>
      <c r="AZ283">
        <f t="shared" si="127"/>
        <v>0.77777777777777779</v>
      </c>
      <c r="BA283" s="32">
        <f t="shared" si="128"/>
        <v>0.74999999999999989</v>
      </c>
      <c r="BB283" s="32">
        <f t="shared" si="129"/>
        <v>0.75</v>
      </c>
      <c r="BC283" s="7">
        <f t="shared" si="130"/>
        <v>0.80555555555555547</v>
      </c>
      <c r="BD283" s="7">
        <f t="shared" si="131"/>
        <v>0.80555555555555547</v>
      </c>
      <c r="BE283">
        <f>step3_validation[[#This Row],[AI_OUT1]]</f>
        <v>9</v>
      </c>
      <c r="BF283">
        <f t="shared" si="132"/>
        <v>0.88888888888888884</v>
      </c>
      <c r="BG283">
        <f>survey_responses[[#This Row],[Sau khi xem xét các quyền lợi và nghĩa vụ, bạn có ủng hộ và tuân thủ chính sách mới hiện nay? - HUMAN-OUT1]]</f>
        <v>7</v>
      </c>
      <c r="BH283">
        <f t="shared" si="133"/>
        <v>0.66666666666666663</v>
      </c>
      <c r="BI283" s="32">
        <f t="shared" si="134"/>
        <v>2</v>
      </c>
    </row>
    <row r="284" spans="1:61" x14ac:dyDescent="0.45">
      <c r="A284" s="30">
        <f>step3_validation[[#This Row],[Persona_ID]]</f>
        <v>283</v>
      </c>
      <c r="B284" s="31">
        <f>step3_validation[[#This Row],[Used_Seed]]</f>
        <v>2308</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65.777641182837641</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6</v>
      </c>
      <c r="R284">
        <f t="shared" si="108"/>
        <v>0.55555555555555558</v>
      </c>
      <c r="S284">
        <f>survey_responses[[#This Row],[Tôi tin rằng với các quy định quản lý thuế hiện nay, hành vi gian lận hoặc trốn thuế sẽ dễ dàng bị phát hiện và xử lý nghiêm. - HUMAN-ENF1]]</f>
        <v>5</v>
      </c>
      <c r="T284">
        <f t="shared" si="109"/>
        <v>0.44444444444444442</v>
      </c>
      <c r="U284">
        <f>step3_validation[[#This Row],[AI_ENF2]]</f>
        <v>6</v>
      </c>
      <c r="V284">
        <f t="shared" si="110"/>
        <v>0.55555555555555558</v>
      </c>
      <c r="W284">
        <f>survey_responses[[#This Row],[Tôi tin rằng Nhà nước, cơ quan thuế có đủ khả năng và công nghệ để phát hiện, xử lý nghiêm các hành vi trốn thuế. - HUMAN-ENF2]]</f>
        <v>5</v>
      </c>
      <c r="X284">
        <f t="shared" si="111"/>
        <v>0.44444444444444442</v>
      </c>
      <c r="Y284" s="32">
        <f t="shared" si="112"/>
        <v>0.55555555555555558</v>
      </c>
      <c r="Z284" s="32">
        <f t="shared" si="113"/>
        <v>0.44444444444444442</v>
      </c>
      <c r="AA284">
        <f>step3_validation[[#This Row],[AI_FAC1]]</f>
        <v>8</v>
      </c>
      <c r="AB284">
        <f t="shared" si="114"/>
        <v>0.77777777777777779</v>
      </c>
      <c r="AC284">
        <f>survey_responses[[#This Row],[Các thủ tục khai báo thuế VÀ/HOẶC quy trình làm việc với cơ quan thuế đơn giản, tiện lợi, nhanh chóng hơn so với trước đây. - HUMAN-FAC1]]</f>
        <v>2</v>
      </c>
      <c r="AD284">
        <f t="shared" si="115"/>
        <v>0.1111111111111111</v>
      </c>
      <c r="AE284">
        <f>step3_validation[[#This Row],[AI_FAC2]]</f>
        <v>9</v>
      </c>
      <c r="AF284">
        <f t="shared" si="116"/>
        <v>0.88888888888888884</v>
      </c>
      <c r="AG284">
        <f>survey_responses[[#This Row],[So với trước đây, tôi thấy cách tính thuế và các bậc thuế trong phương án mới đơn giản, dễ hiểu và dễ thực hiện hơn. - HUMAN-FAC2]]</f>
        <v>6</v>
      </c>
      <c r="AH284">
        <f t="shared" si="117"/>
        <v>0.55555555555555558</v>
      </c>
      <c r="AI284" s="32">
        <f t="shared" si="118"/>
        <v>0.83333333333333326</v>
      </c>
      <c r="AJ284" s="32">
        <f t="shared" si="119"/>
        <v>0.33333333333333337</v>
      </c>
      <c r="AK284">
        <f>step3_validation[[#This Row],[AI_TRU1]]</f>
        <v>8</v>
      </c>
      <c r="AL284">
        <f t="shared" si="120"/>
        <v>0.77777777777777779</v>
      </c>
      <c r="AM284">
        <f>survey_responses[[#This Row],[Tôi tin rằng Nhà nước, cơ quan thuế sẽ thực thi chính sách mới một cách khách quan, công tâm và đối xử bình đẳng với mọi người nộp thuế.  - HUMAN-TRU1]]</f>
        <v>5</v>
      </c>
      <c r="AN284">
        <f t="shared" si="121"/>
        <v>0.44444444444444442</v>
      </c>
      <c r="AO284">
        <f>step3_validation[[#This Row],[AI_TRU2]]</f>
        <v>9</v>
      </c>
      <c r="AP284">
        <f t="shared" si="122"/>
        <v>0.88888888888888884</v>
      </c>
      <c r="AQ284">
        <f>survey_responses[[#This Row],[Tôi thấy mức thuế tôi phải đóng theo phương án mới là công bằng (người thu nhập như tôi đóng mức này là hợp lý). - HUMAN-TRU2]]</f>
        <v>4</v>
      </c>
      <c r="AR284">
        <f t="shared" si="123"/>
        <v>0.33333333333333331</v>
      </c>
      <c r="AS284">
        <f>step3_validation[[#This Row],[AI_TRU3]]</f>
        <v>8</v>
      </c>
      <c r="AT284">
        <f t="shared" si="124"/>
        <v>0.77777777777777779</v>
      </c>
      <c r="AU284">
        <f>survey_responses[[#This Row],[Tôi tin tưởng số tiền thuế tôi đóng sẽ được Nhà nước sử dụng hiệu quả để cải thiện dịch vụ công (y tế, đường xá...). - HUMAN-TRU3]]</f>
        <v>5</v>
      </c>
      <c r="AV284">
        <f t="shared" si="125"/>
        <v>0.44444444444444442</v>
      </c>
      <c r="AW284">
        <f>step3_validation[[#This Row],[AI_TRU4]]</f>
        <v>9</v>
      </c>
      <c r="AX284">
        <f t="shared" si="126"/>
        <v>0.88888888888888884</v>
      </c>
      <c r="AY284">
        <f>survey_responses[[#This Row],[Tôi thấy Nhà nước đã giải thích rõ ràng, minh bạch về lý do và mục tiêu của việc sửa đổi thuế lần này. - HUMAN-TRU4]]</f>
        <v>5</v>
      </c>
      <c r="AZ284">
        <f t="shared" si="127"/>
        <v>0.44444444444444442</v>
      </c>
      <c r="BA284" s="32">
        <f t="shared" si="128"/>
        <v>0.83333333333333326</v>
      </c>
      <c r="BB284" s="32">
        <f t="shared" si="129"/>
        <v>0.41666666666666663</v>
      </c>
      <c r="BC284" s="7">
        <f t="shared" si="130"/>
        <v>0.74074074074074081</v>
      </c>
      <c r="BD284" s="7">
        <f t="shared" si="131"/>
        <v>0.39814814814814814</v>
      </c>
      <c r="BE284">
        <f>step3_validation[[#This Row],[AI_OUT1]]</f>
        <v>8</v>
      </c>
      <c r="BF284">
        <f t="shared" si="132"/>
        <v>0.77777777777777779</v>
      </c>
      <c r="BG284">
        <f>survey_responses[[#This Row],[Sau khi xem xét các quyền lợi và nghĩa vụ, bạn có ủng hộ và tuân thủ chính sách mới hiện nay? - HUMAN-OUT1]]</f>
        <v>4</v>
      </c>
      <c r="BH284">
        <f t="shared" si="133"/>
        <v>0.33333333333333331</v>
      </c>
      <c r="BI284" s="32">
        <f t="shared" si="134"/>
        <v>4</v>
      </c>
    </row>
    <row r="285" spans="1:61" x14ac:dyDescent="0.45">
      <c r="A285" s="30">
        <f>step3_validation[[#This Row],[Persona_ID]]</f>
        <v>284</v>
      </c>
      <c r="B285" s="31">
        <f>step3_validation[[#This Row],[Used_Seed]]</f>
        <v>2309</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64.388050848229852</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6</v>
      </c>
      <c r="R285">
        <f t="shared" si="108"/>
        <v>0.55555555555555558</v>
      </c>
      <c r="S285">
        <f>survey_responses[[#This Row],[Tôi tin rằng với các quy định quản lý thuế hiện nay, hành vi gian lận hoặc trốn thuế sẽ dễ dàng bị phát hiện và xử lý nghiêm. - HUMAN-ENF1]]</f>
        <v>7</v>
      </c>
      <c r="T285">
        <f t="shared" si="109"/>
        <v>0.66666666666666663</v>
      </c>
      <c r="U285">
        <f>step3_validation[[#This Row],[AI_ENF2]]</f>
        <v>6</v>
      </c>
      <c r="V285">
        <f t="shared" si="110"/>
        <v>0.55555555555555558</v>
      </c>
      <c r="W285">
        <f>survey_responses[[#This Row],[Tôi tin rằng Nhà nước, cơ quan thuế có đủ khả năng và công nghệ để phát hiện, xử lý nghiêm các hành vi trốn thuế. - HUMAN-ENF2]]</f>
        <v>7</v>
      </c>
      <c r="X285">
        <f t="shared" si="111"/>
        <v>0.66666666666666663</v>
      </c>
      <c r="Y285" s="32">
        <f t="shared" si="112"/>
        <v>0.55555555555555558</v>
      </c>
      <c r="Z285" s="32">
        <f t="shared" si="113"/>
        <v>0.66666666666666663</v>
      </c>
      <c r="AA285">
        <f>step3_validation[[#This Row],[AI_FAC1]]</f>
        <v>7</v>
      </c>
      <c r="AB285">
        <f t="shared" si="114"/>
        <v>0.66666666666666663</v>
      </c>
      <c r="AC285">
        <f>survey_responses[[#This Row],[Các thủ tục khai báo thuế VÀ/HOẶC quy trình làm việc với cơ quan thuế đơn giản, tiện lợi, nhanh chóng hơn so với trước đây. - HUMAN-FAC1]]</f>
        <v>5</v>
      </c>
      <c r="AD285">
        <f t="shared" si="115"/>
        <v>0.44444444444444442</v>
      </c>
      <c r="AE285">
        <f>step3_validation[[#This Row],[AI_FAC2]]</f>
        <v>9</v>
      </c>
      <c r="AF285">
        <f t="shared" si="116"/>
        <v>0.88888888888888884</v>
      </c>
      <c r="AG285">
        <f>survey_responses[[#This Row],[So với trước đây, tôi thấy cách tính thuế và các bậc thuế trong phương án mới đơn giản, dễ hiểu và dễ thực hiện hơn. - HUMAN-FAC2]]</f>
        <v>7</v>
      </c>
      <c r="AH285">
        <f t="shared" si="117"/>
        <v>0.66666666666666663</v>
      </c>
      <c r="AI285" s="32">
        <f t="shared" si="118"/>
        <v>0.77777777777777768</v>
      </c>
      <c r="AJ285" s="32">
        <f t="shared" si="119"/>
        <v>0.55555555555555558</v>
      </c>
      <c r="AK285">
        <f>step3_validation[[#This Row],[AI_TRU1]]</f>
        <v>8</v>
      </c>
      <c r="AL285">
        <f t="shared" si="120"/>
        <v>0.77777777777777779</v>
      </c>
      <c r="AM285">
        <f>survey_responses[[#This Row],[Tôi tin rằng Nhà nước, cơ quan thuế sẽ thực thi chính sách mới một cách khách quan, công tâm và đối xử bình đẳng với mọi người nộp thuế.  - HUMAN-TRU1]]</f>
        <v>5</v>
      </c>
      <c r="AN285">
        <f t="shared" si="121"/>
        <v>0.44444444444444442</v>
      </c>
      <c r="AO285">
        <f>step3_validation[[#This Row],[AI_TRU2]]</f>
        <v>9</v>
      </c>
      <c r="AP285">
        <f t="shared" si="122"/>
        <v>0.88888888888888884</v>
      </c>
      <c r="AQ285">
        <f>survey_responses[[#This Row],[Tôi thấy mức thuế tôi phải đóng theo phương án mới là công bằng (người thu nhập như tôi đóng mức này là hợp lý). - HUMAN-TRU2]]</f>
        <v>6</v>
      </c>
      <c r="AR285">
        <f t="shared" si="123"/>
        <v>0.55555555555555558</v>
      </c>
      <c r="AS285">
        <f>step3_validation[[#This Row],[AI_TRU3]]</f>
        <v>8</v>
      </c>
      <c r="AT285">
        <f t="shared" si="124"/>
        <v>0.77777777777777779</v>
      </c>
      <c r="AU285">
        <f>survey_responses[[#This Row],[Tôi tin tưởng số tiền thuế tôi đóng sẽ được Nhà nước sử dụng hiệu quả để cải thiện dịch vụ công (y tế, đường xá...). - HUMAN-TRU3]]</f>
        <v>5</v>
      </c>
      <c r="AV285">
        <f t="shared" si="125"/>
        <v>0.44444444444444442</v>
      </c>
      <c r="AW285">
        <f>step3_validation[[#This Row],[AI_TRU4]]</f>
        <v>9</v>
      </c>
      <c r="AX285">
        <f t="shared" si="126"/>
        <v>0.88888888888888884</v>
      </c>
      <c r="AY285">
        <f>survey_responses[[#This Row],[Tôi thấy Nhà nước đã giải thích rõ ràng, minh bạch về lý do và mục tiêu của việc sửa đổi thuế lần này. - HUMAN-TRU4]]</f>
        <v>7</v>
      </c>
      <c r="AZ285">
        <f t="shared" si="127"/>
        <v>0.66666666666666663</v>
      </c>
      <c r="BA285" s="32">
        <f t="shared" si="128"/>
        <v>0.83333333333333326</v>
      </c>
      <c r="BB285" s="32">
        <f t="shared" si="129"/>
        <v>0.52777777777777779</v>
      </c>
      <c r="BC285" s="7">
        <f t="shared" si="130"/>
        <v>0.72222222222222221</v>
      </c>
      <c r="BD285" s="7">
        <f t="shared" si="131"/>
        <v>0.58333333333333337</v>
      </c>
      <c r="BE285">
        <f>step3_validation[[#This Row],[AI_OUT1]]</f>
        <v>9</v>
      </c>
      <c r="BF285">
        <f t="shared" si="132"/>
        <v>0.88888888888888884</v>
      </c>
      <c r="BG285">
        <f>survey_responses[[#This Row],[Sau khi xem xét các quyền lợi và nghĩa vụ, bạn có ủng hộ và tuân thủ chính sách mới hiện nay? - HUMAN-OUT1]]</f>
        <v>6</v>
      </c>
      <c r="BH285">
        <f t="shared" si="133"/>
        <v>0.55555555555555558</v>
      </c>
      <c r="BI285" s="32">
        <f t="shared" si="134"/>
        <v>3</v>
      </c>
    </row>
    <row r="286" spans="1:61" x14ac:dyDescent="0.45">
      <c r="A286" s="30">
        <f>step3_validation[[#This Row],[Persona_ID]]</f>
        <v>285</v>
      </c>
      <c r="B286" s="31">
        <f>step3_validation[[#This Row],[Used_Seed]]</f>
        <v>2310</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94.572700351429006</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5</v>
      </c>
      <c r="R286">
        <f t="shared" si="108"/>
        <v>0.44444444444444442</v>
      </c>
      <c r="S286">
        <f>survey_responses[[#This Row],[Tôi tin rằng với các quy định quản lý thuế hiện nay, hành vi gian lận hoặc trốn thuế sẽ dễ dàng bị phát hiện và xử lý nghiêm. - HUMAN-ENF1]]</f>
        <v>7</v>
      </c>
      <c r="T286">
        <f t="shared" si="109"/>
        <v>0.66666666666666663</v>
      </c>
      <c r="U286">
        <f>step3_validation[[#This Row],[AI_ENF2]]</f>
        <v>6</v>
      </c>
      <c r="V286">
        <f t="shared" si="110"/>
        <v>0.55555555555555558</v>
      </c>
      <c r="W286">
        <f>survey_responses[[#This Row],[Tôi tin rằng Nhà nước, cơ quan thuế có đủ khả năng và công nghệ để phát hiện, xử lý nghiêm các hành vi trốn thuế. - HUMAN-ENF2]]</f>
        <v>7</v>
      </c>
      <c r="X286">
        <f t="shared" si="111"/>
        <v>0.66666666666666663</v>
      </c>
      <c r="Y286" s="32">
        <f t="shared" si="112"/>
        <v>0.5</v>
      </c>
      <c r="Z286" s="32">
        <f t="shared" si="113"/>
        <v>0.66666666666666663</v>
      </c>
      <c r="AA286">
        <f>step3_validation[[#This Row],[AI_FAC1]]</f>
        <v>9</v>
      </c>
      <c r="AB286">
        <f t="shared" si="114"/>
        <v>0.88888888888888884</v>
      </c>
      <c r="AC286">
        <f>survey_responses[[#This Row],[Các thủ tục khai báo thuế VÀ/HOẶC quy trình làm việc với cơ quan thuế đơn giản, tiện lợi, nhanh chóng hơn so với trước đây. - HUMAN-FAC1]]</f>
        <v>5</v>
      </c>
      <c r="AD286">
        <f t="shared" si="115"/>
        <v>0.44444444444444442</v>
      </c>
      <c r="AE286">
        <f>step3_validation[[#This Row],[AI_FAC2]]</f>
        <v>7</v>
      </c>
      <c r="AF286">
        <f t="shared" si="116"/>
        <v>0.66666666666666663</v>
      </c>
      <c r="AG286">
        <f>survey_responses[[#This Row],[So với trước đây, tôi thấy cách tính thuế và các bậc thuế trong phương án mới đơn giản, dễ hiểu và dễ thực hiện hơn. - HUMAN-FAC2]]</f>
        <v>8</v>
      </c>
      <c r="AH286">
        <f t="shared" si="117"/>
        <v>0.77777777777777779</v>
      </c>
      <c r="AI286" s="32">
        <f t="shared" si="118"/>
        <v>0.77777777777777768</v>
      </c>
      <c r="AJ286" s="32">
        <f t="shared" si="119"/>
        <v>0.61111111111111116</v>
      </c>
      <c r="AK286">
        <f>step3_validation[[#This Row],[AI_TRU1]]</f>
        <v>6</v>
      </c>
      <c r="AL286">
        <f t="shared" si="120"/>
        <v>0.55555555555555558</v>
      </c>
      <c r="AM286">
        <f>survey_responses[[#This Row],[Tôi tin rằng Nhà nước, cơ quan thuế sẽ thực thi chính sách mới một cách khách quan, công tâm và đối xử bình đẳng với mọi người nộp thuế.  - HUMAN-TRU1]]</f>
        <v>6</v>
      </c>
      <c r="AN286">
        <f t="shared" si="121"/>
        <v>0.55555555555555558</v>
      </c>
      <c r="AO286">
        <f>step3_validation[[#This Row],[AI_TRU2]]</f>
        <v>8</v>
      </c>
      <c r="AP286">
        <f t="shared" si="122"/>
        <v>0.77777777777777779</v>
      </c>
      <c r="AQ286">
        <f>survey_responses[[#This Row],[Tôi thấy mức thuế tôi phải đóng theo phương án mới là công bằng (người thu nhập như tôi đóng mức này là hợp lý). - HUMAN-TRU2]]</f>
        <v>6</v>
      </c>
      <c r="AR286">
        <f t="shared" si="123"/>
        <v>0.55555555555555558</v>
      </c>
      <c r="AS286">
        <f>step3_validation[[#This Row],[AI_TRU3]]</f>
        <v>7</v>
      </c>
      <c r="AT286">
        <f t="shared" si="124"/>
        <v>0.66666666666666663</v>
      </c>
      <c r="AU286">
        <f>survey_responses[[#This Row],[Tôi tin tưởng số tiền thuế tôi đóng sẽ được Nhà nước sử dụng hiệu quả để cải thiện dịch vụ công (y tế, đường xá...). - HUMAN-TRU3]]</f>
        <v>6</v>
      </c>
      <c r="AV286">
        <f t="shared" si="125"/>
        <v>0.55555555555555558</v>
      </c>
      <c r="AW286">
        <f>step3_validation[[#This Row],[AI_TRU4]]</f>
        <v>6</v>
      </c>
      <c r="AX286">
        <f t="shared" si="126"/>
        <v>0.55555555555555558</v>
      </c>
      <c r="AY286">
        <f>survey_responses[[#This Row],[Tôi thấy Nhà nước đã giải thích rõ ràng, minh bạch về lý do và mục tiêu của việc sửa đổi thuế lần này. - HUMAN-TRU4]]</f>
        <v>7</v>
      </c>
      <c r="AZ286">
        <f t="shared" si="127"/>
        <v>0.66666666666666663</v>
      </c>
      <c r="BA286" s="32">
        <f t="shared" si="128"/>
        <v>0.63888888888888884</v>
      </c>
      <c r="BB286" s="32">
        <f t="shared" si="129"/>
        <v>0.58333333333333337</v>
      </c>
      <c r="BC286" s="7">
        <f t="shared" si="130"/>
        <v>0.63888888888888884</v>
      </c>
      <c r="BD286" s="7">
        <f t="shared" si="131"/>
        <v>0.62037037037037035</v>
      </c>
      <c r="BE286">
        <f>step3_validation[[#This Row],[AI_OUT1]]</f>
        <v>8</v>
      </c>
      <c r="BF286">
        <f t="shared" si="132"/>
        <v>0.77777777777777779</v>
      </c>
      <c r="BG286">
        <f>survey_responses[[#This Row],[Sau khi xem xét các quyền lợi và nghĩa vụ, bạn có ủng hộ và tuân thủ chính sách mới hiện nay? - HUMAN-OUT1]]</f>
        <v>7</v>
      </c>
      <c r="BH286">
        <f t="shared" si="133"/>
        <v>0.66666666666666663</v>
      </c>
      <c r="BI286" s="32">
        <f t="shared" si="134"/>
        <v>1</v>
      </c>
    </row>
    <row r="287" spans="1:61" x14ac:dyDescent="0.45">
      <c r="A287" s="30">
        <f>step3_validation[[#This Row],[Persona_ID]]</f>
        <v>286</v>
      </c>
      <c r="B287" s="31">
        <f>step3_validation[[#This Row],[Used_Seed]]</f>
        <v>2311</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34.799515759454216</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7</v>
      </c>
      <c r="R287">
        <f t="shared" si="108"/>
        <v>0.66666666666666663</v>
      </c>
      <c r="S287">
        <f>survey_responses[[#This Row],[Tôi tin rằng với các quy định quản lý thuế hiện nay, hành vi gian lận hoặc trốn thuế sẽ dễ dàng bị phát hiện và xử lý nghiêm. - HUMAN-ENF1]]</f>
        <v>4</v>
      </c>
      <c r="T287">
        <f t="shared" si="109"/>
        <v>0.33333333333333331</v>
      </c>
      <c r="U287">
        <f>step3_validation[[#This Row],[AI_ENF2]]</f>
        <v>8</v>
      </c>
      <c r="V287">
        <f t="shared" si="110"/>
        <v>0.77777777777777779</v>
      </c>
      <c r="W287">
        <f>survey_responses[[#This Row],[Tôi tin rằng Nhà nước, cơ quan thuế có đủ khả năng và công nghệ để phát hiện, xử lý nghiêm các hành vi trốn thuế. - HUMAN-ENF2]]</f>
        <v>4</v>
      </c>
      <c r="X287">
        <f t="shared" si="111"/>
        <v>0.33333333333333331</v>
      </c>
      <c r="Y287" s="32">
        <f t="shared" si="112"/>
        <v>0.72222222222222221</v>
      </c>
      <c r="Z287" s="32">
        <f t="shared" si="113"/>
        <v>0.33333333333333331</v>
      </c>
      <c r="AA287">
        <f>step3_validation[[#This Row],[AI_FAC1]]</f>
        <v>9</v>
      </c>
      <c r="AB287">
        <f t="shared" si="114"/>
        <v>0.88888888888888884</v>
      </c>
      <c r="AC287">
        <f>survey_responses[[#This Row],[Các thủ tục khai báo thuế VÀ/HOẶC quy trình làm việc với cơ quan thuế đơn giản, tiện lợi, nhanh chóng hơn so với trước đây. - HUMAN-FAC1]]</f>
        <v>2</v>
      </c>
      <c r="AD287">
        <f t="shared" si="115"/>
        <v>0.1111111111111111</v>
      </c>
      <c r="AE287">
        <f>step3_validation[[#This Row],[AI_FAC2]]</f>
        <v>10</v>
      </c>
      <c r="AF287">
        <f t="shared" si="116"/>
        <v>1</v>
      </c>
      <c r="AG287">
        <f>survey_responses[[#This Row],[So với trước đây, tôi thấy cách tính thuế và các bậc thuế trong phương án mới đơn giản, dễ hiểu và dễ thực hiện hơn. - HUMAN-FAC2]]</f>
        <v>8</v>
      </c>
      <c r="AH287">
        <f t="shared" si="117"/>
        <v>0.77777777777777779</v>
      </c>
      <c r="AI287" s="32">
        <f t="shared" si="118"/>
        <v>0.94444444444444442</v>
      </c>
      <c r="AJ287" s="32">
        <f t="shared" si="119"/>
        <v>0.44444444444444442</v>
      </c>
      <c r="AK287">
        <f>step3_validation[[#This Row],[AI_TRU1]]</f>
        <v>9</v>
      </c>
      <c r="AL287">
        <f t="shared" si="120"/>
        <v>0.88888888888888884</v>
      </c>
      <c r="AM287">
        <f>survey_responses[[#This Row],[Tôi tin rằng Nhà nước, cơ quan thuế sẽ thực thi chính sách mới một cách khách quan, công tâm và đối xử bình đẳng với mọi người nộp thuế.  - HUMAN-TRU1]]</f>
        <v>5</v>
      </c>
      <c r="AN287">
        <f t="shared" si="121"/>
        <v>0.44444444444444442</v>
      </c>
      <c r="AO287">
        <f>step3_validation[[#This Row],[AI_TRU2]]</f>
        <v>8</v>
      </c>
      <c r="AP287">
        <f t="shared" si="122"/>
        <v>0.77777777777777779</v>
      </c>
      <c r="AQ287">
        <f>survey_responses[[#This Row],[Tôi thấy mức thuế tôi phải đóng theo phương án mới là công bằng (người thu nhập như tôi đóng mức này là hợp lý). - HUMAN-TRU2]]</f>
        <v>5</v>
      </c>
      <c r="AR287">
        <f t="shared" si="123"/>
        <v>0.44444444444444442</v>
      </c>
      <c r="AS287">
        <f>step3_validation[[#This Row],[AI_TRU3]]</f>
        <v>9</v>
      </c>
      <c r="AT287">
        <f t="shared" si="124"/>
        <v>0.88888888888888884</v>
      </c>
      <c r="AU287">
        <f>survey_responses[[#This Row],[Tôi tin tưởng số tiền thuế tôi đóng sẽ được Nhà nước sử dụng hiệu quả để cải thiện dịch vụ công (y tế, đường xá...). - HUMAN-TRU3]]</f>
        <v>4</v>
      </c>
      <c r="AV287">
        <f t="shared" si="125"/>
        <v>0.33333333333333331</v>
      </c>
      <c r="AW287">
        <f>step3_validation[[#This Row],[AI_TRU4]]</f>
        <v>8</v>
      </c>
      <c r="AX287">
        <f t="shared" si="126"/>
        <v>0.77777777777777779</v>
      </c>
      <c r="AY287">
        <f>survey_responses[[#This Row],[Tôi thấy Nhà nước đã giải thích rõ ràng, minh bạch về lý do và mục tiêu của việc sửa đổi thuế lần này. - HUMAN-TRU4]]</f>
        <v>6</v>
      </c>
      <c r="AZ287">
        <f t="shared" si="127"/>
        <v>0.55555555555555558</v>
      </c>
      <c r="BA287" s="32">
        <f t="shared" si="128"/>
        <v>0.83333333333333326</v>
      </c>
      <c r="BB287" s="32">
        <f t="shared" si="129"/>
        <v>0.44444444444444442</v>
      </c>
      <c r="BC287" s="7">
        <f t="shared" si="130"/>
        <v>0.83333333333333337</v>
      </c>
      <c r="BD287" s="7">
        <f t="shared" si="131"/>
        <v>0.40740740740740738</v>
      </c>
      <c r="BE287">
        <f>step3_validation[[#This Row],[AI_OUT1]]</f>
        <v>9</v>
      </c>
      <c r="BF287">
        <f t="shared" si="132"/>
        <v>0.88888888888888884</v>
      </c>
      <c r="BG287">
        <f>survey_responses[[#This Row],[Sau khi xem xét các quyền lợi và nghĩa vụ, bạn có ủng hộ và tuân thủ chính sách mới hiện nay? - HUMAN-OUT1]]</f>
        <v>5</v>
      </c>
      <c r="BH287">
        <f t="shared" si="133"/>
        <v>0.44444444444444442</v>
      </c>
      <c r="BI287" s="32">
        <f t="shared" si="134"/>
        <v>4</v>
      </c>
    </row>
    <row r="288" spans="1:61" x14ac:dyDescent="0.45">
      <c r="A288" s="30">
        <f>step3_validation[[#This Row],[Persona_ID]]</f>
        <v>287</v>
      </c>
      <c r="B288" s="31">
        <f>step3_validation[[#This Row],[Used_Seed]]</f>
        <v>2312</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58.081382118635894</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7</v>
      </c>
      <c r="R288">
        <f t="shared" si="108"/>
        <v>0.66666666666666663</v>
      </c>
      <c r="S288">
        <f>survey_responses[[#This Row],[Tôi tin rằng với các quy định quản lý thuế hiện nay, hành vi gian lận hoặc trốn thuế sẽ dễ dàng bị phát hiện và xử lý nghiêm. - HUMAN-ENF1]]</f>
        <v>10</v>
      </c>
      <c r="T288">
        <f t="shared" si="109"/>
        <v>1</v>
      </c>
      <c r="U288">
        <f>step3_validation[[#This Row],[AI_ENF2]]</f>
        <v>8</v>
      </c>
      <c r="V288">
        <f t="shared" si="110"/>
        <v>0.77777777777777779</v>
      </c>
      <c r="W288">
        <f>survey_responses[[#This Row],[Tôi tin rằng Nhà nước, cơ quan thuế có đủ khả năng và công nghệ để phát hiện, xử lý nghiêm các hành vi trốn thuế. - HUMAN-ENF2]]</f>
        <v>10</v>
      </c>
      <c r="X288">
        <f t="shared" si="111"/>
        <v>1</v>
      </c>
      <c r="Y288" s="32">
        <f t="shared" si="112"/>
        <v>0.72222222222222221</v>
      </c>
      <c r="Z288" s="32">
        <f t="shared" si="113"/>
        <v>1</v>
      </c>
      <c r="AA288">
        <f>step3_validation[[#This Row],[AI_FAC1]]</f>
        <v>9</v>
      </c>
      <c r="AB288">
        <f t="shared" si="114"/>
        <v>0.88888888888888884</v>
      </c>
      <c r="AC288">
        <f>survey_responses[[#This Row],[Các thủ tục khai báo thuế VÀ/HOẶC quy trình làm việc với cơ quan thuế đơn giản, tiện lợi, nhanh chóng hơn so với trước đây. - HUMAN-FAC1]]</f>
        <v>7</v>
      </c>
      <c r="AD288">
        <f t="shared" si="115"/>
        <v>0.66666666666666663</v>
      </c>
      <c r="AE288">
        <f>step3_validation[[#This Row],[AI_FAC2]]</f>
        <v>9</v>
      </c>
      <c r="AF288">
        <f t="shared" si="116"/>
        <v>0.88888888888888884</v>
      </c>
      <c r="AG288">
        <f>survey_responses[[#This Row],[So với trước đây, tôi thấy cách tính thuế và các bậc thuế trong phương án mới đơn giản, dễ hiểu và dễ thực hiện hơn. - HUMAN-FAC2]]</f>
        <v>7</v>
      </c>
      <c r="AH288">
        <f t="shared" si="117"/>
        <v>0.66666666666666663</v>
      </c>
      <c r="AI288" s="32">
        <f t="shared" si="118"/>
        <v>0.88888888888888884</v>
      </c>
      <c r="AJ288" s="32">
        <f t="shared" si="119"/>
        <v>0.66666666666666663</v>
      </c>
      <c r="AK288">
        <f>step3_validation[[#This Row],[AI_TRU1]]</f>
        <v>7</v>
      </c>
      <c r="AL288">
        <f t="shared" si="120"/>
        <v>0.66666666666666663</v>
      </c>
      <c r="AM288">
        <f>survey_responses[[#This Row],[Tôi tin rằng Nhà nước, cơ quan thuế sẽ thực thi chính sách mới một cách khách quan, công tâm và đối xử bình đẳng với mọi người nộp thuế.  - HUMAN-TRU1]]</f>
        <v>8</v>
      </c>
      <c r="AN288">
        <f t="shared" si="121"/>
        <v>0.77777777777777779</v>
      </c>
      <c r="AO288">
        <f>step3_validation[[#This Row],[AI_TRU2]]</f>
        <v>9</v>
      </c>
      <c r="AP288">
        <f t="shared" si="122"/>
        <v>0.88888888888888884</v>
      </c>
      <c r="AQ288">
        <f>survey_responses[[#This Row],[Tôi thấy mức thuế tôi phải đóng theo phương án mới là công bằng (người thu nhập như tôi đóng mức này là hợp lý). - HUMAN-TRU2]]</f>
        <v>7</v>
      </c>
      <c r="AR288">
        <f t="shared" si="123"/>
        <v>0.66666666666666663</v>
      </c>
      <c r="AS288">
        <f>step3_validation[[#This Row],[AI_TRU3]]</f>
        <v>8</v>
      </c>
      <c r="AT288">
        <f t="shared" si="124"/>
        <v>0.77777777777777779</v>
      </c>
      <c r="AU288">
        <f>survey_responses[[#This Row],[Tôi tin tưởng số tiền thuế tôi đóng sẽ được Nhà nước sử dụng hiệu quả để cải thiện dịch vụ công (y tế, đường xá...). - HUMAN-TRU3]]</f>
        <v>8</v>
      </c>
      <c r="AV288">
        <f t="shared" si="125"/>
        <v>0.77777777777777779</v>
      </c>
      <c r="AW288">
        <f>step3_validation[[#This Row],[AI_TRU4]]</f>
        <v>7</v>
      </c>
      <c r="AX288">
        <f t="shared" si="126"/>
        <v>0.66666666666666663</v>
      </c>
      <c r="AY288">
        <f>survey_responses[[#This Row],[Tôi thấy Nhà nước đã giải thích rõ ràng, minh bạch về lý do và mục tiêu của việc sửa đổi thuế lần này. - HUMAN-TRU4]]</f>
        <v>8</v>
      </c>
      <c r="AZ288">
        <f t="shared" si="127"/>
        <v>0.77777777777777779</v>
      </c>
      <c r="BA288" s="32">
        <f t="shared" si="128"/>
        <v>0.74999999999999989</v>
      </c>
      <c r="BB288" s="32">
        <f t="shared" si="129"/>
        <v>0.75</v>
      </c>
      <c r="BC288" s="7">
        <f t="shared" si="130"/>
        <v>0.78703703703703709</v>
      </c>
      <c r="BD288" s="7">
        <f t="shared" si="131"/>
        <v>0.80555555555555547</v>
      </c>
      <c r="BE288">
        <f>step3_validation[[#This Row],[AI_OUT1]]</f>
        <v>9</v>
      </c>
      <c r="BF288">
        <f t="shared" si="132"/>
        <v>0.88888888888888884</v>
      </c>
      <c r="BG288">
        <f>survey_responses[[#This Row],[Sau khi xem xét các quyền lợi và nghĩa vụ, bạn có ủng hộ và tuân thủ chính sách mới hiện nay? - HUMAN-OUT1]]</f>
        <v>8</v>
      </c>
      <c r="BH288">
        <f t="shared" si="133"/>
        <v>0.77777777777777779</v>
      </c>
      <c r="BI288" s="32">
        <f t="shared" si="134"/>
        <v>1</v>
      </c>
    </row>
    <row r="289" spans="1:61" x14ac:dyDescent="0.45">
      <c r="A289" s="30">
        <f>step3_validation[[#This Row],[Persona_ID]]</f>
        <v>288</v>
      </c>
      <c r="B289" s="31">
        <f>step3_validation[[#This Row],[Used_Seed]]</f>
        <v>2313</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25.672394156601221</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7</v>
      </c>
      <c r="R289">
        <f t="shared" si="108"/>
        <v>0.66666666666666663</v>
      </c>
      <c r="S289">
        <f>survey_responses[[#This Row],[Tôi tin rằng với các quy định quản lý thuế hiện nay, hành vi gian lận hoặc trốn thuế sẽ dễ dàng bị phát hiện và xử lý nghiêm. - HUMAN-ENF1]]</f>
        <v>8</v>
      </c>
      <c r="T289">
        <f t="shared" si="109"/>
        <v>0.77777777777777779</v>
      </c>
      <c r="U289">
        <f>step3_validation[[#This Row],[AI_ENF2]]</f>
        <v>6</v>
      </c>
      <c r="V289">
        <f t="shared" si="110"/>
        <v>0.55555555555555558</v>
      </c>
      <c r="W289">
        <f>survey_responses[[#This Row],[Tôi tin rằng Nhà nước, cơ quan thuế có đủ khả năng và công nghệ để phát hiện, xử lý nghiêm các hành vi trốn thuế. - HUMAN-ENF2]]</f>
        <v>8</v>
      </c>
      <c r="X289">
        <f t="shared" si="111"/>
        <v>0.77777777777777779</v>
      </c>
      <c r="Y289" s="32">
        <f t="shared" si="112"/>
        <v>0.61111111111111116</v>
      </c>
      <c r="Z289" s="32">
        <f t="shared" si="113"/>
        <v>0.77777777777777779</v>
      </c>
      <c r="AA289">
        <f>step3_validation[[#This Row],[AI_FAC1]]</f>
        <v>9</v>
      </c>
      <c r="AB289">
        <f t="shared" si="114"/>
        <v>0.88888888888888884</v>
      </c>
      <c r="AC289">
        <f>survey_responses[[#This Row],[Các thủ tục khai báo thuế VÀ/HOẶC quy trình làm việc với cơ quan thuế đơn giản, tiện lợi, nhanh chóng hơn so với trước đây. - HUMAN-FAC1]]</f>
        <v>5</v>
      </c>
      <c r="AD289">
        <f t="shared" si="115"/>
        <v>0.44444444444444442</v>
      </c>
      <c r="AE289">
        <f>step3_validation[[#This Row],[AI_FAC2]]</f>
        <v>8</v>
      </c>
      <c r="AF289">
        <f t="shared" si="116"/>
        <v>0.77777777777777779</v>
      </c>
      <c r="AG289">
        <f>survey_responses[[#This Row],[So với trước đây, tôi thấy cách tính thuế và các bậc thuế trong phương án mới đơn giản, dễ hiểu và dễ thực hiện hơn. - HUMAN-FAC2]]</f>
        <v>9</v>
      </c>
      <c r="AH289">
        <f t="shared" si="117"/>
        <v>0.88888888888888884</v>
      </c>
      <c r="AI289" s="32">
        <f t="shared" si="118"/>
        <v>0.83333333333333326</v>
      </c>
      <c r="AJ289" s="32">
        <f t="shared" si="119"/>
        <v>0.66666666666666663</v>
      </c>
      <c r="AK289">
        <f>step3_validation[[#This Row],[AI_TRU1]]</f>
        <v>9</v>
      </c>
      <c r="AL289">
        <f t="shared" si="120"/>
        <v>0.88888888888888884</v>
      </c>
      <c r="AM289">
        <f>survey_responses[[#This Row],[Tôi tin rằng Nhà nước, cơ quan thuế sẽ thực thi chính sách mới một cách khách quan, công tâm và đối xử bình đẳng với mọi người nộp thuế.  - HUMAN-TRU1]]</f>
        <v>10</v>
      </c>
      <c r="AN289">
        <f t="shared" si="121"/>
        <v>1</v>
      </c>
      <c r="AO289">
        <f>step3_validation[[#This Row],[AI_TRU2]]</f>
        <v>8</v>
      </c>
      <c r="AP289">
        <f t="shared" si="122"/>
        <v>0.77777777777777779</v>
      </c>
      <c r="AQ289">
        <f>survey_responses[[#This Row],[Tôi thấy mức thuế tôi phải đóng theo phương án mới là công bằng (người thu nhập như tôi đóng mức này là hợp lý). - HUMAN-TRU2]]</f>
        <v>10</v>
      </c>
      <c r="AR289">
        <f t="shared" si="123"/>
        <v>1</v>
      </c>
      <c r="AS289">
        <f>step3_validation[[#This Row],[AI_TRU3]]</f>
        <v>9</v>
      </c>
      <c r="AT289">
        <f t="shared" si="124"/>
        <v>0.88888888888888884</v>
      </c>
      <c r="AU289">
        <f>survey_responses[[#This Row],[Tôi tin tưởng số tiền thuế tôi đóng sẽ được Nhà nước sử dụng hiệu quả để cải thiện dịch vụ công (y tế, đường xá...). - HUMAN-TRU3]]</f>
        <v>9</v>
      </c>
      <c r="AV289">
        <f t="shared" si="125"/>
        <v>0.88888888888888884</v>
      </c>
      <c r="AW289">
        <f>step3_validation[[#This Row],[AI_TRU4]]</f>
        <v>8</v>
      </c>
      <c r="AX289">
        <f t="shared" si="126"/>
        <v>0.77777777777777779</v>
      </c>
      <c r="AY289">
        <f>survey_responses[[#This Row],[Tôi thấy Nhà nước đã giải thích rõ ràng, minh bạch về lý do và mục tiêu của việc sửa đổi thuế lần này. - HUMAN-TRU4]]</f>
        <v>9</v>
      </c>
      <c r="AZ289">
        <f t="shared" si="127"/>
        <v>0.88888888888888884</v>
      </c>
      <c r="BA289" s="32">
        <f t="shared" si="128"/>
        <v>0.83333333333333326</v>
      </c>
      <c r="BB289" s="32">
        <f t="shared" si="129"/>
        <v>0.94444444444444442</v>
      </c>
      <c r="BC289" s="7">
        <f t="shared" si="130"/>
        <v>0.75925925925925919</v>
      </c>
      <c r="BD289" s="7">
        <f t="shared" si="131"/>
        <v>0.79629629629629628</v>
      </c>
      <c r="BE289">
        <f>step3_validation[[#This Row],[AI_OUT1]]</f>
        <v>9</v>
      </c>
      <c r="BF289">
        <f t="shared" si="132"/>
        <v>0.88888888888888884</v>
      </c>
      <c r="BG289">
        <f>survey_responses[[#This Row],[Sau khi xem xét các quyền lợi và nghĩa vụ, bạn có ủng hộ và tuân thủ chính sách mới hiện nay? - HUMAN-OUT1]]</f>
        <v>10</v>
      </c>
      <c r="BH289">
        <f t="shared" si="133"/>
        <v>1</v>
      </c>
      <c r="BI289" s="32">
        <f t="shared" si="134"/>
        <v>1</v>
      </c>
    </row>
    <row r="290" spans="1:61" x14ac:dyDescent="0.45">
      <c r="A290" s="30">
        <f>step3_validation[[#This Row],[Persona_ID]]</f>
        <v>289</v>
      </c>
      <c r="B290" s="31">
        <f>step3_validation[[#This Row],[Used_Seed]]</f>
        <v>2314</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25.308282119297292</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6</v>
      </c>
      <c r="R290">
        <f t="shared" si="108"/>
        <v>0.55555555555555558</v>
      </c>
      <c r="S290">
        <f>survey_responses[[#This Row],[Tôi tin rằng với các quy định quản lý thuế hiện nay, hành vi gian lận hoặc trốn thuế sẽ dễ dàng bị phát hiện và xử lý nghiêm. - HUMAN-ENF1]]</f>
        <v>7</v>
      </c>
      <c r="T290">
        <f t="shared" si="109"/>
        <v>0.66666666666666663</v>
      </c>
      <c r="U290">
        <f>step3_validation[[#This Row],[AI_ENF2]]</f>
        <v>6</v>
      </c>
      <c r="V290">
        <f t="shared" si="110"/>
        <v>0.55555555555555558</v>
      </c>
      <c r="W290">
        <f>survey_responses[[#This Row],[Tôi tin rằng Nhà nước, cơ quan thuế có đủ khả năng và công nghệ để phát hiện, xử lý nghiêm các hành vi trốn thuế. - HUMAN-ENF2]]</f>
        <v>7</v>
      </c>
      <c r="X290">
        <f t="shared" si="111"/>
        <v>0.66666666666666663</v>
      </c>
      <c r="Y290" s="32">
        <f t="shared" si="112"/>
        <v>0.55555555555555558</v>
      </c>
      <c r="Z290" s="32">
        <f t="shared" si="113"/>
        <v>0.66666666666666663</v>
      </c>
      <c r="AA290">
        <f>step3_validation[[#This Row],[AI_FAC1]]</f>
        <v>8</v>
      </c>
      <c r="AB290">
        <f t="shared" si="114"/>
        <v>0.77777777777777779</v>
      </c>
      <c r="AC290">
        <f>survey_responses[[#This Row],[Các thủ tục khai báo thuế VÀ/HOẶC quy trình làm việc với cơ quan thuế đơn giản, tiện lợi, nhanh chóng hơn so với trước đây. - HUMAN-FAC1]]</f>
        <v>5</v>
      </c>
      <c r="AD290">
        <f t="shared" si="115"/>
        <v>0.44444444444444442</v>
      </c>
      <c r="AE290">
        <f>step3_validation[[#This Row],[AI_FAC2]]</f>
        <v>9</v>
      </c>
      <c r="AF290">
        <f t="shared" si="116"/>
        <v>0.88888888888888884</v>
      </c>
      <c r="AG290">
        <f>survey_responses[[#This Row],[So với trước đây, tôi thấy cách tính thuế và các bậc thuế trong phương án mới đơn giản, dễ hiểu và dễ thực hiện hơn. - HUMAN-FAC2]]</f>
        <v>6</v>
      </c>
      <c r="AH290">
        <f t="shared" si="117"/>
        <v>0.55555555555555558</v>
      </c>
      <c r="AI290" s="32">
        <f t="shared" si="118"/>
        <v>0.83333333333333326</v>
      </c>
      <c r="AJ290" s="32">
        <f t="shared" si="119"/>
        <v>0.5</v>
      </c>
      <c r="AK290">
        <f>step3_validation[[#This Row],[AI_TRU1]]</f>
        <v>8</v>
      </c>
      <c r="AL290">
        <f t="shared" si="120"/>
        <v>0.77777777777777779</v>
      </c>
      <c r="AM290">
        <f>survey_responses[[#This Row],[Tôi tin rằng Nhà nước, cơ quan thuế sẽ thực thi chính sách mới một cách khách quan, công tâm và đối xử bình đẳng với mọi người nộp thuế.  - HUMAN-TRU1]]</f>
        <v>5</v>
      </c>
      <c r="AN290">
        <f t="shared" si="121"/>
        <v>0.44444444444444442</v>
      </c>
      <c r="AO290">
        <f>step3_validation[[#This Row],[AI_TRU2]]</f>
        <v>9</v>
      </c>
      <c r="AP290">
        <f t="shared" si="122"/>
        <v>0.88888888888888884</v>
      </c>
      <c r="AQ290">
        <f>survey_responses[[#This Row],[Tôi thấy mức thuế tôi phải đóng theo phương án mới là công bằng (người thu nhập như tôi đóng mức này là hợp lý). - HUMAN-TRU2]]</f>
        <v>5</v>
      </c>
      <c r="AR290">
        <f t="shared" si="123"/>
        <v>0.44444444444444442</v>
      </c>
      <c r="AS290">
        <f>step3_validation[[#This Row],[AI_TRU3]]</f>
        <v>7</v>
      </c>
      <c r="AT290">
        <f t="shared" si="124"/>
        <v>0.66666666666666663</v>
      </c>
      <c r="AU290">
        <f>survey_responses[[#This Row],[Tôi tin tưởng số tiền thuế tôi đóng sẽ được Nhà nước sử dụng hiệu quả để cải thiện dịch vụ công (y tế, đường xá...). - HUMAN-TRU3]]</f>
        <v>5</v>
      </c>
      <c r="AV290">
        <f t="shared" si="125"/>
        <v>0.44444444444444442</v>
      </c>
      <c r="AW290">
        <f>step3_validation[[#This Row],[AI_TRU4]]</f>
        <v>6</v>
      </c>
      <c r="AX290">
        <f t="shared" si="126"/>
        <v>0.55555555555555558</v>
      </c>
      <c r="AY290">
        <f>survey_responses[[#This Row],[Tôi thấy Nhà nước đã giải thích rõ ràng, minh bạch về lý do và mục tiêu của việc sửa đổi thuế lần này. - HUMAN-TRU4]]</f>
        <v>5</v>
      </c>
      <c r="AZ290">
        <f t="shared" si="127"/>
        <v>0.44444444444444442</v>
      </c>
      <c r="BA290" s="32">
        <f t="shared" si="128"/>
        <v>0.7222222222222221</v>
      </c>
      <c r="BB290" s="32">
        <f t="shared" si="129"/>
        <v>0.44444444444444442</v>
      </c>
      <c r="BC290" s="7">
        <f t="shared" si="130"/>
        <v>0.70370370370370361</v>
      </c>
      <c r="BD290" s="7">
        <f t="shared" si="131"/>
        <v>0.53703703703703698</v>
      </c>
      <c r="BE290">
        <f>step3_validation[[#This Row],[AI_OUT1]]</f>
        <v>9</v>
      </c>
      <c r="BF290">
        <f t="shared" si="132"/>
        <v>0.88888888888888884</v>
      </c>
      <c r="BG290">
        <f>survey_responses[[#This Row],[Sau khi xem xét các quyền lợi và nghĩa vụ, bạn có ủng hộ và tuân thủ chính sách mới hiện nay? - HUMAN-OUT1]]</f>
        <v>6</v>
      </c>
      <c r="BH290">
        <f t="shared" si="133"/>
        <v>0.55555555555555558</v>
      </c>
      <c r="BI290" s="32">
        <f t="shared" si="134"/>
        <v>3</v>
      </c>
    </row>
    <row r="291" spans="1:61" x14ac:dyDescent="0.45">
      <c r="A291" s="30">
        <f>step3_validation[[#This Row],[Persona_ID]]</f>
        <v>290</v>
      </c>
      <c r="B291" s="31">
        <f>step3_validation[[#This Row],[Used_Seed]]</f>
        <v>2315</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32.421696879686671</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7</v>
      </c>
      <c r="R291">
        <f t="shared" si="108"/>
        <v>0.66666666666666663</v>
      </c>
      <c r="S291">
        <f>survey_responses[[#This Row],[Tôi tin rằng với các quy định quản lý thuế hiện nay, hành vi gian lận hoặc trốn thuế sẽ dễ dàng bị phát hiện và xử lý nghiêm. - HUMAN-ENF1]]</f>
        <v>8</v>
      </c>
      <c r="T291">
        <f t="shared" si="109"/>
        <v>0.77777777777777779</v>
      </c>
      <c r="U291">
        <f>step3_validation[[#This Row],[AI_ENF2]]</f>
        <v>8</v>
      </c>
      <c r="V291">
        <f t="shared" si="110"/>
        <v>0.77777777777777779</v>
      </c>
      <c r="W291">
        <f>survey_responses[[#This Row],[Tôi tin rằng Nhà nước, cơ quan thuế có đủ khả năng và công nghệ để phát hiện, xử lý nghiêm các hành vi trốn thuế. - HUMAN-ENF2]]</f>
        <v>8</v>
      </c>
      <c r="X291">
        <f t="shared" si="111"/>
        <v>0.77777777777777779</v>
      </c>
      <c r="Y291" s="32">
        <f t="shared" si="112"/>
        <v>0.72222222222222221</v>
      </c>
      <c r="Z291" s="32">
        <f t="shared" si="113"/>
        <v>0.77777777777777779</v>
      </c>
      <c r="AA291">
        <f>step3_validation[[#This Row],[AI_FAC1]]</f>
        <v>9</v>
      </c>
      <c r="AB291">
        <f t="shared" si="114"/>
        <v>0.88888888888888884</v>
      </c>
      <c r="AC291">
        <f>survey_responses[[#This Row],[Các thủ tục khai báo thuế VÀ/HOẶC quy trình làm việc với cơ quan thuế đơn giản, tiện lợi, nhanh chóng hơn so với trước đây. - HUMAN-FAC1]]</f>
        <v>8</v>
      </c>
      <c r="AD291">
        <f t="shared" si="115"/>
        <v>0.77777777777777779</v>
      </c>
      <c r="AE291">
        <f>step3_validation[[#This Row],[AI_FAC2]]</f>
        <v>10</v>
      </c>
      <c r="AF291">
        <f t="shared" si="116"/>
        <v>1</v>
      </c>
      <c r="AG291">
        <f>survey_responses[[#This Row],[So với trước đây, tôi thấy cách tính thuế và các bậc thuế trong phương án mới đơn giản, dễ hiểu và dễ thực hiện hơn. - HUMAN-FAC2]]</f>
        <v>8</v>
      </c>
      <c r="AH291">
        <f t="shared" si="117"/>
        <v>0.77777777777777779</v>
      </c>
      <c r="AI291" s="32">
        <f t="shared" si="118"/>
        <v>0.94444444444444442</v>
      </c>
      <c r="AJ291" s="32">
        <f t="shared" si="119"/>
        <v>0.77777777777777779</v>
      </c>
      <c r="AK291">
        <f>step3_validation[[#This Row],[AI_TRU1]]</f>
        <v>6</v>
      </c>
      <c r="AL291">
        <f t="shared" si="120"/>
        <v>0.55555555555555558</v>
      </c>
      <c r="AM291">
        <f>survey_responses[[#This Row],[Tôi tin rằng Nhà nước, cơ quan thuế sẽ thực thi chính sách mới một cách khách quan, công tâm và đối xử bình đẳng với mọi người nộp thuế.  - HUMAN-TRU1]]</f>
        <v>8</v>
      </c>
      <c r="AN291">
        <f t="shared" si="121"/>
        <v>0.77777777777777779</v>
      </c>
      <c r="AO291">
        <f>step3_validation[[#This Row],[AI_TRU2]]</f>
        <v>9</v>
      </c>
      <c r="AP291">
        <f t="shared" si="122"/>
        <v>0.88888888888888884</v>
      </c>
      <c r="AQ291">
        <f>survey_responses[[#This Row],[Tôi thấy mức thuế tôi phải đóng theo phương án mới là công bằng (người thu nhập như tôi đóng mức này là hợp lý). - HUMAN-TRU2]]</f>
        <v>8</v>
      </c>
      <c r="AR291">
        <f t="shared" si="123"/>
        <v>0.77777777777777779</v>
      </c>
      <c r="AS291">
        <f>step3_validation[[#This Row],[AI_TRU3]]</f>
        <v>7</v>
      </c>
      <c r="AT291">
        <f t="shared" si="124"/>
        <v>0.66666666666666663</v>
      </c>
      <c r="AU291">
        <f>survey_responses[[#This Row],[Tôi tin tưởng số tiền thuế tôi đóng sẽ được Nhà nước sử dụng hiệu quả để cải thiện dịch vụ công (y tế, đường xá...). - HUMAN-TRU3]]</f>
        <v>8</v>
      </c>
      <c r="AV291">
        <f t="shared" si="125"/>
        <v>0.77777777777777779</v>
      </c>
      <c r="AW291">
        <f>step3_validation[[#This Row],[AI_TRU4]]</f>
        <v>8</v>
      </c>
      <c r="AX291">
        <f t="shared" si="126"/>
        <v>0.77777777777777779</v>
      </c>
      <c r="AY291">
        <f>survey_responses[[#This Row],[Tôi thấy Nhà nước đã giải thích rõ ràng, minh bạch về lý do và mục tiêu của việc sửa đổi thuế lần này. - HUMAN-TRU4]]</f>
        <v>8</v>
      </c>
      <c r="AZ291">
        <f t="shared" si="127"/>
        <v>0.77777777777777779</v>
      </c>
      <c r="BA291" s="32">
        <f t="shared" si="128"/>
        <v>0.72222222222222221</v>
      </c>
      <c r="BB291" s="32">
        <f t="shared" si="129"/>
        <v>0.77777777777777779</v>
      </c>
      <c r="BC291" s="7">
        <f t="shared" si="130"/>
        <v>0.79629629629629628</v>
      </c>
      <c r="BD291" s="7">
        <f t="shared" si="131"/>
        <v>0.77777777777777779</v>
      </c>
      <c r="BE291">
        <f>step3_validation[[#This Row],[AI_OUT1]]</f>
        <v>9</v>
      </c>
      <c r="BF291">
        <f t="shared" si="132"/>
        <v>0.88888888888888884</v>
      </c>
      <c r="BG291">
        <f>survey_responses[[#This Row],[Sau khi xem xét các quyền lợi và nghĩa vụ, bạn có ủng hộ và tuân thủ chính sách mới hiện nay? - HUMAN-OUT1]]</f>
        <v>8</v>
      </c>
      <c r="BH291">
        <f t="shared" si="133"/>
        <v>0.77777777777777779</v>
      </c>
      <c r="BI291" s="32">
        <f t="shared" si="134"/>
        <v>1</v>
      </c>
    </row>
    <row r="292" spans="1:61" x14ac:dyDescent="0.45">
      <c r="A292" s="30">
        <f>step3_validation[[#This Row],[Persona_ID]]</f>
        <v>291</v>
      </c>
      <c r="B292" s="31">
        <f>step3_validation[[#This Row],[Used_Seed]]</f>
        <v>2316</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66.599036760439176</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6</v>
      </c>
      <c r="R292">
        <f t="shared" si="108"/>
        <v>0.55555555555555558</v>
      </c>
      <c r="S292">
        <f>survey_responses[[#This Row],[Tôi tin rằng với các quy định quản lý thuế hiện nay, hành vi gian lận hoặc trốn thuế sẽ dễ dàng bị phát hiện và xử lý nghiêm. - HUMAN-ENF1]]</f>
        <v>9</v>
      </c>
      <c r="T292">
        <f t="shared" si="109"/>
        <v>0.88888888888888884</v>
      </c>
      <c r="U292">
        <f>step3_validation[[#This Row],[AI_ENF2]]</f>
        <v>8</v>
      </c>
      <c r="V292">
        <f t="shared" si="110"/>
        <v>0.77777777777777779</v>
      </c>
      <c r="W292">
        <f>survey_responses[[#This Row],[Tôi tin rằng Nhà nước, cơ quan thuế có đủ khả năng và công nghệ để phát hiện, xử lý nghiêm các hành vi trốn thuế. - HUMAN-ENF2]]</f>
        <v>9</v>
      </c>
      <c r="X292">
        <f t="shared" si="111"/>
        <v>0.88888888888888884</v>
      </c>
      <c r="Y292" s="32">
        <f t="shared" si="112"/>
        <v>0.66666666666666674</v>
      </c>
      <c r="Z292" s="32">
        <f t="shared" si="113"/>
        <v>0.88888888888888884</v>
      </c>
      <c r="AA292">
        <f>step3_validation[[#This Row],[AI_FAC1]]</f>
        <v>9</v>
      </c>
      <c r="AB292">
        <f t="shared" si="114"/>
        <v>0.88888888888888884</v>
      </c>
      <c r="AC292">
        <f>survey_responses[[#This Row],[Các thủ tục khai báo thuế VÀ/HOẶC quy trình làm việc với cơ quan thuế đơn giản, tiện lợi, nhanh chóng hơn so với trước đây. - HUMAN-FAC1]]</f>
        <v>3</v>
      </c>
      <c r="AD292">
        <f t="shared" si="115"/>
        <v>0.22222222222222221</v>
      </c>
      <c r="AE292">
        <f>step3_validation[[#This Row],[AI_FAC2]]</f>
        <v>8</v>
      </c>
      <c r="AF292">
        <f t="shared" si="116"/>
        <v>0.77777777777777779</v>
      </c>
      <c r="AG292">
        <f>survey_responses[[#This Row],[So với trước đây, tôi thấy cách tính thuế và các bậc thuế trong phương án mới đơn giản, dễ hiểu và dễ thực hiện hơn. - HUMAN-FAC2]]</f>
        <v>10</v>
      </c>
      <c r="AH292">
        <f t="shared" si="117"/>
        <v>1</v>
      </c>
      <c r="AI292" s="32">
        <f t="shared" si="118"/>
        <v>0.83333333333333326</v>
      </c>
      <c r="AJ292" s="32">
        <f t="shared" si="119"/>
        <v>0.61111111111111116</v>
      </c>
      <c r="AK292">
        <f>step3_validation[[#This Row],[AI_TRU1]]</f>
        <v>9</v>
      </c>
      <c r="AL292">
        <f t="shared" si="120"/>
        <v>0.88888888888888884</v>
      </c>
      <c r="AM292">
        <f>survey_responses[[#This Row],[Tôi tin rằng Nhà nước, cơ quan thuế sẽ thực thi chính sách mới một cách khách quan, công tâm và đối xử bình đẳng với mọi người nộp thuế.  - HUMAN-TRU1]]</f>
        <v>8</v>
      </c>
      <c r="AN292">
        <f t="shared" si="121"/>
        <v>0.77777777777777779</v>
      </c>
      <c r="AO292">
        <f>step3_validation[[#This Row],[AI_TRU2]]</f>
        <v>8</v>
      </c>
      <c r="AP292">
        <f t="shared" si="122"/>
        <v>0.77777777777777779</v>
      </c>
      <c r="AQ292">
        <f>survey_responses[[#This Row],[Tôi thấy mức thuế tôi phải đóng theo phương án mới là công bằng (người thu nhập như tôi đóng mức này là hợp lý). - HUMAN-TRU2]]</f>
        <v>8</v>
      </c>
      <c r="AR292">
        <f t="shared" si="123"/>
        <v>0.77777777777777779</v>
      </c>
      <c r="AS292">
        <f>step3_validation[[#This Row],[AI_TRU3]]</f>
        <v>9</v>
      </c>
      <c r="AT292">
        <f t="shared" si="124"/>
        <v>0.88888888888888884</v>
      </c>
      <c r="AU292">
        <f>survey_responses[[#This Row],[Tôi tin tưởng số tiền thuế tôi đóng sẽ được Nhà nước sử dụng hiệu quả để cải thiện dịch vụ công (y tế, đường xá...). - HUMAN-TRU3]]</f>
        <v>6</v>
      </c>
      <c r="AV292">
        <f t="shared" si="125"/>
        <v>0.55555555555555558</v>
      </c>
      <c r="AW292">
        <f>step3_validation[[#This Row],[AI_TRU4]]</f>
        <v>8</v>
      </c>
      <c r="AX292">
        <f t="shared" si="126"/>
        <v>0.77777777777777779</v>
      </c>
      <c r="AY292">
        <f>survey_responses[[#This Row],[Tôi thấy Nhà nước đã giải thích rõ ràng, minh bạch về lý do và mục tiêu của việc sửa đổi thuế lần này. - HUMAN-TRU4]]</f>
        <v>8</v>
      </c>
      <c r="AZ292">
        <f t="shared" si="127"/>
        <v>0.77777777777777779</v>
      </c>
      <c r="BA292" s="32">
        <f t="shared" si="128"/>
        <v>0.83333333333333326</v>
      </c>
      <c r="BB292" s="32">
        <f t="shared" si="129"/>
        <v>0.72222222222222221</v>
      </c>
      <c r="BC292" s="7">
        <f t="shared" si="130"/>
        <v>0.77777777777777768</v>
      </c>
      <c r="BD292" s="7">
        <f t="shared" si="131"/>
        <v>0.74074074074074081</v>
      </c>
      <c r="BE292">
        <f>step3_validation[[#This Row],[AI_OUT1]]</f>
        <v>9</v>
      </c>
      <c r="BF292">
        <f t="shared" si="132"/>
        <v>0.88888888888888884</v>
      </c>
      <c r="BG292">
        <f>survey_responses[[#This Row],[Sau khi xem xét các quyền lợi và nghĩa vụ, bạn có ủng hộ và tuân thủ chính sách mới hiện nay? - HUMAN-OUT1]]</f>
        <v>8</v>
      </c>
      <c r="BH292">
        <f t="shared" si="133"/>
        <v>0.77777777777777779</v>
      </c>
      <c r="BI292" s="32">
        <f t="shared" si="134"/>
        <v>1</v>
      </c>
    </row>
    <row r="293" spans="1:61" x14ac:dyDescent="0.45">
      <c r="A293" s="30">
        <f>step3_validation[[#This Row],[Persona_ID]]</f>
        <v>292</v>
      </c>
      <c r="B293" s="31">
        <f>step3_validation[[#This Row],[Used_Seed]]</f>
        <v>2317</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65.98256114506934</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9</v>
      </c>
      <c r="R293">
        <f t="shared" si="108"/>
        <v>0.88888888888888884</v>
      </c>
      <c r="S293">
        <f>survey_responses[[#This Row],[Tôi tin rằng với các quy định quản lý thuế hiện nay, hành vi gian lận hoặc trốn thuế sẽ dễ dàng bị phát hiện và xử lý nghiêm. - HUMAN-ENF1]]</f>
        <v>6</v>
      </c>
      <c r="T293">
        <f t="shared" si="109"/>
        <v>0.55555555555555558</v>
      </c>
      <c r="U293">
        <f>step3_validation[[#This Row],[AI_ENF2]]</f>
        <v>8</v>
      </c>
      <c r="V293">
        <f t="shared" si="110"/>
        <v>0.77777777777777779</v>
      </c>
      <c r="W293">
        <f>survey_responses[[#This Row],[Tôi tin rằng Nhà nước, cơ quan thuế có đủ khả năng và công nghệ để phát hiện, xử lý nghiêm các hành vi trốn thuế. - HUMAN-ENF2]]</f>
        <v>6</v>
      </c>
      <c r="X293">
        <f t="shared" si="111"/>
        <v>0.55555555555555558</v>
      </c>
      <c r="Y293" s="32">
        <f t="shared" si="112"/>
        <v>0.83333333333333326</v>
      </c>
      <c r="Z293" s="32">
        <f t="shared" si="113"/>
        <v>0.55555555555555558</v>
      </c>
      <c r="AA293">
        <f>step3_validation[[#This Row],[AI_FAC1]]</f>
        <v>9</v>
      </c>
      <c r="AB293">
        <f t="shared" si="114"/>
        <v>0.88888888888888884</v>
      </c>
      <c r="AC293">
        <f>survey_responses[[#This Row],[Các thủ tục khai báo thuế VÀ/HOẶC quy trình làm việc với cơ quan thuế đơn giản, tiện lợi, nhanh chóng hơn so với trước đây. - HUMAN-FAC1]]</f>
        <v>1</v>
      </c>
      <c r="AD293">
        <f t="shared" si="115"/>
        <v>0</v>
      </c>
      <c r="AE293">
        <f>step3_validation[[#This Row],[AI_FAC2]]</f>
        <v>8</v>
      </c>
      <c r="AF293">
        <f t="shared" si="116"/>
        <v>0.77777777777777779</v>
      </c>
      <c r="AG293">
        <f>survey_responses[[#This Row],[So với trước đây, tôi thấy cách tính thuế và các bậc thuế trong phương án mới đơn giản, dễ hiểu và dễ thực hiện hơn. - HUMAN-FAC2]]</f>
        <v>6</v>
      </c>
      <c r="AH293">
        <f t="shared" si="117"/>
        <v>0.55555555555555558</v>
      </c>
      <c r="AI293" s="32">
        <f t="shared" si="118"/>
        <v>0.83333333333333326</v>
      </c>
      <c r="AJ293" s="32">
        <f t="shared" si="119"/>
        <v>0.27777777777777779</v>
      </c>
      <c r="AK293">
        <f>step3_validation[[#This Row],[AI_TRU1]]</f>
        <v>9</v>
      </c>
      <c r="AL293">
        <f t="shared" si="120"/>
        <v>0.88888888888888884</v>
      </c>
      <c r="AM293">
        <f>survey_responses[[#This Row],[Tôi tin rằng Nhà nước, cơ quan thuế sẽ thực thi chính sách mới một cách khách quan, công tâm và đối xử bình đẳng với mọi người nộp thuế.  - HUMAN-TRU1]]</f>
        <v>5</v>
      </c>
      <c r="AN293">
        <f t="shared" si="121"/>
        <v>0.44444444444444442</v>
      </c>
      <c r="AO293">
        <f>step3_validation[[#This Row],[AI_TRU2]]</f>
        <v>8</v>
      </c>
      <c r="AP293">
        <f t="shared" si="122"/>
        <v>0.77777777777777779</v>
      </c>
      <c r="AQ293">
        <f>survey_responses[[#This Row],[Tôi thấy mức thuế tôi phải đóng theo phương án mới là công bằng (người thu nhập như tôi đóng mức này là hợp lý). - HUMAN-TRU2]]</f>
        <v>6</v>
      </c>
      <c r="AR293">
        <f t="shared" si="123"/>
        <v>0.55555555555555558</v>
      </c>
      <c r="AS293">
        <f>step3_validation[[#This Row],[AI_TRU3]]</f>
        <v>9</v>
      </c>
      <c r="AT293">
        <f t="shared" si="124"/>
        <v>0.88888888888888884</v>
      </c>
      <c r="AU293">
        <f>survey_responses[[#This Row],[Tôi tin tưởng số tiền thuế tôi đóng sẽ được Nhà nước sử dụng hiệu quả để cải thiện dịch vụ công (y tế, đường xá...). - HUMAN-TRU3]]</f>
        <v>5</v>
      </c>
      <c r="AV293">
        <f t="shared" si="125"/>
        <v>0.44444444444444442</v>
      </c>
      <c r="AW293">
        <f>step3_validation[[#This Row],[AI_TRU4]]</f>
        <v>8</v>
      </c>
      <c r="AX293">
        <f t="shared" si="126"/>
        <v>0.77777777777777779</v>
      </c>
      <c r="AY293">
        <f>survey_responses[[#This Row],[Tôi thấy Nhà nước đã giải thích rõ ràng, minh bạch về lý do và mục tiêu của việc sửa đổi thuế lần này. - HUMAN-TRU4]]</f>
        <v>6</v>
      </c>
      <c r="AZ293">
        <f t="shared" si="127"/>
        <v>0.55555555555555558</v>
      </c>
      <c r="BA293" s="32">
        <f t="shared" si="128"/>
        <v>0.83333333333333326</v>
      </c>
      <c r="BB293" s="32">
        <f t="shared" si="129"/>
        <v>0.5</v>
      </c>
      <c r="BC293" s="7">
        <f t="shared" si="130"/>
        <v>0.83333333333333337</v>
      </c>
      <c r="BD293" s="7">
        <f t="shared" si="131"/>
        <v>0.44444444444444448</v>
      </c>
      <c r="BE293">
        <f>step3_validation[[#This Row],[AI_OUT1]]</f>
        <v>9</v>
      </c>
      <c r="BF293">
        <f t="shared" si="132"/>
        <v>0.88888888888888884</v>
      </c>
      <c r="BG293">
        <f>survey_responses[[#This Row],[Sau khi xem xét các quyền lợi và nghĩa vụ, bạn có ủng hộ và tuân thủ chính sách mới hiện nay? - HUMAN-OUT1]]</f>
        <v>6</v>
      </c>
      <c r="BH293">
        <f t="shared" si="133"/>
        <v>0.55555555555555558</v>
      </c>
      <c r="BI293" s="32">
        <f t="shared" si="134"/>
        <v>3</v>
      </c>
    </row>
    <row r="294" spans="1:61" x14ac:dyDescent="0.45">
      <c r="A294" s="30">
        <f>step3_validation[[#This Row],[Persona_ID]]</f>
        <v>293</v>
      </c>
      <c r="B294" s="31">
        <f>step3_validation[[#This Row],[Used_Seed]]</f>
        <v>2318</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42.14229829487607</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7</v>
      </c>
      <c r="R294">
        <f t="shared" si="108"/>
        <v>0.66666666666666663</v>
      </c>
      <c r="S294">
        <f>survey_responses[[#This Row],[Tôi tin rằng với các quy định quản lý thuế hiện nay, hành vi gian lận hoặc trốn thuế sẽ dễ dàng bị phát hiện và xử lý nghiêm. - HUMAN-ENF1]]</f>
        <v>8</v>
      </c>
      <c r="T294">
        <f t="shared" si="109"/>
        <v>0.77777777777777779</v>
      </c>
      <c r="U294">
        <f>step3_validation[[#This Row],[AI_ENF2]]</f>
        <v>8</v>
      </c>
      <c r="V294">
        <f t="shared" si="110"/>
        <v>0.77777777777777779</v>
      </c>
      <c r="W294">
        <f>survey_responses[[#This Row],[Tôi tin rằng Nhà nước, cơ quan thuế có đủ khả năng và công nghệ để phát hiện, xử lý nghiêm các hành vi trốn thuế. - HUMAN-ENF2]]</f>
        <v>8</v>
      </c>
      <c r="X294">
        <f t="shared" si="111"/>
        <v>0.77777777777777779</v>
      </c>
      <c r="Y294" s="32">
        <f t="shared" si="112"/>
        <v>0.72222222222222221</v>
      </c>
      <c r="Z294" s="32">
        <f t="shared" si="113"/>
        <v>0.77777777777777779</v>
      </c>
      <c r="AA294">
        <f>step3_validation[[#This Row],[AI_FAC1]]</f>
        <v>9</v>
      </c>
      <c r="AB294">
        <f t="shared" si="114"/>
        <v>0.88888888888888884</v>
      </c>
      <c r="AC294">
        <f>survey_responses[[#This Row],[Các thủ tục khai báo thuế VÀ/HOẶC quy trình làm việc với cơ quan thuế đơn giản, tiện lợi, nhanh chóng hơn so với trước đây. - HUMAN-FAC1]]</f>
        <v>5</v>
      </c>
      <c r="AD294">
        <f t="shared" si="115"/>
        <v>0.44444444444444442</v>
      </c>
      <c r="AE294">
        <f>step3_validation[[#This Row],[AI_FAC2]]</f>
        <v>9</v>
      </c>
      <c r="AF294">
        <f t="shared" si="116"/>
        <v>0.88888888888888884</v>
      </c>
      <c r="AG294">
        <f>survey_responses[[#This Row],[So với trước đây, tôi thấy cách tính thuế và các bậc thuế trong phương án mới đơn giản, dễ hiểu và dễ thực hiện hơn. - HUMAN-FAC2]]</f>
        <v>8</v>
      </c>
      <c r="AH294">
        <f t="shared" si="117"/>
        <v>0.77777777777777779</v>
      </c>
      <c r="AI294" s="32">
        <f t="shared" si="118"/>
        <v>0.88888888888888884</v>
      </c>
      <c r="AJ294" s="32">
        <f t="shared" si="119"/>
        <v>0.61111111111111116</v>
      </c>
      <c r="AK294">
        <f>step3_validation[[#This Row],[AI_TRU1]]</f>
        <v>7</v>
      </c>
      <c r="AL294">
        <f t="shared" si="120"/>
        <v>0.66666666666666663</v>
      </c>
      <c r="AM294">
        <f>survey_responses[[#This Row],[Tôi tin rằng Nhà nước, cơ quan thuế sẽ thực thi chính sách mới một cách khách quan, công tâm và đối xử bình đẳng với mọi người nộp thuế.  - HUMAN-TRU1]]</f>
        <v>5</v>
      </c>
      <c r="AN294">
        <f t="shared" si="121"/>
        <v>0.44444444444444442</v>
      </c>
      <c r="AO294">
        <f>step3_validation[[#This Row],[AI_TRU2]]</f>
        <v>9</v>
      </c>
      <c r="AP294">
        <f t="shared" si="122"/>
        <v>0.88888888888888884</v>
      </c>
      <c r="AQ294">
        <f>survey_responses[[#This Row],[Tôi thấy mức thuế tôi phải đóng theo phương án mới là công bằng (người thu nhập như tôi đóng mức này là hợp lý). - HUMAN-TRU2]]</f>
        <v>6</v>
      </c>
      <c r="AR294">
        <f t="shared" si="123"/>
        <v>0.55555555555555558</v>
      </c>
      <c r="AS294">
        <f>step3_validation[[#This Row],[AI_TRU3]]</f>
        <v>7</v>
      </c>
      <c r="AT294">
        <f t="shared" si="124"/>
        <v>0.66666666666666663</v>
      </c>
      <c r="AU294">
        <f>survey_responses[[#This Row],[Tôi tin tưởng số tiền thuế tôi đóng sẽ được Nhà nước sử dụng hiệu quả để cải thiện dịch vụ công (y tế, đường xá...). - HUMAN-TRU3]]</f>
        <v>5</v>
      </c>
      <c r="AV294">
        <f t="shared" si="125"/>
        <v>0.44444444444444442</v>
      </c>
      <c r="AW294">
        <f>step3_validation[[#This Row],[AI_TRU4]]</f>
        <v>8</v>
      </c>
      <c r="AX294">
        <f t="shared" si="126"/>
        <v>0.77777777777777779</v>
      </c>
      <c r="AY294">
        <f>survey_responses[[#This Row],[Tôi thấy Nhà nước đã giải thích rõ ràng, minh bạch về lý do và mục tiêu của việc sửa đổi thuế lần này. - HUMAN-TRU4]]</f>
        <v>6</v>
      </c>
      <c r="AZ294">
        <f t="shared" si="127"/>
        <v>0.55555555555555558</v>
      </c>
      <c r="BA294" s="32">
        <f t="shared" si="128"/>
        <v>0.74999999999999989</v>
      </c>
      <c r="BB294" s="32">
        <f t="shared" si="129"/>
        <v>0.5</v>
      </c>
      <c r="BC294" s="7">
        <f t="shared" si="130"/>
        <v>0.78703703703703709</v>
      </c>
      <c r="BD294" s="7">
        <f t="shared" si="131"/>
        <v>0.62962962962962965</v>
      </c>
      <c r="BE294">
        <f>step3_validation[[#This Row],[AI_OUT1]]</f>
        <v>9</v>
      </c>
      <c r="BF294">
        <f t="shared" si="132"/>
        <v>0.88888888888888884</v>
      </c>
      <c r="BG294">
        <f>survey_responses[[#This Row],[Sau khi xem xét các quyền lợi và nghĩa vụ, bạn có ủng hộ và tuân thủ chính sách mới hiện nay? - HUMAN-OUT1]]</f>
        <v>6</v>
      </c>
      <c r="BH294">
        <f t="shared" si="133"/>
        <v>0.55555555555555558</v>
      </c>
      <c r="BI294" s="32">
        <f t="shared" si="134"/>
        <v>3</v>
      </c>
    </row>
    <row r="295" spans="1:61" x14ac:dyDescent="0.45">
      <c r="A295" s="30">
        <f>step3_validation[[#This Row],[Persona_ID]]</f>
        <v>294</v>
      </c>
      <c r="B295" s="31">
        <f>step3_validation[[#This Row],[Used_Seed]]</f>
        <v>2319</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67.858331030542573</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9</v>
      </c>
      <c r="R295">
        <f t="shared" si="108"/>
        <v>0.88888888888888884</v>
      </c>
      <c r="S295">
        <f>survey_responses[[#This Row],[Tôi tin rằng với các quy định quản lý thuế hiện nay, hành vi gian lận hoặc trốn thuế sẽ dễ dàng bị phát hiện và xử lý nghiêm. - HUMAN-ENF1]]</f>
        <v>6</v>
      </c>
      <c r="T295">
        <f t="shared" si="109"/>
        <v>0.55555555555555558</v>
      </c>
      <c r="U295">
        <f>step3_validation[[#This Row],[AI_ENF2]]</f>
        <v>8</v>
      </c>
      <c r="V295">
        <f t="shared" si="110"/>
        <v>0.77777777777777779</v>
      </c>
      <c r="W295">
        <f>survey_responses[[#This Row],[Tôi tin rằng Nhà nước, cơ quan thuế có đủ khả năng và công nghệ để phát hiện, xử lý nghiêm các hành vi trốn thuế. - HUMAN-ENF2]]</f>
        <v>6</v>
      </c>
      <c r="X295">
        <f t="shared" si="111"/>
        <v>0.55555555555555558</v>
      </c>
      <c r="Y295" s="32">
        <f t="shared" si="112"/>
        <v>0.83333333333333326</v>
      </c>
      <c r="Z295" s="32">
        <f t="shared" si="113"/>
        <v>0.55555555555555558</v>
      </c>
      <c r="AA295">
        <f>step3_validation[[#This Row],[AI_FAC1]]</f>
        <v>9</v>
      </c>
      <c r="AB295">
        <f t="shared" si="114"/>
        <v>0.88888888888888884</v>
      </c>
      <c r="AC295">
        <f>survey_responses[[#This Row],[Các thủ tục khai báo thuế VÀ/HOẶC quy trình làm việc với cơ quan thuế đơn giản, tiện lợi, nhanh chóng hơn so với trước đây. - HUMAN-FAC1]]</f>
        <v>3</v>
      </c>
      <c r="AD295">
        <f t="shared" si="115"/>
        <v>0.22222222222222221</v>
      </c>
      <c r="AE295">
        <f>step3_validation[[#This Row],[AI_FAC2]]</f>
        <v>8</v>
      </c>
      <c r="AF295">
        <f t="shared" si="116"/>
        <v>0.77777777777777779</v>
      </c>
      <c r="AG295">
        <f>survey_responses[[#This Row],[So với trước đây, tôi thấy cách tính thuế và các bậc thuế trong phương án mới đơn giản, dễ hiểu và dễ thực hiện hơn. - HUMAN-FAC2]]</f>
        <v>7</v>
      </c>
      <c r="AH295">
        <f t="shared" si="117"/>
        <v>0.66666666666666663</v>
      </c>
      <c r="AI295" s="32">
        <f t="shared" si="118"/>
        <v>0.83333333333333326</v>
      </c>
      <c r="AJ295" s="32">
        <f t="shared" si="119"/>
        <v>0.44444444444444442</v>
      </c>
      <c r="AK295">
        <f>step3_validation[[#This Row],[AI_TRU1]]</f>
        <v>9</v>
      </c>
      <c r="AL295">
        <f t="shared" si="120"/>
        <v>0.88888888888888884</v>
      </c>
      <c r="AM295">
        <f>survey_responses[[#This Row],[Tôi tin rằng Nhà nước, cơ quan thuế sẽ thực thi chính sách mới một cách khách quan, công tâm và đối xử bình đẳng với mọi người nộp thuế.  - HUMAN-TRU1]]</f>
        <v>5</v>
      </c>
      <c r="AN295">
        <f t="shared" si="121"/>
        <v>0.44444444444444442</v>
      </c>
      <c r="AO295">
        <f>step3_validation[[#This Row],[AI_TRU2]]</f>
        <v>8</v>
      </c>
      <c r="AP295">
        <f t="shared" si="122"/>
        <v>0.77777777777777779</v>
      </c>
      <c r="AQ295">
        <f>survey_responses[[#This Row],[Tôi thấy mức thuế tôi phải đóng theo phương án mới là công bằng (người thu nhập như tôi đóng mức này là hợp lý). - HUMAN-TRU2]]</f>
        <v>6</v>
      </c>
      <c r="AR295">
        <f t="shared" si="123"/>
        <v>0.55555555555555558</v>
      </c>
      <c r="AS295">
        <f>step3_validation[[#This Row],[AI_TRU3]]</f>
        <v>9</v>
      </c>
      <c r="AT295">
        <f t="shared" si="124"/>
        <v>0.88888888888888884</v>
      </c>
      <c r="AU295">
        <f>survey_responses[[#This Row],[Tôi tin tưởng số tiền thuế tôi đóng sẽ được Nhà nước sử dụng hiệu quả để cải thiện dịch vụ công (y tế, đường xá...). - HUMAN-TRU3]]</f>
        <v>5</v>
      </c>
      <c r="AV295">
        <f t="shared" si="125"/>
        <v>0.44444444444444442</v>
      </c>
      <c r="AW295">
        <f>step3_validation[[#This Row],[AI_TRU4]]</f>
        <v>8</v>
      </c>
      <c r="AX295">
        <f t="shared" si="126"/>
        <v>0.77777777777777779</v>
      </c>
      <c r="AY295">
        <f>survey_responses[[#This Row],[Tôi thấy Nhà nước đã giải thích rõ ràng, minh bạch về lý do và mục tiêu của việc sửa đổi thuế lần này. - HUMAN-TRU4]]</f>
        <v>5</v>
      </c>
      <c r="AZ295">
        <f t="shared" si="127"/>
        <v>0.44444444444444442</v>
      </c>
      <c r="BA295" s="32">
        <f t="shared" si="128"/>
        <v>0.83333333333333326</v>
      </c>
      <c r="BB295" s="32">
        <f t="shared" si="129"/>
        <v>0.47222222222222221</v>
      </c>
      <c r="BC295" s="7">
        <f t="shared" si="130"/>
        <v>0.83333333333333337</v>
      </c>
      <c r="BD295" s="7">
        <f t="shared" si="131"/>
        <v>0.49074074074074076</v>
      </c>
      <c r="BE295">
        <f>step3_validation[[#This Row],[AI_OUT1]]</f>
        <v>9</v>
      </c>
      <c r="BF295">
        <f t="shared" si="132"/>
        <v>0.88888888888888884</v>
      </c>
      <c r="BG295">
        <f>survey_responses[[#This Row],[Sau khi xem xét các quyền lợi và nghĩa vụ, bạn có ủng hộ và tuân thủ chính sách mới hiện nay? - HUMAN-OUT1]]</f>
        <v>6</v>
      </c>
      <c r="BH295">
        <f t="shared" si="133"/>
        <v>0.55555555555555558</v>
      </c>
      <c r="BI295" s="32">
        <f t="shared" si="134"/>
        <v>3</v>
      </c>
    </row>
    <row r="296" spans="1:61" x14ac:dyDescent="0.45">
      <c r="A296" s="30">
        <f>step3_validation[[#This Row],[Persona_ID]]</f>
        <v>295</v>
      </c>
      <c r="B296" s="31">
        <f>step3_validation[[#This Row],[Used_Seed]]</f>
        <v>2320</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23.081123753485056</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6</v>
      </c>
      <c r="R296">
        <f t="shared" si="108"/>
        <v>0.55555555555555558</v>
      </c>
      <c r="S296">
        <f>survey_responses[[#This Row],[Tôi tin rằng với các quy định quản lý thuế hiện nay, hành vi gian lận hoặc trốn thuế sẽ dễ dàng bị phát hiện và xử lý nghiêm. - HUMAN-ENF1]]</f>
        <v>8</v>
      </c>
      <c r="T296">
        <f t="shared" si="109"/>
        <v>0.77777777777777779</v>
      </c>
      <c r="U296">
        <f>step3_validation[[#This Row],[AI_ENF2]]</f>
        <v>7</v>
      </c>
      <c r="V296">
        <f t="shared" si="110"/>
        <v>0.66666666666666663</v>
      </c>
      <c r="W296">
        <f>survey_responses[[#This Row],[Tôi tin rằng Nhà nước, cơ quan thuế có đủ khả năng và công nghệ để phát hiện, xử lý nghiêm các hành vi trốn thuế. - HUMAN-ENF2]]</f>
        <v>9</v>
      </c>
      <c r="X296">
        <f t="shared" si="111"/>
        <v>0.88888888888888884</v>
      </c>
      <c r="Y296" s="32">
        <f t="shared" si="112"/>
        <v>0.61111111111111116</v>
      </c>
      <c r="Z296" s="32">
        <f t="shared" si="113"/>
        <v>0.83333333333333326</v>
      </c>
      <c r="AA296">
        <f>step3_validation[[#This Row],[AI_FAC1]]</f>
        <v>9</v>
      </c>
      <c r="AB296">
        <f t="shared" si="114"/>
        <v>0.88888888888888884</v>
      </c>
      <c r="AC296">
        <f>survey_responses[[#This Row],[Các thủ tục khai báo thuế VÀ/HOẶC quy trình làm việc với cơ quan thuế đơn giản, tiện lợi, nhanh chóng hơn so với trước đây. - HUMAN-FAC1]]</f>
        <v>9</v>
      </c>
      <c r="AD296">
        <f t="shared" si="115"/>
        <v>0.88888888888888884</v>
      </c>
      <c r="AE296">
        <f>step3_validation[[#This Row],[AI_FAC2]]</f>
        <v>8</v>
      </c>
      <c r="AF296">
        <f t="shared" si="116"/>
        <v>0.77777777777777779</v>
      </c>
      <c r="AG296">
        <f>survey_responses[[#This Row],[So với trước đây, tôi thấy cách tính thuế và các bậc thuế trong phương án mới đơn giản, dễ hiểu và dễ thực hiện hơn. - HUMAN-FAC2]]</f>
        <v>10</v>
      </c>
      <c r="AH296">
        <f t="shared" si="117"/>
        <v>1</v>
      </c>
      <c r="AI296" s="32">
        <f t="shared" si="118"/>
        <v>0.83333333333333326</v>
      </c>
      <c r="AJ296" s="32">
        <f t="shared" si="119"/>
        <v>0.94444444444444442</v>
      </c>
      <c r="AK296">
        <f>step3_validation[[#This Row],[AI_TRU1]]</f>
        <v>9</v>
      </c>
      <c r="AL296">
        <f t="shared" si="120"/>
        <v>0.88888888888888884</v>
      </c>
      <c r="AM296">
        <f>survey_responses[[#This Row],[Tôi tin rằng Nhà nước, cơ quan thuế sẽ thực thi chính sách mới một cách khách quan, công tâm và đối xử bình đẳng với mọi người nộp thuế.  - HUMAN-TRU1]]</f>
        <v>8</v>
      </c>
      <c r="AN296">
        <f t="shared" si="121"/>
        <v>0.77777777777777779</v>
      </c>
      <c r="AO296">
        <f>step3_validation[[#This Row],[AI_TRU2]]</f>
        <v>8</v>
      </c>
      <c r="AP296">
        <f t="shared" si="122"/>
        <v>0.77777777777777779</v>
      </c>
      <c r="AQ296">
        <f>survey_responses[[#This Row],[Tôi thấy mức thuế tôi phải đóng theo phương án mới là công bằng (người thu nhập như tôi đóng mức này là hợp lý). - HUMAN-TRU2]]</f>
        <v>8</v>
      </c>
      <c r="AR296">
        <f t="shared" si="123"/>
        <v>0.77777777777777779</v>
      </c>
      <c r="AS296">
        <f>step3_validation[[#This Row],[AI_TRU3]]</f>
        <v>9</v>
      </c>
      <c r="AT296">
        <f t="shared" si="124"/>
        <v>0.88888888888888884</v>
      </c>
      <c r="AU296">
        <f>survey_responses[[#This Row],[Tôi tin tưởng số tiền thuế tôi đóng sẽ được Nhà nước sử dụng hiệu quả để cải thiện dịch vụ công (y tế, đường xá...). - HUMAN-TRU3]]</f>
        <v>9</v>
      </c>
      <c r="AV296">
        <f t="shared" si="125"/>
        <v>0.88888888888888884</v>
      </c>
      <c r="AW296">
        <f>step3_validation[[#This Row],[AI_TRU4]]</f>
        <v>8</v>
      </c>
      <c r="AX296">
        <f t="shared" si="126"/>
        <v>0.77777777777777779</v>
      </c>
      <c r="AY296">
        <f>survey_responses[[#This Row],[Tôi thấy Nhà nước đã giải thích rõ ràng, minh bạch về lý do và mục tiêu của việc sửa đổi thuế lần này. - HUMAN-TRU4]]</f>
        <v>10</v>
      </c>
      <c r="AZ296">
        <f t="shared" si="127"/>
        <v>1</v>
      </c>
      <c r="BA296" s="32">
        <f t="shared" si="128"/>
        <v>0.83333333333333326</v>
      </c>
      <c r="BB296" s="32">
        <f t="shared" si="129"/>
        <v>0.86111111111111116</v>
      </c>
      <c r="BC296" s="7">
        <f t="shared" si="130"/>
        <v>0.75925925925925919</v>
      </c>
      <c r="BD296" s="7">
        <f t="shared" si="131"/>
        <v>0.87962962962962965</v>
      </c>
      <c r="BE296">
        <f>step3_validation[[#This Row],[AI_OUT1]]</f>
        <v>9</v>
      </c>
      <c r="BF296">
        <f t="shared" si="132"/>
        <v>0.88888888888888884</v>
      </c>
      <c r="BG296">
        <f>survey_responses[[#This Row],[Sau khi xem xét các quyền lợi và nghĩa vụ, bạn có ủng hộ và tuân thủ chính sách mới hiện nay? - HUMAN-OUT1]]</f>
        <v>10</v>
      </c>
      <c r="BH296">
        <f t="shared" si="133"/>
        <v>1</v>
      </c>
      <c r="BI296" s="32">
        <f t="shared" si="134"/>
        <v>1</v>
      </c>
    </row>
    <row r="297" spans="1:61" x14ac:dyDescent="0.45">
      <c r="A297" s="30">
        <f>step3_validation[[#This Row],[Persona_ID]]</f>
        <v>296</v>
      </c>
      <c r="B297" s="31">
        <f>step3_validation[[#This Row],[Used_Seed]]</f>
        <v>2321</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8</v>
      </c>
      <c r="R297">
        <f t="shared" si="108"/>
        <v>0.77777777777777779</v>
      </c>
      <c r="S297">
        <f>survey_responses[[#This Row],[Tôi tin rằng với các quy định quản lý thuế hiện nay, hành vi gian lận hoặc trốn thuế sẽ dễ dàng bị phát hiện và xử lý nghiêm. - HUMAN-ENF1]]</f>
        <v>7</v>
      </c>
      <c r="T297">
        <f t="shared" si="109"/>
        <v>0.66666666666666663</v>
      </c>
      <c r="U297">
        <f>step3_validation[[#This Row],[AI_ENF2]]</f>
        <v>9</v>
      </c>
      <c r="V297">
        <f t="shared" si="110"/>
        <v>0.88888888888888884</v>
      </c>
      <c r="W297">
        <f>survey_responses[[#This Row],[Tôi tin rằng Nhà nước, cơ quan thuế có đủ khả năng và công nghệ để phát hiện, xử lý nghiêm các hành vi trốn thuế. - HUMAN-ENF2]]</f>
        <v>7</v>
      </c>
      <c r="X297">
        <f t="shared" si="111"/>
        <v>0.66666666666666663</v>
      </c>
      <c r="Y297" s="32">
        <f t="shared" si="112"/>
        <v>0.83333333333333326</v>
      </c>
      <c r="Z297" s="32">
        <f t="shared" si="113"/>
        <v>0.66666666666666663</v>
      </c>
      <c r="AA297">
        <f>step3_validation[[#This Row],[AI_FAC1]]</f>
        <v>8</v>
      </c>
      <c r="AB297">
        <f t="shared" si="114"/>
        <v>0.77777777777777779</v>
      </c>
      <c r="AC297">
        <f>survey_responses[[#This Row],[Các thủ tục khai báo thuế VÀ/HOẶC quy trình làm việc với cơ quan thuế đơn giản, tiện lợi, nhanh chóng hơn so với trước đây. - HUMAN-FAC1]]</f>
        <v>6</v>
      </c>
      <c r="AD297">
        <f t="shared" si="115"/>
        <v>0.55555555555555558</v>
      </c>
      <c r="AE297">
        <f>step3_validation[[#This Row],[AI_FAC2]]</f>
        <v>9</v>
      </c>
      <c r="AF297">
        <f t="shared" si="116"/>
        <v>0.88888888888888884</v>
      </c>
      <c r="AG297">
        <f>survey_responses[[#This Row],[So với trước đây, tôi thấy cách tính thuế và các bậc thuế trong phương án mới đơn giản, dễ hiểu và dễ thực hiện hơn. - HUMAN-FAC2]]</f>
        <v>7</v>
      </c>
      <c r="AH297">
        <f t="shared" si="117"/>
        <v>0.66666666666666663</v>
      </c>
      <c r="AI297" s="32">
        <f t="shared" si="118"/>
        <v>0.83333333333333326</v>
      </c>
      <c r="AJ297" s="32">
        <f t="shared" si="119"/>
        <v>0.61111111111111116</v>
      </c>
      <c r="AK297">
        <f>step3_validation[[#This Row],[AI_TRU1]]</f>
        <v>8</v>
      </c>
      <c r="AL297">
        <f t="shared" si="120"/>
        <v>0.77777777777777779</v>
      </c>
      <c r="AM297">
        <f>survey_responses[[#This Row],[Tôi tin rằng Nhà nước, cơ quan thuế sẽ thực thi chính sách mới một cách khách quan, công tâm và đối xử bình đẳng với mọi người nộp thuế.  - HUMAN-TRU1]]</f>
        <v>7</v>
      </c>
      <c r="AN297">
        <f t="shared" si="121"/>
        <v>0.66666666666666663</v>
      </c>
      <c r="AO297">
        <f>step3_validation[[#This Row],[AI_TRU2]]</f>
        <v>9</v>
      </c>
      <c r="AP297">
        <f t="shared" si="122"/>
        <v>0.88888888888888884</v>
      </c>
      <c r="AQ297">
        <f>survey_responses[[#This Row],[Tôi thấy mức thuế tôi phải đóng theo phương án mới là công bằng (người thu nhập như tôi đóng mức này là hợp lý). - HUMAN-TRU2]]</f>
        <v>1</v>
      </c>
      <c r="AR297">
        <f t="shared" si="123"/>
        <v>0</v>
      </c>
      <c r="AS297">
        <f>step3_validation[[#This Row],[AI_TRU3]]</f>
        <v>8</v>
      </c>
      <c r="AT297">
        <f t="shared" si="124"/>
        <v>0.77777777777777779</v>
      </c>
      <c r="AU297">
        <f>survey_responses[[#This Row],[Tôi tin tưởng số tiền thuế tôi đóng sẽ được Nhà nước sử dụng hiệu quả để cải thiện dịch vụ công (y tế, đường xá...). - HUMAN-TRU3]]</f>
        <v>5</v>
      </c>
      <c r="AV297">
        <f t="shared" si="125"/>
        <v>0.44444444444444442</v>
      </c>
      <c r="AW297">
        <f>step3_validation[[#This Row],[AI_TRU4]]</f>
        <v>9</v>
      </c>
      <c r="AX297">
        <f t="shared" si="126"/>
        <v>0.88888888888888884</v>
      </c>
      <c r="AY297">
        <f>survey_responses[[#This Row],[Tôi thấy Nhà nước đã giải thích rõ ràng, minh bạch về lý do và mục tiêu của việc sửa đổi thuế lần này. - HUMAN-TRU4]]</f>
        <v>7</v>
      </c>
      <c r="AZ297">
        <f t="shared" si="127"/>
        <v>0.66666666666666663</v>
      </c>
      <c r="BA297" s="32">
        <f t="shared" si="128"/>
        <v>0.83333333333333326</v>
      </c>
      <c r="BB297" s="32">
        <f t="shared" si="129"/>
        <v>0.44444444444444442</v>
      </c>
      <c r="BC297" s="7">
        <f t="shared" si="130"/>
        <v>0.83333333333333337</v>
      </c>
      <c r="BD297" s="7">
        <f t="shared" si="131"/>
        <v>0.57407407407407407</v>
      </c>
      <c r="BE297">
        <f>step3_validation[[#This Row],[AI_OUT1]]</f>
        <v>9</v>
      </c>
      <c r="BF297">
        <f t="shared" si="132"/>
        <v>0.88888888888888884</v>
      </c>
      <c r="BG297">
        <f>survey_responses[[#This Row],[Sau khi xem xét các quyền lợi và nghĩa vụ, bạn có ủng hộ và tuân thủ chính sách mới hiện nay? - HUMAN-OUT1]]</f>
        <v>7</v>
      </c>
      <c r="BH297">
        <f t="shared" si="133"/>
        <v>0.66666666666666663</v>
      </c>
      <c r="BI297" s="32">
        <f t="shared" si="134"/>
        <v>2</v>
      </c>
    </row>
    <row r="298" spans="1:61" x14ac:dyDescent="0.45">
      <c r="A298" s="30">
        <f>step3_validation[[#This Row],[Persona_ID]]</f>
        <v>297</v>
      </c>
      <c r="B298" s="31">
        <f>step3_validation[[#This Row],[Used_Seed]]</f>
        <v>2322</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58.136515667811452</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7</v>
      </c>
      <c r="R298">
        <f t="shared" si="108"/>
        <v>0.66666666666666663</v>
      </c>
      <c r="S298">
        <f>survey_responses[[#This Row],[Tôi tin rằng với các quy định quản lý thuế hiện nay, hành vi gian lận hoặc trốn thuế sẽ dễ dàng bị phát hiện và xử lý nghiêm. - HUMAN-ENF1]]</f>
        <v>5</v>
      </c>
      <c r="T298">
        <f t="shared" si="109"/>
        <v>0.44444444444444442</v>
      </c>
      <c r="U298">
        <f>step3_validation[[#This Row],[AI_ENF2]]</f>
        <v>7</v>
      </c>
      <c r="V298">
        <f t="shared" si="110"/>
        <v>0.66666666666666663</v>
      </c>
      <c r="W298">
        <f>survey_responses[[#This Row],[Tôi tin rằng Nhà nước, cơ quan thuế có đủ khả năng và công nghệ để phát hiện, xử lý nghiêm các hành vi trốn thuế. - HUMAN-ENF2]]</f>
        <v>10</v>
      </c>
      <c r="X298">
        <f t="shared" si="111"/>
        <v>1</v>
      </c>
      <c r="Y298" s="32">
        <f t="shared" si="112"/>
        <v>0.66666666666666663</v>
      </c>
      <c r="Z298" s="32">
        <f t="shared" si="113"/>
        <v>0.72222222222222221</v>
      </c>
      <c r="AA298">
        <f>step3_validation[[#This Row],[AI_FAC1]]</f>
        <v>9</v>
      </c>
      <c r="AB298">
        <f t="shared" si="114"/>
        <v>0.88888888888888884</v>
      </c>
      <c r="AC298">
        <f>survey_responses[[#This Row],[Các thủ tục khai báo thuế VÀ/HOẶC quy trình làm việc với cơ quan thuế đơn giản, tiện lợi, nhanh chóng hơn so với trước đây. - HUMAN-FAC1]]</f>
        <v>5</v>
      </c>
      <c r="AD298">
        <f t="shared" si="115"/>
        <v>0.44444444444444442</v>
      </c>
      <c r="AE298">
        <f>step3_validation[[#This Row],[AI_FAC2]]</f>
        <v>8</v>
      </c>
      <c r="AF298">
        <f t="shared" si="116"/>
        <v>0.77777777777777779</v>
      </c>
      <c r="AG298">
        <f>survey_responses[[#This Row],[So với trước đây, tôi thấy cách tính thuế và các bậc thuế trong phương án mới đơn giản, dễ hiểu và dễ thực hiện hơn. - HUMAN-FAC2]]</f>
        <v>5</v>
      </c>
      <c r="AH298">
        <f t="shared" si="117"/>
        <v>0.44444444444444442</v>
      </c>
      <c r="AI298" s="32">
        <f t="shared" si="118"/>
        <v>0.83333333333333326</v>
      </c>
      <c r="AJ298" s="32">
        <f t="shared" si="119"/>
        <v>0.44444444444444442</v>
      </c>
      <c r="AK298">
        <f>step3_validation[[#This Row],[AI_TRU1]]</f>
        <v>7</v>
      </c>
      <c r="AL298">
        <f t="shared" si="120"/>
        <v>0.66666666666666663</v>
      </c>
      <c r="AM298">
        <f>survey_responses[[#This Row],[Tôi tin rằng Nhà nước, cơ quan thuế sẽ thực thi chính sách mới một cách khách quan, công tâm và đối xử bình đẳng với mọi người nộp thuế.  - HUMAN-TRU1]]</f>
        <v>2</v>
      </c>
      <c r="AN298">
        <f t="shared" si="121"/>
        <v>0.1111111111111111</v>
      </c>
      <c r="AO298">
        <f>step3_validation[[#This Row],[AI_TRU2]]</f>
        <v>8</v>
      </c>
      <c r="AP298">
        <f t="shared" si="122"/>
        <v>0.77777777777777779</v>
      </c>
      <c r="AQ298">
        <f>survey_responses[[#This Row],[Tôi thấy mức thuế tôi phải đóng theo phương án mới là công bằng (người thu nhập như tôi đóng mức này là hợp lý). - HUMAN-TRU2]]</f>
        <v>3</v>
      </c>
      <c r="AR298">
        <f t="shared" si="123"/>
        <v>0.22222222222222221</v>
      </c>
      <c r="AS298">
        <f>step3_validation[[#This Row],[AI_TRU3]]</f>
        <v>7</v>
      </c>
      <c r="AT298">
        <f t="shared" si="124"/>
        <v>0.66666666666666663</v>
      </c>
      <c r="AU298">
        <f>survey_responses[[#This Row],[Tôi tin tưởng số tiền thuế tôi đóng sẽ được Nhà nước sử dụng hiệu quả để cải thiện dịch vụ công (y tế, đường xá...). - HUMAN-TRU3]]</f>
        <v>2</v>
      </c>
      <c r="AV298">
        <f t="shared" si="125"/>
        <v>0.1111111111111111</v>
      </c>
      <c r="AW298">
        <f>step3_validation[[#This Row],[AI_TRU4]]</f>
        <v>6</v>
      </c>
      <c r="AX298">
        <f t="shared" si="126"/>
        <v>0.55555555555555558</v>
      </c>
      <c r="AY298">
        <f>survey_responses[[#This Row],[Tôi thấy Nhà nước đã giải thích rõ ràng, minh bạch về lý do và mục tiêu của việc sửa đổi thuế lần này. - HUMAN-TRU4]]</f>
        <v>5</v>
      </c>
      <c r="AZ298">
        <f t="shared" si="127"/>
        <v>0.44444444444444442</v>
      </c>
      <c r="BA298" s="32">
        <f t="shared" si="128"/>
        <v>0.66666666666666674</v>
      </c>
      <c r="BB298" s="32">
        <f t="shared" si="129"/>
        <v>0.22222222222222221</v>
      </c>
      <c r="BC298" s="7">
        <f t="shared" si="130"/>
        <v>0.72222222222222232</v>
      </c>
      <c r="BD298" s="7">
        <f t="shared" si="131"/>
        <v>0.46296296296296297</v>
      </c>
      <c r="BE298">
        <f>step3_validation[[#This Row],[AI_OUT1]]</f>
        <v>9</v>
      </c>
      <c r="BF298">
        <f t="shared" si="132"/>
        <v>0.88888888888888884</v>
      </c>
      <c r="BG298">
        <f>survey_responses[[#This Row],[Sau khi xem xét các quyền lợi và nghĩa vụ, bạn có ủng hộ và tuân thủ chính sách mới hiện nay? - HUMAN-OUT1]]</f>
        <v>5</v>
      </c>
      <c r="BH298">
        <f t="shared" si="133"/>
        <v>0.44444444444444442</v>
      </c>
      <c r="BI298" s="32">
        <f t="shared" si="134"/>
        <v>4</v>
      </c>
    </row>
    <row r="299" spans="1:61" x14ac:dyDescent="0.45">
      <c r="A299" s="30">
        <f>step3_validation[[#This Row],[Persona_ID]]</f>
        <v>298</v>
      </c>
      <c r="B299" s="31">
        <f>step3_validation[[#This Row],[Used_Seed]]</f>
        <v>2323</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7</v>
      </c>
      <c r="R299">
        <f t="shared" si="108"/>
        <v>0.66666666666666663</v>
      </c>
      <c r="S299">
        <f>survey_responses[[#This Row],[Tôi tin rằng với các quy định quản lý thuế hiện nay, hành vi gian lận hoặc trốn thuế sẽ dễ dàng bị phát hiện và xử lý nghiêm. - HUMAN-ENF1]]</f>
        <v>5</v>
      </c>
      <c r="T299">
        <f t="shared" si="109"/>
        <v>0.44444444444444442</v>
      </c>
      <c r="U299">
        <f>step3_validation[[#This Row],[AI_ENF2]]</f>
        <v>6</v>
      </c>
      <c r="V299">
        <f t="shared" si="110"/>
        <v>0.55555555555555558</v>
      </c>
      <c r="W299">
        <f>survey_responses[[#This Row],[Tôi tin rằng Nhà nước, cơ quan thuế có đủ khả năng và công nghệ để phát hiện, xử lý nghiêm các hành vi trốn thuế. - HUMAN-ENF2]]</f>
        <v>5</v>
      </c>
      <c r="X299">
        <f t="shared" si="111"/>
        <v>0.44444444444444442</v>
      </c>
      <c r="Y299" s="32">
        <f t="shared" si="112"/>
        <v>0.61111111111111116</v>
      </c>
      <c r="Z299" s="32">
        <f t="shared" si="113"/>
        <v>0.44444444444444442</v>
      </c>
      <c r="AA299">
        <f>step3_validation[[#This Row],[AI_FAC1]]</f>
        <v>7</v>
      </c>
      <c r="AB299">
        <f t="shared" si="114"/>
        <v>0.66666666666666663</v>
      </c>
      <c r="AC299">
        <f>survey_responses[[#This Row],[Các thủ tục khai báo thuế VÀ/HOẶC quy trình làm việc với cơ quan thuế đơn giản, tiện lợi, nhanh chóng hơn so với trước đây. - HUMAN-FAC1]]</f>
        <v>5</v>
      </c>
      <c r="AD299">
        <f t="shared" si="115"/>
        <v>0.44444444444444442</v>
      </c>
      <c r="AE299">
        <f>step3_validation[[#This Row],[AI_FAC2]]</f>
        <v>8</v>
      </c>
      <c r="AF299">
        <f t="shared" si="116"/>
        <v>0.77777777777777779</v>
      </c>
      <c r="AG299">
        <f>survey_responses[[#This Row],[So với trước đây, tôi thấy cách tính thuế và các bậc thuế trong phương án mới đơn giản, dễ hiểu và dễ thực hiện hơn. - HUMAN-FAC2]]</f>
        <v>10</v>
      </c>
      <c r="AH299">
        <f t="shared" si="117"/>
        <v>1</v>
      </c>
      <c r="AI299" s="32">
        <f t="shared" si="118"/>
        <v>0.72222222222222221</v>
      </c>
      <c r="AJ299" s="32">
        <f t="shared" si="119"/>
        <v>0.72222222222222221</v>
      </c>
      <c r="AK299">
        <f>step3_validation[[#This Row],[AI_TRU1]]</f>
        <v>6</v>
      </c>
      <c r="AL299">
        <f t="shared" si="120"/>
        <v>0.55555555555555558</v>
      </c>
      <c r="AM299">
        <f>survey_responses[[#This Row],[Tôi tin rằng Nhà nước, cơ quan thuế sẽ thực thi chính sách mới một cách khách quan, công tâm và đối xử bình đẳng với mọi người nộp thuế.  - HUMAN-TRU1]]</f>
        <v>10</v>
      </c>
      <c r="AN299">
        <f t="shared" si="121"/>
        <v>1</v>
      </c>
      <c r="AO299">
        <f>step3_validation[[#This Row],[AI_TRU2]]</f>
        <v>8</v>
      </c>
      <c r="AP299">
        <f t="shared" si="122"/>
        <v>0.77777777777777779</v>
      </c>
      <c r="AQ299">
        <f>survey_responses[[#This Row],[Tôi thấy mức thuế tôi phải đóng theo phương án mới là công bằng (người thu nhập như tôi đóng mức này là hợp lý). - HUMAN-TRU2]]</f>
        <v>5</v>
      </c>
      <c r="AR299">
        <f t="shared" si="123"/>
        <v>0.44444444444444442</v>
      </c>
      <c r="AS299">
        <f>step3_validation[[#This Row],[AI_TRU3]]</f>
        <v>7</v>
      </c>
      <c r="AT299">
        <f t="shared" si="124"/>
        <v>0.66666666666666663</v>
      </c>
      <c r="AU299">
        <f>survey_responses[[#This Row],[Tôi tin tưởng số tiền thuế tôi đóng sẽ được Nhà nước sử dụng hiệu quả để cải thiện dịch vụ công (y tế, đường xá...). - HUMAN-TRU3]]</f>
        <v>5</v>
      </c>
      <c r="AV299">
        <f t="shared" si="125"/>
        <v>0.44444444444444442</v>
      </c>
      <c r="AW299">
        <f>step3_validation[[#This Row],[AI_TRU4]]</f>
        <v>5</v>
      </c>
      <c r="AX299">
        <f t="shared" si="126"/>
        <v>0.44444444444444442</v>
      </c>
      <c r="AY299">
        <f>survey_responses[[#This Row],[Tôi thấy Nhà nước đã giải thích rõ ràng, minh bạch về lý do và mục tiêu của việc sửa đổi thuế lần này. - HUMAN-TRU4]]</f>
        <v>5</v>
      </c>
      <c r="AZ299">
        <f t="shared" si="127"/>
        <v>0.44444444444444442</v>
      </c>
      <c r="BA299" s="32">
        <f t="shared" si="128"/>
        <v>0.61111111111111116</v>
      </c>
      <c r="BB299" s="32">
        <f t="shared" si="129"/>
        <v>0.58333333333333326</v>
      </c>
      <c r="BC299" s="7">
        <f t="shared" si="130"/>
        <v>0.64814814814814825</v>
      </c>
      <c r="BD299" s="7">
        <f t="shared" si="131"/>
        <v>0.58333333333333326</v>
      </c>
      <c r="BE299">
        <f>step3_validation[[#This Row],[AI_OUT1]]</f>
        <v>7</v>
      </c>
      <c r="BF299">
        <f t="shared" si="132"/>
        <v>0.66666666666666663</v>
      </c>
      <c r="BG299">
        <f>survey_responses[[#This Row],[Sau khi xem xét các quyền lợi và nghĩa vụ, bạn có ủng hộ và tuân thủ chính sách mới hiện nay? - HUMAN-OUT1]]</f>
        <v>5</v>
      </c>
      <c r="BH299">
        <f t="shared" si="133"/>
        <v>0.44444444444444442</v>
      </c>
      <c r="BI299" s="32">
        <f t="shared" si="134"/>
        <v>2</v>
      </c>
    </row>
    <row r="300" spans="1:61" x14ac:dyDescent="0.45">
      <c r="A300" s="30">
        <f>step3_validation[[#This Row],[Persona_ID]]</f>
        <v>299</v>
      </c>
      <c r="B300" s="31">
        <f>step3_validation[[#This Row],[Used_Seed]]</f>
        <v>2324</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45.439888467800266</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7</v>
      </c>
      <c r="R300">
        <f t="shared" si="108"/>
        <v>0.66666666666666663</v>
      </c>
      <c r="S300">
        <f>survey_responses[[#This Row],[Tôi tin rằng với các quy định quản lý thuế hiện nay, hành vi gian lận hoặc trốn thuế sẽ dễ dàng bị phát hiện và xử lý nghiêm. - HUMAN-ENF1]]</f>
        <v>10</v>
      </c>
      <c r="T300">
        <f t="shared" si="109"/>
        <v>1</v>
      </c>
      <c r="U300">
        <f>step3_validation[[#This Row],[AI_ENF2]]</f>
        <v>8</v>
      </c>
      <c r="V300">
        <f t="shared" si="110"/>
        <v>0.77777777777777779</v>
      </c>
      <c r="W300">
        <f>survey_responses[[#This Row],[Tôi tin rằng Nhà nước, cơ quan thuế có đủ khả năng và công nghệ để phát hiện, xử lý nghiêm các hành vi trốn thuế. - HUMAN-ENF2]]</f>
        <v>10</v>
      </c>
      <c r="X300">
        <f t="shared" si="111"/>
        <v>1</v>
      </c>
      <c r="Y300" s="32">
        <f t="shared" si="112"/>
        <v>0.72222222222222221</v>
      </c>
      <c r="Z300" s="32">
        <f t="shared" si="113"/>
        <v>1</v>
      </c>
      <c r="AA300">
        <f>step3_validation[[#This Row],[AI_FAC1]]</f>
        <v>6</v>
      </c>
      <c r="AB300">
        <f t="shared" si="114"/>
        <v>0.55555555555555558</v>
      </c>
      <c r="AC300">
        <f>survey_responses[[#This Row],[Các thủ tục khai báo thuế VÀ/HOẶC quy trình làm việc với cơ quan thuế đơn giản, tiện lợi, nhanh chóng hơn so với trước đây. - HUMAN-FAC1]]</f>
        <v>10</v>
      </c>
      <c r="AD300">
        <f t="shared" si="115"/>
        <v>1</v>
      </c>
      <c r="AE300">
        <f>step3_validation[[#This Row],[AI_FAC2]]</f>
        <v>9</v>
      </c>
      <c r="AF300">
        <f t="shared" si="116"/>
        <v>0.88888888888888884</v>
      </c>
      <c r="AG300">
        <f>survey_responses[[#This Row],[So với trước đây, tôi thấy cách tính thuế và các bậc thuế trong phương án mới đơn giản, dễ hiểu và dễ thực hiện hơn. - HUMAN-FAC2]]</f>
        <v>10</v>
      </c>
      <c r="AH300">
        <f t="shared" si="117"/>
        <v>1</v>
      </c>
      <c r="AI300" s="32">
        <f t="shared" si="118"/>
        <v>0.72222222222222221</v>
      </c>
      <c r="AJ300" s="32">
        <f t="shared" si="119"/>
        <v>1</v>
      </c>
      <c r="AK300">
        <f>step3_validation[[#This Row],[AI_TRU1]]</f>
        <v>7</v>
      </c>
      <c r="AL300">
        <f t="shared" si="120"/>
        <v>0.66666666666666663</v>
      </c>
      <c r="AM300">
        <f>survey_responses[[#This Row],[Tôi tin rằng Nhà nước, cơ quan thuế sẽ thực thi chính sách mới một cách khách quan, công tâm và đối xử bình đẳng với mọi người nộp thuế.  - HUMAN-TRU1]]</f>
        <v>10</v>
      </c>
      <c r="AN300">
        <f t="shared" si="121"/>
        <v>1</v>
      </c>
      <c r="AO300">
        <f>step3_validation[[#This Row],[AI_TRU2]]</f>
        <v>9</v>
      </c>
      <c r="AP300">
        <f t="shared" si="122"/>
        <v>0.88888888888888884</v>
      </c>
      <c r="AQ300">
        <f>survey_responses[[#This Row],[Tôi thấy mức thuế tôi phải đóng theo phương án mới là công bằng (người thu nhập như tôi đóng mức này là hợp lý). - HUMAN-TRU2]]</f>
        <v>10</v>
      </c>
      <c r="AR300">
        <f t="shared" si="123"/>
        <v>1</v>
      </c>
      <c r="AS300">
        <f>step3_validation[[#This Row],[AI_TRU3]]</f>
        <v>7</v>
      </c>
      <c r="AT300">
        <f t="shared" si="124"/>
        <v>0.66666666666666663</v>
      </c>
      <c r="AU300">
        <f>survey_responses[[#This Row],[Tôi tin tưởng số tiền thuế tôi đóng sẽ được Nhà nước sử dụng hiệu quả để cải thiện dịch vụ công (y tế, đường xá...). - HUMAN-TRU3]]</f>
        <v>10</v>
      </c>
      <c r="AV300">
        <f t="shared" si="125"/>
        <v>1</v>
      </c>
      <c r="AW300">
        <f>step3_validation[[#This Row],[AI_TRU4]]</f>
        <v>6</v>
      </c>
      <c r="AX300">
        <f t="shared" si="126"/>
        <v>0.55555555555555558</v>
      </c>
      <c r="AY300">
        <f>survey_responses[[#This Row],[Tôi thấy Nhà nước đã giải thích rõ ràng, minh bạch về lý do và mục tiêu của việc sửa đổi thuế lần này. - HUMAN-TRU4]]</f>
        <v>10</v>
      </c>
      <c r="AZ300">
        <f t="shared" si="127"/>
        <v>1</v>
      </c>
      <c r="BA300" s="32">
        <f t="shared" si="128"/>
        <v>0.69444444444444442</v>
      </c>
      <c r="BB300" s="32">
        <f t="shared" si="129"/>
        <v>1</v>
      </c>
      <c r="BC300" s="7">
        <f t="shared" si="130"/>
        <v>0.71296296296296291</v>
      </c>
      <c r="BD300" s="7">
        <f t="shared" si="131"/>
        <v>1</v>
      </c>
      <c r="BE300">
        <f>step3_validation[[#This Row],[AI_OUT1]]</f>
        <v>9</v>
      </c>
      <c r="BF300">
        <f t="shared" si="132"/>
        <v>0.88888888888888884</v>
      </c>
      <c r="BG300">
        <f>survey_responses[[#This Row],[Sau khi xem xét các quyền lợi và nghĩa vụ, bạn có ủng hộ và tuân thủ chính sách mới hiện nay? - HUMAN-OUT1]]</f>
        <v>10</v>
      </c>
      <c r="BH300">
        <f t="shared" si="133"/>
        <v>1</v>
      </c>
      <c r="BI300" s="32">
        <f t="shared" si="134"/>
        <v>1</v>
      </c>
    </row>
    <row r="301" spans="1:61" x14ac:dyDescent="0.45">
      <c r="A301" s="30">
        <f>step3_validation[[#This Row],[Persona_ID]]</f>
        <v>300</v>
      </c>
      <c r="B301" s="31">
        <f>step3_validation[[#This Row],[Used_Seed]]</f>
        <v>2325</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30.095306028529489</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7</v>
      </c>
      <c r="R301">
        <f t="shared" si="108"/>
        <v>0.66666666666666663</v>
      </c>
      <c r="S301">
        <f>survey_responses[[#This Row],[Tôi tin rằng với các quy định quản lý thuế hiện nay, hành vi gian lận hoặc trốn thuế sẽ dễ dàng bị phát hiện và xử lý nghiêm. - HUMAN-ENF1]]</f>
        <v>9</v>
      </c>
      <c r="T301">
        <f t="shared" si="109"/>
        <v>0.88888888888888884</v>
      </c>
      <c r="U301">
        <f>step3_validation[[#This Row],[AI_ENF2]]</f>
        <v>6</v>
      </c>
      <c r="V301">
        <f t="shared" si="110"/>
        <v>0.55555555555555558</v>
      </c>
      <c r="W301">
        <f>survey_responses[[#This Row],[Tôi tin rằng Nhà nước, cơ quan thuế có đủ khả năng và công nghệ để phát hiện, xử lý nghiêm các hành vi trốn thuế. - HUMAN-ENF2]]</f>
        <v>9</v>
      </c>
      <c r="X301">
        <f t="shared" si="111"/>
        <v>0.88888888888888884</v>
      </c>
      <c r="Y301" s="32">
        <f t="shared" si="112"/>
        <v>0.61111111111111116</v>
      </c>
      <c r="Z301" s="32">
        <f t="shared" si="113"/>
        <v>0.88888888888888884</v>
      </c>
      <c r="AA301">
        <f>step3_validation[[#This Row],[AI_FAC1]]</f>
        <v>8</v>
      </c>
      <c r="AB301">
        <f t="shared" si="114"/>
        <v>0.77777777777777779</v>
      </c>
      <c r="AC301">
        <f>survey_responses[[#This Row],[Các thủ tục khai báo thuế VÀ/HOẶC quy trình làm việc với cơ quan thuế đơn giản, tiện lợi, nhanh chóng hơn so với trước đây. - HUMAN-FAC1]]</f>
        <v>8</v>
      </c>
      <c r="AD301">
        <f t="shared" si="115"/>
        <v>0.77777777777777779</v>
      </c>
      <c r="AE301">
        <f>step3_validation[[#This Row],[AI_FAC2]]</f>
        <v>9</v>
      </c>
      <c r="AF301">
        <f t="shared" si="116"/>
        <v>0.88888888888888884</v>
      </c>
      <c r="AG301">
        <f>survey_responses[[#This Row],[So với trước đây, tôi thấy cách tính thuế và các bậc thuế trong phương án mới đơn giản, dễ hiểu và dễ thực hiện hơn. - HUMAN-FAC2]]</f>
        <v>10</v>
      </c>
      <c r="AH301">
        <f t="shared" si="117"/>
        <v>1</v>
      </c>
      <c r="AI301" s="32">
        <f t="shared" si="118"/>
        <v>0.83333333333333326</v>
      </c>
      <c r="AJ301" s="32">
        <f t="shared" si="119"/>
        <v>0.88888888888888884</v>
      </c>
      <c r="AK301">
        <f>step3_validation[[#This Row],[AI_TRU1]]</f>
        <v>7</v>
      </c>
      <c r="AL301">
        <f t="shared" si="120"/>
        <v>0.66666666666666663</v>
      </c>
      <c r="AM301">
        <f>survey_responses[[#This Row],[Tôi tin rằng Nhà nước, cơ quan thuế sẽ thực thi chính sách mới một cách khách quan, công tâm và đối xử bình đẳng với mọi người nộp thuế.  - HUMAN-TRU1]]</f>
        <v>8</v>
      </c>
      <c r="AN301">
        <f t="shared" si="121"/>
        <v>0.77777777777777779</v>
      </c>
      <c r="AO301">
        <f>step3_validation[[#This Row],[AI_TRU2]]</f>
        <v>8</v>
      </c>
      <c r="AP301">
        <f t="shared" si="122"/>
        <v>0.77777777777777779</v>
      </c>
      <c r="AQ301">
        <f>survey_responses[[#This Row],[Tôi thấy mức thuế tôi phải đóng theo phương án mới là công bằng (người thu nhập như tôi đóng mức này là hợp lý). - HUMAN-TRU2]]</f>
        <v>8</v>
      </c>
      <c r="AR301">
        <f t="shared" si="123"/>
        <v>0.77777777777777779</v>
      </c>
      <c r="AS301">
        <f>step3_validation[[#This Row],[AI_TRU3]]</f>
        <v>7</v>
      </c>
      <c r="AT301">
        <f t="shared" si="124"/>
        <v>0.66666666666666663</v>
      </c>
      <c r="AU301">
        <f>survey_responses[[#This Row],[Tôi tin tưởng số tiền thuế tôi đóng sẽ được Nhà nước sử dụng hiệu quả để cải thiện dịch vụ công (y tế, đường xá...). - HUMAN-TRU3]]</f>
        <v>10</v>
      </c>
      <c r="AV301">
        <f t="shared" si="125"/>
        <v>1</v>
      </c>
      <c r="AW301">
        <f>step3_validation[[#This Row],[AI_TRU4]]</f>
        <v>8</v>
      </c>
      <c r="AX301">
        <f t="shared" si="126"/>
        <v>0.77777777777777779</v>
      </c>
      <c r="AY301">
        <f>survey_responses[[#This Row],[Tôi thấy Nhà nước đã giải thích rõ ràng, minh bạch về lý do và mục tiêu của việc sửa đổi thuế lần này. - HUMAN-TRU4]]</f>
        <v>9</v>
      </c>
      <c r="AZ301">
        <f t="shared" si="127"/>
        <v>0.88888888888888884</v>
      </c>
      <c r="BA301" s="32">
        <f t="shared" si="128"/>
        <v>0.72222222222222221</v>
      </c>
      <c r="BB301" s="32">
        <f t="shared" si="129"/>
        <v>0.86111111111111105</v>
      </c>
      <c r="BC301" s="7">
        <f t="shared" si="130"/>
        <v>0.72222222222222221</v>
      </c>
      <c r="BD301" s="7">
        <f t="shared" si="131"/>
        <v>0.87962962962962965</v>
      </c>
      <c r="BE301">
        <f>step3_validation[[#This Row],[AI_OUT1]]</f>
        <v>9</v>
      </c>
      <c r="BF301">
        <f t="shared" si="132"/>
        <v>0.88888888888888884</v>
      </c>
      <c r="BG301">
        <f>survey_responses[[#This Row],[Sau khi xem xét các quyền lợi và nghĩa vụ, bạn có ủng hộ và tuân thủ chính sách mới hiện nay? - HUMAN-OUT1]]</f>
        <v>9</v>
      </c>
      <c r="BH301">
        <f t="shared" si="133"/>
        <v>0.88888888888888884</v>
      </c>
      <c r="BI301" s="32">
        <f t="shared" si="134"/>
        <v>0</v>
      </c>
    </row>
    <row r="302" spans="1:61" x14ac:dyDescent="0.45">
      <c r="A302" s="30">
        <f>step3_validation[[#This Row],[Persona_ID]]</f>
        <v>301</v>
      </c>
      <c r="B302" s="31">
        <f>step3_validation[[#This Row],[Used_Seed]]</f>
        <v>2326</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8</v>
      </c>
      <c r="R302">
        <f t="shared" si="108"/>
        <v>0.77777777777777779</v>
      </c>
      <c r="S302">
        <f>survey_responses[[#This Row],[Tôi tin rằng với các quy định quản lý thuế hiện nay, hành vi gian lận hoặc trốn thuế sẽ dễ dàng bị phát hiện và xử lý nghiêm. - HUMAN-ENF1]]</f>
        <v>8</v>
      </c>
      <c r="T302">
        <f t="shared" si="109"/>
        <v>0.77777777777777779</v>
      </c>
      <c r="U302">
        <f>step3_validation[[#This Row],[AI_ENF2]]</f>
        <v>9</v>
      </c>
      <c r="V302">
        <f t="shared" si="110"/>
        <v>0.88888888888888884</v>
      </c>
      <c r="W302">
        <f>survey_responses[[#This Row],[Tôi tin rằng Nhà nước, cơ quan thuế có đủ khả năng và công nghệ để phát hiện, xử lý nghiêm các hành vi trốn thuế. - HUMAN-ENF2]]</f>
        <v>7</v>
      </c>
      <c r="X302">
        <f t="shared" si="111"/>
        <v>0.66666666666666663</v>
      </c>
      <c r="Y302" s="32">
        <f t="shared" si="112"/>
        <v>0.83333333333333326</v>
      </c>
      <c r="Z302" s="32">
        <f t="shared" si="113"/>
        <v>0.72222222222222221</v>
      </c>
      <c r="AA302">
        <f>step3_validation[[#This Row],[AI_FAC1]]</f>
        <v>7</v>
      </c>
      <c r="AB302">
        <f t="shared" si="114"/>
        <v>0.66666666666666663</v>
      </c>
      <c r="AC302">
        <f>survey_responses[[#This Row],[Các thủ tục khai báo thuế VÀ/HOẶC quy trình làm việc với cơ quan thuế đơn giản, tiện lợi, nhanh chóng hơn so với trước đây. - HUMAN-FAC1]]</f>
        <v>9</v>
      </c>
      <c r="AD302">
        <f t="shared" si="115"/>
        <v>0.88888888888888884</v>
      </c>
      <c r="AE302">
        <f>step3_validation[[#This Row],[AI_FAC2]]</f>
        <v>9</v>
      </c>
      <c r="AF302">
        <f t="shared" si="116"/>
        <v>0.88888888888888884</v>
      </c>
      <c r="AG302">
        <f>survey_responses[[#This Row],[So với trước đây, tôi thấy cách tính thuế và các bậc thuế trong phương án mới đơn giản, dễ hiểu và dễ thực hiện hơn. - HUMAN-FAC2]]</f>
        <v>5</v>
      </c>
      <c r="AH302">
        <f t="shared" si="117"/>
        <v>0.44444444444444442</v>
      </c>
      <c r="AI302" s="32">
        <f t="shared" si="118"/>
        <v>0.77777777777777768</v>
      </c>
      <c r="AJ302" s="32">
        <f t="shared" si="119"/>
        <v>0.66666666666666663</v>
      </c>
      <c r="AK302">
        <f>step3_validation[[#This Row],[AI_TRU1]]</f>
        <v>7</v>
      </c>
      <c r="AL302">
        <f t="shared" si="120"/>
        <v>0.66666666666666663</v>
      </c>
      <c r="AM302">
        <f>survey_responses[[#This Row],[Tôi tin rằng Nhà nước, cơ quan thuế sẽ thực thi chính sách mới một cách khách quan, công tâm và đối xử bình đẳng với mọi người nộp thuế.  - HUMAN-TRU1]]</f>
        <v>7</v>
      </c>
      <c r="AN302">
        <f t="shared" si="121"/>
        <v>0.66666666666666663</v>
      </c>
      <c r="AO302">
        <f>step3_validation[[#This Row],[AI_TRU2]]</f>
        <v>9</v>
      </c>
      <c r="AP302">
        <f t="shared" si="122"/>
        <v>0.88888888888888884</v>
      </c>
      <c r="AQ302">
        <f>survey_responses[[#This Row],[Tôi thấy mức thuế tôi phải đóng theo phương án mới là công bằng (người thu nhập như tôi đóng mức này là hợp lý). - HUMAN-TRU2]]</f>
        <v>7</v>
      </c>
      <c r="AR302">
        <f t="shared" si="123"/>
        <v>0.66666666666666663</v>
      </c>
      <c r="AS302">
        <f>step3_validation[[#This Row],[AI_TRU3]]</f>
        <v>8</v>
      </c>
      <c r="AT302">
        <f t="shared" si="124"/>
        <v>0.77777777777777779</v>
      </c>
      <c r="AU302">
        <f>survey_responses[[#This Row],[Tôi tin tưởng số tiền thuế tôi đóng sẽ được Nhà nước sử dụng hiệu quả để cải thiện dịch vụ công (y tế, đường xá...). - HUMAN-TRU3]]</f>
        <v>7</v>
      </c>
      <c r="AV302">
        <f t="shared" si="125"/>
        <v>0.66666666666666663</v>
      </c>
      <c r="AW302">
        <f>step3_validation[[#This Row],[AI_TRU4]]</f>
        <v>7</v>
      </c>
      <c r="AX302">
        <f t="shared" si="126"/>
        <v>0.66666666666666663</v>
      </c>
      <c r="AY302">
        <f>survey_responses[[#This Row],[Tôi thấy Nhà nước đã giải thích rõ ràng, minh bạch về lý do và mục tiêu của việc sửa đổi thuế lần này. - HUMAN-TRU4]]</f>
        <v>6</v>
      </c>
      <c r="AZ302">
        <f t="shared" si="127"/>
        <v>0.55555555555555558</v>
      </c>
      <c r="BA302" s="32">
        <f t="shared" si="128"/>
        <v>0.74999999999999989</v>
      </c>
      <c r="BB302" s="32">
        <f t="shared" si="129"/>
        <v>0.63888888888888884</v>
      </c>
      <c r="BC302" s="7">
        <f t="shared" si="130"/>
        <v>0.78703703703703687</v>
      </c>
      <c r="BD302" s="7">
        <f t="shared" si="131"/>
        <v>0.67592592592592593</v>
      </c>
      <c r="BE302">
        <f>step3_validation[[#This Row],[AI_OUT1]]</f>
        <v>9</v>
      </c>
      <c r="BF302">
        <f t="shared" si="132"/>
        <v>0.88888888888888884</v>
      </c>
      <c r="BG302">
        <f>survey_responses[[#This Row],[Sau khi xem xét các quyền lợi và nghĩa vụ, bạn có ủng hộ và tuân thủ chính sách mới hiện nay? - HUMAN-OUT1]]</f>
        <v>7</v>
      </c>
      <c r="BH302">
        <f t="shared" si="133"/>
        <v>0.66666666666666663</v>
      </c>
      <c r="BI302" s="32">
        <f t="shared" si="134"/>
        <v>2</v>
      </c>
    </row>
    <row r="303" spans="1:61" x14ac:dyDescent="0.45">
      <c r="A303" s="30">
        <f>step3_validation[[#This Row],[Persona_ID]]</f>
        <v>302</v>
      </c>
      <c r="B303" s="31">
        <f>step3_validation[[#This Row],[Used_Seed]]</f>
        <v>2327</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28.625944835947372</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5</v>
      </c>
      <c r="R303">
        <f t="shared" si="108"/>
        <v>0.44444444444444442</v>
      </c>
      <c r="S303">
        <f>survey_responses[[#This Row],[Tôi tin rằng với các quy định quản lý thuế hiện nay, hành vi gian lận hoặc trốn thuế sẽ dễ dàng bị phát hiện và xử lý nghiêm. - HUMAN-ENF1]]</f>
        <v>7</v>
      </c>
      <c r="T303">
        <f t="shared" si="109"/>
        <v>0.66666666666666663</v>
      </c>
      <c r="U303">
        <f>step3_validation[[#This Row],[AI_ENF2]]</f>
        <v>6</v>
      </c>
      <c r="V303">
        <f t="shared" si="110"/>
        <v>0.55555555555555558</v>
      </c>
      <c r="W303">
        <f>survey_responses[[#This Row],[Tôi tin rằng Nhà nước, cơ quan thuế có đủ khả năng và công nghệ để phát hiện, xử lý nghiêm các hành vi trốn thuế. - HUMAN-ENF2]]</f>
        <v>7</v>
      </c>
      <c r="X303">
        <f t="shared" si="111"/>
        <v>0.66666666666666663</v>
      </c>
      <c r="Y303" s="32">
        <f t="shared" si="112"/>
        <v>0.5</v>
      </c>
      <c r="Z303" s="32">
        <f t="shared" si="113"/>
        <v>0.66666666666666663</v>
      </c>
      <c r="AA303">
        <f>step3_validation[[#This Row],[AI_FAC1]]</f>
        <v>9</v>
      </c>
      <c r="AB303">
        <f t="shared" si="114"/>
        <v>0.88888888888888884</v>
      </c>
      <c r="AC303">
        <f>survey_responses[[#This Row],[Các thủ tục khai báo thuế VÀ/HOẶC quy trình làm việc với cơ quan thuế đơn giản, tiện lợi, nhanh chóng hơn so với trước đây. - HUMAN-FAC1]]</f>
        <v>4</v>
      </c>
      <c r="AD303">
        <f t="shared" si="115"/>
        <v>0.33333333333333331</v>
      </c>
      <c r="AE303">
        <f>step3_validation[[#This Row],[AI_FAC2]]</f>
        <v>8</v>
      </c>
      <c r="AF303">
        <f t="shared" si="116"/>
        <v>0.77777777777777779</v>
      </c>
      <c r="AG303">
        <f>survey_responses[[#This Row],[So với trước đây, tôi thấy cách tính thuế và các bậc thuế trong phương án mới đơn giản, dễ hiểu và dễ thực hiện hơn. - HUMAN-FAC2]]</f>
        <v>8</v>
      </c>
      <c r="AH303">
        <f t="shared" si="117"/>
        <v>0.77777777777777779</v>
      </c>
      <c r="AI303" s="32">
        <f t="shared" si="118"/>
        <v>0.83333333333333326</v>
      </c>
      <c r="AJ303" s="32">
        <f t="shared" si="119"/>
        <v>0.55555555555555558</v>
      </c>
      <c r="AK303">
        <f>step3_validation[[#This Row],[AI_TRU1]]</f>
        <v>7</v>
      </c>
      <c r="AL303">
        <f t="shared" si="120"/>
        <v>0.66666666666666663</v>
      </c>
      <c r="AM303">
        <f>survey_responses[[#This Row],[Tôi tin rằng Nhà nước, cơ quan thuế sẽ thực thi chính sách mới một cách khách quan, công tâm và đối xử bình đẳng với mọi người nộp thuế.  - HUMAN-TRU1]]</f>
        <v>7</v>
      </c>
      <c r="AN303">
        <f t="shared" si="121"/>
        <v>0.66666666666666663</v>
      </c>
      <c r="AO303">
        <f>step3_validation[[#This Row],[AI_TRU2]]</f>
        <v>9</v>
      </c>
      <c r="AP303">
        <f t="shared" si="122"/>
        <v>0.88888888888888884</v>
      </c>
      <c r="AQ303">
        <f>survey_responses[[#This Row],[Tôi thấy mức thuế tôi phải đóng theo phương án mới là công bằng (người thu nhập như tôi đóng mức này là hợp lý). - HUMAN-TRU2]]</f>
        <v>7</v>
      </c>
      <c r="AR303">
        <f t="shared" si="123"/>
        <v>0.66666666666666663</v>
      </c>
      <c r="AS303">
        <f>step3_validation[[#This Row],[AI_TRU3]]</f>
        <v>7</v>
      </c>
      <c r="AT303">
        <f t="shared" si="124"/>
        <v>0.66666666666666663</v>
      </c>
      <c r="AU303">
        <f>survey_responses[[#This Row],[Tôi tin tưởng số tiền thuế tôi đóng sẽ được Nhà nước sử dụng hiệu quả để cải thiện dịch vụ công (y tế, đường xá...). - HUMAN-TRU3]]</f>
        <v>5</v>
      </c>
      <c r="AV303">
        <f t="shared" si="125"/>
        <v>0.44444444444444442</v>
      </c>
      <c r="AW303">
        <f>step3_validation[[#This Row],[AI_TRU4]]</f>
        <v>6</v>
      </c>
      <c r="AX303">
        <f t="shared" si="126"/>
        <v>0.55555555555555558</v>
      </c>
      <c r="AY303">
        <f>survey_responses[[#This Row],[Tôi thấy Nhà nước đã giải thích rõ ràng, minh bạch về lý do và mục tiêu của việc sửa đổi thuế lần này. - HUMAN-TRU4]]</f>
        <v>5</v>
      </c>
      <c r="AZ303">
        <f t="shared" si="127"/>
        <v>0.44444444444444442</v>
      </c>
      <c r="BA303" s="32">
        <f t="shared" si="128"/>
        <v>0.69444444444444442</v>
      </c>
      <c r="BB303" s="32">
        <f t="shared" si="129"/>
        <v>0.55555555555555558</v>
      </c>
      <c r="BC303" s="7">
        <f t="shared" si="130"/>
        <v>0.67592592592592593</v>
      </c>
      <c r="BD303" s="7">
        <f t="shared" si="131"/>
        <v>0.59259259259259267</v>
      </c>
      <c r="BE303">
        <f>step3_validation[[#This Row],[AI_OUT1]]</f>
        <v>8</v>
      </c>
      <c r="BF303">
        <f t="shared" si="132"/>
        <v>0.77777777777777779</v>
      </c>
      <c r="BG303">
        <f>survey_responses[[#This Row],[Sau khi xem xét các quyền lợi và nghĩa vụ, bạn có ủng hộ và tuân thủ chính sách mới hiện nay? - HUMAN-OUT1]]</f>
        <v>7</v>
      </c>
      <c r="BH303">
        <f t="shared" si="133"/>
        <v>0.66666666666666663</v>
      </c>
      <c r="BI303" s="32">
        <f t="shared" si="134"/>
        <v>1</v>
      </c>
    </row>
    <row r="304" spans="1:61" x14ac:dyDescent="0.45">
      <c r="A304" s="30">
        <f>step3_validation[[#This Row],[Persona_ID]]</f>
        <v>303</v>
      </c>
      <c r="B304" s="31">
        <f>step3_validation[[#This Row],[Used_Seed]]</f>
        <v>2328</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30.613704498836046</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6</v>
      </c>
      <c r="R304">
        <f t="shared" si="108"/>
        <v>0.55555555555555558</v>
      </c>
      <c r="S304">
        <f>survey_responses[[#This Row],[Tôi tin rằng với các quy định quản lý thuế hiện nay, hành vi gian lận hoặc trốn thuế sẽ dễ dàng bị phát hiện và xử lý nghiêm. - HUMAN-ENF1]]</f>
        <v>6</v>
      </c>
      <c r="T304">
        <f t="shared" si="109"/>
        <v>0.55555555555555558</v>
      </c>
      <c r="U304">
        <f>step3_validation[[#This Row],[AI_ENF2]]</f>
        <v>8</v>
      </c>
      <c r="V304">
        <f t="shared" si="110"/>
        <v>0.77777777777777779</v>
      </c>
      <c r="W304">
        <f>survey_responses[[#This Row],[Tôi tin rằng Nhà nước, cơ quan thuế có đủ khả năng và công nghệ để phát hiện, xử lý nghiêm các hành vi trốn thuế. - HUMAN-ENF2]]</f>
        <v>10</v>
      </c>
      <c r="X304">
        <f t="shared" si="111"/>
        <v>1</v>
      </c>
      <c r="Y304" s="32">
        <f t="shared" si="112"/>
        <v>0.66666666666666674</v>
      </c>
      <c r="Z304" s="32">
        <f t="shared" si="113"/>
        <v>0.77777777777777779</v>
      </c>
      <c r="AA304">
        <f>step3_validation[[#This Row],[AI_FAC1]]</f>
        <v>9</v>
      </c>
      <c r="AB304">
        <f t="shared" si="114"/>
        <v>0.88888888888888884</v>
      </c>
      <c r="AC304">
        <f>survey_responses[[#This Row],[Các thủ tục khai báo thuế VÀ/HOẶC quy trình làm việc với cơ quan thuế đơn giản, tiện lợi, nhanh chóng hơn so với trước đây. - HUMAN-FAC1]]</f>
        <v>5</v>
      </c>
      <c r="AD304">
        <f t="shared" si="115"/>
        <v>0.44444444444444442</v>
      </c>
      <c r="AE304">
        <f>step3_validation[[#This Row],[AI_FAC2]]</f>
        <v>8</v>
      </c>
      <c r="AF304">
        <f t="shared" si="116"/>
        <v>0.77777777777777779</v>
      </c>
      <c r="AG304">
        <f>survey_responses[[#This Row],[So với trước đây, tôi thấy cách tính thuế và các bậc thuế trong phương án mới đơn giản, dễ hiểu và dễ thực hiện hơn. - HUMAN-FAC2]]</f>
        <v>4</v>
      </c>
      <c r="AH304">
        <f t="shared" si="117"/>
        <v>0.33333333333333331</v>
      </c>
      <c r="AI304" s="32">
        <f t="shared" si="118"/>
        <v>0.83333333333333326</v>
      </c>
      <c r="AJ304" s="32">
        <f t="shared" si="119"/>
        <v>0.38888888888888884</v>
      </c>
      <c r="AK304">
        <f>step3_validation[[#This Row],[AI_TRU1]]</f>
        <v>7</v>
      </c>
      <c r="AL304">
        <f t="shared" si="120"/>
        <v>0.66666666666666663</v>
      </c>
      <c r="AM304">
        <f>survey_responses[[#This Row],[Tôi tin rằng Nhà nước, cơ quan thuế sẽ thực thi chính sách mới một cách khách quan, công tâm và đối xử bình đẳng với mọi người nộp thuế.  - HUMAN-TRU1]]</f>
        <v>3</v>
      </c>
      <c r="AN304">
        <f t="shared" si="121"/>
        <v>0.22222222222222221</v>
      </c>
      <c r="AO304">
        <f>step3_validation[[#This Row],[AI_TRU2]]</f>
        <v>9</v>
      </c>
      <c r="AP304">
        <f t="shared" si="122"/>
        <v>0.88888888888888884</v>
      </c>
      <c r="AQ304">
        <f>survey_responses[[#This Row],[Tôi thấy mức thuế tôi phải đóng theo phương án mới là công bằng (người thu nhập như tôi đóng mức này là hợp lý). - HUMAN-TRU2]]</f>
        <v>7</v>
      </c>
      <c r="AR304">
        <f t="shared" si="123"/>
        <v>0.66666666666666663</v>
      </c>
      <c r="AS304">
        <f>step3_validation[[#This Row],[AI_TRU3]]</f>
        <v>8</v>
      </c>
      <c r="AT304">
        <f t="shared" si="124"/>
        <v>0.77777777777777779</v>
      </c>
      <c r="AU304">
        <f>survey_responses[[#This Row],[Tôi tin tưởng số tiền thuế tôi đóng sẽ được Nhà nước sử dụng hiệu quả để cải thiện dịch vụ công (y tế, đường xá...). - HUMAN-TRU3]]</f>
        <v>4</v>
      </c>
      <c r="AV304">
        <f t="shared" si="125"/>
        <v>0.33333333333333331</v>
      </c>
      <c r="AW304">
        <f>step3_validation[[#This Row],[AI_TRU4]]</f>
        <v>6</v>
      </c>
      <c r="AX304">
        <f t="shared" si="126"/>
        <v>0.55555555555555558</v>
      </c>
      <c r="AY304">
        <f>survey_responses[[#This Row],[Tôi thấy Nhà nước đã giải thích rõ ràng, minh bạch về lý do và mục tiêu của việc sửa đổi thuế lần này. - HUMAN-TRU4]]</f>
        <v>4</v>
      </c>
      <c r="AZ304">
        <f t="shared" si="127"/>
        <v>0.33333333333333331</v>
      </c>
      <c r="BA304" s="32">
        <f t="shared" si="128"/>
        <v>0.7222222222222221</v>
      </c>
      <c r="BB304" s="32">
        <f t="shared" si="129"/>
        <v>0.38888888888888884</v>
      </c>
      <c r="BC304" s="7">
        <f t="shared" si="130"/>
        <v>0.74074074074074081</v>
      </c>
      <c r="BD304" s="7">
        <f t="shared" si="131"/>
        <v>0.51851851851851849</v>
      </c>
      <c r="BE304">
        <f>step3_validation[[#This Row],[AI_OUT1]]</f>
        <v>9</v>
      </c>
      <c r="BF304">
        <f t="shared" si="132"/>
        <v>0.88888888888888884</v>
      </c>
      <c r="BG304">
        <f>survey_responses[[#This Row],[Sau khi xem xét các quyền lợi và nghĩa vụ, bạn có ủng hộ và tuân thủ chính sách mới hiện nay? - HUMAN-OUT1]]</f>
        <v>5</v>
      </c>
      <c r="BH304">
        <f t="shared" si="133"/>
        <v>0.44444444444444442</v>
      </c>
      <c r="BI304" s="32">
        <f t="shared" si="134"/>
        <v>4</v>
      </c>
    </row>
    <row r="305" spans="1:61" x14ac:dyDescent="0.45">
      <c r="A305" s="30">
        <f>step3_validation[[#This Row],[Persona_ID]]</f>
        <v>304</v>
      </c>
      <c r="B305" s="31">
        <f>step3_validation[[#This Row],[Used_Seed]]</f>
        <v>2329</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8</v>
      </c>
      <c r="R305">
        <f t="shared" si="108"/>
        <v>0.77777777777777779</v>
      </c>
      <c r="S305">
        <f>survey_responses[[#This Row],[Tôi tin rằng với các quy định quản lý thuế hiện nay, hành vi gian lận hoặc trốn thuế sẽ dễ dàng bị phát hiện và xử lý nghiêm. - HUMAN-ENF1]]</f>
        <v>10</v>
      </c>
      <c r="T305">
        <f t="shared" si="109"/>
        <v>1</v>
      </c>
      <c r="U305">
        <f>step3_validation[[#This Row],[AI_ENF2]]</f>
        <v>7</v>
      </c>
      <c r="V305">
        <f t="shared" si="110"/>
        <v>0.66666666666666663</v>
      </c>
      <c r="W305">
        <f>survey_responses[[#This Row],[Tôi tin rằng Nhà nước, cơ quan thuế có đủ khả năng và công nghệ để phát hiện, xử lý nghiêm các hành vi trốn thuế. - HUMAN-ENF2]]</f>
        <v>10</v>
      </c>
      <c r="X305">
        <f t="shared" si="111"/>
        <v>1</v>
      </c>
      <c r="Y305" s="32">
        <f t="shared" si="112"/>
        <v>0.72222222222222221</v>
      </c>
      <c r="Z305" s="32">
        <f t="shared" si="113"/>
        <v>1</v>
      </c>
      <c r="AA305">
        <f>step3_validation[[#This Row],[AI_FAC1]]</f>
        <v>9</v>
      </c>
      <c r="AB305">
        <f t="shared" si="114"/>
        <v>0.88888888888888884</v>
      </c>
      <c r="AC305">
        <f>survey_responses[[#This Row],[Các thủ tục khai báo thuế VÀ/HOẶC quy trình làm việc với cơ quan thuế đơn giản, tiện lợi, nhanh chóng hơn so với trước đây. - HUMAN-FAC1]]</f>
        <v>10</v>
      </c>
      <c r="AD305">
        <f t="shared" si="115"/>
        <v>1</v>
      </c>
      <c r="AE305">
        <f>step3_validation[[#This Row],[AI_FAC2]]</f>
        <v>8</v>
      </c>
      <c r="AF305">
        <f t="shared" si="116"/>
        <v>0.77777777777777779</v>
      </c>
      <c r="AG305">
        <f>survey_responses[[#This Row],[So với trước đây, tôi thấy cách tính thuế và các bậc thuế trong phương án mới đơn giản, dễ hiểu và dễ thực hiện hơn. - HUMAN-FAC2]]</f>
        <v>10</v>
      </c>
      <c r="AH305">
        <f t="shared" si="117"/>
        <v>1</v>
      </c>
      <c r="AI305" s="32">
        <f t="shared" si="118"/>
        <v>0.83333333333333326</v>
      </c>
      <c r="AJ305" s="32">
        <f t="shared" si="119"/>
        <v>1</v>
      </c>
      <c r="AK305">
        <f>step3_validation[[#This Row],[AI_TRU1]]</f>
        <v>9</v>
      </c>
      <c r="AL305">
        <f t="shared" si="120"/>
        <v>0.88888888888888884</v>
      </c>
      <c r="AM305">
        <f>survey_responses[[#This Row],[Tôi tin rằng Nhà nước, cơ quan thuế sẽ thực thi chính sách mới một cách khách quan, công tâm và đối xử bình đẳng với mọi người nộp thuế.  - HUMAN-TRU1]]</f>
        <v>10</v>
      </c>
      <c r="AN305">
        <f t="shared" si="121"/>
        <v>1</v>
      </c>
      <c r="AO305">
        <f>step3_validation[[#This Row],[AI_TRU2]]</f>
        <v>8</v>
      </c>
      <c r="AP305">
        <f t="shared" si="122"/>
        <v>0.77777777777777779</v>
      </c>
      <c r="AQ305">
        <f>survey_responses[[#This Row],[Tôi thấy mức thuế tôi phải đóng theo phương án mới là công bằng (người thu nhập như tôi đóng mức này là hợp lý). - HUMAN-TRU2]]</f>
        <v>10</v>
      </c>
      <c r="AR305">
        <f t="shared" si="123"/>
        <v>1</v>
      </c>
      <c r="AS305">
        <f>step3_validation[[#This Row],[AI_TRU3]]</f>
        <v>9</v>
      </c>
      <c r="AT305">
        <f t="shared" si="124"/>
        <v>0.88888888888888884</v>
      </c>
      <c r="AU305">
        <f>survey_responses[[#This Row],[Tôi tin tưởng số tiền thuế tôi đóng sẽ được Nhà nước sử dụng hiệu quả để cải thiện dịch vụ công (y tế, đường xá...). - HUMAN-TRU3]]</f>
        <v>10</v>
      </c>
      <c r="AV305">
        <f t="shared" si="125"/>
        <v>1</v>
      </c>
      <c r="AW305">
        <f>step3_validation[[#This Row],[AI_TRU4]]</f>
        <v>8</v>
      </c>
      <c r="AX305">
        <f t="shared" si="126"/>
        <v>0.77777777777777779</v>
      </c>
      <c r="AY305">
        <f>survey_responses[[#This Row],[Tôi thấy Nhà nước đã giải thích rõ ràng, minh bạch về lý do và mục tiêu của việc sửa đổi thuế lần này. - HUMAN-TRU4]]</f>
        <v>10</v>
      </c>
      <c r="AZ305">
        <f t="shared" si="127"/>
        <v>1</v>
      </c>
      <c r="BA305" s="32">
        <f t="shared" si="128"/>
        <v>0.83333333333333326</v>
      </c>
      <c r="BB305" s="32">
        <f t="shared" si="129"/>
        <v>1</v>
      </c>
      <c r="BC305" s="7">
        <f t="shared" si="130"/>
        <v>0.79629629629629617</v>
      </c>
      <c r="BD305" s="7">
        <f t="shared" si="131"/>
        <v>1</v>
      </c>
      <c r="BE305">
        <f>step3_validation[[#This Row],[AI_OUT1]]</f>
        <v>9</v>
      </c>
      <c r="BF305">
        <f t="shared" si="132"/>
        <v>0.88888888888888884</v>
      </c>
      <c r="BG305">
        <f>survey_responses[[#This Row],[Sau khi xem xét các quyền lợi và nghĩa vụ, bạn có ủng hộ và tuân thủ chính sách mới hiện nay? - HUMAN-OUT1]]</f>
        <v>10</v>
      </c>
      <c r="BH305">
        <f t="shared" si="133"/>
        <v>1</v>
      </c>
      <c r="BI305" s="32">
        <f t="shared" si="134"/>
        <v>1</v>
      </c>
    </row>
    <row r="306" spans="1:61" x14ac:dyDescent="0.45">
      <c r="A306" s="30">
        <f>step3_validation[[#This Row],[Persona_ID]]</f>
        <v>305</v>
      </c>
      <c r="B306" s="31">
        <f>step3_validation[[#This Row],[Used_Seed]]</f>
        <v>2330</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40.874932966355765</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7</v>
      </c>
      <c r="R306">
        <f t="shared" si="108"/>
        <v>0.66666666666666663</v>
      </c>
      <c r="S306">
        <f>survey_responses[[#This Row],[Tôi tin rằng với các quy định quản lý thuế hiện nay, hành vi gian lận hoặc trốn thuế sẽ dễ dàng bị phát hiện và xử lý nghiêm. - HUMAN-ENF1]]</f>
        <v>7</v>
      </c>
      <c r="T306">
        <f t="shared" si="109"/>
        <v>0.66666666666666663</v>
      </c>
      <c r="U306">
        <f>step3_validation[[#This Row],[AI_ENF2]]</f>
        <v>8</v>
      </c>
      <c r="V306">
        <f t="shared" si="110"/>
        <v>0.77777777777777779</v>
      </c>
      <c r="W306">
        <f>survey_responses[[#This Row],[Tôi tin rằng Nhà nước, cơ quan thuế có đủ khả năng và công nghệ để phát hiện, xử lý nghiêm các hành vi trốn thuế. - HUMAN-ENF2]]</f>
        <v>9</v>
      </c>
      <c r="X306">
        <f t="shared" si="111"/>
        <v>0.88888888888888884</v>
      </c>
      <c r="Y306" s="32">
        <f t="shared" si="112"/>
        <v>0.72222222222222221</v>
      </c>
      <c r="Z306" s="32">
        <f t="shared" si="113"/>
        <v>0.77777777777777768</v>
      </c>
      <c r="AA306">
        <f>step3_validation[[#This Row],[AI_FAC1]]</f>
        <v>7</v>
      </c>
      <c r="AB306">
        <f t="shared" si="114"/>
        <v>0.66666666666666663</v>
      </c>
      <c r="AC306">
        <f>survey_responses[[#This Row],[Các thủ tục khai báo thuế VÀ/HOẶC quy trình làm việc với cơ quan thuế đơn giản, tiện lợi, nhanh chóng hơn so với trước đây. - HUMAN-FAC1]]</f>
        <v>8</v>
      </c>
      <c r="AD306">
        <f t="shared" si="115"/>
        <v>0.77777777777777779</v>
      </c>
      <c r="AE306">
        <f>step3_validation[[#This Row],[AI_FAC2]]</f>
        <v>9</v>
      </c>
      <c r="AF306">
        <f t="shared" si="116"/>
        <v>0.88888888888888884</v>
      </c>
      <c r="AG306">
        <f>survey_responses[[#This Row],[So với trước đây, tôi thấy cách tính thuế và các bậc thuế trong phương án mới đơn giản, dễ hiểu và dễ thực hiện hơn. - HUMAN-FAC2]]</f>
        <v>6</v>
      </c>
      <c r="AH306">
        <f t="shared" si="117"/>
        <v>0.55555555555555558</v>
      </c>
      <c r="AI306" s="32">
        <f t="shared" si="118"/>
        <v>0.77777777777777768</v>
      </c>
      <c r="AJ306" s="32">
        <f t="shared" si="119"/>
        <v>0.66666666666666674</v>
      </c>
      <c r="AK306">
        <f>step3_validation[[#This Row],[AI_TRU1]]</f>
        <v>8</v>
      </c>
      <c r="AL306">
        <f t="shared" si="120"/>
        <v>0.77777777777777779</v>
      </c>
      <c r="AM306">
        <f>survey_responses[[#This Row],[Tôi tin rằng Nhà nước, cơ quan thuế sẽ thực thi chính sách mới một cách khách quan, công tâm và đối xử bình đẳng với mọi người nộp thuế.  - HUMAN-TRU1]]</f>
        <v>5</v>
      </c>
      <c r="AN306">
        <f t="shared" si="121"/>
        <v>0.44444444444444442</v>
      </c>
      <c r="AO306">
        <f>step3_validation[[#This Row],[AI_TRU2]]</f>
        <v>9</v>
      </c>
      <c r="AP306">
        <f t="shared" si="122"/>
        <v>0.88888888888888884</v>
      </c>
      <c r="AQ306">
        <f>survey_responses[[#This Row],[Tôi thấy mức thuế tôi phải đóng theo phương án mới là công bằng (người thu nhập như tôi đóng mức này là hợp lý). - HUMAN-TRU2]]</f>
        <v>3</v>
      </c>
      <c r="AR306">
        <f t="shared" si="123"/>
        <v>0.22222222222222221</v>
      </c>
      <c r="AS306">
        <f>step3_validation[[#This Row],[AI_TRU3]]</f>
        <v>8</v>
      </c>
      <c r="AT306">
        <f t="shared" si="124"/>
        <v>0.77777777777777779</v>
      </c>
      <c r="AU306">
        <f>survey_responses[[#This Row],[Tôi tin tưởng số tiền thuế tôi đóng sẽ được Nhà nước sử dụng hiệu quả để cải thiện dịch vụ công (y tế, đường xá...). - HUMAN-TRU3]]</f>
        <v>9</v>
      </c>
      <c r="AV306">
        <f t="shared" si="125"/>
        <v>0.88888888888888884</v>
      </c>
      <c r="AW306">
        <f>step3_validation[[#This Row],[AI_TRU4]]</f>
        <v>7</v>
      </c>
      <c r="AX306">
        <f t="shared" si="126"/>
        <v>0.66666666666666663</v>
      </c>
      <c r="AY306">
        <f>survey_responses[[#This Row],[Tôi thấy Nhà nước đã giải thích rõ ràng, minh bạch về lý do và mục tiêu của việc sửa đổi thuế lần này. - HUMAN-TRU4]]</f>
        <v>3</v>
      </c>
      <c r="AZ306">
        <f t="shared" si="127"/>
        <v>0.22222222222222221</v>
      </c>
      <c r="BA306" s="32">
        <f t="shared" si="128"/>
        <v>0.77777777777777768</v>
      </c>
      <c r="BB306" s="32">
        <f t="shared" si="129"/>
        <v>0.44444444444444442</v>
      </c>
      <c r="BC306" s="7">
        <f t="shared" si="130"/>
        <v>0.75925925925925919</v>
      </c>
      <c r="BD306" s="7">
        <f t="shared" si="131"/>
        <v>0.62962962962962965</v>
      </c>
      <c r="BE306">
        <f>step3_validation[[#This Row],[AI_OUT1]]</f>
        <v>9</v>
      </c>
      <c r="BF306">
        <f t="shared" si="132"/>
        <v>0.88888888888888884</v>
      </c>
      <c r="BG306">
        <f>survey_responses[[#This Row],[Sau khi xem xét các quyền lợi và nghĩa vụ, bạn có ủng hộ và tuân thủ chính sách mới hiện nay? - HUMAN-OUT1]]</f>
        <v>4</v>
      </c>
      <c r="BH306">
        <f t="shared" si="133"/>
        <v>0.33333333333333331</v>
      </c>
      <c r="BI306" s="32">
        <f t="shared" si="134"/>
        <v>5</v>
      </c>
    </row>
    <row r="307" spans="1:61" x14ac:dyDescent="0.45">
      <c r="A307" s="30">
        <f>step3_validation[[#This Row],[Persona_ID]]</f>
        <v>306</v>
      </c>
      <c r="B307" s="31">
        <f>step3_validation[[#This Row],[Used_Seed]]</f>
        <v>2331</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66.477976666327947</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7</v>
      </c>
      <c r="R307">
        <f t="shared" si="108"/>
        <v>0.66666666666666663</v>
      </c>
      <c r="S307">
        <f>survey_responses[[#This Row],[Tôi tin rằng với các quy định quản lý thuế hiện nay, hành vi gian lận hoặc trốn thuế sẽ dễ dàng bị phát hiện và xử lý nghiêm. - HUMAN-ENF1]]</f>
        <v>3</v>
      </c>
      <c r="T307">
        <f t="shared" si="109"/>
        <v>0.22222222222222221</v>
      </c>
      <c r="U307">
        <f>step3_validation[[#This Row],[AI_ENF2]]</f>
        <v>6</v>
      </c>
      <c r="V307">
        <f t="shared" si="110"/>
        <v>0.55555555555555558</v>
      </c>
      <c r="W307">
        <f>survey_responses[[#This Row],[Tôi tin rằng Nhà nước, cơ quan thuế có đủ khả năng và công nghệ để phát hiện, xử lý nghiêm các hành vi trốn thuế. - HUMAN-ENF2]]</f>
        <v>8</v>
      </c>
      <c r="X307">
        <f t="shared" si="111"/>
        <v>0.77777777777777779</v>
      </c>
      <c r="Y307" s="32">
        <f t="shared" si="112"/>
        <v>0.61111111111111116</v>
      </c>
      <c r="Z307" s="32">
        <f t="shared" si="113"/>
        <v>0.5</v>
      </c>
      <c r="AA307">
        <f>step3_validation[[#This Row],[AI_FAC1]]</f>
        <v>8</v>
      </c>
      <c r="AB307">
        <f t="shared" si="114"/>
        <v>0.77777777777777779</v>
      </c>
      <c r="AC307">
        <f>survey_responses[[#This Row],[Các thủ tục khai báo thuế VÀ/HOẶC quy trình làm việc với cơ quan thuế đơn giản, tiện lợi, nhanh chóng hơn so với trước đây. - HUMAN-FAC1]]</f>
        <v>8</v>
      </c>
      <c r="AD307">
        <f t="shared" si="115"/>
        <v>0.77777777777777779</v>
      </c>
      <c r="AE307">
        <f>step3_validation[[#This Row],[AI_FAC2]]</f>
        <v>9</v>
      </c>
      <c r="AF307">
        <f t="shared" si="116"/>
        <v>0.88888888888888884</v>
      </c>
      <c r="AG307">
        <f>survey_responses[[#This Row],[So với trước đây, tôi thấy cách tính thuế và các bậc thuế trong phương án mới đơn giản, dễ hiểu và dễ thực hiện hơn. - HUMAN-FAC2]]</f>
        <v>4</v>
      </c>
      <c r="AH307">
        <f t="shared" si="117"/>
        <v>0.33333333333333331</v>
      </c>
      <c r="AI307" s="32">
        <f t="shared" si="118"/>
        <v>0.83333333333333326</v>
      </c>
      <c r="AJ307" s="32">
        <f t="shared" si="119"/>
        <v>0.55555555555555558</v>
      </c>
      <c r="AK307">
        <f>step3_validation[[#This Row],[AI_TRU1]]</f>
        <v>8</v>
      </c>
      <c r="AL307">
        <f t="shared" si="120"/>
        <v>0.77777777777777779</v>
      </c>
      <c r="AM307">
        <f>survey_responses[[#This Row],[Tôi tin rằng Nhà nước, cơ quan thuế sẽ thực thi chính sách mới một cách khách quan, công tâm và đối xử bình đẳng với mọi người nộp thuế.  - HUMAN-TRU1]]</f>
        <v>4</v>
      </c>
      <c r="AN307">
        <f t="shared" si="121"/>
        <v>0.33333333333333331</v>
      </c>
      <c r="AO307">
        <f>step3_validation[[#This Row],[AI_TRU2]]</f>
        <v>9</v>
      </c>
      <c r="AP307">
        <f t="shared" si="122"/>
        <v>0.88888888888888884</v>
      </c>
      <c r="AQ307">
        <f>survey_responses[[#This Row],[Tôi thấy mức thuế tôi phải đóng theo phương án mới là công bằng (người thu nhập như tôi đóng mức này là hợp lý). - HUMAN-TRU2]]</f>
        <v>3</v>
      </c>
      <c r="AR307">
        <f t="shared" si="123"/>
        <v>0.22222222222222221</v>
      </c>
      <c r="AS307">
        <f>step3_validation[[#This Row],[AI_TRU3]]</f>
        <v>7</v>
      </c>
      <c r="AT307">
        <f t="shared" si="124"/>
        <v>0.66666666666666663</v>
      </c>
      <c r="AU307">
        <f>survey_responses[[#This Row],[Tôi tin tưởng số tiền thuế tôi đóng sẽ được Nhà nước sử dụng hiệu quả để cải thiện dịch vụ công (y tế, đường xá...). - HUMAN-TRU3]]</f>
        <v>7</v>
      </c>
      <c r="AV307">
        <f t="shared" si="125"/>
        <v>0.66666666666666663</v>
      </c>
      <c r="AW307">
        <f>step3_validation[[#This Row],[AI_TRU4]]</f>
        <v>8</v>
      </c>
      <c r="AX307">
        <f t="shared" si="126"/>
        <v>0.77777777777777779</v>
      </c>
      <c r="AY307">
        <f>survey_responses[[#This Row],[Tôi thấy Nhà nước đã giải thích rõ ràng, minh bạch về lý do và mục tiêu của việc sửa đổi thuế lần này. - HUMAN-TRU4]]</f>
        <v>5</v>
      </c>
      <c r="AZ307">
        <f t="shared" si="127"/>
        <v>0.44444444444444442</v>
      </c>
      <c r="BA307" s="32">
        <f t="shared" si="128"/>
        <v>0.77777777777777768</v>
      </c>
      <c r="BB307" s="32">
        <f t="shared" si="129"/>
        <v>0.41666666666666669</v>
      </c>
      <c r="BC307" s="7">
        <f t="shared" si="130"/>
        <v>0.74074074074074081</v>
      </c>
      <c r="BD307" s="7">
        <f t="shared" si="131"/>
        <v>0.49074074074074076</v>
      </c>
      <c r="BE307">
        <f>step3_validation[[#This Row],[AI_OUT1]]</f>
        <v>9</v>
      </c>
      <c r="BF307">
        <f t="shared" si="132"/>
        <v>0.88888888888888884</v>
      </c>
      <c r="BG307">
        <f>survey_responses[[#This Row],[Sau khi xem xét các quyền lợi và nghĩa vụ, bạn có ủng hộ và tuân thủ chính sách mới hiện nay? - HUMAN-OUT1]]</f>
        <v>5</v>
      </c>
      <c r="BH307">
        <f t="shared" si="133"/>
        <v>0.44444444444444442</v>
      </c>
      <c r="BI307" s="32">
        <f t="shared" si="134"/>
        <v>4</v>
      </c>
    </row>
    <row r="308" spans="1:61" x14ac:dyDescent="0.45">
      <c r="A308" s="30">
        <f>step3_validation[[#This Row],[Persona_ID]]</f>
        <v>307</v>
      </c>
      <c r="B308" s="31">
        <f>step3_validation[[#This Row],[Used_Seed]]</f>
        <v>2332</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13.118372459798383</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6</v>
      </c>
      <c r="R308">
        <f t="shared" si="108"/>
        <v>0.55555555555555558</v>
      </c>
      <c r="S308">
        <f>survey_responses[[#This Row],[Tôi tin rằng với các quy định quản lý thuế hiện nay, hành vi gian lận hoặc trốn thuế sẽ dễ dàng bị phát hiện và xử lý nghiêm. - HUMAN-ENF1]]</f>
        <v>2</v>
      </c>
      <c r="T308">
        <f t="shared" si="109"/>
        <v>0.1111111111111111</v>
      </c>
      <c r="U308">
        <f>step3_validation[[#This Row],[AI_ENF2]]</f>
        <v>7</v>
      </c>
      <c r="V308">
        <f t="shared" si="110"/>
        <v>0.66666666666666663</v>
      </c>
      <c r="W308">
        <f>survey_responses[[#This Row],[Tôi tin rằng Nhà nước, cơ quan thuế có đủ khả năng và công nghệ để phát hiện, xử lý nghiêm các hành vi trốn thuế. - HUMAN-ENF2]]</f>
        <v>2</v>
      </c>
      <c r="X308">
        <f t="shared" si="111"/>
        <v>0.1111111111111111</v>
      </c>
      <c r="Y308" s="32">
        <f t="shared" si="112"/>
        <v>0.61111111111111116</v>
      </c>
      <c r="Z308" s="32">
        <f t="shared" si="113"/>
        <v>0.1111111111111111</v>
      </c>
      <c r="AA308">
        <f>step3_validation[[#This Row],[AI_FAC1]]</f>
        <v>9</v>
      </c>
      <c r="AB308">
        <f t="shared" si="114"/>
        <v>0.88888888888888884</v>
      </c>
      <c r="AC308">
        <f>survey_responses[[#This Row],[Các thủ tục khai báo thuế VÀ/HOẶC quy trình làm việc với cơ quan thuế đơn giản, tiện lợi, nhanh chóng hơn so với trước đây. - HUMAN-FAC1]]</f>
        <v>2</v>
      </c>
      <c r="AD308">
        <f t="shared" si="115"/>
        <v>0.1111111111111111</v>
      </c>
      <c r="AE308">
        <f>step3_validation[[#This Row],[AI_FAC2]]</f>
        <v>8</v>
      </c>
      <c r="AF308">
        <f t="shared" si="116"/>
        <v>0.77777777777777779</v>
      </c>
      <c r="AG308">
        <f>survey_responses[[#This Row],[So với trước đây, tôi thấy cách tính thuế và các bậc thuế trong phương án mới đơn giản, dễ hiểu và dễ thực hiện hơn. - HUMAN-FAC2]]</f>
        <v>1</v>
      </c>
      <c r="AH308">
        <f t="shared" si="117"/>
        <v>0</v>
      </c>
      <c r="AI308" s="32">
        <f t="shared" si="118"/>
        <v>0.83333333333333326</v>
      </c>
      <c r="AJ308" s="32">
        <f t="shared" si="119"/>
        <v>5.5555555555555552E-2</v>
      </c>
      <c r="AK308">
        <f>step3_validation[[#This Row],[AI_TRU1]]</f>
        <v>7</v>
      </c>
      <c r="AL308">
        <f t="shared" si="120"/>
        <v>0.66666666666666663</v>
      </c>
      <c r="AM308">
        <f>survey_responses[[#This Row],[Tôi tin rằng Nhà nước, cơ quan thuế sẽ thực thi chính sách mới một cách khách quan, công tâm và đối xử bình đẳng với mọi người nộp thuế.  - HUMAN-TRU1]]</f>
        <v>2</v>
      </c>
      <c r="AN308">
        <f t="shared" si="121"/>
        <v>0.1111111111111111</v>
      </c>
      <c r="AO308">
        <f>step3_validation[[#This Row],[AI_TRU2]]</f>
        <v>9</v>
      </c>
      <c r="AP308">
        <f t="shared" si="122"/>
        <v>0.88888888888888884</v>
      </c>
      <c r="AQ308">
        <f>survey_responses[[#This Row],[Tôi thấy mức thuế tôi phải đóng theo phương án mới là công bằng (người thu nhập như tôi đóng mức này là hợp lý). - HUMAN-TRU2]]</f>
        <v>2</v>
      </c>
      <c r="AR308">
        <f t="shared" si="123"/>
        <v>0.1111111111111111</v>
      </c>
      <c r="AS308">
        <f>step3_validation[[#This Row],[AI_TRU3]]</f>
        <v>8</v>
      </c>
      <c r="AT308">
        <f t="shared" si="124"/>
        <v>0.77777777777777779</v>
      </c>
      <c r="AU308">
        <f>survey_responses[[#This Row],[Tôi tin tưởng số tiền thuế tôi đóng sẽ được Nhà nước sử dụng hiệu quả để cải thiện dịch vụ công (y tế, đường xá...). - HUMAN-TRU3]]</f>
        <v>2</v>
      </c>
      <c r="AV308">
        <f t="shared" si="125"/>
        <v>0.1111111111111111</v>
      </c>
      <c r="AW308">
        <f>step3_validation[[#This Row],[AI_TRU4]]</f>
        <v>9</v>
      </c>
      <c r="AX308">
        <f t="shared" si="126"/>
        <v>0.88888888888888884</v>
      </c>
      <c r="AY308">
        <f>survey_responses[[#This Row],[Tôi thấy Nhà nước đã giải thích rõ ràng, minh bạch về lý do và mục tiêu của việc sửa đổi thuế lần này. - HUMAN-TRU4]]</f>
        <v>2</v>
      </c>
      <c r="AZ308">
        <f t="shared" si="127"/>
        <v>0.1111111111111111</v>
      </c>
      <c r="BA308" s="32">
        <f t="shared" si="128"/>
        <v>0.80555555555555547</v>
      </c>
      <c r="BB308" s="32">
        <f t="shared" si="129"/>
        <v>0.1111111111111111</v>
      </c>
      <c r="BC308" s="7">
        <f t="shared" si="130"/>
        <v>0.75</v>
      </c>
      <c r="BD308" s="7">
        <f t="shared" si="131"/>
        <v>9.2592592592592601E-2</v>
      </c>
      <c r="BE308">
        <f>step3_validation[[#This Row],[AI_OUT1]]</f>
        <v>8</v>
      </c>
      <c r="BF308">
        <f t="shared" si="132"/>
        <v>0.77777777777777779</v>
      </c>
      <c r="BG308">
        <f>survey_responses[[#This Row],[Sau khi xem xét các quyền lợi và nghĩa vụ, bạn có ủng hộ và tuân thủ chính sách mới hiện nay? - HUMAN-OUT1]]</f>
        <v>2</v>
      </c>
      <c r="BH308">
        <f t="shared" si="133"/>
        <v>0.1111111111111111</v>
      </c>
      <c r="BI308" s="32">
        <f t="shared" si="134"/>
        <v>6</v>
      </c>
    </row>
    <row r="309" spans="1:61" x14ac:dyDescent="0.45">
      <c r="A309" s="30">
        <f>step3_validation[[#This Row],[Persona_ID]]</f>
        <v>308</v>
      </c>
      <c r="B309" s="31">
        <f>step3_validation[[#This Row],[Used_Seed]]</f>
        <v>2333</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180.15001953069222</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8</v>
      </c>
      <c r="R309">
        <f t="shared" si="108"/>
        <v>0.77777777777777779</v>
      </c>
      <c r="S309">
        <f>survey_responses[[#This Row],[Tôi tin rằng với các quy định quản lý thuế hiện nay, hành vi gian lận hoặc trốn thuế sẽ dễ dàng bị phát hiện và xử lý nghiêm. - HUMAN-ENF1]]</f>
        <v>10</v>
      </c>
      <c r="T309">
        <f t="shared" si="109"/>
        <v>1</v>
      </c>
      <c r="U309">
        <f>step3_validation[[#This Row],[AI_ENF2]]</f>
        <v>9</v>
      </c>
      <c r="V309">
        <f t="shared" si="110"/>
        <v>0.88888888888888884</v>
      </c>
      <c r="W309">
        <f>survey_responses[[#This Row],[Tôi tin rằng Nhà nước, cơ quan thuế có đủ khả năng và công nghệ để phát hiện, xử lý nghiêm các hành vi trốn thuế. - HUMAN-ENF2]]</f>
        <v>8</v>
      </c>
      <c r="X309">
        <f t="shared" si="111"/>
        <v>0.77777777777777779</v>
      </c>
      <c r="Y309" s="32">
        <f t="shared" si="112"/>
        <v>0.83333333333333326</v>
      </c>
      <c r="Z309" s="32">
        <f t="shared" si="113"/>
        <v>0.88888888888888884</v>
      </c>
      <c r="AA309">
        <f>step3_validation[[#This Row],[AI_FAC1]]</f>
        <v>7</v>
      </c>
      <c r="AB309">
        <f t="shared" si="114"/>
        <v>0.66666666666666663</v>
      </c>
      <c r="AC309">
        <f>survey_responses[[#This Row],[Các thủ tục khai báo thuế VÀ/HOẶC quy trình làm việc với cơ quan thuế đơn giản, tiện lợi, nhanh chóng hơn so với trước đây. - HUMAN-FAC1]]</f>
        <v>8</v>
      </c>
      <c r="AD309">
        <f t="shared" si="115"/>
        <v>0.77777777777777779</v>
      </c>
      <c r="AE309">
        <f>step3_validation[[#This Row],[AI_FAC2]]</f>
        <v>9</v>
      </c>
      <c r="AF309">
        <f t="shared" si="116"/>
        <v>0.88888888888888884</v>
      </c>
      <c r="AG309">
        <f>survey_responses[[#This Row],[So với trước đây, tôi thấy cách tính thuế và các bậc thuế trong phương án mới đơn giản, dễ hiểu và dễ thực hiện hơn. - HUMAN-FAC2]]</f>
        <v>8</v>
      </c>
      <c r="AH309">
        <f t="shared" si="117"/>
        <v>0.77777777777777779</v>
      </c>
      <c r="AI309" s="32">
        <f t="shared" si="118"/>
        <v>0.77777777777777768</v>
      </c>
      <c r="AJ309" s="32">
        <f t="shared" si="119"/>
        <v>0.77777777777777779</v>
      </c>
      <c r="AK309">
        <f>step3_validation[[#This Row],[AI_TRU1]]</f>
        <v>9</v>
      </c>
      <c r="AL309">
        <f t="shared" si="120"/>
        <v>0.88888888888888884</v>
      </c>
      <c r="AM309">
        <f>survey_responses[[#This Row],[Tôi tin rằng Nhà nước, cơ quan thuế sẽ thực thi chính sách mới một cách khách quan, công tâm và đối xử bình đẳng với mọi người nộp thuế.  - HUMAN-TRU1]]</f>
        <v>10</v>
      </c>
      <c r="AN309">
        <f t="shared" si="121"/>
        <v>1</v>
      </c>
      <c r="AO309">
        <f>step3_validation[[#This Row],[AI_TRU2]]</f>
        <v>8</v>
      </c>
      <c r="AP309">
        <f t="shared" si="122"/>
        <v>0.77777777777777779</v>
      </c>
      <c r="AQ309">
        <f>survey_responses[[#This Row],[Tôi thấy mức thuế tôi phải đóng theo phương án mới là công bằng (người thu nhập như tôi đóng mức này là hợp lý). - HUMAN-TRU2]]</f>
        <v>10</v>
      </c>
      <c r="AR309">
        <f t="shared" si="123"/>
        <v>1</v>
      </c>
      <c r="AS309">
        <f>step3_validation[[#This Row],[AI_TRU3]]</f>
        <v>9</v>
      </c>
      <c r="AT309">
        <f t="shared" si="124"/>
        <v>0.88888888888888884</v>
      </c>
      <c r="AU309">
        <f>survey_responses[[#This Row],[Tôi tin tưởng số tiền thuế tôi đóng sẽ được Nhà nước sử dụng hiệu quả để cải thiện dịch vụ công (y tế, đường xá...). - HUMAN-TRU3]]</f>
        <v>6</v>
      </c>
      <c r="AV309">
        <f t="shared" si="125"/>
        <v>0.55555555555555558</v>
      </c>
      <c r="AW309">
        <f>step3_validation[[#This Row],[AI_TRU4]]</f>
        <v>8</v>
      </c>
      <c r="AX309">
        <f t="shared" si="126"/>
        <v>0.77777777777777779</v>
      </c>
      <c r="AY309">
        <f>survey_responses[[#This Row],[Tôi thấy Nhà nước đã giải thích rõ ràng, minh bạch về lý do và mục tiêu của việc sửa đổi thuế lần này. - HUMAN-TRU4]]</f>
        <v>8</v>
      </c>
      <c r="AZ309">
        <f t="shared" si="127"/>
        <v>0.77777777777777779</v>
      </c>
      <c r="BA309" s="32">
        <f t="shared" si="128"/>
        <v>0.83333333333333326</v>
      </c>
      <c r="BB309" s="32">
        <f t="shared" si="129"/>
        <v>0.83333333333333326</v>
      </c>
      <c r="BC309" s="7">
        <f t="shared" si="130"/>
        <v>0.81481481481481477</v>
      </c>
      <c r="BD309" s="7">
        <f t="shared" si="131"/>
        <v>0.83333333333333337</v>
      </c>
      <c r="BE309">
        <f>step3_validation[[#This Row],[AI_OUT1]]</f>
        <v>9</v>
      </c>
      <c r="BF309">
        <f t="shared" si="132"/>
        <v>0.88888888888888884</v>
      </c>
      <c r="BG309">
        <f>survey_responses[[#This Row],[Sau khi xem xét các quyền lợi và nghĩa vụ, bạn có ủng hộ và tuân thủ chính sách mới hiện nay? - HUMAN-OUT1]]</f>
        <v>8</v>
      </c>
      <c r="BH309">
        <f t="shared" si="133"/>
        <v>0.77777777777777779</v>
      </c>
      <c r="BI309" s="32">
        <f t="shared" si="134"/>
        <v>1</v>
      </c>
    </row>
    <row r="310" spans="1:61" x14ac:dyDescent="0.45">
      <c r="A310" s="30">
        <f>step3_validation[[#This Row],[Persona_ID]]</f>
        <v>309</v>
      </c>
      <c r="B310" s="31">
        <f>step3_validation[[#This Row],[Used_Seed]]</f>
        <v>2334</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64.845851968529757</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7</v>
      </c>
      <c r="R310">
        <f t="shared" si="108"/>
        <v>0.66666666666666663</v>
      </c>
      <c r="S310">
        <f>survey_responses[[#This Row],[Tôi tin rằng với các quy định quản lý thuế hiện nay, hành vi gian lận hoặc trốn thuế sẽ dễ dàng bị phát hiện và xử lý nghiêm. - HUMAN-ENF1]]</f>
        <v>10</v>
      </c>
      <c r="T310">
        <f t="shared" si="109"/>
        <v>1</v>
      </c>
      <c r="U310">
        <f>step3_validation[[#This Row],[AI_ENF2]]</f>
        <v>8</v>
      </c>
      <c r="V310">
        <f t="shared" si="110"/>
        <v>0.77777777777777779</v>
      </c>
      <c r="W310">
        <f>survey_responses[[#This Row],[Tôi tin rằng Nhà nước, cơ quan thuế có đủ khả năng và công nghệ để phát hiện, xử lý nghiêm các hành vi trốn thuế. - HUMAN-ENF2]]</f>
        <v>10</v>
      </c>
      <c r="X310">
        <f t="shared" si="111"/>
        <v>1</v>
      </c>
      <c r="Y310" s="32">
        <f t="shared" si="112"/>
        <v>0.72222222222222221</v>
      </c>
      <c r="Z310" s="32">
        <f t="shared" si="113"/>
        <v>1</v>
      </c>
      <c r="AA310">
        <f>step3_validation[[#This Row],[AI_FAC1]]</f>
        <v>9</v>
      </c>
      <c r="AB310">
        <f t="shared" si="114"/>
        <v>0.88888888888888884</v>
      </c>
      <c r="AC310">
        <f>survey_responses[[#This Row],[Các thủ tục khai báo thuế VÀ/HOẶC quy trình làm việc với cơ quan thuế đơn giản, tiện lợi, nhanh chóng hơn so với trước đây. - HUMAN-FAC1]]</f>
        <v>10</v>
      </c>
      <c r="AD310">
        <f t="shared" si="115"/>
        <v>1</v>
      </c>
      <c r="AE310">
        <f>step3_validation[[#This Row],[AI_FAC2]]</f>
        <v>10</v>
      </c>
      <c r="AF310">
        <f t="shared" si="116"/>
        <v>1</v>
      </c>
      <c r="AG310">
        <f>survey_responses[[#This Row],[So với trước đây, tôi thấy cách tính thuế và các bậc thuế trong phương án mới đơn giản, dễ hiểu và dễ thực hiện hơn. - HUMAN-FAC2]]</f>
        <v>10</v>
      </c>
      <c r="AH310">
        <f t="shared" si="117"/>
        <v>1</v>
      </c>
      <c r="AI310" s="32">
        <f t="shared" si="118"/>
        <v>0.94444444444444442</v>
      </c>
      <c r="AJ310" s="32">
        <f t="shared" si="119"/>
        <v>1</v>
      </c>
      <c r="AK310">
        <f>step3_validation[[#This Row],[AI_TRU1]]</f>
        <v>9</v>
      </c>
      <c r="AL310">
        <f t="shared" si="120"/>
        <v>0.88888888888888884</v>
      </c>
      <c r="AM310">
        <f>survey_responses[[#This Row],[Tôi tin rằng Nhà nước, cơ quan thuế sẽ thực thi chính sách mới một cách khách quan, công tâm và đối xử bình đẳng với mọi người nộp thuế.  - HUMAN-TRU1]]</f>
        <v>10</v>
      </c>
      <c r="AN310">
        <f t="shared" si="121"/>
        <v>1</v>
      </c>
      <c r="AO310">
        <f>step3_validation[[#This Row],[AI_TRU2]]</f>
        <v>8</v>
      </c>
      <c r="AP310">
        <f t="shared" si="122"/>
        <v>0.77777777777777779</v>
      </c>
      <c r="AQ310">
        <f>survey_responses[[#This Row],[Tôi thấy mức thuế tôi phải đóng theo phương án mới là công bằng (người thu nhập như tôi đóng mức này là hợp lý). - HUMAN-TRU2]]</f>
        <v>9</v>
      </c>
      <c r="AR310">
        <f t="shared" si="123"/>
        <v>0.88888888888888884</v>
      </c>
      <c r="AS310">
        <f>step3_validation[[#This Row],[AI_TRU3]]</f>
        <v>9</v>
      </c>
      <c r="AT310">
        <f t="shared" si="124"/>
        <v>0.88888888888888884</v>
      </c>
      <c r="AU310">
        <f>survey_responses[[#This Row],[Tôi tin tưởng số tiền thuế tôi đóng sẽ được Nhà nước sử dụng hiệu quả để cải thiện dịch vụ công (y tế, đường xá...). - HUMAN-TRU3]]</f>
        <v>9</v>
      </c>
      <c r="AV310">
        <f t="shared" si="125"/>
        <v>0.88888888888888884</v>
      </c>
      <c r="AW310">
        <f>step3_validation[[#This Row],[AI_TRU4]]</f>
        <v>8</v>
      </c>
      <c r="AX310">
        <f t="shared" si="126"/>
        <v>0.77777777777777779</v>
      </c>
      <c r="AY310">
        <f>survey_responses[[#This Row],[Tôi thấy Nhà nước đã giải thích rõ ràng, minh bạch về lý do và mục tiêu của việc sửa đổi thuế lần này. - HUMAN-TRU4]]</f>
        <v>10</v>
      </c>
      <c r="AZ310">
        <f t="shared" si="127"/>
        <v>1</v>
      </c>
      <c r="BA310" s="32">
        <f t="shared" si="128"/>
        <v>0.83333333333333326</v>
      </c>
      <c r="BB310" s="32">
        <f t="shared" si="129"/>
        <v>0.94444444444444442</v>
      </c>
      <c r="BC310" s="7">
        <f t="shared" si="130"/>
        <v>0.83333333333333337</v>
      </c>
      <c r="BD310" s="7">
        <f t="shared" si="131"/>
        <v>0.98148148148148151</v>
      </c>
      <c r="BE310">
        <f>step3_validation[[#This Row],[AI_OUT1]]</f>
        <v>9</v>
      </c>
      <c r="BF310">
        <f t="shared" si="132"/>
        <v>0.88888888888888884</v>
      </c>
      <c r="BG310">
        <f>survey_responses[[#This Row],[Sau khi xem xét các quyền lợi và nghĩa vụ, bạn có ủng hộ và tuân thủ chính sách mới hiện nay? - HUMAN-OUT1]]</f>
        <v>10</v>
      </c>
      <c r="BH310">
        <f t="shared" si="133"/>
        <v>1</v>
      </c>
      <c r="BI310" s="32">
        <f t="shared" si="134"/>
        <v>1</v>
      </c>
    </row>
    <row r="311" spans="1:61" x14ac:dyDescent="0.45">
      <c r="A311" s="30">
        <f>step3_validation[[#This Row],[Persona_ID]]</f>
        <v>310</v>
      </c>
      <c r="B311" s="31">
        <f>step3_validation[[#This Row],[Used_Seed]]</f>
        <v>2335</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21.063525017401624</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6</v>
      </c>
      <c r="R311">
        <f t="shared" si="108"/>
        <v>0.55555555555555558</v>
      </c>
      <c r="S311">
        <f>survey_responses[[#This Row],[Tôi tin rằng với các quy định quản lý thuế hiện nay, hành vi gian lận hoặc trốn thuế sẽ dễ dàng bị phát hiện và xử lý nghiêm. - HUMAN-ENF1]]</f>
        <v>7</v>
      </c>
      <c r="T311">
        <f t="shared" si="109"/>
        <v>0.66666666666666663</v>
      </c>
      <c r="U311">
        <f>step3_validation[[#This Row],[AI_ENF2]]</f>
        <v>6</v>
      </c>
      <c r="V311">
        <f t="shared" si="110"/>
        <v>0.55555555555555558</v>
      </c>
      <c r="W311">
        <f>survey_responses[[#This Row],[Tôi tin rằng Nhà nước, cơ quan thuế có đủ khả năng và công nghệ để phát hiện, xử lý nghiêm các hành vi trốn thuế. - HUMAN-ENF2]]</f>
        <v>7</v>
      </c>
      <c r="X311">
        <f t="shared" si="111"/>
        <v>0.66666666666666663</v>
      </c>
      <c r="Y311" s="32">
        <f t="shared" si="112"/>
        <v>0.55555555555555558</v>
      </c>
      <c r="Z311" s="32">
        <f t="shared" si="113"/>
        <v>0.66666666666666663</v>
      </c>
      <c r="AA311">
        <f>step3_validation[[#This Row],[AI_FAC1]]</f>
        <v>7</v>
      </c>
      <c r="AB311">
        <f t="shared" si="114"/>
        <v>0.66666666666666663</v>
      </c>
      <c r="AC311">
        <f>survey_responses[[#This Row],[Các thủ tục khai báo thuế VÀ/HOẶC quy trình làm việc với cơ quan thuế đơn giản, tiện lợi, nhanh chóng hơn so với trước đây. - HUMAN-FAC1]]</f>
        <v>5</v>
      </c>
      <c r="AD311">
        <f t="shared" si="115"/>
        <v>0.44444444444444442</v>
      </c>
      <c r="AE311">
        <f>step3_validation[[#This Row],[AI_FAC2]]</f>
        <v>8</v>
      </c>
      <c r="AF311">
        <f t="shared" si="116"/>
        <v>0.77777777777777779</v>
      </c>
      <c r="AG311">
        <f>survey_responses[[#This Row],[So với trước đây, tôi thấy cách tính thuế và các bậc thuế trong phương án mới đơn giản, dễ hiểu và dễ thực hiện hơn. - HUMAN-FAC2]]</f>
        <v>8</v>
      </c>
      <c r="AH311">
        <f t="shared" si="117"/>
        <v>0.77777777777777779</v>
      </c>
      <c r="AI311" s="32">
        <f t="shared" si="118"/>
        <v>0.72222222222222221</v>
      </c>
      <c r="AJ311" s="32">
        <f t="shared" si="119"/>
        <v>0.61111111111111116</v>
      </c>
      <c r="AK311">
        <f>step3_validation[[#This Row],[AI_TRU1]]</f>
        <v>7</v>
      </c>
      <c r="AL311">
        <f t="shared" si="120"/>
        <v>0.66666666666666663</v>
      </c>
      <c r="AM311">
        <f>survey_responses[[#This Row],[Tôi tin rằng Nhà nước, cơ quan thuế sẽ thực thi chính sách mới một cách khách quan, công tâm và đối xử bình đẳng với mọi người nộp thuế.  - HUMAN-TRU1]]</f>
        <v>8</v>
      </c>
      <c r="AN311">
        <f t="shared" si="121"/>
        <v>0.77777777777777779</v>
      </c>
      <c r="AO311">
        <f>step3_validation[[#This Row],[AI_TRU2]]</f>
        <v>8</v>
      </c>
      <c r="AP311">
        <f t="shared" si="122"/>
        <v>0.77777777777777779</v>
      </c>
      <c r="AQ311">
        <f>survey_responses[[#This Row],[Tôi thấy mức thuế tôi phải đóng theo phương án mới là công bằng (người thu nhập như tôi đóng mức này là hợp lý). - HUMAN-TRU2]]</f>
        <v>9</v>
      </c>
      <c r="AR311">
        <f t="shared" si="123"/>
        <v>0.88888888888888884</v>
      </c>
      <c r="AS311">
        <f>step3_validation[[#This Row],[AI_TRU3]]</f>
        <v>7</v>
      </c>
      <c r="AT311">
        <f t="shared" si="124"/>
        <v>0.66666666666666663</v>
      </c>
      <c r="AU311">
        <f>survey_responses[[#This Row],[Tôi tin tưởng số tiền thuế tôi đóng sẽ được Nhà nước sử dụng hiệu quả để cải thiện dịch vụ công (y tế, đường xá...). - HUMAN-TRU3]]</f>
        <v>9</v>
      </c>
      <c r="AV311">
        <f t="shared" si="125"/>
        <v>0.88888888888888884</v>
      </c>
      <c r="AW311">
        <f>step3_validation[[#This Row],[AI_TRU4]]</f>
        <v>6</v>
      </c>
      <c r="AX311">
        <f t="shared" si="126"/>
        <v>0.55555555555555558</v>
      </c>
      <c r="AY311">
        <f>survey_responses[[#This Row],[Tôi thấy Nhà nước đã giải thích rõ ràng, minh bạch về lý do và mục tiêu của việc sửa đổi thuế lần này. - HUMAN-TRU4]]</f>
        <v>9</v>
      </c>
      <c r="AZ311">
        <f t="shared" si="127"/>
        <v>0.88888888888888884</v>
      </c>
      <c r="BA311" s="32">
        <f t="shared" si="128"/>
        <v>0.66666666666666674</v>
      </c>
      <c r="BB311" s="32">
        <f t="shared" si="129"/>
        <v>0.86111111111111105</v>
      </c>
      <c r="BC311" s="7">
        <f t="shared" si="130"/>
        <v>0.64814814814814814</v>
      </c>
      <c r="BD311" s="7">
        <f t="shared" si="131"/>
        <v>0.71296296296296291</v>
      </c>
      <c r="BE311">
        <f>step3_validation[[#This Row],[AI_OUT1]]</f>
        <v>7</v>
      </c>
      <c r="BF311">
        <f t="shared" si="132"/>
        <v>0.66666666666666663</v>
      </c>
      <c r="BG311">
        <f>survey_responses[[#This Row],[Sau khi xem xét các quyền lợi và nghĩa vụ, bạn có ủng hộ và tuân thủ chính sách mới hiện nay? - HUMAN-OUT1]]</f>
        <v>10</v>
      </c>
      <c r="BH311">
        <f t="shared" si="133"/>
        <v>1</v>
      </c>
      <c r="BI311" s="32">
        <f t="shared" si="134"/>
        <v>3</v>
      </c>
    </row>
    <row r="312" spans="1:61" x14ac:dyDescent="0.45">
      <c r="A312" s="30">
        <f>step3_validation[[#This Row],[Persona_ID]]</f>
        <v>311</v>
      </c>
      <c r="B312" s="31">
        <f>step3_validation[[#This Row],[Used_Seed]]</f>
        <v>2336</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13.57450705630349</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8</v>
      </c>
      <c r="R312">
        <f t="shared" si="108"/>
        <v>0.77777777777777779</v>
      </c>
      <c r="S312">
        <f>survey_responses[[#This Row],[Tôi tin rằng với các quy định quản lý thuế hiện nay, hành vi gian lận hoặc trốn thuế sẽ dễ dàng bị phát hiện và xử lý nghiêm. - HUMAN-ENF1]]</f>
        <v>6</v>
      </c>
      <c r="T312">
        <f t="shared" si="109"/>
        <v>0.55555555555555558</v>
      </c>
      <c r="U312">
        <f>step3_validation[[#This Row],[AI_ENF2]]</f>
        <v>9</v>
      </c>
      <c r="V312">
        <f t="shared" si="110"/>
        <v>0.88888888888888884</v>
      </c>
      <c r="W312">
        <f>survey_responses[[#This Row],[Tôi tin rằng Nhà nước, cơ quan thuế có đủ khả năng và công nghệ để phát hiện, xử lý nghiêm các hành vi trốn thuế. - HUMAN-ENF2]]</f>
        <v>5</v>
      </c>
      <c r="X312">
        <f t="shared" si="111"/>
        <v>0.44444444444444442</v>
      </c>
      <c r="Y312" s="32">
        <f t="shared" si="112"/>
        <v>0.83333333333333326</v>
      </c>
      <c r="Z312" s="32">
        <f t="shared" si="113"/>
        <v>0.5</v>
      </c>
      <c r="AA312">
        <f>step3_validation[[#This Row],[AI_FAC1]]</f>
        <v>9</v>
      </c>
      <c r="AB312">
        <f t="shared" si="114"/>
        <v>0.88888888888888884</v>
      </c>
      <c r="AC312">
        <f>survey_responses[[#This Row],[Các thủ tục khai báo thuế VÀ/HOẶC quy trình làm việc với cơ quan thuế đơn giản, tiện lợi, nhanh chóng hơn so với trước đây. - HUMAN-FAC1]]</f>
        <v>4</v>
      </c>
      <c r="AD312">
        <f t="shared" si="115"/>
        <v>0.33333333333333331</v>
      </c>
      <c r="AE312">
        <f>step3_validation[[#This Row],[AI_FAC2]]</f>
        <v>8</v>
      </c>
      <c r="AF312">
        <f t="shared" si="116"/>
        <v>0.77777777777777779</v>
      </c>
      <c r="AG312">
        <f>survey_responses[[#This Row],[So với trước đây, tôi thấy cách tính thuế và các bậc thuế trong phương án mới đơn giản, dễ hiểu và dễ thực hiện hơn. - HUMAN-FAC2]]</f>
        <v>7</v>
      </c>
      <c r="AH312">
        <f t="shared" si="117"/>
        <v>0.66666666666666663</v>
      </c>
      <c r="AI312" s="32">
        <f t="shared" si="118"/>
        <v>0.83333333333333326</v>
      </c>
      <c r="AJ312" s="32">
        <f t="shared" si="119"/>
        <v>0.5</v>
      </c>
      <c r="AK312">
        <f>step3_validation[[#This Row],[AI_TRU1]]</f>
        <v>9</v>
      </c>
      <c r="AL312">
        <f t="shared" si="120"/>
        <v>0.88888888888888884</v>
      </c>
      <c r="AM312">
        <f>survey_responses[[#This Row],[Tôi tin rằng Nhà nước, cơ quan thuế sẽ thực thi chính sách mới một cách khách quan, công tâm và đối xử bình đẳng với mọi người nộp thuế.  - HUMAN-TRU1]]</f>
        <v>5</v>
      </c>
      <c r="AN312">
        <f t="shared" si="121"/>
        <v>0.44444444444444442</v>
      </c>
      <c r="AO312">
        <f>step3_validation[[#This Row],[AI_TRU2]]</f>
        <v>8</v>
      </c>
      <c r="AP312">
        <f t="shared" si="122"/>
        <v>0.77777777777777779</v>
      </c>
      <c r="AQ312">
        <f>survey_responses[[#This Row],[Tôi thấy mức thuế tôi phải đóng theo phương án mới là công bằng (người thu nhập như tôi đóng mức này là hợp lý). - HUMAN-TRU2]]</f>
        <v>6</v>
      </c>
      <c r="AR312">
        <f t="shared" si="123"/>
        <v>0.55555555555555558</v>
      </c>
      <c r="AS312">
        <f>step3_validation[[#This Row],[AI_TRU3]]</f>
        <v>9</v>
      </c>
      <c r="AT312">
        <f t="shared" si="124"/>
        <v>0.88888888888888884</v>
      </c>
      <c r="AU312">
        <f>survey_responses[[#This Row],[Tôi tin tưởng số tiền thuế tôi đóng sẽ được Nhà nước sử dụng hiệu quả để cải thiện dịch vụ công (y tế, đường xá...). - HUMAN-TRU3]]</f>
        <v>6</v>
      </c>
      <c r="AV312">
        <f t="shared" si="125"/>
        <v>0.55555555555555558</v>
      </c>
      <c r="AW312">
        <f>step3_validation[[#This Row],[AI_TRU4]]</f>
        <v>8</v>
      </c>
      <c r="AX312">
        <f t="shared" si="126"/>
        <v>0.77777777777777779</v>
      </c>
      <c r="AY312">
        <f>survey_responses[[#This Row],[Tôi thấy Nhà nước đã giải thích rõ ràng, minh bạch về lý do và mục tiêu của việc sửa đổi thuế lần này. - HUMAN-TRU4]]</f>
        <v>7</v>
      </c>
      <c r="AZ312">
        <f t="shared" si="127"/>
        <v>0.66666666666666663</v>
      </c>
      <c r="BA312" s="32">
        <f t="shared" si="128"/>
        <v>0.83333333333333326</v>
      </c>
      <c r="BB312" s="32">
        <f t="shared" si="129"/>
        <v>0.55555555555555558</v>
      </c>
      <c r="BC312" s="7">
        <f t="shared" si="130"/>
        <v>0.83333333333333337</v>
      </c>
      <c r="BD312" s="7">
        <f t="shared" si="131"/>
        <v>0.51851851851851849</v>
      </c>
      <c r="BE312">
        <f>step3_validation[[#This Row],[AI_OUT1]]</f>
        <v>9</v>
      </c>
      <c r="BF312">
        <f t="shared" si="132"/>
        <v>0.88888888888888884</v>
      </c>
      <c r="BG312">
        <f>survey_responses[[#This Row],[Sau khi xem xét các quyền lợi và nghĩa vụ, bạn có ủng hộ và tuân thủ chính sách mới hiện nay? - HUMAN-OUT1]]</f>
        <v>7</v>
      </c>
      <c r="BH312">
        <f t="shared" si="133"/>
        <v>0.66666666666666663</v>
      </c>
      <c r="BI312" s="32">
        <f t="shared" si="134"/>
        <v>2</v>
      </c>
    </row>
    <row r="313" spans="1:61" x14ac:dyDescent="0.45">
      <c r="A313" s="30">
        <f>step3_validation[[#This Row],[Persona_ID]]</f>
        <v>312</v>
      </c>
      <c r="B313" s="31">
        <f>step3_validation[[#This Row],[Used_Seed]]</f>
        <v>2337</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20.777676159732167</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7</v>
      </c>
      <c r="R313">
        <f t="shared" si="108"/>
        <v>0.66666666666666663</v>
      </c>
      <c r="S313">
        <f>survey_responses[[#This Row],[Tôi tin rằng với các quy định quản lý thuế hiện nay, hành vi gian lận hoặc trốn thuế sẽ dễ dàng bị phát hiện và xử lý nghiêm. - HUMAN-ENF1]]</f>
        <v>8</v>
      </c>
      <c r="T313">
        <f t="shared" si="109"/>
        <v>0.77777777777777779</v>
      </c>
      <c r="U313">
        <f>step3_validation[[#This Row],[AI_ENF2]]</f>
        <v>6</v>
      </c>
      <c r="V313">
        <f t="shared" si="110"/>
        <v>0.55555555555555558</v>
      </c>
      <c r="W313">
        <f>survey_responses[[#This Row],[Tôi tin rằng Nhà nước, cơ quan thuế có đủ khả năng và công nghệ để phát hiện, xử lý nghiêm các hành vi trốn thuế. - HUMAN-ENF2]]</f>
        <v>9</v>
      </c>
      <c r="X313">
        <f t="shared" si="111"/>
        <v>0.88888888888888884</v>
      </c>
      <c r="Y313" s="32">
        <f t="shared" si="112"/>
        <v>0.61111111111111116</v>
      </c>
      <c r="Z313" s="32">
        <f t="shared" si="113"/>
        <v>0.83333333333333326</v>
      </c>
      <c r="AA313">
        <f>step3_validation[[#This Row],[AI_FAC1]]</f>
        <v>8</v>
      </c>
      <c r="AB313">
        <f t="shared" si="114"/>
        <v>0.77777777777777779</v>
      </c>
      <c r="AC313">
        <f>survey_responses[[#This Row],[Các thủ tục khai báo thuế VÀ/HOẶC quy trình làm việc với cơ quan thuế đơn giản, tiện lợi, nhanh chóng hơn so với trước đây. - HUMAN-FAC1]]</f>
        <v>10</v>
      </c>
      <c r="AD313">
        <f t="shared" si="115"/>
        <v>1</v>
      </c>
      <c r="AE313">
        <f>step3_validation[[#This Row],[AI_FAC2]]</f>
        <v>9</v>
      </c>
      <c r="AF313">
        <f t="shared" si="116"/>
        <v>0.88888888888888884</v>
      </c>
      <c r="AG313">
        <f>survey_responses[[#This Row],[So với trước đây, tôi thấy cách tính thuế và các bậc thuế trong phương án mới đơn giản, dễ hiểu và dễ thực hiện hơn. - HUMAN-FAC2]]</f>
        <v>10</v>
      </c>
      <c r="AH313">
        <f t="shared" si="117"/>
        <v>1</v>
      </c>
      <c r="AI313" s="32">
        <f t="shared" si="118"/>
        <v>0.83333333333333326</v>
      </c>
      <c r="AJ313" s="32">
        <f t="shared" si="119"/>
        <v>1</v>
      </c>
      <c r="AK313">
        <f>step3_validation[[#This Row],[AI_TRU1]]</f>
        <v>6</v>
      </c>
      <c r="AL313">
        <f t="shared" si="120"/>
        <v>0.55555555555555558</v>
      </c>
      <c r="AM313">
        <f>survey_responses[[#This Row],[Tôi tin rằng Nhà nước, cơ quan thuế sẽ thực thi chính sách mới một cách khách quan, công tâm và đối xử bình đẳng với mọi người nộp thuế.  - HUMAN-TRU1]]</f>
        <v>8</v>
      </c>
      <c r="AN313">
        <f t="shared" si="121"/>
        <v>0.77777777777777779</v>
      </c>
      <c r="AO313">
        <f>step3_validation[[#This Row],[AI_TRU2]]</f>
        <v>8</v>
      </c>
      <c r="AP313">
        <f t="shared" si="122"/>
        <v>0.77777777777777779</v>
      </c>
      <c r="AQ313">
        <f>survey_responses[[#This Row],[Tôi thấy mức thuế tôi phải đóng theo phương án mới là công bằng (người thu nhập như tôi đóng mức này là hợp lý). - HUMAN-TRU2]]</f>
        <v>9</v>
      </c>
      <c r="AR313">
        <f t="shared" si="123"/>
        <v>0.88888888888888884</v>
      </c>
      <c r="AS313">
        <f>step3_validation[[#This Row],[AI_TRU3]]</f>
        <v>7</v>
      </c>
      <c r="AT313">
        <f t="shared" si="124"/>
        <v>0.66666666666666663</v>
      </c>
      <c r="AU313">
        <f>survey_responses[[#This Row],[Tôi tin tưởng số tiền thuế tôi đóng sẽ được Nhà nước sử dụng hiệu quả để cải thiện dịch vụ công (y tế, đường xá...). - HUMAN-TRU3]]</f>
        <v>8</v>
      </c>
      <c r="AV313">
        <f t="shared" si="125"/>
        <v>0.77777777777777779</v>
      </c>
      <c r="AW313">
        <f>step3_validation[[#This Row],[AI_TRU4]]</f>
        <v>5</v>
      </c>
      <c r="AX313">
        <f t="shared" si="126"/>
        <v>0.44444444444444442</v>
      </c>
      <c r="AY313">
        <f>survey_responses[[#This Row],[Tôi thấy Nhà nước đã giải thích rõ ràng, minh bạch về lý do và mục tiêu của việc sửa đổi thuế lần này. - HUMAN-TRU4]]</f>
        <v>8</v>
      </c>
      <c r="AZ313">
        <f t="shared" si="127"/>
        <v>0.77777777777777779</v>
      </c>
      <c r="BA313" s="32">
        <f t="shared" si="128"/>
        <v>0.61111111111111116</v>
      </c>
      <c r="BB313" s="32">
        <f t="shared" si="129"/>
        <v>0.80555555555555547</v>
      </c>
      <c r="BC313" s="7">
        <f t="shared" si="130"/>
        <v>0.68518518518518512</v>
      </c>
      <c r="BD313" s="7">
        <f t="shared" si="131"/>
        <v>0.87962962962962965</v>
      </c>
      <c r="BE313">
        <f>step3_validation[[#This Row],[AI_OUT1]]</f>
        <v>8</v>
      </c>
      <c r="BF313">
        <f t="shared" si="132"/>
        <v>0.77777777777777779</v>
      </c>
      <c r="BG313">
        <f>survey_responses[[#This Row],[Sau khi xem xét các quyền lợi và nghĩa vụ, bạn có ủng hộ và tuân thủ chính sách mới hiện nay? - HUMAN-OUT1]]</f>
        <v>10</v>
      </c>
      <c r="BH313">
        <f t="shared" si="133"/>
        <v>1</v>
      </c>
      <c r="BI313" s="32">
        <f t="shared" si="134"/>
        <v>2</v>
      </c>
    </row>
    <row r="314" spans="1:61" x14ac:dyDescent="0.45">
      <c r="A314" s="30">
        <f>step3_validation[[#This Row],[Persona_ID]]</f>
        <v>313</v>
      </c>
      <c r="B314" s="31">
        <f>step3_validation[[#This Row],[Used_Seed]]</f>
        <v>2338</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12.81653958565153</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9</v>
      </c>
      <c r="R314">
        <f t="shared" si="108"/>
        <v>0.88888888888888884</v>
      </c>
      <c r="S314">
        <f>survey_responses[[#This Row],[Tôi tin rằng với các quy định quản lý thuế hiện nay, hành vi gian lận hoặc trốn thuế sẽ dễ dàng bị phát hiện và xử lý nghiêm. - HUMAN-ENF1]]</f>
        <v>6</v>
      </c>
      <c r="T314">
        <f t="shared" si="109"/>
        <v>0.55555555555555558</v>
      </c>
      <c r="U314">
        <f>step3_validation[[#This Row],[AI_ENF2]]</f>
        <v>8</v>
      </c>
      <c r="V314">
        <f t="shared" si="110"/>
        <v>0.77777777777777779</v>
      </c>
      <c r="W314">
        <f>survey_responses[[#This Row],[Tôi tin rằng Nhà nước, cơ quan thuế có đủ khả năng và công nghệ để phát hiện, xử lý nghiêm các hành vi trốn thuế. - HUMAN-ENF2]]</f>
        <v>6</v>
      </c>
      <c r="X314">
        <f t="shared" si="111"/>
        <v>0.55555555555555558</v>
      </c>
      <c r="Y314" s="32">
        <f t="shared" si="112"/>
        <v>0.83333333333333326</v>
      </c>
      <c r="Z314" s="32">
        <f t="shared" si="113"/>
        <v>0.55555555555555558</v>
      </c>
      <c r="AA314">
        <f>step3_validation[[#This Row],[AI_FAC1]]</f>
        <v>9</v>
      </c>
      <c r="AB314">
        <f t="shared" si="114"/>
        <v>0.88888888888888884</v>
      </c>
      <c r="AC314">
        <f>survey_responses[[#This Row],[Các thủ tục khai báo thuế VÀ/HOẶC quy trình làm việc với cơ quan thuế đơn giản, tiện lợi, nhanh chóng hơn so với trước đây. - HUMAN-FAC1]]</f>
        <v>7</v>
      </c>
      <c r="AD314">
        <f t="shared" si="115"/>
        <v>0.66666666666666663</v>
      </c>
      <c r="AE314">
        <f>step3_validation[[#This Row],[AI_FAC2]]</f>
        <v>9</v>
      </c>
      <c r="AF314">
        <f t="shared" si="116"/>
        <v>0.88888888888888884</v>
      </c>
      <c r="AG314">
        <f>survey_responses[[#This Row],[So với trước đây, tôi thấy cách tính thuế và các bậc thuế trong phương án mới đơn giản, dễ hiểu và dễ thực hiện hơn. - HUMAN-FAC2]]</f>
        <v>7</v>
      </c>
      <c r="AH314">
        <f t="shared" si="117"/>
        <v>0.66666666666666663</v>
      </c>
      <c r="AI314" s="32">
        <f t="shared" si="118"/>
        <v>0.88888888888888884</v>
      </c>
      <c r="AJ314" s="32">
        <f t="shared" si="119"/>
        <v>0.66666666666666663</v>
      </c>
      <c r="AK314">
        <f>step3_validation[[#This Row],[AI_TRU1]]</f>
        <v>7</v>
      </c>
      <c r="AL314">
        <f t="shared" si="120"/>
        <v>0.66666666666666663</v>
      </c>
      <c r="AM314">
        <f>survey_responses[[#This Row],[Tôi tin rằng Nhà nước, cơ quan thuế sẽ thực thi chính sách mới một cách khách quan, công tâm và đối xử bình đẳng với mọi người nộp thuế.  - HUMAN-TRU1]]</f>
        <v>7</v>
      </c>
      <c r="AN314">
        <f t="shared" si="121"/>
        <v>0.66666666666666663</v>
      </c>
      <c r="AO314">
        <f>step3_validation[[#This Row],[AI_TRU2]]</f>
        <v>9</v>
      </c>
      <c r="AP314">
        <f t="shared" si="122"/>
        <v>0.88888888888888884</v>
      </c>
      <c r="AQ314">
        <f>survey_responses[[#This Row],[Tôi thấy mức thuế tôi phải đóng theo phương án mới là công bằng (người thu nhập như tôi đóng mức này là hợp lý). - HUMAN-TRU2]]</f>
        <v>8</v>
      </c>
      <c r="AR314">
        <f t="shared" si="123"/>
        <v>0.77777777777777779</v>
      </c>
      <c r="AS314">
        <f>step3_validation[[#This Row],[AI_TRU3]]</f>
        <v>8</v>
      </c>
      <c r="AT314">
        <f t="shared" si="124"/>
        <v>0.77777777777777779</v>
      </c>
      <c r="AU314">
        <f>survey_responses[[#This Row],[Tôi tin tưởng số tiền thuế tôi đóng sẽ được Nhà nước sử dụng hiệu quả để cải thiện dịch vụ công (y tế, đường xá...). - HUMAN-TRU3]]</f>
        <v>5</v>
      </c>
      <c r="AV314">
        <f t="shared" si="125"/>
        <v>0.44444444444444442</v>
      </c>
      <c r="AW314">
        <f>step3_validation[[#This Row],[AI_TRU4]]</f>
        <v>7</v>
      </c>
      <c r="AX314">
        <f t="shared" si="126"/>
        <v>0.66666666666666663</v>
      </c>
      <c r="AY314">
        <f>survey_responses[[#This Row],[Tôi thấy Nhà nước đã giải thích rõ ràng, minh bạch về lý do và mục tiêu của việc sửa đổi thuế lần này. - HUMAN-TRU4]]</f>
        <v>5</v>
      </c>
      <c r="AZ314">
        <f t="shared" si="127"/>
        <v>0.44444444444444442</v>
      </c>
      <c r="BA314" s="32">
        <f t="shared" si="128"/>
        <v>0.74999999999999989</v>
      </c>
      <c r="BB314" s="32">
        <f t="shared" si="129"/>
        <v>0.58333333333333326</v>
      </c>
      <c r="BC314" s="7">
        <f t="shared" si="130"/>
        <v>0.82407407407407396</v>
      </c>
      <c r="BD314" s="7">
        <f t="shared" si="131"/>
        <v>0.60185185185185186</v>
      </c>
      <c r="BE314">
        <f>step3_validation[[#This Row],[AI_OUT1]]</f>
        <v>8</v>
      </c>
      <c r="BF314">
        <f t="shared" si="132"/>
        <v>0.77777777777777779</v>
      </c>
      <c r="BG314">
        <f>survey_responses[[#This Row],[Sau khi xem xét các quyền lợi và nghĩa vụ, bạn có ủng hộ và tuân thủ chính sách mới hiện nay? - HUMAN-OUT1]]</f>
        <v>8</v>
      </c>
      <c r="BH314">
        <f t="shared" si="133"/>
        <v>0.77777777777777779</v>
      </c>
      <c r="BI314" s="32">
        <f t="shared" si="134"/>
        <v>0</v>
      </c>
    </row>
    <row r="315" spans="1:61" x14ac:dyDescent="0.45">
      <c r="A315" s="30">
        <f>step3_validation[[#This Row],[Persona_ID]]</f>
        <v>314</v>
      </c>
      <c r="B315" s="31">
        <f>step3_validation[[#This Row],[Used_Seed]]</f>
        <v>2339</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14.941510733534926</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7</v>
      </c>
      <c r="R315">
        <f t="shared" si="108"/>
        <v>0.66666666666666663</v>
      </c>
      <c r="S315">
        <f>survey_responses[[#This Row],[Tôi tin rằng với các quy định quản lý thuế hiện nay, hành vi gian lận hoặc trốn thuế sẽ dễ dàng bị phát hiện và xử lý nghiêm. - HUMAN-ENF1]]</f>
        <v>7</v>
      </c>
      <c r="T315">
        <f t="shared" si="109"/>
        <v>0.66666666666666663</v>
      </c>
      <c r="U315">
        <f>step3_validation[[#This Row],[AI_ENF2]]</f>
        <v>6</v>
      </c>
      <c r="V315">
        <f t="shared" si="110"/>
        <v>0.55555555555555558</v>
      </c>
      <c r="W315">
        <f>survey_responses[[#This Row],[Tôi tin rằng Nhà nước, cơ quan thuế có đủ khả năng và công nghệ để phát hiện, xử lý nghiêm các hành vi trốn thuế. - HUMAN-ENF2]]</f>
        <v>8</v>
      </c>
      <c r="X315">
        <f t="shared" si="111"/>
        <v>0.77777777777777779</v>
      </c>
      <c r="Y315" s="32">
        <f t="shared" si="112"/>
        <v>0.61111111111111116</v>
      </c>
      <c r="Z315" s="32">
        <f t="shared" si="113"/>
        <v>0.72222222222222221</v>
      </c>
      <c r="AA315">
        <f>step3_validation[[#This Row],[AI_FAC1]]</f>
        <v>8</v>
      </c>
      <c r="AB315">
        <f t="shared" si="114"/>
        <v>0.77777777777777779</v>
      </c>
      <c r="AC315">
        <f>survey_responses[[#This Row],[Các thủ tục khai báo thuế VÀ/HOẶC quy trình làm việc với cơ quan thuế đơn giản, tiện lợi, nhanh chóng hơn so với trước đây. - HUMAN-FAC1]]</f>
        <v>8</v>
      </c>
      <c r="AD315">
        <f t="shared" si="115"/>
        <v>0.77777777777777779</v>
      </c>
      <c r="AE315">
        <f>step3_validation[[#This Row],[AI_FAC2]]</f>
        <v>9</v>
      </c>
      <c r="AF315">
        <f t="shared" si="116"/>
        <v>0.88888888888888884</v>
      </c>
      <c r="AG315">
        <f>survey_responses[[#This Row],[So với trước đây, tôi thấy cách tính thuế và các bậc thuế trong phương án mới đơn giản, dễ hiểu và dễ thực hiện hơn. - HUMAN-FAC2]]</f>
        <v>8</v>
      </c>
      <c r="AH315">
        <f t="shared" si="117"/>
        <v>0.77777777777777779</v>
      </c>
      <c r="AI315" s="32">
        <f t="shared" si="118"/>
        <v>0.83333333333333326</v>
      </c>
      <c r="AJ315" s="32">
        <f t="shared" si="119"/>
        <v>0.77777777777777779</v>
      </c>
      <c r="AK315">
        <f>step3_validation[[#This Row],[AI_TRU1]]</f>
        <v>8</v>
      </c>
      <c r="AL315">
        <f t="shared" si="120"/>
        <v>0.77777777777777779</v>
      </c>
      <c r="AM315">
        <f>survey_responses[[#This Row],[Tôi tin rằng Nhà nước, cơ quan thuế sẽ thực thi chính sách mới một cách khách quan, công tâm và đối xử bình đẳng với mọi người nộp thuế.  - HUMAN-TRU1]]</f>
        <v>5</v>
      </c>
      <c r="AN315">
        <f t="shared" si="121"/>
        <v>0.44444444444444442</v>
      </c>
      <c r="AO315">
        <f>step3_validation[[#This Row],[AI_TRU2]]</f>
        <v>9</v>
      </c>
      <c r="AP315">
        <f t="shared" si="122"/>
        <v>0.88888888888888884</v>
      </c>
      <c r="AQ315">
        <f>survey_responses[[#This Row],[Tôi thấy mức thuế tôi phải đóng theo phương án mới là công bằng (người thu nhập như tôi đóng mức này là hợp lý). - HUMAN-TRU2]]</f>
        <v>8</v>
      </c>
      <c r="AR315">
        <f t="shared" si="123"/>
        <v>0.77777777777777779</v>
      </c>
      <c r="AS315">
        <f>step3_validation[[#This Row],[AI_TRU3]]</f>
        <v>8</v>
      </c>
      <c r="AT315">
        <f t="shared" si="124"/>
        <v>0.77777777777777779</v>
      </c>
      <c r="AU315">
        <f>survey_responses[[#This Row],[Tôi tin tưởng số tiền thuế tôi đóng sẽ được Nhà nước sử dụng hiệu quả để cải thiện dịch vụ công (y tế, đường xá...). - HUMAN-TRU3]]</f>
        <v>6</v>
      </c>
      <c r="AV315">
        <f t="shared" si="125"/>
        <v>0.55555555555555558</v>
      </c>
      <c r="AW315">
        <f>step3_validation[[#This Row],[AI_TRU4]]</f>
        <v>7</v>
      </c>
      <c r="AX315">
        <f t="shared" si="126"/>
        <v>0.66666666666666663</v>
      </c>
      <c r="AY315">
        <f>survey_responses[[#This Row],[Tôi thấy Nhà nước đã giải thích rõ ràng, minh bạch về lý do và mục tiêu của việc sửa đổi thuế lần này. - HUMAN-TRU4]]</f>
        <v>6</v>
      </c>
      <c r="AZ315">
        <f t="shared" si="127"/>
        <v>0.55555555555555558</v>
      </c>
      <c r="BA315" s="32">
        <f t="shared" si="128"/>
        <v>0.77777777777777768</v>
      </c>
      <c r="BB315" s="32">
        <f t="shared" si="129"/>
        <v>0.58333333333333337</v>
      </c>
      <c r="BC315" s="7">
        <f t="shared" si="130"/>
        <v>0.74074074074074081</v>
      </c>
      <c r="BD315" s="7">
        <f t="shared" si="131"/>
        <v>0.69444444444444453</v>
      </c>
      <c r="BE315">
        <f>step3_validation[[#This Row],[AI_OUT1]]</f>
        <v>9</v>
      </c>
      <c r="BF315">
        <f t="shared" si="132"/>
        <v>0.88888888888888884</v>
      </c>
      <c r="BG315">
        <f>survey_responses[[#This Row],[Sau khi xem xét các quyền lợi và nghĩa vụ, bạn có ủng hộ và tuân thủ chính sách mới hiện nay? - HUMAN-OUT1]]</f>
        <v>8</v>
      </c>
      <c r="BH315">
        <f t="shared" si="133"/>
        <v>0.77777777777777779</v>
      </c>
      <c r="BI315" s="32">
        <f t="shared" si="134"/>
        <v>1</v>
      </c>
    </row>
    <row r="316" spans="1:61" x14ac:dyDescent="0.45">
      <c r="A316" s="30">
        <f>step3_validation[[#This Row],[Persona_ID]]</f>
        <v>315</v>
      </c>
      <c r="B316" s="31">
        <f>step3_validation[[#This Row],[Used_Seed]]</f>
        <v>2340</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18.147151481633205</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6</v>
      </c>
      <c r="R316">
        <f t="shared" si="108"/>
        <v>0.55555555555555558</v>
      </c>
      <c r="S316">
        <f>survey_responses[[#This Row],[Tôi tin rằng với các quy định quản lý thuế hiện nay, hành vi gian lận hoặc trốn thuế sẽ dễ dàng bị phát hiện và xử lý nghiêm. - HUMAN-ENF1]]</f>
        <v>4</v>
      </c>
      <c r="T316">
        <f t="shared" si="109"/>
        <v>0.33333333333333331</v>
      </c>
      <c r="U316">
        <f>step3_validation[[#This Row],[AI_ENF2]]</f>
        <v>8</v>
      </c>
      <c r="V316">
        <f t="shared" si="110"/>
        <v>0.77777777777777779</v>
      </c>
      <c r="W316">
        <f>survey_responses[[#This Row],[Tôi tin rằng Nhà nước, cơ quan thuế có đủ khả năng và công nghệ để phát hiện, xử lý nghiêm các hành vi trốn thuế. - HUMAN-ENF2]]</f>
        <v>5</v>
      </c>
      <c r="X316">
        <f t="shared" si="111"/>
        <v>0.44444444444444442</v>
      </c>
      <c r="Y316" s="32">
        <f t="shared" si="112"/>
        <v>0.66666666666666674</v>
      </c>
      <c r="Z316" s="32">
        <f t="shared" si="113"/>
        <v>0.38888888888888884</v>
      </c>
      <c r="AA316">
        <f>step3_validation[[#This Row],[AI_FAC1]]</f>
        <v>7</v>
      </c>
      <c r="AB316">
        <f t="shared" si="114"/>
        <v>0.66666666666666663</v>
      </c>
      <c r="AC316">
        <f>survey_responses[[#This Row],[Các thủ tục khai báo thuế VÀ/HOẶC quy trình làm việc với cơ quan thuế đơn giản, tiện lợi, nhanh chóng hơn so với trước đây. - HUMAN-FAC1]]</f>
        <v>5</v>
      </c>
      <c r="AD316">
        <f t="shared" si="115"/>
        <v>0.44444444444444442</v>
      </c>
      <c r="AE316">
        <f>step3_validation[[#This Row],[AI_FAC2]]</f>
        <v>8</v>
      </c>
      <c r="AF316">
        <f t="shared" si="116"/>
        <v>0.77777777777777779</v>
      </c>
      <c r="AG316">
        <f>survey_responses[[#This Row],[So với trước đây, tôi thấy cách tính thuế và các bậc thuế trong phương án mới đơn giản, dễ hiểu và dễ thực hiện hơn. - HUMAN-FAC2]]</f>
        <v>7</v>
      </c>
      <c r="AH316">
        <f t="shared" si="117"/>
        <v>0.66666666666666663</v>
      </c>
      <c r="AI316" s="32">
        <f t="shared" si="118"/>
        <v>0.72222222222222221</v>
      </c>
      <c r="AJ316" s="32">
        <f t="shared" si="119"/>
        <v>0.55555555555555558</v>
      </c>
      <c r="AK316">
        <f>step3_validation[[#This Row],[AI_TRU1]]</f>
        <v>6</v>
      </c>
      <c r="AL316">
        <f t="shared" si="120"/>
        <v>0.55555555555555558</v>
      </c>
      <c r="AM316">
        <f>survey_responses[[#This Row],[Tôi tin rằng Nhà nước, cơ quan thuế sẽ thực thi chính sách mới một cách khách quan, công tâm và đối xử bình đẳng với mọi người nộp thuế.  - HUMAN-TRU1]]</f>
        <v>5</v>
      </c>
      <c r="AN316">
        <f t="shared" si="121"/>
        <v>0.44444444444444442</v>
      </c>
      <c r="AO316">
        <f>step3_validation[[#This Row],[AI_TRU2]]</f>
        <v>9</v>
      </c>
      <c r="AP316">
        <f t="shared" si="122"/>
        <v>0.88888888888888884</v>
      </c>
      <c r="AQ316">
        <f>survey_responses[[#This Row],[Tôi thấy mức thuế tôi phải đóng theo phương án mới là công bằng (người thu nhập như tôi đóng mức này là hợp lý). - HUMAN-TRU2]]</f>
        <v>8</v>
      </c>
      <c r="AR316">
        <f t="shared" si="123"/>
        <v>0.77777777777777779</v>
      </c>
      <c r="AS316">
        <f>step3_validation[[#This Row],[AI_TRU3]]</f>
        <v>6</v>
      </c>
      <c r="AT316">
        <f t="shared" si="124"/>
        <v>0.55555555555555558</v>
      </c>
      <c r="AU316">
        <f>survey_responses[[#This Row],[Tôi tin tưởng số tiền thuế tôi đóng sẽ được Nhà nước sử dụng hiệu quả để cải thiện dịch vụ công (y tế, đường xá...). - HUMAN-TRU3]]</f>
        <v>5</v>
      </c>
      <c r="AV316">
        <f t="shared" si="125"/>
        <v>0.44444444444444442</v>
      </c>
      <c r="AW316">
        <f>step3_validation[[#This Row],[AI_TRU4]]</f>
        <v>7</v>
      </c>
      <c r="AX316">
        <f t="shared" si="126"/>
        <v>0.66666666666666663</v>
      </c>
      <c r="AY316">
        <f>survey_responses[[#This Row],[Tôi thấy Nhà nước đã giải thích rõ ràng, minh bạch về lý do và mục tiêu của việc sửa đổi thuế lần này. - HUMAN-TRU4]]</f>
        <v>6</v>
      </c>
      <c r="AZ316">
        <f t="shared" si="127"/>
        <v>0.55555555555555558</v>
      </c>
      <c r="BA316" s="32">
        <f t="shared" si="128"/>
        <v>0.66666666666666663</v>
      </c>
      <c r="BB316" s="32">
        <f t="shared" si="129"/>
        <v>0.55555555555555558</v>
      </c>
      <c r="BC316" s="7">
        <f t="shared" si="130"/>
        <v>0.68518518518518512</v>
      </c>
      <c r="BD316" s="7">
        <f t="shared" si="131"/>
        <v>0.5</v>
      </c>
      <c r="BE316">
        <f>step3_validation[[#This Row],[AI_OUT1]]</f>
        <v>8</v>
      </c>
      <c r="BF316">
        <f t="shared" si="132"/>
        <v>0.77777777777777779</v>
      </c>
      <c r="BG316">
        <f>survey_responses[[#This Row],[Sau khi xem xét các quyền lợi và nghĩa vụ, bạn có ủng hộ và tuân thủ chính sách mới hiện nay? - HUMAN-OUT1]]</f>
        <v>8</v>
      </c>
      <c r="BH316">
        <f t="shared" si="133"/>
        <v>0.77777777777777779</v>
      </c>
      <c r="BI316" s="32">
        <f t="shared" si="134"/>
        <v>0</v>
      </c>
    </row>
    <row r="317" spans="1:61" x14ac:dyDescent="0.45">
      <c r="A317" s="30">
        <f>step3_validation[[#This Row],[Persona_ID]]</f>
        <v>316</v>
      </c>
      <c r="B317" s="31">
        <f>step3_validation[[#This Row],[Used_Seed]]</f>
        <v>2341</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27.924161228114286</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6</v>
      </c>
      <c r="R317">
        <f t="shared" si="108"/>
        <v>0.55555555555555558</v>
      </c>
      <c r="S317">
        <f>survey_responses[[#This Row],[Tôi tin rằng với các quy định quản lý thuế hiện nay, hành vi gian lận hoặc trốn thuế sẽ dễ dàng bị phát hiện và xử lý nghiêm. - HUMAN-ENF1]]</f>
        <v>6</v>
      </c>
      <c r="T317">
        <f t="shared" si="109"/>
        <v>0.55555555555555558</v>
      </c>
      <c r="U317">
        <f>step3_validation[[#This Row],[AI_ENF2]]</f>
        <v>7</v>
      </c>
      <c r="V317">
        <f t="shared" si="110"/>
        <v>0.66666666666666663</v>
      </c>
      <c r="W317">
        <f>survey_responses[[#This Row],[Tôi tin rằng Nhà nước, cơ quan thuế có đủ khả năng và công nghệ để phát hiện, xử lý nghiêm các hành vi trốn thuế. - HUMAN-ENF2]]</f>
        <v>8</v>
      </c>
      <c r="X317">
        <f t="shared" si="111"/>
        <v>0.77777777777777779</v>
      </c>
      <c r="Y317" s="32">
        <f t="shared" si="112"/>
        <v>0.61111111111111116</v>
      </c>
      <c r="Z317" s="32">
        <f t="shared" si="113"/>
        <v>0.66666666666666674</v>
      </c>
      <c r="AA317">
        <f>step3_validation[[#This Row],[AI_FAC1]]</f>
        <v>8</v>
      </c>
      <c r="AB317">
        <f t="shared" si="114"/>
        <v>0.77777777777777779</v>
      </c>
      <c r="AC317">
        <f>survey_responses[[#This Row],[Các thủ tục khai báo thuế VÀ/HOẶC quy trình làm việc với cơ quan thuế đơn giản, tiện lợi, nhanh chóng hơn so với trước đây. - HUMAN-FAC1]]</f>
        <v>5</v>
      </c>
      <c r="AD317">
        <f t="shared" si="115"/>
        <v>0.44444444444444442</v>
      </c>
      <c r="AE317">
        <f>step3_validation[[#This Row],[AI_FAC2]]</f>
        <v>9</v>
      </c>
      <c r="AF317">
        <f t="shared" si="116"/>
        <v>0.88888888888888884</v>
      </c>
      <c r="AG317">
        <f>survey_responses[[#This Row],[So với trước đây, tôi thấy cách tính thuế và các bậc thuế trong phương án mới đơn giản, dễ hiểu và dễ thực hiện hơn. - HUMAN-FAC2]]</f>
        <v>6</v>
      </c>
      <c r="AH317">
        <f t="shared" si="117"/>
        <v>0.55555555555555558</v>
      </c>
      <c r="AI317" s="32">
        <f t="shared" si="118"/>
        <v>0.83333333333333326</v>
      </c>
      <c r="AJ317" s="32">
        <f t="shared" si="119"/>
        <v>0.5</v>
      </c>
      <c r="AK317">
        <f>step3_validation[[#This Row],[AI_TRU1]]</f>
        <v>7</v>
      </c>
      <c r="AL317">
        <f t="shared" si="120"/>
        <v>0.66666666666666663</v>
      </c>
      <c r="AM317">
        <f>survey_responses[[#This Row],[Tôi tin rằng Nhà nước, cơ quan thuế sẽ thực thi chính sách mới một cách khách quan, công tâm và đối xử bình đẳng với mọi người nộp thuế.  - HUMAN-TRU1]]</f>
        <v>6</v>
      </c>
      <c r="AN317">
        <f t="shared" si="121"/>
        <v>0.55555555555555558</v>
      </c>
      <c r="AO317">
        <f>step3_validation[[#This Row],[AI_TRU2]]</f>
        <v>8</v>
      </c>
      <c r="AP317">
        <f t="shared" si="122"/>
        <v>0.77777777777777779</v>
      </c>
      <c r="AQ317">
        <f>survey_responses[[#This Row],[Tôi thấy mức thuế tôi phải đóng theo phương án mới là công bằng (người thu nhập như tôi đóng mức này là hợp lý). - HUMAN-TRU2]]</f>
        <v>7</v>
      </c>
      <c r="AR317">
        <f t="shared" si="123"/>
        <v>0.66666666666666663</v>
      </c>
      <c r="AS317">
        <f>step3_validation[[#This Row],[AI_TRU3]]</f>
        <v>9</v>
      </c>
      <c r="AT317">
        <f t="shared" si="124"/>
        <v>0.88888888888888884</v>
      </c>
      <c r="AU317">
        <f>survey_responses[[#This Row],[Tôi tin tưởng số tiền thuế tôi đóng sẽ được Nhà nước sử dụng hiệu quả để cải thiện dịch vụ công (y tế, đường xá...). - HUMAN-TRU3]]</f>
        <v>6</v>
      </c>
      <c r="AV317">
        <f t="shared" si="125"/>
        <v>0.55555555555555558</v>
      </c>
      <c r="AW317">
        <f>step3_validation[[#This Row],[AI_TRU4]]</f>
        <v>8</v>
      </c>
      <c r="AX317">
        <f t="shared" si="126"/>
        <v>0.77777777777777779</v>
      </c>
      <c r="AY317">
        <f>survey_responses[[#This Row],[Tôi thấy Nhà nước đã giải thích rõ ràng, minh bạch về lý do và mục tiêu của việc sửa đổi thuế lần này. - HUMAN-TRU4]]</f>
        <v>7</v>
      </c>
      <c r="AZ317">
        <f t="shared" si="127"/>
        <v>0.66666666666666663</v>
      </c>
      <c r="BA317" s="32">
        <f t="shared" si="128"/>
        <v>0.77777777777777768</v>
      </c>
      <c r="BB317" s="32">
        <f t="shared" si="129"/>
        <v>0.61111111111111116</v>
      </c>
      <c r="BC317" s="7">
        <f t="shared" si="130"/>
        <v>0.74074074074074081</v>
      </c>
      <c r="BD317" s="7">
        <f t="shared" si="131"/>
        <v>0.59259259259259267</v>
      </c>
      <c r="BE317">
        <f>step3_validation[[#This Row],[AI_OUT1]]</f>
        <v>9</v>
      </c>
      <c r="BF317">
        <f t="shared" si="132"/>
        <v>0.88888888888888884</v>
      </c>
      <c r="BG317">
        <f>survey_responses[[#This Row],[Sau khi xem xét các quyền lợi và nghĩa vụ, bạn có ủng hộ và tuân thủ chính sách mới hiện nay? - HUMAN-OUT1]]</f>
        <v>7</v>
      </c>
      <c r="BH317">
        <f t="shared" si="133"/>
        <v>0.66666666666666663</v>
      </c>
      <c r="BI317" s="32">
        <f t="shared" si="134"/>
        <v>2</v>
      </c>
    </row>
    <row r="318" spans="1:61" x14ac:dyDescent="0.45">
      <c r="A318" s="30">
        <f>step3_validation[[#This Row],[Persona_ID]]</f>
        <v>317</v>
      </c>
      <c r="B318" s="31">
        <f>step3_validation[[#This Row],[Used_Seed]]</f>
        <v>2342</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15.942029005992792</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8</v>
      </c>
      <c r="R318">
        <f t="shared" si="108"/>
        <v>0.77777777777777779</v>
      </c>
      <c r="S318">
        <f>survey_responses[[#This Row],[Tôi tin rằng với các quy định quản lý thuế hiện nay, hành vi gian lận hoặc trốn thuế sẽ dễ dàng bị phát hiện và xử lý nghiêm. - HUMAN-ENF1]]</f>
        <v>7</v>
      </c>
      <c r="T318">
        <f t="shared" si="109"/>
        <v>0.66666666666666663</v>
      </c>
      <c r="U318">
        <f>step3_validation[[#This Row],[AI_ENF2]]</f>
        <v>9</v>
      </c>
      <c r="V318">
        <f t="shared" si="110"/>
        <v>0.88888888888888884</v>
      </c>
      <c r="W318">
        <f>survey_responses[[#This Row],[Tôi tin rằng Nhà nước, cơ quan thuế có đủ khả năng và công nghệ để phát hiện, xử lý nghiêm các hành vi trốn thuế. - HUMAN-ENF2]]</f>
        <v>7</v>
      </c>
      <c r="X318">
        <f t="shared" si="111"/>
        <v>0.66666666666666663</v>
      </c>
      <c r="Y318" s="32">
        <f t="shared" si="112"/>
        <v>0.83333333333333326</v>
      </c>
      <c r="Z318" s="32">
        <f t="shared" si="113"/>
        <v>0.66666666666666663</v>
      </c>
      <c r="AA318">
        <f>step3_validation[[#This Row],[AI_FAC1]]</f>
        <v>8</v>
      </c>
      <c r="AB318">
        <f t="shared" si="114"/>
        <v>0.77777777777777779</v>
      </c>
      <c r="AC318">
        <f>survey_responses[[#This Row],[Các thủ tục khai báo thuế VÀ/HOẶC quy trình làm việc với cơ quan thuế đơn giản, tiện lợi, nhanh chóng hơn so với trước đây. - HUMAN-FAC1]]</f>
        <v>5</v>
      </c>
      <c r="AD318">
        <f t="shared" si="115"/>
        <v>0.44444444444444442</v>
      </c>
      <c r="AE318">
        <f>step3_validation[[#This Row],[AI_FAC2]]</f>
        <v>9</v>
      </c>
      <c r="AF318">
        <f t="shared" si="116"/>
        <v>0.88888888888888884</v>
      </c>
      <c r="AG318">
        <f>survey_responses[[#This Row],[So với trước đây, tôi thấy cách tính thuế và các bậc thuế trong phương án mới đơn giản, dễ hiểu và dễ thực hiện hơn. - HUMAN-FAC2]]</f>
        <v>8</v>
      </c>
      <c r="AH318">
        <f t="shared" si="117"/>
        <v>0.77777777777777779</v>
      </c>
      <c r="AI318" s="32">
        <f t="shared" si="118"/>
        <v>0.83333333333333326</v>
      </c>
      <c r="AJ318" s="32">
        <f t="shared" si="119"/>
        <v>0.61111111111111116</v>
      </c>
      <c r="AK318">
        <f>step3_validation[[#This Row],[AI_TRU1]]</f>
        <v>8</v>
      </c>
      <c r="AL318">
        <f t="shared" si="120"/>
        <v>0.77777777777777779</v>
      </c>
      <c r="AM318">
        <f>survey_responses[[#This Row],[Tôi tin rằng Nhà nước, cơ quan thuế sẽ thực thi chính sách mới một cách khách quan, công tâm và đối xử bình đẳng với mọi người nộp thuế.  - HUMAN-TRU1]]</f>
        <v>5</v>
      </c>
      <c r="AN318">
        <f t="shared" si="121"/>
        <v>0.44444444444444442</v>
      </c>
      <c r="AO318">
        <f>step3_validation[[#This Row],[AI_TRU2]]</f>
        <v>9</v>
      </c>
      <c r="AP318">
        <f t="shared" si="122"/>
        <v>0.88888888888888884</v>
      </c>
      <c r="AQ318">
        <f>survey_responses[[#This Row],[Tôi thấy mức thuế tôi phải đóng theo phương án mới là công bằng (người thu nhập như tôi đóng mức này là hợp lý). - HUMAN-TRU2]]</f>
        <v>8</v>
      </c>
      <c r="AR318">
        <f t="shared" si="123"/>
        <v>0.77777777777777779</v>
      </c>
      <c r="AS318">
        <f>step3_validation[[#This Row],[AI_TRU3]]</f>
        <v>8</v>
      </c>
      <c r="AT318">
        <f t="shared" si="124"/>
        <v>0.77777777777777779</v>
      </c>
      <c r="AU318">
        <f>survey_responses[[#This Row],[Tôi tin tưởng số tiền thuế tôi đóng sẽ được Nhà nước sử dụng hiệu quả để cải thiện dịch vụ công (y tế, đường xá...). - HUMAN-TRU3]]</f>
        <v>5</v>
      </c>
      <c r="AV318">
        <f t="shared" si="125"/>
        <v>0.44444444444444442</v>
      </c>
      <c r="AW318">
        <f>step3_validation[[#This Row],[AI_TRU4]]</f>
        <v>8</v>
      </c>
      <c r="AX318">
        <f t="shared" si="126"/>
        <v>0.77777777777777779</v>
      </c>
      <c r="AY318">
        <f>survey_responses[[#This Row],[Tôi thấy Nhà nước đã giải thích rõ ràng, minh bạch về lý do và mục tiêu của việc sửa đổi thuế lần này. - HUMAN-TRU4]]</f>
        <v>7</v>
      </c>
      <c r="AZ318">
        <f t="shared" si="127"/>
        <v>0.66666666666666663</v>
      </c>
      <c r="BA318" s="32">
        <f t="shared" si="128"/>
        <v>0.80555555555555547</v>
      </c>
      <c r="BB318" s="32">
        <f t="shared" si="129"/>
        <v>0.58333333333333337</v>
      </c>
      <c r="BC318" s="7">
        <f t="shared" si="130"/>
        <v>0.82407407407407396</v>
      </c>
      <c r="BD318" s="7">
        <f t="shared" si="131"/>
        <v>0.62037037037037035</v>
      </c>
      <c r="BE318">
        <f>step3_validation[[#This Row],[AI_OUT1]]</f>
        <v>9</v>
      </c>
      <c r="BF318">
        <f t="shared" si="132"/>
        <v>0.88888888888888884</v>
      </c>
      <c r="BG318">
        <f>survey_responses[[#This Row],[Sau khi xem xét các quyền lợi và nghĩa vụ, bạn có ủng hộ và tuân thủ chính sách mới hiện nay? - HUMAN-OUT1]]</f>
        <v>8</v>
      </c>
      <c r="BH318">
        <f t="shared" si="133"/>
        <v>0.77777777777777779</v>
      </c>
      <c r="BI318" s="32">
        <f t="shared" si="134"/>
        <v>1</v>
      </c>
    </row>
    <row r="319" spans="1:61" x14ac:dyDescent="0.45">
      <c r="A319" s="30">
        <f>step3_validation[[#This Row],[Persona_ID]]</f>
        <v>318</v>
      </c>
      <c r="B319" s="31">
        <f>step3_validation[[#This Row],[Used_Seed]]</f>
        <v>2343</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19.923113209322679</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7</v>
      </c>
      <c r="R319">
        <f t="shared" si="108"/>
        <v>0.66666666666666663</v>
      </c>
      <c r="S319">
        <f>survey_responses[[#This Row],[Tôi tin rằng với các quy định quản lý thuế hiện nay, hành vi gian lận hoặc trốn thuế sẽ dễ dàng bị phát hiện và xử lý nghiêm. - HUMAN-ENF1]]</f>
        <v>4</v>
      </c>
      <c r="T319">
        <f t="shared" si="109"/>
        <v>0.33333333333333331</v>
      </c>
      <c r="U319">
        <f>step3_validation[[#This Row],[AI_ENF2]]</f>
        <v>8</v>
      </c>
      <c r="V319">
        <f t="shared" si="110"/>
        <v>0.77777777777777779</v>
      </c>
      <c r="W319">
        <f>survey_responses[[#This Row],[Tôi tin rằng Nhà nước, cơ quan thuế có đủ khả năng và công nghệ để phát hiện, xử lý nghiêm các hành vi trốn thuế. - HUMAN-ENF2]]</f>
        <v>4</v>
      </c>
      <c r="X319">
        <f t="shared" si="111"/>
        <v>0.33333333333333331</v>
      </c>
      <c r="Y319" s="32">
        <f t="shared" si="112"/>
        <v>0.72222222222222221</v>
      </c>
      <c r="Z319" s="32">
        <f t="shared" si="113"/>
        <v>0.33333333333333331</v>
      </c>
      <c r="AA319">
        <f>step3_validation[[#This Row],[AI_FAC1]]</f>
        <v>9</v>
      </c>
      <c r="AB319">
        <f t="shared" si="114"/>
        <v>0.88888888888888884</v>
      </c>
      <c r="AC319">
        <f>survey_responses[[#This Row],[Các thủ tục khai báo thuế VÀ/HOẶC quy trình làm việc với cơ quan thuế đơn giản, tiện lợi, nhanh chóng hơn so với trước đây. - HUMAN-FAC1]]</f>
        <v>6</v>
      </c>
      <c r="AD319">
        <f t="shared" si="115"/>
        <v>0.55555555555555558</v>
      </c>
      <c r="AE319">
        <f>step3_validation[[#This Row],[AI_FAC2]]</f>
        <v>10</v>
      </c>
      <c r="AF319">
        <f t="shared" si="116"/>
        <v>1</v>
      </c>
      <c r="AG319">
        <f>survey_responses[[#This Row],[So với trước đây, tôi thấy cách tính thuế và các bậc thuế trong phương án mới đơn giản, dễ hiểu và dễ thực hiện hơn. - HUMAN-FAC2]]</f>
        <v>7</v>
      </c>
      <c r="AH319">
        <f t="shared" si="117"/>
        <v>0.66666666666666663</v>
      </c>
      <c r="AI319" s="32">
        <f t="shared" si="118"/>
        <v>0.94444444444444442</v>
      </c>
      <c r="AJ319" s="32">
        <f t="shared" si="119"/>
        <v>0.61111111111111116</v>
      </c>
      <c r="AK319">
        <f>step3_validation[[#This Row],[AI_TRU1]]</f>
        <v>8</v>
      </c>
      <c r="AL319">
        <f t="shared" si="120"/>
        <v>0.77777777777777779</v>
      </c>
      <c r="AM319">
        <f>survey_responses[[#This Row],[Tôi tin rằng Nhà nước, cơ quan thuế sẽ thực thi chính sách mới một cách khách quan, công tâm và đối xử bình đẳng với mọi người nộp thuế.  - HUMAN-TRU1]]</f>
        <v>5</v>
      </c>
      <c r="AN319">
        <f t="shared" si="121"/>
        <v>0.44444444444444442</v>
      </c>
      <c r="AO319">
        <f>step3_validation[[#This Row],[AI_TRU2]]</f>
        <v>9</v>
      </c>
      <c r="AP319">
        <f t="shared" si="122"/>
        <v>0.88888888888888884</v>
      </c>
      <c r="AQ319">
        <f>survey_responses[[#This Row],[Tôi thấy mức thuế tôi phải đóng theo phương án mới là công bằng (người thu nhập như tôi đóng mức này là hợp lý). - HUMAN-TRU2]]</f>
        <v>8</v>
      </c>
      <c r="AR319">
        <f t="shared" si="123"/>
        <v>0.77777777777777779</v>
      </c>
      <c r="AS319">
        <f>step3_validation[[#This Row],[AI_TRU3]]</f>
        <v>8</v>
      </c>
      <c r="AT319">
        <f t="shared" si="124"/>
        <v>0.77777777777777779</v>
      </c>
      <c r="AU319">
        <f>survey_responses[[#This Row],[Tôi tin tưởng số tiền thuế tôi đóng sẽ được Nhà nước sử dụng hiệu quả để cải thiện dịch vụ công (y tế, đường xá...). - HUMAN-TRU3]]</f>
        <v>5</v>
      </c>
      <c r="AV319">
        <f t="shared" si="125"/>
        <v>0.44444444444444442</v>
      </c>
      <c r="AW319">
        <f>step3_validation[[#This Row],[AI_TRU4]]</f>
        <v>7</v>
      </c>
      <c r="AX319">
        <f t="shared" si="126"/>
        <v>0.66666666666666663</v>
      </c>
      <c r="AY319">
        <f>survey_responses[[#This Row],[Tôi thấy Nhà nước đã giải thích rõ ràng, minh bạch về lý do và mục tiêu của việc sửa đổi thuế lần này. - HUMAN-TRU4]]</f>
        <v>5</v>
      </c>
      <c r="AZ319">
        <f t="shared" si="127"/>
        <v>0.44444444444444442</v>
      </c>
      <c r="BA319" s="32">
        <f t="shared" si="128"/>
        <v>0.77777777777777768</v>
      </c>
      <c r="BB319" s="32">
        <f t="shared" si="129"/>
        <v>0.52777777777777779</v>
      </c>
      <c r="BC319" s="7">
        <f t="shared" si="130"/>
        <v>0.81481481481481477</v>
      </c>
      <c r="BD319" s="7">
        <f t="shared" si="131"/>
        <v>0.49074074074074076</v>
      </c>
      <c r="BE319">
        <f>step3_validation[[#This Row],[AI_OUT1]]</f>
        <v>9</v>
      </c>
      <c r="BF319">
        <f t="shared" si="132"/>
        <v>0.88888888888888884</v>
      </c>
      <c r="BG319">
        <f>survey_responses[[#This Row],[Sau khi xem xét các quyền lợi và nghĩa vụ, bạn có ủng hộ và tuân thủ chính sách mới hiện nay? - HUMAN-OUT1]]</f>
        <v>8</v>
      </c>
      <c r="BH319">
        <f t="shared" si="133"/>
        <v>0.77777777777777779</v>
      </c>
      <c r="BI319" s="32">
        <f t="shared" si="134"/>
        <v>1</v>
      </c>
    </row>
    <row r="320" spans="1:61" x14ac:dyDescent="0.45">
      <c r="A320" s="30">
        <f>step3_validation[[#This Row],[Persona_ID]]</f>
        <v>319</v>
      </c>
      <c r="B320" s="31">
        <f>step3_validation[[#This Row],[Used_Seed]]</f>
        <v>2344</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15.930593337444501</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9</v>
      </c>
      <c r="R320">
        <f t="shared" si="108"/>
        <v>0.88888888888888884</v>
      </c>
      <c r="S320">
        <f>survey_responses[[#This Row],[Tôi tin rằng với các quy định quản lý thuế hiện nay, hành vi gian lận hoặc trốn thuế sẽ dễ dàng bị phát hiện và xử lý nghiêm. - HUMAN-ENF1]]</f>
        <v>8</v>
      </c>
      <c r="T320">
        <f t="shared" si="109"/>
        <v>0.77777777777777779</v>
      </c>
      <c r="U320">
        <f>step3_validation[[#This Row],[AI_ENF2]]</f>
        <v>8</v>
      </c>
      <c r="V320">
        <f t="shared" si="110"/>
        <v>0.77777777777777779</v>
      </c>
      <c r="W320">
        <f>survey_responses[[#This Row],[Tôi tin rằng Nhà nước, cơ quan thuế có đủ khả năng và công nghệ để phát hiện, xử lý nghiêm các hành vi trốn thuế. - HUMAN-ENF2]]</f>
        <v>8</v>
      </c>
      <c r="X320">
        <f t="shared" si="111"/>
        <v>0.77777777777777779</v>
      </c>
      <c r="Y320" s="32">
        <f t="shared" si="112"/>
        <v>0.83333333333333326</v>
      </c>
      <c r="Z320" s="32">
        <f t="shared" si="113"/>
        <v>0.77777777777777779</v>
      </c>
      <c r="AA320">
        <f>step3_validation[[#This Row],[AI_FAC1]]</f>
        <v>9</v>
      </c>
      <c r="AB320">
        <f t="shared" si="114"/>
        <v>0.88888888888888884</v>
      </c>
      <c r="AC320">
        <f>survey_responses[[#This Row],[Các thủ tục khai báo thuế VÀ/HOẶC quy trình làm việc với cơ quan thuế đơn giản, tiện lợi, nhanh chóng hơn so với trước đây. - HUMAN-FAC1]]</f>
        <v>10</v>
      </c>
      <c r="AD320">
        <f t="shared" si="115"/>
        <v>1</v>
      </c>
      <c r="AE320">
        <f>step3_validation[[#This Row],[AI_FAC2]]</f>
        <v>8</v>
      </c>
      <c r="AF320">
        <f t="shared" si="116"/>
        <v>0.77777777777777779</v>
      </c>
      <c r="AG320">
        <f>survey_responses[[#This Row],[So với trước đây, tôi thấy cách tính thuế và các bậc thuế trong phương án mới đơn giản, dễ hiểu và dễ thực hiện hơn. - HUMAN-FAC2]]</f>
        <v>10</v>
      </c>
      <c r="AH320">
        <f t="shared" si="117"/>
        <v>1</v>
      </c>
      <c r="AI320" s="32">
        <f t="shared" si="118"/>
        <v>0.83333333333333326</v>
      </c>
      <c r="AJ320" s="32">
        <f t="shared" si="119"/>
        <v>1</v>
      </c>
      <c r="AK320">
        <f>step3_validation[[#This Row],[AI_TRU1]]</f>
        <v>9</v>
      </c>
      <c r="AL320">
        <f t="shared" si="120"/>
        <v>0.88888888888888884</v>
      </c>
      <c r="AM320">
        <f>survey_responses[[#This Row],[Tôi tin rằng Nhà nước, cơ quan thuế sẽ thực thi chính sách mới một cách khách quan, công tâm và đối xử bình đẳng với mọi người nộp thuế.  - HUMAN-TRU1]]</f>
        <v>9</v>
      </c>
      <c r="AN320">
        <f t="shared" si="121"/>
        <v>0.88888888888888884</v>
      </c>
      <c r="AO320">
        <f>step3_validation[[#This Row],[AI_TRU2]]</f>
        <v>8</v>
      </c>
      <c r="AP320">
        <f t="shared" si="122"/>
        <v>0.77777777777777779</v>
      </c>
      <c r="AQ320">
        <f>survey_responses[[#This Row],[Tôi thấy mức thuế tôi phải đóng theo phương án mới là công bằng (người thu nhập như tôi đóng mức này là hợp lý). - HUMAN-TRU2]]</f>
        <v>10</v>
      </c>
      <c r="AR320">
        <f t="shared" si="123"/>
        <v>1</v>
      </c>
      <c r="AS320">
        <f>step3_validation[[#This Row],[AI_TRU3]]</f>
        <v>9</v>
      </c>
      <c r="AT320">
        <f t="shared" si="124"/>
        <v>0.88888888888888884</v>
      </c>
      <c r="AU320">
        <f>survey_responses[[#This Row],[Tôi tin tưởng số tiền thuế tôi đóng sẽ được Nhà nước sử dụng hiệu quả để cải thiện dịch vụ công (y tế, đường xá...). - HUMAN-TRU3]]</f>
        <v>8</v>
      </c>
      <c r="AV320">
        <f t="shared" si="125"/>
        <v>0.77777777777777779</v>
      </c>
      <c r="AW320">
        <f>step3_validation[[#This Row],[AI_TRU4]]</f>
        <v>8</v>
      </c>
      <c r="AX320">
        <f t="shared" si="126"/>
        <v>0.77777777777777779</v>
      </c>
      <c r="AY320">
        <f>survey_responses[[#This Row],[Tôi thấy Nhà nước đã giải thích rõ ràng, minh bạch về lý do và mục tiêu của việc sửa đổi thuế lần này. - HUMAN-TRU4]]</f>
        <v>8</v>
      </c>
      <c r="AZ320">
        <f t="shared" si="127"/>
        <v>0.77777777777777779</v>
      </c>
      <c r="BA320" s="32">
        <f t="shared" si="128"/>
        <v>0.83333333333333326</v>
      </c>
      <c r="BB320" s="32">
        <f t="shared" si="129"/>
        <v>0.86111111111111105</v>
      </c>
      <c r="BC320" s="7">
        <f t="shared" si="130"/>
        <v>0.83333333333333337</v>
      </c>
      <c r="BD320" s="7">
        <f t="shared" si="131"/>
        <v>0.87962962962962965</v>
      </c>
      <c r="BE320">
        <f>step3_validation[[#This Row],[AI_OUT1]]</f>
        <v>9</v>
      </c>
      <c r="BF320">
        <f t="shared" si="132"/>
        <v>0.88888888888888884</v>
      </c>
      <c r="BG320">
        <f>survey_responses[[#This Row],[Sau khi xem xét các quyền lợi và nghĩa vụ, bạn có ủng hộ và tuân thủ chính sách mới hiện nay? - HUMAN-OUT1]]</f>
        <v>10</v>
      </c>
      <c r="BH320">
        <f t="shared" si="133"/>
        <v>1</v>
      </c>
      <c r="BI320" s="32">
        <f t="shared" si="134"/>
        <v>1</v>
      </c>
    </row>
    <row r="321" spans="1:61" x14ac:dyDescent="0.45">
      <c r="A321" s="30">
        <f>step3_validation[[#This Row],[Persona_ID]]</f>
        <v>320</v>
      </c>
      <c r="B321" s="31">
        <f>step3_validation[[#This Row],[Used_Seed]]</f>
        <v>2345</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27.046570882408638</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7</v>
      </c>
      <c r="R321">
        <f t="shared" si="108"/>
        <v>0.66666666666666663</v>
      </c>
      <c r="S321">
        <f>survey_responses[[#This Row],[Tôi tin rằng với các quy định quản lý thuế hiện nay, hành vi gian lận hoặc trốn thuế sẽ dễ dàng bị phát hiện và xử lý nghiêm. - HUMAN-ENF1]]</f>
        <v>5</v>
      </c>
      <c r="T321">
        <f t="shared" si="109"/>
        <v>0.44444444444444442</v>
      </c>
      <c r="U321">
        <f>step3_validation[[#This Row],[AI_ENF2]]</f>
        <v>8</v>
      </c>
      <c r="V321">
        <f t="shared" si="110"/>
        <v>0.77777777777777779</v>
      </c>
      <c r="W321">
        <f>survey_responses[[#This Row],[Tôi tin rằng Nhà nước, cơ quan thuế có đủ khả năng và công nghệ để phát hiện, xử lý nghiêm các hành vi trốn thuế. - HUMAN-ENF2]]</f>
        <v>7</v>
      </c>
      <c r="X321">
        <f t="shared" si="111"/>
        <v>0.66666666666666663</v>
      </c>
      <c r="Y321" s="32">
        <f t="shared" si="112"/>
        <v>0.72222222222222221</v>
      </c>
      <c r="Z321" s="32">
        <f t="shared" si="113"/>
        <v>0.55555555555555558</v>
      </c>
      <c r="AA321">
        <f>step3_validation[[#This Row],[AI_FAC1]]</f>
        <v>6</v>
      </c>
      <c r="AB321">
        <f t="shared" si="114"/>
        <v>0.55555555555555558</v>
      </c>
      <c r="AC321">
        <f>survey_responses[[#This Row],[Các thủ tục khai báo thuế VÀ/HOẶC quy trình làm việc với cơ quan thuế đơn giản, tiện lợi, nhanh chóng hơn so với trước đây. - HUMAN-FAC1]]</f>
        <v>7</v>
      </c>
      <c r="AD321">
        <f t="shared" si="115"/>
        <v>0.66666666666666663</v>
      </c>
      <c r="AE321">
        <f>step3_validation[[#This Row],[AI_FAC2]]</f>
        <v>7</v>
      </c>
      <c r="AF321">
        <f t="shared" si="116"/>
        <v>0.66666666666666663</v>
      </c>
      <c r="AG321">
        <f>survey_responses[[#This Row],[So với trước đây, tôi thấy cách tính thuế và các bậc thuế trong phương án mới đơn giản, dễ hiểu và dễ thực hiện hơn. - HUMAN-FAC2]]</f>
        <v>9</v>
      </c>
      <c r="AH321">
        <f t="shared" si="117"/>
        <v>0.88888888888888884</v>
      </c>
      <c r="AI321" s="32">
        <f t="shared" si="118"/>
        <v>0.61111111111111116</v>
      </c>
      <c r="AJ321" s="32">
        <f t="shared" si="119"/>
        <v>0.77777777777777768</v>
      </c>
      <c r="AK321">
        <f>step3_validation[[#This Row],[AI_TRU1]]</f>
        <v>8</v>
      </c>
      <c r="AL321">
        <f t="shared" si="120"/>
        <v>0.77777777777777779</v>
      </c>
      <c r="AM321">
        <f>survey_responses[[#This Row],[Tôi tin rằng Nhà nước, cơ quan thuế sẽ thực thi chính sách mới một cách khách quan, công tâm và đối xử bình đẳng với mọi người nộp thuế.  - HUMAN-TRU1]]</f>
        <v>5</v>
      </c>
      <c r="AN321">
        <f t="shared" si="121"/>
        <v>0.44444444444444442</v>
      </c>
      <c r="AO321">
        <f>step3_validation[[#This Row],[AI_TRU2]]</f>
        <v>9</v>
      </c>
      <c r="AP321">
        <f t="shared" si="122"/>
        <v>0.88888888888888884</v>
      </c>
      <c r="AQ321">
        <f>survey_responses[[#This Row],[Tôi thấy mức thuế tôi phải đóng theo phương án mới là công bằng (người thu nhập như tôi đóng mức này là hợp lý). - HUMAN-TRU2]]</f>
        <v>6</v>
      </c>
      <c r="AR321">
        <f t="shared" si="123"/>
        <v>0.55555555555555558</v>
      </c>
      <c r="AS321">
        <f>step3_validation[[#This Row],[AI_TRU3]]</f>
        <v>7</v>
      </c>
      <c r="AT321">
        <f t="shared" si="124"/>
        <v>0.66666666666666663</v>
      </c>
      <c r="AU321">
        <f>survey_responses[[#This Row],[Tôi tin tưởng số tiền thuế tôi đóng sẽ được Nhà nước sử dụng hiệu quả để cải thiện dịch vụ công (y tế, đường xá...). - HUMAN-TRU3]]</f>
        <v>5</v>
      </c>
      <c r="AV321">
        <f t="shared" si="125"/>
        <v>0.44444444444444442</v>
      </c>
      <c r="AW321">
        <f>step3_validation[[#This Row],[AI_TRU4]]</f>
        <v>8</v>
      </c>
      <c r="AX321">
        <f t="shared" si="126"/>
        <v>0.77777777777777779</v>
      </c>
      <c r="AY321">
        <f>survey_responses[[#This Row],[Tôi thấy Nhà nước đã giải thích rõ ràng, minh bạch về lý do và mục tiêu của việc sửa đổi thuế lần này. - HUMAN-TRU4]]</f>
        <v>7</v>
      </c>
      <c r="AZ321">
        <f t="shared" si="127"/>
        <v>0.66666666666666663</v>
      </c>
      <c r="BA321" s="32">
        <f t="shared" si="128"/>
        <v>0.77777777777777768</v>
      </c>
      <c r="BB321" s="32">
        <f t="shared" si="129"/>
        <v>0.52777777777777779</v>
      </c>
      <c r="BC321" s="7">
        <f t="shared" si="130"/>
        <v>0.70370370370370372</v>
      </c>
      <c r="BD321" s="7">
        <f t="shared" si="131"/>
        <v>0.62037037037037035</v>
      </c>
      <c r="BE321">
        <f>step3_validation[[#This Row],[AI_OUT1]]</f>
        <v>9</v>
      </c>
      <c r="BF321">
        <f t="shared" si="132"/>
        <v>0.88888888888888884</v>
      </c>
      <c r="BG321">
        <f>survey_responses[[#This Row],[Sau khi xem xét các quyền lợi và nghĩa vụ, bạn có ủng hộ và tuân thủ chính sách mới hiện nay? - HUMAN-OUT1]]</f>
        <v>7</v>
      </c>
      <c r="BH321">
        <f t="shared" si="133"/>
        <v>0.66666666666666663</v>
      </c>
      <c r="BI321" s="32">
        <f t="shared" si="134"/>
        <v>2</v>
      </c>
    </row>
    <row r="322" spans="1:61" x14ac:dyDescent="0.45">
      <c r="A322" s="30">
        <f>step3_validation[[#This Row],[Persona_ID]]</f>
        <v>321</v>
      </c>
      <c r="B322" s="31">
        <f>step3_validation[[#This Row],[Used_Seed]]</f>
        <v>2346</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13.29466550493764</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7</v>
      </c>
      <c r="R322">
        <f t="shared" si="108"/>
        <v>0.66666666666666663</v>
      </c>
      <c r="S322">
        <f>survey_responses[[#This Row],[Tôi tin rằng với các quy định quản lý thuế hiện nay, hành vi gian lận hoặc trốn thuế sẽ dễ dàng bị phát hiện và xử lý nghiêm. - HUMAN-ENF1]]</f>
        <v>8</v>
      </c>
      <c r="T322">
        <f t="shared" si="109"/>
        <v>0.77777777777777779</v>
      </c>
      <c r="U322">
        <f>step3_validation[[#This Row],[AI_ENF2]]</f>
        <v>6</v>
      </c>
      <c r="V322">
        <f t="shared" si="110"/>
        <v>0.55555555555555558</v>
      </c>
      <c r="W322">
        <f>survey_responses[[#This Row],[Tôi tin rằng Nhà nước, cơ quan thuế có đủ khả năng và công nghệ để phát hiện, xử lý nghiêm các hành vi trốn thuế. - HUMAN-ENF2]]</f>
        <v>8</v>
      </c>
      <c r="X322">
        <f t="shared" si="111"/>
        <v>0.77777777777777779</v>
      </c>
      <c r="Y322" s="32">
        <f t="shared" si="112"/>
        <v>0.61111111111111116</v>
      </c>
      <c r="Z322" s="32">
        <f t="shared" si="113"/>
        <v>0.77777777777777779</v>
      </c>
      <c r="AA322">
        <f>step3_validation[[#This Row],[AI_FAC1]]</f>
        <v>9</v>
      </c>
      <c r="AB322">
        <f t="shared" si="114"/>
        <v>0.88888888888888884</v>
      </c>
      <c r="AC322">
        <f>survey_responses[[#This Row],[Các thủ tục khai báo thuế VÀ/HOẶC quy trình làm việc với cơ quan thuế đơn giản, tiện lợi, nhanh chóng hơn so với trước đây. - HUMAN-FAC1]]</f>
        <v>7</v>
      </c>
      <c r="AD322">
        <f t="shared" si="115"/>
        <v>0.66666666666666663</v>
      </c>
      <c r="AE322">
        <f>step3_validation[[#This Row],[AI_FAC2]]</f>
        <v>9</v>
      </c>
      <c r="AF322">
        <f t="shared" si="116"/>
        <v>0.88888888888888884</v>
      </c>
      <c r="AG322">
        <f>survey_responses[[#This Row],[So với trước đây, tôi thấy cách tính thuế và các bậc thuế trong phương án mới đơn giản, dễ hiểu và dễ thực hiện hơn. - HUMAN-FAC2]]</f>
        <v>9</v>
      </c>
      <c r="AH322">
        <f t="shared" si="117"/>
        <v>0.88888888888888884</v>
      </c>
      <c r="AI322" s="32">
        <f t="shared" si="118"/>
        <v>0.88888888888888884</v>
      </c>
      <c r="AJ322" s="32">
        <f t="shared" si="119"/>
        <v>0.77777777777777768</v>
      </c>
      <c r="AK322">
        <f>step3_validation[[#This Row],[AI_TRU1]]</f>
        <v>8</v>
      </c>
      <c r="AL322">
        <f t="shared" si="120"/>
        <v>0.77777777777777779</v>
      </c>
      <c r="AM322">
        <f>survey_responses[[#This Row],[Tôi tin rằng Nhà nước, cơ quan thuế sẽ thực thi chính sách mới một cách khách quan, công tâm và đối xử bình đẳng với mọi người nộp thuế.  - HUMAN-TRU1]]</f>
        <v>9</v>
      </c>
      <c r="AN322">
        <f t="shared" si="121"/>
        <v>0.88888888888888884</v>
      </c>
      <c r="AO322">
        <f>step3_validation[[#This Row],[AI_TRU2]]</f>
        <v>9</v>
      </c>
      <c r="AP322">
        <f t="shared" si="122"/>
        <v>0.88888888888888884</v>
      </c>
      <c r="AQ322">
        <f>survey_responses[[#This Row],[Tôi thấy mức thuế tôi phải đóng theo phương án mới là công bằng (người thu nhập như tôi đóng mức này là hợp lý). - HUMAN-TRU2]]</f>
        <v>9</v>
      </c>
      <c r="AR322">
        <f t="shared" si="123"/>
        <v>0.88888888888888884</v>
      </c>
      <c r="AS322">
        <f>step3_validation[[#This Row],[AI_TRU3]]</f>
        <v>8</v>
      </c>
      <c r="AT322">
        <f t="shared" si="124"/>
        <v>0.77777777777777779</v>
      </c>
      <c r="AU322">
        <f>survey_responses[[#This Row],[Tôi tin tưởng số tiền thuế tôi đóng sẽ được Nhà nước sử dụng hiệu quả để cải thiện dịch vụ công (y tế, đường xá...). - HUMAN-TRU3]]</f>
        <v>7</v>
      </c>
      <c r="AV322">
        <f t="shared" si="125"/>
        <v>0.66666666666666663</v>
      </c>
      <c r="AW322">
        <f>step3_validation[[#This Row],[AI_TRU4]]</f>
        <v>9</v>
      </c>
      <c r="AX322">
        <f t="shared" si="126"/>
        <v>0.88888888888888884</v>
      </c>
      <c r="AY322">
        <f>survey_responses[[#This Row],[Tôi thấy Nhà nước đã giải thích rõ ràng, minh bạch về lý do và mục tiêu của việc sửa đổi thuế lần này. - HUMAN-TRU4]]</f>
        <v>9</v>
      </c>
      <c r="AZ322">
        <f t="shared" si="127"/>
        <v>0.88888888888888884</v>
      </c>
      <c r="BA322" s="32">
        <f t="shared" si="128"/>
        <v>0.83333333333333326</v>
      </c>
      <c r="BB322" s="32">
        <f t="shared" si="129"/>
        <v>0.83333333333333326</v>
      </c>
      <c r="BC322" s="7">
        <f t="shared" si="130"/>
        <v>0.77777777777777768</v>
      </c>
      <c r="BD322" s="7">
        <f t="shared" si="131"/>
        <v>0.79629629629629617</v>
      </c>
      <c r="BE322">
        <f>step3_validation[[#This Row],[AI_OUT1]]</f>
        <v>8</v>
      </c>
      <c r="BF322">
        <f t="shared" si="132"/>
        <v>0.77777777777777779</v>
      </c>
      <c r="BG322">
        <f>survey_responses[[#This Row],[Sau khi xem xét các quyền lợi và nghĩa vụ, bạn có ủng hộ và tuân thủ chính sách mới hiện nay? - HUMAN-OUT1]]</f>
        <v>9</v>
      </c>
      <c r="BH322">
        <f t="shared" si="133"/>
        <v>0.88888888888888884</v>
      </c>
      <c r="BI322" s="32">
        <f t="shared" si="134"/>
        <v>1</v>
      </c>
    </row>
    <row r="323" spans="1:61" x14ac:dyDescent="0.45">
      <c r="A323" s="30">
        <f>step3_validation[[#This Row],[Persona_ID]]</f>
        <v>322</v>
      </c>
      <c r="B323" s="31">
        <f>step3_validation[[#This Row],[Used_Seed]]</f>
        <v>2347</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25.004337059616322</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6</v>
      </c>
      <c r="R323">
        <f t="shared" ref="R323:R386" si="135">(Q323-1)/9</f>
        <v>0.55555555555555558</v>
      </c>
      <c r="S323">
        <f>survey_responses[[#This Row],[Tôi tin rằng với các quy định quản lý thuế hiện nay, hành vi gian lận hoặc trốn thuế sẽ dễ dàng bị phát hiện và xử lý nghiêm. - HUMAN-ENF1]]</f>
        <v>5</v>
      </c>
      <c r="T323">
        <f t="shared" ref="T323:T386" si="136">(S323-1)/9</f>
        <v>0.44444444444444442</v>
      </c>
      <c r="U323">
        <f>step3_validation[[#This Row],[AI_ENF2]]</f>
        <v>7</v>
      </c>
      <c r="V323">
        <f t="shared" ref="V323:V386" si="137">(U323-1)/9</f>
        <v>0.66666666666666663</v>
      </c>
      <c r="W323">
        <f>survey_responses[[#This Row],[Tôi tin rằng Nhà nước, cơ quan thuế có đủ khả năng và công nghệ để phát hiện, xử lý nghiêm các hành vi trốn thuế. - HUMAN-ENF2]]</f>
        <v>5</v>
      </c>
      <c r="X323">
        <f t="shared" ref="X323:X386" si="138">(W323-1)/9</f>
        <v>0.44444444444444442</v>
      </c>
      <c r="Y323" s="32">
        <f t="shared" ref="Y323:Y386" si="139">AVERAGE(R323,V323)</f>
        <v>0.61111111111111116</v>
      </c>
      <c r="Z323" s="32">
        <f t="shared" ref="Z323:Z386" si="140">AVERAGE(T323,X323)</f>
        <v>0.44444444444444442</v>
      </c>
      <c r="AA323">
        <f>step3_validation[[#This Row],[AI_FAC1]]</f>
        <v>8</v>
      </c>
      <c r="AB323">
        <f t="shared" ref="AB323:AB386" si="141">(AA323-1)/9</f>
        <v>0.77777777777777779</v>
      </c>
      <c r="AC323">
        <f>survey_responses[[#This Row],[Các thủ tục khai báo thuế VÀ/HOẶC quy trình làm việc với cơ quan thuế đơn giản, tiện lợi, nhanh chóng hơn so với trước đây. - HUMAN-FAC1]]</f>
        <v>5</v>
      </c>
      <c r="AD323">
        <f t="shared" ref="AD323:AD386" si="142">(AC323-1)/9</f>
        <v>0.44444444444444442</v>
      </c>
      <c r="AE323">
        <f>step3_validation[[#This Row],[AI_FAC2]]</f>
        <v>9</v>
      </c>
      <c r="AF323">
        <f t="shared" ref="AF323:AF386" si="143">(AE323-1)/9</f>
        <v>0.88888888888888884</v>
      </c>
      <c r="AG323">
        <f>survey_responses[[#This Row],[So với trước đây, tôi thấy cách tính thuế và các bậc thuế trong phương án mới đơn giản, dễ hiểu và dễ thực hiện hơn. - HUMAN-FAC2]]</f>
        <v>7</v>
      </c>
      <c r="AH323">
        <f t="shared" ref="AH323:AH386" si="144">(AG323-1)/9</f>
        <v>0.66666666666666663</v>
      </c>
      <c r="AI323" s="32">
        <f t="shared" ref="AI323:AI386" si="145">AVERAGE(AB323,AF323)</f>
        <v>0.83333333333333326</v>
      </c>
      <c r="AJ323" s="32">
        <f t="shared" ref="AJ323:AJ386" si="146">AVERAGE(AD323,AH323)</f>
        <v>0.55555555555555558</v>
      </c>
      <c r="AK323">
        <f>step3_validation[[#This Row],[AI_TRU1]]</f>
        <v>8</v>
      </c>
      <c r="AL323">
        <f t="shared" ref="AL323:AL386" si="147">(AK323-1)/9</f>
        <v>0.77777777777777779</v>
      </c>
      <c r="AM323">
        <f>survey_responses[[#This Row],[Tôi tin rằng Nhà nước, cơ quan thuế sẽ thực thi chính sách mới một cách khách quan, công tâm và đối xử bình đẳng với mọi người nộp thuế.  - HUMAN-TRU1]]</f>
        <v>5</v>
      </c>
      <c r="AN323">
        <f t="shared" ref="AN323:AN386" si="148">(AM323-1)/9</f>
        <v>0.44444444444444442</v>
      </c>
      <c r="AO323">
        <f>step3_validation[[#This Row],[AI_TRU2]]</f>
        <v>9</v>
      </c>
      <c r="AP323">
        <f t="shared" ref="AP323:AP386" si="149">(AO323-1)/9</f>
        <v>0.88888888888888884</v>
      </c>
      <c r="AQ323">
        <f>survey_responses[[#This Row],[Tôi thấy mức thuế tôi phải đóng theo phương án mới là công bằng (người thu nhập như tôi đóng mức này là hợp lý). - HUMAN-TRU2]]</f>
        <v>7</v>
      </c>
      <c r="AR323">
        <f t="shared" ref="AR323:AR386" si="150">(AQ323-1)/9</f>
        <v>0.66666666666666663</v>
      </c>
      <c r="AS323">
        <f>step3_validation[[#This Row],[AI_TRU3]]</f>
        <v>8</v>
      </c>
      <c r="AT323">
        <f t="shared" ref="AT323:AT386" si="151">(AS323-1)/9</f>
        <v>0.77777777777777779</v>
      </c>
      <c r="AU323">
        <f>survey_responses[[#This Row],[Tôi tin tưởng số tiền thuế tôi đóng sẽ được Nhà nước sử dụng hiệu quả để cải thiện dịch vụ công (y tế, đường xá...). - HUMAN-TRU3]]</f>
        <v>5</v>
      </c>
      <c r="AV323">
        <f t="shared" ref="AV323:AV386" si="152">(AU323-1)/9</f>
        <v>0.44444444444444442</v>
      </c>
      <c r="AW323">
        <f>step3_validation[[#This Row],[AI_TRU4]]</f>
        <v>7</v>
      </c>
      <c r="AX323">
        <f t="shared" ref="AX323:AX386" si="153">(AW323-1)/9</f>
        <v>0.66666666666666663</v>
      </c>
      <c r="AY323">
        <f>survey_responses[[#This Row],[Tôi thấy Nhà nước đã giải thích rõ ràng, minh bạch về lý do và mục tiêu của việc sửa đổi thuế lần này. - HUMAN-TRU4]]</f>
        <v>5</v>
      </c>
      <c r="AZ323">
        <f t="shared" ref="AZ323:AZ386" si="154">(AY323-1)/9</f>
        <v>0.44444444444444442</v>
      </c>
      <c r="BA323" s="32">
        <f t="shared" ref="BA323:BA386" si="155">AVERAGE(AL323,AP323,AT323,AX323)</f>
        <v>0.77777777777777768</v>
      </c>
      <c r="BB323" s="32">
        <f t="shared" ref="BB323:BB386" si="156">AVERAGE(AN323,AR323,AV323,AZ323)</f>
        <v>0.5</v>
      </c>
      <c r="BC323" s="7">
        <f t="shared" ref="BC323:BC386" si="157">(Y323+AI323+BA323)/3</f>
        <v>0.74074074074074081</v>
      </c>
      <c r="BD323" s="7">
        <f t="shared" ref="BD323:BD386" si="158">(Z323+AJ323+BB323)/3</f>
        <v>0.5</v>
      </c>
      <c r="BE323">
        <f>step3_validation[[#This Row],[AI_OUT1]]</f>
        <v>9</v>
      </c>
      <c r="BF323">
        <f t="shared" ref="BF323:BF386" si="159">(BE323-1)/9</f>
        <v>0.88888888888888884</v>
      </c>
      <c r="BG323">
        <f>survey_responses[[#This Row],[Sau khi xem xét các quyền lợi và nghĩa vụ, bạn có ủng hộ và tuân thủ chính sách mới hiện nay? - HUMAN-OUT1]]</f>
        <v>7</v>
      </c>
      <c r="BH323">
        <f t="shared" ref="BH323:BH386" si="160">(BG323-1)/9</f>
        <v>0.66666666666666663</v>
      </c>
      <c r="BI323" s="32">
        <f t="shared" ref="BI323:BI386" si="161">ABS(BG323-BE323)</f>
        <v>2</v>
      </c>
    </row>
    <row r="324" spans="1:61" x14ac:dyDescent="0.45">
      <c r="A324" s="30">
        <f>step3_validation[[#This Row],[Persona_ID]]</f>
        <v>323</v>
      </c>
      <c r="B324" s="31">
        <f>step3_validation[[#This Row],[Used_Seed]]</f>
        <v>2348</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25.150180413929945</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6</v>
      </c>
      <c r="R324">
        <f t="shared" si="135"/>
        <v>0.55555555555555558</v>
      </c>
      <c r="S324">
        <f>survey_responses[[#This Row],[Tôi tin rằng với các quy định quản lý thuế hiện nay, hành vi gian lận hoặc trốn thuế sẽ dễ dàng bị phát hiện và xử lý nghiêm. - HUMAN-ENF1]]</f>
        <v>7</v>
      </c>
      <c r="T324">
        <f t="shared" si="136"/>
        <v>0.66666666666666663</v>
      </c>
      <c r="U324">
        <f>step3_validation[[#This Row],[AI_ENF2]]</f>
        <v>7</v>
      </c>
      <c r="V324">
        <f t="shared" si="137"/>
        <v>0.66666666666666663</v>
      </c>
      <c r="W324">
        <f>survey_responses[[#This Row],[Tôi tin rằng Nhà nước, cơ quan thuế có đủ khả năng và công nghệ để phát hiện, xử lý nghiêm các hành vi trốn thuế. - HUMAN-ENF2]]</f>
        <v>7</v>
      </c>
      <c r="X324">
        <f t="shared" si="138"/>
        <v>0.66666666666666663</v>
      </c>
      <c r="Y324" s="32">
        <f t="shared" si="139"/>
        <v>0.61111111111111116</v>
      </c>
      <c r="Z324" s="32">
        <f t="shared" si="140"/>
        <v>0.66666666666666663</v>
      </c>
      <c r="AA324">
        <f>step3_validation[[#This Row],[AI_FAC1]]</f>
        <v>9</v>
      </c>
      <c r="AB324">
        <f t="shared" si="141"/>
        <v>0.88888888888888884</v>
      </c>
      <c r="AC324">
        <f>survey_responses[[#This Row],[Các thủ tục khai báo thuế VÀ/HOẶC quy trình làm việc với cơ quan thuế đơn giản, tiện lợi, nhanh chóng hơn so với trước đây. - HUMAN-FAC1]]</f>
        <v>8</v>
      </c>
      <c r="AD324">
        <f t="shared" si="142"/>
        <v>0.77777777777777779</v>
      </c>
      <c r="AE324">
        <f>step3_validation[[#This Row],[AI_FAC2]]</f>
        <v>9</v>
      </c>
      <c r="AF324">
        <f t="shared" si="143"/>
        <v>0.88888888888888884</v>
      </c>
      <c r="AG324">
        <f>survey_responses[[#This Row],[So với trước đây, tôi thấy cách tính thuế và các bậc thuế trong phương án mới đơn giản, dễ hiểu và dễ thực hiện hơn. - HUMAN-FAC2]]</f>
        <v>8</v>
      </c>
      <c r="AH324">
        <f t="shared" si="144"/>
        <v>0.77777777777777779</v>
      </c>
      <c r="AI324" s="32">
        <f t="shared" si="145"/>
        <v>0.88888888888888884</v>
      </c>
      <c r="AJ324" s="32">
        <f t="shared" si="146"/>
        <v>0.77777777777777779</v>
      </c>
      <c r="AK324">
        <f>step3_validation[[#This Row],[AI_TRU1]]</f>
        <v>8</v>
      </c>
      <c r="AL324">
        <f t="shared" si="147"/>
        <v>0.77777777777777779</v>
      </c>
      <c r="AM324">
        <f>survey_responses[[#This Row],[Tôi tin rằng Nhà nước, cơ quan thuế sẽ thực thi chính sách mới một cách khách quan, công tâm và đối xử bình đẳng với mọi người nộp thuế.  - HUMAN-TRU1]]</f>
        <v>6</v>
      </c>
      <c r="AN324">
        <f t="shared" si="148"/>
        <v>0.55555555555555558</v>
      </c>
      <c r="AO324">
        <f>step3_validation[[#This Row],[AI_TRU2]]</f>
        <v>9</v>
      </c>
      <c r="AP324">
        <f t="shared" si="149"/>
        <v>0.88888888888888884</v>
      </c>
      <c r="AQ324">
        <f>survey_responses[[#This Row],[Tôi thấy mức thuế tôi phải đóng theo phương án mới là công bằng (người thu nhập như tôi đóng mức này là hợp lý). - HUMAN-TRU2]]</f>
        <v>7</v>
      </c>
      <c r="AR324">
        <f t="shared" si="150"/>
        <v>0.66666666666666663</v>
      </c>
      <c r="AS324">
        <f>step3_validation[[#This Row],[AI_TRU3]]</f>
        <v>8</v>
      </c>
      <c r="AT324">
        <f t="shared" si="151"/>
        <v>0.77777777777777779</v>
      </c>
      <c r="AU324">
        <f>survey_responses[[#This Row],[Tôi tin tưởng số tiền thuế tôi đóng sẽ được Nhà nước sử dụng hiệu quả để cải thiện dịch vụ công (y tế, đường xá...). - HUMAN-TRU3]]</f>
        <v>6</v>
      </c>
      <c r="AV324">
        <f t="shared" si="152"/>
        <v>0.55555555555555558</v>
      </c>
      <c r="AW324">
        <f>step3_validation[[#This Row],[AI_TRU4]]</f>
        <v>7</v>
      </c>
      <c r="AX324">
        <f t="shared" si="153"/>
        <v>0.66666666666666663</v>
      </c>
      <c r="AY324">
        <f>survey_responses[[#This Row],[Tôi thấy Nhà nước đã giải thích rõ ràng, minh bạch về lý do và mục tiêu của việc sửa đổi thuế lần này. - HUMAN-TRU4]]</f>
        <v>7</v>
      </c>
      <c r="AZ324">
        <f t="shared" si="154"/>
        <v>0.66666666666666663</v>
      </c>
      <c r="BA324" s="32">
        <f t="shared" si="155"/>
        <v>0.77777777777777768</v>
      </c>
      <c r="BB324" s="32">
        <f t="shared" si="156"/>
        <v>0.61111111111111116</v>
      </c>
      <c r="BC324" s="7">
        <f t="shared" si="157"/>
        <v>0.75925925925925919</v>
      </c>
      <c r="BD324" s="7">
        <f t="shared" si="158"/>
        <v>0.68518518518518512</v>
      </c>
      <c r="BE324">
        <f>step3_validation[[#This Row],[AI_OUT1]]</f>
        <v>9</v>
      </c>
      <c r="BF324">
        <f t="shared" si="159"/>
        <v>0.88888888888888884</v>
      </c>
      <c r="BG324">
        <f>survey_responses[[#This Row],[Sau khi xem xét các quyền lợi và nghĩa vụ, bạn có ủng hộ và tuân thủ chính sách mới hiện nay? - HUMAN-OUT1]]</f>
        <v>7</v>
      </c>
      <c r="BH324">
        <f t="shared" si="160"/>
        <v>0.66666666666666663</v>
      </c>
      <c r="BI324" s="32">
        <f t="shared" si="161"/>
        <v>2</v>
      </c>
    </row>
    <row r="325" spans="1:61" x14ac:dyDescent="0.45">
      <c r="A325" s="30">
        <f>step3_validation[[#This Row],[Persona_ID]]</f>
        <v>324</v>
      </c>
      <c r="B325" s="31">
        <f>step3_validation[[#This Row],[Used_Seed]]</f>
        <v>2349</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6</v>
      </c>
      <c r="R325">
        <f t="shared" si="135"/>
        <v>0.55555555555555558</v>
      </c>
      <c r="S325">
        <f>survey_responses[[#This Row],[Tôi tin rằng với các quy định quản lý thuế hiện nay, hành vi gian lận hoặc trốn thuế sẽ dễ dàng bị phát hiện và xử lý nghiêm. - HUMAN-ENF1]]</f>
        <v>7</v>
      </c>
      <c r="T325">
        <f t="shared" si="136"/>
        <v>0.66666666666666663</v>
      </c>
      <c r="U325">
        <f>step3_validation[[#This Row],[AI_ENF2]]</f>
        <v>7</v>
      </c>
      <c r="V325">
        <f t="shared" si="137"/>
        <v>0.66666666666666663</v>
      </c>
      <c r="W325">
        <f>survey_responses[[#This Row],[Tôi tin rằng Nhà nước, cơ quan thuế có đủ khả năng và công nghệ để phát hiện, xử lý nghiêm các hành vi trốn thuế. - HUMAN-ENF2]]</f>
        <v>7</v>
      </c>
      <c r="X325">
        <f t="shared" si="138"/>
        <v>0.66666666666666663</v>
      </c>
      <c r="Y325" s="32">
        <f t="shared" si="139"/>
        <v>0.61111111111111116</v>
      </c>
      <c r="Z325" s="32">
        <f t="shared" si="140"/>
        <v>0.66666666666666663</v>
      </c>
      <c r="AA325">
        <f>step3_validation[[#This Row],[AI_FAC1]]</f>
        <v>8</v>
      </c>
      <c r="AB325">
        <f t="shared" si="141"/>
        <v>0.77777777777777779</v>
      </c>
      <c r="AC325">
        <f>survey_responses[[#This Row],[Các thủ tục khai báo thuế VÀ/HOẶC quy trình làm việc với cơ quan thuế đơn giản, tiện lợi, nhanh chóng hơn so với trước đây. - HUMAN-FAC1]]</f>
        <v>5</v>
      </c>
      <c r="AD325">
        <f t="shared" si="142"/>
        <v>0.44444444444444442</v>
      </c>
      <c r="AE325">
        <f>step3_validation[[#This Row],[AI_FAC2]]</f>
        <v>9</v>
      </c>
      <c r="AF325">
        <f t="shared" si="143"/>
        <v>0.88888888888888884</v>
      </c>
      <c r="AG325">
        <f>survey_responses[[#This Row],[So với trước đây, tôi thấy cách tính thuế và các bậc thuế trong phương án mới đơn giản, dễ hiểu và dễ thực hiện hơn. - HUMAN-FAC2]]</f>
        <v>7</v>
      </c>
      <c r="AH325">
        <f t="shared" si="144"/>
        <v>0.66666666666666663</v>
      </c>
      <c r="AI325" s="32">
        <f t="shared" si="145"/>
        <v>0.83333333333333326</v>
      </c>
      <c r="AJ325" s="32">
        <f t="shared" si="146"/>
        <v>0.55555555555555558</v>
      </c>
      <c r="AK325">
        <f>step3_validation[[#This Row],[AI_TRU1]]</f>
        <v>8</v>
      </c>
      <c r="AL325">
        <f t="shared" si="147"/>
        <v>0.77777777777777779</v>
      </c>
      <c r="AM325">
        <f>survey_responses[[#This Row],[Tôi tin rằng Nhà nước, cơ quan thuế sẽ thực thi chính sách mới một cách khách quan, công tâm và đối xử bình đẳng với mọi người nộp thuế.  - HUMAN-TRU1]]</f>
        <v>7</v>
      </c>
      <c r="AN325">
        <f t="shared" si="148"/>
        <v>0.66666666666666663</v>
      </c>
      <c r="AO325">
        <f>step3_validation[[#This Row],[AI_TRU2]]</f>
        <v>9</v>
      </c>
      <c r="AP325">
        <f t="shared" si="149"/>
        <v>0.88888888888888884</v>
      </c>
      <c r="AQ325">
        <f>survey_responses[[#This Row],[Tôi thấy mức thuế tôi phải đóng theo phương án mới là công bằng (người thu nhập như tôi đóng mức này là hợp lý). - HUMAN-TRU2]]</f>
        <v>7</v>
      </c>
      <c r="AR325">
        <f t="shared" si="150"/>
        <v>0.66666666666666663</v>
      </c>
      <c r="AS325">
        <f>step3_validation[[#This Row],[AI_TRU3]]</f>
        <v>8</v>
      </c>
      <c r="AT325">
        <f t="shared" si="151"/>
        <v>0.77777777777777779</v>
      </c>
      <c r="AU325">
        <f>survey_responses[[#This Row],[Tôi tin tưởng số tiền thuế tôi đóng sẽ được Nhà nước sử dụng hiệu quả để cải thiện dịch vụ công (y tế, đường xá...). - HUMAN-TRU3]]</f>
        <v>5</v>
      </c>
      <c r="AV325">
        <f t="shared" si="152"/>
        <v>0.44444444444444442</v>
      </c>
      <c r="AW325">
        <f>step3_validation[[#This Row],[AI_TRU4]]</f>
        <v>9</v>
      </c>
      <c r="AX325">
        <f t="shared" si="153"/>
        <v>0.88888888888888884</v>
      </c>
      <c r="AY325">
        <f>survey_responses[[#This Row],[Tôi thấy Nhà nước đã giải thích rõ ràng, minh bạch về lý do và mục tiêu của việc sửa đổi thuế lần này. - HUMAN-TRU4]]</f>
        <v>5</v>
      </c>
      <c r="AZ325">
        <f t="shared" si="154"/>
        <v>0.44444444444444442</v>
      </c>
      <c r="BA325" s="32">
        <f t="shared" si="155"/>
        <v>0.83333333333333326</v>
      </c>
      <c r="BB325" s="32">
        <f t="shared" si="156"/>
        <v>0.55555555555555558</v>
      </c>
      <c r="BC325" s="7">
        <f t="shared" si="157"/>
        <v>0.75925925925925919</v>
      </c>
      <c r="BD325" s="7">
        <f t="shared" si="158"/>
        <v>0.59259259259259267</v>
      </c>
      <c r="BE325">
        <f>step3_validation[[#This Row],[AI_OUT1]]</f>
        <v>8</v>
      </c>
      <c r="BF325">
        <f t="shared" si="159"/>
        <v>0.77777777777777779</v>
      </c>
      <c r="BG325">
        <f>survey_responses[[#This Row],[Sau khi xem xét các quyền lợi và nghĩa vụ, bạn có ủng hộ và tuân thủ chính sách mới hiện nay? - HUMAN-OUT1]]</f>
        <v>8</v>
      </c>
      <c r="BH325">
        <f t="shared" si="160"/>
        <v>0.77777777777777779</v>
      </c>
      <c r="BI325" s="32">
        <f t="shared" si="161"/>
        <v>0</v>
      </c>
    </row>
    <row r="326" spans="1:61" x14ac:dyDescent="0.45">
      <c r="A326" s="30">
        <f>step3_validation[[#This Row],[Persona_ID]]</f>
        <v>325</v>
      </c>
      <c r="B326" s="31">
        <f>step3_validation[[#This Row],[Used_Seed]]</f>
        <v>2350</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44.843044961302333</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7</v>
      </c>
      <c r="R326">
        <f t="shared" si="135"/>
        <v>0.66666666666666663</v>
      </c>
      <c r="S326">
        <f>survey_responses[[#This Row],[Tôi tin rằng với các quy định quản lý thuế hiện nay, hành vi gian lận hoặc trốn thuế sẽ dễ dàng bị phát hiện và xử lý nghiêm. - HUMAN-ENF1]]</f>
        <v>2</v>
      </c>
      <c r="T326">
        <f t="shared" si="136"/>
        <v>0.1111111111111111</v>
      </c>
      <c r="U326">
        <f>step3_validation[[#This Row],[AI_ENF2]]</f>
        <v>8</v>
      </c>
      <c r="V326">
        <f t="shared" si="137"/>
        <v>0.77777777777777779</v>
      </c>
      <c r="W326">
        <f>survey_responses[[#This Row],[Tôi tin rằng Nhà nước, cơ quan thuế có đủ khả năng và công nghệ để phát hiện, xử lý nghiêm các hành vi trốn thuế. - HUMAN-ENF2]]</f>
        <v>2</v>
      </c>
      <c r="X326">
        <f t="shared" si="138"/>
        <v>0.1111111111111111</v>
      </c>
      <c r="Y326" s="32">
        <f t="shared" si="139"/>
        <v>0.72222222222222221</v>
      </c>
      <c r="Z326" s="32">
        <f t="shared" si="140"/>
        <v>0.1111111111111111</v>
      </c>
      <c r="AA326">
        <f>step3_validation[[#This Row],[AI_FAC1]]</f>
        <v>9</v>
      </c>
      <c r="AB326">
        <f t="shared" si="141"/>
        <v>0.88888888888888884</v>
      </c>
      <c r="AC326">
        <f>survey_responses[[#This Row],[Các thủ tục khai báo thuế VÀ/HOẶC quy trình làm việc với cơ quan thuế đơn giản, tiện lợi, nhanh chóng hơn so với trước đây. - HUMAN-FAC1]]</f>
        <v>6</v>
      </c>
      <c r="AD326">
        <f t="shared" si="142"/>
        <v>0.55555555555555558</v>
      </c>
      <c r="AE326">
        <f>step3_validation[[#This Row],[AI_FAC2]]</f>
        <v>8</v>
      </c>
      <c r="AF326">
        <f t="shared" si="143"/>
        <v>0.77777777777777779</v>
      </c>
      <c r="AG326">
        <f>survey_responses[[#This Row],[So với trước đây, tôi thấy cách tính thuế và các bậc thuế trong phương án mới đơn giản, dễ hiểu và dễ thực hiện hơn. - HUMAN-FAC2]]</f>
        <v>7</v>
      </c>
      <c r="AH326">
        <f t="shared" si="144"/>
        <v>0.66666666666666663</v>
      </c>
      <c r="AI326" s="32">
        <f t="shared" si="145"/>
        <v>0.83333333333333326</v>
      </c>
      <c r="AJ326" s="32">
        <f t="shared" si="146"/>
        <v>0.61111111111111116</v>
      </c>
      <c r="AK326">
        <f>step3_validation[[#This Row],[AI_TRU1]]</f>
        <v>7</v>
      </c>
      <c r="AL326">
        <f t="shared" si="147"/>
        <v>0.66666666666666663</v>
      </c>
      <c r="AM326">
        <f>survey_responses[[#This Row],[Tôi tin rằng Nhà nước, cơ quan thuế sẽ thực thi chính sách mới một cách khách quan, công tâm và đối xử bình đẳng với mọi người nộp thuế.  - HUMAN-TRU1]]</f>
        <v>2</v>
      </c>
      <c r="AN326">
        <f t="shared" si="148"/>
        <v>0.1111111111111111</v>
      </c>
      <c r="AO326">
        <f>step3_validation[[#This Row],[AI_TRU2]]</f>
        <v>8</v>
      </c>
      <c r="AP326">
        <f t="shared" si="149"/>
        <v>0.77777777777777779</v>
      </c>
      <c r="AQ326">
        <f>survey_responses[[#This Row],[Tôi thấy mức thuế tôi phải đóng theo phương án mới là công bằng (người thu nhập như tôi đóng mức này là hợp lý). - HUMAN-TRU2]]</f>
        <v>5</v>
      </c>
      <c r="AR326">
        <f t="shared" si="150"/>
        <v>0.44444444444444442</v>
      </c>
      <c r="AS326">
        <f>step3_validation[[#This Row],[AI_TRU3]]</f>
        <v>7</v>
      </c>
      <c r="AT326">
        <f t="shared" si="151"/>
        <v>0.66666666666666663</v>
      </c>
      <c r="AU326">
        <f>survey_responses[[#This Row],[Tôi tin tưởng số tiền thuế tôi đóng sẽ được Nhà nước sử dụng hiệu quả để cải thiện dịch vụ công (y tế, đường xá...). - HUMAN-TRU3]]</f>
        <v>5</v>
      </c>
      <c r="AV326">
        <f t="shared" si="152"/>
        <v>0.44444444444444442</v>
      </c>
      <c r="AW326">
        <f>step3_validation[[#This Row],[AI_TRU4]]</f>
        <v>6</v>
      </c>
      <c r="AX326">
        <f t="shared" si="153"/>
        <v>0.55555555555555558</v>
      </c>
      <c r="AY326">
        <f>survey_responses[[#This Row],[Tôi thấy Nhà nước đã giải thích rõ ràng, minh bạch về lý do và mục tiêu của việc sửa đổi thuế lần này. - HUMAN-TRU4]]</f>
        <v>6</v>
      </c>
      <c r="AZ326">
        <f t="shared" si="154"/>
        <v>0.55555555555555558</v>
      </c>
      <c r="BA326" s="32">
        <f t="shared" si="155"/>
        <v>0.66666666666666674</v>
      </c>
      <c r="BB326" s="32">
        <f t="shared" si="156"/>
        <v>0.3888888888888889</v>
      </c>
      <c r="BC326" s="7">
        <f t="shared" si="157"/>
        <v>0.74074074074074081</v>
      </c>
      <c r="BD326" s="7">
        <f t="shared" si="158"/>
        <v>0.37037037037037041</v>
      </c>
      <c r="BE326">
        <f>step3_validation[[#This Row],[AI_OUT1]]</f>
        <v>9</v>
      </c>
      <c r="BF326">
        <f t="shared" si="159"/>
        <v>0.88888888888888884</v>
      </c>
      <c r="BG326">
        <f>survey_responses[[#This Row],[Sau khi xem xét các quyền lợi và nghĩa vụ, bạn có ủng hộ và tuân thủ chính sách mới hiện nay? - HUMAN-OUT1]]</f>
        <v>5</v>
      </c>
      <c r="BH326">
        <f t="shared" si="160"/>
        <v>0.44444444444444442</v>
      </c>
      <c r="BI326" s="32">
        <f t="shared" si="161"/>
        <v>4</v>
      </c>
    </row>
    <row r="327" spans="1:61" x14ac:dyDescent="0.45">
      <c r="A327" s="30">
        <f>step3_validation[[#This Row],[Persona_ID]]</f>
        <v>326</v>
      </c>
      <c r="B327" s="31">
        <f>step3_validation[[#This Row],[Used_Seed]]</f>
        <v>2351</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57.24898604320979</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8</v>
      </c>
      <c r="R327">
        <f t="shared" si="135"/>
        <v>0.77777777777777779</v>
      </c>
      <c r="S327">
        <f>survey_responses[[#This Row],[Tôi tin rằng với các quy định quản lý thuế hiện nay, hành vi gian lận hoặc trốn thuế sẽ dễ dàng bị phát hiện và xử lý nghiêm. - HUMAN-ENF1]]</f>
        <v>8</v>
      </c>
      <c r="T327">
        <f t="shared" si="136"/>
        <v>0.77777777777777779</v>
      </c>
      <c r="U327">
        <f>step3_validation[[#This Row],[AI_ENF2]]</f>
        <v>7</v>
      </c>
      <c r="V327">
        <f t="shared" si="137"/>
        <v>0.66666666666666663</v>
      </c>
      <c r="W327">
        <f>survey_responses[[#This Row],[Tôi tin rằng Nhà nước, cơ quan thuế có đủ khả năng và công nghệ để phát hiện, xử lý nghiêm các hành vi trốn thuế. - HUMAN-ENF2]]</f>
        <v>9</v>
      </c>
      <c r="X327">
        <f t="shared" si="138"/>
        <v>0.88888888888888884</v>
      </c>
      <c r="Y327" s="32">
        <f t="shared" si="139"/>
        <v>0.72222222222222221</v>
      </c>
      <c r="Z327" s="32">
        <f t="shared" si="140"/>
        <v>0.83333333333333326</v>
      </c>
      <c r="AA327">
        <f>step3_validation[[#This Row],[AI_FAC1]]</f>
        <v>6</v>
      </c>
      <c r="AB327">
        <f t="shared" si="141"/>
        <v>0.55555555555555558</v>
      </c>
      <c r="AC327">
        <f>survey_responses[[#This Row],[Các thủ tục khai báo thuế VÀ/HOẶC quy trình làm việc với cơ quan thuế đơn giản, tiện lợi, nhanh chóng hơn so với trước đây. - HUMAN-FAC1]]</f>
        <v>9</v>
      </c>
      <c r="AD327">
        <f t="shared" si="142"/>
        <v>0.88888888888888884</v>
      </c>
      <c r="AE327">
        <f>step3_validation[[#This Row],[AI_FAC2]]</f>
        <v>9</v>
      </c>
      <c r="AF327">
        <f t="shared" si="143"/>
        <v>0.88888888888888884</v>
      </c>
      <c r="AG327">
        <f>survey_responses[[#This Row],[So với trước đây, tôi thấy cách tính thuế và các bậc thuế trong phương án mới đơn giản, dễ hiểu và dễ thực hiện hơn. - HUMAN-FAC2]]</f>
        <v>10</v>
      </c>
      <c r="AH327">
        <f t="shared" si="144"/>
        <v>1</v>
      </c>
      <c r="AI327" s="32">
        <f t="shared" si="145"/>
        <v>0.72222222222222221</v>
      </c>
      <c r="AJ327" s="32">
        <f t="shared" si="146"/>
        <v>0.94444444444444442</v>
      </c>
      <c r="AK327">
        <f>step3_validation[[#This Row],[AI_TRU1]]</f>
        <v>7</v>
      </c>
      <c r="AL327">
        <f t="shared" si="147"/>
        <v>0.66666666666666663</v>
      </c>
      <c r="AM327">
        <f>survey_responses[[#This Row],[Tôi tin rằng Nhà nước, cơ quan thuế sẽ thực thi chính sách mới một cách khách quan, công tâm và đối xử bình đẳng với mọi người nộp thuế.  - HUMAN-TRU1]]</f>
        <v>8</v>
      </c>
      <c r="AN327">
        <f t="shared" si="148"/>
        <v>0.77777777777777779</v>
      </c>
      <c r="AO327">
        <f>step3_validation[[#This Row],[AI_TRU2]]</f>
        <v>8</v>
      </c>
      <c r="AP327">
        <f t="shared" si="149"/>
        <v>0.77777777777777779</v>
      </c>
      <c r="AQ327">
        <f>survey_responses[[#This Row],[Tôi thấy mức thuế tôi phải đóng theo phương án mới là công bằng (người thu nhập như tôi đóng mức này là hợp lý). - HUMAN-TRU2]]</f>
        <v>10</v>
      </c>
      <c r="AR327">
        <f t="shared" si="150"/>
        <v>1</v>
      </c>
      <c r="AS327">
        <f>step3_validation[[#This Row],[AI_TRU3]]</f>
        <v>7</v>
      </c>
      <c r="AT327">
        <f t="shared" si="151"/>
        <v>0.66666666666666663</v>
      </c>
      <c r="AU327">
        <f>survey_responses[[#This Row],[Tôi tin tưởng số tiền thuế tôi đóng sẽ được Nhà nước sử dụng hiệu quả để cải thiện dịch vụ công (y tế, đường xá...). - HUMAN-TRU3]]</f>
        <v>9</v>
      </c>
      <c r="AV327">
        <f t="shared" si="152"/>
        <v>0.88888888888888884</v>
      </c>
      <c r="AW327">
        <f>step3_validation[[#This Row],[AI_TRU4]]</f>
        <v>6</v>
      </c>
      <c r="AX327">
        <f t="shared" si="153"/>
        <v>0.55555555555555558</v>
      </c>
      <c r="AY327">
        <f>survey_responses[[#This Row],[Tôi thấy Nhà nước đã giải thích rõ ràng, minh bạch về lý do và mục tiêu của việc sửa đổi thuế lần này. - HUMAN-TRU4]]</f>
        <v>9</v>
      </c>
      <c r="AZ327">
        <f t="shared" si="154"/>
        <v>0.88888888888888884</v>
      </c>
      <c r="BA327" s="32">
        <f t="shared" si="155"/>
        <v>0.66666666666666674</v>
      </c>
      <c r="BB327" s="32">
        <f t="shared" si="156"/>
        <v>0.88888888888888884</v>
      </c>
      <c r="BC327" s="7">
        <f t="shared" si="157"/>
        <v>0.70370370370370372</v>
      </c>
      <c r="BD327" s="7">
        <f t="shared" si="158"/>
        <v>0.88888888888888884</v>
      </c>
      <c r="BE327">
        <f>step3_validation[[#This Row],[AI_OUT1]]</f>
        <v>9</v>
      </c>
      <c r="BF327">
        <f t="shared" si="159"/>
        <v>0.88888888888888884</v>
      </c>
      <c r="BG327">
        <f>survey_responses[[#This Row],[Sau khi xem xét các quyền lợi và nghĩa vụ, bạn có ủng hộ và tuân thủ chính sách mới hiện nay? - HUMAN-OUT1]]</f>
        <v>10</v>
      </c>
      <c r="BH327">
        <f t="shared" si="160"/>
        <v>1</v>
      </c>
      <c r="BI327" s="32">
        <f t="shared" si="161"/>
        <v>1</v>
      </c>
    </row>
    <row r="328" spans="1:61" x14ac:dyDescent="0.45">
      <c r="A328" s="30">
        <f>step3_validation[[#This Row],[Persona_ID]]</f>
        <v>327</v>
      </c>
      <c r="B328" s="31">
        <f>step3_validation[[#This Row],[Used_Seed]]</f>
        <v>2352</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20.600351889527197</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6</v>
      </c>
      <c r="R328">
        <f t="shared" si="135"/>
        <v>0.55555555555555558</v>
      </c>
      <c r="S328">
        <f>survey_responses[[#This Row],[Tôi tin rằng với các quy định quản lý thuế hiện nay, hành vi gian lận hoặc trốn thuế sẽ dễ dàng bị phát hiện và xử lý nghiêm. - HUMAN-ENF1]]</f>
        <v>7</v>
      </c>
      <c r="T328">
        <f t="shared" si="136"/>
        <v>0.66666666666666663</v>
      </c>
      <c r="U328">
        <f>step3_validation[[#This Row],[AI_ENF2]]</f>
        <v>7</v>
      </c>
      <c r="V328">
        <f t="shared" si="137"/>
        <v>0.66666666666666663</v>
      </c>
      <c r="W328">
        <f>survey_responses[[#This Row],[Tôi tin rằng Nhà nước, cơ quan thuế có đủ khả năng và công nghệ để phát hiện, xử lý nghiêm các hành vi trốn thuế. - HUMAN-ENF2]]</f>
        <v>7</v>
      </c>
      <c r="X328">
        <f t="shared" si="138"/>
        <v>0.66666666666666663</v>
      </c>
      <c r="Y328" s="32">
        <f t="shared" si="139"/>
        <v>0.61111111111111116</v>
      </c>
      <c r="Z328" s="32">
        <f t="shared" si="140"/>
        <v>0.66666666666666663</v>
      </c>
      <c r="AA328">
        <f>step3_validation[[#This Row],[AI_FAC1]]</f>
        <v>9</v>
      </c>
      <c r="AB328">
        <f t="shared" si="141"/>
        <v>0.88888888888888884</v>
      </c>
      <c r="AC328">
        <f>survey_responses[[#This Row],[Các thủ tục khai báo thuế VÀ/HOẶC quy trình làm việc với cơ quan thuế đơn giản, tiện lợi, nhanh chóng hơn so với trước đây. - HUMAN-FAC1]]</f>
        <v>7</v>
      </c>
      <c r="AD328">
        <f t="shared" si="142"/>
        <v>0.66666666666666663</v>
      </c>
      <c r="AE328">
        <f>step3_validation[[#This Row],[AI_FAC2]]</f>
        <v>10</v>
      </c>
      <c r="AF328">
        <f t="shared" si="143"/>
        <v>1</v>
      </c>
      <c r="AG328">
        <f>survey_responses[[#This Row],[So với trước đây, tôi thấy cách tính thuế và các bậc thuế trong phương án mới đơn giản, dễ hiểu và dễ thực hiện hơn. - HUMAN-FAC2]]</f>
        <v>9</v>
      </c>
      <c r="AH328">
        <f t="shared" si="144"/>
        <v>0.88888888888888884</v>
      </c>
      <c r="AI328" s="32">
        <f t="shared" si="145"/>
        <v>0.94444444444444442</v>
      </c>
      <c r="AJ328" s="32">
        <f t="shared" si="146"/>
        <v>0.77777777777777768</v>
      </c>
      <c r="AK328">
        <f>step3_validation[[#This Row],[AI_TRU1]]</f>
        <v>7</v>
      </c>
      <c r="AL328">
        <f t="shared" si="147"/>
        <v>0.66666666666666663</v>
      </c>
      <c r="AM328">
        <f>survey_responses[[#This Row],[Tôi tin rằng Nhà nước, cơ quan thuế sẽ thực thi chính sách mới một cách khách quan, công tâm và đối xử bình đẳng với mọi người nộp thuế.  - HUMAN-TRU1]]</f>
        <v>7</v>
      </c>
      <c r="AN328">
        <f t="shared" si="148"/>
        <v>0.66666666666666663</v>
      </c>
      <c r="AO328">
        <f>step3_validation[[#This Row],[AI_TRU2]]</f>
        <v>8</v>
      </c>
      <c r="AP328">
        <f t="shared" si="149"/>
        <v>0.77777777777777779</v>
      </c>
      <c r="AQ328">
        <f>survey_responses[[#This Row],[Tôi thấy mức thuế tôi phải đóng theo phương án mới là công bằng (người thu nhập như tôi đóng mức này là hợp lý). - HUMAN-TRU2]]</f>
        <v>8</v>
      </c>
      <c r="AR328">
        <f t="shared" si="150"/>
        <v>0.77777777777777779</v>
      </c>
      <c r="AS328">
        <f>step3_validation[[#This Row],[AI_TRU3]]</f>
        <v>6</v>
      </c>
      <c r="AT328">
        <f t="shared" si="151"/>
        <v>0.55555555555555558</v>
      </c>
      <c r="AU328">
        <f>survey_responses[[#This Row],[Tôi tin tưởng số tiền thuế tôi đóng sẽ được Nhà nước sử dụng hiệu quả để cải thiện dịch vụ công (y tế, đường xá...). - HUMAN-TRU3]]</f>
        <v>5</v>
      </c>
      <c r="AV328">
        <f t="shared" si="152"/>
        <v>0.44444444444444442</v>
      </c>
      <c r="AW328">
        <f>step3_validation[[#This Row],[AI_TRU4]]</f>
        <v>7</v>
      </c>
      <c r="AX328">
        <f t="shared" si="153"/>
        <v>0.66666666666666663</v>
      </c>
      <c r="AY328">
        <f>survey_responses[[#This Row],[Tôi thấy Nhà nước đã giải thích rõ ràng, minh bạch về lý do và mục tiêu của việc sửa đổi thuế lần này. - HUMAN-TRU4]]</f>
        <v>7</v>
      </c>
      <c r="AZ328">
        <f t="shared" si="154"/>
        <v>0.66666666666666663</v>
      </c>
      <c r="BA328" s="32">
        <f t="shared" si="155"/>
        <v>0.66666666666666663</v>
      </c>
      <c r="BB328" s="32">
        <f t="shared" si="156"/>
        <v>0.63888888888888884</v>
      </c>
      <c r="BC328" s="7">
        <f t="shared" si="157"/>
        <v>0.74074074074074081</v>
      </c>
      <c r="BD328" s="7">
        <f t="shared" si="158"/>
        <v>0.69444444444444431</v>
      </c>
      <c r="BE328">
        <f>step3_validation[[#This Row],[AI_OUT1]]</f>
        <v>8</v>
      </c>
      <c r="BF328">
        <f t="shared" si="159"/>
        <v>0.77777777777777779</v>
      </c>
      <c r="BG328">
        <f>survey_responses[[#This Row],[Sau khi xem xét các quyền lợi và nghĩa vụ, bạn có ủng hộ và tuân thủ chính sách mới hiện nay? - HUMAN-OUT1]]</f>
        <v>8</v>
      </c>
      <c r="BH328">
        <f t="shared" si="160"/>
        <v>0.77777777777777779</v>
      </c>
      <c r="BI328" s="32">
        <f t="shared" si="161"/>
        <v>0</v>
      </c>
    </row>
    <row r="329" spans="1:61" x14ac:dyDescent="0.45">
      <c r="A329" s="30">
        <f>step3_validation[[#This Row],[Persona_ID]]</f>
        <v>328</v>
      </c>
      <c r="B329" s="31">
        <f>step3_validation[[#This Row],[Used_Seed]]</f>
        <v>2353</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94.658327303822261</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8</v>
      </c>
      <c r="R329">
        <f t="shared" si="135"/>
        <v>0.77777777777777779</v>
      </c>
      <c r="S329">
        <f>survey_responses[[#This Row],[Tôi tin rằng với các quy định quản lý thuế hiện nay, hành vi gian lận hoặc trốn thuế sẽ dễ dàng bị phát hiện và xử lý nghiêm. - HUMAN-ENF1]]</f>
        <v>7</v>
      </c>
      <c r="T329">
        <f t="shared" si="136"/>
        <v>0.66666666666666663</v>
      </c>
      <c r="U329">
        <f>step3_validation[[#This Row],[AI_ENF2]]</f>
        <v>7</v>
      </c>
      <c r="V329">
        <f t="shared" si="137"/>
        <v>0.66666666666666663</v>
      </c>
      <c r="W329">
        <f>survey_responses[[#This Row],[Tôi tin rằng Nhà nước, cơ quan thuế có đủ khả năng và công nghệ để phát hiện, xử lý nghiêm các hành vi trốn thuế. - HUMAN-ENF2]]</f>
        <v>8</v>
      </c>
      <c r="X329">
        <f t="shared" si="138"/>
        <v>0.77777777777777779</v>
      </c>
      <c r="Y329" s="32">
        <f t="shared" si="139"/>
        <v>0.72222222222222221</v>
      </c>
      <c r="Z329" s="32">
        <f t="shared" si="140"/>
        <v>0.72222222222222221</v>
      </c>
      <c r="AA329">
        <f>step3_validation[[#This Row],[AI_FAC1]]</f>
        <v>9</v>
      </c>
      <c r="AB329">
        <f t="shared" si="141"/>
        <v>0.88888888888888884</v>
      </c>
      <c r="AC329">
        <f>survey_responses[[#This Row],[Các thủ tục khai báo thuế VÀ/HOẶC quy trình làm việc với cơ quan thuế đơn giản, tiện lợi, nhanh chóng hơn so với trước đây. - HUMAN-FAC1]]</f>
        <v>9</v>
      </c>
      <c r="AD329">
        <f t="shared" si="142"/>
        <v>0.88888888888888884</v>
      </c>
      <c r="AE329">
        <f>step3_validation[[#This Row],[AI_FAC2]]</f>
        <v>8</v>
      </c>
      <c r="AF329">
        <f t="shared" si="143"/>
        <v>0.77777777777777779</v>
      </c>
      <c r="AG329">
        <f>survey_responses[[#This Row],[So với trước đây, tôi thấy cách tính thuế và các bậc thuế trong phương án mới đơn giản, dễ hiểu và dễ thực hiện hơn. - HUMAN-FAC2]]</f>
        <v>9</v>
      </c>
      <c r="AH329">
        <f t="shared" si="144"/>
        <v>0.88888888888888884</v>
      </c>
      <c r="AI329" s="32">
        <f t="shared" si="145"/>
        <v>0.83333333333333326</v>
      </c>
      <c r="AJ329" s="32">
        <f t="shared" si="146"/>
        <v>0.88888888888888884</v>
      </c>
      <c r="AK329">
        <f>step3_validation[[#This Row],[AI_TRU1]]</f>
        <v>9</v>
      </c>
      <c r="AL329">
        <f t="shared" si="147"/>
        <v>0.88888888888888884</v>
      </c>
      <c r="AM329">
        <f>survey_responses[[#This Row],[Tôi tin rằng Nhà nước, cơ quan thuế sẽ thực thi chính sách mới một cách khách quan, công tâm và đối xử bình đẳng với mọi người nộp thuế.  - HUMAN-TRU1]]</f>
        <v>9</v>
      </c>
      <c r="AN329">
        <f t="shared" si="148"/>
        <v>0.88888888888888884</v>
      </c>
      <c r="AO329">
        <f>step3_validation[[#This Row],[AI_TRU2]]</f>
        <v>8</v>
      </c>
      <c r="AP329">
        <f t="shared" si="149"/>
        <v>0.77777777777777779</v>
      </c>
      <c r="AQ329">
        <f>survey_responses[[#This Row],[Tôi thấy mức thuế tôi phải đóng theo phương án mới là công bằng (người thu nhập như tôi đóng mức này là hợp lý). - HUMAN-TRU2]]</f>
        <v>8</v>
      </c>
      <c r="AR329">
        <f t="shared" si="150"/>
        <v>0.77777777777777779</v>
      </c>
      <c r="AS329">
        <f>step3_validation[[#This Row],[AI_TRU3]]</f>
        <v>9</v>
      </c>
      <c r="AT329">
        <f t="shared" si="151"/>
        <v>0.88888888888888884</v>
      </c>
      <c r="AU329">
        <f>survey_responses[[#This Row],[Tôi tin tưởng số tiền thuế tôi đóng sẽ được Nhà nước sử dụng hiệu quả để cải thiện dịch vụ công (y tế, đường xá...). - HUMAN-TRU3]]</f>
        <v>7</v>
      </c>
      <c r="AV329">
        <f t="shared" si="152"/>
        <v>0.66666666666666663</v>
      </c>
      <c r="AW329">
        <f>step3_validation[[#This Row],[AI_TRU4]]</f>
        <v>8</v>
      </c>
      <c r="AX329">
        <f t="shared" si="153"/>
        <v>0.77777777777777779</v>
      </c>
      <c r="AY329">
        <f>survey_responses[[#This Row],[Tôi thấy Nhà nước đã giải thích rõ ràng, minh bạch về lý do và mục tiêu của việc sửa đổi thuế lần này. - HUMAN-TRU4]]</f>
        <v>7</v>
      </c>
      <c r="AZ329">
        <f t="shared" si="154"/>
        <v>0.66666666666666663</v>
      </c>
      <c r="BA329" s="32">
        <f t="shared" si="155"/>
        <v>0.83333333333333326</v>
      </c>
      <c r="BB329" s="32">
        <f t="shared" si="156"/>
        <v>0.74999999999999989</v>
      </c>
      <c r="BC329" s="7">
        <f t="shared" si="157"/>
        <v>0.79629629629629617</v>
      </c>
      <c r="BD329" s="7">
        <f t="shared" si="158"/>
        <v>0.78703703703703709</v>
      </c>
      <c r="BE329">
        <f>step3_validation[[#This Row],[AI_OUT1]]</f>
        <v>9</v>
      </c>
      <c r="BF329">
        <f t="shared" si="159"/>
        <v>0.88888888888888884</v>
      </c>
      <c r="BG329">
        <f>survey_responses[[#This Row],[Sau khi xem xét các quyền lợi và nghĩa vụ, bạn có ủng hộ và tuân thủ chính sách mới hiện nay? - HUMAN-OUT1]]</f>
        <v>9</v>
      </c>
      <c r="BH329">
        <f t="shared" si="160"/>
        <v>0.88888888888888884</v>
      </c>
      <c r="BI329" s="32">
        <f t="shared" si="161"/>
        <v>0</v>
      </c>
    </row>
    <row r="330" spans="1:61" x14ac:dyDescent="0.45">
      <c r="A330" s="30">
        <f>step3_validation[[#This Row],[Persona_ID]]</f>
        <v>329</v>
      </c>
      <c r="B330" s="31">
        <f>step3_validation[[#This Row],[Used_Seed]]</f>
        <v>2354</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12.906355014656938</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7</v>
      </c>
      <c r="R330">
        <f t="shared" si="135"/>
        <v>0.66666666666666663</v>
      </c>
      <c r="S330">
        <f>survey_responses[[#This Row],[Tôi tin rằng với các quy định quản lý thuế hiện nay, hành vi gian lận hoặc trốn thuế sẽ dễ dàng bị phát hiện và xử lý nghiêm. - HUMAN-ENF1]]</f>
        <v>7</v>
      </c>
      <c r="T330">
        <f t="shared" si="136"/>
        <v>0.66666666666666663</v>
      </c>
      <c r="U330">
        <f>step3_validation[[#This Row],[AI_ENF2]]</f>
        <v>7</v>
      </c>
      <c r="V330">
        <f t="shared" si="137"/>
        <v>0.66666666666666663</v>
      </c>
      <c r="W330">
        <f>survey_responses[[#This Row],[Tôi tin rằng Nhà nước, cơ quan thuế có đủ khả năng và công nghệ để phát hiện, xử lý nghiêm các hành vi trốn thuế. - HUMAN-ENF2]]</f>
        <v>7</v>
      </c>
      <c r="X330">
        <f t="shared" si="138"/>
        <v>0.66666666666666663</v>
      </c>
      <c r="Y330" s="32">
        <f t="shared" si="139"/>
        <v>0.66666666666666663</v>
      </c>
      <c r="Z330" s="32">
        <f t="shared" si="140"/>
        <v>0.66666666666666663</v>
      </c>
      <c r="AA330">
        <f>step3_validation[[#This Row],[AI_FAC1]]</f>
        <v>9</v>
      </c>
      <c r="AB330">
        <f t="shared" si="141"/>
        <v>0.88888888888888884</v>
      </c>
      <c r="AC330">
        <f>survey_responses[[#This Row],[Các thủ tục khai báo thuế VÀ/HOẶC quy trình làm việc với cơ quan thuế đơn giản, tiện lợi, nhanh chóng hơn so với trước đây. - HUMAN-FAC1]]</f>
        <v>9</v>
      </c>
      <c r="AD330">
        <f t="shared" si="142"/>
        <v>0.88888888888888884</v>
      </c>
      <c r="AE330">
        <f>step3_validation[[#This Row],[AI_FAC2]]</f>
        <v>9</v>
      </c>
      <c r="AF330">
        <f t="shared" si="143"/>
        <v>0.88888888888888884</v>
      </c>
      <c r="AG330">
        <f>survey_responses[[#This Row],[So với trước đây, tôi thấy cách tính thuế và các bậc thuế trong phương án mới đơn giản, dễ hiểu và dễ thực hiện hơn. - HUMAN-FAC2]]</f>
        <v>9</v>
      </c>
      <c r="AH330">
        <f t="shared" si="144"/>
        <v>0.88888888888888884</v>
      </c>
      <c r="AI330" s="32">
        <f t="shared" si="145"/>
        <v>0.88888888888888884</v>
      </c>
      <c r="AJ330" s="32">
        <f t="shared" si="146"/>
        <v>0.88888888888888884</v>
      </c>
      <c r="AK330">
        <f>step3_validation[[#This Row],[AI_TRU1]]</f>
        <v>8</v>
      </c>
      <c r="AL330">
        <f t="shared" si="147"/>
        <v>0.77777777777777779</v>
      </c>
      <c r="AM330">
        <f>survey_responses[[#This Row],[Tôi tin rằng Nhà nước, cơ quan thuế sẽ thực thi chính sách mới một cách khách quan, công tâm và đối xử bình đẳng với mọi người nộp thuế.  - HUMAN-TRU1]]</f>
        <v>9</v>
      </c>
      <c r="AN330">
        <f t="shared" si="148"/>
        <v>0.88888888888888884</v>
      </c>
      <c r="AO330">
        <f>step3_validation[[#This Row],[AI_TRU2]]</f>
        <v>8</v>
      </c>
      <c r="AP330">
        <f t="shared" si="149"/>
        <v>0.77777777777777779</v>
      </c>
      <c r="AQ330">
        <f>survey_responses[[#This Row],[Tôi thấy mức thuế tôi phải đóng theo phương án mới là công bằng (người thu nhập như tôi đóng mức này là hợp lý). - HUMAN-TRU2]]</f>
        <v>9</v>
      </c>
      <c r="AR330">
        <f t="shared" si="150"/>
        <v>0.88888888888888884</v>
      </c>
      <c r="AS330">
        <f>step3_validation[[#This Row],[AI_TRU3]]</f>
        <v>9</v>
      </c>
      <c r="AT330">
        <f t="shared" si="151"/>
        <v>0.88888888888888884</v>
      </c>
      <c r="AU330">
        <f>survey_responses[[#This Row],[Tôi tin tưởng số tiền thuế tôi đóng sẽ được Nhà nước sử dụng hiệu quả để cải thiện dịch vụ công (y tế, đường xá...). - HUMAN-TRU3]]</f>
        <v>5</v>
      </c>
      <c r="AV330">
        <f t="shared" si="152"/>
        <v>0.44444444444444442</v>
      </c>
      <c r="AW330">
        <f>step3_validation[[#This Row],[AI_TRU4]]</f>
        <v>7</v>
      </c>
      <c r="AX330">
        <f t="shared" si="153"/>
        <v>0.66666666666666663</v>
      </c>
      <c r="AY330">
        <f>survey_responses[[#This Row],[Tôi thấy Nhà nước đã giải thích rõ ràng, minh bạch về lý do và mục tiêu của việc sửa đổi thuế lần này. - HUMAN-TRU4]]</f>
        <v>6</v>
      </c>
      <c r="AZ330">
        <f t="shared" si="154"/>
        <v>0.55555555555555558</v>
      </c>
      <c r="BA330" s="32">
        <f t="shared" si="155"/>
        <v>0.77777777777777779</v>
      </c>
      <c r="BB330" s="32">
        <f t="shared" si="156"/>
        <v>0.69444444444444442</v>
      </c>
      <c r="BC330" s="7">
        <f t="shared" si="157"/>
        <v>0.77777777777777768</v>
      </c>
      <c r="BD330" s="7">
        <f t="shared" si="158"/>
        <v>0.75</v>
      </c>
      <c r="BE330">
        <f>step3_validation[[#This Row],[AI_OUT1]]</f>
        <v>9</v>
      </c>
      <c r="BF330">
        <f t="shared" si="159"/>
        <v>0.88888888888888884</v>
      </c>
      <c r="BG330">
        <f>survey_responses[[#This Row],[Sau khi xem xét các quyền lợi và nghĩa vụ, bạn có ủng hộ và tuân thủ chính sách mới hiện nay? - HUMAN-OUT1]]</f>
        <v>9</v>
      </c>
      <c r="BH330">
        <f t="shared" si="160"/>
        <v>0.88888888888888884</v>
      </c>
      <c r="BI330" s="32">
        <f t="shared" si="161"/>
        <v>0</v>
      </c>
    </row>
    <row r="331" spans="1:61" x14ac:dyDescent="0.45">
      <c r="A331" s="30">
        <f>step3_validation[[#This Row],[Persona_ID]]</f>
        <v>330</v>
      </c>
      <c r="B331" s="31">
        <f>step3_validation[[#This Row],[Used_Seed]]</f>
        <v>2355</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14.610230031752785</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7</v>
      </c>
      <c r="R331">
        <f t="shared" si="135"/>
        <v>0.66666666666666663</v>
      </c>
      <c r="S331">
        <f>survey_responses[[#This Row],[Tôi tin rằng với các quy định quản lý thuế hiện nay, hành vi gian lận hoặc trốn thuế sẽ dễ dàng bị phát hiện và xử lý nghiêm. - HUMAN-ENF1]]</f>
        <v>3</v>
      </c>
      <c r="T331">
        <f t="shared" si="136"/>
        <v>0.22222222222222221</v>
      </c>
      <c r="U331">
        <f>step3_validation[[#This Row],[AI_ENF2]]</f>
        <v>7</v>
      </c>
      <c r="V331">
        <f t="shared" si="137"/>
        <v>0.66666666666666663</v>
      </c>
      <c r="W331">
        <f>survey_responses[[#This Row],[Tôi tin rằng Nhà nước, cơ quan thuế có đủ khả năng và công nghệ để phát hiện, xử lý nghiêm các hành vi trốn thuế. - HUMAN-ENF2]]</f>
        <v>3</v>
      </c>
      <c r="X331">
        <f t="shared" si="138"/>
        <v>0.22222222222222221</v>
      </c>
      <c r="Y331" s="32">
        <f t="shared" si="139"/>
        <v>0.66666666666666663</v>
      </c>
      <c r="Z331" s="32">
        <f t="shared" si="140"/>
        <v>0.22222222222222221</v>
      </c>
      <c r="AA331">
        <f>step3_validation[[#This Row],[AI_FAC1]]</f>
        <v>8</v>
      </c>
      <c r="AB331">
        <f t="shared" si="141"/>
        <v>0.77777777777777779</v>
      </c>
      <c r="AC331">
        <f>survey_responses[[#This Row],[Các thủ tục khai báo thuế VÀ/HOẶC quy trình làm việc với cơ quan thuế đơn giản, tiện lợi, nhanh chóng hơn so với trước đây. - HUMAN-FAC1]]</f>
        <v>5</v>
      </c>
      <c r="AD331">
        <f t="shared" si="142"/>
        <v>0.44444444444444442</v>
      </c>
      <c r="AE331">
        <f>step3_validation[[#This Row],[AI_FAC2]]</f>
        <v>9</v>
      </c>
      <c r="AF331">
        <f t="shared" si="143"/>
        <v>0.88888888888888884</v>
      </c>
      <c r="AG331">
        <f>survey_responses[[#This Row],[So với trước đây, tôi thấy cách tính thuế và các bậc thuế trong phương án mới đơn giản, dễ hiểu và dễ thực hiện hơn. - HUMAN-FAC2]]</f>
        <v>6</v>
      </c>
      <c r="AH331">
        <f t="shared" si="144"/>
        <v>0.55555555555555558</v>
      </c>
      <c r="AI331" s="32">
        <f t="shared" si="145"/>
        <v>0.83333333333333326</v>
      </c>
      <c r="AJ331" s="32">
        <f t="shared" si="146"/>
        <v>0.5</v>
      </c>
      <c r="AK331">
        <f>step3_validation[[#This Row],[AI_TRU1]]</f>
        <v>8</v>
      </c>
      <c r="AL331">
        <f t="shared" si="147"/>
        <v>0.77777777777777779</v>
      </c>
      <c r="AM331">
        <f>survey_responses[[#This Row],[Tôi tin rằng Nhà nước, cơ quan thuế sẽ thực thi chính sách mới một cách khách quan, công tâm và đối xử bình đẳng với mọi người nộp thuế.  - HUMAN-TRU1]]</f>
        <v>4</v>
      </c>
      <c r="AN331">
        <f t="shared" si="148"/>
        <v>0.33333333333333331</v>
      </c>
      <c r="AO331">
        <f>step3_validation[[#This Row],[AI_TRU2]]</f>
        <v>9</v>
      </c>
      <c r="AP331">
        <f t="shared" si="149"/>
        <v>0.88888888888888884</v>
      </c>
      <c r="AQ331">
        <f>survey_responses[[#This Row],[Tôi thấy mức thuế tôi phải đóng theo phương án mới là công bằng (người thu nhập như tôi đóng mức này là hợp lý). - HUMAN-TRU2]]</f>
        <v>5</v>
      </c>
      <c r="AR331">
        <f t="shared" si="150"/>
        <v>0.44444444444444442</v>
      </c>
      <c r="AS331">
        <f>step3_validation[[#This Row],[AI_TRU3]]</f>
        <v>8</v>
      </c>
      <c r="AT331">
        <f t="shared" si="151"/>
        <v>0.77777777777777779</v>
      </c>
      <c r="AU331">
        <f>survey_responses[[#This Row],[Tôi tin tưởng số tiền thuế tôi đóng sẽ được Nhà nước sử dụng hiệu quả để cải thiện dịch vụ công (y tế, đường xá...). - HUMAN-TRU3]]</f>
        <v>5</v>
      </c>
      <c r="AV331">
        <f t="shared" si="152"/>
        <v>0.44444444444444442</v>
      </c>
      <c r="AW331">
        <f>step3_validation[[#This Row],[AI_TRU4]]</f>
        <v>9</v>
      </c>
      <c r="AX331">
        <f t="shared" si="153"/>
        <v>0.88888888888888884</v>
      </c>
      <c r="AY331">
        <f>survey_responses[[#This Row],[Tôi thấy Nhà nước đã giải thích rõ ràng, minh bạch về lý do và mục tiêu của việc sửa đổi thuế lần này. - HUMAN-TRU4]]</f>
        <v>5</v>
      </c>
      <c r="AZ331">
        <f t="shared" si="154"/>
        <v>0.44444444444444442</v>
      </c>
      <c r="BA331" s="32">
        <f t="shared" si="155"/>
        <v>0.83333333333333326</v>
      </c>
      <c r="BB331" s="32">
        <f t="shared" si="156"/>
        <v>0.41666666666666663</v>
      </c>
      <c r="BC331" s="7">
        <f t="shared" si="157"/>
        <v>0.77777777777777768</v>
      </c>
      <c r="BD331" s="7">
        <f t="shared" si="158"/>
        <v>0.37962962962962959</v>
      </c>
      <c r="BE331">
        <f>step3_validation[[#This Row],[AI_OUT1]]</f>
        <v>8</v>
      </c>
      <c r="BF331">
        <f t="shared" si="159"/>
        <v>0.77777777777777779</v>
      </c>
      <c r="BG331">
        <f>survey_responses[[#This Row],[Sau khi xem xét các quyền lợi và nghĩa vụ, bạn có ủng hộ và tuân thủ chính sách mới hiện nay? - HUMAN-OUT1]]</f>
        <v>5</v>
      </c>
      <c r="BH331">
        <f t="shared" si="160"/>
        <v>0.44444444444444442</v>
      </c>
      <c r="BI331" s="32">
        <f t="shared" si="161"/>
        <v>3</v>
      </c>
    </row>
    <row r="332" spans="1:61" x14ac:dyDescent="0.45">
      <c r="A332" s="30">
        <f>step3_validation[[#This Row],[Persona_ID]]</f>
        <v>331</v>
      </c>
      <c r="B332" s="31">
        <f>step3_validation[[#This Row],[Used_Seed]]</f>
        <v>2356</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24.317590012924995</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6</v>
      </c>
      <c r="R332">
        <f t="shared" si="135"/>
        <v>0.55555555555555558</v>
      </c>
      <c r="S332">
        <f>survey_responses[[#This Row],[Tôi tin rằng với các quy định quản lý thuế hiện nay, hành vi gian lận hoặc trốn thuế sẽ dễ dàng bị phát hiện và xử lý nghiêm. - HUMAN-ENF1]]</f>
        <v>4</v>
      </c>
      <c r="T332">
        <f t="shared" si="136"/>
        <v>0.33333333333333331</v>
      </c>
      <c r="U332">
        <f>step3_validation[[#This Row],[AI_ENF2]]</f>
        <v>6</v>
      </c>
      <c r="V332">
        <f t="shared" si="137"/>
        <v>0.55555555555555558</v>
      </c>
      <c r="W332">
        <f>survey_responses[[#This Row],[Tôi tin rằng Nhà nước, cơ quan thuế có đủ khả năng và công nghệ để phát hiện, xử lý nghiêm các hành vi trốn thuế. - HUMAN-ENF2]]</f>
        <v>4</v>
      </c>
      <c r="X332">
        <f t="shared" si="138"/>
        <v>0.33333333333333331</v>
      </c>
      <c r="Y332" s="32">
        <f t="shared" si="139"/>
        <v>0.55555555555555558</v>
      </c>
      <c r="Z332" s="32">
        <f t="shared" si="140"/>
        <v>0.33333333333333331</v>
      </c>
      <c r="AA332">
        <f>step3_validation[[#This Row],[AI_FAC1]]</f>
        <v>9</v>
      </c>
      <c r="AB332">
        <f t="shared" si="141"/>
        <v>0.88888888888888884</v>
      </c>
      <c r="AC332">
        <f>survey_responses[[#This Row],[Các thủ tục khai báo thuế VÀ/HOẶC quy trình làm việc với cơ quan thuế đơn giản, tiện lợi, nhanh chóng hơn so với trước đây. - HUMAN-FAC1]]</f>
        <v>5</v>
      </c>
      <c r="AD332">
        <f t="shared" si="142"/>
        <v>0.44444444444444442</v>
      </c>
      <c r="AE332">
        <f>step3_validation[[#This Row],[AI_FAC2]]</f>
        <v>8</v>
      </c>
      <c r="AF332">
        <f t="shared" si="143"/>
        <v>0.77777777777777779</v>
      </c>
      <c r="AG332">
        <f>survey_responses[[#This Row],[So với trước đây, tôi thấy cách tính thuế và các bậc thuế trong phương án mới đơn giản, dễ hiểu và dễ thực hiện hơn. - HUMAN-FAC2]]</f>
        <v>6</v>
      </c>
      <c r="AH332">
        <f t="shared" si="144"/>
        <v>0.55555555555555558</v>
      </c>
      <c r="AI332" s="32">
        <f t="shared" si="145"/>
        <v>0.83333333333333326</v>
      </c>
      <c r="AJ332" s="32">
        <f t="shared" si="146"/>
        <v>0.5</v>
      </c>
      <c r="AK332">
        <f>step3_validation[[#This Row],[AI_TRU1]]</f>
        <v>6</v>
      </c>
      <c r="AL332">
        <f t="shared" si="147"/>
        <v>0.55555555555555558</v>
      </c>
      <c r="AM332">
        <f>survey_responses[[#This Row],[Tôi tin rằng Nhà nước, cơ quan thuế sẽ thực thi chính sách mới một cách khách quan, công tâm và đối xử bình đẳng với mọi người nộp thuế.  - HUMAN-TRU1]]</f>
        <v>4</v>
      </c>
      <c r="AN332">
        <f t="shared" si="148"/>
        <v>0.33333333333333331</v>
      </c>
      <c r="AO332">
        <f>step3_validation[[#This Row],[AI_TRU2]]</f>
        <v>8</v>
      </c>
      <c r="AP332">
        <f t="shared" si="149"/>
        <v>0.77777777777777779</v>
      </c>
      <c r="AQ332">
        <f>survey_responses[[#This Row],[Tôi thấy mức thuế tôi phải đóng theo phương án mới là công bằng (người thu nhập như tôi đóng mức này là hợp lý). - HUMAN-TRU2]]</f>
        <v>5</v>
      </c>
      <c r="AR332">
        <f t="shared" si="150"/>
        <v>0.44444444444444442</v>
      </c>
      <c r="AS332">
        <f>step3_validation[[#This Row],[AI_TRU3]]</f>
        <v>6</v>
      </c>
      <c r="AT332">
        <f t="shared" si="151"/>
        <v>0.55555555555555558</v>
      </c>
      <c r="AU332">
        <f>survey_responses[[#This Row],[Tôi tin tưởng số tiền thuế tôi đóng sẽ được Nhà nước sử dụng hiệu quả để cải thiện dịch vụ công (y tế, đường xá...). - HUMAN-TRU3]]</f>
        <v>3</v>
      </c>
      <c r="AV332">
        <f t="shared" si="152"/>
        <v>0.22222222222222221</v>
      </c>
      <c r="AW332">
        <f>step3_validation[[#This Row],[AI_TRU4]]</f>
        <v>7</v>
      </c>
      <c r="AX332">
        <f t="shared" si="153"/>
        <v>0.66666666666666663</v>
      </c>
      <c r="AY332">
        <f>survey_responses[[#This Row],[Tôi thấy Nhà nước đã giải thích rõ ràng, minh bạch về lý do và mục tiêu của việc sửa đổi thuế lần này. - HUMAN-TRU4]]</f>
        <v>4</v>
      </c>
      <c r="AZ332">
        <f t="shared" si="154"/>
        <v>0.33333333333333331</v>
      </c>
      <c r="BA332" s="32">
        <f t="shared" si="155"/>
        <v>0.63888888888888895</v>
      </c>
      <c r="BB332" s="32">
        <f t="shared" si="156"/>
        <v>0.33333333333333331</v>
      </c>
      <c r="BC332" s="7">
        <f t="shared" si="157"/>
        <v>0.67592592592592593</v>
      </c>
      <c r="BD332" s="7">
        <f t="shared" si="158"/>
        <v>0.38888888888888884</v>
      </c>
      <c r="BE332">
        <f>step3_validation[[#This Row],[AI_OUT1]]</f>
        <v>6</v>
      </c>
      <c r="BF332">
        <f t="shared" si="159"/>
        <v>0.55555555555555558</v>
      </c>
      <c r="BG332">
        <f>survey_responses[[#This Row],[Sau khi xem xét các quyền lợi và nghĩa vụ, bạn có ủng hộ và tuân thủ chính sách mới hiện nay? - HUMAN-OUT1]]</f>
        <v>5</v>
      </c>
      <c r="BH332">
        <f t="shared" si="160"/>
        <v>0.44444444444444442</v>
      </c>
      <c r="BI332" s="32">
        <f t="shared" si="161"/>
        <v>1</v>
      </c>
    </row>
    <row r="333" spans="1:61" x14ac:dyDescent="0.45">
      <c r="A333" s="30">
        <f>step3_validation[[#This Row],[Persona_ID]]</f>
        <v>332</v>
      </c>
      <c r="B333" s="31">
        <f>step3_validation[[#This Row],[Used_Seed]]</f>
        <v>2357</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18.770659043386182</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7</v>
      </c>
      <c r="R333">
        <f t="shared" si="135"/>
        <v>0.66666666666666663</v>
      </c>
      <c r="S333">
        <f>survey_responses[[#This Row],[Tôi tin rằng với các quy định quản lý thuế hiện nay, hành vi gian lận hoặc trốn thuế sẽ dễ dàng bị phát hiện và xử lý nghiêm. - HUMAN-ENF1]]</f>
        <v>7</v>
      </c>
      <c r="T333">
        <f t="shared" si="136"/>
        <v>0.66666666666666663</v>
      </c>
      <c r="U333">
        <f>step3_validation[[#This Row],[AI_ENF2]]</f>
        <v>8</v>
      </c>
      <c r="V333">
        <f t="shared" si="137"/>
        <v>0.77777777777777779</v>
      </c>
      <c r="W333">
        <f>survey_responses[[#This Row],[Tôi tin rằng Nhà nước, cơ quan thuế có đủ khả năng và công nghệ để phát hiện, xử lý nghiêm các hành vi trốn thuế. - HUMAN-ENF2]]</f>
        <v>7</v>
      </c>
      <c r="X333">
        <f t="shared" si="138"/>
        <v>0.66666666666666663</v>
      </c>
      <c r="Y333" s="32">
        <f t="shared" si="139"/>
        <v>0.72222222222222221</v>
      </c>
      <c r="Z333" s="32">
        <f t="shared" si="140"/>
        <v>0.66666666666666663</v>
      </c>
      <c r="AA333">
        <f>step3_validation[[#This Row],[AI_FAC1]]</f>
        <v>7</v>
      </c>
      <c r="AB333">
        <f t="shared" si="141"/>
        <v>0.66666666666666663</v>
      </c>
      <c r="AC333">
        <f>survey_responses[[#This Row],[Các thủ tục khai báo thuế VÀ/HOẶC quy trình làm việc với cơ quan thuế đơn giản, tiện lợi, nhanh chóng hơn so với trước đây. - HUMAN-FAC1]]</f>
        <v>9</v>
      </c>
      <c r="AD333">
        <f t="shared" si="142"/>
        <v>0.88888888888888884</v>
      </c>
      <c r="AE333">
        <f>step3_validation[[#This Row],[AI_FAC2]]</f>
        <v>9</v>
      </c>
      <c r="AF333">
        <f t="shared" si="143"/>
        <v>0.88888888888888884</v>
      </c>
      <c r="AG333">
        <f>survey_responses[[#This Row],[So với trước đây, tôi thấy cách tính thuế và các bậc thuế trong phương án mới đơn giản, dễ hiểu và dễ thực hiện hơn. - HUMAN-FAC2]]</f>
        <v>9</v>
      </c>
      <c r="AH333">
        <f t="shared" si="144"/>
        <v>0.88888888888888884</v>
      </c>
      <c r="AI333" s="32">
        <f t="shared" si="145"/>
        <v>0.77777777777777768</v>
      </c>
      <c r="AJ333" s="32">
        <f t="shared" si="146"/>
        <v>0.88888888888888884</v>
      </c>
      <c r="AK333">
        <f>step3_validation[[#This Row],[AI_TRU1]]</f>
        <v>0</v>
      </c>
      <c r="AL333">
        <f t="shared" si="147"/>
        <v>-0.1111111111111111</v>
      </c>
      <c r="AM333">
        <f>survey_responses[[#This Row],[Tôi tin rằng Nhà nước, cơ quan thuế sẽ thực thi chính sách mới một cách khách quan, công tâm và đối xử bình đẳng với mọi người nộp thuế.  - HUMAN-TRU1]]</f>
        <v>8</v>
      </c>
      <c r="AN333">
        <f t="shared" si="148"/>
        <v>0.77777777777777779</v>
      </c>
      <c r="AO333">
        <f>step3_validation[[#This Row],[AI_TRU2]]</f>
        <v>0</v>
      </c>
      <c r="AP333">
        <f t="shared" si="149"/>
        <v>-0.1111111111111111</v>
      </c>
      <c r="AQ333">
        <f>survey_responses[[#This Row],[Tôi thấy mức thuế tôi phải đóng theo phương án mới là công bằng (người thu nhập như tôi đóng mức này là hợp lý). - HUMAN-TRU2]]</f>
        <v>9</v>
      </c>
      <c r="AR333">
        <f t="shared" si="150"/>
        <v>0.88888888888888884</v>
      </c>
      <c r="AS333">
        <f>step3_validation[[#This Row],[AI_TRU3]]</f>
        <v>0</v>
      </c>
      <c r="AT333">
        <f t="shared" si="151"/>
        <v>-0.1111111111111111</v>
      </c>
      <c r="AU333">
        <f>survey_responses[[#This Row],[Tôi tin tưởng số tiền thuế tôi đóng sẽ được Nhà nước sử dụng hiệu quả để cải thiện dịch vụ công (y tế, đường xá...). - HUMAN-TRU3]]</f>
        <v>7</v>
      </c>
      <c r="AV333">
        <f t="shared" si="152"/>
        <v>0.66666666666666663</v>
      </c>
      <c r="AW333">
        <f>step3_validation[[#This Row],[AI_TRU4]]</f>
        <v>0</v>
      </c>
      <c r="AX333">
        <f t="shared" si="153"/>
        <v>-0.1111111111111111</v>
      </c>
      <c r="AY333">
        <f>survey_responses[[#This Row],[Tôi thấy Nhà nước đã giải thích rõ ràng, minh bạch về lý do và mục tiêu của việc sửa đổi thuế lần này. - HUMAN-TRU4]]</f>
        <v>9</v>
      </c>
      <c r="AZ333">
        <f t="shared" si="154"/>
        <v>0.88888888888888884</v>
      </c>
      <c r="BA333" s="32">
        <f t="shared" si="155"/>
        <v>-0.1111111111111111</v>
      </c>
      <c r="BB333" s="32">
        <f t="shared" si="156"/>
        <v>0.80555555555555547</v>
      </c>
      <c r="BC333" s="7">
        <f t="shared" si="157"/>
        <v>0.46296296296296297</v>
      </c>
      <c r="BD333" s="7">
        <f t="shared" si="158"/>
        <v>0.78703703703703687</v>
      </c>
      <c r="BE333">
        <f>step3_validation[[#This Row],[AI_OUT1]]</f>
        <v>0</v>
      </c>
      <c r="BF333">
        <f t="shared" si="159"/>
        <v>-0.1111111111111111</v>
      </c>
      <c r="BG333">
        <f>survey_responses[[#This Row],[Sau khi xem xét các quyền lợi và nghĩa vụ, bạn có ủng hộ và tuân thủ chính sách mới hiện nay? - HUMAN-OUT1]]</f>
        <v>9</v>
      </c>
      <c r="BH333">
        <f t="shared" si="160"/>
        <v>0.88888888888888884</v>
      </c>
      <c r="BI333" s="32">
        <f t="shared" si="161"/>
        <v>9</v>
      </c>
    </row>
    <row r="334" spans="1:61" x14ac:dyDescent="0.45">
      <c r="A334" s="30">
        <f>step3_validation[[#This Row],[Persona_ID]]</f>
        <v>333</v>
      </c>
      <c r="B334" s="31">
        <f>step3_validation[[#This Row],[Used_Seed]]</f>
        <v>2358</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97.101931650904092</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6</v>
      </c>
      <c r="R334">
        <f t="shared" si="135"/>
        <v>0.55555555555555558</v>
      </c>
      <c r="S334">
        <f>survey_responses[[#This Row],[Tôi tin rằng với các quy định quản lý thuế hiện nay, hành vi gian lận hoặc trốn thuế sẽ dễ dàng bị phát hiện và xử lý nghiêm. - HUMAN-ENF1]]</f>
        <v>6</v>
      </c>
      <c r="T334">
        <f t="shared" si="136"/>
        <v>0.55555555555555558</v>
      </c>
      <c r="U334">
        <f>step3_validation[[#This Row],[AI_ENF2]]</f>
        <v>6</v>
      </c>
      <c r="V334">
        <f t="shared" si="137"/>
        <v>0.55555555555555558</v>
      </c>
      <c r="W334">
        <f>survey_responses[[#This Row],[Tôi tin rằng Nhà nước, cơ quan thuế có đủ khả năng và công nghệ để phát hiện, xử lý nghiêm các hành vi trốn thuế. - HUMAN-ENF2]]</f>
        <v>6</v>
      </c>
      <c r="X334">
        <f t="shared" si="138"/>
        <v>0.55555555555555558</v>
      </c>
      <c r="Y334" s="32">
        <f t="shared" si="139"/>
        <v>0.55555555555555558</v>
      </c>
      <c r="Z334" s="32">
        <f t="shared" si="140"/>
        <v>0.55555555555555558</v>
      </c>
      <c r="AA334">
        <f>step3_validation[[#This Row],[AI_FAC1]]</f>
        <v>8</v>
      </c>
      <c r="AB334">
        <f t="shared" si="141"/>
        <v>0.77777777777777779</v>
      </c>
      <c r="AC334">
        <f>survey_responses[[#This Row],[Các thủ tục khai báo thuế VÀ/HOẶC quy trình làm việc với cơ quan thuế đơn giản, tiện lợi, nhanh chóng hơn so với trước đây. - HUMAN-FAC1]]</f>
        <v>8</v>
      </c>
      <c r="AD334">
        <f t="shared" si="142"/>
        <v>0.77777777777777779</v>
      </c>
      <c r="AE334">
        <f>step3_validation[[#This Row],[AI_FAC2]]</f>
        <v>9</v>
      </c>
      <c r="AF334">
        <f t="shared" si="143"/>
        <v>0.88888888888888884</v>
      </c>
      <c r="AG334">
        <f>survey_responses[[#This Row],[So với trước đây, tôi thấy cách tính thuế và các bậc thuế trong phương án mới đơn giản, dễ hiểu và dễ thực hiện hơn. - HUMAN-FAC2]]</f>
        <v>8</v>
      </c>
      <c r="AH334">
        <f t="shared" si="144"/>
        <v>0.77777777777777779</v>
      </c>
      <c r="AI334" s="32">
        <f t="shared" si="145"/>
        <v>0.83333333333333326</v>
      </c>
      <c r="AJ334" s="32">
        <f t="shared" si="146"/>
        <v>0.77777777777777779</v>
      </c>
      <c r="AK334">
        <f>step3_validation[[#This Row],[AI_TRU1]]</f>
        <v>7</v>
      </c>
      <c r="AL334">
        <f t="shared" si="147"/>
        <v>0.66666666666666663</v>
      </c>
      <c r="AM334">
        <f>survey_responses[[#This Row],[Tôi tin rằng Nhà nước, cơ quan thuế sẽ thực thi chính sách mới một cách khách quan, công tâm và đối xử bình đẳng với mọi người nộp thuế.  - HUMAN-TRU1]]</f>
        <v>6</v>
      </c>
      <c r="AN334">
        <f t="shared" si="148"/>
        <v>0.55555555555555558</v>
      </c>
      <c r="AO334">
        <f>step3_validation[[#This Row],[AI_TRU2]]</f>
        <v>8</v>
      </c>
      <c r="AP334">
        <f t="shared" si="149"/>
        <v>0.77777777777777779</v>
      </c>
      <c r="AQ334">
        <f>survey_responses[[#This Row],[Tôi thấy mức thuế tôi phải đóng theo phương án mới là công bằng (người thu nhập như tôi đóng mức này là hợp lý). - HUMAN-TRU2]]</f>
        <v>7</v>
      </c>
      <c r="AR334">
        <f t="shared" si="150"/>
        <v>0.66666666666666663</v>
      </c>
      <c r="AS334">
        <f>step3_validation[[#This Row],[AI_TRU3]]</f>
        <v>7</v>
      </c>
      <c r="AT334">
        <f t="shared" si="151"/>
        <v>0.66666666666666663</v>
      </c>
      <c r="AU334">
        <f>survey_responses[[#This Row],[Tôi tin tưởng số tiền thuế tôi đóng sẽ được Nhà nước sử dụng hiệu quả để cải thiện dịch vụ công (y tế, đường xá...). - HUMAN-TRU3]]</f>
        <v>6</v>
      </c>
      <c r="AV334">
        <f t="shared" si="152"/>
        <v>0.55555555555555558</v>
      </c>
      <c r="AW334">
        <f>step3_validation[[#This Row],[AI_TRU4]]</f>
        <v>7</v>
      </c>
      <c r="AX334">
        <f t="shared" si="153"/>
        <v>0.66666666666666663</v>
      </c>
      <c r="AY334">
        <f>survey_responses[[#This Row],[Tôi thấy Nhà nước đã giải thích rõ ràng, minh bạch về lý do và mục tiêu của việc sửa đổi thuế lần này. - HUMAN-TRU4]]</f>
        <v>7</v>
      </c>
      <c r="AZ334">
        <f t="shared" si="154"/>
        <v>0.66666666666666663</v>
      </c>
      <c r="BA334" s="32">
        <f t="shared" si="155"/>
        <v>0.69444444444444442</v>
      </c>
      <c r="BB334" s="32">
        <f t="shared" si="156"/>
        <v>0.61111111111111116</v>
      </c>
      <c r="BC334" s="7">
        <f t="shared" si="157"/>
        <v>0.69444444444444431</v>
      </c>
      <c r="BD334" s="7">
        <f t="shared" si="158"/>
        <v>0.64814814814814825</v>
      </c>
      <c r="BE334">
        <f>step3_validation[[#This Row],[AI_OUT1]]</f>
        <v>8</v>
      </c>
      <c r="BF334">
        <f t="shared" si="159"/>
        <v>0.77777777777777779</v>
      </c>
      <c r="BG334">
        <f>survey_responses[[#This Row],[Sau khi xem xét các quyền lợi và nghĩa vụ, bạn có ủng hộ và tuân thủ chính sách mới hiện nay? - HUMAN-OUT1]]</f>
        <v>7</v>
      </c>
      <c r="BH334">
        <f t="shared" si="160"/>
        <v>0.66666666666666663</v>
      </c>
      <c r="BI334" s="32">
        <f t="shared" si="161"/>
        <v>1</v>
      </c>
    </row>
    <row r="335" spans="1:61" x14ac:dyDescent="0.45">
      <c r="A335" s="30">
        <f>step3_validation[[#This Row],[Persona_ID]]</f>
        <v>334</v>
      </c>
      <c r="B335" s="31">
        <f>step3_validation[[#This Row],[Used_Seed]]</f>
        <v>2359</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106.03814168985089</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8</v>
      </c>
      <c r="R335">
        <f t="shared" si="135"/>
        <v>0.77777777777777779</v>
      </c>
      <c r="S335">
        <f>survey_responses[[#This Row],[Tôi tin rằng với các quy định quản lý thuế hiện nay, hành vi gian lận hoặc trốn thuế sẽ dễ dàng bị phát hiện và xử lý nghiêm. - HUMAN-ENF1]]</f>
        <v>2</v>
      </c>
      <c r="T335">
        <f t="shared" si="136"/>
        <v>0.1111111111111111</v>
      </c>
      <c r="U335">
        <f>step3_validation[[#This Row],[AI_ENF2]]</f>
        <v>9</v>
      </c>
      <c r="V335">
        <f t="shared" si="137"/>
        <v>0.88888888888888884</v>
      </c>
      <c r="W335">
        <f>survey_responses[[#This Row],[Tôi tin rằng Nhà nước, cơ quan thuế có đủ khả năng và công nghệ để phát hiện, xử lý nghiêm các hành vi trốn thuế. - HUMAN-ENF2]]</f>
        <v>2</v>
      </c>
      <c r="X335">
        <f t="shared" si="138"/>
        <v>0.1111111111111111</v>
      </c>
      <c r="Y335" s="32">
        <f t="shared" si="139"/>
        <v>0.83333333333333326</v>
      </c>
      <c r="Z335" s="32">
        <f t="shared" si="140"/>
        <v>0.1111111111111111</v>
      </c>
      <c r="AA335">
        <f>step3_validation[[#This Row],[AI_FAC1]]</f>
        <v>7</v>
      </c>
      <c r="AB335">
        <f t="shared" si="141"/>
        <v>0.66666666666666663</v>
      </c>
      <c r="AC335">
        <f>survey_responses[[#This Row],[Các thủ tục khai báo thuế VÀ/HOẶC quy trình làm việc với cơ quan thuế đơn giản, tiện lợi, nhanh chóng hơn so với trước đây. - HUMAN-FAC1]]</f>
        <v>3</v>
      </c>
      <c r="AD335">
        <f t="shared" si="142"/>
        <v>0.22222222222222221</v>
      </c>
      <c r="AE335">
        <f>step3_validation[[#This Row],[AI_FAC2]]</f>
        <v>8</v>
      </c>
      <c r="AF335">
        <f t="shared" si="143"/>
        <v>0.77777777777777779</v>
      </c>
      <c r="AG335">
        <f>survey_responses[[#This Row],[So với trước đây, tôi thấy cách tính thuế và các bậc thuế trong phương án mới đơn giản, dễ hiểu và dễ thực hiện hơn. - HUMAN-FAC2]]</f>
        <v>5</v>
      </c>
      <c r="AH335">
        <f t="shared" si="144"/>
        <v>0.44444444444444442</v>
      </c>
      <c r="AI335" s="32">
        <f t="shared" si="145"/>
        <v>0.72222222222222221</v>
      </c>
      <c r="AJ335" s="32">
        <f t="shared" si="146"/>
        <v>0.33333333333333331</v>
      </c>
      <c r="AK335">
        <f>step3_validation[[#This Row],[AI_TRU1]]</f>
        <v>9</v>
      </c>
      <c r="AL335">
        <f t="shared" si="147"/>
        <v>0.88888888888888884</v>
      </c>
      <c r="AM335">
        <f>survey_responses[[#This Row],[Tôi tin rằng Nhà nước, cơ quan thuế sẽ thực thi chính sách mới một cách khách quan, công tâm và đối xử bình đẳng với mọi người nộp thuế.  - HUMAN-TRU1]]</f>
        <v>1</v>
      </c>
      <c r="AN335">
        <f t="shared" si="148"/>
        <v>0</v>
      </c>
      <c r="AO335">
        <f>step3_validation[[#This Row],[AI_TRU2]]</f>
        <v>8</v>
      </c>
      <c r="AP335">
        <f t="shared" si="149"/>
        <v>0.77777777777777779</v>
      </c>
      <c r="AQ335">
        <f>survey_responses[[#This Row],[Tôi thấy mức thuế tôi phải đóng theo phương án mới là công bằng (người thu nhập như tôi đóng mức này là hợp lý). - HUMAN-TRU2]]</f>
        <v>1</v>
      </c>
      <c r="AR335">
        <f t="shared" si="150"/>
        <v>0</v>
      </c>
      <c r="AS335">
        <f>step3_validation[[#This Row],[AI_TRU3]]</f>
        <v>9</v>
      </c>
      <c r="AT335">
        <f t="shared" si="151"/>
        <v>0.88888888888888884</v>
      </c>
      <c r="AU335">
        <f>survey_responses[[#This Row],[Tôi tin tưởng số tiền thuế tôi đóng sẽ được Nhà nước sử dụng hiệu quả để cải thiện dịch vụ công (y tế, đường xá...). - HUMAN-TRU3]]</f>
        <v>1</v>
      </c>
      <c r="AV335">
        <f t="shared" si="152"/>
        <v>0</v>
      </c>
      <c r="AW335">
        <f>step3_validation[[#This Row],[AI_TRU4]]</f>
        <v>7</v>
      </c>
      <c r="AX335">
        <f t="shared" si="153"/>
        <v>0.66666666666666663</v>
      </c>
      <c r="AY335">
        <f>survey_responses[[#This Row],[Tôi thấy Nhà nước đã giải thích rõ ràng, minh bạch về lý do và mục tiêu của việc sửa đổi thuế lần này. - HUMAN-TRU4]]</f>
        <v>3</v>
      </c>
      <c r="AZ335">
        <f t="shared" si="154"/>
        <v>0.22222222222222221</v>
      </c>
      <c r="BA335" s="32">
        <f t="shared" si="155"/>
        <v>0.80555555555555547</v>
      </c>
      <c r="BB335" s="32">
        <f t="shared" si="156"/>
        <v>5.5555555555555552E-2</v>
      </c>
      <c r="BC335" s="7">
        <f t="shared" si="157"/>
        <v>0.78703703703703687</v>
      </c>
      <c r="BD335" s="7">
        <f t="shared" si="158"/>
        <v>0.16666666666666666</v>
      </c>
      <c r="BE335">
        <f>step3_validation[[#This Row],[AI_OUT1]]</f>
        <v>9</v>
      </c>
      <c r="BF335">
        <f t="shared" si="159"/>
        <v>0.88888888888888884</v>
      </c>
      <c r="BG335">
        <f>survey_responses[[#This Row],[Sau khi xem xét các quyền lợi và nghĩa vụ, bạn có ủng hộ và tuân thủ chính sách mới hiện nay? - HUMAN-OUT1]]</f>
        <v>1</v>
      </c>
      <c r="BH335">
        <f t="shared" si="160"/>
        <v>0</v>
      </c>
      <c r="BI335" s="32">
        <f t="shared" si="161"/>
        <v>8</v>
      </c>
    </row>
    <row r="336" spans="1:61" x14ac:dyDescent="0.45">
      <c r="A336" s="30">
        <f>step3_validation[[#This Row],[Persona_ID]]</f>
        <v>335</v>
      </c>
      <c r="B336" s="31">
        <f>step3_validation[[#This Row],[Used_Seed]]</f>
        <v>2360</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15.490245400546351</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7</v>
      </c>
      <c r="R336">
        <f t="shared" si="135"/>
        <v>0.66666666666666663</v>
      </c>
      <c r="S336">
        <f>survey_responses[[#This Row],[Tôi tin rằng với các quy định quản lý thuế hiện nay, hành vi gian lận hoặc trốn thuế sẽ dễ dàng bị phát hiện và xử lý nghiêm. - HUMAN-ENF1]]</f>
        <v>7</v>
      </c>
      <c r="T336">
        <f t="shared" si="136"/>
        <v>0.66666666666666663</v>
      </c>
      <c r="U336">
        <f>step3_validation[[#This Row],[AI_ENF2]]</f>
        <v>8</v>
      </c>
      <c r="V336">
        <f t="shared" si="137"/>
        <v>0.77777777777777779</v>
      </c>
      <c r="W336">
        <f>survey_responses[[#This Row],[Tôi tin rằng Nhà nước, cơ quan thuế có đủ khả năng và công nghệ để phát hiện, xử lý nghiêm các hành vi trốn thuế. - HUMAN-ENF2]]</f>
        <v>7</v>
      </c>
      <c r="X336">
        <f t="shared" si="138"/>
        <v>0.66666666666666663</v>
      </c>
      <c r="Y336" s="32">
        <f t="shared" si="139"/>
        <v>0.72222222222222221</v>
      </c>
      <c r="Z336" s="32">
        <f t="shared" si="140"/>
        <v>0.66666666666666663</v>
      </c>
      <c r="AA336">
        <f>step3_validation[[#This Row],[AI_FAC1]]</f>
        <v>9</v>
      </c>
      <c r="AB336">
        <f t="shared" si="141"/>
        <v>0.88888888888888884</v>
      </c>
      <c r="AC336">
        <f>survey_responses[[#This Row],[Các thủ tục khai báo thuế VÀ/HOẶC quy trình làm việc với cơ quan thuế đơn giản, tiện lợi, nhanh chóng hơn so với trước đây. - HUMAN-FAC1]]</f>
        <v>8</v>
      </c>
      <c r="AD336">
        <f t="shared" si="142"/>
        <v>0.77777777777777779</v>
      </c>
      <c r="AE336">
        <f>step3_validation[[#This Row],[AI_FAC2]]</f>
        <v>9</v>
      </c>
      <c r="AF336">
        <f t="shared" si="143"/>
        <v>0.88888888888888884</v>
      </c>
      <c r="AG336">
        <f>survey_responses[[#This Row],[So với trước đây, tôi thấy cách tính thuế và các bậc thuế trong phương án mới đơn giản, dễ hiểu và dễ thực hiện hơn. - HUMAN-FAC2]]</f>
        <v>10</v>
      </c>
      <c r="AH336">
        <f t="shared" si="144"/>
        <v>1</v>
      </c>
      <c r="AI336" s="32">
        <f t="shared" si="145"/>
        <v>0.88888888888888884</v>
      </c>
      <c r="AJ336" s="32">
        <f t="shared" si="146"/>
        <v>0.88888888888888884</v>
      </c>
      <c r="AK336">
        <f>step3_validation[[#This Row],[AI_TRU1]]</f>
        <v>8</v>
      </c>
      <c r="AL336">
        <f t="shared" si="147"/>
        <v>0.77777777777777779</v>
      </c>
      <c r="AM336">
        <f>survey_responses[[#This Row],[Tôi tin rằng Nhà nước, cơ quan thuế sẽ thực thi chính sách mới một cách khách quan, công tâm và đối xử bình đẳng với mọi người nộp thuế.  - HUMAN-TRU1]]</f>
        <v>9</v>
      </c>
      <c r="AN336">
        <f t="shared" si="148"/>
        <v>0.88888888888888884</v>
      </c>
      <c r="AO336">
        <f>step3_validation[[#This Row],[AI_TRU2]]</f>
        <v>8</v>
      </c>
      <c r="AP336">
        <f t="shared" si="149"/>
        <v>0.77777777777777779</v>
      </c>
      <c r="AQ336">
        <f>survey_responses[[#This Row],[Tôi thấy mức thuế tôi phải đóng theo phương án mới là công bằng (người thu nhập như tôi đóng mức này là hợp lý). - HUMAN-TRU2]]</f>
        <v>10</v>
      </c>
      <c r="AR336">
        <f t="shared" si="150"/>
        <v>1</v>
      </c>
      <c r="AS336">
        <f>step3_validation[[#This Row],[AI_TRU3]]</f>
        <v>7</v>
      </c>
      <c r="AT336">
        <f t="shared" si="151"/>
        <v>0.66666666666666663</v>
      </c>
      <c r="AU336">
        <f>survey_responses[[#This Row],[Tôi tin tưởng số tiền thuế tôi đóng sẽ được Nhà nước sử dụng hiệu quả để cải thiện dịch vụ công (y tế, đường xá...). - HUMAN-TRU3]]</f>
        <v>8</v>
      </c>
      <c r="AV336">
        <f t="shared" si="152"/>
        <v>0.77777777777777779</v>
      </c>
      <c r="AW336">
        <f>step3_validation[[#This Row],[AI_TRU4]]</f>
        <v>8</v>
      </c>
      <c r="AX336">
        <f t="shared" si="153"/>
        <v>0.77777777777777779</v>
      </c>
      <c r="AY336">
        <f>survey_responses[[#This Row],[Tôi thấy Nhà nước đã giải thích rõ ràng, minh bạch về lý do và mục tiêu của việc sửa đổi thuế lần này. - HUMAN-TRU4]]</f>
        <v>8</v>
      </c>
      <c r="AZ336">
        <f t="shared" si="154"/>
        <v>0.77777777777777779</v>
      </c>
      <c r="BA336" s="32">
        <f t="shared" si="155"/>
        <v>0.75</v>
      </c>
      <c r="BB336" s="32">
        <f t="shared" si="156"/>
        <v>0.86111111111111105</v>
      </c>
      <c r="BC336" s="7">
        <f t="shared" si="157"/>
        <v>0.78703703703703709</v>
      </c>
      <c r="BD336" s="7">
        <f t="shared" si="158"/>
        <v>0.80555555555555547</v>
      </c>
      <c r="BE336">
        <f>step3_validation[[#This Row],[AI_OUT1]]</f>
        <v>9</v>
      </c>
      <c r="BF336">
        <f t="shared" si="159"/>
        <v>0.88888888888888884</v>
      </c>
      <c r="BG336">
        <f>survey_responses[[#This Row],[Sau khi xem xét các quyền lợi và nghĩa vụ, bạn có ủng hộ và tuân thủ chính sách mới hiện nay? - HUMAN-OUT1]]</f>
        <v>10</v>
      </c>
      <c r="BH336">
        <f t="shared" si="160"/>
        <v>1</v>
      </c>
      <c r="BI336" s="32">
        <f t="shared" si="161"/>
        <v>1</v>
      </c>
    </row>
    <row r="337" spans="1:61" x14ac:dyDescent="0.45">
      <c r="A337" s="30">
        <f>step3_validation[[#This Row],[Persona_ID]]</f>
        <v>336</v>
      </c>
      <c r="B337" s="31">
        <f>step3_validation[[#This Row],[Used_Seed]]</f>
        <v>2361</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21.173110024966263</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7</v>
      </c>
      <c r="R337">
        <f t="shared" si="135"/>
        <v>0.66666666666666663</v>
      </c>
      <c r="S337">
        <f>survey_responses[[#This Row],[Tôi tin rằng với các quy định quản lý thuế hiện nay, hành vi gian lận hoặc trốn thuế sẽ dễ dàng bị phát hiện và xử lý nghiêm. - HUMAN-ENF1]]</f>
        <v>4</v>
      </c>
      <c r="T337">
        <f t="shared" si="136"/>
        <v>0.33333333333333331</v>
      </c>
      <c r="U337">
        <f>step3_validation[[#This Row],[AI_ENF2]]</f>
        <v>8</v>
      </c>
      <c r="V337">
        <f t="shared" si="137"/>
        <v>0.77777777777777779</v>
      </c>
      <c r="W337">
        <f>survey_responses[[#This Row],[Tôi tin rằng Nhà nước, cơ quan thuế có đủ khả năng và công nghệ để phát hiện, xử lý nghiêm các hành vi trốn thuế. - HUMAN-ENF2]]</f>
        <v>5</v>
      </c>
      <c r="X337">
        <f t="shared" si="138"/>
        <v>0.44444444444444442</v>
      </c>
      <c r="Y337" s="32">
        <f t="shared" si="139"/>
        <v>0.72222222222222221</v>
      </c>
      <c r="Z337" s="32">
        <f t="shared" si="140"/>
        <v>0.38888888888888884</v>
      </c>
      <c r="AA337">
        <f>step3_validation[[#This Row],[AI_FAC1]]</f>
        <v>9</v>
      </c>
      <c r="AB337">
        <f t="shared" si="141"/>
        <v>0.88888888888888884</v>
      </c>
      <c r="AC337">
        <f>survey_responses[[#This Row],[Các thủ tục khai báo thuế VÀ/HOẶC quy trình làm việc với cơ quan thuế đơn giản, tiện lợi, nhanh chóng hơn so với trước đây. - HUMAN-FAC1]]</f>
        <v>5</v>
      </c>
      <c r="AD337">
        <f t="shared" si="142"/>
        <v>0.44444444444444442</v>
      </c>
      <c r="AE337">
        <f>step3_validation[[#This Row],[AI_FAC2]]</f>
        <v>10</v>
      </c>
      <c r="AF337">
        <f t="shared" si="143"/>
        <v>1</v>
      </c>
      <c r="AG337">
        <f>survey_responses[[#This Row],[So với trước đây, tôi thấy cách tính thuế và các bậc thuế trong phương án mới đơn giản, dễ hiểu và dễ thực hiện hơn. - HUMAN-FAC2]]</f>
        <v>6</v>
      </c>
      <c r="AH337">
        <f t="shared" si="144"/>
        <v>0.55555555555555558</v>
      </c>
      <c r="AI337" s="32">
        <f t="shared" si="145"/>
        <v>0.94444444444444442</v>
      </c>
      <c r="AJ337" s="32">
        <f t="shared" si="146"/>
        <v>0.5</v>
      </c>
      <c r="AK337">
        <f>step3_validation[[#This Row],[AI_TRU1]]</f>
        <v>6</v>
      </c>
      <c r="AL337">
        <f t="shared" si="147"/>
        <v>0.55555555555555558</v>
      </c>
      <c r="AM337">
        <f>survey_responses[[#This Row],[Tôi tin rằng Nhà nước, cơ quan thuế sẽ thực thi chính sách mới một cách khách quan, công tâm và đối xử bình đẳng với mọi người nộp thuế.  - HUMAN-TRU1]]</f>
        <v>5</v>
      </c>
      <c r="AN337">
        <f t="shared" si="148"/>
        <v>0.44444444444444442</v>
      </c>
      <c r="AO337">
        <f>step3_validation[[#This Row],[AI_TRU2]]</f>
        <v>9</v>
      </c>
      <c r="AP337">
        <f t="shared" si="149"/>
        <v>0.88888888888888884</v>
      </c>
      <c r="AQ337">
        <f>survey_responses[[#This Row],[Tôi thấy mức thuế tôi phải đóng theo phương án mới là công bằng (người thu nhập như tôi đóng mức này là hợp lý). - HUMAN-TRU2]]</f>
        <v>6</v>
      </c>
      <c r="AR337">
        <f t="shared" si="150"/>
        <v>0.55555555555555558</v>
      </c>
      <c r="AS337">
        <f>step3_validation[[#This Row],[AI_TRU3]]</f>
        <v>7</v>
      </c>
      <c r="AT337">
        <f t="shared" si="151"/>
        <v>0.66666666666666663</v>
      </c>
      <c r="AU337">
        <f>survey_responses[[#This Row],[Tôi tin tưởng số tiền thuế tôi đóng sẽ được Nhà nước sử dụng hiệu quả để cải thiện dịch vụ công (y tế, đường xá...). - HUMAN-TRU3]]</f>
        <v>5</v>
      </c>
      <c r="AV337">
        <f t="shared" si="152"/>
        <v>0.44444444444444442</v>
      </c>
      <c r="AW337">
        <f>step3_validation[[#This Row],[AI_TRU4]]</f>
        <v>8</v>
      </c>
      <c r="AX337">
        <f t="shared" si="153"/>
        <v>0.77777777777777779</v>
      </c>
      <c r="AY337">
        <f>survey_responses[[#This Row],[Tôi thấy Nhà nước đã giải thích rõ ràng, minh bạch về lý do và mục tiêu của việc sửa đổi thuế lần này. - HUMAN-TRU4]]</f>
        <v>5</v>
      </c>
      <c r="AZ337">
        <f t="shared" si="154"/>
        <v>0.44444444444444442</v>
      </c>
      <c r="BA337" s="32">
        <f t="shared" si="155"/>
        <v>0.72222222222222221</v>
      </c>
      <c r="BB337" s="32">
        <f t="shared" si="156"/>
        <v>0.47222222222222221</v>
      </c>
      <c r="BC337" s="7">
        <f t="shared" si="157"/>
        <v>0.79629629629629628</v>
      </c>
      <c r="BD337" s="7">
        <f t="shared" si="158"/>
        <v>0.45370370370370372</v>
      </c>
      <c r="BE337">
        <f>step3_validation[[#This Row],[AI_OUT1]]</f>
        <v>9</v>
      </c>
      <c r="BF337">
        <f t="shared" si="159"/>
        <v>0.88888888888888884</v>
      </c>
      <c r="BG337">
        <f>survey_responses[[#This Row],[Sau khi xem xét các quyền lợi và nghĩa vụ, bạn có ủng hộ và tuân thủ chính sách mới hiện nay? - HUMAN-OUT1]]</f>
        <v>6</v>
      </c>
      <c r="BH337">
        <f t="shared" si="160"/>
        <v>0.55555555555555558</v>
      </c>
      <c r="BI337" s="32">
        <f t="shared" si="161"/>
        <v>3</v>
      </c>
    </row>
    <row r="338" spans="1:61" x14ac:dyDescent="0.45">
      <c r="A338" s="30">
        <f>step3_validation[[#This Row],[Persona_ID]]</f>
        <v>337</v>
      </c>
      <c r="B338" s="31">
        <f>step3_validation[[#This Row],[Used_Seed]]</f>
        <v>2362</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26.362871390405505</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6</v>
      </c>
      <c r="R338">
        <f t="shared" si="135"/>
        <v>0.55555555555555558</v>
      </c>
      <c r="S338">
        <f>survey_responses[[#This Row],[Tôi tin rằng với các quy định quản lý thuế hiện nay, hành vi gian lận hoặc trốn thuế sẽ dễ dàng bị phát hiện và xử lý nghiêm. - HUMAN-ENF1]]</f>
        <v>7</v>
      </c>
      <c r="T338">
        <f t="shared" si="136"/>
        <v>0.66666666666666663</v>
      </c>
      <c r="U338">
        <f>step3_validation[[#This Row],[AI_ENF2]]</f>
        <v>7</v>
      </c>
      <c r="V338">
        <f t="shared" si="137"/>
        <v>0.66666666666666663</v>
      </c>
      <c r="W338">
        <f>survey_responses[[#This Row],[Tôi tin rằng Nhà nước, cơ quan thuế có đủ khả năng và công nghệ để phát hiện, xử lý nghiêm các hành vi trốn thuế. - HUMAN-ENF2]]</f>
        <v>8</v>
      </c>
      <c r="X338">
        <f t="shared" si="138"/>
        <v>0.77777777777777779</v>
      </c>
      <c r="Y338" s="32">
        <f t="shared" si="139"/>
        <v>0.61111111111111116</v>
      </c>
      <c r="Z338" s="32">
        <f t="shared" si="140"/>
        <v>0.72222222222222221</v>
      </c>
      <c r="AA338">
        <f>step3_validation[[#This Row],[AI_FAC1]]</f>
        <v>9</v>
      </c>
      <c r="AB338">
        <f t="shared" si="141"/>
        <v>0.88888888888888884</v>
      </c>
      <c r="AC338">
        <f>survey_responses[[#This Row],[Các thủ tục khai báo thuế VÀ/HOẶC quy trình làm việc với cơ quan thuế đơn giản, tiện lợi, nhanh chóng hơn so với trước đây. - HUMAN-FAC1]]</f>
        <v>7</v>
      </c>
      <c r="AD338">
        <f t="shared" si="142"/>
        <v>0.66666666666666663</v>
      </c>
      <c r="AE338">
        <f>step3_validation[[#This Row],[AI_FAC2]]</f>
        <v>8</v>
      </c>
      <c r="AF338">
        <f t="shared" si="143"/>
        <v>0.77777777777777779</v>
      </c>
      <c r="AG338">
        <f>survey_responses[[#This Row],[So với trước đây, tôi thấy cách tính thuế và các bậc thuế trong phương án mới đơn giản, dễ hiểu và dễ thực hiện hơn. - HUMAN-FAC2]]</f>
        <v>7</v>
      </c>
      <c r="AH338">
        <f t="shared" si="144"/>
        <v>0.66666666666666663</v>
      </c>
      <c r="AI338" s="32">
        <f t="shared" si="145"/>
        <v>0.83333333333333326</v>
      </c>
      <c r="AJ338" s="32">
        <f t="shared" si="146"/>
        <v>0.66666666666666663</v>
      </c>
      <c r="AK338">
        <f>step3_validation[[#This Row],[AI_TRU1]]</f>
        <v>9</v>
      </c>
      <c r="AL338">
        <f t="shared" si="147"/>
        <v>0.88888888888888884</v>
      </c>
      <c r="AM338">
        <f>survey_responses[[#This Row],[Tôi tin rằng Nhà nước, cơ quan thuế sẽ thực thi chính sách mới một cách khách quan, công tâm và đối xử bình đẳng với mọi người nộp thuế.  - HUMAN-TRU1]]</f>
        <v>6</v>
      </c>
      <c r="AN338">
        <f t="shared" si="148"/>
        <v>0.55555555555555558</v>
      </c>
      <c r="AO338">
        <f>step3_validation[[#This Row],[AI_TRU2]]</f>
        <v>8</v>
      </c>
      <c r="AP338">
        <f t="shared" si="149"/>
        <v>0.77777777777777779</v>
      </c>
      <c r="AQ338">
        <f>survey_responses[[#This Row],[Tôi thấy mức thuế tôi phải đóng theo phương án mới là công bằng (người thu nhập như tôi đóng mức này là hợp lý). - HUMAN-TRU2]]</f>
        <v>8</v>
      </c>
      <c r="AR338">
        <f t="shared" si="150"/>
        <v>0.77777777777777779</v>
      </c>
      <c r="AS338">
        <f>step3_validation[[#This Row],[AI_TRU3]]</f>
        <v>9</v>
      </c>
      <c r="AT338">
        <f t="shared" si="151"/>
        <v>0.88888888888888884</v>
      </c>
      <c r="AU338">
        <f>survey_responses[[#This Row],[Tôi tin tưởng số tiền thuế tôi đóng sẽ được Nhà nước sử dụng hiệu quả để cải thiện dịch vụ công (y tế, đường xá...). - HUMAN-TRU3]]</f>
        <v>6</v>
      </c>
      <c r="AV338">
        <f t="shared" si="152"/>
        <v>0.55555555555555558</v>
      </c>
      <c r="AW338">
        <f>step3_validation[[#This Row],[AI_TRU4]]</f>
        <v>8</v>
      </c>
      <c r="AX338">
        <f t="shared" si="153"/>
        <v>0.77777777777777779</v>
      </c>
      <c r="AY338">
        <f>survey_responses[[#This Row],[Tôi thấy Nhà nước đã giải thích rõ ràng, minh bạch về lý do và mục tiêu của việc sửa đổi thuế lần này. - HUMAN-TRU4]]</f>
        <v>8</v>
      </c>
      <c r="AZ338">
        <f t="shared" si="154"/>
        <v>0.77777777777777779</v>
      </c>
      <c r="BA338" s="32">
        <f t="shared" si="155"/>
        <v>0.83333333333333326</v>
      </c>
      <c r="BB338" s="32">
        <f t="shared" si="156"/>
        <v>0.66666666666666674</v>
      </c>
      <c r="BC338" s="7">
        <f t="shared" si="157"/>
        <v>0.75925925925925919</v>
      </c>
      <c r="BD338" s="7">
        <f t="shared" si="158"/>
        <v>0.68518518518518512</v>
      </c>
      <c r="BE338">
        <f>step3_validation[[#This Row],[AI_OUT1]]</f>
        <v>9</v>
      </c>
      <c r="BF338">
        <f t="shared" si="159"/>
        <v>0.88888888888888884</v>
      </c>
      <c r="BG338">
        <f>survey_responses[[#This Row],[Sau khi xem xét các quyền lợi và nghĩa vụ, bạn có ủng hộ và tuân thủ chính sách mới hiện nay? - HUMAN-OUT1]]</f>
        <v>8</v>
      </c>
      <c r="BH338">
        <f t="shared" si="160"/>
        <v>0.77777777777777779</v>
      </c>
      <c r="BI338" s="32">
        <f t="shared" si="161"/>
        <v>1</v>
      </c>
    </row>
    <row r="339" spans="1:61" x14ac:dyDescent="0.45">
      <c r="A339" s="30">
        <f>step3_validation[[#This Row],[Persona_ID]]</f>
        <v>338</v>
      </c>
      <c r="B339" s="31">
        <f>step3_validation[[#This Row],[Used_Seed]]</f>
        <v>2363</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12.921975914739679</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7</v>
      </c>
      <c r="R339">
        <f t="shared" si="135"/>
        <v>0.66666666666666663</v>
      </c>
      <c r="S339">
        <f>survey_responses[[#This Row],[Tôi tin rằng với các quy định quản lý thuế hiện nay, hành vi gian lận hoặc trốn thuế sẽ dễ dàng bị phát hiện và xử lý nghiêm. - HUMAN-ENF1]]</f>
        <v>8</v>
      </c>
      <c r="T339">
        <f t="shared" si="136"/>
        <v>0.77777777777777779</v>
      </c>
      <c r="U339">
        <f>step3_validation[[#This Row],[AI_ENF2]]</f>
        <v>6</v>
      </c>
      <c r="V339">
        <f t="shared" si="137"/>
        <v>0.55555555555555558</v>
      </c>
      <c r="W339">
        <f>survey_responses[[#This Row],[Tôi tin rằng Nhà nước, cơ quan thuế có đủ khả năng và công nghệ để phát hiện, xử lý nghiêm các hành vi trốn thuế. - HUMAN-ENF2]]</f>
        <v>8</v>
      </c>
      <c r="X339">
        <f t="shared" si="138"/>
        <v>0.77777777777777779</v>
      </c>
      <c r="Y339" s="32">
        <f t="shared" si="139"/>
        <v>0.61111111111111116</v>
      </c>
      <c r="Z339" s="32">
        <f t="shared" si="140"/>
        <v>0.77777777777777779</v>
      </c>
      <c r="AA339">
        <f>step3_validation[[#This Row],[AI_FAC1]]</f>
        <v>8</v>
      </c>
      <c r="AB339">
        <f t="shared" si="141"/>
        <v>0.77777777777777779</v>
      </c>
      <c r="AC339">
        <f>survey_responses[[#This Row],[Các thủ tục khai báo thuế VÀ/HOẶC quy trình làm việc với cơ quan thuế đơn giản, tiện lợi, nhanh chóng hơn so với trước đây. - HUMAN-FAC1]]</f>
        <v>9</v>
      </c>
      <c r="AD339">
        <f t="shared" si="142"/>
        <v>0.88888888888888884</v>
      </c>
      <c r="AE339">
        <f>step3_validation[[#This Row],[AI_FAC2]]</f>
        <v>9</v>
      </c>
      <c r="AF339">
        <f t="shared" si="143"/>
        <v>0.88888888888888884</v>
      </c>
      <c r="AG339">
        <f>survey_responses[[#This Row],[So với trước đây, tôi thấy cách tính thuế và các bậc thuế trong phương án mới đơn giản, dễ hiểu và dễ thực hiện hơn. - HUMAN-FAC2]]</f>
        <v>9</v>
      </c>
      <c r="AH339">
        <f t="shared" si="144"/>
        <v>0.88888888888888884</v>
      </c>
      <c r="AI339" s="32">
        <f t="shared" si="145"/>
        <v>0.83333333333333326</v>
      </c>
      <c r="AJ339" s="32">
        <f t="shared" si="146"/>
        <v>0.88888888888888884</v>
      </c>
      <c r="AK339">
        <f>step3_validation[[#This Row],[AI_TRU1]]</f>
        <v>8</v>
      </c>
      <c r="AL339">
        <f t="shared" si="147"/>
        <v>0.77777777777777779</v>
      </c>
      <c r="AM339">
        <f>survey_responses[[#This Row],[Tôi tin rằng Nhà nước, cơ quan thuế sẽ thực thi chính sách mới một cách khách quan, công tâm và đối xử bình đẳng với mọi người nộp thuế.  - HUMAN-TRU1]]</f>
        <v>8</v>
      </c>
      <c r="AN339">
        <f t="shared" si="148"/>
        <v>0.77777777777777779</v>
      </c>
      <c r="AO339">
        <f>step3_validation[[#This Row],[AI_TRU2]]</f>
        <v>9</v>
      </c>
      <c r="AP339">
        <f t="shared" si="149"/>
        <v>0.88888888888888884</v>
      </c>
      <c r="AQ339">
        <f>survey_responses[[#This Row],[Tôi thấy mức thuế tôi phải đóng theo phương án mới là công bằng (người thu nhập như tôi đóng mức này là hợp lý). - HUMAN-TRU2]]</f>
        <v>9</v>
      </c>
      <c r="AR339">
        <f t="shared" si="150"/>
        <v>0.88888888888888884</v>
      </c>
      <c r="AS339">
        <f>step3_validation[[#This Row],[AI_TRU3]]</f>
        <v>8</v>
      </c>
      <c r="AT339">
        <f t="shared" si="151"/>
        <v>0.77777777777777779</v>
      </c>
      <c r="AU339">
        <f>survey_responses[[#This Row],[Tôi tin tưởng số tiền thuế tôi đóng sẽ được Nhà nước sử dụng hiệu quả để cải thiện dịch vụ công (y tế, đường xá...). - HUMAN-TRU3]]</f>
        <v>10</v>
      </c>
      <c r="AV339">
        <f t="shared" si="152"/>
        <v>1</v>
      </c>
      <c r="AW339">
        <f>step3_validation[[#This Row],[AI_TRU4]]</f>
        <v>7</v>
      </c>
      <c r="AX339">
        <f t="shared" si="153"/>
        <v>0.66666666666666663</v>
      </c>
      <c r="AY339">
        <f>survey_responses[[#This Row],[Tôi thấy Nhà nước đã giải thích rõ ràng, minh bạch về lý do và mục tiêu của việc sửa đổi thuế lần này. - HUMAN-TRU4]]</f>
        <v>9</v>
      </c>
      <c r="AZ339">
        <f t="shared" si="154"/>
        <v>0.88888888888888884</v>
      </c>
      <c r="BA339" s="32">
        <f t="shared" si="155"/>
        <v>0.77777777777777768</v>
      </c>
      <c r="BB339" s="32">
        <f t="shared" si="156"/>
        <v>0.88888888888888884</v>
      </c>
      <c r="BC339" s="7">
        <f t="shared" si="157"/>
        <v>0.74074074074074081</v>
      </c>
      <c r="BD339" s="7">
        <f t="shared" si="158"/>
        <v>0.85185185185185175</v>
      </c>
      <c r="BE339">
        <f>step3_validation[[#This Row],[AI_OUT1]]</f>
        <v>9</v>
      </c>
      <c r="BF339">
        <f t="shared" si="159"/>
        <v>0.88888888888888884</v>
      </c>
      <c r="BG339">
        <f>survey_responses[[#This Row],[Sau khi xem xét các quyền lợi và nghĩa vụ, bạn có ủng hộ và tuân thủ chính sách mới hiện nay? - HUMAN-OUT1]]</f>
        <v>10</v>
      </c>
      <c r="BH339">
        <f t="shared" si="160"/>
        <v>1</v>
      </c>
      <c r="BI339" s="32">
        <f t="shared" si="161"/>
        <v>1</v>
      </c>
    </row>
    <row r="340" spans="1:61" x14ac:dyDescent="0.45">
      <c r="A340" s="30">
        <f>step3_validation[[#This Row],[Persona_ID]]</f>
        <v>339</v>
      </c>
      <c r="B340" s="31">
        <f>step3_validation[[#This Row],[Used_Seed]]</f>
        <v>2364</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16.762164260845104</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8</v>
      </c>
      <c r="R340">
        <f t="shared" si="135"/>
        <v>0.77777777777777779</v>
      </c>
      <c r="S340">
        <f>survey_responses[[#This Row],[Tôi tin rằng với các quy định quản lý thuế hiện nay, hành vi gian lận hoặc trốn thuế sẽ dễ dàng bị phát hiện và xử lý nghiêm. - HUMAN-ENF1]]</f>
        <v>7</v>
      </c>
      <c r="T340">
        <f t="shared" si="136"/>
        <v>0.66666666666666663</v>
      </c>
      <c r="U340">
        <f>step3_validation[[#This Row],[AI_ENF2]]</f>
        <v>9</v>
      </c>
      <c r="V340">
        <f t="shared" si="137"/>
        <v>0.88888888888888884</v>
      </c>
      <c r="W340">
        <f>survey_responses[[#This Row],[Tôi tin rằng Nhà nước, cơ quan thuế có đủ khả năng và công nghệ để phát hiện, xử lý nghiêm các hành vi trốn thuế. - HUMAN-ENF2]]</f>
        <v>7</v>
      </c>
      <c r="X340">
        <f t="shared" si="138"/>
        <v>0.66666666666666663</v>
      </c>
      <c r="Y340" s="32">
        <f t="shared" si="139"/>
        <v>0.83333333333333326</v>
      </c>
      <c r="Z340" s="32">
        <f t="shared" si="140"/>
        <v>0.66666666666666663</v>
      </c>
      <c r="AA340">
        <f>step3_validation[[#This Row],[AI_FAC1]]</f>
        <v>8</v>
      </c>
      <c r="AB340">
        <f t="shared" si="141"/>
        <v>0.77777777777777779</v>
      </c>
      <c r="AC340">
        <f>survey_responses[[#This Row],[Các thủ tục khai báo thuế VÀ/HOẶC quy trình làm việc với cơ quan thuế đơn giản, tiện lợi, nhanh chóng hơn so với trước đây. - HUMAN-FAC1]]</f>
        <v>8</v>
      </c>
      <c r="AD340">
        <f t="shared" si="142"/>
        <v>0.77777777777777779</v>
      </c>
      <c r="AE340">
        <f>step3_validation[[#This Row],[AI_FAC2]]</f>
        <v>9</v>
      </c>
      <c r="AF340">
        <f t="shared" si="143"/>
        <v>0.88888888888888884</v>
      </c>
      <c r="AG340">
        <f>survey_responses[[#This Row],[So với trước đây, tôi thấy cách tính thuế và các bậc thuế trong phương án mới đơn giản, dễ hiểu và dễ thực hiện hơn. - HUMAN-FAC2]]</f>
        <v>8</v>
      </c>
      <c r="AH340">
        <f t="shared" si="144"/>
        <v>0.77777777777777779</v>
      </c>
      <c r="AI340" s="32">
        <f t="shared" si="145"/>
        <v>0.83333333333333326</v>
      </c>
      <c r="AJ340" s="32">
        <f t="shared" si="146"/>
        <v>0.77777777777777779</v>
      </c>
      <c r="AK340">
        <f>step3_validation[[#This Row],[AI_TRU1]]</f>
        <v>8</v>
      </c>
      <c r="AL340">
        <f t="shared" si="147"/>
        <v>0.77777777777777779</v>
      </c>
      <c r="AM340">
        <f>survey_responses[[#This Row],[Tôi tin rằng Nhà nước, cơ quan thuế sẽ thực thi chính sách mới một cách khách quan, công tâm và đối xử bình đẳng với mọi người nộp thuế.  - HUMAN-TRU1]]</f>
        <v>6</v>
      </c>
      <c r="AN340">
        <f t="shared" si="148"/>
        <v>0.55555555555555558</v>
      </c>
      <c r="AO340">
        <f>step3_validation[[#This Row],[AI_TRU2]]</f>
        <v>9</v>
      </c>
      <c r="AP340">
        <f t="shared" si="149"/>
        <v>0.88888888888888884</v>
      </c>
      <c r="AQ340">
        <f>survey_responses[[#This Row],[Tôi thấy mức thuế tôi phải đóng theo phương án mới là công bằng (người thu nhập như tôi đóng mức này là hợp lý). - HUMAN-TRU2]]</f>
        <v>7</v>
      </c>
      <c r="AR340">
        <f t="shared" si="150"/>
        <v>0.66666666666666663</v>
      </c>
      <c r="AS340">
        <f>step3_validation[[#This Row],[AI_TRU3]]</f>
        <v>8</v>
      </c>
      <c r="AT340">
        <f t="shared" si="151"/>
        <v>0.77777777777777779</v>
      </c>
      <c r="AU340">
        <f>survey_responses[[#This Row],[Tôi tin tưởng số tiền thuế tôi đóng sẽ được Nhà nước sử dụng hiệu quả để cải thiện dịch vụ công (y tế, đường xá...). - HUMAN-TRU3]]</f>
        <v>6</v>
      </c>
      <c r="AV340">
        <f t="shared" si="152"/>
        <v>0.55555555555555558</v>
      </c>
      <c r="AW340">
        <f>step3_validation[[#This Row],[AI_TRU4]]</f>
        <v>9</v>
      </c>
      <c r="AX340">
        <f t="shared" si="153"/>
        <v>0.88888888888888884</v>
      </c>
      <c r="AY340">
        <f>survey_responses[[#This Row],[Tôi thấy Nhà nước đã giải thích rõ ràng, minh bạch về lý do và mục tiêu của việc sửa đổi thuế lần này. - HUMAN-TRU4]]</f>
        <v>6</v>
      </c>
      <c r="AZ340">
        <f t="shared" si="154"/>
        <v>0.55555555555555558</v>
      </c>
      <c r="BA340" s="32">
        <f t="shared" si="155"/>
        <v>0.83333333333333326</v>
      </c>
      <c r="BB340" s="32">
        <f t="shared" si="156"/>
        <v>0.58333333333333337</v>
      </c>
      <c r="BC340" s="7">
        <f t="shared" si="157"/>
        <v>0.83333333333333337</v>
      </c>
      <c r="BD340" s="7">
        <f t="shared" si="158"/>
        <v>0.67592592592592593</v>
      </c>
      <c r="BE340">
        <f>step3_validation[[#This Row],[AI_OUT1]]</f>
        <v>9</v>
      </c>
      <c r="BF340">
        <f t="shared" si="159"/>
        <v>0.88888888888888884</v>
      </c>
      <c r="BG340">
        <f>survey_responses[[#This Row],[Sau khi xem xét các quyền lợi và nghĩa vụ, bạn có ủng hộ và tuân thủ chính sách mới hiện nay? - HUMAN-OUT1]]</f>
        <v>7</v>
      </c>
      <c r="BH340">
        <f t="shared" si="160"/>
        <v>0.66666666666666663</v>
      </c>
      <c r="BI340" s="32">
        <f t="shared" si="161"/>
        <v>2</v>
      </c>
    </row>
    <row r="341" spans="1:61" x14ac:dyDescent="0.45">
      <c r="A341" s="30">
        <f>step3_validation[[#This Row],[Persona_ID]]</f>
        <v>340</v>
      </c>
      <c r="B341" s="31">
        <f>step3_validation[[#This Row],[Used_Seed]]</f>
        <v>2365</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15.310713846595883</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7</v>
      </c>
      <c r="R341">
        <f t="shared" si="135"/>
        <v>0.66666666666666663</v>
      </c>
      <c r="S341">
        <f>survey_responses[[#This Row],[Tôi tin rằng với các quy định quản lý thuế hiện nay, hành vi gian lận hoặc trốn thuế sẽ dễ dàng bị phát hiện và xử lý nghiêm. - HUMAN-ENF1]]</f>
        <v>7</v>
      </c>
      <c r="T341">
        <f t="shared" si="136"/>
        <v>0.66666666666666663</v>
      </c>
      <c r="U341">
        <f>step3_validation[[#This Row],[AI_ENF2]]</f>
        <v>6</v>
      </c>
      <c r="V341">
        <f t="shared" si="137"/>
        <v>0.55555555555555558</v>
      </c>
      <c r="W341">
        <f>survey_responses[[#This Row],[Tôi tin rằng Nhà nước, cơ quan thuế có đủ khả năng và công nghệ để phát hiện, xử lý nghiêm các hành vi trốn thuế. - HUMAN-ENF2]]</f>
        <v>8</v>
      </c>
      <c r="X341">
        <f t="shared" si="138"/>
        <v>0.77777777777777779</v>
      </c>
      <c r="Y341" s="32">
        <f t="shared" si="139"/>
        <v>0.61111111111111116</v>
      </c>
      <c r="Z341" s="32">
        <f t="shared" si="140"/>
        <v>0.72222222222222221</v>
      </c>
      <c r="AA341">
        <f>step3_validation[[#This Row],[AI_FAC1]]</f>
        <v>9</v>
      </c>
      <c r="AB341">
        <f t="shared" si="141"/>
        <v>0.88888888888888884</v>
      </c>
      <c r="AC341">
        <f>survey_responses[[#This Row],[Các thủ tục khai báo thuế VÀ/HOẶC quy trình làm việc với cơ quan thuế đơn giản, tiện lợi, nhanh chóng hơn so với trước đây. - HUMAN-FAC1]]</f>
        <v>8</v>
      </c>
      <c r="AD341">
        <f t="shared" si="142"/>
        <v>0.77777777777777779</v>
      </c>
      <c r="AE341">
        <f>step3_validation[[#This Row],[AI_FAC2]]</f>
        <v>8</v>
      </c>
      <c r="AF341">
        <f t="shared" si="143"/>
        <v>0.77777777777777779</v>
      </c>
      <c r="AG341">
        <f>survey_responses[[#This Row],[So với trước đây, tôi thấy cách tính thuế và các bậc thuế trong phương án mới đơn giản, dễ hiểu và dễ thực hiện hơn. - HUMAN-FAC2]]</f>
        <v>8</v>
      </c>
      <c r="AH341">
        <f t="shared" si="144"/>
        <v>0.77777777777777779</v>
      </c>
      <c r="AI341" s="32">
        <f t="shared" si="145"/>
        <v>0.83333333333333326</v>
      </c>
      <c r="AJ341" s="32">
        <f t="shared" si="146"/>
        <v>0.77777777777777779</v>
      </c>
      <c r="AK341">
        <f>step3_validation[[#This Row],[AI_TRU1]]</f>
        <v>9</v>
      </c>
      <c r="AL341">
        <f t="shared" si="147"/>
        <v>0.88888888888888884</v>
      </c>
      <c r="AM341">
        <f>survey_responses[[#This Row],[Tôi tin rằng Nhà nước, cơ quan thuế sẽ thực thi chính sách mới một cách khách quan, công tâm và đối xử bình đẳng với mọi người nộp thuế.  - HUMAN-TRU1]]</f>
        <v>5</v>
      </c>
      <c r="AN341">
        <f t="shared" si="148"/>
        <v>0.44444444444444442</v>
      </c>
      <c r="AO341">
        <f>step3_validation[[#This Row],[AI_TRU2]]</f>
        <v>9</v>
      </c>
      <c r="AP341">
        <f t="shared" si="149"/>
        <v>0.88888888888888884</v>
      </c>
      <c r="AQ341">
        <f>survey_responses[[#This Row],[Tôi thấy mức thuế tôi phải đóng theo phương án mới là công bằng (người thu nhập như tôi đóng mức này là hợp lý). - HUMAN-TRU2]]</f>
        <v>8</v>
      </c>
      <c r="AR341">
        <f t="shared" si="150"/>
        <v>0.77777777777777779</v>
      </c>
      <c r="AS341">
        <f>step3_validation[[#This Row],[AI_TRU3]]</f>
        <v>8</v>
      </c>
      <c r="AT341">
        <f t="shared" si="151"/>
        <v>0.77777777777777779</v>
      </c>
      <c r="AU341">
        <f>survey_responses[[#This Row],[Tôi tin tưởng số tiền thuế tôi đóng sẽ được Nhà nước sử dụng hiệu quả để cải thiện dịch vụ công (y tế, đường xá...). - HUMAN-TRU3]]</f>
        <v>5</v>
      </c>
      <c r="AV341">
        <f t="shared" si="152"/>
        <v>0.44444444444444442</v>
      </c>
      <c r="AW341">
        <f>step3_validation[[#This Row],[AI_TRU4]]</f>
        <v>9</v>
      </c>
      <c r="AX341">
        <f t="shared" si="153"/>
        <v>0.88888888888888884</v>
      </c>
      <c r="AY341">
        <f>survey_responses[[#This Row],[Tôi thấy Nhà nước đã giải thích rõ ràng, minh bạch về lý do và mục tiêu của việc sửa đổi thuế lần này. - HUMAN-TRU4]]</f>
        <v>8</v>
      </c>
      <c r="AZ341">
        <f t="shared" si="154"/>
        <v>0.77777777777777779</v>
      </c>
      <c r="BA341" s="32">
        <f t="shared" si="155"/>
        <v>0.86111111111111105</v>
      </c>
      <c r="BB341" s="32">
        <f t="shared" si="156"/>
        <v>0.61111111111111116</v>
      </c>
      <c r="BC341" s="7">
        <f t="shared" si="157"/>
        <v>0.76851851851851849</v>
      </c>
      <c r="BD341" s="7">
        <f t="shared" si="158"/>
        <v>0.70370370370370372</v>
      </c>
      <c r="BE341">
        <f>step3_validation[[#This Row],[AI_OUT1]]</f>
        <v>8</v>
      </c>
      <c r="BF341">
        <f t="shared" si="159"/>
        <v>0.77777777777777779</v>
      </c>
      <c r="BG341">
        <f>survey_responses[[#This Row],[Sau khi xem xét các quyền lợi và nghĩa vụ, bạn có ủng hộ và tuân thủ chính sách mới hiện nay? - HUMAN-OUT1]]</f>
        <v>8</v>
      </c>
      <c r="BH341">
        <f t="shared" si="160"/>
        <v>0.77777777777777779</v>
      </c>
      <c r="BI341" s="32">
        <f t="shared" si="161"/>
        <v>0</v>
      </c>
    </row>
    <row r="342" spans="1:61" x14ac:dyDescent="0.45">
      <c r="A342" s="30">
        <f>step3_validation[[#This Row],[Persona_ID]]</f>
        <v>341</v>
      </c>
      <c r="B342" s="31">
        <f>step3_validation[[#This Row],[Used_Seed]]</f>
        <v>2366</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8</v>
      </c>
      <c r="R342">
        <f t="shared" si="135"/>
        <v>0.77777777777777779</v>
      </c>
      <c r="S342">
        <f>survey_responses[[#This Row],[Tôi tin rằng với các quy định quản lý thuế hiện nay, hành vi gian lận hoặc trốn thuế sẽ dễ dàng bị phát hiện và xử lý nghiêm. - HUMAN-ENF1]]</f>
        <v>8</v>
      </c>
      <c r="T342">
        <f t="shared" si="136"/>
        <v>0.77777777777777779</v>
      </c>
      <c r="U342">
        <f>step3_validation[[#This Row],[AI_ENF2]]</f>
        <v>7</v>
      </c>
      <c r="V342">
        <f t="shared" si="137"/>
        <v>0.66666666666666663</v>
      </c>
      <c r="W342">
        <f>survey_responses[[#This Row],[Tôi tin rằng Nhà nước, cơ quan thuế có đủ khả năng và công nghệ để phát hiện, xử lý nghiêm các hành vi trốn thuế. - HUMAN-ENF2]]</f>
        <v>8</v>
      </c>
      <c r="X342">
        <f t="shared" si="138"/>
        <v>0.77777777777777779</v>
      </c>
      <c r="Y342" s="32">
        <f t="shared" si="139"/>
        <v>0.72222222222222221</v>
      </c>
      <c r="Z342" s="32">
        <f t="shared" si="140"/>
        <v>0.77777777777777779</v>
      </c>
      <c r="AA342">
        <f>step3_validation[[#This Row],[AI_FAC1]]</f>
        <v>9</v>
      </c>
      <c r="AB342">
        <f t="shared" si="141"/>
        <v>0.88888888888888884</v>
      </c>
      <c r="AC342">
        <f>survey_responses[[#This Row],[Các thủ tục khai báo thuế VÀ/HOẶC quy trình làm việc với cơ quan thuế đơn giản, tiện lợi, nhanh chóng hơn so với trước đây. - HUMAN-FAC1]]</f>
        <v>8</v>
      </c>
      <c r="AD342">
        <f t="shared" si="142"/>
        <v>0.77777777777777779</v>
      </c>
      <c r="AE342">
        <f>step3_validation[[#This Row],[AI_FAC2]]</f>
        <v>9</v>
      </c>
      <c r="AF342">
        <f t="shared" si="143"/>
        <v>0.88888888888888884</v>
      </c>
      <c r="AG342">
        <f>survey_responses[[#This Row],[So với trước đây, tôi thấy cách tính thuế và các bậc thuế trong phương án mới đơn giản, dễ hiểu và dễ thực hiện hơn. - HUMAN-FAC2]]</f>
        <v>9</v>
      </c>
      <c r="AH342">
        <f t="shared" si="144"/>
        <v>0.88888888888888884</v>
      </c>
      <c r="AI342" s="32">
        <f t="shared" si="145"/>
        <v>0.88888888888888884</v>
      </c>
      <c r="AJ342" s="32">
        <f t="shared" si="146"/>
        <v>0.83333333333333326</v>
      </c>
      <c r="AK342">
        <f>step3_validation[[#This Row],[AI_TRU1]]</f>
        <v>8</v>
      </c>
      <c r="AL342">
        <f t="shared" si="147"/>
        <v>0.77777777777777779</v>
      </c>
      <c r="AM342">
        <f>survey_responses[[#This Row],[Tôi tin rằng Nhà nước, cơ quan thuế sẽ thực thi chính sách mới một cách khách quan, công tâm và đối xử bình đẳng với mọi người nộp thuế.  - HUMAN-TRU1]]</f>
        <v>8</v>
      </c>
      <c r="AN342">
        <f t="shared" si="148"/>
        <v>0.77777777777777779</v>
      </c>
      <c r="AO342">
        <f>step3_validation[[#This Row],[AI_TRU2]]</f>
        <v>9</v>
      </c>
      <c r="AP342">
        <f t="shared" si="149"/>
        <v>0.88888888888888884</v>
      </c>
      <c r="AQ342">
        <f>survey_responses[[#This Row],[Tôi thấy mức thuế tôi phải đóng theo phương án mới là công bằng (người thu nhập như tôi đóng mức này là hợp lý). - HUMAN-TRU2]]</f>
        <v>8</v>
      </c>
      <c r="AR342">
        <f t="shared" si="150"/>
        <v>0.77777777777777779</v>
      </c>
      <c r="AS342">
        <f>step3_validation[[#This Row],[AI_TRU3]]</f>
        <v>8</v>
      </c>
      <c r="AT342">
        <f t="shared" si="151"/>
        <v>0.77777777777777779</v>
      </c>
      <c r="AU342">
        <f>survey_responses[[#This Row],[Tôi tin tưởng số tiền thuế tôi đóng sẽ được Nhà nước sử dụng hiệu quả để cải thiện dịch vụ công (y tế, đường xá...). - HUMAN-TRU3]]</f>
        <v>7</v>
      </c>
      <c r="AV342">
        <f t="shared" si="152"/>
        <v>0.66666666666666663</v>
      </c>
      <c r="AW342">
        <f>step3_validation[[#This Row],[AI_TRU4]]</f>
        <v>7</v>
      </c>
      <c r="AX342">
        <f t="shared" si="153"/>
        <v>0.66666666666666663</v>
      </c>
      <c r="AY342">
        <f>survey_responses[[#This Row],[Tôi thấy Nhà nước đã giải thích rõ ràng, minh bạch về lý do và mục tiêu của việc sửa đổi thuế lần này. - HUMAN-TRU4]]</f>
        <v>7</v>
      </c>
      <c r="AZ342">
        <f t="shared" si="154"/>
        <v>0.66666666666666663</v>
      </c>
      <c r="BA342" s="32">
        <f t="shared" si="155"/>
        <v>0.77777777777777768</v>
      </c>
      <c r="BB342" s="32">
        <f t="shared" si="156"/>
        <v>0.72222222222222221</v>
      </c>
      <c r="BC342" s="7">
        <f t="shared" si="157"/>
        <v>0.79629629629629628</v>
      </c>
      <c r="BD342" s="7">
        <f t="shared" si="158"/>
        <v>0.77777777777777779</v>
      </c>
      <c r="BE342">
        <f>step3_validation[[#This Row],[AI_OUT1]]</f>
        <v>9</v>
      </c>
      <c r="BF342">
        <f t="shared" si="159"/>
        <v>0.88888888888888884</v>
      </c>
      <c r="BG342">
        <f>survey_responses[[#This Row],[Sau khi xem xét các quyền lợi và nghĩa vụ, bạn có ủng hộ và tuân thủ chính sách mới hiện nay? - HUMAN-OUT1]]</f>
        <v>8</v>
      </c>
      <c r="BH342">
        <f t="shared" si="160"/>
        <v>0.77777777777777779</v>
      </c>
      <c r="BI342" s="32">
        <f t="shared" si="161"/>
        <v>1</v>
      </c>
    </row>
    <row r="343" spans="1:61" x14ac:dyDescent="0.45">
      <c r="A343" s="30">
        <f>step3_validation[[#This Row],[Persona_ID]]</f>
        <v>342</v>
      </c>
      <c r="B343" s="31">
        <f>step3_validation[[#This Row],[Used_Seed]]</f>
        <v>2367</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7</v>
      </c>
      <c r="R343">
        <f t="shared" si="135"/>
        <v>0.66666666666666663</v>
      </c>
      <c r="S343">
        <f>survey_responses[[#This Row],[Tôi tin rằng với các quy định quản lý thuế hiện nay, hành vi gian lận hoặc trốn thuế sẽ dễ dàng bị phát hiện và xử lý nghiêm. - HUMAN-ENF1]]</f>
        <v>5</v>
      </c>
      <c r="T343">
        <f t="shared" si="136"/>
        <v>0.44444444444444442</v>
      </c>
      <c r="U343">
        <f>step3_validation[[#This Row],[AI_ENF2]]</f>
        <v>6</v>
      </c>
      <c r="V343">
        <f t="shared" si="137"/>
        <v>0.55555555555555558</v>
      </c>
      <c r="W343">
        <f>survey_responses[[#This Row],[Tôi tin rằng Nhà nước, cơ quan thuế có đủ khả năng và công nghệ để phát hiện, xử lý nghiêm các hành vi trốn thuế. - HUMAN-ENF2]]</f>
        <v>5</v>
      </c>
      <c r="X343">
        <f t="shared" si="138"/>
        <v>0.44444444444444442</v>
      </c>
      <c r="Y343" s="32">
        <f t="shared" si="139"/>
        <v>0.61111111111111116</v>
      </c>
      <c r="Z343" s="32">
        <f t="shared" si="140"/>
        <v>0.44444444444444442</v>
      </c>
      <c r="AA343">
        <f>step3_validation[[#This Row],[AI_FAC1]]</f>
        <v>8</v>
      </c>
      <c r="AB343">
        <f t="shared" si="141"/>
        <v>0.77777777777777779</v>
      </c>
      <c r="AC343">
        <f>survey_responses[[#This Row],[Các thủ tục khai báo thuế VÀ/HOẶC quy trình làm việc với cơ quan thuế đơn giản, tiện lợi, nhanh chóng hơn so với trước đây. - HUMAN-FAC1]]</f>
        <v>6</v>
      </c>
      <c r="AD343">
        <f t="shared" si="142"/>
        <v>0.55555555555555558</v>
      </c>
      <c r="AE343">
        <f>step3_validation[[#This Row],[AI_FAC2]]</f>
        <v>9</v>
      </c>
      <c r="AF343">
        <f t="shared" si="143"/>
        <v>0.88888888888888884</v>
      </c>
      <c r="AG343">
        <f>survey_responses[[#This Row],[So với trước đây, tôi thấy cách tính thuế và các bậc thuế trong phương án mới đơn giản, dễ hiểu và dễ thực hiện hơn. - HUMAN-FAC2]]</f>
        <v>7</v>
      </c>
      <c r="AH343">
        <f t="shared" si="144"/>
        <v>0.66666666666666663</v>
      </c>
      <c r="AI343" s="32">
        <f t="shared" si="145"/>
        <v>0.83333333333333326</v>
      </c>
      <c r="AJ343" s="32">
        <f t="shared" si="146"/>
        <v>0.61111111111111116</v>
      </c>
      <c r="AK343">
        <f>step3_validation[[#This Row],[AI_TRU1]]</f>
        <v>7</v>
      </c>
      <c r="AL343">
        <f t="shared" si="147"/>
        <v>0.66666666666666663</v>
      </c>
      <c r="AM343">
        <f>survey_responses[[#This Row],[Tôi tin rằng Nhà nước, cơ quan thuế sẽ thực thi chính sách mới một cách khách quan, công tâm và đối xử bình đẳng với mọi người nộp thuế.  - HUMAN-TRU1]]</f>
        <v>5</v>
      </c>
      <c r="AN343">
        <f t="shared" si="148"/>
        <v>0.44444444444444442</v>
      </c>
      <c r="AO343">
        <f>step3_validation[[#This Row],[AI_TRU2]]</f>
        <v>8</v>
      </c>
      <c r="AP343">
        <f t="shared" si="149"/>
        <v>0.77777777777777779</v>
      </c>
      <c r="AQ343">
        <f>survey_responses[[#This Row],[Tôi thấy mức thuế tôi phải đóng theo phương án mới là công bằng (người thu nhập như tôi đóng mức này là hợp lý). - HUMAN-TRU2]]</f>
        <v>8</v>
      </c>
      <c r="AR343">
        <f t="shared" si="150"/>
        <v>0.77777777777777779</v>
      </c>
      <c r="AS343">
        <f>step3_validation[[#This Row],[AI_TRU3]]</f>
        <v>7</v>
      </c>
      <c r="AT343">
        <f t="shared" si="151"/>
        <v>0.66666666666666663</v>
      </c>
      <c r="AU343">
        <f>survey_responses[[#This Row],[Tôi tin tưởng số tiền thuế tôi đóng sẽ được Nhà nước sử dụng hiệu quả để cải thiện dịch vụ công (y tế, đường xá...). - HUMAN-TRU3]]</f>
        <v>6</v>
      </c>
      <c r="AV343">
        <f t="shared" si="152"/>
        <v>0.55555555555555558</v>
      </c>
      <c r="AW343">
        <f>step3_validation[[#This Row],[AI_TRU4]]</f>
        <v>6</v>
      </c>
      <c r="AX343">
        <f t="shared" si="153"/>
        <v>0.55555555555555558</v>
      </c>
      <c r="AY343">
        <f>survey_responses[[#This Row],[Tôi thấy Nhà nước đã giải thích rõ ràng, minh bạch về lý do và mục tiêu của việc sửa đổi thuế lần này. - HUMAN-TRU4]]</f>
        <v>6</v>
      </c>
      <c r="AZ343">
        <f t="shared" si="154"/>
        <v>0.55555555555555558</v>
      </c>
      <c r="BA343" s="32">
        <f t="shared" si="155"/>
        <v>0.66666666666666674</v>
      </c>
      <c r="BB343" s="32">
        <f t="shared" si="156"/>
        <v>0.58333333333333337</v>
      </c>
      <c r="BC343" s="7">
        <f t="shared" si="157"/>
        <v>0.70370370370370372</v>
      </c>
      <c r="BD343" s="7">
        <f t="shared" si="158"/>
        <v>0.54629629629629628</v>
      </c>
      <c r="BE343">
        <f>step3_validation[[#This Row],[AI_OUT1]]</f>
        <v>8</v>
      </c>
      <c r="BF343">
        <f t="shared" si="159"/>
        <v>0.77777777777777779</v>
      </c>
      <c r="BG343">
        <f>survey_responses[[#This Row],[Sau khi xem xét các quyền lợi và nghĩa vụ, bạn có ủng hộ và tuân thủ chính sách mới hiện nay? - HUMAN-OUT1]]</f>
        <v>7</v>
      </c>
      <c r="BH343">
        <f t="shared" si="160"/>
        <v>0.66666666666666663</v>
      </c>
      <c r="BI343" s="32">
        <f t="shared" si="161"/>
        <v>1</v>
      </c>
    </row>
    <row r="344" spans="1:61" x14ac:dyDescent="0.45">
      <c r="A344" s="30">
        <f>step3_validation[[#This Row],[Persona_ID]]</f>
        <v>343</v>
      </c>
      <c r="B344" s="31">
        <f>step3_validation[[#This Row],[Used_Seed]]</f>
        <v>2368</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16.182461051297128</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7</v>
      </c>
      <c r="R344">
        <f t="shared" si="135"/>
        <v>0.66666666666666663</v>
      </c>
      <c r="S344">
        <f>survey_responses[[#This Row],[Tôi tin rằng với các quy định quản lý thuế hiện nay, hành vi gian lận hoặc trốn thuế sẽ dễ dàng bị phát hiện và xử lý nghiêm. - HUMAN-ENF1]]</f>
        <v>7</v>
      </c>
      <c r="T344">
        <f t="shared" si="136"/>
        <v>0.66666666666666663</v>
      </c>
      <c r="U344">
        <f>step3_validation[[#This Row],[AI_ENF2]]</f>
        <v>6</v>
      </c>
      <c r="V344">
        <f t="shared" si="137"/>
        <v>0.55555555555555558</v>
      </c>
      <c r="W344">
        <f>survey_responses[[#This Row],[Tôi tin rằng Nhà nước, cơ quan thuế có đủ khả năng và công nghệ để phát hiện, xử lý nghiêm các hành vi trốn thuế. - HUMAN-ENF2]]</f>
        <v>7</v>
      </c>
      <c r="X344">
        <f t="shared" si="138"/>
        <v>0.66666666666666663</v>
      </c>
      <c r="Y344" s="32">
        <f t="shared" si="139"/>
        <v>0.61111111111111116</v>
      </c>
      <c r="Z344" s="32">
        <f t="shared" si="140"/>
        <v>0.66666666666666663</v>
      </c>
      <c r="AA344">
        <f>step3_validation[[#This Row],[AI_FAC1]]</f>
        <v>8</v>
      </c>
      <c r="AB344">
        <f t="shared" si="141"/>
        <v>0.77777777777777779</v>
      </c>
      <c r="AC344">
        <f>survey_responses[[#This Row],[Các thủ tục khai báo thuế VÀ/HOẶC quy trình làm việc với cơ quan thuế đơn giản, tiện lợi, nhanh chóng hơn so với trước đây. - HUMAN-FAC1]]</f>
        <v>8</v>
      </c>
      <c r="AD344">
        <f t="shared" si="142"/>
        <v>0.77777777777777779</v>
      </c>
      <c r="AE344">
        <f>step3_validation[[#This Row],[AI_FAC2]]</f>
        <v>9</v>
      </c>
      <c r="AF344">
        <f t="shared" si="143"/>
        <v>0.88888888888888884</v>
      </c>
      <c r="AG344">
        <f>survey_responses[[#This Row],[So với trước đây, tôi thấy cách tính thuế và các bậc thuế trong phương án mới đơn giản, dễ hiểu và dễ thực hiện hơn. - HUMAN-FAC2]]</f>
        <v>7</v>
      </c>
      <c r="AH344">
        <f t="shared" si="144"/>
        <v>0.66666666666666663</v>
      </c>
      <c r="AI344" s="32">
        <f t="shared" si="145"/>
        <v>0.83333333333333326</v>
      </c>
      <c r="AJ344" s="32">
        <f t="shared" si="146"/>
        <v>0.72222222222222221</v>
      </c>
      <c r="AK344">
        <f>step3_validation[[#This Row],[AI_TRU1]]</f>
        <v>7</v>
      </c>
      <c r="AL344">
        <f t="shared" si="147"/>
        <v>0.66666666666666663</v>
      </c>
      <c r="AM344">
        <f>survey_responses[[#This Row],[Tôi tin rằng Nhà nước, cơ quan thuế sẽ thực thi chính sách mới một cách khách quan, công tâm và đối xử bình đẳng với mọi người nộp thuế.  - HUMAN-TRU1]]</f>
        <v>8</v>
      </c>
      <c r="AN344">
        <f t="shared" si="148"/>
        <v>0.77777777777777779</v>
      </c>
      <c r="AO344">
        <f>step3_validation[[#This Row],[AI_TRU2]]</f>
        <v>8</v>
      </c>
      <c r="AP344">
        <f t="shared" si="149"/>
        <v>0.77777777777777779</v>
      </c>
      <c r="AQ344">
        <f>survey_responses[[#This Row],[Tôi thấy mức thuế tôi phải đóng theo phương án mới là công bằng (người thu nhập như tôi đóng mức này là hợp lý). - HUMAN-TRU2]]</f>
        <v>8</v>
      </c>
      <c r="AR344">
        <f t="shared" si="150"/>
        <v>0.77777777777777779</v>
      </c>
      <c r="AS344">
        <f>step3_validation[[#This Row],[AI_TRU3]]</f>
        <v>7</v>
      </c>
      <c r="AT344">
        <f t="shared" si="151"/>
        <v>0.66666666666666663</v>
      </c>
      <c r="AU344">
        <f>survey_responses[[#This Row],[Tôi tin tưởng số tiền thuế tôi đóng sẽ được Nhà nước sử dụng hiệu quả để cải thiện dịch vụ công (y tế, đường xá...). - HUMAN-TRU3]]</f>
        <v>8</v>
      </c>
      <c r="AV344">
        <f t="shared" si="152"/>
        <v>0.77777777777777779</v>
      </c>
      <c r="AW344">
        <f>step3_validation[[#This Row],[AI_TRU4]]</f>
        <v>8</v>
      </c>
      <c r="AX344">
        <f t="shared" si="153"/>
        <v>0.77777777777777779</v>
      </c>
      <c r="AY344">
        <f>survey_responses[[#This Row],[Tôi thấy Nhà nước đã giải thích rõ ràng, minh bạch về lý do và mục tiêu của việc sửa đổi thuế lần này. - HUMAN-TRU4]]</f>
        <v>7</v>
      </c>
      <c r="AZ344">
        <f t="shared" si="154"/>
        <v>0.66666666666666663</v>
      </c>
      <c r="BA344" s="32">
        <f t="shared" si="155"/>
        <v>0.72222222222222221</v>
      </c>
      <c r="BB344" s="32">
        <f t="shared" si="156"/>
        <v>0.75</v>
      </c>
      <c r="BC344" s="7">
        <f t="shared" si="157"/>
        <v>0.72222222222222221</v>
      </c>
      <c r="BD344" s="7">
        <f t="shared" si="158"/>
        <v>0.71296296296296291</v>
      </c>
      <c r="BE344">
        <f>step3_validation[[#This Row],[AI_OUT1]]</f>
        <v>9</v>
      </c>
      <c r="BF344">
        <f t="shared" si="159"/>
        <v>0.88888888888888884</v>
      </c>
      <c r="BG344">
        <f>survey_responses[[#This Row],[Sau khi xem xét các quyền lợi và nghĩa vụ, bạn có ủng hộ và tuân thủ chính sách mới hiện nay? - HUMAN-OUT1]]</f>
        <v>8</v>
      </c>
      <c r="BH344">
        <f t="shared" si="160"/>
        <v>0.77777777777777779</v>
      </c>
      <c r="BI344" s="32">
        <f t="shared" si="161"/>
        <v>1</v>
      </c>
    </row>
    <row r="345" spans="1:61" x14ac:dyDescent="0.45">
      <c r="A345" s="30">
        <f>step3_validation[[#This Row],[Persona_ID]]</f>
        <v>344</v>
      </c>
      <c r="B345" s="31">
        <f>step3_validation[[#This Row],[Used_Seed]]</f>
        <v>2369</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52.561832352581355</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9</v>
      </c>
      <c r="R345">
        <f t="shared" si="135"/>
        <v>0.88888888888888884</v>
      </c>
      <c r="S345">
        <f>survey_responses[[#This Row],[Tôi tin rằng với các quy định quản lý thuế hiện nay, hành vi gian lận hoặc trốn thuế sẽ dễ dàng bị phát hiện và xử lý nghiêm. - HUMAN-ENF1]]</f>
        <v>7</v>
      </c>
      <c r="T345">
        <f t="shared" si="136"/>
        <v>0.66666666666666663</v>
      </c>
      <c r="U345">
        <f>step3_validation[[#This Row],[AI_ENF2]]</f>
        <v>8</v>
      </c>
      <c r="V345">
        <f t="shared" si="137"/>
        <v>0.77777777777777779</v>
      </c>
      <c r="W345">
        <f>survey_responses[[#This Row],[Tôi tin rằng Nhà nước, cơ quan thuế có đủ khả năng và công nghệ để phát hiện, xử lý nghiêm các hành vi trốn thuế. - HUMAN-ENF2]]</f>
        <v>7</v>
      </c>
      <c r="X345">
        <f t="shared" si="138"/>
        <v>0.66666666666666663</v>
      </c>
      <c r="Y345" s="32">
        <f t="shared" si="139"/>
        <v>0.83333333333333326</v>
      </c>
      <c r="Z345" s="32">
        <f t="shared" si="140"/>
        <v>0.66666666666666663</v>
      </c>
      <c r="AA345">
        <f>step3_validation[[#This Row],[AI_FAC1]]</f>
        <v>9</v>
      </c>
      <c r="AB345">
        <f t="shared" si="141"/>
        <v>0.88888888888888884</v>
      </c>
      <c r="AC345">
        <f>survey_responses[[#This Row],[Các thủ tục khai báo thuế VÀ/HOẶC quy trình làm việc với cơ quan thuế đơn giản, tiện lợi, nhanh chóng hơn so với trước đây. - HUMAN-FAC1]]</f>
        <v>5</v>
      </c>
      <c r="AD345">
        <f t="shared" si="142"/>
        <v>0.44444444444444442</v>
      </c>
      <c r="AE345">
        <f>step3_validation[[#This Row],[AI_FAC2]]</f>
        <v>8</v>
      </c>
      <c r="AF345">
        <f t="shared" si="143"/>
        <v>0.77777777777777779</v>
      </c>
      <c r="AG345">
        <f>survey_responses[[#This Row],[So với trước đây, tôi thấy cách tính thuế và các bậc thuế trong phương án mới đơn giản, dễ hiểu và dễ thực hiện hơn. - HUMAN-FAC2]]</f>
        <v>8</v>
      </c>
      <c r="AH345">
        <f t="shared" si="144"/>
        <v>0.77777777777777779</v>
      </c>
      <c r="AI345" s="32">
        <f t="shared" si="145"/>
        <v>0.83333333333333326</v>
      </c>
      <c r="AJ345" s="32">
        <f t="shared" si="146"/>
        <v>0.61111111111111116</v>
      </c>
      <c r="AK345">
        <f>step3_validation[[#This Row],[AI_TRU1]]</f>
        <v>9</v>
      </c>
      <c r="AL345">
        <f t="shared" si="147"/>
        <v>0.88888888888888884</v>
      </c>
      <c r="AM345">
        <f>survey_responses[[#This Row],[Tôi tin rằng Nhà nước, cơ quan thuế sẽ thực thi chính sách mới một cách khách quan, công tâm và đối xử bình đẳng với mọi người nộp thuế.  - HUMAN-TRU1]]</f>
        <v>6</v>
      </c>
      <c r="AN345">
        <f t="shared" si="148"/>
        <v>0.55555555555555558</v>
      </c>
      <c r="AO345">
        <f>step3_validation[[#This Row],[AI_TRU2]]</f>
        <v>8</v>
      </c>
      <c r="AP345">
        <f t="shared" si="149"/>
        <v>0.77777777777777779</v>
      </c>
      <c r="AQ345">
        <f>survey_responses[[#This Row],[Tôi thấy mức thuế tôi phải đóng theo phương án mới là công bằng (người thu nhập như tôi đóng mức này là hợp lý). - HUMAN-TRU2]]</f>
        <v>5</v>
      </c>
      <c r="AR345">
        <f t="shared" si="150"/>
        <v>0.44444444444444442</v>
      </c>
      <c r="AS345">
        <f>step3_validation[[#This Row],[AI_TRU3]]</f>
        <v>9</v>
      </c>
      <c r="AT345">
        <f t="shared" si="151"/>
        <v>0.88888888888888884</v>
      </c>
      <c r="AU345">
        <f>survey_responses[[#This Row],[Tôi tin tưởng số tiền thuế tôi đóng sẽ được Nhà nước sử dụng hiệu quả để cải thiện dịch vụ công (y tế, đường xá...). - HUMAN-TRU3]]</f>
        <v>5</v>
      </c>
      <c r="AV345">
        <f t="shared" si="152"/>
        <v>0.44444444444444442</v>
      </c>
      <c r="AW345">
        <f>step3_validation[[#This Row],[AI_TRU4]]</f>
        <v>8</v>
      </c>
      <c r="AX345">
        <f t="shared" si="153"/>
        <v>0.77777777777777779</v>
      </c>
      <c r="AY345">
        <f>survey_responses[[#This Row],[Tôi thấy Nhà nước đã giải thích rõ ràng, minh bạch về lý do và mục tiêu của việc sửa đổi thuế lần này. - HUMAN-TRU4]]</f>
        <v>6</v>
      </c>
      <c r="AZ345">
        <f t="shared" si="154"/>
        <v>0.55555555555555558</v>
      </c>
      <c r="BA345" s="32">
        <f t="shared" si="155"/>
        <v>0.83333333333333326</v>
      </c>
      <c r="BB345" s="32">
        <f t="shared" si="156"/>
        <v>0.5</v>
      </c>
      <c r="BC345" s="7">
        <f t="shared" si="157"/>
        <v>0.83333333333333337</v>
      </c>
      <c r="BD345" s="7">
        <f t="shared" si="158"/>
        <v>0.59259259259259256</v>
      </c>
      <c r="BE345">
        <f>step3_validation[[#This Row],[AI_OUT1]]</f>
        <v>9</v>
      </c>
      <c r="BF345">
        <f t="shared" si="159"/>
        <v>0.88888888888888884</v>
      </c>
      <c r="BG345">
        <f>survey_responses[[#This Row],[Sau khi xem xét các quyền lợi và nghĩa vụ, bạn có ủng hộ và tuân thủ chính sách mới hiện nay? - HUMAN-OUT1]]</f>
        <v>5</v>
      </c>
      <c r="BH345">
        <f t="shared" si="160"/>
        <v>0.44444444444444442</v>
      </c>
      <c r="BI345" s="32">
        <f t="shared" si="161"/>
        <v>4</v>
      </c>
    </row>
    <row r="346" spans="1:61" x14ac:dyDescent="0.45">
      <c r="A346" s="30">
        <f>step3_validation[[#This Row],[Persona_ID]]</f>
        <v>345</v>
      </c>
      <c r="B346" s="31">
        <f>step3_validation[[#This Row],[Used_Seed]]</f>
        <v>2370</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14.364728465204141</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6</v>
      </c>
      <c r="R346">
        <f t="shared" si="135"/>
        <v>0.55555555555555558</v>
      </c>
      <c r="S346">
        <f>survey_responses[[#This Row],[Tôi tin rằng với các quy định quản lý thuế hiện nay, hành vi gian lận hoặc trốn thuế sẽ dễ dàng bị phát hiện và xử lý nghiêm. - HUMAN-ENF1]]</f>
        <v>7</v>
      </c>
      <c r="T346">
        <f t="shared" si="136"/>
        <v>0.66666666666666663</v>
      </c>
      <c r="U346">
        <f>step3_validation[[#This Row],[AI_ENF2]]</f>
        <v>7</v>
      </c>
      <c r="V346">
        <f t="shared" si="137"/>
        <v>0.66666666666666663</v>
      </c>
      <c r="W346">
        <f>survey_responses[[#This Row],[Tôi tin rằng Nhà nước, cơ quan thuế có đủ khả năng và công nghệ để phát hiện, xử lý nghiêm các hành vi trốn thuế. - HUMAN-ENF2]]</f>
        <v>7</v>
      </c>
      <c r="X346">
        <f t="shared" si="138"/>
        <v>0.66666666666666663</v>
      </c>
      <c r="Y346" s="32">
        <f t="shared" si="139"/>
        <v>0.61111111111111116</v>
      </c>
      <c r="Z346" s="32">
        <f t="shared" si="140"/>
        <v>0.66666666666666663</v>
      </c>
      <c r="AA346">
        <f>step3_validation[[#This Row],[AI_FAC1]]</f>
        <v>9</v>
      </c>
      <c r="AB346">
        <f t="shared" si="141"/>
        <v>0.88888888888888884</v>
      </c>
      <c r="AC346">
        <f>survey_responses[[#This Row],[Các thủ tục khai báo thuế VÀ/HOẶC quy trình làm việc với cơ quan thuế đơn giản, tiện lợi, nhanh chóng hơn so với trước đây. - HUMAN-FAC1]]</f>
        <v>5</v>
      </c>
      <c r="AD346">
        <f t="shared" si="142"/>
        <v>0.44444444444444442</v>
      </c>
      <c r="AE346">
        <f>step3_validation[[#This Row],[AI_FAC2]]</f>
        <v>10</v>
      </c>
      <c r="AF346">
        <f t="shared" si="143"/>
        <v>1</v>
      </c>
      <c r="AG346">
        <f>survey_responses[[#This Row],[So với trước đây, tôi thấy cách tính thuế và các bậc thuế trong phương án mới đơn giản, dễ hiểu và dễ thực hiện hơn. - HUMAN-FAC2]]</f>
        <v>8</v>
      </c>
      <c r="AH346">
        <f t="shared" si="144"/>
        <v>0.77777777777777779</v>
      </c>
      <c r="AI346" s="32">
        <f t="shared" si="145"/>
        <v>0.94444444444444442</v>
      </c>
      <c r="AJ346" s="32">
        <f t="shared" si="146"/>
        <v>0.61111111111111116</v>
      </c>
      <c r="AK346">
        <f>step3_validation[[#This Row],[AI_TRU1]]</f>
        <v>8</v>
      </c>
      <c r="AL346">
        <f t="shared" si="147"/>
        <v>0.77777777777777779</v>
      </c>
      <c r="AM346">
        <f>survey_responses[[#This Row],[Tôi tin rằng Nhà nước, cơ quan thuế sẽ thực thi chính sách mới một cách khách quan, công tâm và đối xử bình đẳng với mọi người nộp thuế.  - HUMAN-TRU1]]</f>
        <v>7</v>
      </c>
      <c r="AN346">
        <f t="shared" si="148"/>
        <v>0.66666666666666663</v>
      </c>
      <c r="AO346">
        <f>step3_validation[[#This Row],[AI_TRU2]]</f>
        <v>9</v>
      </c>
      <c r="AP346">
        <f t="shared" si="149"/>
        <v>0.88888888888888884</v>
      </c>
      <c r="AQ346">
        <f>survey_responses[[#This Row],[Tôi thấy mức thuế tôi phải đóng theo phương án mới là công bằng (người thu nhập như tôi đóng mức này là hợp lý). - HUMAN-TRU2]]</f>
        <v>7</v>
      </c>
      <c r="AR346">
        <f t="shared" si="150"/>
        <v>0.66666666666666663</v>
      </c>
      <c r="AS346">
        <f>step3_validation[[#This Row],[AI_TRU3]]</f>
        <v>7</v>
      </c>
      <c r="AT346">
        <f t="shared" si="151"/>
        <v>0.66666666666666663</v>
      </c>
      <c r="AU346">
        <f>survey_responses[[#This Row],[Tôi tin tưởng số tiền thuế tôi đóng sẽ được Nhà nước sử dụng hiệu quả để cải thiện dịch vụ công (y tế, đường xá...). - HUMAN-TRU3]]</f>
        <v>6</v>
      </c>
      <c r="AV346">
        <f t="shared" si="152"/>
        <v>0.55555555555555558</v>
      </c>
      <c r="AW346">
        <f>step3_validation[[#This Row],[AI_TRU4]]</f>
        <v>9</v>
      </c>
      <c r="AX346">
        <f t="shared" si="153"/>
        <v>0.88888888888888884</v>
      </c>
      <c r="AY346">
        <f>survey_responses[[#This Row],[Tôi thấy Nhà nước đã giải thích rõ ràng, minh bạch về lý do và mục tiêu của việc sửa đổi thuế lần này. - HUMAN-TRU4]]</f>
        <v>7</v>
      </c>
      <c r="AZ346">
        <f t="shared" si="154"/>
        <v>0.66666666666666663</v>
      </c>
      <c r="BA346" s="32">
        <f t="shared" si="155"/>
        <v>0.80555555555555547</v>
      </c>
      <c r="BB346" s="32">
        <f t="shared" si="156"/>
        <v>0.63888888888888884</v>
      </c>
      <c r="BC346" s="7">
        <f t="shared" si="157"/>
        <v>0.78703703703703709</v>
      </c>
      <c r="BD346" s="7">
        <f t="shared" si="158"/>
        <v>0.63888888888888884</v>
      </c>
      <c r="BE346">
        <f>step3_validation[[#This Row],[AI_OUT1]]</f>
        <v>9</v>
      </c>
      <c r="BF346">
        <f t="shared" si="159"/>
        <v>0.88888888888888884</v>
      </c>
      <c r="BG346">
        <f>survey_responses[[#This Row],[Sau khi xem xét các quyền lợi và nghĩa vụ, bạn có ủng hộ và tuân thủ chính sách mới hiện nay? - HUMAN-OUT1]]</f>
        <v>7</v>
      </c>
      <c r="BH346">
        <f t="shared" si="160"/>
        <v>0.66666666666666663</v>
      </c>
      <c r="BI346" s="32">
        <f t="shared" si="161"/>
        <v>2</v>
      </c>
    </row>
    <row r="347" spans="1:61" x14ac:dyDescent="0.45">
      <c r="A347" s="30">
        <f>step3_validation[[#This Row],[Persona_ID]]</f>
        <v>346</v>
      </c>
      <c r="B347" s="31">
        <f>step3_validation[[#This Row],[Used_Seed]]</f>
        <v>2371</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26.261207915766324</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9</v>
      </c>
      <c r="R347">
        <f t="shared" si="135"/>
        <v>0.88888888888888884</v>
      </c>
      <c r="S347">
        <f>survey_responses[[#This Row],[Tôi tin rằng với các quy định quản lý thuế hiện nay, hành vi gian lận hoặc trốn thuế sẽ dễ dàng bị phát hiện và xử lý nghiêm. - HUMAN-ENF1]]</f>
        <v>9</v>
      </c>
      <c r="T347">
        <f t="shared" si="136"/>
        <v>0.88888888888888884</v>
      </c>
      <c r="U347">
        <f>step3_validation[[#This Row],[AI_ENF2]]</f>
        <v>9</v>
      </c>
      <c r="V347">
        <f t="shared" si="137"/>
        <v>0.88888888888888884</v>
      </c>
      <c r="W347">
        <f>survey_responses[[#This Row],[Tôi tin rằng Nhà nước, cơ quan thuế có đủ khả năng và công nghệ để phát hiện, xử lý nghiêm các hành vi trốn thuế. - HUMAN-ENF2]]</f>
        <v>8</v>
      </c>
      <c r="X347">
        <f t="shared" si="138"/>
        <v>0.77777777777777779</v>
      </c>
      <c r="Y347" s="32">
        <f t="shared" si="139"/>
        <v>0.88888888888888884</v>
      </c>
      <c r="Z347" s="32">
        <f t="shared" si="140"/>
        <v>0.83333333333333326</v>
      </c>
      <c r="AA347">
        <f>step3_validation[[#This Row],[AI_FAC1]]</f>
        <v>8</v>
      </c>
      <c r="AB347">
        <f t="shared" si="141"/>
        <v>0.77777777777777779</v>
      </c>
      <c r="AC347">
        <f>survey_responses[[#This Row],[Các thủ tục khai báo thuế VÀ/HOẶC quy trình làm việc với cơ quan thuế đơn giản, tiện lợi, nhanh chóng hơn so với trước đây. - HUMAN-FAC1]]</f>
        <v>8</v>
      </c>
      <c r="AD347">
        <f t="shared" si="142"/>
        <v>0.77777777777777779</v>
      </c>
      <c r="AE347">
        <f>step3_validation[[#This Row],[AI_FAC2]]</f>
        <v>8</v>
      </c>
      <c r="AF347">
        <f t="shared" si="143"/>
        <v>0.77777777777777779</v>
      </c>
      <c r="AG347">
        <f>survey_responses[[#This Row],[So với trước đây, tôi thấy cách tính thuế và các bậc thuế trong phương án mới đơn giản, dễ hiểu và dễ thực hiện hơn. - HUMAN-FAC2]]</f>
        <v>9</v>
      </c>
      <c r="AH347">
        <f t="shared" si="144"/>
        <v>0.88888888888888884</v>
      </c>
      <c r="AI347" s="32">
        <f t="shared" si="145"/>
        <v>0.77777777777777779</v>
      </c>
      <c r="AJ347" s="32">
        <f t="shared" si="146"/>
        <v>0.83333333333333326</v>
      </c>
      <c r="AK347">
        <f>step3_validation[[#This Row],[AI_TRU1]]</f>
        <v>9</v>
      </c>
      <c r="AL347">
        <f t="shared" si="147"/>
        <v>0.88888888888888884</v>
      </c>
      <c r="AM347">
        <f>survey_responses[[#This Row],[Tôi tin rằng Nhà nước, cơ quan thuế sẽ thực thi chính sách mới một cách khách quan, công tâm và đối xử bình đẳng với mọi người nộp thuế.  - HUMAN-TRU1]]</f>
        <v>7</v>
      </c>
      <c r="AN347">
        <f t="shared" si="148"/>
        <v>0.66666666666666663</v>
      </c>
      <c r="AO347">
        <f>step3_validation[[#This Row],[AI_TRU2]]</f>
        <v>9</v>
      </c>
      <c r="AP347">
        <f t="shared" si="149"/>
        <v>0.88888888888888884</v>
      </c>
      <c r="AQ347">
        <f>survey_responses[[#This Row],[Tôi thấy mức thuế tôi phải đóng theo phương án mới là công bằng (người thu nhập như tôi đóng mức này là hợp lý). - HUMAN-TRU2]]</f>
        <v>8</v>
      </c>
      <c r="AR347">
        <f t="shared" si="150"/>
        <v>0.77777777777777779</v>
      </c>
      <c r="AS347">
        <f>step3_validation[[#This Row],[AI_TRU3]]</f>
        <v>8</v>
      </c>
      <c r="AT347">
        <f t="shared" si="151"/>
        <v>0.77777777777777779</v>
      </c>
      <c r="AU347">
        <f>survey_responses[[#This Row],[Tôi tin tưởng số tiền thuế tôi đóng sẽ được Nhà nước sử dụng hiệu quả để cải thiện dịch vụ công (y tế, đường xá...). - HUMAN-TRU3]]</f>
        <v>7</v>
      </c>
      <c r="AV347">
        <f t="shared" si="152"/>
        <v>0.66666666666666663</v>
      </c>
      <c r="AW347">
        <f>step3_validation[[#This Row],[AI_TRU4]]</f>
        <v>9</v>
      </c>
      <c r="AX347">
        <f t="shared" si="153"/>
        <v>0.88888888888888884</v>
      </c>
      <c r="AY347">
        <f>survey_responses[[#This Row],[Tôi thấy Nhà nước đã giải thích rõ ràng, minh bạch về lý do và mục tiêu của việc sửa đổi thuế lần này. - HUMAN-TRU4]]</f>
        <v>7</v>
      </c>
      <c r="AZ347">
        <f t="shared" si="154"/>
        <v>0.66666666666666663</v>
      </c>
      <c r="BA347" s="32">
        <f t="shared" si="155"/>
        <v>0.86111111111111105</v>
      </c>
      <c r="BB347" s="32">
        <f t="shared" si="156"/>
        <v>0.69444444444444442</v>
      </c>
      <c r="BC347" s="7">
        <f t="shared" si="157"/>
        <v>0.84259259259259256</v>
      </c>
      <c r="BD347" s="7">
        <f t="shared" si="158"/>
        <v>0.78703703703703687</v>
      </c>
      <c r="BE347">
        <f>step3_validation[[#This Row],[AI_OUT1]]</f>
        <v>9</v>
      </c>
      <c r="BF347">
        <f t="shared" si="159"/>
        <v>0.88888888888888884</v>
      </c>
      <c r="BG347">
        <f>survey_responses[[#This Row],[Sau khi xem xét các quyền lợi và nghĩa vụ, bạn có ủng hộ và tuân thủ chính sách mới hiện nay? - HUMAN-OUT1]]</f>
        <v>8</v>
      </c>
      <c r="BH347">
        <f t="shared" si="160"/>
        <v>0.77777777777777779</v>
      </c>
      <c r="BI347" s="32">
        <f t="shared" si="161"/>
        <v>1</v>
      </c>
    </row>
    <row r="348" spans="1:61" x14ac:dyDescent="0.45">
      <c r="A348" s="30">
        <f>step3_validation[[#This Row],[Persona_ID]]</f>
        <v>347</v>
      </c>
      <c r="B348" s="31">
        <f>step3_validation[[#This Row],[Used_Seed]]</f>
        <v>2372</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21.567787991110219</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6</v>
      </c>
      <c r="R348">
        <f t="shared" si="135"/>
        <v>0.55555555555555558</v>
      </c>
      <c r="S348">
        <f>survey_responses[[#This Row],[Tôi tin rằng với các quy định quản lý thuế hiện nay, hành vi gian lận hoặc trốn thuế sẽ dễ dàng bị phát hiện và xử lý nghiêm. - HUMAN-ENF1]]</f>
        <v>8</v>
      </c>
      <c r="T348">
        <f t="shared" si="136"/>
        <v>0.77777777777777779</v>
      </c>
      <c r="U348">
        <f>step3_validation[[#This Row],[AI_ENF2]]</f>
        <v>7</v>
      </c>
      <c r="V348">
        <f t="shared" si="137"/>
        <v>0.66666666666666663</v>
      </c>
      <c r="W348">
        <f>survey_responses[[#This Row],[Tôi tin rằng Nhà nước, cơ quan thuế có đủ khả năng và công nghệ để phát hiện, xử lý nghiêm các hành vi trốn thuế. - HUMAN-ENF2]]</f>
        <v>8</v>
      </c>
      <c r="X348">
        <f t="shared" si="138"/>
        <v>0.77777777777777779</v>
      </c>
      <c r="Y348" s="32">
        <f t="shared" si="139"/>
        <v>0.61111111111111116</v>
      </c>
      <c r="Z348" s="32">
        <f t="shared" si="140"/>
        <v>0.77777777777777779</v>
      </c>
      <c r="AA348">
        <f>step3_validation[[#This Row],[AI_FAC1]]</f>
        <v>8</v>
      </c>
      <c r="AB348">
        <f t="shared" si="141"/>
        <v>0.77777777777777779</v>
      </c>
      <c r="AC348">
        <f>survey_responses[[#This Row],[Các thủ tục khai báo thuế VÀ/HOẶC quy trình làm việc với cơ quan thuế đơn giản, tiện lợi, nhanh chóng hơn so với trước đây. - HUMAN-FAC1]]</f>
        <v>7</v>
      </c>
      <c r="AD348">
        <f t="shared" si="142"/>
        <v>0.66666666666666663</v>
      </c>
      <c r="AE348">
        <f>step3_validation[[#This Row],[AI_FAC2]]</f>
        <v>9</v>
      </c>
      <c r="AF348">
        <f t="shared" si="143"/>
        <v>0.88888888888888884</v>
      </c>
      <c r="AG348">
        <f>survey_responses[[#This Row],[So với trước đây, tôi thấy cách tính thuế và các bậc thuế trong phương án mới đơn giản, dễ hiểu và dễ thực hiện hơn. - HUMAN-FAC2]]</f>
        <v>8</v>
      </c>
      <c r="AH348">
        <f t="shared" si="144"/>
        <v>0.77777777777777779</v>
      </c>
      <c r="AI348" s="32">
        <f t="shared" si="145"/>
        <v>0.83333333333333326</v>
      </c>
      <c r="AJ348" s="32">
        <f t="shared" si="146"/>
        <v>0.72222222222222221</v>
      </c>
      <c r="AK348">
        <f>step3_validation[[#This Row],[AI_TRU1]]</f>
        <v>8</v>
      </c>
      <c r="AL348">
        <f t="shared" si="147"/>
        <v>0.77777777777777779</v>
      </c>
      <c r="AM348">
        <f>survey_responses[[#This Row],[Tôi tin rằng Nhà nước, cơ quan thuế sẽ thực thi chính sách mới một cách khách quan, công tâm và đối xử bình đẳng với mọi người nộp thuế.  - HUMAN-TRU1]]</f>
        <v>6</v>
      </c>
      <c r="AN348">
        <f t="shared" si="148"/>
        <v>0.55555555555555558</v>
      </c>
      <c r="AO348">
        <f>step3_validation[[#This Row],[AI_TRU2]]</f>
        <v>7</v>
      </c>
      <c r="AP348">
        <f t="shared" si="149"/>
        <v>0.66666666666666663</v>
      </c>
      <c r="AQ348">
        <f>survey_responses[[#This Row],[Tôi thấy mức thuế tôi phải đóng theo phương án mới là công bằng (người thu nhập như tôi đóng mức này là hợp lý). - HUMAN-TRU2]]</f>
        <v>8</v>
      </c>
      <c r="AR348">
        <f t="shared" si="150"/>
        <v>0.77777777777777779</v>
      </c>
      <c r="AS348">
        <f>step3_validation[[#This Row],[AI_TRU3]]</f>
        <v>8</v>
      </c>
      <c r="AT348">
        <f t="shared" si="151"/>
        <v>0.77777777777777779</v>
      </c>
      <c r="AU348">
        <f>survey_responses[[#This Row],[Tôi tin tưởng số tiền thuế tôi đóng sẽ được Nhà nước sử dụng hiệu quả để cải thiện dịch vụ công (y tế, đường xá...). - HUMAN-TRU3]]</f>
        <v>6</v>
      </c>
      <c r="AV348">
        <f t="shared" si="152"/>
        <v>0.55555555555555558</v>
      </c>
      <c r="AW348">
        <f>step3_validation[[#This Row],[AI_TRU4]]</f>
        <v>7</v>
      </c>
      <c r="AX348">
        <f t="shared" si="153"/>
        <v>0.66666666666666663</v>
      </c>
      <c r="AY348">
        <f>survey_responses[[#This Row],[Tôi thấy Nhà nước đã giải thích rõ ràng, minh bạch về lý do và mục tiêu của việc sửa đổi thuế lần này. - HUMAN-TRU4]]</f>
        <v>6</v>
      </c>
      <c r="AZ348">
        <f t="shared" si="154"/>
        <v>0.55555555555555558</v>
      </c>
      <c r="BA348" s="32">
        <f t="shared" si="155"/>
        <v>0.72222222222222221</v>
      </c>
      <c r="BB348" s="32">
        <f t="shared" si="156"/>
        <v>0.61111111111111116</v>
      </c>
      <c r="BC348" s="7">
        <f t="shared" si="157"/>
        <v>0.72222222222222221</v>
      </c>
      <c r="BD348" s="7">
        <f t="shared" si="158"/>
        <v>0.70370370370370372</v>
      </c>
      <c r="BE348">
        <f>step3_validation[[#This Row],[AI_OUT1]]</f>
        <v>9</v>
      </c>
      <c r="BF348">
        <f t="shared" si="159"/>
        <v>0.88888888888888884</v>
      </c>
      <c r="BG348">
        <f>survey_responses[[#This Row],[Sau khi xem xét các quyền lợi và nghĩa vụ, bạn có ủng hộ và tuân thủ chính sách mới hiện nay? - HUMAN-OUT1]]</f>
        <v>8</v>
      </c>
      <c r="BH348">
        <f t="shared" si="160"/>
        <v>0.77777777777777779</v>
      </c>
      <c r="BI348" s="32">
        <f t="shared" si="161"/>
        <v>1</v>
      </c>
    </row>
    <row r="349" spans="1:61" x14ac:dyDescent="0.45">
      <c r="A349" s="30">
        <f>step3_validation[[#This Row],[Persona_ID]]</f>
        <v>348</v>
      </c>
      <c r="B349" s="31">
        <f>step3_validation[[#This Row],[Used_Seed]]</f>
        <v>2373</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20.139827435595141</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6</v>
      </c>
      <c r="R349">
        <f t="shared" si="135"/>
        <v>0.55555555555555558</v>
      </c>
      <c r="S349">
        <f>survey_responses[[#This Row],[Tôi tin rằng với các quy định quản lý thuế hiện nay, hành vi gian lận hoặc trốn thuế sẽ dễ dàng bị phát hiện và xử lý nghiêm. - HUMAN-ENF1]]</f>
        <v>8</v>
      </c>
      <c r="T349">
        <f t="shared" si="136"/>
        <v>0.77777777777777779</v>
      </c>
      <c r="U349">
        <f>step3_validation[[#This Row],[AI_ENF2]]</f>
        <v>7</v>
      </c>
      <c r="V349">
        <f t="shared" si="137"/>
        <v>0.66666666666666663</v>
      </c>
      <c r="W349">
        <f>survey_responses[[#This Row],[Tôi tin rằng Nhà nước, cơ quan thuế có đủ khả năng và công nghệ để phát hiện, xử lý nghiêm các hành vi trốn thuế. - HUMAN-ENF2]]</f>
        <v>8</v>
      </c>
      <c r="X349">
        <f t="shared" si="138"/>
        <v>0.77777777777777779</v>
      </c>
      <c r="Y349" s="32">
        <f t="shared" si="139"/>
        <v>0.61111111111111116</v>
      </c>
      <c r="Z349" s="32">
        <f t="shared" si="140"/>
        <v>0.77777777777777779</v>
      </c>
      <c r="AA349">
        <f>step3_validation[[#This Row],[AI_FAC1]]</f>
        <v>9</v>
      </c>
      <c r="AB349">
        <f t="shared" si="141"/>
        <v>0.88888888888888884</v>
      </c>
      <c r="AC349">
        <f>survey_responses[[#This Row],[Các thủ tục khai báo thuế VÀ/HOẶC quy trình làm việc với cơ quan thuế đơn giản, tiện lợi, nhanh chóng hơn so với trước đây. - HUMAN-FAC1]]</f>
        <v>7</v>
      </c>
      <c r="AD349">
        <f t="shared" si="142"/>
        <v>0.66666666666666663</v>
      </c>
      <c r="AE349">
        <f>step3_validation[[#This Row],[AI_FAC2]]</f>
        <v>8</v>
      </c>
      <c r="AF349">
        <f t="shared" si="143"/>
        <v>0.77777777777777779</v>
      </c>
      <c r="AG349">
        <f>survey_responses[[#This Row],[So với trước đây, tôi thấy cách tính thuế và các bậc thuế trong phương án mới đơn giản, dễ hiểu và dễ thực hiện hơn. - HUMAN-FAC2]]</f>
        <v>7</v>
      </c>
      <c r="AH349">
        <f t="shared" si="144"/>
        <v>0.66666666666666663</v>
      </c>
      <c r="AI349" s="32">
        <f t="shared" si="145"/>
        <v>0.83333333333333326</v>
      </c>
      <c r="AJ349" s="32">
        <f t="shared" si="146"/>
        <v>0.66666666666666663</v>
      </c>
      <c r="AK349">
        <f>step3_validation[[#This Row],[AI_TRU1]]</f>
        <v>7</v>
      </c>
      <c r="AL349">
        <f t="shared" si="147"/>
        <v>0.66666666666666663</v>
      </c>
      <c r="AM349">
        <f>survey_responses[[#This Row],[Tôi tin rằng Nhà nước, cơ quan thuế sẽ thực thi chính sách mới một cách khách quan, công tâm và đối xử bình đẳng với mọi người nộp thuế.  - HUMAN-TRU1]]</f>
        <v>6</v>
      </c>
      <c r="AN349">
        <f t="shared" si="148"/>
        <v>0.55555555555555558</v>
      </c>
      <c r="AO349">
        <f>step3_validation[[#This Row],[AI_TRU2]]</f>
        <v>9</v>
      </c>
      <c r="AP349">
        <f t="shared" si="149"/>
        <v>0.88888888888888884</v>
      </c>
      <c r="AQ349">
        <f>survey_responses[[#This Row],[Tôi thấy mức thuế tôi phải đóng theo phương án mới là công bằng (người thu nhập như tôi đóng mức này là hợp lý). - HUMAN-TRU2]]</f>
        <v>7</v>
      </c>
      <c r="AR349">
        <f t="shared" si="150"/>
        <v>0.66666666666666663</v>
      </c>
      <c r="AS349">
        <f>step3_validation[[#This Row],[AI_TRU3]]</f>
        <v>8</v>
      </c>
      <c r="AT349">
        <f t="shared" si="151"/>
        <v>0.77777777777777779</v>
      </c>
      <c r="AU349">
        <f>survey_responses[[#This Row],[Tôi tin tưởng số tiền thuế tôi đóng sẽ được Nhà nước sử dụng hiệu quả để cải thiện dịch vụ công (y tế, đường xá...). - HUMAN-TRU3]]</f>
        <v>6</v>
      </c>
      <c r="AV349">
        <f t="shared" si="152"/>
        <v>0.55555555555555558</v>
      </c>
      <c r="AW349">
        <f>step3_validation[[#This Row],[AI_TRU4]]</f>
        <v>7</v>
      </c>
      <c r="AX349">
        <f t="shared" si="153"/>
        <v>0.66666666666666663</v>
      </c>
      <c r="AY349">
        <f>survey_responses[[#This Row],[Tôi thấy Nhà nước đã giải thích rõ ràng, minh bạch về lý do và mục tiêu của việc sửa đổi thuế lần này. - HUMAN-TRU4]]</f>
        <v>6</v>
      </c>
      <c r="AZ349">
        <f t="shared" si="154"/>
        <v>0.55555555555555558</v>
      </c>
      <c r="BA349" s="32">
        <f t="shared" si="155"/>
        <v>0.74999999999999989</v>
      </c>
      <c r="BB349" s="32">
        <f t="shared" si="156"/>
        <v>0.58333333333333337</v>
      </c>
      <c r="BC349" s="7">
        <f t="shared" si="157"/>
        <v>0.7314814814814814</v>
      </c>
      <c r="BD349" s="7">
        <f t="shared" si="158"/>
        <v>0.67592592592592593</v>
      </c>
      <c r="BE349">
        <f>step3_validation[[#This Row],[AI_OUT1]]</f>
        <v>9</v>
      </c>
      <c r="BF349">
        <f t="shared" si="159"/>
        <v>0.88888888888888884</v>
      </c>
      <c r="BG349">
        <f>survey_responses[[#This Row],[Sau khi xem xét các quyền lợi và nghĩa vụ, bạn có ủng hộ và tuân thủ chính sách mới hiện nay? - HUMAN-OUT1]]</f>
        <v>7</v>
      </c>
      <c r="BH349">
        <f t="shared" si="160"/>
        <v>0.66666666666666663</v>
      </c>
      <c r="BI349" s="32">
        <f t="shared" si="161"/>
        <v>2</v>
      </c>
    </row>
    <row r="350" spans="1:61" x14ac:dyDescent="0.45">
      <c r="A350" s="30">
        <f>step3_validation[[#This Row],[Persona_ID]]</f>
        <v>349</v>
      </c>
      <c r="B350" s="31">
        <f>step3_validation[[#This Row],[Used_Seed]]</f>
        <v>2374</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19.29241039779194</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7</v>
      </c>
      <c r="R350">
        <f t="shared" si="135"/>
        <v>0.66666666666666663</v>
      </c>
      <c r="S350">
        <f>survey_responses[[#This Row],[Tôi tin rằng với các quy định quản lý thuế hiện nay, hành vi gian lận hoặc trốn thuế sẽ dễ dàng bị phát hiện và xử lý nghiêm. - HUMAN-ENF1]]</f>
        <v>4</v>
      </c>
      <c r="T350">
        <f t="shared" si="136"/>
        <v>0.33333333333333331</v>
      </c>
      <c r="U350">
        <f>step3_validation[[#This Row],[AI_ENF2]]</f>
        <v>6</v>
      </c>
      <c r="V350">
        <f t="shared" si="137"/>
        <v>0.55555555555555558</v>
      </c>
      <c r="W350">
        <f>survey_responses[[#This Row],[Tôi tin rằng Nhà nước, cơ quan thuế có đủ khả năng và công nghệ để phát hiện, xử lý nghiêm các hành vi trốn thuế. - HUMAN-ENF2]]</f>
        <v>4</v>
      </c>
      <c r="X350">
        <f t="shared" si="138"/>
        <v>0.33333333333333331</v>
      </c>
      <c r="Y350" s="32">
        <f t="shared" si="139"/>
        <v>0.61111111111111116</v>
      </c>
      <c r="Z350" s="32">
        <f t="shared" si="140"/>
        <v>0.33333333333333331</v>
      </c>
      <c r="AA350">
        <f>step3_validation[[#This Row],[AI_FAC1]]</f>
        <v>9</v>
      </c>
      <c r="AB350">
        <f t="shared" si="141"/>
        <v>0.88888888888888884</v>
      </c>
      <c r="AC350">
        <f>survey_responses[[#This Row],[Các thủ tục khai báo thuế VÀ/HOẶC quy trình làm việc với cơ quan thuế đơn giản, tiện lợi, nhanh chóng hơn so với trước đây. - HUMAN-FAC1]]</f>
        <v>5</v>
      </c>
      <c r="AD350">
        <f t="shared" si="142"/>
        <v>0.44444444444444442</v>
      </c>
      <c r="AE350">
        <f>step3_validation[[#This Row],[AI_FAC2]]</f>
        <v>8</v>
      </c>
      <c r="AF350">
        <f t="shared" si="143"/>
        <v>0.77777777777777779</v>
      </c>
      <c r="AG350">
        <f>survey_responses[[#This Row],[So với trước đây, tôi thấy cách tính thuế và các bậc thuế trong phương án mới đơn giản, dễ hiểu và dễ thực hiện hơn. - HUMAN-FAC2]]</f>
        <v>7</v>
      </c>
      <c r="AH350">
        <f t="shared" si="144"/>
        <v>0.66666666666666663</v>
      </c>
      <c r="AI350" s="32">
        <f t="shared" si="145"/>
        <v>0.83333333333333326</v>
      </c>
      <c r="AJ350" s="32">
        <f t="shared" si="146"/>
        <v>0.55555555555555558</v>
      </c>
      <c r="AK350">
        <f>step3_validation[[#This Row],[AI_TRU1]]</f>
        <v>9</v>
      </c>
      <c r="AL350">
        <f t="shared" si="147"/>
        <v>0.88888888888888884</v>
      </c>
      <c r="AM350">
        <f>survey_responses[[#This Row],[Tôi tin rằng Nhà nước, cơ quan thuế sẽ thực thi chính sách mới một cách khách quan, công tâm và đối xử bình đẳng với mọi người nộp thuế.  - HUMAN-TRU1]]</f>
        <v>5</v>
      </c>
      <c r="AN350">
        <f t="shared" si="148"/>
        <v>0.44444444444444442</v>
      </c>
      <c r="AO350">
        <f>step3_validation[[#This Row],[AI_TRU2]]</f>
        <v>9</v>
      </c>
      <c r="AP350">
        <f t="shared" si="149"/>
        <v>0.88888888888888884</v>
      </c>
      <c r="AQ350">
        <f>survey_responses[[#This Row],[Tôi thấy mức thuế tôi phải đóng theo phương án mới là công bằng (người thu nhập như tôi đóng mức này là hợp lý). - HUMAN-TRU2]]</f>
        <v>6</v>
      </c>
      <c r="AR350">
        <f t="shared" si="150"/>
        <v>0.55555555555555558</v>
      </c>
      <c r="AS350">
        <f>step3_validation[[#This Row],[AI_TRU3]]</f>
        <v>9</v>
      </c>
      <c r="AT350">
        <f t="shared" si="151"/>
        <v>0.88888888888888884</v>
      </c>
      <c r="AU350">
        <f>survey_responses[[#This Row],[Tôi tin tưởng số tiền thuế tôi đóng sẽ được Nhà nước sử dụng hiệu quả để cải thiện dịch vụ công (y tế, đường xá...). - HUMAN-TRU3]]</f>
        <v>6</v>
      </c>
      <c r="AV350">
        <f t="shared" si="152"/>
        <v>0.55555555555555558</v>
      </c>
      <c r="AW350">
        <f>step3_validation[[#This Row],[AI_TRU4]]</f>
        <v>8</v>
      </c>
      <c r="AX350">
        <f t="shared" si="153"/>
        <v>0.77777777777777779</v>
      </c>
      <c r="AY350">
        <f>survey_responses[[#This Row],[Tôi thấy Nhà nước đã giải thích rõ ràng, minh bạch về lý do và mục tiêu của việc sửa đổi thuế lần này. - HUMAN-TRU4]]</f>
        <v>6</v>
      </c>
      <c r="AZ350">
        <f t="shared" si="154"/>
        <v>0.55555555555555558</v>
      </c>
      <c r="BA350" s="32">
        <f t="shared" si="155"/>
        <v>0.86111111111111105</v>
      </c>
      <c r="BB350" s="32">
        <f t="shared" si="156"/>
        <v>0.52777777777777779</v>
      </c>
      <c r="BC350" s="7">
        <f t="shared" si="157"/>
        <v>0.76851851851851849</v>
      </c>
      <c r="BD350" s="7">
        <f t="shared" si="158"/>
        <v>0.47222222222222215</v>
      </c>
      <c r="BE350">
        <f>step3_validation[[#This Row],[AI_OUT1]]</f>
        <v>9</v>
      </c>
      <c r="BF350">
        <f t="shared" si="159"/>
        <v>0.88888888888888884</v>
      </c>
      <c r="BG350">
        <f>survey_responses[[#This Row],[Sau khi xem xét các quyền lợi và nghĩa vụ, bạn có ủng hộ và tuân thủ chính sách mới hiện nay? - HUMAN-OUT1]]</f>
        <v>6</v>
      </c>
      <c r="BH350">
        <f t="shared" si="160"/>
        <v>0.55555555555555558</v>
      </c>
      <c r="BI350" s="32">
        <f t="shared" si="161"/>
        <v>3</v>
      </c>
    </row>
    <row r="351" spans="1:61" x14ac:dyDescent="0.45">
      <c r="A351" s="30">
        <f>step3_validation[[#This Row],[Persona_ID]]</f>
        <v>350</v>
      </c>
      <c r="B351" s="31">
        <f>step3_validation[[#This Row],[Used_Seed]]</f>
        <v>2375</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24.666298038630494</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6</v>
      </c>
      <c r="R351">
        <f t="shared" si="135"/>
        <v>0.55555555555555558</v>
      </c>
      <c r="S351">
        <f>survey_responses[[#This Row],[Tôi tin rằng với các quy định quản lý thuế hiện nay, hành vi gian lận hoặc trốn thuế sẽ dễ dàng bị phát hiện và xử lý nghiêm. - HUMAN-ENF1]]</f>
        <v>7</v>
      </c>
      <c r="T351">
        <f t="shared" si="136"/>
        <v>0.66666666666666663</v>
      </c>
      <c r="U351">
        <f>step3_validation[[#This Row],[AI_ENF2]]</f>
        <v>7</v>
      </c>
      <c r="V351">
        <f t="shared" si="137"/>
        <v>0.66666666666666663</v>
      </c>
      <c r="W351">
        <f>survey_responses[[#This Row],[Tôi tin rằng Nhà nước, cơ quan thuế có đủ khả năng và công nghệ để phát hiện, xử lý nghiêm các hành vi trốn thuế. - HUMAN-ENF2]]</f>
        <v>7</v>
      </c>
      <c r="X351">
        <f t="shared" si="138"/>
        <v>0.66666666666666663</v>
      </c>
      <c r="Y351" s="32">
        <f t="shared" si="139"/>
        <v>0.61111111111111116</v>
      </c>
      <c r="Z351" s="32">
        <f t="shared" si="140"/>
        <v>0.66666666666666663</v>
      </c>
      <c r="AA351">
        <f>step3_validation[[#This Row],[AI_FAC1]]</f>
        <v>9</v>
      </c>
      <c r="AB351">
        <f t="shared" si="141"/>
        <v>0.88888888888888884</v>
      </c>
      <c r="AC351">
        <f>survey_responses[[#This Row],[Các thủ tục khai báo thuế VÀ/HOẶC quy trình làm việc với cơ quan thuế đơn giản, tiện lợi, nhanh chóng hơn so với trước đây. - HUMAN-FAC1]]</f>
        <v>8</v>
      </c>
      <c r="AD351">
        <f t="shared" si="142"/>
        <v>0.77777777777777779</v>
      </c>
      <c r="AE351">
        <f>step3_validation[[#This Row],[AI_FAC2]]</f>
        <v>8</v>
      </c>
      <c r="AF351">
        <f t="shared" si="143"/>
        <v>0.77777777777777779</v>
      </c>
      <c r="AG351">
        <f>survey_responses[[#This Row],[So với trước đây, tôi thấy cách tính thuế và các bậc thuế trong phương án mới đơn giản, dễ hiểu và dễ thực hiện hơn. - HUMAN-FAC2]]</f>
        <v>8</v>
      </c>
      <c r="AH351">
        <f t="shared" si="144"/>
        <v>0.77777777777777779</v>
      </c>
      <c r="AI351" s="32">
        <f t="shared" si="145"/>
        <v>0.83333333333333326</v>
      </c>
      <c r="AJ351" s="32">
        <f t="shared" si="146"/>
        <v>0.77777777777777779</v>
      </c>
      <c r="AK351">
        <f>step3_validation[[#This Row],[AI_TRU1]]</f>
        <v>7</v>
      </c>
      <c r="AL351">
        <f t="shared" si="147"/>
        <v>0.66666666666666663</v>
      </c>
      <c r="AM351">
        <f>survey_responses[[#This Row],[Tôi tin rằng Nhà nước, cơ quan thuế sẽ thực thi chính sách mới một cách khách quan, công tâm và đối xử bình đẳng với mọi người nộp thuế.  - HUMAN-TRU1]]</f>
        <v>7</v>
      </c>
      <c r="AN351">
        <f t="shared" si="148"/>
        <v>0.66666666666666663</v>
      </c>
      <c r="AO351">
        <f>step3_validation[[#This Row],[AI_TRU2]]</f>
        <v>9</v>
      </c>
      <c r="AP351">
        <f t="shared" si="149"/>
        <v>0.88888888888888884</v>
      </c>
      <c r="AQ351">
        <f>survey_responses[[#This Row],[Tôi thấy mức thuế tôi phải đóng theo phương án mới là công bằng (người thu nhập như tôi đóng mức này là hợp lý). - HUMAN-TRU2]]</f>
        <v>7</v>
      </c>
      <c r="AR351">
        <f t="shared" si="150"/>
        <v>0.66666666666666663</v>
      </c>
      <c r="AS351">
        <f>step3_validation[[#This Row],[AI_TRU3]]</f>
        <v>7</v>
      </c>
      <c r="AT351">
        <f t="shared" si="151"/>
        <v>0.66666666666666663</v>
      </c>
      <c r="AU351">
        <f>survey_responses[[#This Row],[Tôi tin tưởng số tiền thuế tôi đóng sẽ được Nhà nước sử dụng hiệu quả để cải thiện dịch vụ công (y tế, đường xá...). - HUMAN-TRU3]]</f>
        <v>8</v>
      </c>
      <c r="AV351">
        <f t="shared" si="152"/>
        <v>0.77777777777777779</v>
      </c>
      <c r="AW351">
        <f>step3_validation[[#This Row],[AI_TRU4]]</f>
        <v>8</v>
      </c>
      <c r="AX351">
        <f t="shared" si="153"/>
        <v>0.77777777777777779</v>
      </c>
      <c r="AY351">
        <f>survey_responses[[#This Row],[Tôi thấy Nhà nước đã giải thích rõ ràng, minh bạch về lý do và mục tiêu của việc sửa đổi thuế lần này. - HUMAN-TRU4]]</f>
        <v>7</v>
      </c>
      <c r="AZ351">
        <f t="shared" si="154"/>
        <v>0.66666666666666663</v>
      </c>
      <c r="BA351" s="32">
        <f t="shared" si="155"/>
        <v>0.74999999999999989</v>
      </c>
      <c r="BB351" s="32">
        <f t="shared" si="156"/>
        <v>0.69444444444444442</v>
      </c>
      <c r="BC351" s="7">
        <f t="shared" si="157"/>
        <v>0.7314814814814814</v>
      </c>
      <c r="BD351" s="7">
        <f t="shared" si="158"/>
        <v>0.71296296296296291</v>
      </c>
      <c r="BE351">
        <f>step3_validation[[#This Row],[AI_OUT1]]</f>
        <v>9</v>
      </c>
      <c r="BF351">
        <f t="shared" si="159"/>
        <v>0.88888888888888884</v>
      </c>
      <c r="BG351">
        <f>survey_responses[[#This Row],[Sau khi xem xét các quyền lợi và nghĩa vụ, bạn có ủng hộ và tuân thủ chính sách mới hiện nay? - HUMAN-OUT1]]</f>
        <v>8</v>
      </c>
      <c r="BH351">
        <f t="shared" si="160"/>
        <v>0.77777777777777779</v>
      </c>
      <c r="BI351" s="32">
        <f t="shared" si="161"/>
        <v>1</v>
      </c>
    </row>
    <row r="352" spans="1:61" x14ac:dyDescent="0.45">
      <c r="A352" s="30">
        <f>step3_validation[[#This Row],[Persona_ID]]</f>
        <v>351</v>
      </c>
      <c r="B352" s="31">
        <f>step3_validation[[#This Row],[Used_Seed]]</f>
        <v>2376</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43.703455100039299</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7</v>
      </c>
      <c r="R352">
        <f t="shared" si="135"/>
        <v>0.66666666666666663</v>
      </c>
      <c r="S352">
        <f>survey_responses[[#This Row],[Tôi tin rằng với các quy định quản lý thuế hiện nay, hành vi gian lận hoặc trốn thuế sẽ dễ dàng bị phát hiện và xử lý nghiêm. - HUMAN-ENF1]]</f>
        <v>8</v>
      </c>
      <c r="T352">
        <f t="shared" si="136"/>
        <v>0.77777777777777779</v>
      </c>
      <c r="U352">
        <f>step3_validation[[#This Row],[AI_ENF2]]</f>
        <v>8</v>
      </c>
      <c r="V352">
        <f t="shared" si="137"/>
        <v>0.77777777777777779</v>
      </c>
      <c r="W352">
        <f>survey_responses[[#This Row],[Tôi tin rằng Nhà nước, cơ quan thuế có đủ khả năng và công nghệ để phát hiện, xử lý nghiêm các hành vi trốn thuế. - HUMAN-ENF2]]</f>
        <v>8</v>
      </c>
      <c r="X352">
        <f t="shared" si="138"/>
        <v>0.77777777777777779</v>
      </c>
      <c r="Y352" s="32">
        <f t="shared" si="139"/>
        <v>0.72222222222222221</v>
      </c>
      <c r="Z352" s="32">
        <f t="shared" si="140"/>
        <v>0.77777777777777779</v>
      </c>
      <c r="AA352">
        <f>step3_validation[[#This Row],[AI_FAC1]]</f>
        <v>7</v>
      </c>
      <c r="AB352">
        <f t="shared" si="141"/>
        <v>0.66666666666666663</v>
      </c>
      <c r="AC352">
        <f>survey_responses[[#This Row],[Các thủ tục khai báo thuế VÀ/HOẶC quy trình làm việc với cơ quan thuế đơn giản, tiện lợi, nhanh chóng hơn so với trước đây. - HUMAN-FAC1]]</f>
        <v>6</v>
      </c>
      <c r="AD352">
        <f t="shared" si="142"/>
        <v>0.55555555555555558</v>
      </c>
      <c r="AE352">
        <f>step3_validation[[#This Row],[AI_FAC2]]</f>
        <v>9</v>
      </c>
      <c r="AF352">
        <f t="shared" si="143"/>
        <v>0.88888888888888884</v>
      </c>
      <c r="AG352">
        <f>survey_responses[[#This Row],[So với trước đây, tôi thấy cách tính thuế và các bậc thuế trong phương án mới đơn giản, dễ hiểu và dễ thực hiện hơn. - HUMAN-FAC2]]</f>
        <v>7</v>
      </c>
      <c r="AH352">
        <f t="shared" si="144"/>
        <v>0.66666666666666663</v>
      </c>
      <c r="AI352" s="32">
        <f t="shared" si="145"/>
        <v>0.77777777777777768</v>
      </c>
      <c r="AJ352" s="32">
        <f t="shared" si="146"/>
        <v>0.61111111111111116</v>
      </c>
      <c r="AK352">
        <f>step3_validation[[#This Row],[AI_TRU1]]</f>
        <v>8</v>
      </c>
      <c r="AL352">
        <f t="shared" si="147"/>
        <v>0.77777777777777779</v>
      </c>
      <c r="AM352">
        <f>survey_responses[[#This Row],[Tôi tin rằng Nhà nước, cơ quan thuế sẽ thực thi chính sách mới một cách khách quan, công tâm và đối xử bình đẳng với mọi người nộp thuế.  - HUMAN-TRU1]]</f>
        <v>6</v>
      </c>
      <c r="AN352">
        <f t="shared" si="148"/>
        <v>0.55555555555555558</v>
      </c>
      <c r="AO352">
        <f>step3_validation[[#This Row],[AI_TRU2]]</f>
        <v>9</v>
      </c>
      <c r="AP352">
        <f t="shared" si="149"/>
        <v>0.88888888888888884</v>
      </c>
      <c r="AQ352">
        <f>survey_responses[[#This Row],[Tôi thấy mức thuế tôi phải đóng theo phương án mới là công bằng (người thu nhập như tôi đóng mức này là hợp lý). - HUMAN-TRU2]]</f>
        <v>7</v>
      </c>
      <c r="AR352">
        <f t="shared" si="150"/>
        <v>0.66666666666666663</v>
      </c>
      <c r="AS352">
        <f>step3_validation[[#This Row],[AI_TRU3]]</f>
        <v>8</v>
      </c>
      <c r="AT352">
        <f t="shared" si="151"/>
        <v>0.77777777777777779</v>
      </c>
      <c r="AU352">
        <f>survey_responses[[#This Row],[Tôi tin tưởng số tiền thuế tôi đóng sẽ được Nhà nước sử dụng hiệu quả để cải thiện dịch vụ công (y tế, đường xá...). - HUMAN-TRU3]]</f>
        <v>5</v>
      </c>
      <c r="AV352">
        <f t="shared" si="152"/>
        <v>0.44444444444444442</v>
      </c>
      <c r="AW352">
        <f>step3_validation[[#This Row],[AI_TRU4]]</f>
        <v>9</v>
      </c>
      <c r="AX352">
        <f t="shared" si="153"/>
        <v>0.88888888888888884</v>
      </c>
      <c r="AY352">
        <f>survey_responses[[#This Row],[Tôi thấy Nhà nước đã giải thích rõ ràng, minh bạch về lý do và mục tiêu của việc sửa đổi thuế lần này. - HUMAN-TRU4]]</f>
        <v>7</v>
      </c>
      <c r="AZ352">
        <f t="shared" si="154"/>
        <v>0.66666666666666663</v>
      </c>
      <c r="BA352" s="32">
        <f t="shared" si="155"/>
        <v>0.83333333333333326</v>
      </c>
      <c r="BB352" s="32">
        <f t="shared" si="156"/>
        <v>0.58333333333333337</v>
      </c>
      <c r="BC352" s="7">
        <f t="shared" si="157"/>
        <v>0.77777777777777768</v>
      </c>
      <c r="BD352" s="7">
        <f t="shared" si="158"/>
        <v>0.65740740740740744</v>
      </c>
      <c r="BE352">
        <f>step3_validation[[#This Row],[AI_OUT1]]</f>
        <v>10</v>
      </c>
      <c r="BF352">
        <f t="shared" si="159"/>
        <v>1</v>
      </c>
      <c r="BG352">
        <f>survey_responses[[#This Row],[Sau khi xem xét các quyền lợi và nghĩa vụ, bạn có ủng hộ và tuân thủ chính sách mới hiện nay? - HUMAN-OUT1]]</f>
        <v>7</v>
      </c>
      <c r="BH352">
        <f t="shared" si="160"/>
        <v>0.66666666666666663</v>
      </c>
      <c r="BI352" s="32">
        <f t="shared" si="161"/>
        <v>3</v>
      </c>
    </row>
    <row r="353" spans="1:61" x14ac:dyDescent="0.45">
      <c r="A353" s="30">
        <f>step3_validation[[#This Row],[Persona_ID]]</f>
        <v>352</v>
      </c>
      <c r="B353" s="31">
        <f>step3_validation[[#This Row],[Used_Seed]]</f>
        <v>2377</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24.846831349678602</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8</v>
      </c>
      <c r="R353">
        <f t="shared" si="135"/>
        <v>0.77777777777777779</v>
      </c>
      <c r="S353">
        <f>survey_responses[[#This Row],[Tôi tin rằng với các quy định quản lý thuế hiện nay, hành vi gian lận hoặc trốn thuế sẽ dễ dàng bị phát hiện và xử lý nghiêm. - HUMAN-ENF1]]</f>
        <v>6</v>
      </c>
      <c r="T353">
        <f t="shared" si="136"/>
        <v>0.55555555555555558</v>
      </c>
      <c r="U353">
        <f>step3_validation[[#This Row],[AI_ENF2]]</f>
        <v>9</v>
      </c>
      <c r="V353">
        <f t="shared" si="137"/>
        <v>0.88888888888888884</v>
      </c>
      <c r="W353">
        <f>survey_responses[[#This Row],[Tôi tin rằng Nhà nước, cơ quan thuế có đủ khả năng và công nghệ để phát hiện, xử lý nghiêm các hành vi trốn thuế. - HUMAN-ENF2]]</f>
        <v>6</v>
      </c>
      <c r="X353">
        <f t="shared" si="138"/>
        <v>0.55555555555555558</v>
      </c>
      <c r="Y353" s="32">
        <f t="shared" si="139"/>
        <v>0.83333333333333326</v>
      </c>
      <c r="Z353" s="32">
        <f t="shared" si="140"/>
        <v>0.55555555555555558</v>
      </c>
      <c r="AA353">
        <f>step3_validation[[#This Row],[AI_FAC1]]</f>
        <v>8</v>
      </c>
      <c r="AB353">
        <f t="shared" si="141"/>
        <v>0.77777777777777779</v>
      </c>
      <c r="AC353">
        <f>survey_responses[[#This Row],[Các thủ tục khai báo thuế VÀ/HOẶC quy trình làm việc với cơ quan thuế đơn giản, tiện lợi, nhanh chóng hơn so với trước đây. - HUMAN-FAC1]]</f>
        <v>8</v>
      </c>
      <c r="AD353">
        <f t="shared" si="142"/>
        <v>0.77777777777777779</v>
      </c>
      <c r="AE353">
        <f>step3_validation[[#This Row],[AI_FAC2]]</f>
        <v>9</v>
      </c>
      <c r="AF353">
        <f t="shared" si="143"/>
        <v>0.88888888888888884</v>
      </c>
      <c r="AG353">
        <f>survey_responses[[#This Row],[So với trước đây, tôi thấy cách tính thuế và các bậc thuế trong phương án mới đơn giản, dễ hiểu và dễ thực hiện hơn. - HUMAN-FAC2]]</f>
        <v>7</v>
      </c>
      <c r="AH353">
        <f t="shared" si="144"/>
        <v>0.66666666666666663</v>
      </c>
      <c r="AI353" s="32">
        <f t="shared" si="145"/>
        <v>0.83333333333333326</v>
      </c>
      <c r="AJ353" s="32">
        <f t="shared" si="146"/>
        <v>0.72222222222222221</v>
      </c>
      <c r="AK353">
        <f>step3_validation[[#This Row],[AI_TRU1]]</f>
        <v>8</v>
      </c>
      <c r="AL353">
        <f t="shared" si="147"/>
        <v>0.77777777777777779</v>
      </c>
      <c r="AM353">
        <f>survey_responses[[#This Row],[Tôi tin rằng Nhà nước, cơ quan thuế sẽ thực thi chính sách mới một cách khách quan, công tâm và đối xử bình đẳng với mọi người nộp thuế.  - HUMAN-TRU1]]</f>
        <v>7</v>
      </c>
      <c r="AN353">
        <f t="shared" si="148"/>
        <v>0.66666666666666663</v>
      </c>
      <c r="AO353">
        <f>step3_validation[[#This Row],[AI_TRU2]]</f>
        <v>9</v>
      </c>
      <c r="AP353">
        <f t="shared" si="149"/>
        <v>0.88888888888888884</v>
      </c>
      <c r="AQ353">
        <f>survey_responses[[#This Row],[Tôi thấy mức thuế tôi phải đóng theo phương án mới là công bằng (người thu nhập như tôi đóng mức này là hợp lý). - HUMAN-TRU2]]</f>
        <v>7</v>
      </c>
      <c r="AR353">
        <f t="shared" si="150"/>
        <v>0.66666666666666663</v>
      </c>
      <c r="AS353">
        <f>step3_validation[[#This Row],[AI_TRU3]]</f>
        <v>8</v>
      </c>
      <c r="AT353">
        <f t="shared" si="151"/>
        <v>0.77777777777777779</v>
      </c>
      <c r="AU353">
        <f>survey_responses[[#This Row],[Tôi tin tưởng số tiền thuế tôi đóng sẽ được Nhà nước sử dụng hiệu quả để cải thiện dịch vụ công (y tế, đường xá...). - HUMAN-TRU3]]</f>
        <v>5</v>
      </c>
      <c r="AV353">
        <f t="shared" si="152"/>
        <v>0.44444444444444442</v>
      </c>
      <c r="AW353">
        <f>step3_validation[[#This Row],[AI_TRU4]]</f>
        <v>9</v>
      </c>
      <c r="AX353">
        <f t="shared" si="153"/>
        <v>0.88888888888888884</v>
      </c>
      <c r="AY353">
        <f>survey_responses[[#This Row],[Tôi thấy Nhà nước đã giải thích rõ ràng, minh bạch về lý do và mục tiêu của việc sửa đổi thuế lần này. - HUMAN-TRU4]]</f>
        <v>6</v>
      </c>
      <c r="AZ353">
        <f t="shared" si="154"/>
        <v>0.55555555555555558</v>
      </c>
      <c r="BA353" s="32">
        <f t="shared" si="155"/>
        <v>0.83333333333333326</v>
      </c>
      <c r="BB353" s="32">
        <f t="shared" si="156"/>
        <v>0.58333333333333326</v>
      </c>
      <c r="BC353" s="7">
        <f t="shared" si="157"/>
        <v>0.83333333333333337</v>
      </c>
      <c r="BD353" s="7">
        <f t="shared" si="158"/>
        <v>0.62037037037037035</v>
      </c>
      <c r="BE353">
        <f>step3_validation[[#This Row],[AI_OUT1]]</f>
        <v>9</v>
      </c>
      <c r="BF353">
        <f t="shared" si="159"/>
        <v>0.88888888888888884</v>
      </c>
      <c r="BG353">
        <f>survey_responses[[#This Row],[Sau khi xem xét các quyền lợi và nghĩa vụ, bạn có ủng hộ và tuân thủ chính sách mới hiện nay? - HUMAN-OUT1]]</f>
        <v>7</v>
      </c>
      <c r="BH353">
        <f t="shared" si="160"/>
        <v>0.66666666666666663</v>
      </c>
      <c r="BI353" s="32">
        <f t="shared" si="161"/>
        <v>2</v>
      </c>
    </row>
    <row r="354" spans="1:61" x14ac:dyDescent="0.45">
      <c r="A354" s="30">
        <f>step3_validation[[#This Row],[Persona_ID]]</f>
        <v>353</v>
      </c>
      <c r="B354" s="31">
        <f>step3_validation[[#This Row],[Used_Seed]]</f>
        <v>2378</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74.192576661986166</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7</v>
      </c>
      <c r="R354">
        <f t="shared" si="135"/>
        <v>0.66666666666666663</v>
      </c>
      <c r="S354">
        <f>survey_responses[[#This Row],[Tôi tin rằng với các quy định quản lý thuế hiện nay, hành vi gian lận hoặc trốn thuế sẽ dễ dàng bị phát hiện và xử lý nghiêm. - HUMAN-ENF1]]</f>
        <v>7</v>
      </c>
      <c r="T354">
        <f t="shared" si="136"/>
        <v>0.66666666666666663</v>
      </c>
      <c r="U354">
        <f>step3_validation[[#This Row],[AI_ENF2]]</f>
        <v>7</v>
      </c>
      <c r="V354">
        <f t="shared" si="137"/>
        <v>0.66666666666666663</v>
      </c>
      <c r="W354">
        <f>survey_responses[[#This Row],[Tôi tin rằng Nhà nước, cơ quan thuế có đủ khả năng và công nghệ để phát hiện, xử lý nghiêm các hành vi trốn thuế. - HUMAN-ENF2]]</f>
        <v>7</v>
      </c>
      <c r="X354">
        <f t="shared" si="138"/>
        <v>0.66666666666666663</v>
      </c>
      <c r="Y354" s="32">
        <f t="shared" si="139"/>
        <v>0.66666666666666663</v>
      </c>
      <c r="Z354" s="32">
        <f t="shared" si="140"/>
        <v>0.66666666666666663</v>
      </c>
      <c r="AA354">
        <f>step3_validation[[#This Row],[AI_FAC1]]</f>
        <v>9</v>
      </c>
      <c r="AB354">
        <f t="shared" si="141"/>
        <v>0.88888888888888884</v>
      </c>
      <c r="AC354">
        <f>survey_responses[[#This Row],[Các thủ tục khai báo thuế VÀ/HOẶC quy trình làm việc với cơ quan thuế đơn giản, tiện lợi, nhanh chóng hơn so với trước đây. - HUMAN-FAC1]]</f>
        <v>8</v>
      </c>
      <c r="AD354">
        <f t="shared" si="142"/>
        <v>0.77777777777777779</v>
      </c>
      <c r="AE354">
        <f>step3_validation[[#This Row],[AI_FAC2]]</f>
        <v>8</v>
      </c>
      <c r="AF354">
        <f t="shared" si="143"/>
        <v>0.77777777777777779</v>
      </c>
      <c r="AG354">
        <f>survey_responses[[#This Row],[So với trước đây, tôi thấy cách tính thuế và các bậc thuế trong phương án mới đơn giản, dễ hiểu và dễ thực hiện hơn. - HUMAN-FAC2]]</f>
        <v>8</v>
      </c>
      <c r="AH354">
        <f t="shared" si="144"/>
        <v>0.77777777777777779</v>
      </c>
      <c r="AI354" s="32">
        <f t="shared" si="145"/>
        <v>0.83333333333333326</v>
      </c>
      <c r="AJ354" s="32">
        <f t="shared" si="146"/>
        <v>0.77777777777777779</v>
      </c>
      <c r="AK354">
        <f>step3_validation[[#This Row],[AI_TRU1]]</f>
        <v>9</v>
      </c>
      <c r="AL354">
        <f t="shared" si="147"/>
        <v>0.88888888888888884</v>
      </c>
      <c r="AM354">
        <f>survey_responses[[#This Row],[Tôi tin rằng Nhà nước, cơ quan thuế sẽ thực thi chính sách mới một cách khách quan, công tâm và đối xử bình đẳng với mọi người nộp thuế.  - HUMAN-TRU1]]</f>
        <v>6</v>
      </c>
      <c r="AN354">
        <f t="shared" si="148"/>
        <v>0.55555555555555558</v>
      </c>
      <c r="AO354">
        <f>step3_validation[[#This Row],[AI_TRU2]]</f>
        <v>8</v>
      </c>
      <c r="AP354">
        <f t="shared" si="149"/>
        <v>0.77777777777777779</v>
      </c>
      <c r="AQ354">
        <f>survey_responses[[#This Row],[Tôi thấy mức thuế tôi phải đóng theo phương án mới là công bằng (người thu nhập như tôi đóng mức này là hợp lý). - HUMAN-TRU2]]</f>
        <v>7</v>
      </c>
      <c r="AR354">
        <f t="shared" si="150"/>
        <v>0.66666666666666663</v>
      </c>
      <c r="AS354">
        <f>step3_validation[[#This Row],[AI_TRU3]]</f>
        <v>9</v>
      </c>
      <c r="AT354">
        <f t="shared" si="151"/>
        <v>0.88888888888888884</v>
      </c>
      <c r="AU354">
        <f>survey_responses[[#This Row],[Tôi tin tưởng số tiền thuế tôi đóng sẽ được Nhà nước sử dụng hiệu quả để cải thiện dịch vụ công (y tế, đường xá...). - HUMAN-TRU3]]</f>
        <v>5</v>
      </c>
      <c r="AV354">
        <f t="shared" si="152"/>
        <v>0.44444444444444442</v>
      </c>
      <c r="AW354">
        <f>step3_validation[[#This Row],[AI_TRU4]]</f>
        <v>8</v>
      </c>
      <c r="AX354">
        <f t="shared" si="153"/>
        <v>0.77777777777777779</v>
      </c>
      <c r="AY354">
        <f>survey_responses[[#This Row],[Tôi thấy Nhà nước đã giải thích rõ ràng, minh bạch về lý do và mục tiêu của việc sửa đổi thuế lần này. - HUMAN-TRU4]]</f>
        <v>7</v>
      </c>
      <c r="AZ354">
        <f t="shared" si="154"/>
        <v>0.66666666666666663</v>
      </c>
      <c r="BA354" s="32">
        <f t="shared" si="155"/>
        <v>0.83333333333333326</v>
      </c>
      <c r="BB354" s="32">
        <f t="shared" si="156"/>
        <v>0.58333333333333337</v>
      </c>
      <c r="BC354" s="7">
        <f t="shared" si="157"/>
        <v>0.77777777777777768</v>
      </c>
      <c r="BD354" s="7">
        <f t="shared" si="158"/>
        <v>0.67592592592592593</v>
      </c>
      <c r="BE354">
        <f>step3_validation[[#This Row],[AI_OUT1]]</f>
        <v>9</v>
      </c>
      <c r="BF354">
        <f t="shared" si="159"/>
        <v>0.88888888888888884</v>
      </c>
      <c r="BG354">
        <f>survey_responses[[#This Row],[Sau khi xem xét các quyền lợi và nghĩa vụ, bạn có ủng hộ và tuân thủ chính sách mới hiện nay? - HUMAN-OUT1]]</f>
        <v>7</v>
      </c>
      <c r="BH354">
        <f t="shared" si="160"/>
        <v>0.66666666666666663</v>
      </c>
      <c r="BI354" s="32">
        <f t="shared" si="161"/>
        <v>2</v>
      </c>
    </row>
    <row r="355" spans="1:61" x14ac:dyDescent="0.45">
      <c r="A355" s="30">
        <f>step3_validation[[#This Row],[Persona_ID]]</f>
        <v>354</v>
      </c>
      <c r="B355" s="31">
        <f>step3_validation[[#This Row],[Used_Seed]]</f>
        <v>2379</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14.670256699648776</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3</v>
      </c>
      <c r="R355">
        <f t="shared" si="135"/>
        <v>0.22222222222222221</v>
      </c>
      <c r="S355">
        <f>survey_responses[[#This Row],[Tôi tin rằng với các quy định quản lý thuế hiện nay, hành vi gian lận hoặc trốn thuế sẽ dễ dàng bị phát hiện và xử lý nghiêm. - HUMAN-ENF1]]</f>
        <v>9</v>
      </c>
      <c r="T355">
        <f t="shared" si="136"/>
        <v>0.88888888888888884</v>
      </c>
      <c r="U355">
        <f>step3_validation[[#This Row],[AI_ENF2]]</f>
        <v>4</v>
      </c>
      <c r="V355">
        <f t="shared" si="137"/>
        <v>0.33333333333333331</v>
      </c>
      <c r="W355">
        <f>survey_responses[[#This Row],[Tôi tin rằng Nhà nước, cơ quan thuế có đủ khả năng và công nghệ để phát hiện, xử lý nghiêm các hành vi trốn thuế. - HUMAN-ENF2]]</f>
        <v>9</v>
      </c>
      <c r="X355">
        <f t="shared" si="138"/>
        <v>0.88888888888888884</v>
      </c>
      <c r="Y355" s="32">
        <f t="shared" si="139"/>
        <v>0.27777777777777779</v>
      </c>
      <c r="Z355" s="32">
        <f t="shared" si="140"/>
        <v>0.88888888888888884</v>
      </c>
      <c r="AA355">
        <f>step3_validation[[#This Row],[AI_FAC1]]</f>
        <v>6</v>
      </c>
      <c r="AB355">
        <f t="shared" si="141"/>
        <v>0.55555555555555558</v>
      </c>
      <c r="AC355">
        <f>survey_responses[[#This Row],[Các thủ tục khai báo thuế VÀ/HOẶC quy trình làm việc với cơ quan thuế đơn giản, tiện lợi, nhanh chóng hơn so với trước đây. - HUMAN-FAC1]]</f>
        <v>10</v>
      </c>
      <c r="AD355">
        <f t="shared" si="142"/>
        <v>1</v>
      </c>
      <c r="AE355">
        <f>step3_validation[[#This Row],[AI_FAC2]]</f>
        <v>7</v>
      </c>
      <c r="AF355">
        <f t="shared" si="143"/>
        <v>0.66666666666666663</v>
      </c>
      <c r="AG355">
        <f>survey_responses[[#This Row],[So với trước đây, tôi thấy cách tính thuế và các bậc thuế trong phương án mới đơn giản, dễ hiểu và dễ thực hiện hơn. - HUMAN-FAC2]]</f>
        <v>10</v>
      </c>
      <c r="AH355">
        <f t="shared" si="144"/>
        <v>1</v>
      </c>
      <c r="AI355" s="32">
        <f t="shared" si="145"/>
        <v>0.61111111111111116</v>
      </c>
      <c r="AJ355" s="32">
        <f t="shared" si="146"/>
        <v>1</v>
      </c>
      <c r="AK355">
        <f>step3_validation[[#This Row],[AI_TRU1]]</f>
        <v>6</v>
      </c>
      <c r="AL355">
        <f t="shared" si="147"/>
        <v>0.55555555555555558</v>
      </c>
      <c r="AM355">
        <f>survey_responses[[#This Row],[Tôi tin rằng Nhà nước, cơ quan thuế sẽ thực thi chính sách mới một cách khách quan, công tâm và đối xử bình đẳng với mọi người nộp thuế.  - HUMAN-TRU1]]</f>
        <v>9</v>
      </c>
      <c r="AN355">
        <f t="shared" si="148"/>
        <v>0.88888888888888884</v>
      </c>
      <c r="AO355">
        <f>step3_validation[[#This Row],[AI_TRU2]]</f>
        <v>6</v>
      </c>
      <c r="AP355">
        <f t="shared" si="149"/>
        <v>0.55555555555555558</v>
      </c>
      <c r="AQ355">
        <f>survey_responses[[#This Row],[Tôi thấy mức thuế tôi phải đóng theo phương án mới là công bằng (người thu nhập như tôi đóng mức này là hợp lý). - HUMAN-TRU2]]</f>
        <v>10</v>
      </c>
      <c r="AR355">
        <f t="shared" si="150"/>
        <v>1</v>
      </c>
      <c r="AS355">
        <f>step3_validation[[#This Row],[AI_TRU3]]</f>
        <v>5</v>
      </c>
      <c r="AT355">
        <f t="shared" si="151"/>
        <v>0.44444444444444442</v>
      </c>
      <c r="AU355">
        <f>survey_responses[[#This Row],[Tôi tin tưởng số tiền thuế tôi đóng sẽ được Nhà nước sử dụng hiệu quả để cải thiện dịch vụ công (y tế, đường xá...). - HUMAN-TRU3]]</f>
        <v>8</v>
      </c>
      <c r="AV355">
        <f t="shared" si="152"/>
        <v>0.77777777777777779</v>
      </c>
      <c r="AW355">
        <f>step3_validation[[#This Row],[AI_TRU4]]</f>
        <v>6</v>
      </c>
      <c r="AX355">
        <f t="shared" si="153"/>
        <v>0.55555555555555558</v>
      </c>
      <c r="AY355">
        <f>survey_responses[[#This Row],[Tôi thấy Nhà nước đã giải thích rõ ràng, minh bạch về lý do và mục tiêu của việc sửa đổi thuế lần này. - HUMAN-TRU4]]</f>
        <v>8</v>
      </c>
      <c r="AZ355">
        <f t="shared" si="154"/>
        <v>0.77777777777777779</v>
      </c>
      <c r="BA355" s="32">
        <f t="shared" si="155"/>
        <v>0.52777777777777779</v>
      </c>
      <c r="BB355" s="32">
        <f t="shared" si="156"/>
        <v>0.86111111111111105</v>
      </c>
      <c r="BC355" s="7">
        <f t="shared" si="157"/>
        <v>0.47222222222222227</v>
      </c>
      <c r="BD355" s="7">
        <f t="shared" si="158"/>
        <v>0.91666666666666663</v>
      </c>
      <c r="BE355">
        <f>step3_validation[[#This Row],[AI_OUT1]]</f>
        <v>8</v>
      </c>
      <c r="BF355">
        <f t="shared" si="159"/>
        <v>0.77777777777777779</v>
      </c>
      <c r="BG355">
        <f>survey_responses[[#This Row],[Sau khi xem xét các quyền lợi và nghĩa vụ, bạn có ủng hộ và tuân thủ chính sách mới hiện nay? - HUMAN-OUT1]]</f>
        <v>9</v>
      </c>
      <c r="BH355">
        <f t="shared" si="160"/>
        <v>0.88888888888888884</v>
      </c>
      <c r="BI355" s="32">
        <f t="shared" si="161"/>
        <v>1</v>
      </c>
    </row>
    <row r="356" spans="1:61" x14ac:dyDescent="0.45">
      <c r="A356" s="30">
        <f>step3_validation[[#This Row],[Persona_ID]]</f>
        <v>355</v>
      </c>
      <c r="B356" s="31">
        <f>step3_validation[[#This Row],[Used_Seed]]</f>
        <v>2380</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12.819759928225976</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7</v>
      </c>
      <c r="R356">
        <f t="shared" si="135"/>
        <v>0.66666666666666663</v>
      </c>
      <c r="S356">
        <f>survey_responses[[#This Row],[Tôi tin rằng với các quy định quản lý thuế hiện nay, hành vi gian lận hoặc trốn thuế sẽ dễ dàng bị phát hiện và xử lý nghiêm. - HUMAN-ENF1]]</f>
        <v>7</v>
      </c>
      <c r="T356">
        <f t="shared" si="136"/>
        <v>0.66666666666666663</v>
      </c>
      <c r="U356">
        <f>step3_validation[[#This Row],[AI_ENF2]]</f>
        <v>8</v>
      </c>
      <c r="V356">
        <f t="shared" si="137"/>
        <v>0.77777777777777779</v>
      </c>
      <c r="W356">
        <f>survey_responses[[#This Row],[Tôi tin rằng Nhà nước, cơ quan thuế có đủ khả năng và công nghệ để phát hiện, xử lý nghiêm các hành vi trốn thuế. - HUMAN-ENF2]]</f>
        <v>8</v>
      </c>
      <c r="X356">
        <f t="shared" si="138"/>
        <v>0.77777777777777779</v>
      </c>
      <c r="Y356" s="32">
        <f t="shared" si="139"/>
        <v>0.72222222222222221</v>
      </c>
      <c r="Z356" s="32">
        <f t="shared" si="140"/>
        <v>0.72222222222222221</v>
      </c>
      <c r="AA356">
        <f>step3_validation[[#This Row],[AI_FAC1]]</f>
        <v>9</v>
      </c>
      <c r="AB356">
        <f t="shared" si="141"/>
        <v>0.88888888888888884</v>
      </c>
      <c r="AC356">
        <f>survey_responses[[#This Row],[Các thủ tục khai báo thuế VÀ/HOẶC quy trình làm việc với cơ quan thuế đơn giản, tiện lợi, nhanh chóng hơn so với trước đây. - HUMAN-FAC1]]</f>
        <v>8</v>
      </c>
      <c r="AD356">
        <f t="shared" si="142"/>
        <v>0.77777777777777779</v>
      </c>
      <c r="AE356">
        <f>step3_validation[[#This Row],[AI_FAC2]]</f>
        <v>9</v>
      </c>
      <c r="AF356">
        <f t="shared" si="143"/>
        <v>0.88888888888888884</v>
      </c>
      <c r="AG356">
        <f>survey_responses[[#This Row],[So với trước đây, tôi thấy cách tính thuế và các bậc thuế trong phương án mới đơn giản, dễ hiểu và dễ thực hiện hơn. - HUMAN-FAC2]]</f>
        <v>9</v>
      </c>
      <c r="AH356">
        <f t="shared" si="144"/>
        <v>0.88888888888888884</v>
      </c>
      <c r="AI356" s="32">
        <f t="shared" si="145"/>
        <v>0.88888888888888884</v>
      </c>
      <c r="AJ356" s="32">
        <f t="shared" si="146"/>
        <v>0.83333333333333326</v>
      </c>
      <c r="AK356">
        <f>step3_validation[[#This Row],[AI_TRU1]]</f>
        <v>8</v>
      </c>
      <c r="AL356">
        <f t="shared" si="147"/>
        <v>0.77777777777777779</v>
      </c>
      <c r="AM356">
        <f>survey_responses[[#This Row],[Tôi tin rằng Nhà nước, cơ quan thuế sẽ thực thi chính sách mới một cách khách quan, công tâm và đối xử bình đẳng với mọi người nộp thuế.  - HUMAN-TRU1]]</f>
        <v>8</v>
      </c>
      <c r="AN356">
        <f t="shared" si="148"/>
        <v>0.77777777777777779</v>
      </c>
      <c r="AO356">
        <f>step3_validation[[#This Row],[AI_TRU2]]</f>
        <v>7</v>
      </c>
      <c r="AP356">
        <f t="shared" si="149"/>
        <v>0.66666666666666663</v>
      </c>
      <c r="AQ356">
        <f>survey_responses[[#This Row],[Tôi thấy mức thuế tôi phải đóng theo phương án mới là công bằng (người thu nhập như tôi đóng mức này là hợp lý). - HUMAN-TRU2]]</f>
        <v>10</v>
      </c>
      <c r="AR356">
        <f t="shared" si="150"/>
        <v>1</v>
      </c>
      <c r="AS356">
        <f>step3_validation[[#This Row],[AI_TRU3]]</f>
        <v>8</v>
      </c>
      <c r="AT356">
        <f t="shared" si="151"/>
        <v>0.77777777777777779</v>
      </c>
      <c r="AU356">
        <f>survey_responses[[#This Row],[Tôi tin tưởng số tiền thuế tôi đóng sẽ được Nhà nước sử dụng hiệu quả để cải thiện dịch vụ công (y tế, đường xá...). - HUMAN-TRU3]]</f>
        <v>8</v>
      </c>
      <c r="AV356">
        <f t="shared" si="152"/>
        <v>0.77777777777777779</v>
      </c>
      <c r="AW356">
        <f>step3_validation[[#This Row],[AI_TRU4]]</f>
        <v>7</v>
      </c>
      <c r="AX356">
        <f t="shared" si="153"/>
        <v>0.66666666666666663</v>
      </c>
      <c r="AY356">
        <f>survey_responses[[#This Row],[Tôi thấy Nhà nước đã giải thích rõ ràng, minh bạch về lý do và mục tiêu của việc sửa đổi thuế lần này. - HUMAN-TRU4]]</f>
        <v>8</v>
      </c>
      <c r="AZ356">
        <f t="shared" si="154"/>
        <v>0.77777777777777779</v>
      </c>
      <c r="BA356" s="32">
        <f t="shared" si="155"/>
        <v>0.72222222222222221</v>
      </c>
      <c r="BB356" s="32">
        <f t="shared" si="156"/>
        <v>0.83333333333333326</v>
      </c>
      <c r="BC356" s="7">
        <f t="shared" si="157"/>
        <v>0.77777777777777779</v>
      </c>
      <c r="BD356" s="7">
        <f t="shared" si="158"/>
        <v>0.79629629629629617</v>
      </c>
      <c r="BE356">
        <f>step3_validation[[#This Row],[AI_OUT1]]</f>
        <v>9</v>
      </c>
      <c r="BF356">
        <f t="shared" si="159"/>
        <v>0.88888888888888884</v>
      </c>
      <c r="BG356">
        <f>survey_responses[[#This Row],[Sau khi xem xét các quyền lợi và nghĩa vụ, bạn có ủng hộ và tuân thủ chính sách mới hiện nay? - HUMAN-OUT1]]</f>
        <v>9</v>
      </c>
      <c r="BH356">
        <f t="shared" si="160"/>
        <v>0.88888888888888884</v>
      </c>
      <c r="BI356" s="32">
        <f t="shared" si="161"/>
        <v>0</v>
      </c>
    </row>
    <row r="357" spans="1:61" x14ac:dyDescent="0.45">
      <c r="A357" s="30">
        <f>step3_validation[[#This Row],[Persona_ID]]</f>
        <v>356</v>
      </c>
      <c r="B357" s="31">
        <f>step3_validation[[#This Row],[Used_Seed]]</f>
        <v>2381</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15.101688341676548</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7</v>
      </c>
      <c r="R357">
        <f t="shared" si="135"/>
        <v>0.66666666666666663</v>
      </c>
      <c r="S357">
        <f>survey_responses[[#This Row],[Tôi tin rằng với các quy định quản lý thuế hiện nay, hành vi gian lận hoặc trốn thuế sẽ dễ dàng bị phát hiện và xử lý nghiêm. - HUMAN-ENF1]]</f>
        <v>7</v>
      </c>
      <c r="T357">
        <f t="shared" si="136"/>
        <v>0.66666666666666663</v>
      </c>
      <c r="U357">
        <f>step3_validation[[#This Row],[AI_ENF2]]</f>
        <v>7</v>
      </c>
      <c r="V357">
        <f t="shared" si="137"/>
        <v>0.66666666666666663</v>
      </c>
      <c r="W357">
        <f>survey_responses[[#This Row],[Tôi tin rằng Nhà nước, cơ quan thuế có đủ khả năng và công nghệ để phát hiện, xử lý nghiêm các hành vi trốn thuế. - HUMAN-ENF2]]</f>
        <v>7</v>
      </c>
      <c r="X357">
        <f t="shared" si="138"/>
        <v>0.66666666666666663</v>
      </c>
      <c r="Y357" s="32">
        <f t="shared" si="139"/>
        <v>0.66666666666666663</v>
      </c>
      <c r="Z357" s="32">
        <f t="shared" si="140"/>
        <v>0.66666666666666663</v>
      </c>
      <c r="AA357">
        <f>step3_validation[[#This Row],[AI_FAC1]]</f>
        <v>9</v>
      </c>
      <c r="AB357">
        <f t="shared" si="141"/>
        <v>0.88888888888888884</v>
      </c>
      <c r="AC357">
        <f>survey_responses[[#This Row],[Các thủ tục khai báo thuế VÀ/HOẶC quy trình làm việc với cơ quan thuế đơn giản, tiện lợi, nhanh chóng hơn so với trước đây. - HUMAN-FAC1]]</f>
        <v>8</v>
      </c>
      <c r="AD357">
        <f t="shared" si="142"/>
        <v>0.77777777777777779</v>
      </c>
      <c r="AE357">
        <f>step3_validation[[#This Row],[AI_FAC2]]</f>
        <v>9</v>
      </c>
      <c r="AF357">
        <f t="shared" si="143"/>
        <v>0.88888888888888884</v>
      </c>
      <c r="AG357">
        <f>survey_responses[[#This Row],[So với trước đây, tôi thấy cách tính thuế và các bậc thuế trong phương án mới đơn giản, dễ hiểu và dễ thực hiện hơn. - HUMAN-FAC2]]</f>
        <v>10</v>
      </c>
      <c r="AH357">
        <f t="shared" si="144"/>
        <v>1</v>
      </c>
      <c r="AI357" s="32">
        <f t="shared" si="145"/>
        <v>0.88888888888888884</v>
      </c>
      <c r="AJ357" s="32">
        <f t="shared" si="146"/>
        <v>0.88888888888888884</v>
      </c>
      <c r="AK357">
        <f>step3_validation[[#This Row],[AI_TRU1]]</f>
        <v>7</v>
      </c>
      <c r="AL357">
        <f t="shared" si="147"/>
        <v>0.66666666666666663</v>
      </c>
      <c r="AM357">
        <f>survey_responses[[#This Row],[Tôi tin rằng Nhà nước, cơ quan thuế sẽ thực thi chính sách mới một cách khách quan, công tâm và đối xử bình đẳng với mọi người nộp thuế.  - HUMAN-TRU1]]</f>
        <v>9</v>
      </c>
      <c r="AN357">
        <f t="shared" si="148"/>
        <v>0.88888888888888884</v>
      </c>
      <c r="AO357">
        <f>step3_validation[[#This Row],[AI_TRU2]]</f>
        <v>9</v>
      </c>
      <c r="AP357">
        <f t="shared" si="149"/>
        <v>0.88888888888888884</v>
      </c>
      <c r="AQ357">
        <f>survey_responses[[#This Row],[Tôi thấy mức thuế tôi phải đóng theo phương án mới là công bằng (người thu nhập như tôi đóng mức này là hợp lý). - HUMAN-TRU2]]</f>
        <v>10</v>
      </c>
      <c r="AR357">
        <f t="shared" si="150"/>
        <v>1</v>
      </c>
      <c r="AS357">
        <f>step3_validation[[#This Row],[AI_TRU3]]</f>
        <v>8</v>
      </c>
      <c r="AT357">
        <f t="shared" si="151"/>
        <v>0.77777777777777779</v>
      </c>
      <c r="AU357">
        <f>survey_responses[[#This Row],[Tôi tin tưởng số tiền thuế tôi đóng sẽ được Nhà nước sử dụng hiệu quả để cải thiện dịch vụ công (y tế, đường xá...). - HUMAN-TRU3]]</f>
        <v>8</v>
      </c>
      <c r="AV357">
        <f t="shared" si="152"/>
        <v>0.77777777777777779</v>
      </c>
      <c r="AW357">
        <f>step3_validation[[#This Row],[AI_TRU4]]</f>
        <v>7</v>
      </c>
      <c r="AX357">
        <f t="shared" si="153"/>
        <v>0.66666666666666663</v>
      </c>
      <c r="AY357">
        <f>survey_responses[[#This Row],[Tôi thấy Nhà nước đã giải thích rõ ràng, minh bạch về lý do và mục tiêu của việc sửa đổi thuế lần này. - HUMAN-TRU4]]</f>
        <v>8</v>
      </c>
      <c r="AZ357">
        <f t="shared" si="154"/>
        <v>0.77777777777777779</v>
      </c>
      <c r="BA357" s="32">
        <f t="shared" si="155"/>
        <v>0.74999999999999989</v>
      </c>
      <c r="BB357" s="32">
        <f t="shared" si="156"/>
        <v>0.86111111111111105</v>
      </c>
      <c r="BC357" s="7">
        <f t="shared" si="157"/>
        <v>0.76851851851851849</v>
      </c>
      <c r="BD357" s="7">
        <f t="shared" si="158"/>
        <v>0.80555555555555547</v>
      </c>
      <c r="BE357">
        <f>step3_validation[[#This Row],[AI_OUT1]]</f>
        <v>9</v>
      </c>
      <c r="BF357">
        <f t="shared" si="159"/>
        <v>0.88888888888888884</v>
      </c>
      <c r="BG357">
        <f>survey_responses[[#This Row],[Sau khi xem xét các quyền lợi và nghĩa vụ, bạn có ủng hộ và tuân thủ chính sách mới hiện nay? - HUMAN-OUT1]]</f>
        <v>10</v>
      </c>
      <c r="BH357">
        <f t="shared" si="160"/>
        <v>1</v>
      </c>
      <c r="BI357" s="32">
        <f t="shared" si="161"/>
        <v>1</v>
      </c>
    </row>
    <row r="358" spans="1:61" x14ac:dyDescent="0.45">
      <c r="A358" s="30">
        <f>step3_validation[[#This Row],[Persona_ID]]</f>
        <v>357</v>
      </c>
      <c r="B358" s="31">
        <f>step3_validation[[#This Row],[Used_Seed]]</f>
        <v>2382</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25.791080832098498</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7</v>
      </c>
      <c r="R358">
        <f t="shared" si="135"/>
        <v>0.66666666666666663</v>
      </c>
      <c r="S358">
        <f>survey_responses[[#This Row],[Tôi tin rằng với các quy định quản lý thuế hiện nay, hành vi gian lận hoặc trốn thuế sẽ dễ dàng bị phát hiện và xử lý nghiêm. - HUMAN-ENF1]]</f>
        <v>9</v>
      </c>
      <c r="T358">
        <f t="shared" si="136"/>
        <v>0.88888888888888884</v>
      </c>
      <c r="U358">
        <f>step3_validation[[#This Row],[AI_ENF2]]</f>
        <v>8</v>
      </c>
      <c r="V358">
        <f t="shared" si="137"/>
        <v>0.77777777777777779</v>
      </c>
      <c r="W358">
        <f>survey_responses[[#This Row],[Tôi tin rằng Nhà nước, cơ quan thuế có đủ khả năng và công nghệ để phát hiện, xử lý nghiêm các hành vi trốn thuế. - HUMAN-ENF2]]</f>
        <v>9</v>
      </c>
      <c r="X358">
        <f t="shared" si="138"/>
        <v>0.88888888888888884</v>
      </c>
      <c r="Y358" s="32">
        <f t="shared" si="139"/>
        <v>0.72222222222222221</v>
      </c>
      <c r="Z358" s="32">
        <f t="shared" si="140"/>
        <v>0.88888888888888884</v>
      </c>
      <c r="AA358">
        <f>step3_validation[[#This Row],[AI_FAC1]]</f>
        <v>9</v>
      </c>
      <c r="AB358">
        <f t="shared" si="141"/>
        <v>0.88888888888888884</v>
      </c>
      <c r="AC358">
        <f>survey_responses[[#This Row],[Các thủ tục khai báo thuế VÀ/HOẶC quy trình làm việc với cơ quan thuế đơn giản, tiện lợi, nhanh chóng hơn so với trước đây. - HUMAN-FAC1]]</f>
        <v>8</v>
      </c>
      <c r="AD358">
        <f t="shared" si="142"/>
        <v>0.77777777777777779</v>
      </c>
      <c r="AE358">
        <f>step3_validation[[#This Row],[AI_FAC2]]</f>
        <v>10</v>
      </c>
      <c r="AF358">
        <f t="shared" si="143"/>
        <v>1</v>
      </c>
      <c r="AG358">
        <f>survey_responses[[#This Row],[So với trước đây, tôi thấy cách tính thuế và các bậc thuế trong phương án mới đơn giản, dễ hiểu và dễ thực hiện hơn. - HUMAN-FAC2]]</f>
        <v>9</v>
      </c>
      <c r="AH358">
        <f t="shared" si="144"/>
        <v>0.88888888888888884</v>
      </c>
      <c r="AI358" s="32">
        <f t="shared" si="145"/>
        <v>0.94444444444444442</v>
      </c>
      <c r="AJ358" s="32">
        <f t="shared" si="146"/>
        <v>0.83333333333333326</v>
      </c>
      <c r="AK358">
        <f>step3_validation[[#This Row],[AI_TRU1]]</f>
        <v>9</v>
      </c>
      <c r="AL358">
        <f t="shared" si="147"/>
        <v>0.88888888888888884</v>
      </c>
      <c r="AM358">
        <f>survey_responses[[#This Row],[Tôi tin rằng Nhà nước, cơ quan thuế sẽ thực thi chính sách mới một cách khách quan, công tâm và đối xử bình đẳng với mọi người nộp thuế.  - HUMAN-TRU1]]</f>
        <v>8</v>
      </c>
      <c r="AN358">
        <f t="shared" si="148"/>
        <v>0.77777777777777779</v>
      </c>
      <c r="AO358">
        <f>step3_validation[[#This Row],[AI_TRU2]]</f>
        <v>9</v>
      </c>
      <c r="AP358">
        <f t="shared" si="149"/>
        <v>0.88888888888888884</v>
      </c>
      <c r="AQ358">
        <f>survey_responses[[#This Row],[Tôi thấy mức thuế tôi phải đóng theo phương án mới là công bằng (người thu nhập như tôi đóng mức này là hợp lý). - HUMAN-TRU2]]</f>
        <v>8</v>
      </c>
      <c r="AR358">
        <f t="shared" si="150"/>
        <v>0.77777777777777779</v>
      </c>
      <c r="AS358">
        <f>step3_validation[[#This Row],[AI_TRU3]]</f>
        <v>8</v>
      </c>
      <c r="AT358">
        <f t="shared" si="151"/>
        <v>0.77777777777777779</v>
      </c>
      <c r="AU358">
        <f>survey_responses[[#This Row],[Tôi tin tưởng số tiền thuế tôi đóng sẽ được Nhà nước sử dụng hiệu quả để cải thiện dịch vụ công (y tế, đường xá...). - HUMAN-TRU3]]</f>
        <v>7</v>
      </c>
      <c r="AV358">
        <f t="shared" si="152"/>
        <v>0.66666666666666663</v>
      </c>
      <c r="AW358">
        <f>step3_validation[[#This Row],[AI_TRU4]]</f>
        <v>7</v>
      </c>
      <c r="AX358">
        <f t="shared" si="153"/>
        <v>0.66666666666666663</v>
      </c>
      <c r="AY358">
        <f>survey_responses[[#This Row],[Tôi thấy Nhà nước đã giải thích rõ ràng, minh bạch về lý do và mục tiêu của việc sửa đổi thuế lần này. - HUMAN-TRU4]]</f>
        <v>7</v>
      </c>
      <c r="AZ358">
        <f t="shared" si="154"/>
        <v>0.66666666666666663</v>
      </c>
      <c r="BA358" s="32">
        <f t="shared" si="155"/>
        <v>0.80555555555555547</v>
      </c>
      <c r="BB358" s="32">
        <f t="shared" si="156"/>
        <v>0.72222222222222221</v>
      </c>
      <c r="BC358" s="7">
        <f t="shared" si="157"/>
        <v>0.82407407407407396</v>
      </c>
      <c r="BD358" s="7">
        <f t="shared" si="158"/>
        <v>0.81481481481481477</v>
      </c>
      <c r="BE358">
        <f>step3_validation[[#This Row],[AI_OUT1]]</f>
        <v>9</v>
      </c>
      <c r="BF358">
        <f t="shared" si="159"/>
        <v>0.88888888888888884</v>
      </c>
      <c r="BG358">
        <f>survey_responses[[#This Row],[Sau khi xem xét các quyền lợi và nghĩa vụ, bạn có ủng hộ và tuân thủ chính sách mới hiện nay? - HUMAN-OUT1]]</f>
        <v>8</v>
      </c>
      <c r="BH358">
        <f t="shared" si="160"/>
        <v>0.77777777777777779</v>
      </c>
      <c r="BI358" s="32">
        <f t="shared" si="161"/>
        <v>1</v>
      </c>
    </row>
    <row r="359" spans="1:61" x14ac:dyDescent="0.45">
      <c r="A359" s="30">
        <f>step3_validation[[#This Row],[Persona_ID]]</f>
        <v>358</v>
      </c>
      <c r="B359" s="31">
        <f>step3_validation[[#This Row],[Used_Seed]]</f>
        <v>2383</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14.103980233284</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6</v>
      </c>
      <c r="R359">
        <f t="shared" si="135"/>
        <v>0.55555555555555558</v>
      </c>
      <c r="S359">
        <f>survey_responses[[#This Row],[Tôi tin rằng với các quy định quản lý thuế hiện nay, hành vi gian lận hoặc trốn thuế sẽ dễ dàng bị phát hiện và xử lý nghiêm. - HUMAN-ENF1]]</f>
        <v>7</v>
      </c>
      <c r="T359">
        <f t="shared" si="136"/>
        <v>0.66666666666666663</v>
      </c>
      <c r="U359">
        <f>step3_validation[[#This Row],[AI_ENF2]]</f>
        <v>6</v>
      </c>
      <c r="V359">
        <f t="shared" si="137"/>
        <v>0.55555555555555558</v>
      </c>
      <c r="W359">
        <f>survey_responses[[#This Row],[Tôi tin rằng Nhà nước, cơ quan thuế có đủ khả năng và công nghệ để phát hiện, xử lý nghiêm các hành vi trốn thuế. - HUMAN-ENF2]]</f>
        <v>7</v>
      </c>
      <c r="X359">
        <f t="shared" si="138"/>
        <v>0.66666666666666663</v>
      </c>
      <c r="Y359" s="32">
        <f t="shared" si="139"/>
        <v>0.55555555555555558</v>
      </c>
      <c r="Z359" s="32">
        <f t="shared" si="140"/>
        <v>0.66666666666666663</v>
      </c>
      <c r="AA359">
        <f>step3_validation[[#This Row],[AI_FAC1]]</f>
        <v>8</v>
      </c>
      <c r="AB359">
        <f t="shared" si="141"/>
        <v>0.77777777777777779</v>
      </c>
      <c r="AC359">
        <f>survey_responses[[#This Row],[Các thủ tục khai báo thuế VÀ/HOẶC quy trình làm việc với cơ quan thuế đơn giản, tiện lợi, nhanh chóng hơn so với trước đây. - HUMAN-FAC1]]</f>
        <v>7</v>
      </c>
      <c r="AD359">
        <f t="shared" si="142"/>
        <v>0.66666666666666663</v>
      </c>
      <c r="AE359">
        <f>step3_validation[[#This Row],[AI_FAC2]]</f>
        <v>9</v>
      </c>
      <c r="AF359">
        <f t="shared" si="143"/>
        <v>0.88888888888888884</v>
      </c>
      <c r="AG359">
        <f>survey_responses[[#This Row],[So với trước đây, tôi thấy cách tính thuế và các bậc thuế trong phương án mới đơn giản, dễ hiểu và dễ thực hiện hơn. - HUMAN-FAC2]]</f>
        <v>8</v>
      </c>
      <c r="AH359">
        <f t="shared" si="144"/>
        <v>0.77777777777777779</v>
      </c>
      <c r="AI359" s="32">
        <f t="shared" si="145"/>
        <v>0.83333333333333326</v>
      </c>
      <c r="AJ359" s="32">
        <f t="shared" si="146"/>
        <v>0.72222222222222221</v>
      </c>
      <c r="AK359">
        <f>step3_validation[[#This Row],[AI_TRU1]]</f>
        <v>7</v>
      </c>
      <c r="AL359">
        <f t="shared" si="147"/>
        <v>0.66666666666666663</v>
      </c>
      <c r="AM359">
        <f>survey_responses[[#This Row],[Tôi tin rằng Nhà nước, cơ quan thuế sẽ thực thi chính sách mới một cách khách quan, công tâm và đối xử bình đẳng với mọi người nộp thuế.  - HUMAN-TRU1]]</f>
        <v>7</v>
      </c>
      <c r="AN359">
        <f t="shared" si="148"/>
        <v>0.66666666666666663</v>
      </c>
      <c r="AO359">
        <f>step3_validation[[#This Row],[AI_TRU2]]</f>
        <v>8</v>
      </c>
      <c r="AP359">
        <f t="shared" si="149"/>
        <v>0.77777777777777779</v>
      </c>
      <c r="AQ359">
        <f>survey_responses[[#This Row],[Tôi thấy mức thuế tôi phải đóng theo phương án mới là công bằng (người thu nhập như tôi đóng mức này là hợp lý). - HUMAN-TRU2]]</f>
        <v>9</v>
      </c>
      <c r="AR359">
        <f t="shared" si="150"/>
        <v>0.88888888888888884</v>
      </c>
      <c r="AS359">
        <f>step3_validation[[#This Row],[AI_TRU3]]</f>
        <v>6</v>
      </c>
      <c r="AT359">
        <f t="shared" si="151"/>
        <v>0.55555555555555558</v>
      </c>
      <c r="AU359">
        <f>survey_responses[[#This Row],[Tôi tin tưởng số tiền thuế tôi đóng sẽ được Nhà nước sử dụng hiệu quả để cải thiện dịch vụ công (y tế, đường xá...). - HUMAN-TRU3]]</f>
        <v>8</v>
      </c>
      <c r="AV359">
        <f t="shared" si="152"/>
        <v>0.77777777777777779</v>
      </c>
      <c r="AW359">
        <f>step3_validation[[#This Row],[AI_TRU4]]</f>
        <v>8</v>
      </c>
      <c r="AX359">
        <f t="shared" si="153"/>
        <v>0.77777777777777779</v>
      </c>
      <c r="AY359">
        <f>survey_responses[[#This Row],[Tôi thấy Nhà nước đã giải thích rõ ràng, minh bạch về lý do và mục tiêu của việc sửa đổi thuế lần này. - HUMAN-TRU4]]</f>
        <v>8</v>
      </c>
      <c r="AZ359">
        <f t="shared" si="154"/>
        <v>0.77777777777777779</v>
      </c>
      <c r="BA359" s="32">
        <f t="shared" si="155"/>
        <v>0.69444444444444442</v>
      </c>
      <c r="BB359" s="32">
        <f t="shared" si="156"/>
        <v>0.77777777777777768</v>
      </c>
      <c r="BC359" s="7">
        <f t="shared" si="157"/>
        <v>0.69444444444444431</v>
      </c>
      <c r="BD359" s="7">
        <f t="shared" si="158"/>
        <v>0.72222222222222221</v>
      </c>
      <c r="BE359">
        <f>step3_validation[[#This Row],[AI_OUT1]]</f>
        <v>9</v>
      </c>
      <c r="BF359">
        <f t="shared" si="159"/>
        <v>0.88888888888888884</v>
      </c>
      <c r="BG359">
        <f>survey_responses[[#This Row],[Sau khi xem xét các quyền lợi và nghĩa vụ, bạn có ủng hộ và tuân thủ chính sách mới hiện nay? - HUMAN-OUT1]]</f>
        <v>8</v>
      </c>
      <c r="BH359">
        <f t="shared" si="160"/>
        <v>0.77777777777777779</v>
      </c>
      <c r="BI359" s="32">
        <f t="shared" si="161"/>
        <v>1</v>
      </c>
    </row>
    <row r="360" spans="1:61" x14ac:dyDescent="0.45">
      <c r="A360" s="30">
        <f>step3_validation[[#This Row],[Persona_ID]]</f>
        <v>359</v>
      </c>
      <c r="B360" s="31">
        <f>step3_validation[[#This Row],[Used_Seed]]</f>
        <v>2384</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21.382339391772106</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7</v>
      </c>
      <c r="R360">
        <f t="shared" si="135"/>
        <v>0.66666666666666663</v>
      </c>
      <c r="S360">
        <f>survey_responses[[#This Row],[Tôi tin rằng với các quy định quản lý thuế hiện nay, hành vi gian lận hoặc trốn thuế sẽ dễ dàng bị phát hiện và xử lý nghiêm. - HUMAN-ENF1]]</f>
        <v>4</v>
      </c>
      <c r="T360">
        <f t="shared" si="136"/>
        <v>0.33333333333333331</v>
      </c>
      <c r="U360">
        <f>step3_validation[[#This Row],[AI_ENF2]]</f>
        <v>8</v>
      </c>
      <c r="V360">
        <f t="shared" si="137"/>
        <v>0.77777777777777779</v>
      </c>
      <c r="W360">
        <f>survey_responses[[#This Row],[Tôi tin rằng Nhà nước, cơ quan thuế có đủ khả năng và công nghệ để phát hiện, xử lý nghiêm các hành vi trốn thuế. - HUMAN-ENF2]]</f>
        <v>5</v>
      </c>
      <c r="X360">
        <f t="shared" si="138"/>
        <v>0.44444444444444442</v>
      </c>
      <c r="Y360" s="32">
        <f t="shared" si="139"/>
        <v>0.72222222222222221</v>
      </c>
      <c r="Z360" s="32">
        <f t="shared" si="140"/>
        <v>0.38888888888888884</v>
      </c>
      <c r="AA360">
        <f>step3_validation[[#This Row],[AI_FAC1]]</f>
        <v>9</v>
      </c>
      <c r="AB360">
        <f t="shared" si="141"/>
        <v>0.88888888888888884</v>
      </c>
      <c r="AC360">
        <f>survey_responses[[#This Row],[Các thủ tục khai báo thuế VÀ/HOẶC quy trình làm việc với cơ quan thuế đơn giản, tiện lợi, nhanh chóng hơn so với trước đây. - HUMAN-FAC1]]</f>
        <v>6</v>
      </c>
      <c r="AD360">
        <f t="shared" si="142"/>
        <v>0.55555555555555558</v>
      </c>
      <c r="AE360">
        <f>step3_validation[[#This Row],[AI_FAC2]]</f>
        <v>9</v>
      </c>
      <c r="AF360">
        <f t="shared" si="143"/>
        <v>0.88888888888888884</v>
      </c>
      <c r="AG360">
        <f>survey_responses[[#This Row],[So với trước đây, tôi thấy cách tính thuế và các bậc thuế trong phương án mới đơn giản, dễ hiểu và dễ thực hiện hơn. - HUMAN-FAC2]]</f>
        <v>7</v>
      </c>
      <c r="AH360">
        <f t="shared" si="144"/>
        <v>0.66666666666666663</v>
      </c>
      <c r="AI360" s="32">
        <f t="shared" si="145"/>
        <v>0.88888888888888884</v>
      </c>
      <c r="AJ360" s="32">
        <f t="shared" si="146"/>
        <v>0.61111111111111116</v>
      </c>
      <c r="AK360">
        <f>step3_validation[[#This Row],[AI_TRU1]]</f>
        <v>6</v>
      </c>
      <c r="AL360">
        <f t="shared" si="147"/>
        <v>0.55555555555555558</v>
      </c>
      <c r="AM360">
        <f>survey_responses[[#This Row],[Tôi tin rằng Nhà nước, cơ quan thuế sẽ thực thi chính sách mới một cách khách quan, công tâm và đối xử bình đẳng với mọi người nộp thuế.  - HUMAN-TRU1]]</f>
        <v>7</v>
      </c>
      <c r="AN360">
        <f t="shared" si="148"/>
        <v>0.66666666666666663</v>
      </c>
      <c r="AO360">
        <f>step3_validation[[#This Row],[AI_TRU2]]</f>
        <v>8</v>
      </c>
      <c r="AP360">
        <f t="shared" si="149"/>
        <v>0.77777777777777779</v>
      </c>
      <c r="AQ360">
        <f>survey_responses[[#This Row],[Tôi thấy mức thuế tôi phải đóng theo phương án mới là công bằng (người thu nhập như tôi đóng mức này là hợp lý). - HUMAN-TRU2]]</f>
        <v>6</v>
      </c>
      <c r="AR360">
        <f t="shared" si="150"/>
        <v>0.55555555555555558</v>
      </c>
      <c r="AS360">
        <f>step3_validation[[#This Row],[AI_TRU3]]</f>
        <v>7</v>
      </c>
      <c r="AT360">
        <f t="shared" si="151"/>
        <v>0.66666666666666663</v>
      </c>
      <c r="AU360">
        <f>survey_responses[[#This Row],[Tôi tin tưởng số tiền thuế tôi đóng sẽ được Nhà nước sử dụng hiệu quả để cải thiện dịch vụ công (y tế, đường xá...). - HUMAN-TRU3]]</f>
        <v>4</v>
      </c>
      <c r="AV360">
        <f t="shared" si="152"/>
        <v>0.33333333333333331</v>
      </c>
      <c r="AW360">
        <f>step3_validation[[#This Row],[AI_TRU4]]</f>
        <v>6</v>
      </c>
      <c r="AX360">
        <f t="shared" si="153"/>
        <v>0.55555555555555558</v>
      </c>
      <c r="AY360">
        <f>survey_responses[[#This Row],[Tôi thấy Nhà nước đã giải thích rõ ràng, minh bạch về lý do và mục tiêu của việc sửa đổi thuế lần này. - HUMAN-TRU4]]</f>
        <v>6</v>
      </c>
      <c r="AZ360">
        <f t="shared" si="154"/>
        <v>0.55555555555555558</v>
      </c>
      <c r="BA360" s="32">
        <f t="shared" si="155"/>
        <v>0.63888888888888884</v>
      </c>
      <c r="BB360" s="32">
        <f t="shared" si="156"/>
        <v>0.52777777777777779</v>
      </c>
      <c r="BC360" s="7">
        <f t="shared" si="157"/>
        <v>0.75</v>
      </c>
      <c r="BD360" s="7">
        <f t="shared" si="158"/>
        <v>0.50925925925925919</v>
      </c>
      <c r="BE360">
        <f>step3_validation[[#This Row],[AI_OUT1]]</f>
        <v>9</v>
      </c>
      <c r="BF360">
        <f t="shared" si="159"/>
        <v>0.88888888888888884</v>
      </c>
      <c r="BG360">
        <f>survey_responses[[#This Row],[Sau khi xem xét các quyền lợi và nghĩa vụ, bạn có ủng hộ và tuân thủ chính sách mới hiện nay? - HUMAN-OUT1]]</f>
        <v>7</v>
      </c>
      <c r="BH360">
        <f t="shared" si="160"/>
        <v>0.66666666666666663</v>
      </c>
      <c r="BI360" s="32">
        <f t="shared" si="161"/>
        <v>2</v>
      </c>
    </row>
    <row r="361" spans="1:61" x14ac:dyDescent="0.45">
      <c r="A361" s="30">
        <f>step3_validation[[#This Row],[Persona_ID]]</f>
        <v>360</v>
      </c>
      <c r="B361" s="31">
        <f>step3_validation[[#This Row],[Used_Seed]]</f>
        <v>2385</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19.383792059341289</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6</v>
      </c>
      <c r="R361">
        <f t="shared" si="135"/>
        <v>0.55555555555555558</v>
      </c>
      <c r="S361">
        <f>survey_responses[[#This Row],[Tôi tin rằng với các quy định quản lý thuế hiện nay, hành vi gian lận hoặc trốn thuế sẽ dễ dàng bị phát hiện và xử lý nghiêm. - HUMAN-ENF1]]</f>
        <v>9</v>
      </c>
      <c r="T361">
        <f t="shared" si="136"/>
        <v>0.88888888888888884</v>
      </c>
      <c r="U361">
        <f>step3_validation[[#This Row],[AI_ENF2]]</f>
        <v>7</v>
      </c>
      <c r="V361">
        <f t="shared" si="137"/>
        <v>0.66666666666666663</v>
      </c>
      <c r="W361">
        <f>survey_responses[[#This Row],[Tôi tin rằng Nhà nước, cơ quan thuế có đủ khả năng và công nghệ để phát hiện, xử lý nghiêm các hành vi trốn thuế. - HUMAN-ENF2]]</f>
        <v>8</v>
      </c>
      <c r="X361">
        <f t="shared" si="138"/>
        <v>0.77777777777777779</v>
      </c>
      <c r="Y361" s="32">
        <f t="shared" si="139"/>
        <v>0.61111111111111116</v>
      </c>
      <c r="Z361" s="32">
        <f t="shared" si="140"/>
        <v>0.83333333333333326</v>
      </c>
      <c r="AA361">
        <f>step3_validation[[#This Row],[AI_FAC1]]</f>
        <v>9</v>
      </c>
      <c r="AB361">
        <f t="shared" si="141"/>
        <v>0.88888888888888884</v>
      </c>
      <c r="AC361">
        <f>survey_responses[[#This Row],[Các thủ tục khai báo thuế VÀ/HOẶC quy trình làm việc với cơ quan thuế đơn giản, tiện lợi, nhanh chóng hơn so với trước đây. - HUMAN-FAC1]]</f>
        <v>8</v>
      </c>
      <c r="AD361">
        <f t="shared" si="142"/>
        <v>0.77777777777777779</v>
      </c>
      <c r="AE361">
        <f>step3_validation[[#This Row],[AI_FAC2]]</f>
        <v>8</v>
      </c>
      <c r="AF361">
        <f t="shared" si="143"/>
        <v>0.77777777777777779</v>
      </c>
      <c r="AG361">
        <f>survey_responses[[#This Row],[So với trước đây, tôi thấy cách tính thuế và các bậc thuế trong phương án mới đơn giản, dễ hiểu và dễ thực hiện hơn. - HUMAN-FAC2]]</f>
        <v>8</v>
      </c>
      <c r="AH361">
        <f t="shared" si="144"/>
        <v>0.77777777777777779</v>
      </c>
      <c r="AI361" s="32">
        <f t="shared" si="145"/>
        <v>0.83333333333333326</v>
      </c>
      <c r="AJ361" s="32">
        <f t="shared" si="146"/>
        <v>0.77777777777777779</v>
      </c>
      <c r="AK361">
        <f>step3_validation[[#This Row],[AI_TRU1]]</f>
        <v>7</v>
      </c>
      <c r="AL361">
        <f t="shared" si="147"/>
        <v>0.66666666666666663</v>
      </c>
      <c r="AM361">
        <f>survey_responses[[#This Row],[Tôi tin rằng Nhà nước, cơ quan thuế sẽ thực thi chính sách mới một cách khách quan, công tâm và đối xử bình đẳng với mọi người nộp thuế.  - HUMAN-TRU1]]</f>
        <v>7</v>
      </c>
      <c r="AN361">
        <f t="shared" si="148"/>
        <v>0.66666666666666663</v>
      </c>
      <c r="AO361">
        <f>step3_validation[[#This Row],[AI_TRU2]]</f>
        <v>8</v>
      </c>
      <c r="AP361">
        <f t="shared" si="149"/>
        <v>0.77777777777777779</v>
      </c>
      <c r="AQ361">
        <f>survey_responses[[#This Row],[Tôi thấy mức thuế tôi phải đóng theo phương án mới là công bằng (người thu nhập như tôi đóng mức này là hợp lý). - HUMAN-TRU2]]</f>
        <v>7</v>
      </c>
      <c r="AR361">
        <f t="shared" si="150"/>
        <v>0.66666666666666663</v>
      </c>
      <c r="AS361">
        <f>step3_validation[[#This Row],[AI_TRU3]]</f>
        <v>6</v>
      </c>
      <c r="AT361">
        <f t="shared" si="151"/>
        <v>0.55555555555555558</v>
      </c>
      <c r="AU361">
        <f>survey_responses[[#This Row],[Tôi tin tưởng số tiền thuế tôi đóng sẽ được Nhà nước sử dụng hiệu quả để cải thiện dịch vụ công (y tế, đường xá...). - HUMAN-TRU3]]</f>
        <v>6</v>
      </c>
      <c r="AV361">
        <f t="shared" si="152"/>
        <v>0.55555555555555558</v>
      </c>
      <c r="AW361">
        <f>step3_validation[[#This Row],[AI_TRU4]]</f>
        <v>7</v>
      </c>
      <c r="AX361">
        <f t="shared" si="153"/>
        <v>0.66666666666666663</v>
      </c>
      <c r="AY361">
        <f>survey_responses[[#This Row],[Tôi thấy Nhà nước đã giải thích rõ ràng, minh bạch về lý do và mục tiêu của việc sửa đổi thuế lần này. - HUMAN-TRU4]]</f>
        <v>7</v>
      </c>
      <c r="AZ361">
        <f t="shared" si="154"/>
        <v>0.66666666666666663</v>
      </c>
      <c r="BA361" s="32">
        <f t="shared" si="155"/>
        <v>0.66666666666666663</v>
      </c>
      <c r="BB361" s="32">
        <f t="shared" si="156"/>
        <v>0.63888888888888884</v>
      </c>
      <c r="BC361" s="7">
        <f t="shared" si="157"/>
        <v>0.70370370370370372</v>
      </c>
      <c r="BD361" s="7">
        <f t="shared" si="158"/>
        <v>0.75</v>
      </c>
      <c r="BE361">
        <f>step3_validation[[#This Row],[AI_OUT1]]</f>
        <v>9</v>
      </c>
      <c r="BF361">
        <f t="shared" si="159"/>
        <v>0.88888888888888884</v>
      </c>
      <c r="BG361">
        <f>survey_responses[[#This Row],[Sau khi xem xét các quyền lợi và nghĩa vụ, bạn có ủng hộ và tuân thủ chính sách mới hiện nay? - HUMAN-OUT1]]</f>
        <v>8</v>
      </c>
      <c r="BH361">
        <f t="shared" si="160"/>
        <v>0.77777777777777779</v>
      </c>
      <c r="BI361" s="32">
        <f t="shared" si="161"/>
        <v>1</v>
      </c>
    </row>
    <row r="362" spans="1:61" x14ac:dyDescent="0.45">
      <c r="A362" s="30">
        <f>step3_validation[[#This Row],[Persona_ID]]</f>
        <v>361</v>
      </c>
      <c r="B362" s="31">
        <f>step3_validation[[#This Row],[Used_Seed]]</f>
        <v>2386</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8</v>
      </c>
      <c r="R362">
        <f t="shared" si="135"/>
        <v>0.77777777777777779</v>
      </c>
      <c r="S362">
        <f>survey_responses[[#This Row],[Tôi tin rằng với các quy định quản lý thuế hiện nay, hành vi gian lận hoặc trốn thuế sẽ dễ dàng bị phát hiện và xử lý nghiêm. - HUMAN-ENF1]]</f>
        <v>7</v>
      </c>
      <c r="T362">
        <f t="shared" si="136"/>
        <v>0.66666666666666663</v>
      </c>
      <c r="U362">
        <f>step3_validation[[#This Row],[AI_ENF2]]</f>
        <v>9</v>
      </c>
      <c r="V362">
        <f t="shared" si="137"/>
        <v>0.88888888888888884</v>
      </c>
      <c r="W362">
        <f>survey_responses[[#This Row],[Tôi tin rằng Nhà nước, cơ quan thuế có đủ khả năng và công nghệ để phát hiện, xử lý nghiêm các hành vi trốn thuế. - HUMAN-ENF2]]</f>
        <v>7</v>
      </c>
      <c r="X362">
        <f t="shared" si="138"/>
        <v>0.66666666666666663</v>
      </c>
      <c r="Y362" s="32">
        <f t="shared" si="139"/>
        <v>0.83333333333333326</v>
      </c>
      <c r="Z362" s="32">
        <f t="shared" si="140"/>
        <v>0.66666666666666663</v>
      </c>
      <c r="AA362">
        <f>step3_validation[[#This Row],[AI_FAC1]]</f>
        <v>8</v>
      </c>
      <c r="AB362">
        <f t="shared" si="141"/>
        <v>0.77777777777777779</v>
      </c>
      <c r="AC362">
        <f>survey_responses[[#This Row],[Các thủ tục khai báo thuế VÀ/HOẶC quy trình làm việc với cơ quan thuế đơn giản, tiện lợi, nhanh chóng hơn so với trước đây. - HUMAN-FAC1]]</f>
        <v>8</v>
      </c>
      <c r="AD362">
        <f t="shared" si="142"/>
        <v>0.77777777777777779</v>
      </c>
      <c r="AE362">
        <f>step3_validation[[#This Row],[AI_FAC2]]</f>
        <v>9</v>
      </c>
      <c r="AF362">
        <f t="shared" si="143"/>
        <v>0.88888888888888884</v>
      </c>
      <c r="AG362">
        <f>survey_responses[[#This Row],[So với trước đây, tôi thấy cách tính thuế và các bậc thuế trong phương án mới đơn giản, dễ hiểu và dễ thực hiện hơn. - HUMAN-FAC2]]</f>
        <v>9</v>
      </c>
      <c r="AH362">
        <f t="shared" si="144"/>
        <v>0.88888888888888884</v>
      </c>
      <c r="AI362" s="32">
        <f t="shared" si="145"/>
        <v>0.83333333333333326</v>
      </c>
      <c r="AJ362" s="32">
        <f t="shared" si="146"/>
        <v>0.83333333333333326</v>
      </c>
      <c r="AK362">
        <f>step3_validation[[#This Row],[AI_TRU1]]</f>
        <v>8</v>
      </c>
      <c r="AL362">
        <f t="shared" si="147"/>
        <v>0.77777777777777779</v>
      </c>
      <c r="AM362">
        <f>survey_responses[[#This Row],[Tôi tin rằng Nhà nước, cơ quan thuế sẽ thực thi chính sách mới một cách khách quan, công tâm và đối xử bình đẳng với mọi người nộp thuế.  - HUMAN-TRU1]]</f>
        <v>7</v>
      </c>
      <c r="AN362">
        <f t="shared" si="148"/>
        <v>0.66666666666666663</v>
      </c>
      <c r="AO362">
        <f>step3_validation[[#This Row],[AI_TRU2]]</f>
        <v>9</v>
      </c>
      <c r="AP362">
        <f t="shared" si="149"/>
        <v>0.88888888888888884</v>
      </c>
      <c r="AQ362">
        <f>survey_responses[[#This Row],[Tôi thấy mức thuế tôi phải đóng theo phương án mới là công bằng (người thu nhập như tôi đóng mức này là hợp lý). - HUMAN-TRU2]]</f>
        <v>10</v>
      </c>
      <c r="AR362">
        <f t="shared" si="150"/>
        <v>1</v>
      </c>
      <c r="AS362">
        <f>step3_validation[[#This Row],[AI_TRU3]]</f>
        <v>8</v>
      </c>
      <c r="AT362">
        <f t="shared" si="151"/>
        <v>0.77777777777777779</v>
      </c>
      <c r="AU362">
        <f>survey_responses[[#This Row],[Tôi tin tưởng số tiền thuế tôi đóng sẽ được Nhà nước sử dụng hiệu quả để cải thiện dịch vụ công (y tế, đường xá...). - HUMAN-TRU3]]</f>
        <v>8</v>
      </c>
      <c r="AV362">
        <f t="shared" si="152"/>
        <v>0.77777777777777779</v>
      </c>
      <c r="AW362">
        <f>step3_validation[[#This Row],[AI_TRU4]]</f>
        <v>9</v>
      </c>
      <c r="AX362">
        <f t="shared" si="153"/>
        <v>0.88888888888888884</v>
      </c>
      <c r="AY362">
        <f>survey_responses[[#This Row],[Tôi thấy Nhà nước đã giải thích rõ ràng, minh bạch về lý do và mục tiêu của việc sửa đổi thuế lần này. - HUMAN-TRU4]]</f>
        <v>8</v>
      </c>
      <c r="AZ362">
        <f t="shared" si="154"/>
        <v>0.77777777777777779</v>
      </c>
      <c r="BA362" s="32">
        <f t="shared" si="155"/>
        <v>0.83333333333333326</v>
      </c>
      <c r="BB362" s="32">
        <f t="shared" si="156"/>
        <v>0.80555555555555547</v>
      </c>
      <c r="BC362" s="7">
        <f t="shared" si="157"/>
        <v>0.83333333333333337</v>
      </c>
      <c r="BD362" s="7">
        <f t="shared" si="158"/>
        <v>0.76851851851851849</v>
      </c>
      <c r="BE362">
        <f>step3_validation[[#This Row],[AI_OUT1]]</f>
        <v>9</v>
      </c>
      <c r="BF362">
        <f t="shared" si="159"/>
        <v>0.88888888888888884</v>
      </c>
      <c r="BG362">
        <f>survey_responses[[#This Row],[Sau khi xem xét các quyền lợi và nghĩa vụ, bạn có ủng hộ và tuân thủ chính sách mới hiện nay? - HUMAN-OUT1]]</f>
        <v>10</v>
      </c>
      <c r="BH362">
        <f t="shared" si="160"/>
        <v>1</v>
      </c>
      <c r="BI362" s="32">
        <f t="shared" si="161"/>
        <v>1</v>
      </c>
    </row>
    <row r="363" spans="1:61" x14ac:dyDescent="0.45">
      <c r="A363" s="30">
        <f>step3_validation[[#This Row],[Persona_ID]]</f>
        <v>362</v>
      </c>
      <c r="B363" s="31">
        <f>step3_validation[[#This Row],[Used_Seed]]</f>
        <v>2387</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14.668958082490249</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6</v>
      </c>
      <c r="R363">
        <f t="shared" si="135"/>
        <v>0.55555555555555558</v>
      </c>
      <c r="S363">
        <f>survey_responses[[#This Row],[Tôi tin rằng với các quy định quản lý thuế hiện nay, hành vi gian lận hoặc trốn thuế sẽ dễ dàng bị phát hiện và xử lý nghiêm. - HUMAN-ENF1]]</f>
        <v>3</v>
      </c>
      <c r="T363">
        <f t="shared" si="136"/>
        <v>0.22222222222222221</v>
      </c>
      <c r="U363">
        <f>step3_validation[[#This Row],[AI_ENF2]]</f>
        <v>5</v>
      </c>
      <c r="V363">
        <f t="shared" si="137"/>
        <v>0.44444444444444442</v>
      </c>
      <c r="W363">
        <f>survey_responses[[#This Row],[Tôi tin rằng Nhà nước, cơ quan thuế có đủ khả năng và công nghệ để phát hiện, xử lý nghiêm các hành vi trốn thuế. - HUMAN-ENF2]]</f>
        <v>3</v>
      </c>
      <c r="X363">
        <f t="shared" si="138"/>
        <v>0.22222222222222221</v>
      </c>
      <c r="Y363" s="32">
        <f t="shared" si="139"/>
        <v>0.5</v>
      </c>
      <c r="Z363" s="32">
        <f t="shared" si="140"/>
        <v>0.22222222222222221</v>
      </c>
      <c r="AA363">
        <f>step3_validation[[#This Row],[AI_FAC1]]</f>
        <v>8</v>
      </c>
      <c r="AB363">
        <f t="shared" si="141"/>
        <v>0.77777777777777779</v>
      </c>
      <c r="AC363">
        <f>survey_responses[[#This Row],[Các thủ tục khai báo thuế VÀ/HOẶC quy trình làm việc với cơ quan thuế đơn giản, tiện lợi, nhanh chóng hơn so với trước đây. - HUMAN-FAC1]]</f>
        <v>5</v>
      </c>
      <c r="AD363">
        <f t="shared" si="142"/>
        <v>0.44444444444444442</v>
      </c>
      <c r="AE363">
        <f>step3_validation[[#This Row],[AI_FAC2]]</f>
        <v>9</v>
      </c>
      <c r="AF363">
        <f t="shared" si="143"/>
        <v>0.88888888888888884</v>
      </c>
      <c r="AG363">
        <f>survey_responses[[#This Row],[So với trước đây, tôi thấy cách tính thuế và các bậc thuế trong phương án mới đơn giản, dễ hiểu và dễ thực hiện hơn. - HUMAN-FAC2]]</f>
        <v>6</v>
      </c>
      <c r="AH363">
        <f t="shared" si="144"/>
        <v>0.55555555555555558</v>
      </c>
      <c r="AI363" s="32">
        <f t="shared" si="145"/>
        <v>0.83333333333333326</v>
      </c>
      <c r="AJ363" s="32">
        <f t="shared" si="146"/>
        <v>0.5</v>
      </c>
      <c r="AK363">
        <f>step3_validation[[#This Row],[AI_TRU1]]</f>
        <v>8</v>
      </c>
      <c r="AL363">
        <f t="shared" si="147"/>
        <v>0.77777777777777779</v>
      </c>
      <c r="AM363">
        <f>survey_responses[[#This Row],[Tôi tin rằng Nhà nước, cơ quan thuế sẽ thực thi chính sách mới một cách khách quan, công tâm và đối xử bình đẳng với mọi người nộp thuế.  - HUMAN-TRU1]]</f>
        <v>5</v>
      </c>
      <c r="AN363">
        <f t="shared" si="148"/>
        <v>0.44444444444444442</v>
      </c>
      <c r="AO363">
        <f>step3_validation[[#This Row],[AI_TRU2]]</f>
        <v>9</v>
      </c>
      <c r="AP363">
        <f t="shared" si="149"/>
        <v>0.88888888888888884</v>
      </c>
      <c r="AQ363">
        <f>survey_responses[[#This Row],[Tôi thấy mức thuế tôi phải đóng theo phương án mới là công bằng (người thu nhập như tôi đóng mức này là hợp lý). - HUMAN-TRU2]]</f>
        <v>6</v>
      </c>
      <c r="AR363">
        <f t="shared" si="150"/>
        <v>0.55555555555555558</v>
      </c>
      <c r="AS363">
        <f>step3_validation[[#This Row],[AI_TRU3]]</f>
        <v>8</v>
      </c>
      <c r="AT363">
        <f t="shared" si="151"/>
        <v>0.77777777777777779</v>
      </c>
      <c r="AU363">
        <f>survey_responses[[#This Row],[Tôi tin tưởng số tiền thuế tôi đóng sẽ được Nhà nước sử dụng hiệu quả để cải thiện dịch vụ công (y tế, đường xá...). - HUMAN-TRU3]]</f>
        <v>4</v>
      </c>
      <c r="AV363">
        <f t="shared" si="152"/>
        <v>0.33333333333333331</v>
      </c>
      <c r="AW363">
        <f>step3_validation[[#This Row],[AI_TRU4]]</f>
        <v>7</v>
      </c>
      <c r="AX363">
        <f t="shared" si="153"/>
        <v>0.66666666666666663</v>
      </c>
      <c r="AY363">
        <f>survey_responses[[#This Row],[Tôi thấy Nhà nước đã giải thích rõ ràng, minh bạch về lý do và mục tiêu của việc sửa đổi thuế lần này. - HUMAN-TRU4]]</f>
        <v>6</v>
      </c>
      <c r="AZ363">
        <f t="shared" si="154"/>
        <v>0.55555555555555558</v>
      </c>
      <c r="BA363" s="32">
        <f t="shared" si="155"/>
        <v>0.77777777777777768</v>
      </c>
      <c r="BB363" s="32">
        <f t="shared" si="156"/>
        <v>0.47222222222222221</v>
      </c>
      <c r="BC363" s="7">
        <f t="shared" si="157"/>
        <v>0.70370370370370361</v>
      </c>
      <c r="BD363" s="7">
        <f t="shared" si="158"/>
        <v>0.39814814814814814</v>
      </c>
      <c r="BE363">
        <f>step3_validation[[#This Row],[AI_OUT1]]</f>
        <v>9</v>
      </c>
      <c r="BF363">
        <f t="shared" si="159"/>
        <v>0.88888888888888884</v>
      </c>
      <c r="BG363">
        <f>survey_responses[[#This Row],[Sau khi xem xét các quyền lợi và nghĩa vụ, bạn có ủng hộ và tuân thủ chính sách mới hiện nay? - HUMAN-OUT1]]</f>
        <v>6</v>
      </c>
      <c r="BH363">
        <f t="shared" si="160"/>
        <v>0.55555555555555558</v>
      </c>
      <c r="BI363" s="32">
        <f t="shared" si="161"/>
        <v>3</v>
      </c>
    </row>
    <row r="364" spans="1:61" x14ac:dyDescent="0.45">
      <c r="A364" s="30">
        <f>step3_validation[[#This Row],[Persona_ID]]</f>
        <v>363</v>
      </c>
      <c r="B364" s="31">
        <f>step3_validation[[#This Row],[Used_Seed]]</f>
        <v>2388</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28.41884086070387</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9</v>
      </c>
      <c r="R364">
        <f t="shared" si="135"/>
        <v>0.88888888888888884</v>
      </c>
      <c r="S364">
        <f>survey_responses[[#This Row],[Tôi tin rằng với các quy định quản lý thuế hiện nay, hành vi gian lận hoặc trốn thuế sẽ dễ dàng bị phát hiện và xử lý nghiêm. - HUMAN-ENF1]]</f>
        <v>8</v>
      </c>
      <c r="T364">
        <f t="shared" si="136"/>
        <v>0.77777777777777779</v>
      </c>
      <c r="U364">
        <f>step3_validation[[#This Row],[AI_ENF2]]</f>
        <v>8</v>
      </c>
      <c r="V364">
        <f t="shared" si="137"/>
        <v>0.77777777777777779</v>
      </c>
      <c r="W364">
        <f>survey_responses[[#This Row],[Tôi tin rằng Nhà nước, cơ quan thuế có đủ khả năng và công nghệ để phát hiện, xử lý nghiêm các hành vi trốn thuế. - HUMAN-ENF2]]</f>
        <v>8</v>
      </c>
      <c r="X364">
        <f t="shared" si="138"/>
        <v>0.77777777777777779</v>
      </c>
      <c r="Y364" s="32">
        <f t="shared" si="139"/>
        <v>0.83333333333333326</v>
      </c>
      <c r="Z364" s="32">
        <f t="shared" si="140"/>
        <v>0.77777777777777779</v>
      </c>
      <c r="AA364">
        <f>step3_validation[[#This Row],[AI_FAC1]]</f>
        <v>9</v>
      </c>
      <c r="AB364">
        <f t="shared" si="141"/>
        <v>0.88888888888888884</v>
      </c>
      <c r="AC364">
        <f>survey_responses[[#This Row],[Các thủ tục khai báo thuế VÀ/HOẶC quy trình làm việc với cơ quan thuế đơn giản, tiện lợi, nhanh chóng hơn so với trước đây. - HUMAN-FAC1]]</f>
        <v>5</v>
      </c>
      <c r="AD364">
        <f t="shared" si="142"/>
        <v>0.44444444444444442</v>
      </c>
      <c r="AE364">
        <f>step3_validation[[#This Row],[AI_FAC2]]</f>
        <v>10</v>
      </c>
      <c r="AF364">
        <f t="shared" si="143"/>
        <v>1</v>
      </c>
      <c r="AG364">
        <f>survey_responses[[#This Row],[So với trước đây, tôi thấy cách tính thuế và các bậc thuế trong phương án mới đơn giản, dễ hiểu và dễ thực hiện hơn. - HUMAN-FAC2]]</f>
        <v>7</v>
      </c>
      <c r="AH364">
        <f t="shared" si="144"/>
        <v>0.66666666666666663</v>
      </c>
      <c r="AI364" s="32">
        <f t="shared" si="145"/>
        <v>0.94444444444444442</v>
      </c>
      <c r="AJ364" s="32">
        <f t="shared" si="146"/>
        <v>0.55555555555555558</v>
      </c>
      <c r="AK364">
        <f>step3_validation[[#This Row],[AI_TRU1]]</f>
        <v>9</v>
      </c>
      <c r="AL364">
        <f t="shared" si="147"/>
        <v>0.88888888888888884</v>
      </c>
      <c r="AM364">
        <f>survey_responses[[#This Row],[Tôi tin rằng Nhà nước, cơ quan thuế sẽ thực thi chính sách mới một cách khách quan, công tâm và đối xử bình đẳng với mọi người nộp thuế.  - HUMAN-TRU1]]</f>
        <v>5</v>
      </c>
      <c r="AN364">
        <f t="shared" si="148"/>
        <v>0.44444444444444442</v>
      </c>
      <c r="AO364">
        <f>step3_validation[[#This Row],[AI_TRU2]]</f>
        <v>8</v>
      </c>
      <c r="AP364">
        <f t="shared" si="149"/>
        <v>0.77777777777777779</v>
      </c>
      <c r="AQ364">
        <f>survey_responses[[#This Row],[Tôi thấy mức thuế tôi phải đóng theo phương án mới là công bằng (người thu nhập như tôi đóng mức này là hợp lý). - HUMAN-TRU2]]</f>
        <v>8</v>
      </c>
      <c r="AR364">
        <f t="shared" si="150"/>
        <v>0.77777777777777779</v>
      </c>
      <c r="AS364">
        <f>step3_validation[[#This Row],[AI_TRU3]]</f>
        <v>9</v>
      </c>
      <c r="AT364">
        <f t="shared" si="151"/>
        <v>0.88888888888888884</v>
      </c>
      <c r="AU364">
        <f>survey_responses[[#This Row],[Tôi tin tưởng số tiền thuế tôi đóng sẽ được Nhà nước sử dụng hiệu quả để cải thiện dịch vụ công (y tế, đường xá...). - HUMAN-TRU3]]</f>
        <v>5</v>
      </c>
      <c r="AV364">
        <f t="shared" si="152"/>
        <v>0.44444444444444442</v>
      </c>
      <c r="AW364">
        <f>step3_validation[[#This Row],[AI_TRU4]]</f>
        <v>8</v>
      </c>
      <c r="AX364">
        <f t="shared" si="153"/>
        <v>0.77777777777777779</v>
      </c>
      <c r="AY364">
        <f>survey_responses[[#This Row],[Tôi thấy Nhà nước đã giải thích rõ ràng, minh bạch về lý do và mục tiêu của việc sửa đổi thuế lần này. - HUMAN-TRU4]]</f>
        <v>7</v>
      </c>
      <c r="AZ364">
        <f t="shared" si="154"/>
        <v>0.66666666666666663</v>
      </c>
      <c r="BA364" s="32">
        <f t="shared" si="155"/>
        <v>0.83333333333333326</v>
      </c>
      <c r="BB364" s="32">
        <f t="shared" si="156"/>
        <v>0.58333333333333337</v>
      </c>
      <c r="BC364" s="7">
        <f t="shared" si="157"/>
        <v>0.87037037037037024</v>
      </c>
      <c r="BD364" s="7">
        <f t="shared" si="158"/>
        <v>0.63888888888888895</v>
      </c>
      <c r="BE364">
        <f>step3_validation[[#This Row],[AI_OUT1]]</f>
        <v>9</v>
      </c>
      <c r="BF364">
        <f t="shared" si="159"/>
        <v>0.88888888888888884</v>
      </c>
      <c r="BG364">
        <f>survey_responses[[#This Row],[Sau khi xem xét các quyền lợi và nghĩa vụ, bạn có ủng hộ và tuân thủ chính sách mới hiện nay? - HUMAN-OUT1]]</f>
        <v>8</v>
      </c>
      <c r="BH364">
        <f t="shared" si="160"/>
        <v>0.77777777777777779</v>
      </c>
      <c r="BI364" s="32">
        <f t="shared" si="161"/>
        <v>1</v>
      </c>
    </row>
    <row r="365" spans="1:61" x14ac:dyDescent="0.45">
      <c r="A365" s="30">
        <f>step3_validation[[#This Row],[Persona_ID]]</f>
        <v>364</v>
      </c>
      <c r="B365" s="31">
        <f>step3_validation[[#This Row],[Used_Seed]]</f>
        <v>2389</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20.371936796111957</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6</v>
      </c>
      <c r="R365">
        <f t="shared" si="135"/>
        <v>0.55555555555555558</v>
      </c>
      <c r="S365">
        <f>survey_responses[[#This Row],[Tôi tin rằng với các quy định quản lý thuế hiện nay, hành vi gian lận hoặc trốn thuế sẽ dễ dàng bị phát hiện và xử lý nghiêm. - HUMAN-ENF1]]</f>
        <v>4</v>
      </c>
      <c r="T365">
        <f t="shared" si="136"/>
        <v>0.33333333333333331</v>
      </c>
      <c r="U365">
        <f>step3_validation[[#This Row],[AI_ENF2]]</f>
        <v>7</v>
      </c>
      <c r="V365">
        <f t="shared" si="137"/>
        <v>0.66666666666666663</v>
      </c>
      <c r="W365">
        <f>survey_responses[[#This Row],[Tôi tin rằng Nhà nước, cơ quan thuế có đủ khả năng và công nghệ để phát hiện, xử lý nghiêm các hành vi trốn thuế. - HUMAN-ENF2]]</f>
        <v>5</v>
      </c>
      <c r="X365">
        <f t="shared" si="138"/>
        <v>0.44444444444444442</v>
      </c>
      <c r="Y365" s="32">
        <f t="shared" si="139"/>
        <v>0.61111111111111116</v>
      </c>
      <c r="Z365" s="32">
        <f t="shared" si="140"/>
        <v>0.38888888888888884</v>
      </c>
      <c r="AA365">
        <f>step3_validation[[#This Row],[AI_FAC1]]</f>
        <v>9</v>
      </c>
      <c r="AB365">
        <f t="shared" si="141"/>
        <v>0.88888888888888884</v>
      </c>
      <c r="AC365">
        <f>survey_responses[[#This Row],[Các thủ tục khai báo thuế VÀ/HOẶC quy trình làm việc với cơ quan thuế đơn giản, tiện lợi, nhanh chóng hơn so với trước đây. - HUMAN-FAC1]]</f>
        <v>5</v>
      </c>
      <c r="AD365">
        <f t="shared" si="142"/>
        <v>0.44444444444444442</v>
      </c>
      <c r="AE365">
        <f>step3_validation[[#This Row],[AI_FAC2]]</f>
        <v>8</v>
      </c>
      <c r="AF365">
        <f t="shared" si="143"/>
        <v>0.77777777777777779</v>
      </c>
      <c r="AG365">
        <f>survey_responses[[#This Row],[So với trước đây, tôi thấy cách tính thuế và các bậc thuế trong phương án mới đơn giản, dễ hiểu và dễ thực hiện hơn. - HUMAN-FAC2]]</f>
        <v>7</v>
      </c>
      <c r="AH365">
        <f t="shared" si="144"/>
        <v>0.66666666666666663</v>
      </c>
      <c r="AI365" s="32">
        <f t="shared" si="145"/>
        <v>0.83333333333333326</v>
      </c>
      <c r="AJ365" s="32">
        <f t="shared" si="146"/>
        <v>0.55555555555555558</v>
      </c>
      <c r="AK365">
        <f>step3_validation[[#This Row],[AI_TRU1]]</f>
        <v>6</v>
      </c>
      <c r="AL365">
        <f t="shared" si="147"/>
        <v>0.55555555555555558</v>
      </c>
      <c r="AM365">
        <f>survey_responses[[#This Row],[Tôi tin rằng Nhà nước, cơ quan thuế sẽ thực thi chính sách mới một cách khách quan, công tâm và đối xử bình đẳng với mọi người nộp thuế.  - HUMAN-TRU1]]</f>
        <v>5</v>
      </c>
      <c r="AN365">
        <f t="shared" si="148"/>
        <v>0.44444444444444442</v>
      </c>
      <c r="AO365">
        <f>step3_validation[[#This Row],[AI_TRU2]]</f>
        <v>8</v>
      </c>
      <c r="AP365">
        <f t="shared" si="149"/>
        <v>0.77777777777777779</v>
      </c>
      <c r="AQ365">
        <f>survey_responses[[#This Row],[Tôi thấy mức thuế tôi phải đóng theo phương án mới là công bằng (người thu nhập như tôi đóng mức này là hợp lý). - HUMAN-TRU2]]</f>
        <v>7</v>
      </c>
      <c r="AR365">
        <f t="shared" si="150"/>
        <v>0.66666666666666663</v>
      </c>
      <c r="AS365">
        <f>step3_validation[[#This Row],[AI_TRU3]]</f>
        <v>7</v>
      </c>
      <c r="AT365">
        <f t="shared" si="151"/>
        <v>0.66666666666666663</v>
      </c>
      <c r="AU365">
        <f>survey_responses[[#This Row],[Tôi tin tưởng số tiền thuế tôi đóng sẽ được Nhà nước sử dụng hiệu quả để cải thiện dịch vụ công (y tế, đường xá...). - HUMAN-TRU3]]</f>
        <v>5</v>
      </c>
      <c r="AV365">
        <f t="shared" si="152"/>
        <v>0.44444444444444442</v>
      </c>
      <c r="AW365">
        <f>step3_validation[[#This Row],[AI_TRU4]]</f>
        <v>8</v>
      </c>
      <c r="AX365">
        <f t="shared" si="153"/>
        <v>0.77777777777777779</v>
      </c>
      <c r="AY365">
        <f>survey_responses[[#This Row],[Tôi thấy Nhà nước đã giải thích rõ ràng, minh bạch về lý do và mục tiêu của việc sửa đổi thuế lần này. - HUMAN-TRU4]]</f>
        <v>6</v>
      </c>
      <c r="AZ365">
        <f t="shared" si="154"/>
        <v>0.55555555555555558</v>
      </c>
      <c r="BA365" s="32">
        <f t="shared" si="155"/>
        <v>0.69444444444444442</v>
      </c>
      <c r="BB365" s="32">
        <f t="shared" si="156"/>
        <v>0.52777777777777779</v>
      </c>
      <c r="BC365" s="7">
        <f t="shared" si="157"/>
        <v>0.71296296296296291</v>
      </c>
      <c r="BD365" s="7">
        <f t="shared" si="158"/>
        <v>0.49074074074074076</v>
      </c>
      <c r="BE365">
        <f>step3_validation[[#This Row],[AI_OUT1]]</f>
        <v>9</v>
      </c>
      <c r="BF365">
        <f t="shared" si="159"/>
        <v>0.88888888888888884</v>
      </c>
      <c r="BG365">
        <f>survey_responses[[#This Row],[Sau khi xem xét các quyền lợi và nghĩa vụ, bạn có ủng hộ và tuân thủ chính sách mới hiện nay? - HUMAN-OUT1]]</f>
        <v>7</v>
      </c>
      <c r="BH365">
        <f t="shared" si="160"/>
        <v>0.66666666666666663</v>
      </c>
      <c r="BI365" s="32">
        <f t="shared" si="161"/>
        <v>2</v>
      </c>
    </row>
    <row r="366" spans="1:61" x14ac:dyDescent="0.45">
      <c r="A366" s="30">
        <f>step3_validation[[#This Row],[Persona_ID]]</f>
        <v>365</v>
      </c>
      <c r="B366" s="31">
        <f>step3_validation[[#This Row],[Used_Seed]]</f>
        <v>2390</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38.514138274483862</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7</v>
      </c>
      <c r="R366">
        <f t="shared" si="135"/>
        <v>0.66666666666666663</v>
      </c>
      <c r="S366">
        <f>survey_responses[[#This Row],[Tôi tin rằng với các quy định quản lý thuế hiện nay, hành vi gian lận hoặc trốn thuế sẽ dễ dàng bị phát hiện và xử lý nghiêm. - HUMAN-ENF1]]</f>
        <v>9</v>
      </c>
      <c r="T366">
        <f t="shared" si="136"/>
        <v>0.88888888888888884</v>
      </c>
      <c r="U366">
        <f>step3_validation[[#This Row],[AI_ENF2]]</f>
        <v>6</v>
      </c>
      <c r="V366">
        <f t="shared" si="137"/>
        <v>0.55555555555555558</v>
      </c>
      <c r="W366">
        <f>survey_responses[[#This Row],[Tôi tin rằng Nhà nước, cơ quan thuế có đủ khả năng và công nghệ để phát hiện, xử lý nghiêm các hành vi trốn thuế. - HUMAN-ENF2]]</f>
        <v>9</v>
      </c>
      <c r="X366">
        <f t="shared" si="138"/>
        <v>0.88888888888888884</v>
      </c>
      <c r="Y366" s="32">
        <f t="shared" si="139"/>
        <v>0.61111111111111116</v>
      </c>
      <c r="Z366" s="32">
        <f t="shared" si="140"/>
        <v>0.88888888888888884</v>
      </c>
      <c r="AA366">
        <f>step3_validation[[#This Row],[AI_FAC1]]</f>
        <v>8</v>
      </c>
      <c r="AB366">
        <f t="shared" si="141"/>
        <v>0.77777777777777779</v>
      </c>
      <c r="AC366">
        <f>survey_responses[[#This Row],[Các thủ tục khai báo thuế VÀ/HOẶC quy trình làm việc với cơ quan thuế đơn giản, tiện lợi, nhanh chóng hơn so với trước đây. - HUMAN-FAC1]]</f>
        <v>8</v>
      </c>
      <c r="AD366">
        <f t="shared" si="142"/>
        <v>0.77777777777777779</v>
      </c>
      <c r="AE366">
        <f>step3_validation[[#This Row],[AI_FAC2]]</f>
        <v>9</v>
      </c>
      <c r="AF366">
        <f t="shared" si="143"/>
        <v>0.88888888888888884</v>
      </c>
      <c r="AG366">
        <f>survey_responses[[#This Row],[So với trước đây, tôi thấy cách tính thuế và các bậc thuế trong phương án mới đơn giản, dễ hiểu và dễ thực hiện hơn. - HUMAN-FAC2]]</f>
        <v>9</v>
      </c>
      <c r="AH366">
        <f t="shared" si="144"/>
        <v>0.88888888888888884</v>
      </c>
      <c r="AI366" s="32">
        <f t="shared" si="145"/>
        <v>0.83333333333333326</v>
      </c>
      <c r="AJ366" s="32">
        <f t="shared" si="146"/>
        <v>0.83333333333333326</v>
      </c>
      <c r="AK366">
        <f>step3_validation[[#This Row],[AI_TRU1]]</f>
        <v>7</v>
      </c>
      <c r="AL366">
        <f t="shared" si="147"/>
        <v>0.66666666666666663</v>
      </c>
      <c r="AM366">
        <f>survey_responses[[#This Row],[Tôi tin rằng Nhà nước, cơ quan thuế sẽ thực thi chính sách mới một cách khách quan, công tâm và đối xử bình đẳng với mọi người nộp thuế.  - HUMAN-TRU1]]</f>
        <v>9</v>
      </c>
      <c r="AN366">
        <f t="shared" si="148"/>
        <v>0.88888888888888884</v>
      </c>
      <c r="AO366">
        <f>step3_validation[[#This Row],[AI_TRU2]]</f>
        <v>9</v>
      </c>
      <c r="AP366">
        <f t="shared" si="149"/>
        <v>0.88888888888888884</v>
      </c>
      <c r="AQ366">
        <f>survey_responses[[#This Row],[Tôi thấy mức thuế tôi phải đóng theo phương án mới là công bằng (người thu nhập như tôi đóng mức này là hợp lý). - HUMAN-TRU2]]</f>
        <v>7</v>
      </c>
      <c r="AR366">
        <f t="shared" si="150"/>
        <v>0.66666666666666663</v>
      </c>
      <c r="AS366">
        <f>step3_validation[[#This Row],[AI_TRU3]]</f>
        <v>7</v>
      </c>
      <c r="AT366">
        <f t="shared" si="151"/>
        <v>0.66666666666666663</v>
      </c>
      <c r="AU366">
        <f>survey_responses[[#This Row],[Tôi tin tưởng số tiền thuế tôi đóng sẽ được Nhà nước sử dụng hiệu quả để cải thiện dịch vụ công (y tế, đường xá...). - HUMAN-TRU3]]</f>
        <v>7</v>
      </c>
      <c r="AV366">
        <f t="shared" si="152"/>
        <v>0.66666666666666663</v>
      </c>
      <c r="AW366">
        <f>step3_validation[[#This Row],[AI_TRU4]]</f>
        <v>8</v>
      </c>
      <c r="AX366">
        <f t="shared" si="153"/>
        <v>0.77777777777777779</v>
      </c>
      <c r="AY366">
        <f>survey_responses[[#This Row],[Tôi thấy Nhà nước đã giải thích rõ ràng, minh bạch về lý do và mục tiêu của việc sửa đổi thuế lần này. - HUMAN-TRU4]]</f>
        <v>7</v>
      </c>
      <c r="AZ366">
        <f t="shared" si="154"/>
        <v>0.66666666666666663</v>
      </c>
      <c r="BA366" s="32">
        <f t="shared" si="155"/>
        <v>0.74999999999999989</v>
      </c>
      <c r="BB366" s="32">
        <f t="shared" si="156"/>
        <v>0.7222222222222221</v>
      </c>
      <c r="BC366" s="7">
        <f t="shared" si="157"/>
        <v>0.7314814814814814</v>
      </c>
      <c r="BD366" s="7">
        <f t="shared" si="158"/>
        <v>0.81481481481481477</v>
      </c>
      <c r="BE366">
        <f>step3_validation[[#This Row],[AI_OUT1]]</f>
        <v>9</v>
      </c>
      <c r="BF366">
        <f t="shared" si="159"/>
        <v>0.88888888888888884</v>
      </c>
      <c r="BG366">
        <f>survey_responses[[#This Row],[Sau khi xem xét các quyền lợi và nghĩa vụ, bạn có ủng hộ và tuân thủ chính sách mới hiện nay? - HUMAN-OUT1]]</f>
        <v>7</v>
      </c>
      <c r="BH366">
        <f t="shared" si="160"/>
        <v>0.66666666666666663</v>
      </c>
      <c r="BI366" s="32">
        <f t="shared" si="161"/>
        <v>2</v>
      </c>
    </row>
    <row r="367" spans="1:61" x14ac:dyDescent="0.45">
      <c r="A367" s="30">
        <f>step3_validation[[#This Row],[Persona_ID]]</f>
        <v>366</v>
      </c>
      <c r="B367" s="31">
        <f>step3_validation[[#This Row],[Used_Seed]]</f>
        <v>2391</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65.135412103010992</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7</v>
      </c>
      <c r="R367">
        <f t="shared" si="135"/>
        <v>0.66666666666666663</v>
      </c>
      <c r="S367">
        <f>survey_responses[[#This Row],[Tôi tin rằng với các quy định quản lý thuế hiện nay, hành vi gian lận hoặc trốn thuế sẽ dễ dàng bị phát hiện và xử lý nghiêm. - HUMAN-ENF1]]</f>
        <v>7</v>
      </c>
      <c r="T367">
        <f t="shared" si="136"/>
        <v>0.66666666666666663</v>
      </c>
      <c r="U367">
        <f>step3_validation[[#This Row],[AI_ENF2]]</f>
        <v>8</v>
      </c>
      <c r="V367">
        <f t="shared" si="137"/>
        <v>0.77777777777777779</v>
      </c>
      <c r="W367">
        <f>survey_responses[[#This Row],[Tôi tin rằng Nhà nước, cơ quan thuế có đủ khả năng và công nghệ để phát hiện, xử lý nghiêm các hành vi trốn thuế. - HUMAN-ENF2]]</f>
        <v>8</v>
      </c>
      <c r="X367">
        <f t="shared" si="138"/>
        <v>0.77777777777777779</v>
      </c>
      <c r="Y367" s="32">
        <f t="shared" si="139"/>
        <v>0.72222222222222221</v>
      </c>
      <c r="Z367" s="32">
        <f t="shared" si="140"/>
        <v>0.72222222222222221</v>
      </c>
      <c r="AA367">
        <f>step3_validation[[#This Row],[AI_FAC1]]</f>
        <v>6</v>
      </c>
      <c r="AB367">
        <f t="shared" si="141"/>
        <v>0.55555555555555558</v>
      </c>
      <c r="AC367">
        <f>survey_responses[[#This Row],[Các thủ tục khai báo thuế VÀ/HOẶC quy trình làm việc với cơ quan thuế đơn giản, tiện lợi, nhanh chóng hơn so với trước đây. - HUMAN-FAC1]]</f>
        <v>8</v>
      </c>
      <c r="AD367">
        <f t="shared" si="142"/>
        <v>0.77777777777777779</v>
      </c>
      <c r="AE367">
        <f>step3_validation[[#This Row],[AI_FAC2]]</f>
        <v>9</v>
      </c>
      <c r="AF367">
        <f t="shared" si="143"/>
        <v>0.88888888888888884</v>
      </c>
      <c r="AG367">
        <f>survey_responses[[#This Row],[So với trước đây, tôi thấy cách tính thuế và các bậc thuế trong phương án mới đơn giản, dễ hiểu và dễ thực hiện hơn. - HUMAN-FAC2]]</f>
        <v>8</v>
      </c>
      <c r="AH367">
        <f t="shared" si="144"/>
        <v>0.77777777777777779</v>
      </c>
      <c r="AI367" s="32">
        <f t="shared" si="145"/>
        <v>0.72222222222222221</v>
      </c>
      <c r="AJ367" s="32">
        <f t="shared" si="146"/>
        <v>0.77777777777777779</v>
      </c>
      <c r="AK367">
        <f>step3_validation[[#This Row],[AI_TRU1]]</f>
        <v>7</v>
      </c>
      <c r="AL367">
        <f t="shared" si="147"/>
        <v>0.66666666666666663</v>
      </c>
      <c r="AM367">
        <f>survey_responses[[#This Row],[Tôi tin rằng Nhà nước, cơ quan thuế sẽ thực thi chính sách mới một cách khách quan, công tâm và đối xử bình đẳng với mọi người nộp thuế.  - HUMAN-TRU1]]</f>
        <v>5</v>
      </c>
      <c r="AN367">
        <f t="shared" si="148"/>
        <v>0.44444444444444442</v>
      </c>
      <c r="AO367">
        <f>step3_validation[[#This Row],[AI_TRU2]]</f>
        <v>7</v>
      </c>
      <c r="AP367">
        <f t="shared" si="149"/>
        <v>0.66666666666666663</v>
      </c>
      <c r="AQ367">
        <f>survey_responses[[#This Row],[Tôi thấy mức thuế tôi phải đóng theo phương án mới là công bằng (người thu nhập như tôi đóng mức này là hợp lý). - HUMAN-TRU2]]</f>
        <v>6</v>
      </c>
      <c r="AR367">
        <f t="shared" si="150"/>
        <v>0.55555555555555558</v>
      </c>
      <c r="AS367">
        <f>step3_validation[[#This Row],[AI_TRU3]]</f>
        <v>6</v>
      </c>
      <c r="AT367">
        <f t="shared" si="151"/>
        <v>0.55555555555555558</v>
      </c>
      <c r="AU367">
        <f>survey_responses[[#This Row],[Tôi tin tưởng số tiền thuế tôi đóng sẽ được Nhà nước sử dụng hiệu quả để cải thiện dịch vụ công (y tế, đường xá...). - HUMAN-TRU3]]</f>
        <v>5</v>
      </c>
      <c r="AV367">
        <f t="shared" si="152"/>
        <v>0.44444444444444442</v>
      </c>
      <c r="AW367">
        <f>step3_validation[[#This Row],[AI_TRU4]]</f>
        <v>8</v>
      </c>
      <c r="AX367">
        <f t="shared" si="153"/>
        <v>0.77777777777777779</v>
      </c>
      <c r="AY367">
        <f>survey_responses[[#This Row],[Tôi thấy Nhà nước đã giải thích rõ ràng, minh bạch về lý do và mục tiêu của việc sửa đổi thuế lần này. - HUMAN-TRU4]]</f>
        <v>6</v>
      </c>
      <c r="AZ367">
        <f t="shared" si="154"/>
        <v>0.55555555555555558</v>
      </c>
      <c r="BA367" s="32">
        <f t="shared" si="155"/>
        <v>0.66666666666666663</v>
      </c>
      <c r="BB367" s="32">
        <f t="shared" si="156"/>
        <v>0.5</v>
      </c>
      <c r="BC367" s="7">
        <f t="shared" si="157"/>
        <v>0.70370370370370372</v>
      </c>
      <c r="BD367" s="7">
        <f t="shared" si="158"/>
        <v>0.66666666666666663</v>
      </c>
      <c r="BE367">
        <f>step3_validation[[#This Row],[AI_OUT1]]</f>
        <v>7</v>
      </c>
      <c r="BF367">
        <f t="shared" si="159"/>
        <v>0.66666666666666663</v>
      </c>
      <c r="BG367">
        <f>survey_responses[[#This Row],[Sau khi xem xét các quyền lợi và nghĩa vụ, bạn có ủng hộ và tuân thủ chính sách mới hiện nay? - HUMAN-OUT1]]</f>
        <v>6</v>
      </c>
      <c r="BH367">
        <f t="shared" si="160"/>
        <v>0.55555555555555558</v>
      </c>
      <c r="BI367" s="32">
        <f t="shared" si="161"/>
        <v>1</v>
      </c>
    </row>
    <row r="368" spans="1:61" x14ac:dyDescent="0.45">
      <c r="A368" s="30">
        <f>step3_validation[[#This Row],[Persona_ID]]</f>
        <v>367</v>
      </c>
      <c r="B368" s="31">
        <f>step3_validation[[#This Row],[Used_Seed]]</f>
        <v>2392</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16.892988370761596</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5</v>
      </c>
      <c r="R368">
        <f t="shared" si="135"/>
        <v>0.44444444444444442</v>
      </c>
      <c r="S368">
        <f>survey_responses[[#This Row],[Tôi tin rằng với các quy định quản lý thuế hiện nay, hành vi gian lận hoặc trốn thuế sẽ dễ dàng bị phát hiện và xử lý nghiêm. - HUMAN-ENF1]]</f>
        <v>8</v>
      </c>
      <c r="T368">
        <f t="shared" si="136"/>
        <v>0.77777777777777779</v>
      </c>
      <c r="U368">
        <f>step3_validation[[#This Row],[AI_ENF2]]</f>
        <v>7</v>
      </c>
      <c r="V368">
        <f t="shared" si="137"/>
        <v>0.66666666666666663</v>
      </c>
      <c r="W368">
        <f>survey_responses[[#This Row],[Tôi tin rằng Nhà nước, cơ quan thuế có đủ khả năng và công nghệ để phát hiện, xử lý nghiêm các hành vi trốn thuế. - HUMAN-ENF2]]</f>
        <v>9</v>
      </c>
      <c r="X368">
        <f t="shared" si="138"/>
        <v>0.88888888888888884</v>
      </c>
      <c r="Y368" s="32">
        <f t="shared" si="139"/>
        <v>0.55555555555555558</v>
      </c>
      <c r="Z368" s="32">
        <f t="shared" si="140"/>
        <v>0.83333333333333326</v>
      </c>
      <c r="AA368">
        <f>step3_validation[[#This Row],[AI_FAC1]]</f>
        <v>8</v>
      </c>
      <c r="AB368">
        <f t="shared" si="141"/>
        <v>0.77777777777777779</v>
      </c>
      <c r="AC368">
        <f>survey_responses[[#This Row],[Các thủ tục khai báo thuế VÀ/HOẶC quy trình làm việc với cơ quan thuế đơn giản, tiện lợi, nhanh chóng hơn so với trước đây. - HUMAN-FAC1]]</f>
        <v>8</v>
      </c>
      <c r="AD368">
        <f t="shared" si="142"/>
        <v>0.77777777777777779</v>
      </c>
      <c r="AE368">
        <f>step3_validation[[#This Row],[AI_FAC2]]</f>
        <v>9</v>
      </c>
      <c r="AF368">
        <f t="shared" si="143"/>
        <v>0.88888888888888884</v>
      </c>
      <c r="AG368">
        <f>survey_responses[[#This Row],[So với trước đây, tôi thấy cách tính thuế và các bậc thuế trong phương án mới đơn giản, dễ hiểu và dễ thực hiện hơn. - HUMAN-FAC2]]</f>
        <v>8</v>
      </c>
      <c r="AH368">
        <f t="shared" si="144"/>
        <v>0.77777777777777779</v>
      </c>
      <c r="AI368" s="32">
        <f t="shared" si="145"/>
        <v>0.83333333333333326</v>
      </c>
      <c r="AJ368" s="32">
        <f t="shared" si="146"/>
        <v>0.77777777777777779</v>
      </c>
      <c r="AK368">
        <f>step3_validation[[#This Row],[AI_TRU1]]</f>
        <v>6</v>
      </c>
      <c r="AL368">
        <f t="shared" si="147"/>
        <v>0.55555555555555558</v>
      </c>
      <c r="AM368">
        <f>survey_responses[[#This Row],[Tôi tin rằng Nhà nước, cơ quan thuế sẽ thực thi chính sách mới một cách khách quan, công tâm và đối xử bình đẳng với mọi người nộp thuế.  - HUMAN-TRU1]]</f>
        <v>9</v>
      </c>
      <c r="AN368">
        <f t="shared" si="148"/>
        <v>0.88888888888888884</v>
      </c>
      <c r="AO368">
        <f>step3_validation[[#This Row],[AI_TRU2]]</f>
        <v>8</v>
      </c>
      <c r="AP368">
        <f t="shared" si="149"/>
        <v>0.77777777777777779</v>
      </c>
      <c r="AQ368">
        <f>survey_responses[[#This Row],[Tôi thấy mức thuế tôi phải đóng theo phương án mới là công bằng (người thu nhập như tôi đóng mức này là hợp lý). - HUMAN-TRU2]]</f>
        <v>10</v>
      </c>
      <c r="AR368">
        <f t="shared" si="150"/>
        <v>1</v>
      </c>
      <c r="AS368">
        <f>step3_validation[[#This Row],[AI_TRU3]]</f>
        <v>7</v>
      </c>
      <c r="AT368">
        <f t="shared" si="151"/>
        <v>0.66666666666666663</v>
      </c>
      <c r="AU368">
        <f>survey_responses[[#This Row],[Tôi tin tưởng số tiền thuế tôi đóng sẽ được Nhà nước sử dụng hiệu quả để cải thiện dịch vụ công (y tế, đường xá...). - HUMAN-TRU3]]</f>
        <v>10</v>
      </c>
      <c r="AV368">
        <f t="shared" si="152"/>
        <v>1</v>
      </c>
      <c r="AW368">
        <f>step3_validation[[#This Row],[AI_TRU4]]</f>
        <v>8</v>
      </c>
      <c r="AX368">
        <f t="shared" si="153"/>
        <v>0.77777777777777779</v>
      </c>
      <c r="AY368">
        <f>survey_responses[[#This Row],[Tôi thấy Nhà nước đã giải thích rõ ràng, minh bạch về lý do và mục tiêu của việc sửa đổi thuế lần này. - HUMAN-TRU4]]</f>
        <v>9</v>
      </c>
      <c r="AZ368">
        <f t="shared" si="154"/>
        <v>0.88888888888888884</v>
      </c>
      <c r="BA368" s="32">
        <f t="shared" si="155"/>
        <v>0.69444444444444442</v>
      </c>
      <c r="BB368" s="32">
        <f t="shared" si="156"/>
        <v>0.94444444444444442</v>
      </c>
      <c r="BC368" s="7">
        <f t="shared" si="157"/>
        <v>0.69444444444444431</v>
      </c>
      <c r="BD368" s="7">
        <f t="shared" si="158"/>
        <v>0.85185185185185175</v>
      </c>
      <c r="BE368">
        <f>step3_validation[[#This Row],[AI_OUT1]]</f>
        <v>9</v>
      </c>
      <c r="BF368">
        <f t="shared" si="159"/>
        <v>0.88888888888888884</v>
      </c>
      <c r="BG368">
        <f>survey_responses[[#This Row],[Sau khi xem xét các quyền lợi và nghĩa vụ, bạn có ủng hộ và tuân thủ chính sách mới hiện nay? - HUMAN-OUT1]]</f>
        <v>10</v>
      </c>
      <c r="BH368">
        <f t="shared" si="160"/>
        <v>1</v>
      </c>
      <c r="BI368" s="32">
        <f t="shared" si="161"/>
        <v>1</v>
      </c>
    </row>
    <row r="369" spans="1:61" x14ac:dyDescent="0.45">
      <c r="A369" s="30">
        <f>step3_validation[[#This Row],[Persona_ID]]</f>
        <v>368</v>
      </c>
      <c r="B369" s="31">
        <f>step3_validation[[#This Row],[Used_Seed]]</f>
        <v>2393</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23.605855353203044</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6</v>
      </c>
      <c r="R369">
        <f t="shared" si="135"/>
        <v>0.55555555555555558</v>
      </c>
      <c r="S369">
        <f>survey_responses[[#This Row],[Tôi tin rằng với các quy định quản lý thuế hiện nay, hành vi gian lận hoặc trốn thuế sẽ dễ dàng bị phát hiện và xử lý nghiêm. - HUMAN-ENF1]]</f>
        <v>7</v>
      </c>
      <c r="T369">
        <f t="shared" si="136"/>
        <v>0.66666666666666663</v>
      </c>
      <c r="U369">
        <f>step3_validation[[#This Row],[AI_ENF2]]</f>
        <v>8</v>
      </c>
      <c r="V369">
        <f t="shared" si="137"/>
        <v>0.77777777777777779</v>
      </c>
      <c r="W369">
        <f>survey_responses[[#This Row],[Tôi tin rằng Nhà nước, cơ quan thuế có đủ khả năng và công nghệ để phát hiện, xử lý nghiêm các hành vi trốn thuế. - HUMAN-ENF2]]</f>
        <v>7</v>
      </c>
      <c r="X369">
        <f t="shared" si="138"/>
        <v>0.66666666666666663</v>
      </c>
      <c r="Y369" s="32">
        <f t="shared" si="139"/>
        <v>0.66666666666666674</v>
      </c>
      <c r="Z369" s="32">
        <f t="shared" si="140"/>
        <v>0.66666666666666663</v>
      </c>
      <c r="AA369">
        <f>step3_validation[[#This Row],[AI_FAC1]]</f>
        <v>9</v>
      </c>
      <c r="AB369">
        <f t="shared" si="141"/>
        <v>0.88888888888888884</v>
      </c>
      <c r="AC369">
        <f>survey_responses[[#This Row],[Các thủ tục khai báo thuế VÀ/HOẶC quy trình làm việc với cơ quan thuế đơn giản, tiện lợi, nhanh chóng hơn so với trước đây. - HUMAN-FAC1]]</f>
        <v>8</v>
      </c>
      <c r="AD369">
        <f t="shared" si="142"/>
        <v>0.77777777777777779</v>
      </c>
      <c r="AE369">
        <f>step3_validation[[#This Row],[AI_FAC2]]</f>
        <v>9</v>
      </c>
      <c r="AF369">
        <f t="shared" si="143"/>
        <v>0.88888888888888884</v>
      </c>
      <c r="AG369">
        <f>survey_responses[[#This Row],[So với trước đây, tôi thấy cách tính thuế và các bậc thuế trong phương án mới đơn giản, dễ hiểu và dễ thực hiện hơn. - HUMAN-FAC2]]</f>
        <v>8</v>
      </c>
      <c r="AH369">
        <f t="shared" si="144"/>
        <v>0.77777777777777779</v>
      </c>
      <c r="AI369" s="32">
        <f t="shared" si="145"/>
        <v>0.88888888888888884</v>
      </c>
      <c r="AJ369" s="32">
        <f t="shared" si="146"/>
        <v>0.77777777777777779</v>
      </c>
      <c r="AK369">
        <f>step3_validation[[#This Row],[AI_TRU1]]</f>
        <v>8</v>
      </c>
      <c r="AL369">
        <f t="shared" si="147"/>
        <v>0.77777777777777779</v>
      </c>
      <c r="AM369">
        <f>survey_responses[[#This Row],[Tôi tin rằng Nhà nước, cơ quan thuế sẽ thực thi chính sách mới một cách khách quan, công tâm và đối xử bình đẳng với mọi người nộp thuế.  - HUMAN-TRU1]]</f>
        <v>6</v>
      </c>
      <c r="AN369">
        <f t="shared" si="148"/>
        <v>0.55555555555555558</v>
      </c>
      <c r="AO369">
        <f>step3_validation[[#This Row],[AI_TRU2]]</f>
        <v>9</v>
      </c>
      <c r="AP369">
        <f t="shared" si="149"/>
        <v>0.88888888888888884</v>
      </c>
      <c r="AQ369">
        <f>survey_responses[[#This Row],[Tôi thấy mức thuế tôi phải đóng theo phương án mới là công bằng (người thu nhập như tôi đóng mức này là hợp lý). - HUMAN-TRU2]]</f>
        <v>8</v>
      </c>
      <c r="AR369">
        <f t="shared" si="150"/>
        <v>0.77777777777777779</v>
      </c>
      <c r="AS369">
        <f>step3_validation[[#This Row],[AI_TRU3]]</f>
        <v>8</v>
      </c>
      <c r="AT369">
        <f t="shared" si="151"/>
        <v>0.77777777777777779</v>
      </c>
      <c r="AU369">
        <f>survey_responses[[#This Row],[Tôi tin tưởng số tiền thuế tôi đóng sẽ được Nhà nước sử dụng hiệu quả để cải thiện dịch vụ công (y tế, đường xá...). - HUMAN-TRU3]]</f>
        <v>6</v>
      </c>
      <c r="AV369">
        <f t="shared" si="152"/>
        <v>0.55555555555555558</v>
      </c>
      <c r="AW369">
        <f>step3_validation[[#This Row],[AI_TRU4]]</f>
        <v>9</v>
      </c>
      <c r="AX369">
        <f t="shared" si="153"/>
        <v>0.88888888888888884</v>
      </c>
      <c r="AY369">
        <f>survey_responses[[#This Row],[Tôi thấy Nhà nước đã giải thích rõ ràng, minh bạch về lý do và mục tiêu của việc sửa đổi thuế lần này. - HUMAN-TRU4]]</f>
        <v>7</v>
      </c>
      <c r="AZ369">
        <f t="shared" si="154"/>
        <v>0.66666666666666663</v>
      </c>
      <c r="BA369" s="32">
        <f t="shared" si="155"/>
        <v>0.83333333333333326</v>
      </c>
      <c r="BB369" s="32">
        <f t="shared" si="156"/>
        <v>0.63888888888888895</v>
      </c>
      <c r="BC369" s="7">
        <f t="shared" si="157"/>
        <v>0.79629629629629628</v>
      </c>
      <c r="BD369" s="7">
        <f t="shared" si="158"/>
        <v>0.69444444444444453</v>
      </c>
      <c r="BE369">
        <f>step3_validation[[#This Row],[AI_OUT1]]</f>
        <v>8</v>
      </c>
      <c r="BF369">
        <f t="shared" si="159"/>
        <v>0.77777777777777779</v>
      </c>
      <c r="BG369">
        <f>survey_responses[[#This Row],[Sau khi xem xét các quyền lợi và nghĩa vụ, bạn có ủng hộ và tuân thủ chính sách mới hiện nay? - HUMAN-OUT1]]</f>
        <v>8</v>
      </c>
      <c r="BH369">
        <f t="shared" si="160"/>
        <v>0.77777777777777779</v>
      </c>
      <c r="BI369" s="32">
        <f t="shared" si="161"/>
        <v>0</v>
      </c>
    </row>
    <row r="370" spans="1:61" x14ac:dyDescent="0.45">
      <c r="A370" s="30">
        <f>step3_validation[[#This Row],[Persona_ID]]</f>
        <v>369</v>
      </c>
      <c r="B370" s="31">
        <f>step3_validation[[#This Row],[Used_Seed]]</f>
        <v>2394</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14.720926236722081</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6</v>
      </c>
      <c r="R370">
        <f t="shared" si="135"/>
        <v>0.55555555555555558</v>
      </c>
      <c r="S370">
        <f>survey_responses[[#This Row],[Tôi tin rằng với các quy định quản lý thuế hiện nay, hành vi gian lận hoặc trốn thuế sẽ dễ dàng bị phát hiện và xử lý nghiêm. - HUMAN-ENF1]]</f>
        <v>6</v>
      </c>
      <c r="T370">
        <f t="shared" si="136"/>
        <v>0.55555555555555558</v>
      </c>
      <c r="U370">
        <f>step3_validation[[#This Row],[AI_ENF2]]</f>
        <v>7</v>
      </c>
      <c r="V370">
        <f t="shared" si="137"/>
        <v>0.66666666666666663</v>
      </c>
      <c r="W370">
        <f>survey_responses[[#This Row],[Tôi tin rằng Nhà nước, cơ quan thuế có đủ khả năng và công nghệ để phát hiện, xử lý nghiêm các hành vi trốn thuế. - HUMAN-ENF2]]</f>
        <v>6</v>
      </c>
      <c r="X370">
        <f t="shared" si="138"/>
        <v>0.55555555555555558</v>
      </c>
      <c r="Y370" s="32">
        <f t="shared" si="139"/>
        <v>0.61111111111111116</v>
      </c>
      <c r="Z370" s="32">
        <f t="shared" si="140"/>
        <v>0.55555555555555558</v>
      </c>
      <c r="AA370">
        <f>step3_validation[[#This Row],[AI_FAC1]]</f>
        <v>9</v>
      </c>
      <c r="AB370">
        <f t="shared" si="141"/>
        <v>0.88888888888888884</v>
      </c>
      <c r="AC370">
        <f>survey_responses[[#This Row],[Các thủ tục khai báo thuế VÀ/HOẶC quy trình làm việc với cơ quan thuế đơn giản, tiện lợi, nhanh chóng hơn so với trước đây. - HUMAN-FAC1]]</f>
        <v>8</v>
      </c>
      <c r="AD370">
        <f t="shared" si="142"/>
        <v>0.77777777777777779</v>
      </c>
      <c r="AE370">
        <f>step3_validation[[#This Row],[AI_FAC2]]</f>
        <v>8</v>
      </c>
      <c r="AF370">
        <f t="shared" si="143"/>
        <v>0.77777777777777779</v>
      </c>
      <c r="AG370">
        <f>survey_responses[[#This Row],[So với trước đây, tôi thấy cách tính thuế và các bậc thuế trong phương án mới đơn giản, dễ hiểu và dễ thực hiện hơn. - HUMAN-FAC2]]</f>
        <v>9</v>
      </c>
      <c r="AH370">
        <f t="shared" si="144"/>
        <v>0.88888888888888884</v>
      </c>
      <c r="AI370" s="32">
        <f t="shared" si="145"/>
        <v>0.83333333333333326</v>
      </c>
      <c r="AJ370" s="32">
        <f t="shared" si="146"/>
        <v>0.83333333333333326</v>
      </c>
      <c r="AK370">
        <f>step3_validation[[#This Row],[AI_TRU1]]</f>
        <v>7</v>
      </c>
      <c r="AL370">
        <f t="shared" si="147"/>
        <v>0.66666666666666663</v>
      </c>
      <c r="AM370">
        <f>survey_responses[[#This Row],[Tôi tin rằng Nhà nước, cơ quan thuế sẽ thực thi chính sách mới một cách khách quan, công tâm và đối xử bình đẳng với mọi người nộp thuế.  - HUMAN-TRU1]]</f>
        <v>8</v>
      </c>
      <c r="AN370">
        <f t="shared" si="148"/>
        <v>0.77777777777777779</v>
      </c>
      <c r="AO370">
        <f>step3_validation[[#This Row],[AI_TRU2]]</f>
        <v>8</v>
      </c>
      <c r="AP370">
        <f t="shared" si="149"/>
        <v>0.77777777777777779</v>
      </c>
      <c r="AQ370">
        <f>survey_responses[[#This Row],[Tôi thấy mức thuế tôi phải đóng theo phương án mới là công bằng (người thu nhập như tôi đóng mức này là hợp lý). - HUMAN-TRU2]]</f>
        <v>8</v>
      </c>
      <c r="AR370">
        <f t="shared" si="150"/>
        <v>0.77777777777777779</v>
      </c>
      <c r="AS370">
        <f>step3_validation[[#This Row],[AI_TRU3]]</f>
        <v>7</v>
      </c>
      <c r="AT370">
        <f t="shared" si="151"/>
        <v>0.66666666666666663</v>
      </c>
      <c r="AU370">
        <f>survey_responses[[#This Row],[Tôi tin tưởng số tiền thuế tôi đóng sẽ được Nhà nước sử dụng hiệu quả để cải thiện dịch vụ công (y tế, đường xá...). - HUMAN-TRU3]]</f>
        <v>5</v>
      </c>
      <c r="AV370">
        <f t="shared" si="152"/>
        <v>0.44444444444444442</v>
      </c>
      <c r="AW370">
        <f>step3_validation[[#This Row],[AI_TRU4]]</f>
        <v>8</v>
      </c>
      <c r="AX370">
        <f t="shared" si="153"/>
        <v>0.77777777777777779</v>
      </c>
      <c r="AY370">
        <f>survey_responses[[#This Row],[Tôi thấy Nhà nước đã giải thích rõ ràng, minh bạch về lý do và mục tiêu của việc sửa đổi thuế lần này. - HUMAN-TRU4]]</f>
        <v>7</v>
      </c>
      <c r="AZ370">
        <f t="shared" si="154"/>
        <v>0.66666666666666663</v>
      </c>
      <c r="BA370" s="32">
        <f t="shared" si="155"/>
        <v>0.72222222222222221</v>
      </c>
      <c r="BB370" s="32">
        <f t="shared" si="156"/>
        <v>0.66666666666666663</v>
      </c>
      <c r="BC370" s="7">
        <f t="shared" si="157"/>
        <v>0.72222222222222221</v>
      </c>
      <c r="BD370" s="7">
        <f t="shared" si="158"/>
        <v>0.68518518518518512</v>
      </c>
      <c r="BE370">
        <f>step3_validation[[#This Row],[AI_OUT1]]</f>
        <v>9</v>
      </c>
      <c r="BF370">
        <f t="shared" si="159"/>
        <v>0.88888888888888884</v>
      </c>
      <c r="BG370">
        <f>survey_responses[[#This Row],[Sau khi xem xét các quyền lợi và nghĩa vụ, bạn có ủng hộ và tuân thủ chính sách mới hiện nay? - HUMAN-OUT1]]</f>
        <v>8</v>
      </c>
      <c r="BH370">
        <f t="shared" si="160"/>
        <v>0.77777777777777779</v>
      </c>
      <c r="BI370" s="32">
        <f t="shared" si="161"/>
        <v>1</v>
      </c>
    </row>
    <row r="371" spans="1:61" x14ac:dyDescent="0.45">
      <c r="A371" s="30">
        <f>step3_validation[[#This Row],[Persona_ID]]</f>
        <v>370</v>
      </c>
      <c r="B371" s="31">
        <f>step3_validation[[#This Row],[Used_Seed]]</f>
        <v>2395</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19.607543896702424</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7</v>
      </c>
      <c r="R371">
        <f t="shared" si="135"/>
        <v>0.66666666666666663</v>
      </c>
      <c r="S371">
        <f>survey_responses[[#This Row],[Tôi tin rằng với các quy định quản lý thuế hiện nay, hành vi gian lận hoặc trốn thuế sẽ dễ dàng bị phát hiện và xử lý nghiêm. - HUMAN-ENF1]]</f>
        <v>6</v>
      </c>
      <c r="T371">
        <f t="shared" si="136"/>
        <v>0.55555555555555558</v>
      </c>
      <c r="U371">
        <f>step3_validation[[#This Row],[AI_ENF2]]</f>
        <v>8</v>
      </c>
      <c r="V371">
        <f t="shared" si="137"/>
        <v>0.77777777777777779</v>
      </c>
      <c r="W371">
        <f>survey_responses[[#This Row],[Tôi tin rằng Nhà nước, cơ quan thuế có đủ khả năng và công nghệ để phát hiện, xử lý nghiêm các hành vi trốn thuế. - HUMAN-ENF2]]</f>
        <v>7</v>
      </c>
      <c r="X371">
        <f t="shared" si="138"/>
        <v>0.66666666666666663</v>
      </c>
      <c r="Y371" s="32">
        <f t="shared" si="139"/>
        <v>0.72222222222222221</v>
      </c>
      <c r="Z371" s="32">
        <f t="shared" si="140"/>
        <v>0.61111111111111116</v>
      </c>
      <c r="AA371">
        <f>step3_validation[[#This Row],[AI_FAC1]]</f>
        <v>6</v>
      </c>
      <c r="AB371">
        <f t="shared" si="141"/>
        <v>0.55555555555555558</v>
      </c>
      <c r="AC371">
        <f>survey_responses[[#This Row],[Các thủ tục khai báo thuế VÀ/HOẶC quy trình làm việc với cơ quan thuế đơn giản, tiện lợi, nhanh chóng hơn so với trước đây. - HUMAN-FAC1]]</f>
        <v>7</v>
      </c>
      <c r="AD371">
        <f t="shared" si="142"/>
        <v>0.66666666666666663</v>
      </c>
      <c r="AE371">
        <f>step3_validation[[#This Row],[AI_FAC2]]</f>
        <v>9</v>
      </c>
      <c r="AF371">
        <f t="shared" si="143"/>
        <v>0.88888888888888884</v>
      </c>
      <c r="AG371">
        <f>survey_responses[[#This Row],[So với trước đây, tôi thấy cách tính thuế và các bậc thuế trong phương án mới đơn giản, dễ hiểu và dễ thực hiện hơn. - HUMAN-FAC2]]</f>
        <v>9</v>
      </c>
      <c r="AH371">
        <f t="shared" si="144"/>
        <v>0.88888888888888884</v>
      </c>
      <c r="AI371" s="32">
        <f t="shared" si="145"/>
        <v>0.72222222222222221</v>
      </c>
      <c r="AJ371" s="32">
        <f t="shared" si="146"/>
        <v>0.77777777777777768</v>
      </c>
      <c r="AK371">
        <f>step3_validation[[#This Row],[AI_TRU1]]</f>
        <v>8</v>
      </c>
      <c r="AL371">
        <f t="shared" si="147"/>
        <v>0.77777777777777779</v>
      </c>
      <c r="AM371">
        <f>survey_responses[[#This Row],[Tôi tin rằng Nhà nước, cơ quan thuế sẽ thực thi chính sách mới một cách khách quan, công tâm và đối xử bình đẳng với mọi người nộp thuế.  - HUMAN-TRU1]]</f>
        <v>7</v>
      </c>
      <c r="AN371">
        <f t="shared" si="148"/>
        <v>0.66666666666666663</v>
      </c>
      <c r="AO371">
        <f>step3_validation[[#This Row],[AI_TRU2]]</f>
        <v>9</v>
      </c>
      <c r="AP371">
        <f t="shared" si="149"/>
        <v>0.88888888888888884</v>
      </c>
      <c r="AQ371">
        <f>survey_responses[[#This Row],[Tôi thấy mức thuế tôi phải đóng theo phương án mới là công bằng (người thu nhập như tôi đóng mức này là hợp lý). - HUMAN-TRU2]]</f>
        <v>9</v>
      </c>
      <c r="AR371">
        <f t="shared" si="150"/>
        <v>0.88888888888888884</v>
      </c>
      <c r="AS371">
        <f>step3_validation[[#This Row],[AI_TRU3]]</f>
        <v>8</v>
      </c>
      <c r="AT371">
        <f t="shared" si="151"/>
        <v>0.77777777777777779</v>
      </c>
      <c r="AU371">
        <f>survey_responses[[#This Row],[Tôi tin tưởng số tiền thuế tôi đóng sẽ được Nhà nước sử dụng hiệu quả để cải thiện dịch vụ công (y tế, đường xá...). - HUMAN-TRU3]]</f>
        <v>9</v>
      </c>
      <c r="AV371">
        <f t="shared" si="152"/>
        <v>0.88888888888888884</v>
      </c>
      <c r="AW371">
        <f>step3_validation[[#This Row],[AI_TRU4]]</f>
        <v>7</v>
      </c>
      <c r="AX371">
        <f t="shared" si="153"/>
        <v>0.66666666666666663</v>
      </c>
      <c r="AY371">
        <f>survey_responses[[#This Row],[Tôi thấy Nhà nước đã giải thích rõ ràng, minh bạch về lý do và mục tiêu của việc sửa đổi thuế lần này. - HUMAN-TRU4]]</f>
        <v>9</v>
      </c>
      <c r="AZ371">
        <f t="shared" si="154"/>
        <v>0.88888888888888884</v>
      </c>
      <c r="BA371" s="32">
        <f t="shared" si="155"/>
        <v>0.77777777777777768</v>
      </c>
      <c r="BB371" s="32">
        <f t="shared" si="156"/>
        <v>0.83333333333333326</v>
      </c>
      <c r="BC371" s="7">
        <f t="shared" si="157"/>
        <v>0.74074074074074081</v>
      </c>
      <c r="BD371" s="7">
        <f t="shared" si="158"/>
        <v>0.74074074074074081</v>
      </c>
      <c r="BE371">
        <f>step3_validation[[#This Row],[AI_OUT1]]</f>
        <v>9</v>
      </c>
      <c r="BF371">
        <f t="shared" si="159"/>
        <v>0.88888888888888884</v>
      </c>
      <c r="BG371">
        <f>survey_responses[[#This Row],[Sau khi xem xét các quyền lợi và nghĩa vụ, bạn có ủng hộ và tuân thủ chính sách mới hiện nay? - HUMAN-OUT1]]</f>
        <v>9</v>
      </c>
      <c r="BH371">
        <f t="shared" si="160"/>
        <v>0.88888888888888884</v>
      </c>
      <c r="BI371" s="32">
        <f t="shared" si="161"/>
        <v>0</v>
      </c>
    </row>
    <row r="372" spans="1:61" x14ac:dyDescent="0.45">
      <c r="A372" s="30">
        <f>step3_validation[[#This Row],[Persona_ID]]</f>
        <v>371</v>
      </c>
      <c r="B372" s="31">
        <f>step3_validation[[#This Row],[Used_Seed]]</f>
        <v>2396</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62.611071015687976</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8</v>
      </c>
      <c r="R372">
        <f t="shared" si="135"/>
        <v>0.77777777777777779</v>
      </c>
      <c r="S372">
        <f>survey_responses[[#This Row],[Tôi tin rằng với các quy định quản lý thuế hiện nay, hành vi gian lận hoặc trốn thuế sẽ dễ dàng bị phát hiện và xử lý nghiêm. - HUMAN-ENF1]]</f>
        <v>4</v>
      </c>
      <c r="T372">
        <f t="shared" si="136"/>
        <v>0.33333333333333331</v>
      </c>
      <c r="U372">
        <f>step3_validation[[#This Row],[AI_ENF2]]</f>
        <v>8</v>
      </c>
      <c r="V372">
        <f t="shared" si="137"/>
        <v>0.77777777777777779</v>
      </c>
      <c r="W372">
        <f>survey_responses[[#This Row],[Tôi tin rằng Nhà nước, cơ quan thuế có đủ khả năng và công nghệ để phát hiện, xử lý nghiêm các hành vi trốn thuế. - HUMAN-ENF2]]</f>
        <v>4</v>
      </c>
      <c r="X372">
        <f t="shared" si="138"/>
        <v>0.33333333333333331</v>
      </c>
      <c r="Y372" s="32">
        <f t="shared" si="139"/>
        <v>0.77777777777777779</v>
      </c>
      <c r="Z372" s="32">
        <f t="shared" si="140"/>
        <v>0.33333333333333331</v>
      </c>
      <c r="AA372">
        <f>step3_validation[[#This Row],[AI_FAC1]]</f>
        <v>7</v>
      </c>
      <c r="AB372">
        <f t="shared" si="141"/>
        <v>0.66666666666666663</v>
      </c>
      <c r="AC372">
        <f>survey_responses[[#This Row],[Các thủ tục khai báo thuế VÀ/HOẶC quy trình làm việc với cơ quan thuế đơn giản, tiện lợi, nhanh chóng hơn so với trước đây. - HUMAN-FAC1]]</f>
        <v>5</v>
      </c>
      <c r="AD372">
        <f t="shared" si="142"/>
        <v>0.44444444444444442</v>
      </c>
      <c r="AE372">
        <f>step3_validation[[#This Row],[AI_FAC2]]</f>
        <v>9</v>
      </c>
      <c r="AF372">
        <f t="shared" si="143"/>
        <v>0.88888888888888884</v>
      </c>
      <c r="AG372">
        <f>survey_responses[[#This Row],[So với trước đây, tôi thấy cách tính thuế và các bậc thuế trong phương án mới đơn giản, dễ hiểu và dễ thực hiện hơn. - HUMAN-FAC2]]</f>
        <v>5</v>
      </c>
      <c r="AH372">
        <f t="shared" si="144"/>
        <v>0.44444444444444442</v>
      </c>
      <c r="AI372" s="32">
        <f t="shared" si="145"/>
        <v>0.77777777777777768</v>
      </c>
      <c r="AJ372" s="32">
        <f t="shared" si="146"/>
        <v>0.44444444444444442</v>
      </c>
      <c r="AK372">
        <f>step3_validation[[#This Row],[AI_TRU1]]</f>
        <v>8</v>
      </c>
      <c r="AL372">
        <f t="shared" si="147"/>
        <v>0.77777777777777779</v>
      </c>
      <c r="AM372">
        <f>survey_responses[[#This Row],[Tôi tin rằng Nhà nước, cơ quan thuế sẽ thực thi chính sách mới một cách khách quan, công tâm và đối xử bình đẳng với mọi người nộp thuế.  - HUMAN-TRU1]]</f>
        <v>5</v>
      </c>
      <c r="AN372">
        <f t="shared" si="148"/>
        <v>0.44444444444444442</v>
      </c>
      <c r="AO372">
        <f>step3_validation[[#This Row],[AI_TRU2]]</f>
        <v>9</v>
      </c>
      <c r="AP372">
        <f t="shared" si="149"/>
        <v>0.88888888888888884</v>
      </c>
      <c r="AQ372">
        <f>survey_responses[[#This Row],[Tôi thấy mức thuế tôi phải đóng theo phương án mới là công bằng (người thu nhập như tôi đóng mức này là hợp lý). - HUMAN-TRU2]]</f>
        <v>4</v>
      </c>
      <c r="AR372">
        <f t="shared" si="150"/>
        <v>0.33333333333333331</v>
      </c>
      <c r="AS372">
        <f>step3_validation[[#This Row],[AI_TRU3]]</f>
        <v>8</v>
      </c>
      <c r="AT372">
        <f t="shared" si="151"/>
        <v>0.77777777777777779</v>
      </c>
      <c r="AU372">
        <f>survey_responses[[#This Row],[Tôi tin tưởng số tiền thuế tôi đóng sẽ được Nhà nước sử dụng hiệu quả để cải thiện dịch vụ công (y tế, đường xá...). - HUMAN-TRU3]]</f>
        <v>5</v>
      </c>
      <c r="AV372">
        <f t="shared" si="152"/>
        <v>0.44444444444444442</v>
      </c>
      <c r="AW372">
        <f>step3_validation[[#This Row],[AI_TRU4]]</f>
        <v>7</v>
      </c>
      <c r="AX372">
        <f t="shared" si="153"/>
        <v>0.66666666666666663</v>
      </c>
      <c r="AY372">
        <f>survey_responses[[#This Row],[Tôi thấy Nhà nước đã giải thích rõ ràng, minh bạch về lý do và mục tiêu của việc sửa đổi thuế lần này. - HUMAN-TRU4]]</f>
        <v>6</v>
      </c>
      <c r="AZ372">
        <f t="shared" si="154"/>
        <v>0.55555555555555558</v>
      </c>
      <c r="BA372" s="32">
        <f t="shared" si="155"/>
        <v>0.77777777777777768</v>
      </c>
      <c r="BB372" s="32">
        <f t="shared" si="156"/>
        <v>0.44444444444444442</v>
      </c>
      <c r="BC372" s="7">
        <f t="shared" si="157"/>
        <v>0.77777777777777768</v>
      </c>
      <c r="BD372" s="7">
        <f t="shared" si="158"/>
        <v>0.40740740740740738</v>
      </c>
      <c r="BE372">
        <f>step3_validation[[#This Row],[AI_OUT1]]</f>
        <v>8</v>
      </c>
      <c r="BF372">
        <f t="shared" si="159"/>
        <v>0.77777777777777779</v>
      </c>
      <c r="BG372">
        <f>survey_responses[[#This Row],[Sau khi xem xét các quyền lợi và nghĩa vụ, bạn có ủng hộ và tuân thủ chính sách mới hiện nay? - HUMAN-OUT1]]</f>
        <v>5</v>
      </c>
      <c r="BH372">
        <f t="shared" si="160"/>
        <v>0.44444444444444442</v>
      </c>
      <c r="BI372" s="32">
        <f t="shared" si="161"/>
        <v>3</v>
      </c>
    </row>
    <row r="373" spans="1:61" x14ac:dyDescent="0.45">
      <c r="A373" s="30">
        <f>step3_validation[[#This Row],[Persona_ID]]</f>
        <v>372</v>
      </c>
      <c r="B373" s="31">
        <f>step3_validation[[#This Row],[Used_Seed]]</f>
        <v>2397</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37.671974355279495</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6</v>
      </c>
      <c r="R373">
        <f t="shared" si="135"/>
        <v>0.55555555555555558</v>
      </c>
      <c r="S373">
        <f>survey_responses[[#This Row],[Tôi tin rằng với các quy định quản lý thuế hiện nay, hành vi gian lận hoặc trốn thuế sẽ dễ dàng bị phát hiện và xử lý nghiêm. - HUMAN-ENF1]]</f>
        <v>6</v>
      </c>
      <c r="T373">
        <f t="shared" si="136"/>
        <v>0.55555555555555558</v>
      </c>
      <c r="U373">
        <f>step3_validation[[#This Row],[AI_ENF2]]</f>
        <v>7</v>
      </c>
      <c r="V373">
        <f t="shared" si="137"/>
        <v>0.66666666666666663</v>
      </c>
      <c r="W373">
        <f>survey_responses[[#This Row],[Tôi tin rằng Nhà nước, cơ quan thuế có đủ khả năng và công nghệ để phát hiện, xử lý nghiêm các hành vi trốn thuế. - HUMAN-ENF2]]</f>
        <v>6</v>
      </c>
      <c r="X373">
        <f t="shared" si="138"/>
        <v>0.55555555555555558</v>
      </c>
      <c r="Y373" s="32">
        <f t="shared" si="139"/>
        <v>0.61111111111111116</v>
      </c>
      <c r="Z373" s="32">
        <f t="shared" si="140"/>
        <v>0.55555555555555558</v>
      </c>
      <c r="AA373">
        <f>step3_validation[[#This Row],[AI_FAC1]]</f>
        <v>8</v>
      </c>
      <c r="AB373">
        <f t="shared" si="141"/>
        <v>0.77777777777777779</v>
      </c>
      <c r="AC373">
        <f>survey_responses[[#This Row],[Các thủ tục khai báo thuế VÀ/HOẶC quy trình làm việc với cơ quan thuế đơn giản, tiện lợi, nhanh chóng hơn so với trước đây. - HUMAN-FAC1]]</f>
        <v>8</v>
      </c>
      <c r="AD373">
        <f t="shared" si="142"/>
        <v>0.77777777777777779</v>
      </c>
      <c r="AE373">
        <f>step3_validation[[#This Row],[AI_FAC2]]</f>
        <v>9</v>
      </c>
      <c r="AF373">
        <f t="shared" si="143"/>
        <v>0.88888888888888884</v>
      </c>
      <c r="AG373">
        <f>survey_responses[[#This Row],[So với trước đây, tôi thấy cách tính thuế và các bậc thuế trong phương án mới đơn giản, dễ hiểu và dễ thực hiện hơn. - HUMAN-FAC2]]</f>
        <v>8</v>
      </c>
      <c r="AH373">
        <f t="shared" si="144"/>
        <v>0.77777777777777779</v>
      </c>
      <c r="AI373" s="32">
        <f t="shared" si="145"/>
        <v>0.83333333333333326</v>
      </c>
      <c r="AJ373" s="32">
        <f t="shared" si="146"/>
        <v>0.77777777777777779</v>
      </c>
      <c r="AK373">
        <f>step3_validation[[#This Row],[AI_TRU1]]</f>
        <v>7</v>
      </c>
      <c r="AL373">
        <f t="shared" si="147"/>
        <v>0.66666666666666663</v>
      </c>
      <c r="AM373">
        <f>survey_responses[[#This Row],[Tôi tin rằng Nhà nước, cơ quan thuế sẽ thực thi chính sách mới một cách khách quan, công tâm và đối xử bình đẳng với mọi người nộp thuế.  - HUMAN-TRU1]]</f>
        <v>6</v>
      </c>
      <c r="AN373">
        <f t="shared" si="148"/>
        <v>0.55555555555555558</v>
      </c>
      <c r="AO373">
        <f>step3_validation[[#This Row],[AI_TRU2]]</f>
        <v>9</v>
      </c>
      <c r="AP373">
        <f t="shared" si="149"/>
        <v>0.88888888888888884</v>
      </c>
      <c r="AQ373">
        <f>survey_responses[[#This Row],[Tôi thấy mức thuế tôi phải đóng theo phương án mới là công bằng (người thu nhập như tôi đóng mức này là hợp lý). - HUMAN-TRU2]]</f>
        <v>7</v>
      </c>
      <c r="AR373">
        <f t="shared" si="150"/>
        <v>0.66666666666666663</v>
      </c>
      <c r="AS373">
        <f>step3_validation[[#This Row],[AI_TRU3]]</f>
        <v>6</v>
      </c>
      <c r="AT373">
        <f t="shared" si="151"/>
        <v>0.55555555555555558</v>
      </c>
      <c r="AU373">
        <f>survey_responses[[#This Row],[Tôi tin tưởng số tiền thuế tôi đóng sẽ được Nhà nước sử dụng hiệu quả để cải thiện dịch vụ công (y tế, đường xá...). - HUMAN-TRU3]]</f>
        <v>5</v>
      </c>
      <c r="AV373">
        <f t="shared" si="152"/>
        <v>0.44444444444444442</v>
      </c>
      <c r="AW373">
        <f>step3_validation[[#This Row],[AI_TRU4]]</f>
        <v>8</v>
      </c>
      <c r="AX373">
        <f t="shared" si="153"/>
        <v>0.77777777777777779</v>
      </c>
      <c r="AY373">
        <f>survey_responses[[#This Row],[Tôi thấy Nhà nước đã giải thích rõ ràng, minh bạch về lý do và mục tiêu của việc sửa đổi thuế lần này. - HUMAN-TRU4]]</f>
        <v>6</v>
      </c>
      <c r="AZ373">
        <f t="shared" si="154"/>
        <v>0.55555555555555558</v>
      </c>
      <c r="BA373" s="32">
        <f t="shared" si="155"/>
        <v>0.7222222222222221</v>
      </c>
      <c r="BB373" s="32">
        <f t="shared" si="156"/>
        <v>0.55555555555555558</v>
      </c>
      <c r="BC373" s="7">
        <f t="shared" si="157"/>
        <v>0.72222222222222221</v>
      </c>
      <c r="BD373" s="7">
        <f t="shared" si="158"/>
        <v>0.62962962962962965</v>
      </c>
      <c r="BE373">
        <f>step3_validation[[#This Row],[AI_OUT1]]</f>
        <v>9</v>
      </c>
      <c r="BF373">
        <f t="shared" si="159"/>
        <v>0.88888888888888884</v>
      </c>
      <c r="BG373">
        <f>survey_responses[[#This Row],[Sau khi xem xét các quyền lợi và nghĩa vụ, bạn có ủng hộ và tuân thủ chính sách mới hiện nay? - HUMAN-OUT1]]</f>
        <v>6</v>
      </c>
      <c r="BH373">
        <f t="shared" si="160"/>
        <v>0.55555555555555558</v>
      </c>
      <c r="BI373" s="32">
        <f t="shared" si="161"/>
        <v>3</v>
      </c>
    </row>
    <row r="374" spans="1:61" x14ac:dyDescent="0.45">
      <c r="A374" s="30">
        <f>step3_validation[[#This Row],[Persona_ID]]</f>
        <v>373</v>
      </c>
      <c r="B374" s="31">
        <f>step3_validation[[#This Row],[Used_Seed]]</f>
        <v>2398</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91.149672375335228</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8</v>
      </c>
      <c r="R374">
        <f t="shared" si="135"/>
        <v>0.77777777777777779</v>
      </c>
      <c r="S374">
        <f>survey_responses[[#This Row],[Tôi tin rằng với các quy định quản lý thuế hiện nay, hành vi gian lận hoặc trốn thuế sẽ dễ dàng bị phát hiện và xử lý nghiêm. - HUMAN-ENF1]]</f>
        <v>8</v>
      </c>
      <c r="T374">
        <f t="shared" si="136"/>
        <v>0.77777777777777779</v>
      </c>
      <c r="U374">
        <f>step3_validation[[#This Row],[AI_ENF2]]</f>
        <v>7</v>
      </c>
      <c r="V374">
        <f t="shared" si="137"/>
        <v>0.66666666666666663</v>
      </c>
      <c r="W374">
        <f>survey_responses[[#This Row],[Tôi tin rằng Nhà nước, cơ quan thuế có đủ khả năng và công nghệ để phát hiện, xử lý nghiêm các hành vi trốn thuế. - HUMAN-ENF2]]</f>
        <v>8</v>
      </c>
      <c r="X374">
        <f t="shared" si="138"/>
        <v>0.77777777777777779</v>
      </c>
      <c r="Y374" s="32">
        <f t="shared" si="139"/>
        <v>0.72222222222222221</v>
      </c>
      <c r="Z374" s="32">
        <f t="shared" si="140"/>
        <v>0.77777777777777779</v>
      </c>
      <c r="AA374">
        <f>step3_validation[[#This Row],[AI_FAC1]]</f>
        <v>9</v>
      </c>
      <c r="AB374">
        <f t="shared" si="141"/>
        <v>0.88888888888888884</v>
      </c>
      <c r="AC374">
        <f>survey_responses[[#This Row],[Các thủ tục khai báo thuế VÀ/HOẶC quy trình làm việc với cơ quan thuế đơn giản, tiện lợi, nhanh chóng hơn so với trước đây. - HUMAN-FAC1]]</f>
        <v>9</v>
      </c>
      <c r="AD374">
        <f t="shared" si="142"/>
        <v>0.88888888888888884</v>
      </c>
      <c r="AE374">
        <f>step3_validation[[#This Row],[AI_FAC2]]</f>
        <v>8</v>
      </c>
      <c r="AF374">
        <f t="shared" si="143"/>
        <v>0.77777777777777779</v>
      </c>
      <c r="AG374">
        <f>survey_responses[[#This Row],[So với trước đây, tôi thấy cách tính thuế và các bậc thuế trong phương án mới đơn giản, dễ hiểu và dễ thực hiện hơn. - HUMAN-FAC2]]</f>
        <v>9</v>
      </c>
      <c r="AH374">
        <f t="shared" si="144"/>
        <v>0.88888888888888884</v>
      </c>
      <c r="AI374" s="32">
        <f t="shared" si="145"/>
        <v>0.83333333333333326</v>
      </c>
      <c r="AJ374" s="32">
        <f t="shared" si="146"/>
        <v>0.88888888888888884</v>
      </c>
      <c r="AK374">
        <f>step3_validation[[#This Row],[AI_TRU1]]</f>
        <v>7</v>
      </c>
      <c r="AL374">
        <f t="shared" si="147"/>
        <v>0.66666666666666663</v>
      </c>
      <c r="AM374">
        <f>survey_responses[[#This Row],[Tôi tin rằng Nhà nước, cơ quan thuế sẽ thực thi chính sách mới một cách khách quan, công tâm và đối xử bình đẳng với mọi người nộp thuế.  - HUMAN-TRU1]]</f>
        <v>5</v>
      </c>
      <c r="AN374">
        <f t="shared" si="148"/>
        <v>0.44444444444444442</v>
      </c>
      <c r="AO374">
        <f>step3_validation[[#This Row],[AI_TRU2]]</f>
        <v>9</v>
      </c>
      <c r="AP374">
        <f t="shared" si="149"/>
        <v>0.88888888888888884</v>
      </c>
      <c r="AQ374">
        <f>survey_responses[[#This Row],[Tôi thấy mức thuế tôi phải đóng theo phương án mới là công bằng (người thu nhập như tôi đóng mức này là hợp lý). - HUMAN-TRU2]]</f>
        <v>5</v>
      </c>
      <c r="AR374">
        <f t="shared" si="150"/>
        <v>0.44444444444444442</v>
      </c>
      <c r="AS374">
        <f>step3_validation[[#This Row],[AI_TRU3]]</f>
        <v>8</v>
      </c>
      <c r="AT374">
        <f t="shared" si="151"/>
        <v>0.77777777777777779</v>
      </c>
      <c r="AU374">
        <f>survey_responses[[#This Row],[Tôi tin tưởng số tiền thuế tôi đóng sẽ được Nhà nước sử dụng hiệu quả để cải thiện dịch vụ công (y tế, đường xá...). - HUMAN-TRU3]]</f>
        <v>5</v>
      </c>
      <c r="AV374">
        <f t="shared" si="152"/>
        <v>0.44444444444444442</v>
      </c>
      <c r="AW374">
        <f>step3_validation[[#This Row],[AI_TRU4]]</f>
        <v>7</v>
      </c>
      <c r="AX374">
        <f t="shared" si="153"/>
        <v>0.66666666666666663</v>
      </c>
      <c r="AY374">
        <f>survey_responses[[#This Row],[Tôi thấy Nhà nước đã giải thích rõ ràng, minh bạch về lý do và mục tiêu của việc sửa đổi thuế lần này. - HUMAN-TRU4]]</f>
        <v>6</v>
      </c>
      <c r="AZ374">
        <f t="shared" si="154"/>
        <v>0.55555555555555558</v>
      </c>
      <c r="BA374" s="32">
        <f t="shared" si="155"/>
        <v>0.74999999999999989</v>
      </c>
      <c r="BB374" s="32">
        <f t="shared" si="156"/>
        <v>0.47222222222222221</v>
      </c>
      <c r="BC374" s="7">
        <f t="shared" si="157"/>
        <v>0.76851851851851849</v>
      </c>
      <c r="BD374" s="7">
        <f t="shared" si="158"/>
        <v>0.71296296296296291</v>
      </c>
      <c r="BE374">
        <f>step3_validation[[#This Row],[AI_OUT1]]</f>
        <v>9</v>
      </c>
      <c r="BF374">
        <f t="shared" si="159"/>
        <v>0.88888888888888884</v>
      </c>
      <c r="BG374">
        <f>survey_responses[[#This Row],[Sau khi xem xét các quyền lợi và nghĩa vụ, bạn có ủng hộ và tuân thủ chính sách mới hiện nay? - HUMAN-OUT1]]</f>
        <v>5</v>
      </c>
      <c r="BH374">
        <f t="shared" si="160"/>
        <v>0.44444444444444442</v>
      </c>
      <c r="BI374" s="32">
        <f t="shared" si="161"/>
        <v>4</v>
      </c>
    </row>
    <row r="375" spans="1:61" x14ac:dyDescent="0.45">
      <c r="A375" s="30">
        <f>step3_validation[[#This Row],[Persona_ID]]</f>
        <v>374</v>
      </c>
      <c r="B375" s="31">
        <f>step3_validation[[#This Row],[Used_Seed]]</f>
        <v>2399</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45.005889833381801</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6</v>
      </c>
      <c r="R375">
        <f t="shared" si="135"/>
        <v>0.55555555555555558</v>
      </c>
      <c r="S375">
        <f>survey_responses[[#This Row],[Tôi tin rằng với các quy định quản lý thuế hiện nay, hành vi gian lận hoặc trốn thuế sẽ dễ dàng bị phát hiện và xử lý nghiêm. - HUMAN-ENF1]]</f>
        <v>6</v>
      </c>
      <c r="T375">
        <f t="shared" si="136"/>
        <v>0.55555555555555558</v>
      </c>
      <c r="U375">
        <f>step3_validation[[#This Row],[AI_ENF2]]</f>
        <v>5</v>
      </c>
      <c r="V375">
        <f t="shared" si="137"/>
        <v>0.44444444444444442</v>
      </c>
      <c r="W375">
        <f>survey_responses[[#This Row],[Tôi tin rằng Nhà nước, cơ quan thuế có đủ khả năng và công nghệ để phát hiện, xử lý nghiêm các hành vi trốn thuế. - HUMAN-ENF2]]</f>
        <v>6</v>
      </c>
      <c r="X375">
        <f t="shared" si="138"/>
        <v>0.55555555555555558</v>
      </c>
      <c r="Y375" s="32">
        <f t="shared" si="139"/>
        <v>0.5</v>
      </c>
      <c r="Z375" s="32">
        <f t="shared" si="140"/>
        <v>0.55555555555555558</v>
      </c>
      <c r="AA375">
        <f>step3_validation[[#This Row],[AI_FAC1]]</f>
        <v>7</v>
      </c>
      <c r="AB375">
        <f t="shared" si="141"/>
        <v>0.66666666666666663</v>
      </c>
      <c r="AC375">
        <f>survey_responses[[#This Row],[Các thủ tục khai báo thuế VÀ/HOẶC quy trình làm việc với cơ quan thuế đơn giản, tiện lợi, nhanh chóng hơn so với trước đây. - HUMAN-FAC1]]</f>
        <v>7</v>
      </c>
      <c r="AD375">
        <f t="shared" si="142"/>
        <v>0.66666666666666663</v>
      </c>
      <c r="AE375">
        <f>step3_validation[[#This Row],[AI_FAC2]]</f>
        <v>9</v>
      </c>
      <c r="AF375">
        <f t="shared" si="143"/>
        <v>0.88888888888888884</v>
      </c>
      <c r="AG375">
        <f>survey_responses[[#This Row],[So với trước đây, tôi thấy cách tính thuế và các bậc thuế trong phương án mới đơn giản, dễ hiểu và dễ thực hiện hơn. - HUMAN-FAC2]]</f>
        <v>7</v>
      </c>
      <c r="AH375">
        <f t="shared" si="144"/>
        <v>0.66666666666666663</v>
      </c>
      <c r="AI375" s="32">
        <f t="shared" si="145"/>
        <v>0.77777777777777768</v>
      </c>
      <c r="AJ375" s="32">
        <f t="shared" si="146"/>
        <v>0.66666666666666663</v>
      </c>
      <c r="AK375">
        <f>step3_validation[[#This Row],[AI_TRU1]]</f>
        <v>7</v>
      </c>
      <c r="AL375">
        <f t="shared" si="147"/>
        <v>0.66666666666666663</v>
      </c>
      <c r="AM375">
        <f>survey_responses[[#This Row],[Tôi tin rằng Nhà nước, cơ quan thuế sẽ thực thi chính sách mới một cách khách quan, công tâm và đối xử bình đẳng với mọi người nộp thuế.  - HUMAN-TRU1]]</f>
        <v>6</v>
      </c>
      <c r="AN375">
        <f t="shared" si="148"/>
        <v>0.55555555555555558</v>
      </c>
      <c r="AO375">
        <f>step3_validation[[#This Row],[AI_TRU2]]</f>
        <v>8</v>
      </c>
      <c r="AP375">
        <f t="shared" si="149"/>
        <v>0.77777777777777779</v>
      </c>
      <c r="AQ375">
        <f>survey_responses[[#This Row],[Tôi thấy mức thuế tôi phải đóng theo phương án mới là công bằng (người thu nhập như tôi đóng mức này là hợp lý). - HUMAN-TRU2]]</f>
        <v>6</v>
      </c>
      <c r="AR375">
        <f t="shared" si="150"/>
        <v>0.55555555555555558</v>
      </c>
      <c r="AS375">
        <f>step3_validation[[#This Row],[AI_TRU3]]</f>
        <v>8</v>
      </c>
      <c r="AT375">
        <f t="shared" si="151"/>
        <v>0.77777777777777779</v>
      </c>
      <c r="AU375">
        <f>survey_responses[[#This Row],[Tôi tin tưởng số tiền thuế tôi đóng sẽ được Nhà nước sử dụng hiệu quả để cải thiện dịch vụ công (y tế, đường xá...). - HUMAN-TRU3]]</f>
        <v>6</v>
      </c>
      <c r="AV375">
        <f t="shared" si="152"/>
        <v>0.55555555555555558</v>
      </c>
      <c r="AW375">
        <f>step3_validation[[#This Row],[AI_TRU4]]</f>
        <v>6</v>
      </c>
      <c r="AX375">
        <f t="shared" si="153"/>
        <v>0.55555555555555558</v>
      </c>
      <c r="AY375">
        <f>survey_responses[[#This Row],[Tôi thấy Nhà nước đã giải thích rõ ràng, minh bạch về lý do và mục tiêu của việc sửa đổi thuế lần này. - HUMAN-TRU4]]</f>
        <v>6</v>
      </c>
      <c r="AZ375">
        <f t="shared" si="154"/>
        <v>0.55555555555555558</v>
      </c>
      <c r="BA375" s="32">
        <f t="shared" si="155"/>
        <v>0.69444444444444442</v>
      </c>
      <c r="BB375" s="32">
        <f t="shared" si="156"/>
        <v>0.55555555555555558</v>
      </c>
      <c r="BC375" s="7">
        <f t="shared" si="157"/>
        <v>0.65740740740740733</v>
      </c>
      <c r="BD375" s="7">
        <f t="shared" si="158"/>
        <v>0.59259259259259267</v>
      </c>
      <c r="BE375">
        <f>step3_validation[[#This Row],[AI_OUT1]]</f>
        <v>8</v>
      </c>
      <c r="BF375">
        <f t="shared" si="159"/>
        <v>0.77777777777777779</v>
      </c>
      <c r="BG375">
        <f>survey_responses[[#This Row],[Sau khi xem xét các quyền lợi và nghĩa vụ, bạn có ủng hộ và tuân thủ chính sách mới hiện nay? - HUMAN-OUT1]]</f>
        <v>6</v>
      </c>
      <c r="BH375">
        <f t="shared" si="160"/>
        <v>0.55555555555555558</v>
      </c>
      <c r="BI375" s="32">
        <f t="shared" si="161"/>
        <v>2</v>
      </c>
    </row>
    <row r="376" spans="1:61" x14ac:dyDescent="0.45">
      <c r="A376" s="30">
        <f>step3_validation[[#This Row],[Persona_ID]]</f>
        <v>375</v>
      </c>
      <c r="B376" s="31">
        <f>step3_validation[[#This Row],[Used_Seed]]</f>
        <v>2400</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65.092784629886594</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8</v>
      </c>
      <c r="R376">
        <f t="shared" si="135"/>
        <v>0.77777777777777779</v>
      </c>
      <c r="S376">
        <f>survey_responses[[#This Row],[Tôi tin rằng với các quy định quản lý thuế hiện nay, hành vi gian lận hoặc trốn thuế sẽ dễ dàng bị phát hiện và xử lý nghiêm. - HUMAN-ENF1]]</f>
        <v>8</v>
      </c>
      <c r="T376">
        <f t="shared" si="136"/>
        <v>0.77777777777777779</v>
      </c>
      <c r="U376">
        <f>step3_validation[[#This Row],[AI_ENF2]]</f>
        <v>7</v>
      </c>
      <c r="V376">
        <f t="shared" si="137"/>
        <v>0.66666666666666663</v>
      </c>
      <c r="W376">
        <f>survey_responses[[#This Row],[Tôi tin rằng Nhà nước, cơ quan thuế có đủ khả năng và công nghệ để phát hiện, xử lý nghiêm các hành vi trốn thuế. - HUMAN-ENF2]]</f>
        <v>8</v>
      </c>
      <c r="X376">
        <f t="shared" si="138"/>
        <v>0.77777777777777779</v>
      </c>
      <c r="Y376" s="32">
        <f t="shared" si="139"/>
        <v>0.72222222222222221</v>
      </c>
      <c r="Z376" s="32">
        <f t="shared" si="140"/>
        <v>0.77777777777777779</v>
      </c>
      <c r="AA376">
        <f>step3_validation[[#This Row],[AI_FAC1]]</f>
        <v>9</v>
      </c>
      <c r="AB376">
        <f t="shared" si="141"/>
        <v>0.88888888888888884</v>
      </c>
      <c r="AC376">
        <f>survey_responses[[#This Row],[Các thủ tục khai báo thuế VÀ/HOẶC quy trình làm việc với cơ quan thuế đơn giản, tiện lợi, nhanh chóng hơn so với trước đây. - HUMAN-FAC1]]</f>
        <v>8</v>
      </c>
      <c r="AD376">
        <f t="shared" si="142"/>
        <v>0.77777777777777779</v>
      </c>
      <c r="AE376">
        <f>step3_validation[[#This Row],[AI_FAC2]]</f>
        <v>8</v>
      </c>
      <c r="AF376">
        <f t="shared" si="143"/>
        <v>0.77777777777777779</v>
      </c>
      <c r="AG376">
        <f>survey_responses[[#This Row],[So với trước đây, tôi thấy cách tính thuế và các bậc thuế trong phương án mới đơn giản, dễ hiểu và dễ thực hiện hơn. - HUMAN-FAC2]]</f>
        <v>8</v>
      </c>
      <c r="AH376">
        <f t="shared" si="144"/>
        <v>0.77777777777777779</v>
      </c>
      <c r="AI376" s="32">
        <f t="shared" si="145"/>
        <v>0.83333333333333326</v>
      </c>
      <c r="AJ376" s="32">
        <f t="shared" si="146"/>
        <v>0.77777777777777779</v>
      </c>
      <c r="AK376">
        <f>step3_validation[[#This Row],[AI_TRU1]]</f>
        <v>9</v>
      </c>
      <c r="AL376">
        <f t="shared" si="147"/>
        <v>0.88888888888888884</v>
      </c>
      <c r="AM376">
        <f>survey_responses[[#This Row],[Tôi tin rằng Nhà nước, cơ quan thuế sẽ thực thi chính sách mới một cách khách quan, công tâm và đối xử bình đẳng với mọi người nộp thuế.  - HUMAN-TRU1]]</f>
        <v>7</v>
      </c>
      <c r="AN376">
        <f t="shared" si="148"/>
        <v>0.66666666666666663</v>
      </c>
      <c r="AO376">
        <f>step3_validation[[#This Row],[AI_TRU2]]</f>
        <v>8</v>
      </c>
      <c r="AP376">
        <f t="shared" si="149"/>
        <v>0.77777777777777779</v>
      </c>
      <c r="AQ376">
        <f>survey_responses[[#This Row],[Tôi thấy mức thuế tôi phải đóng theo phương án mới là công bằng (người thu nhập như tôi đóng mức này là hợp lý). - HUMAN-TRU2]]</f>
        <v>6</v>
      </c>
      <c r="AR376">
        <f t="shared" si="150"/>
        <v>0.55555555555555558</v>
      </c>
      <c r="AS376">
        <f>step3_validation[[#This Row],[AI_TRU3]]</f>
        <v>9</v>
      </c>
      <c r="AT376">
        <f t="shared" si="151"/>
        <v>0.88888888888888884</v>
      </c>
      <c r="AU376">
        <f>survey_responses[[#This Row],[Tôi tin tưởng số tiền thuế tôi đóng sẽ được Nhà nước sử dụng hiệu quả để cải thiện dịch vụ công (y tế, đường xá...). - HUMAN-TRU3]]</f>
        <v>6</v>
      </c>
      <c r="AV376">
        <f t="shared" si="152"/>
        <v>0.55555555555555558</v>
      </c>
      <c r="AW376">
        <f>step3_validation[[#This Row],[AI_TRU4]]</f>
        <v>8</v>
      </c>
      <c r="AX376">
        <f t="shared" si="153"/>
        <v>0.77777777777777779</v>
      </c>
      <c r="AY376">
        <f>survey_responses[[#This Row],[Tôi thấy Nhà nước đã giải thích rõ ràng, minh bạch về lý do và mục tiêu của việc sửa đổi thuế lần này. - HUMAN-TRU4]]</f>
        <v>5</v>
      </c>
      <c r="AZ376">
        <f t="shared" si="154"/>
        <v>0.44444444444444442</v>
      </c>
      <c r="BA376" s="32">
        <f t="shared" si="155"/>
        <v>0.83333333333333326</v>
      </c>
      <c r="BB376" s="32">
        <f t="shared" si="156"/>
        <v>0.55555555555555558</v>
      </c>
      <c r="BC376" s="7">
        <f t="shared" si="157"/>
        <v>0.79629629629629617</v>
      </c>
      <c r="BD376" s="7">
        <f t="shared" si="158"/>
        <v>0.70370370370370372</v>
      </c>
      <c r="BE376">
        <f>step3_validation[[#This Row],[AI_OUT1]]</f>
        <v>9</v>
      </c>
      <c r="BF376">
        <f t="shared" si="159"/>
        <v>0.88888888888888884</v>
      </c>
      <c r="BG376">
        <f>survey_responses[[#This Row],[Sau khi xem xét các quyền lợi và nghĩa vụ, bạn có ủng hộ và tuân thủ chính sách mới hiện nay? - HUMAN-OUT1]]</f>
        <v>7</v>
      </c>
      <c r="BH376">
        <f t="shared" si="160"/>
        <v>0.66666666666666663</v>
      </c>
      <c r="BI376" s="32">
        <f t="shared" si="161"/>
        <v>2</v>
      </c>
    </row>
    <row r="377" spans="1:61" x14ac:dyDescent="0.45">
      <c r="A377" s="30">
        <f>step3_validation[[#This Row],[Persona_ID]]</f>
        <v>376</v>
      </c>
      <c r="B377" s="31">
        <f>step3_validation[[#This Row],[Used_Seed]]</f>
        <v>2401</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20.45492231162148</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7</v>
      </c>
      <c r="R377">
        <f t="shared" si="135"/>
        <v>0.66666666666666663</v>
      </c>
      <c r="S377">
        <f>survey_responses[[#This Row],[Tôi tin rằng với các quy định quản lý thuế hiện nay, hành vi gian lận hoặc trốn thuế sẽ dễ dàng bị phát hiện và xử lý nghiêm. - HUMAN-ENF1]]</f>
        <v>6</v>
      </c>
      <c r="T377">
        <f t="shared" si="136"/>
        <v>0.55555555555555558</v>
      </c>
      <c r="U377">
        <f>step3_validation[[#This Row],[AI_ENF2]]</f>
        <v>8</v>
      </c>
      <c r="V377">
        <f t="shared" si="137"/>
        <v>0.77777777777777779</v>
      </c>
      <c r="W377">
        <f>survey_responses[[#This Row],[Tôi tin rằng Nhà nước, cơ quan thuế có đủ khả năng và công nghệ để phát hiện, xử lý nghiêm các hành vi trốn thuế. - HUMAN-ENF2]]</f>
        <v>6</v>
      </c>
      <c r="X377">
        <f t="shared" si="138"/>
        <v>0.55555555555555558</v>
      </c>
      <c r="Y377" s="32">
        <f t="shared" si="139"/>
        <v>0.72222222222222221</v>
      </c>
      <c r="Z377" s="32">
        <f t="shared" si="140"/>
        <v>0.55555555555555558</v>
      </c>
      <c r="AA377">
        <f>step3_validation[[#This Row],[AI_FAC1]]</f>
        <v>6</v>
      </c>
      <c r="AB377">
        <f t="shared" si="141"/>
        <v>0.55555555555555558</v>
      </c>
      <c r="AC377">
        <f>survey_responses[[#This Row],[Các thủ tục khai báo thuế VÀ/HOẶC quy trình làm việc với cơ quan thuế đơn giản, tiện lợi, nhanh chóng hơn so với trước đây. - HUMAN-FAC1]]</f>
        <v>5</v>
      </c>
      <c r="AD377">
        <f t="shared" si="142"/>
        <v>0.44444444444444442</v>
      </c>
      <c r="AE377">
        <f>step3_validation[[#This Row],[AI_FAC2]]</f>
        <v>9</v>
      </c>
      <c r="AF377">
        <f t="shared" si="143"/>
        <v>0.88888888888888884</v>
      </c>
      <c r="AG377">
        <f>survey_responses[[#This Row],[So với trước đây, tôi thấy cách tính thuế và các bậc thuế trong phương án mới đơn giản, dễ hiểu và dễ thực hiện hơn. - HUMAN-FAC2]]</f>
        <v>7</v>
      </c>
      <c r="AH377">
        <f t="shared" si="144"/>
        <v>0.66666666666666663</v>
      </c>
      <c r="AI377" s="32">
        <f t="shared" si="145"/>
        <v>0.72222222222222221</v>
      </c>
      <c r="AJ377" s="32">
        <f t="shared" si="146"/>
        <v>0.55555555555555558</v>
      </c>
      <c r="AK377">
        <f>step3_validation[[#This Row],[AI_TRU1]]</f>
        <v>7</v>
      </c>
      <c r="AL377">
        <f t="shared" si="147"/>
        <v>0.66666666666666663</v>
      </c>
      <c r="AM377">
        <f>survey_responses[[#This Row],[Tôi tin rằng Nhà nước, cơ quan thuế sẽ thực thi chính sách mới một cách khách quan, công tâm và đối xử bình đẳng với mọi người nộp thuế.  - HUMAN-TRU1]]</f>
        <v>6</v>
      </c>
      <c r="AN377">
        <f t="shared" si="148"/>
        <v>0.55555555555555558</v>
      </c>
      <c r="AO377">
        <f>step3_validation[[#This Row],[AI_TRU2]]</f>
        <v>8</v>
      </c>
      <c r="AP377">
        <f t="shared" si="149"/>
        <v>0.77777777777777779</v>
      </c>
      <c r="AQ377">
        <f>survey_responses[[#This Row],[Tôi thấy mức thuế tôi phải đóng theo phương án mới là công bằng (người thu nhập như tôi đóng mức này là hợp lý). - HUMAN-TRU2]]</f>
        <v>7</v>
      </c>
      <c r="AR377">
        <f t="shared" si="150"/>
        <v>0.66666666666666663</v>
      </c>
      <c r="AS377">
        <f>step3_validation[[#This Row],[AI_TRU3]]</f>
        <v>7</v>
      </c>
      <c r="AT377">
        <f t="shared" si="151"/>
        <v>0.66666666666666663</v>
      </c>
      <c r="AU377">
        <f>survey_responses[[#This Row],[Tôi tin tưởng số tiền thuế tôi đóng sẽ được Nhà nước sử dụng hiệu quả để cải thiện dịch vụ công (y tế, đường xá...). - HUMAN-TRU3]]</f>
        <v>5</v>
      </c>
      <c r="AV377">
        <f t="shared" si="152"/>
        <v>0.44444444444444442</v>
      </c>
      <c r="AW377">
        <f>step3_validation[[#This Row],[AI_TRU4]]</f>
        <v>6</v>
      </c>
      <c r="AX377">
        <f t="shared" si="153"/>
        <v>0.55555555555555558</v>
      </c>
      <c r="AY377">
        <f>survey_responses[[#This Row],[Tôi thấy Nhà nước đã giải thích rõ ràng, minh bạch về lý do và mục tiêu của việc sửa đổi thuế lần này. - HUMAN-TRU4]]</f>
        <v>6</v>
      </c>
      <c r="AZ377">
        <f t="shared" si="154"/>
        <v>0.55555555555555558</v>
      </c>
      <c r="BA377" s="32">
        <f t="shared" si="155"/>
        <v>0.66666666666666674</v>
      </c>
      <c r="BB377" s="32">
        <f t="shared" si="156"/>
        <v>0.55555555555555558</v>
      </c>
      <c r="BC377" s="7">
        <f t="shared" si="157"/>
        <v>0.70370370370370372</v>
      </c>
      <c r="BD377" s="7">
        <f t="shared" si="158"/>
        <v>0.55555555555555558</v>
      </c>
      <c r="BE377">
        <f>step3_validation[[#This Row],[AI_OUT1]]</f>
        <v>8</v>
      </c>
      <c r="BF377">
        <f t="shared" si="159"/>
        <v>0.77777777777777779</v>
      </c>
      <c r="BG377">
        <f>survey_responses[[#This Row],[Sau khi xem xét các quyền lợi và nghĩa vụ, bạn có ủng hộ và tuân thủ chính sách mới hiện nay? - HUMAN-OUT1]]</f>
        <v>7</v>
      </c>
      <c r="BH377">
        <f t="shared" si="160"/>
        <v>0.66666666666666663</v>
      </c>
      <c r="BI377" s="32">
        <f t="shared" si="161"/>
        <v>1</v>
      </c>
    </row>
    <row r="378" spans="1:61" x14ac:dyDescent="0.45">
      <c r="A378" s="30">
        <f>step3_validation[[#This Row],[Persona_ID]]</f>
        <v>377</v>
      </c>
      <c r="B378" s="31">
        <f>step3_validation[[#This Row],[Used_Seed]]</f>
        <v>2402</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14.61537675247185</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7</v>
      </c>
      <c r="R378">
        <f t="shared" si="135"/>
        <v>0.66666666666666663</v>
      </c>
      <c r="S378">
        <f>survey_responses[[#This Row],[Tôi tin rằng với các quy định quản lý thuế hiện nay, hành vi gian lận hoặc trốn thuế sẽ dễ dàng bị phát hiện và xử lý nghiêm. - HUMAN-ENF1]]</f>
        <v>7</v>
      </c>
      <c r="T378">
        <f t="shared" si="136"/>
        <v>0.66666666666666663</v>
      </c>
      <c r="U378">
        <f>step3_validation[[#This Row],[AI_ENF2]]</f>
        <v>6</v>
      </c>
      <c r="V378">
        <f t="shared" si="137"/>
        <v>0.55555555555555558</v>
      </c>
      <c r="W378">
        <f>survey_responses[[#This Row],[Tôi tin rằng Nhà nước, cơ quan thuế có đủ khả năng và công nghệ để phát hiện, xử lý nghiêm các hành vi trốn thuế. - HUMAN-ENF2]]</f>
        <v>8</v>
      </c>
      <c r="X378">
        <f t="shared" si="138"/>
        <v>0.77777777777777779</v>
      </c>
      <c r="Y378" s="32">
        <f t="shared" si="139"/>
        <v>0.61111111111111116</v>
      </c>
      <c r="Z378" s="32">
        <f t="shared" si="140"/>
        <v>0.72222222222222221</v>
      </c>
      <c r="AA378">
        <f>step3_validation[[#This Row],[AI_FAC1]]</f>
        <v>9</v>
      </c>
      <c r="AB378">
        <f t="shared" si="141"/>
        <v>0.88888888888888884</v>
      </c>
      <c r="AC378">
        <f>survey_responses[[#This Row],[Các thủ tục khai báo thuế VÀ/HOẶC quy trình làm việc với cơ quan thuế đơn giản, tiện lợi, nhanh chóng hơn so với trước đây. - HUMAN-FAC1]]</f>
        <v>7</v>
      </c>
      <c r="AD378">
        <f t="shared" si="142"/>
        <v>0.66666666666666663</v>
      </c>
      <c r="AE378">
        <f>step3_validation[[#This Row],[AI_FAC2]]</f>
        <v>8</v>
      </c>
      <c r="AF378">
        <f t="shared" si="143"/>
        <v>0.77777777777777779</v>
      </c>
      <c r="AG378">
        <f>survey_responses[[#This Row],[So với trước đây, tôi thấy cách tính thuế và các bậc thuế trong phương án mới đơn giản, dễ hiểu và dễ thực hiện hơn. - HUMAN-FAC2]]</f>
        <v>7</v>
      </c>
      <c r="AH378">
        <f t="shared" si="144"/>
        <v>0.66666666666666663</v>
      </c>
      <c r="AI378" s="32">
        <f t="shared" si="145"/>
        <v>0.83333333333333326</v>
      </c>
      <c r="AJ378" s="32">
        <f t="shared" si="146"/>
        <v>0.66666666666666663</v>
      </c>
      <c r="AK378">
        <f>step3_validation[[#This Row],[AI_TRU1]]</f>
        <v>7</v>
      </c>
      <c r="AL378">
        <f t="shared" si="147"/>
        <v>0.66666666666666663</v>
      </c>
      <c r="AM378">
        <f>survey_responses[[#This Row],[Tôi tin rằng Nhà nước, cơ quan thuế sẽ thực thi chính sách mới một cách khách quan, công tâm và đối xử bình đẳng với mọi người nộp thuế.  - HUMAN-TRU1]]</f>
        <v>8</v>
      </c>
      <c r="AN378">
        <f t="shared" si="148"/>
        <v>0.77777777777777779</v>
      </c>
      <c r="AO378">
        <f>step3_validation[[#This Row],[AI_TRU2]]</f>
        <v>9</v>
      </c>
      <c r="AP378">
        <f t="shared" si="149"/>
        <v>0.88888888888888884</v>
      </c>
      <c r="AQ378">
        <f>survey_responses[[#This Row],[Tôi thấy mức thuế tôi phải đóng theo phương án mới là công bằng (người thu nhập như tôi đóng mức này là hợp lý). - HUMAN-TRU2]]</f>
        <v>9</v>
      </c>
      <c r="AR378">
        <f t="shared" si="150"/>
        <v>0.88888888888888884</v>
      </c>
      <c r="AS378">
        <f>step3_validation[[#This Row],[AI_TRU3]]</f>
        <v>8</v>
      </c>
      <c r="AT378">
        <f t="shared" si="151"/>
        <v>0.77777777777777779</v>
      </c>
      <c r="AU378">
        <f>survey_responses[[#This Row],[Tôi tin tưởng số tiền thuế tôi đóng sẽ được Nhà nước sử dụng hiệu quả để cải thiện dịch vụ công (y tế, đường xá...). - HUMAN-TRU3]]</f>
        <v>7</v>
      </c>
      <c r="AV378">
        <f t="shared" si="152"/>
        <v>0.66666666666666663</v>
      </c>
      <c r="AW378">
        <f>step3_validation[[#This Row],[AI_TRU4]]</f>
        <v>7</v>
      </c>
      <c r="AX378">
        <f t="shared" si="153"/>
        <v>0.66666666666666663</v>
      </c>
      <c r="AY378">
        <f>survey_responses[[#This Row],[Tôi thấy Nhà nước đã giải thích rõ ràng, minh bạch về lý do và mục tiêu của việc sửa đổi thuế lần này. - HUMAN-TRU4]]</f>
        <v>7</v>
      </c>
      <c r="AZ378">
        <f t="shared" si="154"/>
        <v>0.66666666666666663</v>
      </c>
      <c r="BA378" s="32">
        <f t="shared" si="155"/>
        <v>0.74999999999999989</v>
      </c>
      <c r="BB378" s="32">
        <f t="shared" si="156"/>
        <v>0.74999999999999989</v>
      </c>
      <c r="BC378" s="7">
        <f t="shared" si="157"/>
        <v>0.7314814814814814</v>
      </c>
      <c r="BD378" s="7">
        <f t="shared" si="158"/>
        <v>0.71296296296296291</v>
      </c>
      <c r="BE378">
        <f>step3_validation[[#This Row],[AI_OUT1]]</f>
        <v>9</v>
      </c>
      <c r="BF378">
        <f t="shared" si="159"/>
        <v>0.88888888888888884</v>
      </c>
      <c r="BG378">
        <f>survey_responses[[#This Row],[Sau khi xem xét các quyền lợi và nghĩa vụ, bạn có ủng hộ và tuân thủ chính sách mới hiện nay? - HUMAN-OUT1]]</f>
        <v>8</v>
      </c>
      <c r="BH378">
        <f t="shared" si="160"/>
        <v>0.77777777777777779</v>
      </c>
      <c r="BI378" s="32">
        <f t="shared" si="161"/>
        <v>1</v>
      </c>
    </row>
    <row r="379" spans="1:61" x14ac:dyDescent="0.45">
      <c r="A379" s="30">
        <f>step3_validation[[#This Row],[Persona_ID]]</f>
        <v>378</v>
      </c>
      <c r="B379" s="31">
        <f>step3_validation[[#This Row],[Used_Seed]]</f>
        <v>2403</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19.663740781343243</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6</v>
      </c>
      <c r="R379">
        <f t="shared" si="135"/>
        <v>0.55555555555555558</v>
      </c>
      <c r="S379">
        <f>survey_responses[[#This Row],[Tôi tin rằng với các quy định quản lý thuế hiện nay, hành vi gian lận hoặc trốn thuế sẽ dễ dàng bị phát hiện và xử lý nghiêm. - HUMAN-ENF1]]</f>
        <v>6</v>
      </c>
      <c r="T379">
        <f t="shared" si="136"/>
        <v>0.55555555555555558</v>
      </c>
      <c r="U379">
        <f>step3_validation[[#This Row],[AI_ENF2]]</f>
        <v>7</v>
      </c>
      <c r="V379">
        <f t="shared" si="137"/>
        <v>0.66666666666666663</v>
      </c>
      <c r="W379">
        <f>survey_responses[[#This Row],[Tôi tin rằng Nhà nước, cơ quan thuế có đủ khả năng và công nghệ để phát hiện, xử lý nghiêm các hành vi trốn thuế. - HUMAN-ENF2]]</f>
        <v>7</v>
      </c>
      <c r="X379">
        <f t="shared" si="138"/>
        <v>0.66666666666666663</v>
      </c>
      <c r="Y379" s="32">
        <f t="shared" si="139"/>
        <v>0.61111111111111116</v>
      </c>
      <c r="Z379" s="32">
        <f t="shared" si="140"/>
        <v>0.61111111111111116</v>
      </c>
      <c r="AA379">
        <f>step3_validation[[#This Row],[AI_FAC1]]</f>
        <v>9</v>
      </c>
      <c r="AB379">
        <f t="shared" si="141"/>
        <v>0.88888888888888884</v>
      </c>
      <c r="AC379">
        <f>survey_responses[[#This Row],[Các thủ tục khai báo thuế VÀ/HOẶC quy trình làm việc với cơ quan thuế đơn giản, tiện lợi, nhanh chóng hơn so với trước đây. - HUMAN-FAC1]]</f>
        <v>5</v>
      </c>
      <c r="AD379">
        <f t="shared" si="142"/>
        <v>0.44444444444444442</v>
      </c>
      <c r="AE379">
        <f>step3_validation[[#This Row],[AI_FAC2]]</f>
        <v>9</v>
      </c>
      <c r="AF379">
        <f t="shared" si="143"/>
        <v>0.88888888888888884</v>
      </c>
      <c r="AG379">
        <f>survey_responses[[#This Row],[So với trước đây, tôi thấy cách tính thuế và các bậc thuế trong phương án mới đơn giản, dễ hiểu và dễ thực hiện hơn. - HUMAN-FAC2]]</f>
        <v>8</v>
      </c>
      <c r="AH379">
        <f t="shared" si="144"/>
        <v>0.77777777777777779</v>
      </c>
      <c r="AI379" s="32">
        <f t="shared" si="145"/>
        <v>0.88888888888888884</v>
      </c>
      <c r="AJ379" s="32">
        <f t="shared" si="146"/>
        <v>0.61111111111111116</v>
      </c>
      <c r="AK379">
        <f>step3_validation[[#This Row],[AI_TRU1]]</f>
        <v>8</v>
      </c>
      <c r="AL379">
        <f t="shared" si="147"/>
        <v>0.77777777777777779</v>
      </c>
      <c r="AM379">
        <f>survey_responses[[#This Row],[Tôi tin rằng Nhà nước, cơ quan thuế sẽ thực thi chính sách mới một cách khách quan, công tâm và đối xử bình đẳng với mọi người nộp thuế.  - HUMAN-TRU1]]</f>
        <v>7</v>
      </c>
      <c r="AN379">
        <f t="shared" si="148"/>
        <v>0.66666666666666663</v>
      </c>
      <c r="AO379">
        <f>step3_validation[[#This Row],[AI_TRU2]]</f>
        <v>9</v>
      </c>
      <c r="AP379">
        <f t="shared" si="149"/>
        <v>0.88888888888888884</v>
      </c>
      <c r="AQ379">
        <f>survey_responses[[#This Row],[Tôi thấy mức thuế tôi phải đóng theo phương án mới là công bằng (người thu nhập như tôi đóng mức này là hợp lý). - HUMAN-TRU2]]</f>
        <v>7</v>
      </c>
      <c r="AR379">
        <f t="shared" si="150"/>
        <v>0.66666666666666663</v>
      </c>
      <c r="AS379">
        <f>step3_validation[[#This Row],[AI_TRU3]]</f>
        <v>8</v>
      </c>
      <c r="AT379">
        <f t="shared" si="151"/>
        <v>0.77777777777777779</v>
      </c>
      <c r="AU379">
        <f>survey_responses[[#This Row],[Tôi tin tưởng số tiền thuế tôi đóng sẽ được Nhà nước sử dụng hiệu quả để cải thiện dịch vụ công (y tế, đường xá...). - HUMAN-TRU3]]</f>
        <v>7</v>
      </c>
      <c r="AV379">
        <f t="shared" si="152"/>
        <v>0.66666666666666663</v>
      </c>
      <c r="AW379">
        <f>step3_validation[[#This Row],[AI_TRU4]]</f>
        <v>9</v>
      </c>
      <c r="AX379">
        <f t="shared" si="153"/>
        <v>0.88888888888888884</v>
      </c>
      <c r="AY379">
        <f>survey_responses[[#This Row],[Tôi thấy Nhà nước đã giải thích rõ ràng, minh bạch về lý do và mục tiêu của việc sửa đổi thuế lần này. - HUMAN-TRU4]]</f>
        <v>7</v>
      </c>
      <c r="AZ379">
        <f t="shared" si="154"/>
        <v>0.66666666666666663</v>
      </c>
      <c r="BA379" s="32">
        <f t="shared" si="155"/>
        <v>0.83333333333333326</v>
      </c>
      <c r="BB379" s="32">
        <f t="shared" si="156"/>
        <v>0.66666666666666663</v>
      </c>
      <c r="BC379" s="7">
        <f t="shared" si="157"/>
        <v>0.77777777777777768</v>
      </c>
      <c r="BD379" s="7">
        <f t="shared" si="158"/>
        <v>0.62962962962962965</v>
      </c>
      <c r="BE379">
        <f>step3_validation[[#This Row],[AI_OUT1]]</f>
        <v>8</v>
      </c>
      <c r="BF379">
        <f t="shared" si="159"/>
        <v>0.77777777777777779</v>
      </c>
      <c r="BG379">
        <f>survey_responses[[#This Row],[Sau khi xem xét các quyền lợi và nghĩa vụ, bạn có ủng hộ và tuân thủ chính sách mới hiện nay? - HUMAN-OUT1]]</f>
        <v>8</v>
      </c>
      <c r="BH379">
        <f t="shared" si="160"/>
        <v>0.77777777777777779</v>
      </c>
      <c r="BI379" s="32">
        <f t="shared" si="161"/>
        <v>0</v>
      </c>
    </row>
    <row r="380" spans="1:61" x14ac:dyDescent="0.45">
      <c r="A380" s="30">
        <f>step3_validation[[#This Row],[Persona_ID]]</f>
        <v>379</v>
      </c>
      <c r="B380" s="31">
        <f>step3_validation[[#This Row],[Used_Seed]]</f>
        <v>2404</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15.231577486275919</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6</v>
      </c>
      <c r="R380">
        <f t="shared" si="135"/>
        <v>0.55555555555555558</v>
      </c>
      <c r="S380">
        <f>survey_responses[[#This Row],[Tôi tin rằng với các quy định quản lý thuế hiện nay, hành vi gian lận hoặc trốn thuế sẽ dễ dàng bị phát hiện và xử lý nghiêm. - HUMAN-ENF1]]</f>
        <v>8</v>
      </c>
      <c r="T380">
        <f t="shared" si="136"/>
        <v>0.77777777777777779</v>
      </c>
      <c r="U380">
        <f>step3_validation[[#This Row],[AI_ENF2]]</f>
        <v>7</v>
      </c>
      <c r="V380">
        <f t="shared" si="137"/>
        <v>0.66666666666666663</v>
      </c>
      <c r="W380">
        <f>survey_responses[[#This Row],[Tôi tin rằng Nhà nước, cơ quan thuế có đủ khả năng và công nghệ để phát hiện, xử lý nghiêm các hành vi trốn thuế. - HUMAN-ENF2]]</f>
        <v>8</v>
      </c>
      <c r="X380">
        <f t="shared" si="138"/>
        <v>0.77777777777777779</v>
      </c>
      <c r="Y380" s="32">
        <f t="shared" si="139"/>
        <v>0.61111111111111116</v>
      </c>
      <c r="Z380" s="32">
        <f t="shared" si="140"/>
        <v>0.77777777777777779</v>
      </c>
      <c r="AA380">
        <f>step3_validation[[#This Row],[AI_FAC1]]</f>
        <v>9</v>
      </c>
      <c r="AB380">
        <f t="shared" si="141"/>
        <v>0.88888888888888884</v>
      </c>
      <c r="AC380">
        <f>survey_responses[[#This Row],[Các thủ tục khai báo thuế VÀ/HOẶC quy trình làm việc với cơ quan thuế đơn giản, tiện lợi, nhanh chóng hơn so với trước đây. - HUMAN-FAC1]]</f>
        <v>9</v>
      </c>
      <c r="AD380">
        <f t="shared" si="142"/>
        <v>0.88888888888888884</v>
      </c>
      <c r="AE380">
        <f>step3_validation[[#This Row],[AI_FAC2]]</f>
        <v>9</v>
      </c>
      <c r="AF380">
        <f t="shared" si="143"/>
        <v>0.88888888888888884</v>
      </c>
      <c r="AG380">
        <f>survey_responses[[#This Row],[So với trước đây, tôi thấy cách tính thuế và các bậc thuế trong phương án mới đơn giản, dễ hiểu và dễ thực hiện hơn. - HUMAN-FAC2]]</f>
        <v>9</v>
      </c>
      <c r="AH380">
        <f t="shared" si="144"/>
        <v>0.88888888888888884</v>
      </c>
      <c r="AI380" s="32">
        <f t="shared" si="145"/>
        <v>0.88888888888888884</v>
      </c>
      <c r="AJ380" s="32">
        <f t="shared" si="146"/>
        <v>0.88888888888888884</v>
      </c>
      <c r="AK380">
        <f>step3_validation[[#This Row],[AI_TRU1]]</f>
        <v>8</v>
      </c>
      <c r="AL380">
        <f t="shared" si="147"/>
        <v>0.77777777777777779</v>
      </c>
      <c r="AM380">
        <f>survey_responses[[#This Row],[Tôi tin rằng Nhà nước, cơ quan thuế sẽ thực thi chính sách mới một cách khách quan, công tâm và đối xử bình đẳng với mọi người nộp thuế.  - HUMAN-TRU1]]</f>
        <v>7</v>
      </c>
      <c r="AN380">
        <f t="shared" si="148"/>
        <v>0.66666666666666663</v>
      </c>
      <c r="AO380">
        <f>step3_validation[[#This Row],[AI_TRU2]]</f>
        <v>9</v>
      </c>
      <c r="AP380">
        <f t="shared" si="149"/>
        <v>0.88888888888888884</v>
      </c>
      <c r="AQ380">
        <f>survey_responses[[#This Row],[Tôi thấy mức thuế tôi phải đóng theo phương án mới là công bằng (người thu nhập như tôi đóng mức này là hợp lý). - HUMAN-TRU2]]</f>
        <v>9</v>
      </c>
      <c r="AR380">
        <f t="shared" si="150"/>
        <v>0.88888888888888884</v>
      </c>
      <c r="AS380">
        <f>step3_validation[[#This Row],[AI_TRU3]]</f>
        <v>8</v>
      </c>
      <c r="AT380">
        <f t="shared" si="151"/>
        <v>0.77777777777777779</v>
      </c>
      <c r="AU380">
        <f>survey_responses[[#This Row],[Tôi tin tưởng số tiền thuế tôi đóng sẽ được Nhà nước sử dụng hiệu quả để cải thiện dịch vụ công (y tế, đường xá...). - HUMAN-TRU3]]</f>
        <v>7</v>
      </c>
      <c r="AV380">
        <f t="shared" si="152"/>
        <v>0.66666666666666663</v>
      </c>
      <c r="AW380">
        <f>step3_validation[[#This Row],[AI_TRU4]]</f>
        <v>7</v>
      </c>
      <c r="AX380">
        <f t="shared" si="153"/>
        <v>0.66666666666666663</v>
      </c>
      <c r="AY380">
        <f>survey_responses[[#This Row],[Tôi thấy Nhà nước đã giải thích rõ ràng, minh bạch về lý do và mục tiêu của việc sửa đổi thuế lần này. - HUMAN-TRU4]]</f>
        <v>7</v>
      </c>
      <c r="AZ380">
        <f t="shared" si="154"/>
        <v>0.66666666666666663</v>
      </c>
      <c r="BA380" s="32">
        <f t="shared" si="155"/>
        <v>0.77777777777777768</v>
      </c>
      <c r="BB380" s="32">
        <f t="shared" si="156"/>
        <v>0.7222222222222221</v>
      </c>
      <c r="BC380" s="7">
        <f t="shared" si="157"/>
        <v>0.75925925925925919</v>
      </c>
      <c r="BD380" s="7">
        <f t="shared" si="158"/>
        <v>0.79629629629629617</v>
      </c>
      <c r="BE380">
        <f>step3_validation[[#This Row],[AI_OUT1]]</f>
        <v>9</v>
      </c>
      <c r="BF380">
        <f t="shared" si="159"/>
        <v>0.88888888888888884</v>
      </c>
      <c r="BG380">
        <f>survey_responses[[#This Row],[Sau khi xem xét các quyền lợi và nghĩa vụ, bạn có ủng hộ và tuân thủ chính sách mới hiện nay? - HUMAN-OUT1]]</f>
        <v>9</v>
      </c>
      <c r="BH380">
        <f t="shared" si="160"/>
        <v>0.88888888888888884</v>
      </c>
      <c r="BI380" s="32">
        <f t="shared" si="161"/>
        <v>0</v>
      </c>
    </row>
    <row r="381" spans="1:61" x14ac:dyDescent="0.45">
      <c r="A381" s="30">
        <f>step3_validation[[#This Row],[Persona_ID]]</f>
        <v>380</v>
      </c>
      <c r="B381" s="31">
        <f>step3_validation[[#This Row],[Used_Seed]]</f>
        <v>2405</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18.842273526529457</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7</v>
      </c>
      <c r="R381">
        <f t="shared" si="135"/>
        <v>0.66666666666666663</v>
      </c>
      <c r="S381">
        <f>survey_responses[[#This Row],[Tôi tin rằng với các quy định quản lý thuế hiện nay, hành vi gian lận hoặc trốn thuế sẽ dễ dàng bị phát hiện và xử lý nghiêm. - HUMAN-ENF1]]</f>
        <v>8</v>
      </c>
      <c r="T381">
        <f t="shared" si="136"/>
        <v>0.77777777777777779</v>
      </c>
      <c r="U381">
        <f>step3_validation[[#This Row],[AI_ENF2]]</f>
        <v>8</v>
      </c>
      <c r="V381">
        <f t="shared" si="137"/>
        <v>0.77777777777777779</v>
      </c>
      <c r="W381">
        <f>survey_responses[[#This Row],[Tôi tin rằng Nhà nước, cơ quan thuế có đủ khả năng và công nghệ để phát hiện, xử lý nghiêm các hành vi trốn thuế. - HUMAN-ENF2]]</f>
        <v>8</v>
      </c>
      <c r="X381">
        <f t="shared" si="138"/>
        <v>0.77777777777777779</v>
      </c>
      <c r="Y381" s="32">
        <f t="shared" si="139"/>
        <v>0.72222222222222221</v>
      </c>
      <c r="Z381" s="32">
        <f t="shared" si="140"/>
        <v>0.77777777777777779</v>
      </c>
      <c r="AA381">
        <f>step3_validation[[#This Row],[AI_FAC1]]</f>
        <v>6</v>
      </c>
      <c r="AB381">
        <f t="shared" si="141"/>
        <v>0.55555555555555558</v>
      </c>
      <c r="AC381">
        <f>survey_responses[[#This Row],[Các thủ tục khai báo thuế VÀ/HOẶC quy trình làm việc với cơ quan thuế đơn giản, tiện lợi, nhanh chóng hơn so với trước đây. - HUMAN-FAC1]]</f>
        <v>5</v>
      </c>
      <c r="AD381">
        <f t="shared" si="142"/>
        <v>0.44444444444444442</v>
      </c>
      <c r="AE381">
        <f>step3_validation[[#This Row],[AI_FAC2]]</f>
        <v>9</v>
      </c>
      <c r="AF381">
        <f t="shared" si="143"/>
        <v>0.88888888888888884</v>
      </c>
      <c r="AG381">
        <f>survey_responses[[#This Row],[So với trước đây, tôi thấy cách tính thuế và các bậc thuế trong phương án mới đơn giản, dễ hiểu và dễ thực hiện hơn. - HUMAN-FAC2]]</f>
        <v>8</v>
      </c>
      <c r="AH381">
        <f t="shared" si="144"/>
        <v>0.77777777777777779</v>
      </c>
      <c r="AI381" s="32">
        <f t="shared" si="145"/>
        <v>0.72222222222222221</v>
      </c>
      <c r="AJ381" s="32">
        <f t="shared" si="146"/>
        <v>0.61111111111111116</v>
      </c>
      <c r="AK381">
        <f>step3_validation[[#This Row],[AI_TRU1]]</f>
        <v>7</v>
      </c>
      <c r="AL381">
        <f t="shared" si="147"/>
        <v>0.66666666666666663</v>
      </c>
      <c r="AM381">
        <f>survey_responses[[#This Row],[Tôi tin rằng Nhà nước, cơ quan thuế sẽ thực thi chính sách mới một cách khách quan, công tâm và đối xử bình đẳng với mọi người nộp thuế.  - HUMAN-TRU1]]</f>
        <v>6</v>
      </c>
      <c r="AN381">
        <f t="shared" si="148"/>
        <v>0.55555555555555558</v>
      </c>
      <c r="AO381">
        <f>step3_validation[[#This Row],[AI_TRU2]]</f>
        <v>9</v>
      </c>
      <c r="AP381">
        <f t="shared" si="149"/>
        <v>0.88888888888888884</v>
      </c>
      <c r="AQ381">
        <f>survey_responses[[#This Row],[Tôi thấy mức thuế tôi phải đóng theo phương án mới là công bằng (người thu nhập như tôi đóng mức này là hợp lý). - HUMAN-TRU2]]</f>
        <v>9</v>
      </c>
      <c r="AR381">
        <f t="shared" si="150"/>
        <v>0.88888888888888884</v>
      </c>
      <c r="AS381">
        <f>step3_validation[[#This Row],[AI_TRU3]]</f>
        <v>8</v>
      </c>
      <c r="AT381">
        <f t="shared" si="151"/>
        <v>0.77777777777777779</v>
      </c>
      <c r="AU381">
        <f>survey_responses[[#This Row],[Tôi tin tưởng số tiền thuế tôi đóng sẽ được Nhà nước sử dụng hiệu quả để cải thiện dịch vụ công (y tế, đường xá...). - HUMAN-TRU3]]</f>
        <v>5</v>
      </c>
      <c r="AV381">
        <f t="shared" si="152"/>
        <v>0.44444444444444442</v>
      </c>
      <c r="AW381">
        <f>step3_validation[[#This Row],[AI_TRU4]]</f>
        <v>7</v>
      </c>
      <c r="AX381">
        <f t="shared" si="153"/>
        <v>0.66666666666666663</v>
      </c>
      <c r="AY381">
        <f>survey_responses[[#This Row],[Tôi thấy Nhà nước đã giải thích rõ ràng, minh bạch về lý do và mục tiêu của việc sửa đổi thuế lần này. - HUMAN-TRU4]]</f>
        <v>7</v>
      </c>
      <c r="AZ381">
        <f t="shared" si="154"/>
        <v>0.66666666666666663</v>
      </c>
      <c r="BA381" s="32">
        <f t="shared" si="155"/>
        <v>0.74999999999999989</v>
      </c>
      <c r="BB381" s="32">
        <f t="shared" si="156"/>
        <v>0.63888888888888884</v>
      </c>
      <c r="BC381" s="7">
        <f t="shared" si="157"/>
        <v>0.7314814814814814</v>
      </c>
      <c r="BD381" s="7">
        <f t="shared" si="158"/>
        <v>0.67592592592592593</v>
      </c>
      <c r="BE381">
        <f>step3_validation[[#This Row],[AI_OUT1]]</f>
        <v>8</v>
      </c>
      <c r="BF381">
        <f t="shared" si="159"/>
        <v>0.77777777777777779</v>
      </c>
      <c r="BG381">
        <f>survey_responses[[#This Row],[Sau khi xem xét các quyền lợi và nghĩa vụ, bạn có ủng hộ và tuân thủ chính sách mới hiện nay? - HUMAN-OUT1]]</f>
        <v>8</v>
      </c>
      <c r="BH381">
        <f t="shared" si="160"/>
        <v>0.77777777777777779</v>
      </c>
      <c r="BI381" s="32">
        <f t="shared" si="161"/>
        <v>0</v>
      </c>
    </row>
    <row r="382" spans="1:61" x14ac:dyDescent="0.45">
      <c r="A382" s="30">
        <f>step3_validation[[#This Row],[Persona_ID]]</f>
        <v>381</v>
      </c>
      <c r="B382" s="31">
        <f>step3_validation[[#This Row],[Used_Seed]]</f>
        <v>2406</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14.982028923382137</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8</v>
      </c>
      <c r="R382">
        <f t="shared" si="135"/>
        <v>0.77777777777777779</v>
      </c>
      <c r="S382">
        <f>survey_responses[[#This Row],[Tôi tin rằng với các quy định quản lý thuế hiện nay, hành vi gian lận hoặc trốn thuế sẽ dễ dàng bị phát hiện và xử lý nghiêm. - HUMAN-ENF1]]</f>
        <v>9</v>
      </c>
      <c r="T382">
        <f t="shared" si="136"/>
        <v>0.88888888888888884</v>
      </c>
      <c r="U382">
        <f>step3_validation[[#This Row],[AI_ENF2]]</f>
        <v>7</v>
      </c>
      <c r="V382">
        <f t="shared" si="137"/>
        <v>0.66666666666666663</v>
      </c>
      <c r="W382">
        <f>survey_responses[[#This Row],[Tôi tin rằng Nhà nước, cơ quan thuế có đủ khả năng và công nghệ để phát hiện, xử lý nghiêm các hành vi trốn thuế. - HUMAN-ENF2]]</f>
        <v>9</v>
      </c>
      <c r="X382">
        <f t="shared" si="138"/>
        <v>0.88888888888888884</v>
      </c>
      <c r="Y382" s="32">
        <f t="shared" si="139"/>
        <v>0.72222222222222221</v>
      </c>
      <c r="Z382" s="32">
        <f t="shared" si="140"/>
        <v>0.88888888888888884</v>
      </c>
      <c r="AA382">
        <f>step3_validation[[#This Row],[AI_FAC1]]</f>
        <v>9</v>
      </c>
      <c r="AB382">
        <f t="shared" si="141"/>
        <v>0.88888888888888884</v>
      </c>
      <c r="AC382">
        <f>survey_responses[[#This Row],[Các thủ tục khai báo thuế VÀ/HOẶC quy trình làm việc với cơ quan thuế đơn giản, tiện lợi, nhanh chóng hơn so với trước đây. - HUMAN-FAC1]]</f>
        <v>8</v>
      </c>
      <c r="AD382">
        <f t="shared" si="142"/>
        <v>0.77777777777777779</v>
      </c>
      <c r="AE382">
        <f>step3_validation[[#This Row],[AI_FAC2]]</f>
        <v>8</v>
      </c>
      <c r="AF382">
        <f t="shared" si="143"/>
        <v>0.77777777777777779</v>
      </c>
      <c r="AG382">
        <f>survey_responses[[#This Row],[So với trước đây, tôi thấy cách tính thuế và các bậc thuế trong phương án mới đơn giản, dễ hiểu và dễ thực hiện hơn. - HUMAN-FAC2]]</f>
        <v>9</v>
      </c>
      <c r="AH382">
        <f t="shared" si="144"/>
        <v>0.88888888888888884</v>
      </c>
      <c r="AI382" s="32">
        <f t="shared" si="145"/>
        <v>0.83333333333333326</v>
      </c>
      <c r="AJ382" s="32">
        <f t="shared" si="146"/>
        <v>0.83333333333333326</v>
      </c>
      <c r="AK382">
        <f>step3_validation[[#This Row],[AI_TRU1]]</f>
        <v>9</v>
      </c>
      <c r="AL382">
        <f t="shared" si="147"/>
        <v>0.88888888888888884</v>
      </c>
      <c r="AM382">
        <f>survey_responses[[#This Row],[Tôi tin rằng Nhà nước, cơ quan thuế sẽ thực thi chính sách mới một cách khách quan, công tâm và đối xử bình đẳng với mọi người nộp thuế.  - HUMAN-TRU1]]</f>
        <v>8</v>
      </c>
      <c r="AN382">
        <f t="shared" si="148"/>
        <v>0.77777777777777779</v>
      </c>
      <c r="AO382">
        <f>step3_validation[[#This Row],[AI_TRU2]]</f>
        <v>9</v>
      </c>
      <c r="AP382">
        <f t="shared" si="149"/>
        <v>0.88888888888888884</v>
      </c>
      <c r="AQ382">
        <f>survey_responses[[#This Row],[Tôi thấy mức thuế tôi phải đóng theo phương án mới là công bằng (người thu nhập như tôi đóng mức này là hợp lý). - HUMAN-TRU2]]</f>
        <v>10</v>
      </c>
      <c r="AR382">
        <f t="shared" si="150"/>
        <v>1</v>
      </c>
      <c r="AS382">
        <f>step3_validation[[#This Row],[AI_TRU3]]</f>
        <v>8</v>
      </c>
      <c r="AT382">
        <f t="shared" si="151"/>
        <v>0.77777777777777779</v>
      </c>
      <c r="AU382">
        <f>survey_responses[[#This Row],[Tôi tin tưởng số tiền thuế tôi đóng sẽ được Nhà nước sử dụng hiệu quả để cải thiện dịch vụ công (y tế, đường xá...). - HUMAN-TRU3]]</f>
        <v>8</v>
      </c>
      <c r="AV382">
        <f t="shared" si="152"/>
        <v>0.77777777777777779</v>
      </c>
      <c r="AW382">
        <f>step3_validation[[#This Row],[AI_TRU4]]</f>
        <v>9</v>
      </c>
      <c r="AX382">
        <f t="shared" si="153"/>
        <v>0.88888888888888884</v>
      </c>
      <c r="AY382">
        <f>survey_responses[[#This Row],[Tôi thấy Nhà nước đã giải thích rõ ràng, minh bạch về lý do và mục tiêu của việc sửa đổi thuế lần này. - HUMAN-TRU4]]</f>
        <v>8</v>
      </c>
      <c r="AZ382">
        <f t="shared" si="154"/>
        <v>0.77777777777777779</v>
      </c>
      <c r="BA382" s="32">
        <f t="shared" si="155"/>
        <v>0.86111111111111105</v>
      </c>
      <c r="BB382" s="32">
        <f t="shared" si="156"/>
        <v>0.83333333333333326</v>
      </c>
      <c r="BC382" s="7">
        <f t="shared" si="157"/>
        <v>0.80555555555555547</v>
      </c>
      <c r="BD382" s="7">
        <f t="shared" si="158"/>
        <v>0.85185185185185175</v>
      </c>
      <c r="BE382">
        <f>step3_validation[[#This Row],[AI_OUT1]]</f>
        <v>9</v>
      </c>
      <c r="BF382">
        <f t="shared" si="159"/>
        <v>0.88888888888888884</v>
      </c>
      <c r="BG382">
        <f>survey_responses[[#This Row],[Sau khi xem xét các quyền lợi và nghĩa vụ, bạn có ủng hộ và tuân thủ chính sách mới hiện nay? - HUMAN-OUT1]]</f>
        <v>10</v>
      </c>
      <c r="BH382">
        <f t="shared" si="160"/>
        <v>1</v>
      </c>
      <c r="BI382" s="32">
        <f t="shared" si="161"/>
        <v>1</v>
      </c>
    </row>
    <row r="383" spans="1:61" x14ac:dyDescent="0.45">
      <c r="A383" s="30">
        <f>step3_validation[[#This Row],[Persona_ID]]</f>
        <v>382</v>
      </c>
      <c r="B383" s="31">
        <f>step3_validation[[#This Row],[Used_Seed]]</f>
        <v>2407</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21.251208618702442</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5</v>
      </c>
      <c r="R383">
        <f t="shared" si="135"/>
        <v>0.44444444444444442</v>
      </c>
      <c r="S383">
        <f>survey_responses[[#This Row],[Tôi tin rằng với các quy định quản lý thuế hiện nay, hành vi gian lận hoặc trốn thuế sẽ dễ dàng bị phát hiện và xử lý nghiêm. - HUMAN-ENF1]]</f>
        <v>5</v>
      </c>
      <c r="T383">
        <f t="shared" si="136"/>
        <v>0.44444444444444442</v>
      </c>
      <c r="U383">
        <f>step3_validation[[#This Row],[AI_ENF2]]</f>
        <v>6</v>
      </c>
      <c r="V383">
        <f t="shared" si="137"/>
        <v>0.55555555555555558</v>
      </c>
      <c r="W383">
        <f>survey_responses[[#This Row],[Tôi tin rằng Nhà nước, cơ quan thuế có đủ khả năng và công nghệ để phát hiện, xử lý nghiêm các hành vi trốn thuế. - HUMAN-ENF2]]</f>
        <v>5</v>
      </c>
      <c r="X383">
        <f t="shared" si="138"/>
        <v>0.44444444444444442</v>
      </c>
      <c r="Y383" s="32">
        <f t="shared" si="139"/>
        <v>0.5</v>
      </c>
      <c r="Z383" s="32">
        <f t="shared" si="140"/>
        <v>0.44444444444444442</v>
      </c>
      <c r="AA383">
        <f>step3_validation[[#This Row],[AI_FAC1]]</f>
        <v>8</v>
      </c>
      <c r="AB383">
        <f t="shared" si="141"/>
        <v>0.77777777777777779</v>
      </c>
      <c r="AC383">
        <f>survey_responses[[#This Row],[Các thủ tục khai báo thuế VÀ/HOẶC quy trình làm việc với cơ quan thuế đơn giản, tiện lợi, nhanh chóng hơn so với trước đây. - HUMAN-FAC1]]</f>
        <v>4</v>
      </c>
      <c r="AD383">
        <f t="shared" si="142"/>
        <v>0.33333333333333331</v>
      </c>
      <c r="AE383">
        <f>step3_validation[[#This Row],[AI_FAC2]]</f>
        <v>9</v>
      </c>
      <c r="AF383">
        <f t="shared" si="143"/>
        <v>0.88888888888888884</v>
      </c>
      <c r="AG383">
        <f>survey_responses[[#This Row],[So với trước đây, tôi thấy cách tính thuế và các bậc thuế trong phương án mới đơn giản, dễ hiểu và dễ thực hiện hơn. - HUMAN-FAC2]]</f>
        <v>8</v>
      </c>
      <c r="AH383">
        <f t="shared" si="144"/>
        <v>0.77777777777777779</v>
      </c>
      <c r="AI383" s="32">
        <f t="shared" si="145"/>
        <v>0.83333333333333326</v>
      </c>
      <c r="AJ383" s="32">
        <f t="shared" si="146"/>
        <v>0.55555555555555558</v>
      </c>
      <c r="AK383">
        <f>step3_validation[[#This Row],[AI_TRU1]]</f>
        <v>7</v>
      </c>
      <c r="AL383">
        <f t="shared" si="147"/>
        <v>0.66666666666666663</v>
      </c>
      <c r="AM383">
        <f>survey_responses[[#This Row],[Tôi tin rằng Nhà nước, cơ quan thuế sẽ thực thi chính sách mới một cách khách quan, công tâm và đối xử bình đẳng với mọi người nộp thuế.  - HUMAN-TRU1]]</f>
        <v>4</v>
      </c>
      <c r="AN383">
        <f t="shared" si="148"/>
        <v>0.33333333333333331</v>
      </c>
      <c r="AO383">
        <f>step3_validation[[#This Row],[AI_TRU2]]</f>
        <v>8</v>
      </c>
      <c r="AP383">
        <f t="shared" si="149"/>
        <v>0.77777777777777779</v>
      </c>
      <c r="AQ383">
        <f>survey_responses[[#This Row],[Tôi thấy mức thuế tôi phải đóng theo phương án mới là công bằng (người thu nhập như tôi đóng mức này là hợp lý). - HUMAN-TRU2]]</f>
        <v>8</v>
      </c>
      <c r="AR383">
        <f t="shared" si="150"/>
        <v>0.77777777777777779</v>
      </c>
      <c r="AS383">
        <f>step3_validation[[#This Row],[AI_TRU3]]</f>
        <v>7</v>
      </c>
      <c r="AT383">
        <f t="shared" si="151"/>
        <v>0.66666666666666663</v>
      </c>
      <c r="AU383">
        <f>survey_responses[[#This Row],[Tôi tin tưởng số tiền thuế tôi đóng sẽ được Nhà nước sử dụng hiệu quả để cải thiện dịch vụ công (y tế, đường xá...). - HUMAN-TRU3]]</f>
        <v>4</v>
      </c>
      <c r="AV383">
        <f t="shared" si="152"/>
        <v>0.33333333333333331</v>
      </c>
      <c r="AW383">
        <f>step3_validation[[#This Row],[AI_TRU4]]</f>
        <v>6</v>
      </c>
      <c r="AX383">
        <f t="shared" si="153"/>
        <v>0.55555555555555558</v>
      </c>
      <c r="AY383">
        <f>survey_responses[[#This Row],[Tôi thấy Nhà nước đã giải thích rõ ràng, minh bạch về lý do và mục tiêu của việc sửa đổi thuế lần này. - HUMAN-TRU4]]</f>
        <v>5</v>
      </c>
      <c r="AZ383">
        <f t="shared" si="154"/>
        <v>0.44444444444444442</v>
      </c>
      <c r="BA383" s="32">
        <f t="shared" si="155"/>
        <v>0.66666666666666674</v>
      </c>
      <c r="BB383" s="32">
        <f t="shared" si="156"/>
        <v>0.47222222222222221</v>
      </c>
      <c r="BC383" s="7">
        <f t="shared" si="157"/>
        <v>0.66666666666666663</v>
      </c>
      <c r="BD383" s="7">
        <f t="shared" si="158"/>
        <v>0.49074074074074076</v>
      </c>
      <c r="BE383">
        <f>step3_validation[[#This Row],[AI_OUT1]]</f>
        <v>9</v>
      </c>
      <c r="BF383">
        <f t="shared" si="159"/>
        <v>0.88888888888888884</v>
      </c>
      <c r="BG383">
        <f>survey_responses[[#This Row],[Sau khi xem xét các quyền lợi và nghĩa vụ, bạn có ủng hộ và tuân thủ chính sách mới hiện nay? - HUMAN-OUT1]]</f>
        <v>7</v>
      </c>
      <c r="BH383">
        <f t="shared" si="160"/>
        <v>0.66666666666666663</v>
      </c>
      <c r="BI383" s="32">
        <f t="shared" si="161"/>
        <v>2</v>
      </c>
    </row>
    <row r="384" spans="1:61" x14ac:dyDescent="0.45">
      <c r="A384" s="30">
        <f>step3_validation[[#This Row],[Persona_ID]]</f>
        <v>383</v>
      </c>
      <c r="B384" s="31">
        <f>step3_validation[[#This Row],[Used_Seed]]</f>
        <v>2408</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78.875972823497776</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8</v>
      </c>
      <c r="R384">
        <f t="shared" si="135"/>
        <v>0.77777777777777779</v>
      </c>
      <c r="S384">
        <f>survey_responses[[#This Row],[Tôi tin rằng với các quy định quản lý thuế hiện nay, hành vi gian lận hoặc trốn thuế sẽ dễ dàng bị phát hiện và xử lý nghiêm. - HUMAN-ENF1]]</f>
        <v>1</v>
      </c>
      <c r="T384">
        <f t="shared" si="136"/>
        <v>0</v>
      </c>
      <c r="U384">
        <f>step3_validation[[#This Row],[AI_ENF2]]</f>
        <v>9</v>
      </c>
      <c r="V384">
        <f t="shared" si="137"/>
        <v>0.88888888888888884</v>
      </c>
      <c r="W384">
        <f>survey_responses[[#This Row],[Tôi tin rằng Nhà nước, cơ quan thuế có đủ khả năng và công nghệ để phát hiện, xử lý nghiêm các hành vi trốn thuế. - HUMAN-ENF2]]</f>
        <v>1</v>
      </c>
      <c r="X384">
        <f t="shared" si="138"/>
        <v>0</v>
      </c>
      <c r="Y384" s="32">
        <f t="shared" si="139"/>
        <v>0.83333333333333326</v>
      </c>
      <c r="Z384" s="32">
        <f t="shared" si="140"/>
        <v>0</v>
      </c>
      <c r="AA384">
        <f>step3_validation[[#This Row],[AI_FAC1]]</f>
        <v>10</v>
      </c>
      <c r="AB384">
        <f t="shared" si="141"/>
        <v>1</v>
      </c>
      <c r="AC384">
        <f>survey_responses[[#This Row],[Các thủ tục khai báo thuế VÀ/HOẶC quy trình làm việc với cơ quan thuế đơn giản, tiện lợi, nhanh chóng hơn so với trước đây. - HUMAN-FAC1]]</f>
        <v>4</v>
      </c>
      <c r="AD384">
        <f t="shared" si="142"/>
        <v>0.33333333333333331</v>
      </c>
      <c r="AE384">
        <f>step3_validation[[#This Row],[AI_FAC2]]</f>
        <v>10</v>
      </c>
      <c r="AF384">
        <f t="shared" si="143"/>
        <v>1</v>
      </c>
      <c r="AG384">
        <f>survey_responses[[#This Row],[So với trước đây, tôi thấy cách tính thuế và các bậc thuế trong phương án mới đơn giản, dễ hiểu và dễ thực hiện hơn. - HUMAN-FAC2]]</f>
        <v>5</v>
      </c>
      <c r="AH384">
        <f t="shared" si="144"/>
        <v>0.44444444444444442</v>
      </c>
      <c r="AI384" s="32">
        <f t="shared" si="145"/>
        <v>1</v>
      </c>
      <c r="AJ384" s="32">
        <f t="shared" si="146"/>
        <v>0.38888888888888884</v>
      </c>
      <c r="AK384">
        <f>step3_validation[[#This Row],[AI_TRU1]]</f>
        <v>9</v>
      </c>
      <c r="AL384">
        <f t="shared" si="147"/>
        <v>0.88888888888888884</v>
      </c>
      <c r="AM384">
        <f>survey_responses[[#This Row],[Tôi tin rằng Nhà nước, cơ quan thuế sẽ thực thi chính sách mới một cách khách quan, công tâm và đối xử bình đẳng với mọi người nộp thuế.  - HUMAN-TRU1]]</f>
        <v>5</v>
      </c>
      <c r="AN384">
        <f t="shared" si="148"/>
        <v>0.44444444444444442</v>
      </c>
      <c r="AO384">
        <f>step3_validation[[#This Row],[AI_TRU2]]</f>
        <v>9</v>
      </c>
      <c r="AP384">
        <f t="shared" si="149"/>
        <v>0.88888888888888884</v>
      </c>
      <c r="AQ384">
        <f>survey_responses[[#This Row],[Tôi thấy mức thuế tôi phải đóng theo phương án mới là công bằng (người thu nhập như tôi đóng mức này là hợp lý). - HUMAN-TRU2]]</f>
        <v>4</v>
      </c>
      <c r="AR384">
        <f t="shared" si="150"/>
        <v>0.33333333333333331</v>
      </c>
      <c r="AS384">
        <f>step3_validation[[#This Row],[AI_TRU3]]</f>
        <v>8</v>
      </c>
      <c r="AT384">
        <f t="shared" si="151"/>
        <v>0.77777777777777779</v>
      </c>
      <c r="AU384">
        <f>survey_responses[[#This Row],[Tôi tin tưởng số tiền thuế tôi đóng sẽ được Nhà nước sử dụng hiệu quả để cải thiện dịch vụ công (y tế, đường xá...). - HUMAN-TRU3]]</f>
        <v>4</v>
      </c>
      <c r="AV384">
        <f t="shared" si="152"/>
        <v>0.33333333333333331</v>
      </c>
      <c r="AW384">
        <f>step3_validation[[#This Row],[AI_TRU4]]</f>
        <v>9</v>
      </c>
      <c r="AX384">
        <f t="shared" si="153"/>
        <v>0.88888888888888884</v>
      </c>
      <c r="AY384">
        <f>survey_responses[[#This Row],[Tôi thấy Nhà nước đã giải thích rõ ràng, minh bạch về lý do và mục tiêu của việc sửa đổi thuế lần này. - HUMAN-TRU4]]</f>
        <v>5</v>
      </c>
      <c r="AZ384">
        <f t="shared" si="154"/>
        <v>0.44444444444444442</v>
      </c>
      <c r="BA384" s="32">
        <f t="shared" si="155"/>
        <v>0.86111111111111105</v>
      </c>
      <c r="BB384" s="32">
        <f t="shared" si="156"/>
        <v>0.38888888888888884</v>
      </c>
      <c r="BC384" s="7">
        <f t="shared" si="157"/>
        <v>0.89814814814814803</v>
      </c>
      <c r="BD384" s="7">
        <f t="shared" si="158"/>
        <v>0.25925925925925924</v>
      </c>
      <c r="BE384">
        <f>step3_validation[[#This Row],[AI_OUT1]]</f>
        <v>10</v>
      </c>
      <c r="BF384">
        <f t="shared" si="159"/>
        <v>1</v>
      </c>
      <c r="BG384">
        <f>survey_responses[[#This Row],[Sau khi xem xét các quyền lợi và nghĩa vụ, bạn có ủng hộ và tuân thủ chính sách mới hiện nay? - HUMAN-OUT1]]</f>
        <v>3</v>
      </c>
      <c r="BH384">
        <f t="shared" si="160"/>
        <v>0.22222222222222221</v>
      </c>
      <c r="BI384" s="32">
        <f t="shared" si="161"/>
        <v>7</v>
      </c>
    </row>
    <row r="385" spans="1:61" x14ac:dyDescent="0.45">
      <c r="A385" s="30">
        <f>step3_validation[[#This Row],[Persona_ID]]</f>
        <v>384</v>
      </c>
      <c r="B385" s="31">
        <f>step3_validation[[#This Row],[Used_Seed]]</f>
        <v>2409</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9</v>
      </c>
      <c r="R385">
        <f t="shared" si="135"/>
        <v>0.88888888888888884</v>
      </c>
      <c r="S385">
        <f>survey_responses[[#This Row],[Tôi tin rằng với các quy định quản lý thuế hiện nay, hành vi gian lận hoặc trốn thuế sẽ dễ dàng bị phát hiện và xử lý nghiêm. - HUMAN-ENF1]]</f>
        <v>7</v>
      </c>
      <c r="T385">
        <f t="shared" si="136"/>
        <v>0.66666666666666663</v>
      </c>
      <c r="U385">
        <f>step3_validation[[#This Row],[AI_ENF2]]</f>
        <v>8</v>
      </c>
      <c r="V385">
        <f t="shared" si="137"/>
        <v>0.77777777777777779</v>
      </c>
      <c r="W385">
        <f>survey_responses[[#This Row],[Tôi tin rằng Nhà nước, cơ quan thuế có đủ khả năng và công nghệ để phát hiện, xử lý nghiêm các hành vi trốn thuế. - HUMAN-ENF2]]</f>
        <v>7</v>
      </c>
      <c r="X385">
        <f t="shared" si="138"/>
        <v>0.66666666666666663</v>
      </c>
      <c r="Y385" s="32">
        <f t="shared" si="139"/>
        <v>0.83333333333333326</v>
      </c>
      <c r="Z385" s="32">
        <f t="shared" si="140"/>
        <v>0.66666666666666663</v>
      </c>
      <c r="AA385">
        <f>step3_validation[[#This Row],[AI_FAC1]]</f>
        <v>9</v>
      </c>
      <c r="AB385">
        <f t="shared" si="141"/>
        <v>0.88888888888888884</v>
      </c>
      <c r="AC385">
        <f>survey_responses[[#This Row],[Các thủ tục khai báo thuế VÀ/HOẶC quy trình làm việc với cơ quan thuế đơn giản, tiện lợi, nhanh chóng hơn so với trước đây. - HUMAN-FAC1]]</f>
        <v>7</v>
      </c>
      <c r="AD385">
        <f t="shared" si="142"/>
        <v>0.66666666666666663</v>
      </c>
      <c r="AE385">
        <f>step3_validation[[#This Row],[AI_FAC2]]</f>
        <v>8</v>
      </c>
      <c r="AF385">
        <f t="shared" si="143"/>
        <v>0.77777777777777779</v>
      </c>
      <c r="AG385">
        <f>survey_responses[[#This Row],[So với trước đây, tôi thấy cách tính thuế và các bậc thuế trong phương án mới đơn giản, dễ hiểu và dễ thực hiện hơn. - HUMAN-FAC2]]</f>
        <v>9</v>
      </c>
      <c r="AH385">
        <f t="shared" si="144"/>
        <v>0.88888888888888884</v>
      </c>
      <c r="AI385" s="32">
        <f t="shared" si="145"/>
        <v>0.83333333333333326</v>
      </c>
      <c r="AJ385" s="32">
        <f t="shared" si="146"/>
        <v>0.77777777777777768</v>
      </c>
      <c r="AK385">
        <f>step3_validation[[#This Row],[AI_TRU1]]</f>
        <v>7</v>
      </c>
      <c r="AL385">
        <f t="shared" si="147"/>
        <v>0.66666666666666663</v>
      </c>
      <c r="AM385">
        <f>survey_responses[[#This Row],[Tôi tin rằng Nhà nước, cơ quan thuế sẽ thực thi chính sách mới một cách khách quan, công tâm và đối xử bình đẳng với mọi người nộp thuế.  - HUMAN-TRU1]]</f>
        <v>8</v>
      </c>
      <c r="AN385">
        <f t="shared" si="148"/>
        <v>0.77777777777777779</v>
      </c>
      <c r="AO385">
        <f>step3_validation[[#This Row],[AI_TRU2]]</f>
        <v>8</v>
      </c>
      <c r="AP385">
        <f t="shared" si="149"/>
        <v>0.77777777777777779</v>
      </c>
      <c r="AQ385">
        <f>survey_responses[[#This Row],[Tôi thấy mức thuế tôi phải đóng theo phương án mới là công bằng (người thu nhập như tôi đóng mức này là hợp lý). - HUMAN-TRU2]]</f>
        <v>10</v>
      </c>
      <c r="AR385">
        <f t="shared" si="150"/>
        <v>1</v>
      </c>
      <c r="AS385">
        <f>step3_validation[[#This Row],[AI_TRU3]]</f>
        <v>7</v>
      </c>
      <c r="AT385">
        <f t="shared" si="151"/>
        <v>0.66666666666666663</v>
      </c>
      <c r="AU385">
        <f>survey_responses[[#This Row],[Tôi tin tưởng số tiền thuế tôi đóng sẽ được Nhà nước sử dụng hiệu quả để cải thiện dịch vụ công (y tế, đường xá...). - HUMAN-TRU3]]</f>
        <v>8</v>
      </c>
      <c r="AV385">
        <f t="shared" si="152"/>
        <v>0.77777777777777779</v>
      </c>
      <c r="AW385">
        <f>step3_validation[[#This Row],[AI_TRU4]]</f>
        <v>8</v>
      </c>
      <c r="AX385">
        <f t="shared" si="153"/>
        <v>0.77777777777777779</v>
      </c>
      <c r="AY385">
        <f>survey_responses[[#This Row],[Tôi thấy Nhà nước đã giải thích rõ ràng, minh bạch về lý do và mục tiêu của việc sửa đổi thuế lần này. - HUMAN-TRU4]]</f>
        <v>7</v>
      </c>
      <c r="AZ385">
        <f t="shared" si="154"/>
        <v>0.66666666666666663</v>
      </c>
      <c r="BA385" s="32">
        <f t="shared" si="155"/>
        <v>0.72222222222222221</v>
      </c>
      <c r="BB385" s="32">
        <f t="shared" si="156"/>
        <v>0.80555555555555547</v>
      </c>
      <c r="BC385" s="7">
        <f t="shared" si="157"/>
        <v>0.79629629629629628</v>
      </c>
      <c r="BD385" s="7">
        <f t="shared" si="158"/>
        <v>0.74999999999999989</v>
      </c>
      <c r="BE385">
        <f>step3_validation[[#This Row],[AI_OUT1]]</f>
        <v>9</v>
      </c>
      <c r="BF385">
        <f t="shared" si="159"/>
        <v>0.88888888888888884</v>
      </c>
      <c r="BG385">
        <f>survey_responses[[#This Row],[Sau khi xem xét các quyền lợi và nghĩa vụ, bạn có ủng hộ và tuân thủ chính sách mới hiện nay? - HUMAN-OUT1]]</f>
        <v>10</v>
      </c>
      <c r="BH385">
        <f t="shared" si="160"/>
        <v>1</v>
      </c>
      <c r="BI385" s="32">
        <f t="shared" si="161"/>
        <v>1</v>
      </c>
    </row>
    <row r="386" spans="1:61" x14ac:dyDescent="0.45">
      <c r="A386" s="30">
        <f>step3_validation[[#This Row],[Persona_ID]]</f>
        <v>385</v>
      </c>
      <c r="B386" s="31">
        <f>step3_validation[[#This Row],[Used_Seed]]</f>
        <v>2410</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35.16649069803632</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6</v>
      </c>
      <c r="R386">
        <f t="shared" si="135"/>
        <v>0.55555555555555558</v>
      </c>
      <c r="S386">
        <f>survey_responses[[#This Row],[Tôi tin rằng với các quy định quản lý thuế hiện nay, hành vi gian lận hoặc trốn thuế sẽ dễ dàng bị phát hiện và xử lý nghiêm. - HUMAN-ENF1]]</f>
        <v>3</v>
      </c>
      <c r="T386">
        <f t="shared" si="136"/>
        <v>0.22222222222222221</v>
      </c>
      <c r="U386">
        <f>step3_validation[[#This Row],[AI_ENF2]]</f>
        <v>7</v>
      </c>
      <c r="V386">
        <f t="shared" si="137"/>
        <v>0.66666666666666663</v>
      </c>
      <c r="W386">
        <f>survey_responses[[#This Row],[Tôi tin rằng Nhà nước, cơ quan thuế có đủ khả năng và công nghệ để phát hiện, xử lý nghiêm các hành vi trốn thuế. - HUMAN-ENF2]]</f>
        <v>3</v>
      </c>
      <c r="X386">
        <f t="shared" si="138"/>
        <v>0.22222222222222221</v>
      </c>
      <c r="Y386" s="32">
        <f t="shared" si="139"/>
        <v>0.61111111111111116</v>
      </c>
      <c r="Z386" s="32">
        <f t="shared" si="140"/>
        <v>0.22222222222222221</v>
      </c>
      <c r="AA386">
        <f>step3_validation[[#This Row],[AI_FAC1]]</f>
        <v>8</v>
      </c>
      <c r="AB386">
        <f t="shared" si="141"/>
        <v>0.77777777777777779</v>
      </c>
      <c r="AC386">
        <f>survey_responses[[#This Row],[Các thủ tục khai báo thuế VÀ/HOẶC quy trình làm việc với cơ quan thuế đơn giản, tiện lợi, nhanh chóng hơn so với trước đây. - HUMAN-FAC1]]</f>
        <v>4</v>
      </c>
      <c r="AD386">
        <f t="shared" si="142"/>
        <v>0.33333333333333331</v>
      </c>
      <c r="AE386">
        <f>step3_validation[[#This Row],[AI_FAC2]]</f>
        <v>7</v>
      </c>
      <c r="AF386">
        <f t="shared" si="143"/>
        <v>0.66666666666666663</v>
      </c>
      <c r="AG386">
        <f>survey_responses[[#This Row],[So với trước đây, tôi thấy cách tính thuế và các bậc thuế trong phương án mới đơn giản, dễ hiểu và dễ thực hiện hơn. - HUMAN-FAC2]]</f>
        <v>6</v>
      </c>
      <c r="AH386">
        <f t="shared" si="144"/>
        <v>0.55555555555555558</v>
      </c>
      <c r="AI386" s="32">
        <f t="shared" si="145"/>
        <v>0.72222222222222221</v>
      </c>
      <c r="AJ386" s="32">
        <f t="shared" si="146"/>
        <v>0.44444444444444442</v>
      </c>
      <c r="AK386">
        <f>step3_validation[[#This Row],[AI_TRU1]]</f>
        <v>6</v>
      </c>
      <c r="AL386">
        <f t="shared" si="147"/>
        <v>0.55555555555555558</v>
      </c>
      <c r="AM386">
        <f>survey_responses[[#This Row],[Tôi tin rằng Nhà nước, cơ quan thuế sẽ thực thi chính sách mới một cách khách quan, công tâm và đối xử bình đẳng với mọi người nộp thuế.  - HUMAN-TRU1]]</f>
        <v>4</v>
      </c>
      <c r="AN386">
        <f t="shared" si="148"/>
        <v>0.33333333333333331</v>
      </c>
      <c r="AO386">
        <f>step3_validation[[#This Row],[AI_TRU2]]</f>
        <v>9</v>
      </c>
      <c r="AP386">
        <f t="shared" si="149"/>
        <v>0.88888888888888884</v>
      </c>
      <c r="AQ386">
        <f>survey_responses[[#This Row],[Tôi thấy mức thuế tôi phải đóng theo phương án mới là công bằng (người thu nhập như tôi đóng mức này là hợp lý). - HUMAN-TRU2]]</f>
        <v>5</v>
      </c>
      <c r="AR386">
        <f t="shared" si="150"/>
        <v>0.44444444444444442</v>
      </c>
      <c r="AS386">
        <f>step3_validation[[#This Row],[AI_TRU3]]</f>
        <v>5</v>
      </c>
      <c r="AT386">
        <f t="shared" si="151"/>
        <v>0.44444444444444442</v>
      </c>
      <c r="AU386">
        <f>survey_responses[[#This Row],[Tôi tin tưởng số tiền thuế tôi đóng sẽ được Nhà nước sử dụng hiệu quả để cải thiện dịch vụ công (y tế, đường xá...). - HUMAN-TRU3]]</f>
        <v>4</v>
      </c>
      <c r="AV386">
        <f t="shared" si="152"/>
        <v>0.33333333333333331</v>
      </c>
      <c r="AW386">
        <f>step3_validation[[#This Row],[AI_TRU4]]</f>
        <v>7</v>
      </c>
      <c r="AX386">
        <f t="shared" si="153"/>
        <v>0.66666666666666663</v>
      </c>
      <c r="AY386">
        <f>survey_responses[[#This Row],[Tôi thấy Nhà nước đã giải thích rõ ràng, minh bạch về lý do và mục tiêu của việc sửa đổi thuế lần này. - HUMAN-TRU4]]</f>
        <v>5</v>
      </c>
      <c r="AZ386">
        <f t="shared" si="154"/>
        <v>0.44444444444444442</v>
      </c>
      <c r="BA386" s="32">
        <f t="shared" si="155"/>
        <v>0.63888888888888884</v>
      </c>
      <c r="BB386" s="32">
        <f t="shared" si="156"/>
        <v>0.38888888888888884</v>
      </c>
      <c r="BC386" s="7">
        <f t="shared" si="157"/>
        <v>0.65740740740740744</v>
      </c>
      <c r="BD386" s="7">
        <f t="shared" si="158"/>
        <v>0.3518518518518518</v>
      </c>
      <c r="BE386">
        <f>step3_validation[[#This Row],[AI_OUT1]]</f>
        <v>9</v>
      </c>
      <c r="BF386">
        <f t="shared" si="159"/>
        <v>0.88888888888888884</v>
      </c>
      <c r="BG386">
        <f>survey_responses[[#This Row],[Sau khi xem xét các quyền lợi và nghĩa vụ, bạn có ủng hộ và tuân thủ chính sách mới hiện nay? - HUMAN-OUT1]]</f>
        <v>5</v>
      </c>
      <c r="BH386">
        <f t="shared" si="160"/>
        <v>0.44444444444444442</v>
      </c>
      <c r="BI386" s="32">
        <f t="shared" si="161"/>
        <v>4</v>
      </c>
    </row>
    <row r="387" spans="1:61" x14ac:dyDescent="0.45">
      <c r="A387" s="30">
        <f>step3_validation[[#This Row],[Persona_ID]]</f>
        <v>386</v>
      </c>
      <c r="B387" s="31">
        <f>step3_validation[[#This Row],[Used_Seed]]</f>
        <v>2411</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28.730058768376939</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6</v>
      </c>
      <c r="R387">
        <f t="shared" ref="R387:R404" si="162">(Q387-1)/9</f>
        <v>0.55555555555555558</v>
      </c>
      <c r="S387">
        <f>survey_responses[[#This Row],[Tôi tin rằng với các quy định quản lý thuế hiện nay, hành vi gian lận hoặc trốn thuế sẽ dễ dàng bị phát hiện và xử lý nghiêm. - HUMAN-ENF1]]</f>
        <v>8</v>
      </c>
      <c r="T387">
        <f t="shared" ref="T387:T404" si="163">(S387-1)/9</f>
        <v>0.77777777777777779</v>
      </c>
      <c r="U387">
        <f>step3_validation[[#This Row],[AI_ENF2]]</f>
        <v>5</v>
      </c>
      <c r="V387">
        <f t="shared" ref="V387:V404" si="164">(U387-1)/9</f>
        <v>0.44444444444444442</v>
      </c>
      <c r="W387">
        <f>survey_responses[[#This Row],[Tôi tin rằng Nhà nước, cơ quan thuế có đủ khả năng và công nghệ để phát hiện, xử lý nghiêm các hành vi trốn thuế. - HUMAN-ENF2]]</f>
        <v>8</v>
      </c>
      <c r="X387">
        <f t="shared" ref="X387:X404" si="165">(W387-1)/9</f>
        <v>0.77777777777777779</v>
      </c>
      <c r="Y387" s="32">
        <f t="shared" ref="Y387:Y404" si="166">AVERAGE(R387,V387)</f>
        <v>0.5</v>
      </c>
      <c r="Z387" s="32">
        <f t="shared" ref="Z387:Z404" si="167">AVERAGE(T387,X387)</f>
        <v>0.77777777777777779</v>
      </c>
      <c r="AA387">
        <f>step3_validation[[#This Row],[AI_FAC1]]</f>
        <v>7</v>
      </c>
      <c r="AB387">
        <f t="shared" ref="AB387:AB404" si="168">(AA387-1)/9</f>
        <v>0.66666666666666663</v>
      </c>
      <c r="AC387">
        <f>survey_responses[[#This Row],[Các thủ tục khai báo thuế VÀ/HOẶC quy trình làm việc với cơ quan thuế đơn giản, tiện lợi, nhanh chóng hơn so với trước đây. - HUMAN-FAC1]]</f>
        <v>9</v>
      </c>
      <c r="AD387">
        <f t="shared" ref="AD387:AD404" si="169">(AC387-1)/9</f>
        <v>0.88888888888888884</v>
      </c>
      <c r="AE387">
        <f>step3_validation[[#This Row],[AI_FAC2]]</f>
        <v>9</v>
      </c>
      <c r="AF387">
        <f t="shared" ref="AF387:AF404" si="170">(AE387-1)/9</f>
        <v>0.88888888888888884</v>
      </c>
      <c r="AG387">
        <f>survey_responses[[#This Row],[So với trước đây, tôi thấy cách tính thuế và các bậc thuế trong phương án mới đơn giản, dễ hiểu và dễ thực hiện hơn. - HUMAN-FAC2]]</f>
        <v>8</v>
      </c>
      <c r="AH387">
        <f t="shared" ref="AH387:AH404" si="171">(AG387-1)/9</f>
        <v>0.77777777777777779</v>
      </c>
      <c r="AI387" s="32">
        <f t="shared" ref="AI387:AI404" si="172">AVERAGE(AB387,AF387)</f>
        <v>0.77777777777777768</v>
      </c>
      <c r="AJ387" s="32">
        <f t="shared" ref="AJ387:AJ404" si="173">AVERAGE(AD387,AH387)</f>
        <v>0.83333333333333326</v>
      </c>
      <c r="AK387">
        <f>step3_validation[[#This Row],[AI_TRU1]]</f>
        <v>6</v>
      </c>
      <c r="AL387">
        <f t="shared" ref="AL387:AL404" si="174">(AK387-1)/9</f>
        <v>0.55555555555555558</v>
      </c>
      <c r="AM387">
        <f>survey_responses[[#This Row],[Tôi tin rằng Nhà nước, cơ quan thuế sẽ thực thi chính sách mới một cách khách quan, công tâm và đối xử bình đẳng với mọi người nộp thuế.  - HUMAN-TRU1]]</f>
        <v>7</v>
      </c>
      <c r="AN387">
        <f t="shared" ref="AN387:AN404" si="175">(AM387-1)/9</f>
        <v>0.66666666666666663</v>
      </c>
      <c r="AO387">
        <f>step3_validation[[#This Row],[AI_TRU2]]</f>
        <v>9</v>
      </c>
      <c r="AP387">
        <f t="shared" ref="AP387:AP404" si="176">(AO387-1)/9</f>
        <v>0.88888888888888884</v>
      </c>
      <c r="AQ387">
        <f>survey_responses[[#This Row],[Tôi thấy mức thuế tôi phải đóng theo phương án mới là công bằng (người thu nhập như tôi đóng mức này là hợp lý). - HUMAN-TRU2]]</f>
        <v>8</v>
      </c>
      <c r="AR387">
        <f t="shared" ref="AR387:AR404" si="177">(AQ387-1)/9</f>
        <v>0.77777777777777779</v>
      </c>
      <c r="AS387">
        <f>step3_validation[[#This Row],[AI_TRU3]]</f>
        <v>7</v>
      </c>
      <c r="AT387">
        <f t="shared" ref="AT387:AT404" si="178">(AS387-1)/9</f>
        <v>0.66666666666666663</v>
      </c>
      <c r="AU387">
        <f>survey_responses[[#This Row],[Tôi tin tưởng số tiền thuế tôi đóng sẽ được Nhà nước sử dụng hiệu quả để cải thiện dịch vụ công (y tế, đường xá...). - HUMAN-TRU3]]</f>
        <v>7</v>
      </c>
      <c r="AV387">
        <f t="shared" ref="AV387:AV404" si="179">(AU387-1)/9</f>
        <v>0.66666666666666663</v>
      </c>
      <c r="AW387">
        <f>step3_validation[[#This Row],[AI_TRU4]]</f>
        <v>6</v>
      </c>
      <c r="AX387">
        <f t="shared" ref="AX387:AX404" si="180">(AW387-1)/9</f>
        <v>0.55555555555555558</v>
      </c>
      <c r="AY387">
        <f>survey_responses[[#This Row],[Tôi thấy Nhà nước đã giải thích rõ ràng, minh bạch về lý do và mục tiêu của việc sửa đổi thuế lần này. - HUMAN-TRU4]]</f>
        <v>7</v>
      </c>
      <c r="AZ387">
        <f t="shared" ref="AZ387:AZ404" si="181">(AY387-1)/9</f>
        <v>0.66666666666666663</v>
      </c>
      <c r="BA387" s="32">
        <f t="shared" ref="BA387:BA404" si="182">AVERAGE(AL387,AP387,AT387,AX387)</f>
        <v>0.66666666666666674</v>
      </c>
      <c r="BB387" s="32">
        <f t="shared" ref="BB387:BB404" si="183">AVERAGE(AN387,AR387,AV387,AZ387)</f>
        <v>0.69444444444444442</v>
      </c>
      <c r="BC387" s="7">
        <f t="shared" ref="BC387:BC404" si="184">(Y387+AI387+BA387)/3</f>
        <v>0.64814814814814814</v>
      </c>
      <c r="BD387" s="7">
        <f t="shared" ref="BD387:BD404" si="185">(Z387+AJ387+BB387)/3</f>
        <v>0.76851851851851849</v>
      </c>
      <c r="BE387">
        <f>step3_validation[[#This Row],[AI_OUT1]]</f>
        <v>7</v>
      </c>
      <c r="BF387">
        <f t="shared" ref="BF387:BF404" si="186">(BE387-1)/9</f>
        <v>0.66666666666666663</v>
      </c>
      <c r="BG387">
        <f>survey_responses[[#This Row],[Sau khi xem xét các quyền lợi và nghĩa vụ, bạn có ủng hộ và tuân thủ chính sách mới hiện nay? - HUMAN-OUT1]]</f>
        <v>8</v>
      </c>
      <c r="BH387">
        <f t="shared" ref="BH387:BH404" si="187">(BG387-1)/9</f>
        <v>0.77777777777777779</v>
      </c>
      <c r="BI387" s="32">
        <f t="shared" ref="BI387:BI404" si="188">ABS(BG387-BE387)</f>
        <v>1</v>
      </c>
    </row>
    <row r="388" spans="1:61" x14ac:dyDescent="0.45">
      <c r="A388" s="30">
        <f>step3_validation[[#This Row],[Persona_ID]]</f>
        <v>387</v>
      </c>
      <c r="B388" s="31">
        <f>step3_validation[[#This Row],[Used_Seed]]</f>
        <v>2412</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49.714636506077611</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7</v>
      </c>
      <c r="R388">
        <f t="shared" si="162"/>
        <v>0.66666666666666663</v>
      </c>
      <c r="S388">
        <f>survey_responses[[#This Row],[Tôi tin rằng với các quy định quản lý thuế hiện nay, hành vi gian lận hoặc trốn thuế sẽ dễ dàng bị phát hiện và xử lý nghiêm. - HUMAN-ENF1]]</f>
        <v>5</v>
      </c>
      <c r="T388">
        <f t="shared" si="163"/>
        <v>0.44444444444444442</v>
      </c>
      <c r="U388">
        <f>step3_validation[[#This Row],[AI_ENF2]]</f>
        <v>8</v>
      </c>
      <c r="V388">
        <f t="shared" si="164"/>
        <v>0.77777777777777779</v>
      </c>
      <c r="W388">
        <f>survey_responses[[#This Row],[Tôi tin rằng Nhà nước, cơ quan thuế có đủ khả năng và công nghệ để phát hiện, xử lý nghiêm các hành vi trốn thuế. - HUMAN-ENF2]]</f>
        <v>5</v>
      </c>
      <c r="X388">
        <f t="shared" si="165"/>
        <v>0.44444444444444442</v>
      </c>
      <c r="Y388" s="32">
        <f t="shared" si="166"/>
        <v>0.72222222222222221</v>
      </c>
      <c r="Z388" s="32">
        <f t="shared" si="167"/>
        <v>0.44444444444444442</v>
      </c>
      <c r="AA388">
        <f>step3_validation[[#This Row],[AI_FAC1]]</f>
        <v>9</v>
      </c>
      <c r="AB388">
        <f t="shared" si="168"/>
        <v>0.88888888888888884</v>
      </c>
      <c r="AC388">
        <f>survey_responses[[#This Row],[Các thủ tục khai báo thuế VÀ/HOẶC quy trình làm việc với cơ quan thuế đơn giản, tiện lợi, nhanh chóng hơn so với trước đây. - HUMAN-FAC1]]</f>
        <v>5</v>
      </c>
      <c r="AD388">
        <f t="shared" si="169"/>
        <v>0.44444444444444442</v>
      </c>
      <c r="AE388">
        <f>step3_validation[[#This Row],[AI_FAC2]]</f>
        <v>9</v>
      </c>
      <c r="AF388">
        <f t="shared" si="170"/>
        <v>0.88888888888888884</v>
      </c>
      <c r="AG388">
        <f>survey_responses[[#This Row],[So với trước đây, tôi thấy cách tính thuế và các bậc thuế trong phương án mới đơn giản, dễ hiểu và dễ thực hiện hơn. - HUMAN-FAC2]]</f>
        <v>5</v>
      </c>
      <c r="AH388">
        <f t="shared" si="171"/>
        <v>0.44444444444444442</v>
      </c>
      <c r="AI388" s="32">
        <f t="shared" si="172"/>
        <v>0.88888888888888884</v>
      </c>
      <c r="AJ388" s="32">
        <f t="shared" si="173"/>
        <v>0.44444444444444442</v>
      </c>
      <c r="AK388">
        <f>step3_validation[[#This Row],[AI_TRU1]]</f>
        <v>6</v>
      </c>
      <c r="AL388">
        <f t="shared" si="174"/>
        <v>0.55555555555555558</v>
      </c>
      <c r="AM388">
        <f>survey_responses[[#This Row],[Tôi tin rằng Nhà nước, cơ quan thuế sẽ thực thi chính sách mới một cách khách quan, công tâm và đối xử bình đẳng với mọi người nộp thuế.  - HUMAN-TRU1]]</f>
        <v>5</v>
      </c>
      <c r="AN388">
        <f t="shared" si="175"/>
        <v>0.44444444444444442</v>
      </c>
      <c r="AO388">
        <f>step3_validation[[#This Row],[AI_TRU2]]</f>
        <v>8</v>
      </c>
      <c r="AP388">
        <f t="shared" si="176"/>
        <v>0.77777777777777779</v>
      </c>
      <c r="AQ388">
        <f>survey_responses[[#This Row],[Tôi thấy mức thuế tôi phải đóng theo phương án mới là công bằng (người thu nhập như tôi đóng mức này là hợp lý). - HUMAN-TRU2]]</f>
        <v>5</v>
      </c>
      <c r="AR388">
        <f t="shared" si="177"/>
        <v>0.44444444444444442</v>
      </c>
      <c r="AS388">
        <f>step3_validation[[#This Row],[AI_TRU3]]</f>
        <v>7</v>
      </c>
      <c r="AT388">
        <f t="shared" si="178"/>
        <v>0.66666666666666663</v>
      </c>
      <c r="AU388">
        <f>survey_responses[[#This Row],[Tôi tin tưởng số tiền thuế tôi đóng sẽ được Nhà nước sử dụng hiệu quả để cải thiện dịch vụ công (y tế, đường xá...). - HUMAN-TRU3]]</f>
        <v>5</v>
      </c>
      <c r="AV388">
        <f t="shared" si="179"/>
        <v>0.44444444444444442</v>
      </c>
      <c r="AW388">
        <f>step3_validation[[#This Row],[AI_TRU4]]</f>
        <v>6</v>
      </c>
      <c r="AX388">
        <f t="shared" si="180"/>
        <v>0.55555555555555558</v>
      </c>
      <c r="AY388">
        <f>survey_responses[[#This Row],[Tôi thấy Nhà nước đã giải thích rõ ràng, minh bạch về lý do và mục tiêu của việc sửa đổi thuế lần này. - HUMAN-TRU4]]</f>
        <v>5</v>
      </c>
      <c r="AZ388">
        <f t="shared" si="181"/>
        <v>0.44444444444444442</v>
      </c>
      <c r="BA388" s="32">
        <f t="shared" si="182"/>
        <v>0.63888888888888884</v>
      </c>
      <c r="BB388" s="32">
        <f t="shared" si="183"/>
        <v>0.44444444444444442</v>
      </c>
      <c r="BC388" s="7">
        <f t="shared" si="184"/>
        <v>0.75</v>
      </c>
      <c r="BD388" s="7">
        <f t="shared" si="185"/>
        <v>0.44444444444444442</v>
      </c>
      <c r="BE388">
        <f>step3_validation[[#This Row],[AI_OUT1]]</f>
        <v>8</v>
      </c>
      <c r="BF388">
        <f t="shared" si="186"/>
        <v>0.77777777777777779</v>
      </c>
      <c r="BG388">
        <f>survey_responses[[#This Row],[Sau khi xem xét các quyền lợi và nghĩa vụ, bạn có ủng hộ và tuân thủ chính sách mới hiện nay? - HUMAN-OUT1]]</f>
        <v>5</v>
      </c>
      <c r="BH388">
        <f t="shared" si="187"/>
        <v>0.44444444444444442</v>
      </c>
      <c r="BI388" s="32">
        <f t="shared" si="188"/>
        <v>3</v>
      </c>
    </row>
    <row r="389" spans="1:61" x14ac:dyDescent="0.45">
      <c r="A389" s="30">
        <f>step3_validation[[#This Row],[Persona_ID]]</f>
        <v>388</v>
      </c>
      <c r="B389" s="31">
        <f>step3_validation[[#This Row],[Used_Seed]]</f>
        <v>2413</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12.429781028732824</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6</v>
      </c>
      <c r="R389">
        <f t="shared" si="162"/>
        <v>0.55555555555555558</v>
      </c>
      <c r="S389">
        <f>survey_responses[[#This Row],[Tôi tin rằng với các quy định quản lý thuế hiện nay, hành vi gian lận hoặc trốn thuế sẽ dễ dàng bị phát hiện và xử lý nghiêm. - HUMAN-ENF1]]</f>
        <v>7</v>
      </c>
      <c r="T389">
        <f t="shared" si="163"/>
        <v>0.66666666666666663</v>
      </c>
      <c r="U389">
        <f>step3_validation[[#This Row],[AI_ENF2]]</f>
        <v>7</v>
      </c>
      <c r="V389">
        <f t="shared" si="164"/>
        <v>0.66666666666666663</v>
      </c>
      <c r="W389">
        <f>survey_responses[[#This Row],[Tôi tin rằng Nhà nước, cơ quan thuế có đủ khả năng và công nghệ để phát hiện, xử lý nghiêm các hành vi trốn thuế. - HUMAN-ENF2]]</f>
        <v>7</v>
      </c>
      <c r="X389">
        <f t="shared" si="165"/>
        <v>0.66666666666666663</v>
      </c>
      <c r="Y389" s="32">
        <f t="shared" si="166"/>
        <v>0.61111111111111116</v>
      </c>
      <c r="Z389" s="32">
        <f t="shared" si="167"/>
        <v>0.66666666666666663</v>
      </c>
      <c r="AA389">
        <f>step3_validation[[#This Row],[AI_FAC1]]</f>
        <v>9</v>
      </c>
      <c r="AB389">
        <f t="shared" si="168"/>
        <v>0.88888888888888884</v>
      </c>
      <c r="AC389">
        <f>survey_responses[[#This Row],[Các thủ tục khai báo thuế VÀ/HOẶC quy trình làm việc với cơ quan thuế đơn giản, tiện lợi, nhanh chóng hơn so với trước đây. - HUMAN-FAC1]]</f>
        <v>5</v>
      </c>
      <c r="AD389">
        <f t="shared" si="169"/>
        <v>0.44444444444444442</v>
      </c>
      <c r="AE389">
        <f>step3_validation[[#This Row],[AI_FAC2]]</f>
        <v>8</v>
      </c>
      <c r="AF389">
        <f t="shared" si="170"/>
        <v>0.77777777777777779</v>
      </c>
      <c r="AG389">
        <f>survey_responses[[#This Row],[So với trước đây, tôi thấy cách tính thuế và các bậc thuế trong phương án mới đơn giản, dễ hiểu và dễ thực hiện hơn. - HUMAN-FAC2]]</f>
        <v>8</v>
      </c>
      <c r="AH389">
        <f t="shared" si="171"/>
        <v>0.77777777777777779</v>
      </c>
      <c r="AI389" s="32">
        <f t="shared" si="172"/>
        <v>0.83333333333333326</v>
      </c>
      <c r="AJ389" s="32">
        <f t="shared" si="173"/>
        <v>0.61111111111111116</v>
      </c>
      <c r="AK389">
        <f>step3_validation[[#This Row],[AI_TRU1]]</f>
        <v>7</v>
      </c>
      <c r="AL389">
        <f t="shared" si="174"/>
        <v>0.66666666666666663</v>
      </c>
      <c r="AM389">
        <f>survey_responses[[#This Row],[Tôi tin rằng Nhà nước, cơ quan thuế sẽ thực thi chính sách mới một cách khách quan, công tâm và đối xử bình đẳng với mọi người nộp thuế.  - HUMAN-TRU1]]</f>
        <v>6</v>
      </c>
      <c r="AN389">
        <f t="shared" si="175"/>
        <v>0.55555555555555558</v>
      </c>
      <c r="AO389">
        <f>step3_validation[[#This Row],[AI_TRU2]]</f>
        <v>9</v>
      </c>
      <c r="AP389">
        <f t="shared" si="176"/>
        <v>0.88888888888888884</v>
      </c>
      <c r="AQ389">
        <f>survey_responses[[#This Row],[Tôi thấy mức thuế tôi phải đóng theo phương án mới là công bằng (người thu nhập như tôi đóng mức này là hợp lý). - HUMAN-TRU2]]</f>
        <v>8</v>
      </c>
      <c r="AR389">
        <f t="shared" si="177"/>
        <v>0.77777777777777779</v>
      </c>
      <c r="AS389">
        <f>step3_validation[[#This Row],[AI_TRU3]]</f>
        <v>8</v>
      </c>
      <c r="AT389">
        <f t="shared" si="178"/>
        <v>0.77777777777777779</v>
      </c>
      <c r="AU389">
        <f>survey_responses[[#This Row],[Tôi tin tưởng số tiền thuế tôi đóng sẽ được Nhà nước sử dụng hiệu quả để cải thiện dịch vụ công (y tế, đường xá...). - HUMAN-TRU3]]</f>
        <v>5</v>
      </c>
      <c r="AV389">
        <f t="shared" si="179"/>
        <v>0.44444444444444442</v>
      </c>
      <c r="AW389">
        <f>step3_validation[[#This Row],[AI_TRU4]]</f>
        <v>9</v>
      </c>
      <c r="AX389">
        <f t="shared" si="180"/>
        <v>0.88888888888888884</v>
      </c>
      <c r="AY389">
        <f>survey_responses[[#This Row],[Tôi thấy Nhà nước đã giải thích rõ ràng, minh bạch về lý do và mục tiêu của việc sửa đổi thuế lần này. - HUMAN-TRU4]]</f>
        <v>5</v>
      </c>
      <c r="AZ389">
        <f t="shared" si="181"/>
        <v>0.44444444444444442</v>
      </c>
      <c r="BA389" s="32">
        <f t="shared" si="182"/>
        <v>0.80555555555555547</v>
      </c>
      <c r="BB389" s="32">
        <f t="shared" si="183"/>
        <v>0.55555555555555558</v>
      </c>
      <c r="BC389" s="7">
        <f t="shared" si="184"/>
        <v>0.75</v>
      </c>
      <c r="BD389" s="7">
        <f t="shared" si="185"/>
        <v>0.61111111111111105</v>
      </c>
      <c r="BE389">
        <f>step3_validation[[#This Row],[AI_OUT1]]</f>
        <v>8</v>
      </c>
      <c r="BF389">
        <f t="shared" si="186"/>
        <v>0.77777777777777779</v>
      </c>
      <c r="BG389">
        <f>survey_responses[[#This Row],[Sau khi xem xét các quyền lợi và nghĩa vụ, bạn có ủng hộ và tuân thủ chính sách mới hiện nay? - HUMAN-OUT1]]</f>
        <v>8</v>
      </c>
      <c r="BH389">
        <f t="shared" si="187"/>
        <v>0.77777777777777779</v>
      </c>
      <c r="BI389" s="32">
        <f t="shared" si="188"/>
        <v>0</v>
      </c>
    </row>
    <row r="390" spans="1:61" x14ac:dyDescent="0.45">
      <c r="A390" s="30">
        <f>step3_validation[[#This Row],[Persona_ID]]</f>
        <v>389</v>
      </c>
      <c r="B390" s="31">
        <f>step3_validation[[#This Row],[Used_Seed]]</f>
        <v>2414</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21.624083852578508</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7</v>
      </c>
      <c r="R390">
        <f t="shared" si="162"/>
        <v>0.66666666666666663</v>
      </c>
      <c r="S390">
        <f>survey_responses[[#This Row],[Tôi tin rằng với các quy định quản lý thuế hiện nay, hành vi gian lận hoặc trốn thuế sẽ dễ dàng bị phát hiện và xử lý nghiêm. - HUMAN-ENF1]]</f>
        <v>6</v>
      </c>
      <c r="T390">
        <f t="shared" si="163"/>
        <v>0.55555555555555558</v>
      </c>
      <c r="U390">
        <f>step3_validation[[#This Row],[AI_ENF2]]</f>
        <v>8</v>
      </c>
      <c r="V390">
        <f t="shared" si="164"/>
        <v>0.77777777777777779</v>
      </c>
      <c r="W390">
        <f>survey_responses[[#This Row],[Tôi tin rằng Nhà nước, cơ quan thuế có đủ khả năng và công nghệ để phát hiện, xử lý nghiêm các hành vi trốn thuế. - HUMAN-ENF2]]</f>
        <v>8</v>
      </c>
      <c r="X390">
        <f t="shared" si="165"/>
        <v>0.77777777777777779</v>
      </c>
      <c r="Y390" s="32">
        <f t="shared" si="166"/>
        <v>0.72222222222222221</v>
      </c>
      <c r="Z390" s="32">
        <f t="shared" si="167"/>
        <v>0.66666666666666674</v>
      </c>
      <c r="AA390">
        <f>step3_validation[[#This Row],[AI_FAC1]]</f>
        <v>9</v>
      </c>
      <c r="AB390">
        <f t="shared" si="168"/>
        <v>0.88888888888888884</v>
      </c>
      <c r="AC390">
        <f>survey_responses[[#This Row],[Các thủ tục khai báo thuế VÀ/HOẶC quy trình làm việc với cơ quan thuế đơn giản, tiện lợi, nhanh chóng hơn so với trước đây. - HUMAN-FAC1]]</f>
        <v>7</v>
      </c>
      <c r="AD390">
        <f t="shared" si="169"/>
        <v>0.66666666666666663</v>
      </c>
      <c r="AE390">
        <f>step3_validation[[#This Row],[AI_FAC2]]</f>
        <v>10</v>
      </c>
      <c r="AF390">
        <f t="shared" si="170"/>
        <v>1</v>
      </c>
      <c r="AG390">
        <f>survey_responses[[#This Row],[So với trước đây, tôi thấy cách tính thuế và các bậc thuế trong phương án mới đơn giản, dễ hiểu và dễ thực hiện hơn. - HUMAN-FAC2]]</f>
        <v>8</v>
      </c>
      <c r="AH390">
        <f t="shared" si="171"/>
        <v>0.77777777777777779</v>
      </c>
      <c r="AI390" s="32">
        <f t="shared" si="172"/>
        <v>0.94444444444444442</v>
      </c>
      <c r="AJ390" s="32">
        <f t="shared" si="173"/>
        <v>0.72222222222222221</v>
      </c>
      <c r="AK390">
        <f>step3_validation[[#This Row],[AI_TRU1]]</f>
        <v>6</v>
      </c>
      <c r="AL390">
        <f t="shared" si="174"/>
        <v>0.55555555555555558</v>
      </c>
      <c r="AM390">
        <f>survey_responses[[#This Row],[Tôi tin rằng Nhà nước, cơ quan thuế sẽ thực thi chính sách mới một cách khách quan, công tâm và đối xử bình đẳng với mọi người nộp thuế.  - HUMAN-TRU1]]</f>
        <v>6</v>
      </c>
      <c r="AN390">
        <f t="shared" si="175"/>
        <v>0.55555555555555558</v>
      </c>
      <c r="AO390">
        <f>step3_validation[[#This Row],[AI_TRU2]]</f>
        <v>7</v>
      </c>
      <c r="AP390">
        <f t="shared" si="176"/>
        <v>0.66666666666666663</v>
      </c>
      <c r="AQ390">
        <f>survey_responses[[#This Row],[Tôi thấy mức thuế tôi phải đóng theo phương án mới là công bằng (người thu nhập như tôi đóng mức này là hợp lý). - HUMAN-TRU2]]</f>
        <v>8</v>
      </c>
      <c r="AR390">
        <f t="shared" si="177"/>
        <v>0.77777777777777779</v>
      </c>
      <c r="AS390">
        <f>step3_validation[[#This Row],[AI_TRU3]]</f>
        <v>8</v>
      </c>
      <c r="AT390">
        <f t="shared" si="178"/>
        <v>0.77777777777777779</v>
      </c>
      <c r="AU390">
        <f>survey_responses[[#This Row],[Tôi tin tưởng số tiền thuế tôi đóng sẽ được Nhà nước sử dụng hiệu quả để cải thiện dịch vụ công (y tế, đường xá...). - HUMAN-TRU3]]</f>
        <v>5</v>
      </c>
      <c r="AV390">
        <f t="shared" si="179"/>
        <v>0.44444444444444442</v>
      </c>
      <c r="AW390">
        <f>step3_validation[[#This Row],[AI_TRU4]]</f>
        <v>6</v>
      </c>
      <c r="AX390">
        <f t="shared" si="180"/>
        <v>0.55555555555555558</v>
      </c>
      <c r="AY390">
        <f>survey_responses[[#This Row],[Tôi thấy Nhà nước đã giải thích rõ ràng, minh bạch về lý do và mục tiêu của việc sửa đổi thuế lần này. - HUMAN-TRU4]]</f>
        <v>5</v>
      </c>
      <c r="AZ390">
        <f t="shared" si="181"/>
        <v>0.44444444444444442</v>
      </c>
      <c r="BA390" s="32">
        <f t="shared" si="182"/>
        <v>0.63888888888888884</v>
      </c>
      <c r="BB390" s="32">
        <f t="shared" si="183"/>
        <v>0.55555555555555558</v>
      </c>
      <c r="BC390" s="7">
        <f t="shared" si="184"/>
        <v>0.76851851851851849</v>
      </c>
      <c r="BD390" s="7">
        <f t="shared" si="185"/>
        <v>0.64814814814814814</v>
      </c>
      <c r="BE390">
        <f>step3_validation[[#This Row],[AI_OUT1]]</f>
        <v>9</v>
      </c>
      <c r="BF390">
        <f t="shared" si="186"/>
        <v>0.88888888888888884</v>
      </c>
      <c r="BG390">
        <f>survey_responses[[#This Row],[Sau khi xem xét các quyền lợi và nghĩa vụ, bạn có ủng hộ và tuân thủ chính sách mới hiện nay? - HUMAN-OUT1]]</f>
        <v>8</v>
      </c>
      <c r="BH390">
        <f t="shared" si="187"/>
        <v>0.77777777777777779</v>
      </c>
      <c r="BI390" s="32">
        <f t="shared" si="188"/>
        <v>1</v>
      </c>
    </row>
    <row r="391" spans="1:61" x14ac:dyDescent="0.45">
      <c r="A391" s="30">
        <f>step3_validation[[#This Row],[Persona_ID]]</f>
        <v>390</v>
      </c>
      <c r="B391" s="31">
        <f>step3_validation[[#This Row],[Used_Seed]]</f>
        <v>2415</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36.651209464252382</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9</v>
      </c>
      <c r="R391">
        <f t="shared" si="162"/>
        <v>0.88888888888888884</v>
      </c>
      <c r="S391">
        <f>survey_responses[[#This Row],[Tôi tin rằng với các quy định quản lý thuế hiện nay, hành vi gian lận hoặc trốn thuế sẽ dễ dàng bị phát hiện và xử lý nghiêm. - HUMAN-ENF1]]</f>
        <v>10</v>
      </c>
      <c r="T391">
        <f t="shared" si="163"/>
        <v>1</v>
      </c>
      <c r="U391">
        <f>step3_validation[[#This Row],[AI_ENF2]]</f>
        <v>8</v>
      </c>
      <c r="V391">
        <f t="shared" si="164"/>
        <v>0.77777777777777779</v>
      </c>
      <c r="W391">
        <f>survey_responses[[#This Row],[Tôi tin rằng Nhà nước, cơ quan thuế có đủ khả năng và công nghệ để phát hiện, xử lý nghiêm các hành vi trốn thuế. - HUMAN-ENF2]]</f>
        <v>10</v>
      </c>
      <c r="X391">
        <f t="shared" si="165"/>
        <v>1</v>
      </c>
      <c r="Y391" s="32">
        <f t="shared" si="166"/>
        <v>0.83333333333333326</v>
      </c>
      <c r="Z391" s="32">
        <f t="shared" si="167"/>
        <v>1</v>
      </c>
      <c r="AA391">
        <f>step3_validation[[#This Row],[AI_FAC1]]</f>
        <v>7</v>
      </c>
      <c r="AB391">
        <f t="shared" si="168"/>
        <v>0.66666666666666663</v>
      </c>
      <c r="AC391">
        <f>survey_responses[[#This Row],[Các thủ tục khai báo thuế VÀ/HOẶC quy trình làm việc với cơ quan thuế đơn giản, tiện lợi, nhanh chóng hơn so với trước đây. - HUMAN-FAC1]]</f>
        <v>5</v>
      </c>
      <c r="AD391">
        <f t="shared" si="169"/>
        <v>0.44444444444444442</v>
      </c>
      <c r="AE391">
        <f>step3_validation[[#This Row],[AI_FAC2]]</f>
        <v>8</v>
      </c>
      <c r="AF391">
        <f t="shared" si="170"/>
        <v>0.77777777777777779</v>
      </c>
      <c r="AG391">
        <f>survey_responses[[#This Row],[So với trước đây, tôi thấy cách tính thuế và các bậc thuế trong phương án mới đơn giản, dễ hiểu và dễ thực hiện hơn. - HUMAN-FAC2]]</f>
        <v>9</v>
      </c>
      <c r="AH391">
        <f t="shared" si="171"/>
        <v>0.88888888888888884</v>
      </c>
      <c r="AI391" s="32">
        <f t="shared" si="172"/>
        <v>0.72222222222222221</v>
      </c>
      <c r="AJ391" s="32">
        <f t="shared" si="173"/>
        <v>0.66666666666666663</v>
      </c>
      <c r="AK391">
        <f>step3_validation[[#This Row],[AI_TRU1]]</f>
        <v>9</v>
      </c>
      <c r="AL391">
        <f t="shared" si="174"/>
        <v>0.88888888888888884</v>
      </c>
      <c r="AM391">
        <f>survey_responses[[#This Row],[Tôi tin rằng Nhà nước, cơ quan thuế sẽ thực thi chính sách mới một cách khách quan, công tâm và đối xử bình đẳng với mọi người nộp thuế.  - HUMAN-TRU1]]</f>
        <v>7</v>
      </c>
      <c r="AN391">
        <f t="shared" si="175"/>
        <v>0.66666666666666663</v>
      </c>
      <c r="AO391">
        <f>step3_validation[[#This Row],[AI_TRU2]]</f>
        <v>8</v>
      </c>
      <c r="AP391">
        <f t="shared" si="176"/>
        <v>0.77777777777777779</v>
      </c>
      <c r="AQ391">
        <f>survey_responses[[#This Row],[Tôi thấy mức thuế tôi phải đóng theo phương án mới là công bằng (người thu nhập như tôi đóng mức này là hợp lý). - HUMAN-TRU2]]</f>
        <v>8</v>
      </c>
      <c r="AR391">
        <f t="shared" si="177"/>
        <v>0.77777777777777779</v>
      </c>
      <c r="AS391">
        <f>step3_validation[[#This Row],[AI_TRU3]]</f>
        <v>9</v>
      </c>
      <c r="AT391">
        <f t="shared" si="178"/>
        <v>0.88888888888888884</v>
      </c>
      <c r="AU391">
        <f>survey_responses[[#This Row],[Tôi tin tưởng số tiền thuế tôi đóng sẽ được Nhà nước sử dụng hiệu quả để cải thiện dịch vụ công (y tế, đường xá...). - HUMAN-TRU3]]</f>
        <v>5</v>
      </c>
      <c r="AV391">
        <f t="shared" si="179"/>
        <v>0.44444444444444442</v>
      </c>
      <c r="AW391">
        <f>step3_validation[[#This Row],[AI_TRU4]]</f>
        <v>8</v>
      </c>
      <c r="AX391">
        <f t="shared" si="180"/>
        <v>0.77777777777777779</v>
      </c>
      <c r="AY391">
        <f>survey_responses[[#This Row],[Tôi thấy Nhà nước đã giải thích rõ ràng, minh bạch về lý do và mục tiêu của việc sửa đổi thuế lần này. - HUMAN-TRU4]]</f>
        <v>5</v>
      </c>
      <c r="AZ391">
        <f t="shared" si="181"/>
        <v>0.44444444444444442</v>
      </c>
      <c r="BA391" s="32">
        <f t="shared" si="182"/>
        <v>0.83333333333333326</v>
      </c>
      <c r="BB391" s="32">
        <f t="shared" si="183"/>
        <v>0.58333333333333326</v>
      </c>
      <c r="BC391" s="7">
        <f t="shared" si="184"/>
        <v>0.79629629629629617</v>
      </c>
      <c r="BD391" s="7">
        <f t="shared" si="185"/>
        <v>0.75</v>
      </c>
      <c r="BE391">
        <f>step3_validation[[#This Row],[AI_OUT1]]</f>
        <v>9</v>
      </c>
      <c r="BF391">
        <f t="shared" si="186"/>
        <v>0.88888888888888884</v>
      </c>
      <c r="BG391">
        <f>survey_responses[[#This Row],[Sau khi xem xét các quyền lợi và nghĩa vụ, bạn có ủng hộ và tuân thủ chính sách mới hiện nay? - HUMAN-OUT1]]</f>
        <v>8</v>
      </c>
      <c r="BH391">
        <f t="shared" si="187"/>
        <v>0.77777777777777779</v>
      </c>
      <c r="BI391" s="32">
        <f t="shared" si="188"/>
        <v>1</v>
      </c>
    </row>
    <row r="392" spans="1:61" x14ac:dyDescent="0.45">
      <c r="A392" s="30">
        <f>step3_validation[[#This Row],[Persona_ID]]</f>
        <v>391</v>
      </c>
      <c r="B392" s="31">
        <f>step3_validation[[#This Row],[Used_Seed]]</f>
        <v>2416</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13.303098066304376</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7</v>
      </c>
      <c r="R392">
        <f t="shared" si="162"/>
        <v>0.66666666666666663</v>
      </c>
      <c r="S392">
        <f>survey_responses[[#This Row],[Tôi tin rằng với các quy định quản lý thuế hiện nay, hành vi gian lận hoặc trốn thuế sẽ dễ dàng bị phát hiện và xử lý nghiêm. - HUMAN-ENF1]]</f>
        <v>4</v>
      </c>
      <c r="T392">
        <f t="shared" si="163"/>
        <v>0.33333333333333331</v>
      </c>
      <c r="U392">
        <f>step3_validation[[#This Row],[AI_ENF2]]</f>
        <v>8</v>
      </c>
      <c r="V392">
        <f t="shared" si="164"/>
        <v>0.77777777777777779</v>
      </c>
      <c r="W392">
        <f>survey_responses[[#This Row],[Tôi tin rằng Nhà nước, cơ quan thuế có đủ khả năng và công nghệ để phát hiện, xử lý nghiêm các hành vi trốn thuế. - HUMAN-ENF2]]</f>
        <v>5</v>
      </c>
      <c r="X392">
        <f t="shared" si="165"/>
        <v>0.44444444444444442</v>
      </c>
      <c r="Y392" s="32">
        <f t="shared" si="166"/>
        <v>0.72222222222222221</v>
      </c>
      <c r="Z392" s="32">
        <f t="shared" si="167"/>
        <v>0.38888888888888884</v>
      </c>
      <c r="AA392">
        <f>step3_validation[[#This Row],[AI_FAC1]]</f>
        <v>7</v>
      </c>
      <c r="AB392">
        <f t="shared" si="168"/>
        <v>0.66666666666666663</v>
      </c>
      <c r="AC392">
        <f>survey_responses[[#This Row],[Các thủ tục khai báo thuế VÀ/HOẶC quy trình làm việc với cơ quan thuế đơn giản, tiện lợi, nhanh chóng hơn so với trước đây. - HUMAN-FAC1]]</f>
        <v>7</v>
      </c>
      <c r="AD392">
        <f t="shared" si="169"/>
        <v>0.66666666666666663</v>
      </c>
      <c r="AE392">
        <f>step3_validation[[#This Row],[AI_FAC2]]</f>
        <v>9</v>
      </c>
      <c r="AF392">
        <f t="shared" si="170"/>
        <v>0.88888888888888884</v>
      </c>
      <c r="AG392">
        <f>survey_responses[[#This Row],[So với trước đây, tôi thấy cách tính thuế và các bậc thuế trong phương án mới đơn giản, dễ hiểu và dễ thực hiện hơn. - HUMAN-FAC2]]</f>
        <v>7</v>
      </c>
      <c r="AH392">
        <f t="shared" si="171"/>
        <v>0.66666666666666663</v>
      </c>
      <c r="AI392" s="32">
        <f t="shared" si="172"/>
        <v>0.77777777777777768</v>
      </c>
      <c r="AJ392" s="32">
        <f t="shared" si="173"/>
        <v>0.66666666666666663</v>
      </c>
      <c r="AK392">
        <f>step3_validation[[#This Row],[AI_TRU1]]</f>
        <v>6</v>
      </c>
      <c r="AL392">
        <f t="shared" si="174"/>
        <v>0.55555555555555558</v>
      </c>
      <c r="AM392">
        <f>survey_responses[[#This Row],[Tôi tin rằng Nhà nước, cơ quan thuế sẽ thực thi chính sách mới một cách khách quan, công tâm và đối xử bình đẳng với mọi người nộp thuế.  - HUMAN-TRU1]]</f>
        <v>5</v>
      </c>
      <c r="AN392">
        <f t="shared" si="175"/>
        <v>0.44444444444444442</v>
      </c>
      <c r="AO392">
        <f>step3_validation[[#This Row],[AI_TRU2]]</f>
        <v>8</v>
      </c>
      <c r="AP392">
        <f t="shared" si="176"/>
        <v>0.77777777777777779</v>
      </c>
      <c r="AQ392">
        <f>survey_responses[[#This Row],[Tôi thấy mức thuế tôi phải đóng theo phương án mới là công bằng (người thu nhập như tôi đóng mức này là hợp lý). - HUMAN-TRU2]]</f>
        <v>7</v>
      </c>
      <c r="AR392">
        <f t="shared" si="177"/>
        <v>0.66666666666666663</v>
      </c>
      <c r="AS392">
        <f>step3_validation[[#This Row],[AI_TRU3]]</f>
        <v>7</v>
      </c>
      <c r="AT392">
        <f t="shared" si="178"/>
        <v>0.66666666666666663</v>
      </c>
      <c r="AU392">
        <f>survey_responses[[#This Row],[Tôi tin tưởng số tiền thuế tôi đóng sẽ được Nhà nước sử dụng hiệu quả để cải thiện dịch vụ công (y tế, đường xá...). - HUMAN-TRU3]]</f>
        <v>5</v>
      </c>
      <c r="AV392">
        <f t="shared" si="179"/>
        <v>0.44444444444444442</v>
      </c>
      <c r="AW392">
        <f>step3_validation[[#This Row],[AI_TRU4]]</f>
        <v>8</v>
      </c>
      <c r="AX392">
        <f t="shared" si="180"/>
        <v>0.77777777777777779</v>
      </c>
      <c r="AY392">
        <f>survey_responses[[#This Row],[Tôi thấy Nhà nước đã giải thích rõ ràng, minh bạch về lý do và mục tiêu của việc sửa đổi thuế lần này. - HUMAN-TRU4]]</f>
        <v>5</v>
      </c>
      <c r="AZ392">
        <f t="shared" si="181"/>
        <v>0.44444444444444442</v>
      </c>
      <c r="BA392" s="32">
        <f t="shared" si="182"/>
        <v>0.69444444444444442</v>
      </c>
      <c r="BB392" s="32">
        <f t="shared" si="183"/>
        <v>0.5</v>
      </c>
      <c r="BC392" s="7">
        <f t="shared" si="184"/>
        <v>0.73148148148148151</v>
      </c>
      <c r="BD392" s="7">
        <f t="shared" si="185"/>
        <v>0.51851851851851849</v>
      </c>
      <c r="BE392">
        <f>step3_validation[[#This Row],[AI_OUT1]]</f>
        <v>9</v>
      </c>
      <c r="BF392">
        <f t="shared" si="186"/>
        <v>0.88888888888888884</v>
      </c>
      <c r="BG392">
        <f>survey_responses[[#This Row],[Sau khi xem xét các quyền lợi và nghĩa vụ, bạn có ủng hộ và tuân thủ chính sách mới hiện nay? - HUMAN-OUT1]]</f>
        <v>7</v>
      </c>
      <c r="BH392">
        <f t="shared" si="187"/>
        <v>0.66666666666666663</v>
      </c>
      <c r="BI392" s="32">
        <f t="shared" si="188"/>
        <v>2</v>
      </c>
    </row>
    <row r="393" spans="1:61" x14ac:dyDescent="0.45">
      <c r="A393" s="30">
        <f>step3_validation[[#This Row],[Persona_ID]]</f>
        <v>392</v>
      </c>
      <c r="B393" s="31">
        <f>step3_validation[[#This Row],[Used_Seed]]</f>
        <v>2417</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166.38799073238403</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9</v>
      </c>
      <c r="R393">
        <f t="shared" si="162"/>
        <v>0.88888888888888884</v>
      </c>
      <c r="S393">
        <f>survey_responses[[#This Row],[Tôi tin rằng với các quy định quản lý thuế hiện nay, hành vi gian lận hoặc trốn thuế sẽ dễ dàng bị phát hiện và xử lý nghiêm. - HUMAN-ENF1]]</f>
        <v>2</v>
      </c>
      <c r="T393">
        <f t="shared" si="163"/>
        <v>0.1111111111111111</v>
      </c>
      <c r="U393">
        <f>step3_validation[[#This Row],[AI_ENF2]]</f>
        <v>8</v>
      </c>
      <c r="V393">
        <f t="shared" si="164"/>
        <v>0.77777777777777779</v>
      </c>
      <c r="W393">
        <f>survey_responses[[#This Row],[Tôi tin rằng Nhà nước, cơ quan thuế có đủ khả năng và công nghệ để phát hiện, xử lý nghiêm các hành vi trốn thuế. - HUMAN-ENF2]]</f>
        <v>3</v>
      </c>
      <c r="X393">
        <f t="shared" si="165"/>
        <v>0.22222222222222221</v>
      </c>
      <c r="Y393" s="32">
        <f t="shared" si="166"/>
        <v>0.83333333333333326</v>
      </c>
      <c r="Z393" s="32">
        <f t="shared" si="167"/>
        <v>0.16666666666666666</v>
      </c>
      <c r="AA393">
        <f>step3_validation[[#This Row],[AI_FAC1]]</f>
        <v>7</v>
      </c>
      <c r="AB393">
        <f t="shared" si="168"/>
        <v>0.66666666666666663</v>
      </c>
      <c r="AC393">
        <f>survey_responses[[#This Row],[Các thủ tục khai báo thuế VÀ/HOẶC quy trình làm việc với cơ quan thuế đơn giản, tiện lợi, nhanh chóng hơn so với trước đây. - HUMAN-FAC1]]</f>
        <v>3</v>
      </c>
      <c r="AD393">
        <f t="shared" si="169"/>
        <v>0.22222222222222221</v>
      </c>
      <c r="AE393">
        <f>step3_validation[[#This Row],[AI_FAC2]]</f>
        <v>8</v>
      </c>
      <c r="AF393">
        <f t="shared" si="170"/>
        <v>0.77777777777777779</v>
      </c>
      <c r="AG393">
        <f>survey_responses[[#This Row],[So với trước đây, tôi thấy cách tính thuế và các bậc thuế trong phương án mới đơn giản, dễ hiểu và dễ thực hiện hơn. - HUMAN-FAC2]]</f>
        <v>6</v>
      </c>
      <c r="AH393">
        <f t="shared" si="171"/>
        <v>0.55555555555555558</v>
      </c>
      <c r="AI393" s="32">
        <f t="shared" si="172"/>
        <v>0.72222222222222221</v>
      </c>
      <c r="AJ393" s="32">
        <f t="shared" si="173"/>
        <v>0.3888888888888889</v>
      </c>
      <c r="AK393">
        <f>step3_validation[[#This Row],[AI_TRU1]]</f>
        <v>9</v>
      </c>
      <c r="AL393">
        <f t="shared" si="174"/>
        <v>0.88888888888888884</v>
      </c>
      <c r="AM393">
        <f>survey_responses[[#This Row],[Tôi tin rằng Nhà nước, cơ quan thuế sẽ thực thi chính sách mới một cách khách quan, công tâm và đối xử bình đẳng với mọi người nộp thuế.  - HUMAN-TRU1]]</f>
        <v>5</v>
      </c>
      <c r="AN393">
        <f t="shared" si="175"/>
        <v>0.44444444444444442</v>
      </c>
      <c r="AO393">
        <f>step3_validation[[#This Row],[AI_TRU2]]</f>
        <v>8</v>
      </c>
      <c r="AP393">
        <f t="shared" si="176"/>
        <v>0.77777777777777779</v>
      </c>
      <c r="AQ393">
        <f>survey_responses[[#This Row],[Tôi thấy mức thuế tôi phải đóng theo phương án mới là công bằng (người thu nhập như tôi đóng mức này là hợp lý). - HUMAN-TRU2]]</f>
        <v>5</v>
      </c>
      <c r="AR393">
        <f t="shared" si="177"/>
        <v>0.44444444444444442</v>
      </c>
      <c r="AS393">
        <f>step3_validation[[#This Row],[AI_TRU3]]</f>
        <v>9</v>
      </c>
      <c r="AT393">
        <f t="shared" si="178"/>
        <v>0.88888888888888884</v>
      </c>
      <c r="AU393">
        <f>survey_responses[[#This Row],[Tôi tin tưởng số tiền thuế tôi đóng sẽ được Nhà nước sử dụng hiệu quả để cải thiện dịch vụ công (y tế, đường xá...). - HUMAN-TRU3]]</f>
        <v>5</v>
      </c>
      <c r="AV393">
        <f t="shared" si="179"/>
        <v>0.44444444444444442</v>
      </c>
      <c r="AW393">
        <f>step3_validation[[#This Row],[AI_TRU4]]</f>
        <v>7</v>
      </c>
      <c r="AX393">
        <f t="shared" si="180"/>
        <v>0.66666666666666663</v>
      </c>
      <c r="AY393">
        <f>survey_responses[[#This Row],[Tôi thấy Nhà nước đã giải thích rõ ràng, minh bạch về lý do và mục tiêu của việc sửa đổi thuế lần này. - HUMAN-TRU4]]</f>
        <v>5</v>
      </c>
      <c r="AZ393">
        <f t="shared" si="181"/>
        <v>0.44444444444444442</v>
      </c>
      <c r="BA393" s="32">
        <f t="shared" si="182"/>
        <v>0.80555555555555547</v>
      </c>
      <c r="BB393" s="32">
        <f t="shared" si="183"/>
        <v>0.44444444444444442</v>
      </c>
      <c r="BC393" s="7">
        <f t="shared" si="184"/>
        <v>0.78703703703703687</v>
      </c>
      <c r="BD393" s="7">
        <f t="shared" si="185"/>
        <v>0.33333333333333331</v>
      </c>
      <c r="BE393">
        <f>step3_validation[[#This Row],[AI_OUT1]]</f>
        <v>9</v>
      </c>
      <c r="BF393">
        <f t="shared" si="186"/>
        <v>0.88888888888888884</v>
      </c>
      <c r="BG393">
        <f>survey_responses[[#This Row],[Sau khi xem xét các quyền lợi và nghĩa vụ, bạn có ủng hộ và tuân thủ chính sách mới hiện nay? - HUMAN-OUT1]]</f>
        <v>5</v>
      </c>
      <c r="BH393">
        <f t="shared" si="187"/>
        <v>0.44444444444444442</v>
      </c>
      <c r="BI393" s="32">
        <f t="shared" si="188"/>
        <v>4</v>
      </c>
    </row>
    <row r="394" spans="1:61" x14ac:dyDescent="0.45">
      <c r="A394" s="30">
        <f>step3_validation[[#This Row],[Persona_ID]]</f>
        <v>393</v>
      </c>
      <c r="B394" s="31">
        <f>step3_validation[[#This Row],[Used_Seed]]</f>
        <v>2418</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26.434396836954384</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6</v>
      </c>
      <c r="R394">
        <f t="shared" si="162"/>
        <v>0.55555555555555558</v>
      </c>
      <c r="S394">
        <f>survey_responses[[#This Row],[Tôi tin rằng với các quy định quản lý thuế hiện nay, hành vi gian lận hoặc trốn thuế sẽ dễ dàng bị phát hiện và xử lý nghiêm. - HUMAN-ENF1]]</f>
        <v>7</v>
      </c>
      <c r="T394">
        <f t="shared" si="163"/>
        <v>0.66666666666666663</v>
      </c>
      <c r="U394">
        <f>step3_validation[[#This Row],[AI_ENF2]]</f>
        <v>7</v>
      </c>
      <c r="V394">
        <f t="shared" si="164"/>
        <v>0.66666666666666663</v>
      </c>
      <c r="W394">
        <f>survey_responses[[#This Row],[Tôi tin rằng Nhà nước, cơ quan thuế có đủ khả năng và công nghệ để phát hiện, xử lý nghiêm các hành vi trốn thuế. - HUMAN-ENF2]]</f>
        <v>7</v>
      </c>
      <c r="X394">
        <f t="shared" si="165"/>
        <v>0.66666666666666663</v>
      </c>
      <c r="Y394" s="32">
        <f t="shared" si="166"/>
        <v>0.61111111111111116</v>
      </c>
      <c r="Z394" s="32">
        <f t="shared" si="167"/>
        <v>0.66666666666666663</v>
      </c>
      <c r="AA394">
        <f>step3_validation[[#This Row],[AI_FAC1]]</f>
        <v>9</v>
      </c>
      <c r="AB394">
        <f t="shared" si="168"/>
        <v>0.88888888888888884</v>
      </c>
      <c r="AC394">
        <f>survey_responses[[#This Row],[Các thủ tục khai báo thuế VÀ/HOẶC quy trình làm việc với cơ quan thuế đơn giản, tiện lợi, nhanh chóng hơn so với trước đây. - HUMAN-FAC1]]</f>
        <v>5</v>
      </c>
      <c r="AD394">
        <f t="shared" si="169"/>
        <v>0.44444444444444442</v>
      </c>
      <c r="AE394">
        <f>step3_validation[[#This Row],[AI_FAC2]]</f>
        <v>8</v>
      </c>
      <c r="AF394">
        <f t="shared" si="170"/>
        <v>0.77777777777777779</v>
      </c>
      <c r="AG394">
        <f>survey_responses[[#This Row],[So với trước đây, tôi thấy cách tính thuế và các bậc thuế trong phương án mới đơn giản, dễ hiểu và dễ thực hiện hơn. - HUMAN-FAC2]]</f>
        <v>8</v>
      </c>
      <c r="AH394">
        <f t="shared" si="171"/>
        <v>0.77777777777777779</v>
      </c>
      <c r="AI394" s="32">
        <f t="shared" si="172"/>
        <v>0.83333333333333326</v>
      </c>
      <c r="AJ394" s="32">
        <f t="shared" si="173"/>
        <v>0.61111111111111116</v>
      </c>
      <c r="AK394">
        <f>step3_validation[[#This Row],[AI_TRU1]]</f>
        <v>7</v>
      </c>
      <c r="AL394">
        <f t="shared" si="174"/>
        <v>0.66666666666666663</v>
      </c>
      <c r="AM394">
        <f>survey_responses[[#This Row],[Tôi tin rằng Nhà nước, cơ quan thuế sẽ thực thi chính sách mới một cách khách quan, công tâm và đối xử bình đẳng với mọi người nộp thuế.  - HUMAN-TRU1]]</f>
        <v>7</v>
      </c>
      <c r="AN394">
        <f t="shared" si="175"/>
        <v>0.66666666666666663</v>
      </c>
      <c r="AO394">
        <f>step3_validation[[#This Row],[AI_TRU2]]</f>
        <v>9</v>
      </c>
      <c r="AP394">
        <f t="shared" si="176"/>
        <v>0.88888888888888884</v>
      </c>
      <c r="AQ394">
        <f>survey_responses[[#This Row],[Tôi thấy mức thuế tôi phải đóng theo phương án mới là công bằng (người thu nhập như tôi đóng mức này là hợp lý). - HUMAN-TRU2]]</f>
        <v>7</v>
      </c>
      <c r="AR394">
        <f t="shared" si="177"/>
        <v>0.66666666666666663</v>
      </c>
      <c r="AS394">
        <f>step3_validation[[#This Row],[AI_TRU3]]</f>
        <v>7</v>
      </c>
      <c r="AT394">
        <f t="shared" si="178"/>
        <v>0.66666666666666663</v>
      </c>
      <c r="AU394">
        <f>survey_responses[[#This Row],[Tôi tin tưởng số tiền thuế tôi đóng sẽ được Nhà nước sử dụng hiệu quả để cải thiện dịch vụ công (y tế, đường xá...). - HUMAN-TRU3]]</f>
        <v>5</v>
      </c>
      <c r="AV394">
        <f t="shared" si="179"/>
        <v>0.44444444444444442</v>
      </c>
      <c r="AW394">
        <f>step3_validation[[#This Row],[AI_TRU4]]</f>
        <v>8</v>
      </c>
      <c r="AX394">
        <f t="shared" si="180"/>
        <v>0.77777777777777779</v>
      </c>
      <c r="AY394">
        <f>survey_responses[[#This Row],[Tôi thấy Nhà nước đã giải thích rõ ràng, minh bạch về lý do và mục tiêu của việc sửa đổi thuế lần này. - HUMAN-TRU4]]</f>
        <v>6</v>
      </c>
      <c r="AZ394">
        <f t="shared" si="181"/>
        <v>0.55555555555555558</v>
      </c>
      <c r="BA394" s="32">
        <f t="shared" si="182"/>
        <v>0.74999999999999989</v>
      </c>
      <c r="BB394" s="32">
        <f t="shared" si="183"/>
        <v>0.58333333333333326</v>
      </c>
      <c r="BC394" s="7">
        <f t="shared" si="184"/>
        <v>0.7314814814814814</v>
      </c>
      <c r="BD394" s="7">
        <f t="shared" si="185"/>
        <v>0.62037037037037035</v>
      </c>
      <c r="BE394">
        <f>step3_validation[[#This Row],[AI_OUT1]]</f>
        <v>9</v>
      </c>
      <c r="BF394">
        <f t="shared" si="186"/>
        <v>0.88888888888888884</v>
      </c>
      <c r="BG394">
        <f>survey_responses[[#This Row],[Sau khi xem xét các quyền lợi và nghĩa vụ, bạn có ủng hộ và tuân thủ chính sách mới hiện nay? - HUMAN-OUT1]]</f>
        <v>7</v>
      </c>
      <c r="BH394">
        <f t="shared" si="187"/>
        <v>0.66666666666666663</v>
      </c>
      <c r="BI394" s="32">
        <f t="shared" si="188"/>
        <v>2</v>
      </c>
    </row>
    <row r="395" spans="1:61" x14ac:dyDescent="0.45">
      <c r="A395" s="30">
        <f>step3_validation[[#This Row],[Persona_ID]]</f>
        <v>394</v>
      </c>
      <c r="B395" s="31">
        <f>step3_validation[[#This Row],[Used_Seed]]</f>
        <v>2419</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7</v>
      </c>
      <c r="R395">
        <f t="shared" si="162"/>
        <v>0.66666666666666663</v>
      </c>
      <c r="S395">
        <f>survey_responses[[#This Row],[Tôi tin rằng với các quy định quản lý thuế hiện nay, hành vi gian lận hoặc trốn thuế sẽ dễ dàng bị phát hiện và xử lý nghiêm. - HUMAN-ENF1]]</f>
        <v>9</v>
      </c>
      <c r="T395">
        <f t="shared" si="163"/>
        <v>0.88888888888888884</v>
      </c>
      <c r="U395">
        <f>step3_validation[[#This Row],[AI_ENF2]]</f>
        <v>6</v>
      </c>
      <c r="V395">
        <f t="shared" si="164"/>
        <v>0.55555555555555558</v>
      </c>
      <c r="W395">
        <f>survey_responses[[#This Row],[Tôi tin rằng Nhà nước, cơ quan thuế có đủ khả năng và công nghệ để phát hiện, xử lý nghiêm các hành vi trốn thuế. - HUMAN-ENF2]]</f>
        <v>9</v>
      </c>
      <c r="X395">
        <f t="shared" si="165"/>
        <v>0.88888888888888884</v>
      </c>
      <c r="Y395" s="32">
        <f t="shared" si="166"/>
        <v>0.61111111111111116</v>
      </c>
      <c r="Z395" s="32">
        <f t="shared" si="167"/>
        <v>0.88888888888888884</v>
      </c>
      <c r="AA395">
        <f>step3_validation[[#This Row],[AI_FAC1]]</f>
        <v>8</v>
      </c>
      <c r="AB395">
        <f t="shared" si="168"/>
        <v>0.77777777777777779</v>
      </c>
      <c r="AC395">
        <f>survey_responses[[#This Row],[Các thủ tục khai báo thuế VÀ/HOẶC quy trình làm việc với cơ quan thuế đơn giản, tiện lợi, nhanh chóng hơn so với trước đây. - HUMAN-FAC1]]</f>
        <v>9</v>
      </c>
      <c r="AD395">
        <f t="shared" si="169"/>
        <v>0.88888888888888884</v>
      </c>
      <c r="AE395">
        <f>step3_validation[[#This Row],[AI_FAC2]]</f>
        <v>9</v>
      </c>
      <c r="AF395">
        <f t="shared" si="170"/>
        <v>0.88888888888888884</v>
      </c>
      <c r="AG395">
        <f>survey_responses[[#This Row],[So với trước đây, tôi thấy cách tính thuế và các bậc thuế trong phương án mới đơn giản, dễ hiểu và dễ thực hiện hơn. - HUMAN-FAC2]]</f>
        <v>7</v>
      </c>
      <c r="AH395">
        <f t="shared" si="171"/>
        <v>0.66666666666666663</v>
      </c>
      <c r="AI395" s="32">
        <f t="shared" si="172"/>
        <v>0.83333333333333326</v>
      </c>
      <c r="AJ395" s="32">
        <f t="shared" si="173"/>
        <v>0.77777777777777768</v>
      </c>
      <c r="AK395">
        <f>step3_validation[[#This Row],[AI_TRU1]]</f>
        <v>8</v>
      </c>
      <c r="AL395">
        <f t="shared" si="174"/>
        <v>0.77777777777777779</v>
      </c>
      <c r="AM395">
        <f>survey_responses[[#This Row],[Tôi tin rằng Nhà nước, cơ quan thuế sẽ thực thi chính sách mới một cách khách quan, công tâm và đối xử bình đẳng với mọi người nộp thuế.  - HUMAN-TRU1]]</f>
        <v>8</v>
      </c>
      <c r="AN395">
        <f t="shared" si="175"/>
        <v>0.77777777777777779</v>
      </c>
      <c r="AO395">
        <f>step3_validation[[#This Row],[AI_TRU2]]</f>
        <v>9</v>
      </c>
      <c r="AP395">
        <f t="shared" si="176"/>
        <v>0.88888888888888884</v>
      </c>
      <c r="AQ395">
        <f>survey_responses[[#This Row],[Tôi thấy mức thuế tôi phải đóng theo phương án mới là công bằng (người thu nhập như tôi đóng mức này là hợp lý). - HUMAN-TRU2]]</f>
        <v>6</v>
      </c>
      <c r="AR395">
        <f t="shared" si="177"/>
        <v>0.55555555555555558</v>
      </c>
      <c r="AS395">
        <f>step3_validation[[#This Row],[AI_TRU3]]</f>
        <v>8</v>
      </c>
      <c r="AT395">
        <f t="shared" si="178"/>
        <v>0.77777777777777779</v>
      </c>
      <c r="AU395">
        <f>survey_responses[[#This Row],[Tôi tin tưởng số tiền thuế tôi đóng sẽ được Nhà nước sử dụng hiệu quả để cải thiện dịch vụ công (y tế, đường xá...). - HUMAN-TRU3]]</f>
        <v>8</v>
      </c>
      <c r="AV395">
        <f t="shared" si="179"/>
        <v>0.77777777777777779</v>
      </c>
      <c r="AW395">
        <f>step3_validation[[#This Row],[AI_TRU4]]</f>
        <v>7</v>
      </c>
      <c r="AX395">
        <f t="shared" si="180"/>
        <v>0.66666666666666663</v>
      </c>
      <c r="AY395">
        <f>survey_responses[[#This Row],[Tôi thấy Nhà nước đã giải thích rõ ràng, minh bạch về lý do và mục tiêu của việc sửa đổi thuế lần này. - HUMAN-TRU4]]</f>
        <v>10</v>
      </c>
      <c r="AZ395">
        <f t="shared" si="181"/>
        <v>1</v>
      </c>
      <c r="BA395" s="32">
        <f t="shared" si="182"/>
        <v>0.77777777777777768</v>
      </c>
      <c r="BB395" s="32">
        <f t="shared" si="183"/>
        <v>0.77777777777777779</v>
      </c>
      <c r="BC395" s="7">
        <f t="shared" si="184"/>
        <v>0.74074074074074081</v>
      </c>
      <c r="BD395" s="7">
        <f t="shared" si="185"/>
        <v>0.81481481481481477</v>
      </c>
      <c r="BE395">
        <f>step3_validation[[#This Row],[AI_OUT1]]</f>
        <v>9</v>
      </c>
      <c r="BF395">
        <f t="shared" si="186"/>
        <v>0.88888888888888884</v>
      </c>
      <c r="BG395">
        <f>survey_responses[[#This Row],[Sau khi xem xét các quyền lợi và nghĩa vụ, bạn có ủng hộ và tuân thủ chính sách mới hiện nay? - HUMAN-OUT1]]</f>
        <v>10</v>
      </c>
      <c r="BH395">
        <f t="shared" si="187"/>
        <v>1</v>
      </c>
      <c r="BI395" s="32">
        <f t="shared" si="188"/>
        <v>1</v>
      </c>
    </row>
    <row r="396" spans="1:61" x14ac:dyDescent="0.45">
      <c r="A396" s="30">
        <f>step3_validation[[#This Row],[Persona_ID]]</f>
        <v>395</v>
      </c>
      <c r="B396" s="31">
        <f>step3_validation[[#This Row],[Used_Seed]]</f>
        <v>2420</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40.092622556986917</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9</v>
      </c>
      <c r="R396">
        <f t="shared" si="162"/>
        <v>0.88888888888888884</v>
      </c>
      <c r="S396">
        <f>survey_responses[[#This Row],[Tôi tin rằng với các quy định quản lý thuế hiện nay, hành vi gian lận hoặc trốn thuế sẽ dễ dàng bị phát hiện và xử lý nghiêm. - HUMAN-ENF1]]</f>
        <v>7</v>
      </c>
      <c r="T396">
        <f t="shared" si="163"/>
        <v>0.66666666666666663</v>
      </c>
      <c r="U396">
        <f>step3_validation[[#This Row],[AI_ENF2]]</f>
        <v>8</v>
      </c>
      <c r="V396">
        <f t="shared" si="164"/>
        <v>0.77777777777777779</v>
      </c>
      <c r="W396">
        <f>survey_responses[[#This Row],[Tôi tin rằng Nhà nước, cơ quan thuế có đủ khả năng và công nghệ để phát hiện, xử lý nghiêm các hành vi trốn thuế. - HUMAN-ENF2]]</f>
        <v>7</v>
      </c>
      <c r="X396">
        <f t="shared" si="165"/>
        <v>0.66666666666666663</v>
      </c>
      <c r="Y396" s="32">
        <f t="shared" si="166"/>
        <v>0.83333333333333326</v>
      </c>
      <c r="Z396" s="32">
        <f t="shared" si="167"/>
        <v>0.66666666666666663</v>
      </c>
      <c r="AA396">
        <f>step3_validation[[#This Row],[AI_FAC1]]</f>
        <v>9</v>
      </c>
      <c r="AB396">
        <f t="shared" si="168"/>
        <v>0.88888888888888884</v>
      </c>
      <c r="AC396">
        <f>survey_responses[[#This Row],[Các thủ tục khai báo thuế VÀ/HOẶC quy trình làm việc với cơ quan thuế đơn giản, tiện lợi, nhanh chóng hơn so với trước đây. - HUMAN-FAC1]]</f>
        <v>5</v>
      </c>
      <c r="AD396">
        <f t="shared" si="169"/>
        <v>0.44444444444444442</v>
      </c>
      <c r="AE396">
        <f>step3_validation[[#This Row],[AI_FAC2]]</f>
        <v>8</v>
      </c>
      <c r="AF396">
        <f t="shared" si="170"/>
        <v>0.77777777777777779</v>
      </c>
      <c r="AG396">
        <f>survey_responses[[#This Row],[So với trước đây, tôi thấy cách tính thuế và các bậc thuế trong phương án mới đơn giản, dễ hiểu và dễ thực hiện hơn. - HUMAN-FAC2]]</f>
        <v>7</v>
      </c>
      <c r="AH396">
        <f t="shared" si="171"/>
        <v>0.66666666666666663</v>
      </c>
      <c r="AI396" s="32">
        <f t="shared" si="172"/>
        <v>0.83333333333333326</v>
      </c>
      <c r="AJ396" s="32">
        <f t="shared" si="173"/>
        <v>0.55555555555555558</v>
      </c>
      <c r="AK396">
        <f>step3_validation[[#This Row],[AI_TRU1]]</f>
        <v>9</v>
      </c>
      <c r="AL396">
        <f t="shared" si="174"/>
        <v>0.88888888888888884</v>
      </c>
      <c r="AM396">
        <f>survey_responses[[#This Row],[Tôi tin rằng Nhà nước, cơ quan thuế sẽ thực thi chính sách mới một cách khách quan, công tâm và đối xử bình đẳng với mọi người nộp thuế.  - HUMAN-TRU1]]</f>
        <v>5</v>
      </c>
      <c r="AN396">
        <f t="shared" si="175"/>
        <v>0.44444444444444442</v>
      </c>
      <c r="AO396">
        <f>step3_validation[[#This Row],[AI_TRU2]]</f>
        <v>8</v>
      </c>
      <c r="AP396">
        <f t="shared" si="176"/>
        <v>0.77777777777777779</v>
      </c>
      <c r="AQ396">
        <f>survey_responses[[#This Row],[Tôi thấy mức thuế tôi phải đóng theo phương án mới là công bằng (người thu nhập như tôi đóng mức này là hợp lý). - HUMAN-TRU2]]</f>
        <v>6</v>
      </c>
      <c r="AR396">
        <f t="shared" si="177"/>
        <v>0.55555555555555558</v>
      </c>
      <c r="AS396">
        <f>step3_validation[[#This Row],[AI_TRU3]]</f>
        <v>9</v>
      </c>
      <c r="AT396">
        <f t="shared" si="178"/>
        <v>0.88888888888888884</v>
      </c>
      <c r="AU396">
        <f>survey_responses[[#This Row],[Tôi tin tưởng số tiền thuế tôi đóng sẽ được Nhà nước sử dụng hiệu quả để cải thiện dịch vụ công (y tế, đường xá...). - HUMAN-TRU3]]</f>
        <v>5</v>
      </c>
      <c r="AV396">
        <f t="shared" si="179"/>
        <v>0.44444444444444442</v>
      </c>
      <c r="AW396">
        <f>step3_validation[[#This Row],[AI_TRU4]]</f>
        <v>8</v>
      </c>
      <c r="AX396">
        <f t="shared" si="180"/>
        <v>0.77777777777777779</v>
      </c>
      <c r="AY396">
        <f>survey_responses[[#This Row],[Tôi thấy Nhà nước đã giải thích rõ ràng, minh bạch về lý do và mục tiêu của việc sửa đổi thuế lần này. - HUMAN-TRU4]]</f>
        <v>6</v>
      </c>
      <c r="AZ396">
        <f t="shared" si="181"/>
        <v>0.55555555555555558</v>
      </c>
      <c r="BA396" s="32">
        <f t="shared" si="182"/>
        <v>0.83333333333333326</v>
      </c>
      <c r="BB396" s="32">
        <f t="shared" si="183"/>
        <v>0.5</v>
      </c>
      <c r="BC396" s="7">
        <f t="shared" si="184"/>
        <v>0.83333333333333337</v>
      </c>
      <c r="BD396" s="7">
        <f t="shared" si="185"/>
        <v>0.57407407407407407</v>
      </c>
      <c r="BE396">
        <f>step3_validation[[#This Row],[AI_OUT1]]</f>
        <v>9</v>
      </c>
      <c r="BF396">
        <f t="shared" si="186"/>
        <v>0.88888888888888884</v>
      </c>
      <c r="BG396">
        <f>survey_responses[[#This Row],[Sau khi xem xét các quyền lợi và nghĩa vụ, bạn có ủng hộ và tuân thủ chính sách mới hiện nay? - HUMAN-OUT1]]</f>
        <v>6</v>
      </c>
      <c r="BH396">
        <f t="shared" si="187"/>
        <v>0.55555555555555558</v>
      </c>
      <c r="BI396" s="32">
        <f t="shared" si="188"/>
        <v>3</v>
      </c>
    </row>
    <row r="397" spans="1:61" x14ac:dyDescent="0.45">
      <c r="A397" s="30">
        <f>step3_validation[[#This Row],[Persona_ID]]</f>
        <v>396</v>
      </c>
      <c r="B397" s="31">
        <f>step3_validation[[#This Row],[Used_Seed]]</f>
        <v>2421</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23.090094564224707</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6</v>
      </c>
      <c r="R397">
        <f t="shared" si="162"/>
        <v>0.55555555555555558</v>
      </c>
      <c r="S397">
        <f>survey_responses[[#This Row],[Tôi tin rằng với các quy định quản lý thuế hiện nay, hành vi gian lận hoặc trốn thuế sẽ dễ dàng bị phát hiện và xử lý nghiêm. - HUMAN-ENF1]]</f>
        <v>2</v>
      </c>
      <c r="T397">
        <f t="shared" si="163"/>
        <v>0.1111111111111111</v>
      </c>
      <c r="U397">
        <f>step3_validation[[#This Row],[AI_ENF2]]</f>
        <v>7</v>
      </c>
      <c r="V397">
        <f t="shared" si="164"/>
        <v>0.66666666666666663</v>
      </c>
      <c r="W397">
        <f>survey_responses[[#This Row],[Tôi tin rằng Nhà nước, cơ quan thuế có đủ khả năng và công nghệ để phát hiện, xử lý nghiêm các hành vi trốn thuế. - HUMAN-ENF2]]</f>
        <v>2</v>
      </c>
      <c r="X397">
        <f t="shared" si="165"/>
        <v>0.1111111111111111</v>
      </c>
      <c r="Y397" s="32">
        <f t="shared" si="166"/>
        <v>0.61111111111111116</v>
      </c>
      <c r="Z397" s="32">
        <f t="shared" si="167"/>
        <v>0.1111111111111111</v>
      </c>
      <c r="AA397">
        <f>step3_validation[[#This Row],[AI_FAC1]]</f>
        <v>9</v>
      </c>
      <c r="AB397">
        <f t="shared" si="168"/>
        <v>0.88888888888888884</v>
      </c>
      <c r="AC397">
        <f>survey_responses[[#This Row],[Các thủ tục khai báo thuế VÀ/HOẶC quy trình làm việc với cơ quan thuế đơn giản, tiện lợi, nhanh chóng hơn so với trước đây. - HUMAN-FAC1]]</f>
        <v>4</v>
      </c>
      <c r="AD397">
        <f t="shared" si="169"/>
        <v>0.33333333333333331</v>
      </c>
      <c r="AE397">
        <f>step3_validation[[#This Row],[AI_FAC2]]</f>
        <v>8</v>
      </c>
      <c r="AF397">
        <f t="shared" si="170"/>
        <v>0.77777777777777779</v>
      </c>
      <c r="AG397">
        <f>survey_responses[[#This Row],[So với trước đây, tôi thấy cách tính thuế và các bậc thuế trong phương án mới đơn giản, dễ hiểu và dễ thực hiện hơn. - HUMAN-FAC2]]</f>
        <v>5</v>
      </c>
      <c r="AH397">
        <f t="shared" si="171"/>
        <v>0.44444444444444442</v>
      </c>
      <c r="AI397" s="32">
        <f t="shared" si="172"/>
        <v>0.83333333333333326</v>
      </c>
      <c r="AJ397" s="32">
        <f t="shared" si="173"/>
        <v>0.38888888888888884</v>
      </c>
      <c r="AK397">
        <f>step3_validation[[#This Row],[AI_TRU1]]</f>
        <v>9</v>
      </c>
      <c r="AL397">
        <f t="shared" si="174"/>
        <v>0.88888888888888884</v>
      </c>
      <c r="AM397">
        <f>survey_responses[[#This Row],[Tôi tin rằng Nhà nước, cơ quan thuế sẽ thực thi chính sách mới một cách khách quan, công tâm và đối xử bình đẳng với mọi người nộp thuế.  - HUMAN-TRU1]]</f>
        <v>5</v>
      </c>
      <c r="AN397">
        <f t="shared" si="175"/>
        <v>0.44444444444444442</v>
      </c>
      <c r="AO397">
        <f>step3_validation[[#This Row],[AI_TRU2]]</f>
        <v>8</v>
      </c>
      <c r="AP397">
        <f t="shared" si="176"/>
        <v>0.77777777777777779</v>
      </c>
      <c r="AQ397">
        <f>survey_responses[[#This Row],[Tôi thấy mức thuế tôi phải đóng theo phương án mới là công bằng (người thu nhập như tôi đóng mức này là hợp lý). - HUMAN-TRU2]]</f>
        <v>3</v>
      </c>
      <c r="AR397">
        <f t="shared" si="177"/>
        <v>0.22222222222222221</v>
      </c>
      <c r="AS397">
        <f>step3_validation[[#This Row],[AI_TRU3]]</f>
        <v>9</v>
      </c>
      <c r="AT397">
        <f t="shared" si="178"/>
        <v>0.88888888888888884</v>
      </c>
      <c r="AU397">
        <f>survey_responses[[#This Row],[Tôi tin tưởng số tiền thuế tôi đóng sẽ được Nhà nước sử dụng hiệu quả để cải thiện dịch vụ công (y tế, đường xá...). - HUMAN-TRU3]]</f>
        <v>5</v>
      </c>
      <c r="AV397">
        <f t="shared" si="179"/>
        <v>0.44444444444444442</v>
      </c>
      <c r="AW397">
        <f>step3_validation[[#This Row],[AI_TRU4]]</f>
        <v>8</v>
      </c>
      <c r="AX397">
        <f t="shared" si="180"/>
        <v>0.77777777777777779</v>
      </c>
      <c r="AY397">
        <f>survey_responses[[#This Row],[Tôi thấy Nhà nước đã giải thích rõ ràng, minh bạch về lý do và mục tiêu của việc sửa đổi thuế lần này. - HUMAN-TRU4]]</f>
        <v>5</v>
      </c>
      <c r="AZ397">
        <f t="shared" si="181"/>
        <v>0.44444444444444442</v>
      </c>
      <c r="BA397" s="32">
        <f t="shared" si="182"/>
        <v>0.83333333333333326</v>
      </c>
      <c r="BB397" s="32">
        <f t="shared" si="183"/>
        <v>0.3888888888888889</v>
      </c>
      <c r="BC397" s="7">
        <f t="shared" si="184"/>
        <v>0.75925925925925919</v>
      </c>
      <c r="BD397" s="7">
        <f t="shared" si="185"/>
        <v>0.29629629629629628</v>
      </c>
      <c r="BE397">
        <f>step3_validation[[#This Row],[AI_OUT1]]</f>
        <v>9</v>
      </c>
      <c r="BF397">
        <f t="shared" si="186"/>
        <v>0.88888888888888884</v>
      </c>
      <c r="BG397">
        <f>survey_responses[[#This Row],[Sau khi xem xét các quyền lợi và nghĩa vụ, bạn có ủng hộ và tuân thủ chính sách mới hiện nay? - HUMAN-OUT1]]</f>
        <v>5</v>
      </c>
      <c r="BH397">
        <f t="shared" si="187"/>
        <v>0.44444444444444442</v>
      </c>
      <c r="BI397" s="32">
        <f t="shared" si="188"/>
        <v>4</v>
      </c>
    </row>
    <row r="398" spans="1:61" x14ac:dyDescent="0.45">
      <c r="A398" s="30">
        <f>step3_validation[[#This Row],[Persona_ID]]</f>
        <v>397</v>
      </c>
      <c r="B398" s="31">
        <f>step3_validation[[#This Row],[Used_Seed]]</f>
        <v>2422</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23.568901920151529</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7</v>
      </c>
      <c r="R398">
        <f t="shared" si="162"/>
        <v>0.66666666666666663</v>
      </c>
      <c r="S398">
        <f>survey_responses[[#This Row],[Tôi tin rằng với các quy định quản lý thuế hiện nay, hành vi gian lận hoặc trốn thuế sẽ dễ dàng bị phát hiện và xử lý nghiêm. - HUMAN-ENF1]]</f>
        <v>8</v>
      </c>
      <c r="T398">
        <f t="shared" si="163"/>
        <v>0.77777777777777779</v>
      </c>
      <c r="U398">
        <f>step3_validation[[#This Row],[AI_ENF2]]</f>
        <v>6</v>
      </c>
      <c r="V398">
        <f t="shared" si="164"/>
        <v>0.55555555555555558</v>
      </c>
      <c r="W398">
        <f>survey_responses[[#This Row],[Tôi tin rằng Nhà nước, cơ quan thuế có đủ khả năng và công nghệ để phát hiện, xử lý nghiêm các hành vi trốn thuế. - HUMAN-ENF2]]</f>
        <v>8</v>
      </c>
      <c r="X398">
        <f t="shared" si="165"/>
        <v>0.77777777777777779</v>
      </c>
      <c r="Y398" s="32">
        <f t="shared" si="166"/>
        <v>0.61111111111111116</v>
      </c>
      <c r="Z398" s="32">
        <f t="shared" si="167"/>
        <v>0.77777777777777779</v>
      </c>
      <c r="AA398">
        <f>step3_validation[[#This Row],[AI_FAC1]]</f>
        <v>7</v>
      </c>
      <c r="AB398">
        <f t="shared" si="168"/>
        <v>0.66666666666666663</v>
      </c>
      <c r="AC398">
        <f>survey_responses[[#This Row],[Các thủ tục khai báo thuế VÀ/HOẶC quy trình làm việc với cơ quan thuế đơn giản, tiện lợi, nhanh chóng hơn so với trước đây. - HUMAN-FAC1]]</f>
        <v>7</v>
      </c>
      <c r="AD398">
        <f t="shared" si="169"/>
        <v>0.66666666666666663</v>
      </c>
      <c r="AE398">
        <f>step3_validation[[#This Row],[AI_FAC2]]</f>
        <v>8</v>
      </c>
      <c r="AF398">
        <f t="shared" si="170"/>
        <v>0.77777777777777779</v>
      </c>
      <c r="AG398">
        <f>survey_responses[[#This Row],[So với trước đây, tôi thấy cách tính thuế và các bậc thuế trong phương án mới đơn giản, dễ hiểu và dễ thực hiện hơn. - HUMAN-FAC2]]</f>
        <v>7</v>
      </c>
      <c r="AH398">
        <f t="shared" si="171"/>
        <v>0.66666666666666663</v>
      </c>
      <c r="AI398" s="32">
        <f t="shared" si="172"/>
        <v>0.72222222222222221</v>
      </c>
      <c r="AJ398" s="32">
        <f t="shared" si="173"/>
        <v>0.66666666666666663</v>
      </c>
      <c r="AK398">
        <f>step3_validation[[#This Row],[AI_TRU1]]</f>
        <v>6</v>
      </c>
      <c r="AL398">
        <f t="shared" si="174"/>
        <v>0.55555555555555558</v>
      </c>
      <c r="AM398">
        <f>survey_responses[[#This Row],[Tôi tin rằng Nhà nước, cơ quan thuế sẽ thực thi chính sách mới một cách khách quan, công tâm và đối xử bình đẳng với mọi người nộp thuế.  - HUMAN-TRU1]]</f>
        <v>7</v>
      </c>
      <c r="AN398">
        <f t="shared" si="175"/>
        <v>0.66666666666666663</v>
      </c>
      <c r="AO398">
        <f>step3_validation[[#This Row],[AI_TRU2]]</f>
        <v>9</v>
      </c>
      <c r="AP398">
        <f t="shared" si="176"/>
        <v>0.88888888888888884</v>
      </c>
      <c r="AQ398">
        <f>survey_responses[[#This Row],[Tôi thấy mức thuế tôi phải đóng theo phương án mới là công bằng (người thu nhập như tôi đóng mức này là hợp lý). - HUMAN-TRU2]]</f>
        <v>8</v>
      </c>
      <c r="AR398">
        <f t="shared" si="177"/>
        <v>0.77777777777777779</v>
      </c>
      <c r="AS398">
        <f>step3_validation[[#This Row],[AI_TRU3]]</f>
        <v>7</v>
      </c>
      <c r="AT398">
        <f t="shared" si="178"/>
        <v>0.66666666666666663</v>
      </c>
      <c r="AU398">
        <f>survey_responses[[#This Row],[Tôi tin tưởng số tiền thuế tôi đóng sẽ được Nhà nước sử dụng hiệu quả để cải thiện dịch vụ công (y tế, đường xá...). - HUMAN-TRU3]]</f>
        <v>7</v>
      </c>
      <c r="AV398">
        <f t="shared" si="179"/>
        <v>0.66666666666666663</v>
      </c>
      <c r="AW398">
        <f>step3_validation[[#This Row],[AI_TRU4]]</f>
        <v>8</v>
      </c>
      <c r="AX398">
        <f t="shared" si="180"/>
        <v>0.77777777777777779</v>
      </c>
      <c r="AY398">
        <f>survey_responses[[#This Row],[Tôi thấy Nhà nước đã giải thích rõ ràng, minh bạch về lý do và mục tiêu của việc sửa đổi thuế lần này. - HUMAN-TRU4]]</f>
        <v>8</v>
      </c>
      <c r="AZ398">
        <f t="shared" si="181"/>
        <v>0.77777777777777779</v>
      </c>
      <c r="BA398" s="32">
        <f t="shared" si="182"/>
        <v>0.72222222222222221</v>
      </c>
      <c r="BB398" s="32">
        <f t="shared" si="183"/>
        <v>0.72222222222222221</v>
      </c>
      <c r="BC398" s="7">
        <f t="shared" si="184"/>
        <v>0.68518518518518523</v>
      </c>
      <c r="BD398" s="7">
        <f t="shared" si="185"/>
        <v>0.72222222222222221</v>
      </c>
      <c r="BE398">
        <f>step3_validation[[#This Row],[AI_OUT1]]</f>
        <v>9</v>
      </c>
      <c r="BF398">
        <f t="shared" si="186"/>
        <v>0.88888888888888884</v>
      </c>
      <c r="BG398">
        <f>survey_responses[[#This Row],[Sau khi xem xét các quyền lợi và nghĩa vụ, bạn có ủng hộ và tuân thủ chính sách mới hiện nay? - HUMAN-OUT1]]</f>
        <v>8</v>
      </c>
      <c r="BH398">
        <f t="shared" si="187"/>
        <v>0.77777777777777779</v>
      </c>
      <c r="BI398" s="32">
        <f t="shared" si="188"/>
        <v>1</v>
      </c>
    </row>
    <row r="399" spans="1:61" x14ac:dyDescent="0.45">
      <c r="A399" s="30">
        <f>step3_validation[[#This Row],[Persona_ID]]</f>
        <v>398</v>
      </c>
      <c r="B399" s="31">
        <f>step3_validation[[#This Row],[Used_Seed]]</f>
        <v>2423</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7</v>
      </c>
      <c r="R399">
        <f t="shared" si="162"/>
        <v>0.66666666666666663</v>
      </c>
      <c r="S399">
        <f>survey_responses[[#This Row],[Tôi tin rằng với các quy định quản lý thuế hiện nay, hành vi gian lận hoặc trốn thuế sẽ dễ dàng bị phát hiện và xử lý nghiêm. - HUMAN-ENF1]]</f>
        <v>9</v>
      </c>
      <c r="T399">
        <f t="shared" si="163"/>
        <v>0.88888888888888884</v>
      </c>
      <c r="U399">
        <f>step3_validation[[#This Row],[AI_ENF2]]</f>
        <v>6</v>
      </c>
      <c r="V399">
        <f t="shared" si="164"/>
        <v>0.55555555555555558</v>
      </c>
      <c r="W399">
        <f>survey_responses[[#This Row],[Tôi tin rằng Nhà nước, cơ quan thuế có đủ khả năng và công nghệ để phát hiện, xử lý nghiêm các hành vi trốn thuế. - HUMAN-ENF2]]</f>
        <v>9</v>
      </c>
      <c r="X399">
        <f t="shared" si="165"/>
        <v>0.88888888888888884</v>
      </c>
      <c r="Y399" s="32">
        <f t="shared" si="166"/>
        <v>0.61111111111111116</v>
      </c>
      <c r="Z399" s="32">
        <f t="shared" si="167"/>
        <v>0.88888888888888884</v>
      </c>
      <c r="AA399">
        <f>step3_validation[[#This Row],[AI_FAC1]]</f>
        <v>8</v>
      </c>
      <c r="AB399">
        <f t="shared" si="168"/>
        <v>0.77777777777777779</v>
      </c>
      <c r="AC399">
        <f>survey_responses[[#This Row],[Các thủ tục khai báo thuế VÀ/HOẶC quy trình làm việc với cơ quan thuế đơn giản, tiện lợi, nhanh chóng hơn so với trước đây. - HUMAN-FAC1]]</f>
        <v>8</v>
      </c>
      <c r="AD399">
        <f t="shared" si="169"/>
        <v>0.77777777777777779</v>
      </c>
      <c r="AE399">
        <f>step3_validation[[#This Row],[AI_FAC2]]</f>
        <v>9</v>
      </c>
      <c r="AF399">
        <f t="shared" si="170"/>
        <v>0.88888888888888884</v>
      </c>
      <c r="AG399">
        <f>survey_responses[[#This Row],[So với trước đây, tôi thấy cách tính thuế và các bậc thuế trong phương án mới đơn giản, dễ hiểu và dễ thực hiện hơn. - HUMAN-FAC2]]</f>
        <v>9</v>
      </c>
      <c r="AH399">
        <f t="shared" si="171"/>
        <v>0.88888888888888884</v>
      </c>
      <c r="AI399" s="32">
        <f t="shared" si="172"/>
        <v>0.83333333333333326</v>
      </c>
      <c r="AJ399" s="32">
        <f t="shared" si="173"/>
        <v>0.83333333333333326</v>
      </c>
      <c r="AK399">
        <f>step3_validation[[#This Row],[AI_TRU1]]</f>
        <v>7</v>
      </c>
      <c r="AL399">
        <f t="shared" si="174"/>
        <v>0.66666666666666663</v>
      </c>
      <c r="AM399">
        <f>survey_responses[[#This Row],[Tôi tin rằng Nhà nước, cơ quan thuế sẽ thực thi chính sách mới một cách khách quan, công tâm và đối xử bình đẳng với mọi người nộp thuế.  - HUMAN-TRU1]]</f>
        <v>7</v>
      </c>
      <c r="AN399">
        <f t="shared" si="175"/>
        <v>0.66666666666666663</v>
      </c>
      <c r="AO399">
        <f>step3_validation[[#This Row],[AI_TRU2]]</f>
        <v>9</v>
      </c>
      <c r="AP399">
        <f t="shared" si="176"/>
        <v>0.88888888888888884</v>
      </c>
      <c r="AQ399">
        <f>survey_responses[[#This Row],[Tôi thấy mức thuế tôi phải đóng theo phương án mới là công bằng (người thu nhập như tôi đóng mức này là hợp lý). - HUMAN-TRU2]]</f>
        <v>9</v>
      </c>
      <c r="AR399">
        <f t="shared" si="177"/>
        <v>0.88888888888888884</v>
      </c>
      <c r="AS399">
        <f>step3_validation[[#This Row],[AI_TRU3]]</f>
        <v>7</v>
      </c>
      <c r="AT399">
        <f t="shared" si="178"/>
        <v>0.66666666666666663</v>
      </c>
      <c r="AU399">
        <f>survey_responses[[#This Row],[Tôi tin tưởng số tiền thuế tôi đóng sẽ được Nhà nước sử dụng hiệu quả để cải thiện dịch vụ công (y tế, đường xá...). - HUMAN-TRU3]]</f>
        <v>8</v>
      </c>
      <c r="AV399">
        <f t="shared" si="179"/>
        <v>0.77777777777777779</v>
      </c>
      <c r="AW399">
        <f>step3_validation[[#This Row],[AI_TRU4]]</f>
        <v>6</v>
      </c>
      <c r="AX399">
        <f t="shared" si="180"/>
        <v>0.55555555555555558</v>
      </c>
      <c r="AY399">
        <f>survey_responses[[#This Row],[Tôi thấy Nhà nước đã giải thích rõ ràng, minh bạch về lý do và mục tiêu của việc sửa đổi thuế lần này. - HUMAN-TRU4]]</f>
        <v>8</v>
      </c>
      <c r="AZ399">
        <f t="shared" si="181"/>
        <v>0.77777777777777779</v>
      </c>
      <c r="BA399" s="32">
        <f t="shared" si="182"/>
        <v>0.69444444444444442</v>
      </c>
      <c r="BB399" s="32">
        <f t="shared" si="183"/>
        <v>0.77777777777777768</v>
      </c>
      <c r="BC399" s="7">
        <f t="shared" si="184"/>
        <v>0.71296296296296291</v>
      </c>
      <c r="BD399" s="7">
        <f t="shared" si="185"/>
        <v>0.83333333333333337</v>
      </c>
      <c r="BE399">
        <f>step3_validation[[#This Row],[AI_OUT1]]</f>
        <v>9</v>
      </c>
      <c r="BF399">
        <f t="shared" si="186"/>
        <v>0.88888888888888884</v>
      </c>
      <c r="BG399">
        <f>survey_responses[[#This Row],[Sau khi xem xét các quyền lợi và nghĩa vụ, bạn có ủng hộ và tuân thủ chính sách mới hiện nay? - HUMAN-OUT1]]</f>
        <v>8</v>
      </c>
      <c r="BH399">
        <f t="shared" si="187"/>
        <v>0.77777777777777779</v>
      </c>
      <c r="BI399" s="32">
        <f t="shared" si="188"/>
        <v>1</v>
      </c>
    </row>
    <row r="400" spans="1:61" x14ac:dyDescent="0.45">
      <c r="A400" s="30">
        <f>step3_validation[[#This Row],[Persona_ID]]</f>
        <v>399</v>
      </c>
      <c r="B400" s="31">
        <f>step3_validation[[#This Row],[Used_Seed]]</f>
        <v>2424</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27.523611214524191</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8</v>
      </c>
      <c r="R400">
        <f t="shared" si="162"/>
        <v>0.77777777777777779</v>
      </c>
      <c r="S400">
        <f>survey_responses[[#This Row],[Tôi tin rằng với các quy định quản lý thuế hiện nay, hành vi gian lận hoặc trốn thuế sẽ dễ dàng bị phát hiện và xử lý nghiêm. - HUMAN-ENF1]]</f>
        <v>7</v>
      </c>
      <c r="T400">
        <f t="shared" si="163"/>
        <v>0.66666666666666663</v>
      </c>
      <c r="U400">
        <f>step3_validation[[#This Row],[AI_ENF2]]</f>
        <v>9</v>
      </c>
      <c r="V400">
        <f t="shared" si="164"/>
        <v>0.88888888888888884</v>
      </c>
      <c r="W400">
        <f>survey_responses[[#This Row],[Tôi tin rằng Nhà nước, cơ quan thuế có đủ khả năng và công nghệ để phát hiện, xử lý nghiêm các hành vi trốn thuế. - HUMAN-ENF2]]</f>
        <v>7</v>
      </c>
      <c r="X400">
        <f t="shared" si="165"/>
        <v>0.66666666666666663</v>
      </c>
      <c r="Y400" s="32">
        <f t="shared" si="166"/>
        <v>0.83333333333333326</v>
      </c>
      <c r="Z400" s="32">
        <f t="shared" si="167"/>
        <v>0.66666666666666663</v>
      </c>
      <c r="AA400">
        <f>step3_validation[[#This Row],[AI_FAC1]]</f>
        <v>8</v>
      </c>
      <c r="AB400">
        <f t="shared" si="168"/>
        <v>0.77777777777777779</v>
      </c>
      <c r="AC400">
        <f>survey_responses[[#This Row],[Các thủ tục khai báo thuế VÀ/HOẶC quy trình làm việc với cơ quan thuế đơn giản, tiện lợi, nhanh chóng hơn so với trước đây. - HUMAN-FAC1]]</f>
        <v>5</v>
      </c>
      <c r="AD400">
        <f t="shared" si="169"/>
        <v>0.44444444444444442</v>
      </c>
      <c r="AE400">
        <f>step3_validation[[#This Row],[AI_FAC2]]</f>
        <v>9</v>
      </c>
      <c r="AF400">
        <f t="shared" si="170"/>
        <v>0.88888888888888884</v>
      </c>
      <c r="AG400">
        <f>survey_responses[[#This Row],[So với trước đây, tôi thấy cách tính thuế và các bậc thuế trong phương án mới đơn giản, dễ hiểu và dễ thực hiện hơn. - HUMAN-FAC2]]</f>
        <v>8</v>
      </c>
      <c r="AH400">
        <f t="shared" si="171"/>
        <v>0.77777777777777779</v>
      </c>
      <c r="AI400" s="32">
        <f t="shared" si="172"/>
        <v>0.83333333333333326</v>
      </c>
      <c r="AJ400" s="32">
        <f t="shared" si="173"/>
        <v>0.61111111111111116</v>
      </c>
      <c r="AK400">
        <f>step3_validation[[#This Row],[AI_TRU1]]</f>
        <v>8</v>
      </c>
      <c r="AL400">
        <f t="shared" si="174"/>
        <v>0.77777777777777779</v>
      </c>
      <c r="AM400">
        <f>survey_responses[[#This Row],[Tôi tin rằng Nhà nước, cơ quan thuế sẽ thực thi chính sách mới một cách khách quan, công tâm và đối xử bình đẳng với mọi người nộp thuế.  - HUMAN-TRU1]]</f>
        <v>7</v>
      </c>
      <c r="AN400">
        <f t="shared" si="175"/>
        <v>0.66666666666666663</v>
      </c>
      <c r="AO400">
        <f>step3_validation[[#This Row],[AI_TRU2]]</f>
        <v>9</v>
      </c>
      <c r="AP400">
        <f t="shared" si="176"/>
        <v>0.88888888888888884</v>
      </c>
      <c r="AQ400">
        <f>survey_responses[[#This Row],[Tôi thấy mức thuế tôi phải đóng theo phương án mới là công bằng (người thu nhập như tôi đóng mức này là hợp lý). - HUMAN-TRU2]]</f>
        <v>8</v>
      </c>
      <c r="AR400">
        <f t="shared" si="177"/>
        <v>0.77777777777777779</v>
      </c>
      <c r="AS400">
        <f>step3_validation[[#This Row],[AI_TRU3]]</f>
        <v>8</v>
      </c>
      <c r="AT400">
        <f t="shared" si="178"/>
        <v>0.77777777777777779</v>
      </c>
      <c r="AU400">
        <f>survey_responses[[#This Row],[Tôi tin tưởng số tiền thuế tôi đóng sẽ được Nhà nước sử dụng hiệu quả để cải thiện dịch vụ công (y tế, đường xá...). - HUMAN-TRU3]]</f>
        <v>6</v>
      </c>
      <c r="AV400">
        <f t="shared" si="179"/>
        <v>0.55555555555555558</v>
      </c>
      <c r="AW400">
        <f>step3_validation[[#This Row],[AI_TRU4]]</f>
        <v>9</v>
      </c>
      <c r="AX400">
        <f t="shared" si="180"/>
        <v>0.88888888888888884</v>
      </c>
      <c r="AY400">
        <f>survey_responses[[#This Row],[Tôi thấy Nhà nước đã giải thích rõ ràng, minh bạch về lý do và mục tiêu của việc sửa đổi thuế lần này. - HUMAN-TRU4]]</f>
        <v>6</v>
      </c>
      <c r="AZ400">
        <f t="shared" si="181"/>
        <v>0.55555555555555558</v>
      </c>
      <c r="BA400" s="32">
        <f t="shared" si="182"/>
        <v>0.83333333333333326</v>
      </c>
      <c r="BB400" s="32">
        <f t="shared" si="183"/>
        <v>0.63888888888888884</v>
      </c>
      <c r="BC400" s="7">
        <f t="shared" si="184"/>
        <v>0.83333333333333337</v>
      </c>
      <c r="BD400" s="7">
        <f t="shared" si="185"/>
        <v>0.63888888888888884</v>
      </c>
      <c r="BE400">
        <f>step3_validation[[#This Row],[AI_OUT1]]</f>
        <v>8</v>
      </c>
      <c r="BF400">
        <f t="shared" si="186"/>
        <v>0.77777777777777779</v>
      </c>
      <c r="BG400">
        <f>survey_responses[[#This Row],[Sau khi xem xét các quyền lợi và nghĩa vụ, bạn có ủng hộ và tuân thủ chính sách mới hiện nay? - HUMAN-OUT1]]</f>
        <v>8</v>
      </c>
      <c r="BH400">
        <f t="shared" si="187"/>
        <v>0.77777777777777779</v>
      </c>
      <c r="BI400" s="32">
        <f t="shared" si="188"/>
        <v>0</v>
      </c>
    </row>
    <row r="401" spans="1:61" x14ac:dyDescent="0.45">
      <c r="A401" s="30">
        <f>step3_validation[[#This Row],[Persona_ID]]</f>
        <v>400</v>
      </c>
      <c r="B401" s="31">
        <f>step3_validation[[#This Row],[Used_Seed]]</f>
        <v>2425</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46.95840109279473</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7</v>
      </c>
      <c r="R401">
        <f t="shared" si="162"/>
        <v>0.66666666666666663</v>
      </c>
      <c r="S401">
        <f>survey_responses[[#This Row],[Tôi tin rằng với các quy định quản lý thuế hiện nay, hành vi gian lận hoặc trốn thuế sẽ dễ dàng bị phát hiện và xử lý nghiêm. - HUMAN-ENF1]]</f>
        <v>8</v>
      </c>
      <c r="T401">
        <f t="shared" si="163"/>
        <v>0.77777777777777779</v>
      </c>
      <c r="U401">
        <f>step3_validation[[#This Row],[AI_ENF2]]</f>
        <v>7</v>
      </c>
      <c r="V401">
        <f t="shared" si="164"/>
        <v>0.66666666666666663</v>
      </c>
      <c r="W401">
        <f>survey_responses[[#This Row],[Tôi tin rằng Nhà nước, cơ quan thuế có đủ khả năng và công nghệ để phát hiện, xử lý nghiêm các hành vi trốn thuế. - HUMAN-ENF2]]</f>
        <v>9</v>
      </c>
      <c r="X401">
        <f t="shared" si="165"/>
        <v>0.88888888888888884</v>
      </c>
      <c r="Y401" s="32">
        <f t="shared" si="166"/>
        <v>0.66666666666666663</v>
      </c>
      <c r="Z401" s="32">
        <f t="shared" si="167"/>
        <v>0.83333333333333326</v>
      </c>
      <c r="AA401">
        <f>step3_validation[[#This Row],[AI_FAC1]]</f>
        <v>8</v>
      </c>
      <c r="AB401">
        <f t="shared" si="168"/>
        <v>0.77777777777777779</v>
      </c>
      <c r="AC401">
        <f>survey_responses[[#This Row],[Các thủ tục khai báo thuế VÀ/HOẶC quy trình làm việc với cơ quan thuế đơn giản, tiện lợi, nhanh chóng hơn so với trước đây. - HUMAN-FAC1]]</f>
        <v>8</v>
      </c>
      <c r="AD401">
        <f t="shared" si="169"/>
        <v>0.77777777777777779</v>
      </c>
      <c r="AE401">
        <f>step3_validation[[#This Row],[AI_FAC2]]</f>
        <v>9</v>
      </c>
      <c r="AF401">
        <f t="shared" si="170"/>
        <v>0.88888888888888884</v>
      </c>
      <c r="AG401">
        <f>survey_responses[[#This Row],[So với trước đây, tôi thấy cách tính thuế và các bậc thuế trong phương án mới đơn giản, dễ hiểu và dễ thực hiện hơn. - HUMAN-FAC2]]</f>
        <v>8</v>
      </c>
      <c r="AH401">
        <f t="shared" si="171"/>
        <v>0.77777777777777779</v>
      </c>
      <c r="AI401" s="32">
        <f t="shared" si="172"/>
        <v>0.83333333333333326</v>
      </c>
      <c r="AJ401" s="32">
        <f t="shared" si="173"/>
        <v>0.77777777777777779</v>
      </c>
      <c r="AK401">
        <f>step3_validation[[#This Row],[AI_TRU1]]</f>
        <v>8</v>
      </c>
      <c r="AL401">
        <f t="shared" si="174"/>
        <v>0.77777777777777779</v>
      </c>
      <c r="AM401">
        <f>survey_responses[[#This Row],[Tôi tin rằng Nhà nước, cơ quan thuế sẽ thực thi chính sách mới một cách khách quan, công tâm và đối xử bình đẳng với mọi người nộp thuế.  - HUMAN-TRU1]]</f>
        <v>7</v>
      </c>
      <c r="AN401">
        <f t="shared" si="175"/>
        <v>0.66666666666666663</v>
      </c>
      <c r="AO401">
        <f>step3_validation[[#This Row],[AI_TRU2]]</f>
        <v>9</v>
      </c>
      <c r="AP401">
        <f t="shared" si="176"/>
        <v>0.88888888888888884</v>
      </c>
      <c r="AQ401">
        <f>survey_responses[[#This Row],[Tôi thấy mức thuế tôi phải đóng theo phương án mới là công bằng (người thu nhập như tôi đóng mức này là hợp lý). - HUMAN-TRU2]]</f>
        <v>7</v>
      </c>
      <c r="AR401">
        <f t="shared" si="177"/>
        <v>0.66666666666666663</v>
      </c>
      <c r="AS401">
        <f>step3_validation[[#This Row],[AI_TRU3]]</f>
        <v>8</v>
      </c>
      <c r="AT401">
        <f t="shared" si="178"/>
        <v>0.77777777777777779</v>
      </c>
      <c r="AU401">
        <f>survey_responses[[#This Row],[Tôi tin tưởng số tiền thuế tôi đóng sẽ được Nhà nước sử dụng hiệu quả để cải thiện dịch vụ công (y tế, đường xá...). - HUMAN-TRU3]]</f>
        <v>7</v>
      </c>
      <c r="AV401">
        <f t="shared" si="179"/>
        <v>0.66666666666666663</v>
      </c>
      <c r="AW401">
        <f>step3_validation[[#This Row],[AI_TRU4]]</f>
        <v>7</v>
      </c>
      <c r="AX401">
        <f t="shared" si="180"/>
        <v>0.66666666666666663</v>
      </c>
      <c r="AY401">
        <f>survey_responses[[#This Row],[Tôi thấy Nhà nước đã giải thích rõ ràng, minh bạch về lý do và mục tiêu của việc sửa đổi thuế lần này. - HUMAN-TRU4]]</f>
        <v>7</v>
      </c>
      <c r="AZ401">
        <f t="shared" si="181"/>
        <v>0.66666666666666663</v>
      </c>
      <c r="BA401" s="32">
        <f t="shared" si="182"/>
        <v>0.77777777777777768</v>
      </c>
      <c r="BB401" s="32">
        <f t="shared" si="183"/>
        <v>0.66666666666666663</v>
      </c>
      <c r="BC401" s="7">
        <f t="shared" si="184"/>
        <v>0.75925925925925919</v>
      </c>
      <c r="BD401" s="7">
        <f t="shared" si="185"/>
        <v>0.75925925925925919</v>
      </c>
      <c r="BE401">
        <f>step3_validation[[#This Row],[AI_OUT1]]</f>
        <v>9</v>
      </c>
      <c r="BF401">
        <f t="shared" si="186"/>
        <v>0.88888888888888884</v>
      </c>
      <c r="BG401">
        <f>survey_responses[[#This Row],[Sau khi xem xét các quyền lợi và nghĩa vụ, bạn có ủng hộ và tuân thủ chính sách mới hiện nay? - HUMAN-OUT1]]</f>
        <v>8</v>
      </c>
      <c r="BH401">
        <f t="shared" si="187"/>
        <v>0.77777777777777779</v>
      </c>
      <c r="BI401" s="32">
        <f t="shared" si="188"/>
        <v>1</v>
      </c>
    </row>
    <row r="402" spans="1:61" x14ac:dyDescent="0.45">
      <c r="A402" s="30">
        <f>step3_validation[[#This Row],[Persona_ID]]</f>
        <v>401</v>
      </c>
      <c r="B402" s="31">
        <f>step3_validation[[#This Row],[Used_Seed]]</f>
        <v>2426</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16.315664989626608</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9</v>
      </c>
      <c r="R402">
        <f t="shared" si="162"/>
        <v>0.88888888888888884</v>
      </c>
      <c r="S402">
        <f>survey_responses[[#This Row],[Tôi tin rằng với các quy định quản lý thuế hiện nay, hành vi gian lận hoặc trốn thuế sẽ dễ dàng bị phát hiện và xử lý nghiêm. - HUMAN-ENF1]]</f>
        <v>4</v>
      </c>
      <c r="T402">
        <f t="shared" si="163"/>
        <v>0.33333333333333331</v>
      </c>
      <c r="U402">
        <f>step3_validation[[#This Row],[AI_ENF2]]</f>
        <v>8</v>
      </c>
      <c r="V402">
        <f t="shared" si="164"/>
        <v>0.77777777777777779</v>
      </c>
      <c r="W402">
        <f>survey_responses[[#This Row],[Tôi tin rằng Nhà nước, cơ quan thuế có đủ khả năng và công nghệ để phát hiện, xử lý nghiêm các hành vi trốn thuế. - HUMAN-ENF2]]</f>
        <v>4</v>
      </c>
      <c r="X402">
        <f t="shared" si="165"/>
        <v>0.33333333333333331</v>
      </c>
      <c r="Y402" s="32">
        <f t="shared" si="166"/>
        <v>0.83333333333333326</v>
      </c>
      <c r="Z402" s="32">
        <f t="shared" si="167"/>
        <v>0.33333333333333331</v>
      </c>
      <c r="AA402">
        <f>step3_validation[[#This Row],[AI_FAC1]]</f>
        <v>9</v>
      </c>
      <c r="AB402">
        <f t="shared" si="168"/>
        <v>0.88888888888888884</v>
      </c>
      <c r="AC402">
        <f>survey_responses[[#This Row],[Các thủ tục khai báo thuế VÀ/HOẶC quy trình làm việc với cơ quan thuế đơn giản, tiện lợi, nhanh chóng hơn so với trước đây. - HUMAN-FAC1]]</f>
        <v>3</v>
      </c>
      <c r="AD402">
        <f t="shared" si="169"/>
        <v>0.22222222222222221</v>
      </c>
      <c r="AE402">
        <f>step3_validation[[#This Row],[AI_FAC2]]</f>
        <v>9</v>
      </c>
      <c r="AF402">
        <f t="shared" si="170"/>
        <v>0.88888888888888884</v>
      </c>
      <c r="AG402">
        <f>survey_responses[[#This Row],[So với trước đây, tôi thấy cách tính thuế và các bậc thuế trong phương án mới đơn giản, dễ hiểu và dễ thực hiện hơn. - HUMAN-FAC2]]</f>
        <v>5</v>
      </c>
      <c r="AH402">
        <f t="shared" si="171"/>
        <v>0.44444444444444442</v>
      </c>
      <c r="AI402" s="32">
        <f t="shared" si="172"/>
        <v>0.88888888888888884</v>
      </c>
      <c r="AJ402" s="32">
        <f t="shared" si="173"/>
        <v>0.33333333333333331</v>
      </c>
      <c r="AK402">
        <f>step3_validation[[#This Row],[AI_TRU1]]</f>
        <v>8</v>
      </c>
      <c r="AL402">
        <f t="shared" si="174"/>
        <v>0.77777777777777779</v>
      </c>
      <c r="AM402">
        <f>survey_responses[[#This Row],[Tôi tin rằng Nhà nước, cơ quan thuế sẽ thực thi chính sách mới một cách khách quan, công tâm và đối xử bình đẳng với mọi người nộp thuế.  - HUMAN-TRU1]]</f>
        <v>5</v>
      </c>
      <c r="AN402">
        <f t="shared" si="175"/>
        <v>0.44444444444444442</v>
      </c>
      <c r="AO402">
        <f>step3_validation[[#This Row],[AI_TRU2]]</f>
        <v>9</v>
      </c>
      <c r="AP402">
        <f t="shared" si="176"/>
        <v>0.88888888888888884</v>
      </c>
      <c r="AQ402">
        <f>survey_responses[[#This Row],[Tôi thấy mức thuế tôi phải đóng theo phương án mới là công bằng (người thu nhập như tôi đóng mức này là hợp lý). - HUMAN-TRU2]]</f>
        <v>2</v>
      </c>
      <c r="AR402">
        <f t="shared" si="177"/>
        <v>0.1111111111111111</v>
      </c>
      <c r="AS402">
        <f>step3_validation[[#This Row],[AI_TRU3]]</f>
        <v>8</v>
      </c>
      <c r="AT402">
        <f t="shared" si="178"/>
        <v>0.77777777777777779</v>
      </c>
      <c r="AU402">
        <f>survey_responses[[#This Row],[Tôi tin tưởng số tiền thuế tôi đóng sẽ được Nhà nước sử dụng hiệu quả để cải thiện dịch vụ công (y tế, đường xá...). - HUMAN-TRU3]]</f>
        <v>2</v>
      </c>
      <c r="AV402">
        <f t="shared" si="179"/>
        <v>0.1111111111111111</v>
      </c>
      <c r="AW402">
        <f>step3_validation[[#This Row],[AI_TRU4]]</f>
        <v>9</v>
      </c>
      <c r="AX402">
        <f t="shared" si="180"/>
        <v>0.88888888888888884</v>
      </c>
      <c r="AY402">
        <f>survey_responses[[#This Row],[Tôi thấy Nhà nước đã giải thích rõ ràng, minh bạch về lý do và mục tiêu của việc sửa đổi thuế lần này. - HUMAN-TRU4]]</f>
        <v>5</v>
      </c>
      <c r="AZ402">
        <f t="shared" si="181"/>
        <v>0.44444444444444442</v>
      </c>
      <c r="BA402" s="32">
        <f t="shared" si="182"/>
        <v>0.83333333333333326</v>
      </c>
      <c r="BB402" s="32">
        <f t="shared" si="183"/>
        <v>0.27777777777777779</v>
      </c>
      <c r="BC402" s="7">
        <f t="shared" si="184"/>
        <v>0.85185185185185175</v>
      </c>
      <c r="BD402" s="7">
        <f t="shared" si="185"/>
        <v>0.31481481481481483</v>
      </c>
      <c r="BE402">
        <f>step3_validation[[#This Row],[AI_OUT1]]</f>
        <v>10</v>
      </c>
      <c r="BF402">
        <f t="shared" si="186"/>
        <v>1</v>
      </c>
      <c r="BG402">
        <f>survey_responses[[#This Row],[Sau khi xem xét các quyền lợi và nghĩa vụ, bạn có ủng hộ và tuân thủ chính sách mới hiện nay? - HUMAN-OUT1]]</f>
        <v>2</v>
      </c>
      <c r="BH402">
        <f t="shared" si="187"/>
        <v>0.1111111111111111</v>
      </c>
      <c r="BI402" s="32">
        <f t="shared" si="188"/>
        <v>8</v>
      </c>
    </row>
    <row r="403" spans="1:61" x14ac:dyDescent="0.45">
      <c r="A403" s="30">
        <f>step3_validation[[#This Row],[Persona_ID]]</f>
        <v>402</v>
      </c>
      <c r="B403" s="31">
        <f>step3_validation[[#This Row],[Used_Seed]]</f>
        <v>2427</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132.78249495416784</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7</v>
      </c>
      <c r="R403">
        <f t="shared" si="162"/>
        <v>0.66666666666666663</v>
      </c>
      <c r="S403">
        <f>survey_responses[[#This Row],[Tôi tin rằng với các quy định quản lý thuế hiện nay, hành vi gian lận hoặc trốn thuế sẽ dễ dàng bị phát hiện và xử lý nghiêm. - HUMAN-ENF1]]</f>
        <v>7</v>
      </c>
      <c r="T403">
        <f t="shared" si="163"/>
        <v>0.66666666666666663</v>
      </c>
      <c r="U403">
        <f>step3_validation[[#This Row],[AI_ENF2]]</f>
        <v>8</v>
      </c>
      <c r="V403">
        <f t="shared" si="164"/>
        <v>0.77777777777777779</v>
      </c>
      <c r="W403">
        <f>survey_responses[[#This Row],[Tôi tin rằng Nhà nước, cơ quan thuế có đủ khả năng và công nghệ để phát hiện, xử lý nghiêm các hành vi trốn thuế. - HUMAN-ENF2]]</f>
        <v>7</v>
      </c>
      <c r="X403">
        <f t="shared" si="165"/>
        <v>0.66666666666666663</v>
      </c>
      <c r="Y403" s="32">
        <f t="shared" si="166"/>
        <v>0.72222222222222221</v>
      </c>
      <c r="Z403" s="32">
        <f t="shared" si="167"/>
        <v>0.66666666666666663</v>
      </c>
      <c r="AA403">
        <f>step3_validation[[#This Row],[AI_FAC1]]</f>
        <v>9</v>
      </c>
      <c r="AB403">
        <f t="shared" si="168"/>
        <v>0.88888888888888884</v>
      </c>
      <c r="AC403">
        <f>survey_responses[[#This Row],[Các thủ tục khai báo thuế VÀ/HOẶC quy trình làm việc với cơ quan thuế đơn giản, tiện lợi, nhanh chóng hơn so với trước đây. - HUMAN-FAC1]]</f>
        <v>4</v>
      </c>
      <c r="AD403">
        <f t="shared" si="169"/>
        <v>0.33333333333333331</v>
      </c>
      <c r="AE403">
        <f>step3_validation[[#This Row],[AI_FAC2]]</f>
        <v>8</v>
      </c>
      <c r="AF403">
        <f t="shared" si="170"/>
        <v>0.77777777777777779</v>
      </c>
      <c r="AG403">
        <f>survey_responses[[#This Row],[So với trước đây, tôi thấy cách tính thuế và các bậc thuế trong phương án mới đơn giản, dễ hiểu và dễ thực hiện hơn. - HUMAN-FAC2]]</f>
        <v>6</v>
      </c>
      <c r="AH403">
        <f t="shared" si="171"/>
        <v>0.55555555555555558</v>
      </c>
      <c r="AI403" s="32">
        <f t="shared" si="172"/>
        <v>0.83333333333333326</v>
      </c>
      <c r="AJ403" s="32">
        <f t="shared" si="173"/>
        <v>0.44444444444444442</v>
      </c>
      <c r="AK403">
        <f>step3_validation[[#This Row],[AI_TRU1]]</f>
        <v>6</v>
      </c>
      <c r="AL403">
        <f t="shared" si="174"/>
        <v>0.55555555555555558</v>
      </c>
      <c r="AM403">
        <f>survey_responses[[#This Row],[Tôi tin rằng Nhà nước, cơ quan thuế sẽ thực thi chính sách mới một cách khách quan, công tâm và đối xử bình đẳng với mọi người nộp thuế.  - HUMAN-TRU1]]</f>
        <v>5</v>
      </c>
      <c r="AN403">
        <f t="shared" si="175"/>
        <v>0.44444444444444442</v>
      </c>
      <c r="AO403">
        <f>step3_validation[[#This Row],[AI_TRU2]]</f>
        <v>9</v>
      </c>
      <c r="AP403">
        <f t="shared" si="176"/>
        <v>0.88888888888888884</v>
      </c>
      <c r="AQ403">
        <f>survey_responses[[#This Row],[Tôi thấy mức thuế tôi phải đóng theo phương án mới là công bằng (người thu nhập như tôi đóng mức này là hợp lý). - HUMAN-TRU2]]</f>
        <v>4</v>
      </c>
      <c r="AR403">
        <f t="shared" si="177"/>
        <v>0.33333333333333331</v>
      </c>
      <c r="AS403">
        <f>step3_validation[[#This Row],[AI_TRU3]]</f>
        <v>7</v>
      </c>
      <c r="AT403">
        <f t="shared" si="178"/>
        <v>0.66666666666666663</v>
      </c>
      <c r="AU403">
        <f>survey_responses[[#This Row],[Tôi tin tưởng số tiền thuế tôi đóng sẽ được Nhà nước sử dụng hiệu quả để cải thiện dịch vụ công (y tế, đường xá...). - HUMAN-TRU3]]</f>
        <v>5</v>
      </c>
      <c r="AV403">
        <f t="shared" si="179"/>
        <v>0.44444444444444442</v>
      </c>
      <c r="AW403">
        <f>step3_validation[[#This Row],[AI_TRU4]]</f>
        <v>8</v>
      </c>
      <c r="AX403">
        <f t="shared" si="180"/>
        <v>0.77777777777777779</v>
      </c>
      <c r="AY403">
        <f>survey_responses[[#This Row],[Tôi thấy Nhà nước đã giải thích rõ ràng, minh bạch về lý do và mục tiêu của việc sửa đổi thuế lần này. - HUMAN-TRU4]]</f>
        <v>5</v>
      </c>
      <c r="AZ403">
        <f t="shared" si="181"/>
        <v>0.44444444444444442</v>
      </c>
      <c r="BA403" s="32">
        <f t="shared" si="182"/>
        <v>0.72222222222222221</v>
      </c>
      <c r="BB403" s="32">
        <f t="shared" si="183"/>
        <v>0.41666666666666663</v>
      </c>
      <c r="BC403" s="7">
        <f t="shared" si="184"/>
        <v>0.75925925925925919</v>
      </c>
      <c r="BD403" s="7">
        <f t="shared" si="185"/>
        <v>0.50925925925925919</v>
      </c>
      <c r="BE403">
        <f>step3_validation[[#This Row],[AI_OUT1]]</f>
        <v>7</v>
      </c>
      <c r="BF403">
        <f t="shared" si="186"/>
        <v>0.66666666666666663</v>
      </c>
      <c r="BG403">
        <f>survey_responses[[#This Row],[Sau khi xem xét các quyền lợi và nghĩa vụ, bạn có ủng hộ và tuân thủ chính sách mới hiện nay? - HUMAN-OUT1]]</f>
        <v>5</v>
      </c>
      <c r="BH403">
        <f t="shared" si="187"/>
        <v>0.44444444444444442</v>
      </c>
      <c r="BI403" s="32">
        <f t="shared" si="188"/>
        <v>2</v>
      </c>
    </row>
    <row r="404" spans="1:61" x14ac:dyDescent="0.45">
      <c r="A404" s="30">
        <f>step3_validation[[#This Row],[Persona_ID]]</f>
        <v>403</v>
      </c>
      <c r="B404" s="31">
        <f>step3_validation[[#This Row],[Used_Seed]]</f>
        <v>2428</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30.55115045337438</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6</v>
      </c>
      <c r="R404">
        <f t="shared" si="162"/>
        <v>0.55555555555555558</v>
      </c>
      <c r="S404">
        <f>survey_responses[[#This Row],[Tôi tin rằng với các quy định quản lý thuế hiện nay, hành vi gian lận hoặc trốn thuế sẽ dễ dàng bị phát hiện và xử lý nghiêm. - HUMAN-ENF1]]</f>
        <v>7</v>
      </c>
      <c r="T404">
        <f t="shared" si="163"/>
        <v>0.66666666666666663</v>
      </c>
      <c r="U404">
        <f>step3_validation[[#This Row],[AI_ENF2]]</f>
        <v>8</v>
      </c>
      <c r="V404">
        <f t="shared" si="164"/>
        <v>0.77777777777777779</v>
      </c>
      <c r="W404">
        <f>survey_responses[[#This Row],[Tôi tin rằng Nhà nước, cơ quan thuế có đủ khả năng và công nghệ để phát hiện, xử lý nghiêm các hành vi trốn thuế. - HUMAN-ENF2]]</f>
        <v>7</v>
      </c>
      <c r="X404">
        <f t="shared" si="165"/>
        <v>0.66666666666666663</v>
      </c>
      <c r="Y404" s="32">
        <f t="shared" si="166"/>
        <v>0.66666666666666674</v>
      </c>
      <c r="Z404" s="32">
        <f t="shared" si="167"/>
        <v>0.66666666666666663</v>
      </c>
      <c r="AA404">
        <f>step3_validation[[#This Row],[AI_FAC1]]</f>
        <v>9</v>
      </c>
      <c r="AB404">
        <f t="shared" si="168"/>
        <v>0.88888888888888884</v>
      </c>
      <c r="AC404">
        <f>survey_responses[[#This Row],[Các thủ tục khai báo thuế VÀ/HOẶC quy trình làm việc với cơ quan thuế đơn giản, tiện lợi, nhanh chóng hơn so với trước đây. - HUMAN-FAC1]]</f>
        <v>7</v>
      </c>
      <c r="AD404">
        <f t="shared" si="169"/>
        <v>0.66666666666666663</v>
      </c>
      <c r="AE404">
        <f>step3_validation[[#This Row],[AI_FAC2]]</f>
        <v>9</v>
      </c>
      <c r="AF404">
        <f t="shared" si="170"/>
        <v>0.88888888888888884</v>
      </c>
      <c r="AG404">
        <f>survey_responses[[#This Row],[So với trước đây, tôi thấy cách tính thuế và các bậc thuế trong phương án mới đơn giản, dễ hiểu và dễ thực hiện hơn. - HUMAN-FAC2]]</f>
        <v>7</v>
      </c>
      <c r="AH404">
        <f t="shared" si="171"/>
        <v>0.66666666666666663</v>
      </c>
      <c r="AI404" s="32">
        <f t="shared" si="172"/>
        <v>0.88888888888888884</v>
      </c>
      <c r="AJ404" s="32">
        <f t="shared" si="173"/>
        <v>0.66666666666666663</v>
      </c>
      <c r="AK404">
        <f>step3_validation[[#This Row],[AI_TRU1]]</f>
        <v>8</v>
      </c>
      <c r="AL404">
        <f t="shared" si="174"/>
        <v>0.77777777777777779</v>
      </c>
      <c r="AM404">
        <f>survey_responses[[#This Row],[Tôi tin rằng Nhà nước, cơ quan thuế sẽ thực thi chính sách mới một cách khách quan, công tâm và đối xử bình đẳng với mọi người nộp thuế.  - HUMAN-TRU1]]</f>
        <v>7</v>
      </c>
      <c r="AN404">
        <f t="shared" si="175"/>
        <v>0.66666666666666663</v>
      </c>
      <c r="AO404">
        <f>step3_validation[[#This Row],[AI_TRU2]]</f>
        <v>9</v>
      </c>
      <c r="AP404">
        <f t="shared" si="176"/>
        <v>0.88888888888888884</v>
      </c>
      <c r="AQ404">
        <f>survey_responses[[#This Row],[Tôi thấy mức thuế tôi phải đóng theo phương án mới là công bằng (người thu nhập như tôi đóng mức này là hợp lý). - HUMAN-TRU2]]</f>
        <v>7</v>
      </c>
      <c r="AR404">
        <f t="shared" si="177"/>
        <v>0.66666666666666663</v>
      </c>
      <c r="AS404">
        <f>step3_validation[[#This Row],[AI_TRU3]]</f>
        <v>7</v>
      </c>
      <c r="AT404">
        <f t="shared" si="178"/>
        <v>0.66666666666666663</v>
      </c>
      <c r="AU404">
        <f>survey_responses[[#This Row],[Tôi tin tưởng số tiền thuế tôi đóng sẽ được Nhà nước sử dụng hiệu quả để cải thiện dịch vụ công (y tế, đường xá...). - HUMAN-TRU3]]</f>
        <v>7</v>
      </c>
      <c r="AV404">
        <f t="shared" si="179"/>
        <v>0.66666666666666663</v>
      </c>
      <c r="AW404">
        <f>step3_validation[[#This Row],[AI_TRU4]]</f>
        <v>6</v>
      </c>
      <c r="AX404">
        <f t="shared" si="180"/>
        <v>0.55555555555555558</v>
      </c>
      <c r="AY404">
        <f>survey_responses[[#This Row],[Tôi thấy Nhà nước đã giải thích rõ ràng, minh bạch về lý do và mục tiêu của việc sửa đổi thuế lần này. - HUMAN-TRU4]]</f>
        <v>7</v>
      </c>
      <c r="AZ404">
        <f t="shared" si="181"/>
        <v>0.66666666666666663</v>
      </c>
      <c r="BA404" s="32">
        <f t="shared" si="182"/>
        <v>0.7222222222222221</v>
      </c>
      <c r="BB404" s="32">
        <f t="shared" si="183"/>
        <v>0.66666666666666663</v>
      </c>
      <c r="BC404" s="7">
        <f t="shared" si="184"/>
        <v>0.75925925925925919</v>
      </c>
      <c r="BD404" s="7">
        <f t="shared" si="185"/>
        <v>0.66666666666666663</v>
      </c>
      <c r="BE404">
        <f>step3_validation[[#This Row],[AI_OUT1]]</f>
        <v>9</v>
      </c>
      <c r="BF404">
        <f t="shared" si="186"/>
        <v>0.88888888888888884</v>
      </c>
      <c r="BG404">
        <f>survey_responses[[#This Row],[Sau khi xem xét các quyền lợi và nghĩa vụ, bạn có ủng hộ và tuân thủ chính sách mới hiện nay? - HUMAN-OUT1]]</f>
        <v>7</v>
      </c>
      <c r="BH404">
        <f t="shared" si="187"/>
        <v>0.66666666666666663</v>
      </c>
      <c r="BI404" s="32">
        <f t="shared" si="188"/>
        <v>2</v>
      </c>
    </row>
    <row r="405" spans="1:61" x14ac:dyDescent="0.45">
      <c r="BC405" s="7">
        <f>AVERAGE(BC2:BC404)</f>
        <v>0.75227460711331684</v>
      </c>
      <c r="BD405" s="7">
        <f>AVERAGE(BD2:BD404)</f>
        <v>0.62937689550592735</v>
      </c>
      <c r="BF405" s="7">
        <f>AVERAGE(BF2:BF404)</f>
        <v>0.84642955610697757</v>
      </c>
      <c r="BH405" s="7">
        <f>AVERAGE(BH2:BH404)</f>
        <v>0.65977391783843187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1ACFA-AC12-4926-B9AC-A34826317300}">
  <dimension ref="A1:J79"/>
  <sheetViews>
    <sheetView tabSelected="1" topLeftCell="A55" workbookViewId="0">
      <selection sqref="A1:J79"/>
    </sheetView>
  </sheetViews>
  <sheetFormatPr defaultRowHeight="14.25" x14ac:dyDescent="0.45"/>
  <sheetData>
    <row r="1" spans="1:10" x14ac:dyDescent="0.45">
      <c r="A1" s="41" t="s">
        <v>13</v>
      </c>
      <c r="B1" s="41" t="s">
        <v>1</v>
      </c>
      <c r="C1" s="41" t="s">
        <v>2</v>
      </c>
      <c r="D1" s="41" t="s">
        <v>3</v>
      </c>
      <c r="E1" s="41">
        <f>SUM(E2:E3)</f>
        <v>403</v>
      </c>
      <c r="G1" s="41" t="s">
        <v>13</v>
      </c>
      <c r="H1" s="41" t="s">
        <v>1</v>
      </c>
      <c r="I1" s="41" t="s">
        <v>2</v>
      </c>
      <c r="J1" s="41" t="s">
        <v>3</v>
      </c>
    </row>
    <row r="2" spans="1:10" x14ac:dyDescent="0.45">
      <c r="A2" s="4" t="s">
        <v>76</v>
      </c>
      <c r="B2" s="4">
        <f>COUNTIFS(step3_combined_data!$R$2:$R$404,"Oppose", step3_combined_data!$K$2:$K$404,"Chính thức")</f>
        <v>1</v>
      </c>
      <c r="C2" s="4">
        <f>COUNTIFS(step3_combined_data!$R$2:$R$404,"Neutral", step3_combined_data!$K$2:$K$404,"Chính thức")</f>
        <v>269</v>
      </c>
      <c r="D2" s="4">
        <f>COUNTIFS(step3_combined_data!$R$2:$R$404,"Support", step3_combined_data!$K$2:$K$404,"Chính thức")</f>
        <v>107</v>
      </c>
      <c r="E2" s="4">
        <f>SUM(B2:D2)</f>
        <v>377</v>
      </c>
      <c r="G2" s="4" t="s">
        <v>76</v>
      </c>
      <c r="H2" s="42">
        <f>B2/E2</f>
        <v>2.6525198938992041E-3</v>
      </c>
      <c r="I2" s="42">
        <f>C2/E2</f>
        <v>0.71352785145888598</v>
      </c>
      <c r="J2" s="42">
        <f>D2/E2</f>
        <v>0.28381962864721483</v>
      </c>
    </row>
    <row r="3" spans="1:10" x14ac:dyDescent="0.45">
      <c r="A3" s="4" t="s">
        <v>162</v>
      </c>
      <c r="B3" s="4">
        <f>COUNTIFS(step3_combined_data!$R$2:$R$404,"Oppose", step3_combined_data!$K$2:$K$404,"Phi chính thức")</f>
        <v>0</v>
      </c>
      <c r="C3" s="4">
        <f>COUNTIFS(step3_combined_data!$R$2:$R$404,"Neutral", step3_combined_data!$K$2:$K$404,"Phi chính thức")</f>
        <v>20</v>
      </c>
      <c r="D3" s="4">
        <f>COUNTIFS(step3_combined_data!$R$2:$R$404,"Support", step3_combined_data!$K$2:$K$404,"Phi chính thức")</f>
        <v>6</v>
      </c>
      <c r="E3" s="4">
        <f>SUM(B3:D3)</f>
        <v>26</v>
      </c>
      <c r="G3" s="4" t="s">
        <v>162</v>
      </c>
      <c r="H3" s="42">
        <f>B3/E3</f>
        <v>0</v>
      </c>
      <c r="I3" s="42">
        <f>C3/E3</f>
        <v>0.76923076923076927</v>
      </c>
      <c r="J3" s="42">
        <f>D3/E3</f>
        <v>0.23076923076923078</v>
      </c>
    </row>
    <row r="5" spans="1:10" x14ac:dyDescent="0.45">
      <c r="A5" s="41" t="s">
        <v>14</v>
      </c>
      <c r="B5" s="41" t="s">
        <v>1</v>
      </c>
      <c r="C5" s="41" t="s">
        <v>2</v>
      </c>
      <c r="D5" s="41" t="s">
        <v>3</v>
      </c>
      <c r="E5" s="41">
        <f>SUM(E6:E7)</f>
        <v>403</v>
      </c>
      <c r="G5" s="41" t="s">
        <v>14</v>
      </c>
      <c r="H5" s="41" t="s">
        <v>1</v>
      </c>
      <c r="I5" s="41" t="s">
        <v>2</v>
      </c>
      <c r="J5" s="41" t="s">
        <v>3</v>
      </c>
    </row>
    <row r="6" spans="1:10" x14ac:dyDescent="0.45">
      <c r="A6" s="4" t="s">
        <v>76</v>
      </c>
      <c r="B6" s="4">
        <f>COUNTIFS(step3_combined_data!$W$2:$W$404,"Oppose", step3_combined_data!$K$2:$K$404,"Chính thức")</f>
        <v>3</v>
      </c>
      <c r="C6" s="4">
        <f>COUNTIFS(step3_combined_data!$W$2:$W$404,"Neutral", step3_combined_data!$K$2:$K$404,"Chính thức")</f>
        <v>190</v>
      </c>
      <c r="D6" s="4">
        <f>COUNTIFS(step3_combined_data!$W$2:$W$404,"Support", step3_combined_data!$K$2:$K$404,"Chính thức")</f>
        <v>184</v>
      </c>
      <c r="E6" s="4">
        <f>SUM(B6:D6)</f>
        <v>377</v>
      </c>
      <c r="G6" s="4" t="s">
        <v>76</v>
      </c>
      <c r="H6" s="42">
        <f>B6/E6</f>
        <v>7.9575596816976128E-3</v>
      </c>
      <c r="I6" s="42">
        <f>C6/E6</f>
        <v>0.50397877984084882</v>
      </c>
      <c r="J6" s="42">
        <f>D6/E6</f>
        <v>0.48806366047745359</v>
      </c>
    </row>
    <row r="7" spans="1:10" x14ac:dyDescent="0.45">
      <c r="A7" s="4" t="s">
        <v>162</v>
      </c>
      <c r="B7" s="4">
        <f>COUNTIFS(step3_combined_data!$W$2:$W$404,"Oppose", step3_combined_data!$K$2:$K$404,"Phi chính thức")</f>
        <v>0</v>
      </c>
      <c r="C7" s="4">
        <f>COUNTIFS(step3_combined_data!$W$2:$W$404,"Neutral", step3_combined_data!$K$2:$K$404,"Phi chính thức")</f>
        <v>16</v>
      </c>
      <c r="D7" s="4">
        <f>COUNTIFS(step3_combined_data!$W$2:$W$404,"Support", step3_combined_data!$K$2:$K$404,"Phi chính thức")</f>
        <v>10</v>
      </c>
      <c r="E7" s="4">
        <f>SUM(B7:D7)</f>
        <v>26</v>
      </c>
      <c r="G7" s="4" t="s">
        <v>162</v>
      </c>
      <c r="H7" s="42">
        <f>B7/E7</f>
        <v>0</v>
      </c>
      <c r="I7" s="42">
        <f>C7/E7</f>
        <v>0.61538461538461542</v>
      </c>
      <c r="J7" s="42">
        <f>D7/E7</f>
        <v>0.38461538461538464</v>
      </c>
    </row>
    <row r="9" spans="1:10" x14ac:dyDescent="0.45">
      <c r="A9" s="41" t="s">
        <v>15</v>
      </c>
      <c r="B9" s="41" t="s">
        <v>1</v>
      </c>
      <c r="C9" s="41" t="s">
        <v>2</v>
      </c>
      <c r="D9" s="41" t="s">
        <v>3</v>
      </c>
      <c r="E9" s="41">
        <f>SUM(E10:E11)</f>
        <v>403</v>
      </c>
      <c r="G9" s="41" t="s">
        <v>15</v>
      </c>
      <c r="H9" s="41" t="s">
        <v>1</v>
      </c>
      <c r="I9" s="41" t="s">
        <v>2</v>
      </c>
      <c r="J9" s="41" t="s">
        <v>3</v>
      </c>
    </row>
    <row r="10" spans="1:10" x14ac:dyDescent="0.45">
      <c r="A10" s="4" t="s">
        <v>76</v>
      </c>
      <c r="B10" s="4">
        <f>COUNTIFS(step3_combined_data!$AB$2:$AB$404,"Oppose", step3_combined_data!$K$2:$K$404,"Chính thức")</f>
        <v>0</v>
      </c>
      <c r="C10" s="4">
        <f>COUNTIFS(step3_combined_data!$AB$2:$AB$404,"Neutral", step3_combined_data!$K$2:$K$404,"Chính thức")</f>
        <v>81</v>
      </c>
      <c r="D10" s="4">
        <f>COUNTIFS(step3_combined_data!$AB$2:$AB$404,"Support", step3_combined_data!$K$2:$K$404,"Chính thức")</f>
        <v>296</v>
      </c>
      <c r="E10" s="4">
        <f>SUM(B10:D10)</f>
        <v>377</v>
      </c>
      <c r="G10" s="4" t="s">
        <v>76</v>
      </c>
      <c r="H10" s="42">
        <f>B10/E10</f>
        <v>0</v>
      </c>
      <c r="I10" s="42">
        <f>C10/E10</f>
        <v>0.21485411140583555</v>
      </c>
      <c r="J10" s="42">
        <f>D10/E10</f>
        <v>0.78514588859416445</v>
      </c>
    </row>
    <row r="11" spans="1:10" x14ac:dyDescent="0.45">
      <c r="A11" s="4" t="s">
        <v>162</v>
      </c>
      <c r="B11" s="4">
        <f>COUNTIFS(step3_combined_data!$AB$2:$AB$404,"Oppose", step3_combined_data!$K$2:$K$404,"Phi chính thức")</f>
        <v>0</v>
      </c>
      <c r="C11" s="4">
        <f>COUNTIFS(step3_combined_data!$AB$2:$AB$404,"Neutral", step3_combined_data!$K$2:$K$404,"Phi chính thức")</f>
        <v>13</v>
      </c>
      <c r="D11" s="4">
        <f>COUNTIFS(step3_combined_data!$AB$2:$AB$404,"Support", step3_combined_data!$K$2:$K$404,"Phi chính thức")</f>
        <v>13</v>
      </c>
      <c r="E11" s="4">
        <f>SUM(B11:D11)</f>
        <v>26</v>
      </c>
      <c r="G11" s="4" t="s">
        <v>162</v>
      </c>
      <c r="H11" s="42">
        <f>B11/E11</f>
        <v>0</v>
      </c>
      <c r="I11" s="42">
        <f>C11/E11</f>
        <v>0.5</v>
      </c>
      <c r="J11" s="42">
        <f>D11/E11</f>
        <v>0.5</v>
      </c>
    </row>
    <row r="13" spans="1:10" x14ac:dyDescent="0.45">
      <c r="A13" s="41" t="s">
        <v>16</v>
      </c>
      <c r="B13" s="41" t="s">
        <v>1</v>
      </c>
      <c r="C13" s="41" t="s">
        <v>2</v>
      </c>
      <c r="D13" s="41" t="s">
        <v>3</v>
      </c>
      <c r="E13" s="41">
        <f>SUM(E14:E19)</f>
        <v>403</v>
      </c>
      <c r="G13" s="41" t="s">
        <v>16</v>
      </c>
      <c r="H13" s="41" t="s">
        <v>1</v>
      </c>
      <c r="I13" s="41" t="s">
        <v>2</v>
      </c>
      <c r="J13" s="41" t="s">
        <v>3</v>
      </c>
    </row>
    <row r="14" spans="1:10" x14ac:dyDescent="0.45">
      <c r="A14" s="4" t="s">
        <v>189</v>
      </c>
      <c r="B14" s="4">
        <f>COUNTIFS(step3_combined_data!$AG$2:$AG$404,"Oppose", step3_combined_data!$E$2:$E$404,"18 - 24")</f>
        <v>0</v>
      </c>
      <c r="C14" s="4">
        <f>COUNTIFS(step3_combined_data!$AG$2:$AG$404,"Neutral", step3_combined_data!$E$2:$E$404,"18 - 24")</f>
        <v>2</v>
      </c>
      <c r="D14" s="4">
        <f>COUNTIFS(step3_combined_data!$AG$2:$AG$404,"Support", step3_combined_data!$E$2:$E$404,"18 - 24")</f>
        <v>53</v>
      </c>
      <c r="E14" s="4">
        <f>SUM(B14:D14)</f>
        <v>55</v>
      </c>
      <c r="G14" s="4" t="s">
        <v>189</v>
      </c>
      <c r="H14" s="43">
        <f t="shared" ref="H14:H19" si="0">B14/E14</f>
        <v>0</v>
      </c>
      <c r="I14" s="43">
        <f t="shared" ref="I14:I19" si="1">C14/E14</f>
        <v>3.6363636363636362E-2</v>
      </c>
      <c r="J14" s="43">
        <f t="shared" ref="J14:J19" si="2">D14/E14</f>
        <v>0.96363636363636362</v>
      </c>
    </row>
    <row r="15" spans="1:10" x14ac:dyDescent="0.45">
      <c r="A15" s="4" t="s">
        <v>81</v>
      </c>
      <c r="B15" s="4">
        <f>COUNTIFS(step3_combined_data!$AG$2:$AG$404,"Oppose", step3_combined_data!$E$2:$E$404,"18 - 24")</f>
        <v>0</v>
      </c>
      <c r="C15" s="4">
        <f>COUNTIFS(step3_combined_data!$AG$2:$AG$404,"Neutral", step3_combined_data!$E$2:$E$404,"25 - 29")</f>
        <v>2</v>
      </c>
      <c r="D15" s="4">
        <f>COUNTIFS(step3_combined_data!$AG$2:$AG$404,"Support", step3_combined_data!$E$2:$E$404,"25 - 29")</f>
        <v>77</v>
      </c>
      <c r="E15" s="4">
        <f t="shared" ref="E15:E19" si="3">SUM(B15:D15)</f>
        <v>79</v>
      </c>
      <c r="G15" s="4" t="s">
        <v>81</v>
      </c>
      <c r="H15" s="43">
        <f t="shared" si="0"/>
        <v>0</v>
      </c>
      <c r="I15" s="43">
        <f t="shared" si="1"/>
        <v>2.5316455696202531E-2</v>
      </c>
      <c r="J15" s="43">
        <f t="shared" si="2"/>
        <v>0.97468354430379744</v>
      </c>
    </row>
    <row r="16" spans="1:10" x14ac:dyDescent="0.45">
      <c r="A16" s="4" t="s">
        <v>73</v>
      </c>
      <c r="B16" s="4">
        <f>COUNTIFS(step3_combined_data!$AG$2:$AG$404,"Oppose", step3_combined_data!$E$2:$E$404,"30 - 39")</f>
        <v>0</v>
      </c>
      <c r="C16" s="4">
        <f>COUNTIFS(step3_combined_data!$AG$2:$AG$404,"Neutral", step3_combined_data!$E$2:$E$404,"30 - 39")</f>
        <v>6</v>
      </c>
      <c r="D16" s="4">
        <f>COUNTIFS(step3_combined_data!$AG$2:$AG$404,"Support", step3_combined_data!$E$2:$E$404,"30 - 39")</f>
        <v>126</v>
      </c>
      <c r="E16" s="4">
        <f t="shared" si="3"/>
        <v>132</v>
      </c>
      <c r="G16" s="4" t="s">
        <v>73</v>
      </c>
      <c r="H16" s="43">
        <f t="shared" si="0"/>
        <v>0</v>
      </c>
      <c r="I16" s="43">
        <f t="shared" si="1"/>
        <v>4.5454545454545456E-2</v>
      </c>
      <c r="J16" s="43">
        <f t="shared" si="2"/>
        <v>0.95454545454545459</v>
      </c>
    </row>
    <row r="17" spans="1:10" x14ac:dyDescent="0.45">
      <c r="A17" s="4" t="s">
        <v>79</v>
      </c>
      <c r="B17" s="4">
        <f>COUNTIFS(step3_combined_data!$AG$2:$AG$404,"Oppose", step3_combined_data!$E$2:$E$404,"40 - 49")</f>
        <v>0</v>
      </c>
      <c r="C17" s="4">
        <f>COUNTIFS(step3_combined_data!$AG$2:$AG$404,"Neutral", step3_combined_data!$E$2:$E$404,"40 - 49")</f>
        <v>3</v>
      </c>
      <c r="D17" s="4">
        <f>COUNTIFS(step3_combined_data!$AG$2:$AG$404,"Support", step3_combined_data!$E$2:$E$404,"40 - 49")</f>
        <v>76</v>
      </c>
      <c r="E17" s="4">
        <f t="shared" si="3"/>
        <v>79</v>
      </c>
      <c r="G17" s="4" t="s">
        <v>79</v>
      </c>
      <c r="H17" s="43">
        <f t="shared" si="0"/>
        <v>0</v>
      </c>
      <c r="I17" s="43">
        <f t="shared" si="1"/>
        <v>3.7974683544303799E-2</v>
      </c>
      <c r="J17" s="43">
        <f t="shared" si="2"/>
        <v>0.96202531645569622</v>
      </c>
    </row>
    <row r="18" spans="1:10" x14ac:dyDescent="0.45">
      <c r="A18" s="4" t="s">
        <v>192</v>
      </c>
      <c r="B18" s="4">
        <f>COUNTIFS(step3_combined_data!$AG$2:$AG$404,"Oppose", step3_combined_data!$E$2:$E$404,"50 - 54")</f>
        <v>0</v>
      </c>
      <c r="C18" s="4">
        <f>COUNTIFS(step3_combined_data!$AG$2:$AG$404,"Neutral", step3_combined_data!$E$2:$E$404,"50 - 54")</f>
        <v>1</v>
      </c>
      <c r="D18" s="4">
        <f>COUNTIFS(step3_combined_data!$AG$2:$AG$404,"Support", step3_combined_data!$E$2:$E$404,"50 - 54")</f>
        <v>30</v>
      </c>
      <c r="E18" s="4">
        <f t="shared" si="3"/>
        <v>31</v>
      </c>
      <c r="G18" s="4" t="s">
        <v>192</v>
      </c>
      <c r="H18" s="43">
        <f t="shared" si="0"/>
        <v>0</v>
      </c>
      <c r="I18" s="43">
        <f t="shared" si="1"/>
        <v>3.2258064516129031E-2</v>
      </c>
      <c r="J18" s="43">
        <f t="shared" si="2"/>
        <v>0.967741935483871</v>
      </c>
    </row>
    <row r="19" spans="1:10" x14ac:dyDescent="0.45">
      <c r="A19" s="4" t="s">
        <v>194</v>
      </c>
      <c r="B19" s="4">
        <f>COUNTIFS(step3_combined_data!$AG$2:$AG$404,"Oppose", step3_combined_data!$E$2:$E$404,"55 - 64")</f>
        <v>0</v>
      </c>
      <c r="C19" s="4">
        <f>COUNTIFS(step3_combined_data!$AG$2:$AG$404,"Neutral", step3_combined_data!$E$2:$E$404,"55 - 64")</f>
        <v>2</v>
      </c>
      <c r="D19" s="4">
        <f>COUNTIFS(step3_combined_data!$AG$2:$AG$404,"Support", step3_combined_data!$E$2:$E$404,"55 - 64")</f>
        <v>25</v>
      </c>
      <c r="E19" s="4">
        <f t="shared" si="3"/>
        <v>27</v>
      </c>
      <c r="G19" s="4" t="s">
        <v>194</v>
      </c>
      <c r="H19" s="43">
        <f t="shared" si="0"/>
        <v>0</v>
      </c>
      <c r="I19" s="43">
        <f t="shared" si="1"/>
        <v>7.407407407407407E-2</v>
      </c>
      <c r="J19" s="43">
        <f t="shared" si="2"/>
        <v>0.92592592592592593</v>
      </c>
    </row>
    <row r="21" spans="1:10" x14ac:dyDescent="0.45">
      <c r="A21" s="41" t="s">
        <v>17</v>
      </c>
      <c r="B21" s="41" t="s">
        <v>1</v>
      </c>
      <c r="C21" s="41" t="s">
        <v>2</v>
      </c>
      <c r="D21" s="41" t="s">
        <v>3</v>
      </c>
      <c r="E21" s="41">
        <f>SUM(E22:E27)</f>
        <v>401</v>
      </c>
      <c r="G21" s="41" t="s">
        <v>17</v>
      </c>
      <c r="H21" s="41" t="s">
        <v>1</v>
      </c>
      <c r="I21" s="41" t="s">
        <v>2</v>
      </c>
      <c r="J21" s="41" t="s">
        <v>3</v>
      </c>
    </row>
    <row r="22" spans="1:10" x14ac:dyDescent="0.45">
      <c r="A22" s="4" t="s">
        <v>189</v>
      </c>
      <c r="B22" s="4">
        <f>COUNTIFS(step3_combined_data!$AL$2:$AL$404,"Oppose", step3_combined_data!$E$2:$E$404,"18 - 24")</f>
        <v>0</v>
      </c>
      <c r="C22" s="4">
        <f>COUNTIFS(step3_combined_data!$AL$2:$AL$404,"Neutral", step3_combined_data!$E$2:$E$404,"18 - 24")</f>
        <v>24</v>
      </c>
      <c r="D22" s="4">
        <f>COUNTIFS(step3_combined_data!$AL$2:$AL$404,"Support", step3_combined_data!$E$2:$E$404,"18 - 24")</f>
        <v>29</v>
      </c>
      <c r="E22" s="4">
        <f>SUM(B22:D22)</f>
        <v>53</v>
      </c>
      <c r="G22" s="4" t="s">
        <v>189</v>
      </c>
      <c r="H22" s="43">
        <f t="shared" ref="H22:H27" si="4">B22/E22</f>
        <v>0</v>
      </c>
      <c r="I22" s="43">
        <f t="shared" ref="I22:I27" si="5">C22/E22</f>
        <v>0.45283018867924529</v>
      </c>
      <c r="J22" s="43">
        <f t="shared" ref="J22:J27" si="6">D22/E22</f>
        <v>0.54716981132075471</v>
      </c>
    </row>
    <row r="23" spans="1:10" x14ac:dyDescent="0.45">
      <c r="A23" s="4" t="s">
        <v>81</v>
      </c>
      <c r="B23" s="4">
        <f>COUNTIFS(step3_combined_data!$AL$2:$AL$404,"Oppose", step3_combined_data!$E$2:$E$404,"18 - 24")</f>
        <v>0</v>
      </c>
      <c r="C23" s="4">
        <f>COUNTIFS(step3_combined_data!$AL$2:$AL$404,"Neutral", step3_combined_data!$E$2:$E$404,"25 - 29")</f>
        <v>46</v>
      </c>
      <c r="D23" s="4">
        <f>COUNTIFS(step3_combined_data!$AL$2:$AL$404,"Support", step3_combined_data!$E$2:$E$404,"25 - 29")</f>
        <v>33</v>
      </c>
      <c r="E23" s="4">
        <f t="shared" ref="E23:E27" si="7">SUM(B23:D23)</f>
        <v>79</v>
      </c>
      <c r="G23" s="4" t="s">
        <v>81</v>
      </c>
      <c r="H23" s="43">
        <f t="shared" si="4"/>
        <v>0</v>
      </c>
      <c r="I23" s="43">
        <f t="shared" si="5"/>
        <v>0.58227848101265822</v>
      </c>
      <c r="J23" s="43">
        <f t="shared" si="6"/>
        <v>0.41772151898734178</v>
      </c>
    </row>
    <row r="24" spans="1:10" x14ac:dyDescent="0.45">
      <c r="A24" s="4" t="s">
        <v>73</v>
      </c>
      <c r="B24" s="4">
        <f>COUNTIFS(step3_combined_data!$AL$2:$AL$404,"Oppose", step3_combined_data!$E$2:$E$404,"30 - 39")</f>
        <v>1</v>
      </c>
      <c r="C24" s="4">
        <f>COUNTIFS(step3_combined_data!$AL$2:$AL$404,"Neutral", step3_combined_data!$E$2:$E$404,"30 - 39")</f>
        <v>63</v>
      </c>
      <c r="D24" s="4">
        <f>COUNTIFS(step3_combined_data!$AL$2:$AL$404,"Support", step3_combined_data!$E$2:$E$404,"30 - 39")</f>
        <v>68</v>
      </c>
      <c r="E24" s="4">
        <f t="shared" si="7"/>
        <v>132</v>
      </c>
      <c r="G24" s="4" t="s">
        <v>73</v>
      </c>
      <c r="H24" s="43">
        <f t="shared" si="4"/>
        <v>7.575757575757576E-3</v>
      </c>
      <c r="I24" s="43">
        <f t="shared" si="5"/>
        <v>0.47727272727272729</v>
      </c>
      <c r="J24" s="43">
        <f t="shared" si="6"/>
        <v>0.51515151515151514</v>
      </c>
    </row>
    <row r="25" spans="1:10" x14ac:dyDescent="0.45">
      <c r="A25" s="4" t="s">
        <v>79</v>
      </c>
      <c r="B25" s="4">
        <f>COUNTIFS(step3_combined_data!$AL$2:$AL$404,"Oppose", step3_combined_data!$E$2:$E$404,"40 - 49")</f>
        <v>0</v>
      </c>
      <c r="C25" s="4">
        <f>COUNTIFS(step3_combined_data!$AL$2:$AL$404,"Neutral", step3_combined_data!$E$2:$E$404,"40 - 49")</f>
        <v>36</v>
      </c>
      <c r="D25" s="4">
        <f>COUNTIFS(step3_combined_data!$AL$2:$AL$404,"Support", step3_combined_data!$E$2:$E$404,"40 - 49")</f>
        <v>43</v>
      </c>
      <c r="E25" s="4">
        <f t="shared" si="7"/>
        <v>79</v>
      </c>
      <c r="G25" s="4" t="s">
        <v>79</v>
      </c>
      <c r="H25" s="43">
        <f t="shared" si="4"/>
        <v>0</v>
      </c>
      <c r="I25" s="43">
        <f t="shared" si="5"/>
        <v>0.45569620253164556</v>
      </c>
      <c r="J25" s="43">
        <f t="shared" si="6"/>
        <v>0.54430379746835444</v>
      </c>
    </row>
    <row r="26" spans="1:10" x14ac:dyDescent="0.45">
      <c r="A26" s="4" t="s">
        <v>192</v>
      </c>
      <c r="B26" s="4">
        <f>COUNTIFS(step3_combined_data!$AL$2:$AL$404,"Oppose", step3_combined_data!$E$2:$E$404,"50 - 54")</f>
        <v>0</v>
      </c>
      <c r="C26" s="4">
        <f>COUNTIFS(step3_combined_data!$AL$2:$AL$404,"Neutral", step3_combined_data!$E$2:$E$404,"50 - 54")</f>
        <v>15</v>
      </c>
      <c r="D26" s="4">
        <f>COUNTIFS(step3_combined_data!$AL$2:$AL$404,"Support", step3_combined_data!$E$2:$E$404,"50 - 54")</f>
        <v>16</v>
      </c>
      <c r="E26" s="4">
        <f t="shared" si="7"/>
        <v>31</v>
      </c>
      <c r="G26" s="4" t="s">
        <v>192</v>
      </c>
      <c r="H26" s="43">
        <f t="shared" si="4"/>
        <v>0</v>
      </c>
      <c r="I26" s="43">
        <f t="shared" si="5"/>
        <v>0.4838709677419355</v>
      </c>
      <c r="J26" s="43">
        <f t="shared" si="6"/>
        <v>0.5161290322580645</v>
      </c>
    </row>
    <row r="27" spans="1:10" x14ac:dyDescent="0.45">
      <c r="A27" s="4" t="s">
        <v>194</v>
      </c>
      <c r="B27" s="4">
        <f>COUNTIFS(step3_combined_data!$AL$2:$AL$404,"Oppose", step3_combined_data!$E$2:$E$404,"55 - 64")</f>
        <v>0</v>
      </c>
      <c r="C27" s="4">
        <f>COUNTIFS(step3_combined_data!$AL$2:$AL$404,"Neutral", step3_combined_data!$E$2:$E$404,"55 - 64")</f>
        <v>18</v>
      </c>
      <c r="D27" s="4">
        <f>COUNTIFS(step3_combined_data!$AL$2:$AL$404,"Support", step3_combined_data!$E$2:$E$404,"55 - 64")</f>
        <v>9</v>
      </c>
      <c r="E27" s="4">
        <f t="shared" si="7"/>
        <v>27</v>
      </c>
      <c r="G27" s="4" t="s">
        <v>194</v>
      </c>
      <c r="H27" s="43">
        <f t="shared" si="4"/>
        <v>0</v>
      </c>
      <c r="I27" s="43">
        <f t="shared" si="5"/>
        <v>0.66666666666666663</v>
      </c>
      <c r="J27" s="43">
        <f t="shared" si="6"/>
        <v>0.33333333333333331</v>
      </c>
    </row>
    <row r="29" spans="1:10" x14ac:dyDescent="0.45">
      <c r="A29" s="41" t="s">
        <v>18</v>
      </c>
      <c r="B29" s="41" t="s">
        <v>1</v>
      </c>
      <c r="C29" s="41" t="s">
        <v>2</v>
      </c>
      <c r="D29" s="41" t="s">
        <v>3</v>
      </c>
      <c r="E29" s="41">
        <f>SUM(E30:E35)</f>
        <v>401</v>
      </c>
      <c r="G29" s="41" t="s">
        <v>18</v>
      </c>
      <c r="H29" s="41" t="s">
        <v>1</v>
      </c>
      <c r="I29" s="41" t="s">
        <v>2</v>
      </c>
      <c r="J29" s="41" t="s">
        <v>3</v>
      </c>
    </row>
    <row r="30" spans="1:10" x14ac:dyDescent="0.45">
      <c r="A30" s="4" t="s">
        <v>189</v>
      </c>
      <c r="B30" s="4">
        <f>COUNTIFS(step3_combined_data!$AQ$2:$AQ$404,"Oppose", step3_combined_data!$E$2:$E$404,"18 - 24")</f>
        <v>0</v>
      </c>
      <c r="C30" s="4">
        <f>COUNTIFS(step3_combined_data!$AQ$2:$AQ$404,"Neutral", step3_combined_data!$E$2:$E$404,"18 - 24")</f>
        <v>4</v>
      </c>
      <c r="D30" s="4">
        <f>COUNTIFS(step3_combined_data!$AQ$2:$AQ$404,"Support", step3_combined_data!$E$2:$E$404,"18 - 24")</f>
        <v>49</v>
      </c>
      <c r="E30" s="4">
        <f>SUM(B30:D30)</f>
        <v>53</v>
      </c>
      <c r="G30" s="4" t="s">
        <v>189</v>
      </c>
      <c r="H30" s="43">
        <f t="shared" ref="H30:H35" si="8">B30/E30</f>
        <v>0</v>
      </c>
      <c r="I30" s="43">
        <f t="shared" ref="I30:I35" si="9">C30/E30</f>
        <v>7.5471698113207544E-2</v>
      </c>
      <c r="J30" s="43">
        <f t="shared" ref="J30:J35" si="10">D30/E30</f>
        <v>0.92452830188679247</v>
      </c>
    </row>
    <row r="31" spans="1:10" x14ac:dyDescent="0.45">
      <c r="A31" s="4" t="s">
        <v>81</v>
      </c>
      <c r="B31" s="4">
        <f>COUNTIFS(step3_combined_data!$AQ$2:$AQ$404,"Oppose", step3_combined_data!$E$2:$E$404,"18 - 24")</f>
        <v>0</v>
      </c>
      <c r="C31" s="4">
        <f>COUNTIFS(step3_combined_data!$AQ$2:$AQ$404,"Neutral", step3_combined_data!$E$2:$E$404,"25 - 29")</f>
        <v>5</v>
      </c>
      <c r="D31" s="4">
        <f>COUNTIFS(step3_combined_data!$AQ$2:$AQ$404,"Support", step3_combined_data!$E$2:$E$404,"25 - 29")</f>
        <v>74</v>
      </c>
      <c r="E31" s="4">
        <f t="shared" ref="E31:E35" si="11">SUM(B31:D31)</f>
        <v>79</v>
      </c>
      <c r="G31" s="4" t="s">
        <v>81</v>
      </c>
      <c r="H31" s="43">
        <f t="shared" si="8"/>
        <v>0</v>
      </c>
      <c r="I31" s="43">
        <f t="shared" si="9"/>
        <v>6.3291139240506333E-2</v>
      </c>
      <c r="J31" s="43">
        <f t="shared" si="10"/>
        <v>0.93670886075949367</v>
      </c>
    </row>
    <row r="32" spans="1:10" x14ac:dyDescent="0.45">
      <c r="A32" s="4" t="s">
        <v>73</v>
      </c>
      <c r="B32" s="4">
        <f>COUNTIFS(step3_combined_data!$AQ$2:$AQ$404,"Oppose", step3_combined_data!$E$2:$E$404,"30 - 39")</f>
        <v>0</v>
      </c>
      <c r="C32" s="4">
        <f>COUNTIFS(step3_combined_data!$AQ$2:$AQ$404,"Neutral", step3_combined_data!$E$2:$E$404,"30 - 39")</f>
        <v>6</v>
      </c>
      <c r="D32" s="4">
        <f>COUNTIFS(step3_combined_data!$AQ$2:$AQ$404,"Support", step3_combined_data!$E$2:$E$404,"30 - 39")</f>
        <v>126</v>
      </c>
      <c r="E32" s="4">
        <f t="shared" si="11"/>
        <v>132</v>
      </c>
      <c r="G32" s="4" t="s">
        <v>73</v>
      </c>
      <c r="H32" s="43">
        <f t="shared" si="8"/>
        <v>0</v>
      </c>
      <c r="I32" s="43">
        <f t="shared" si="9"/>
        <v>4.5454545454545456E-2</v>
      </c>
      <c r="J32" s="43">
        <f t="shared" si="10"/>
        <v>0.95454545454545459</v>
      </c>
    </row>
    <row r="33" spans="1:10" x14ac:dyDescent="0.45">
      <c r="A33" s="4" t="s">
        <v>79</v>
      </c>
      <c r="B33" s="4">
        <f>COUNTIFS(step3_combined_data!$AQ$2:$AQ$404,"Oppose", step3_combined_data!$E$2:$E$404,"40 - 49")</f>
        <v>0</v>
      </c>
      <c r="C33" s="4">
        <f>COUNTIFS(step3_combined_data!$AQ$2:$AQ$404,"Neutral", step3_combined_data!$E$2:$E$404,"40 - 49")</f>
        <v>3</v>
      </c>
      <c r="D33" s="4">
        <f>COUNTIFS(step3_combined_data!$AQ$2:$AQ$404,"Support", step3_combined_data!$E$2:$E$404,"40 - 49")</f>
        <v>76</v>
      </c>
      <c r="E33" s="4">
        <f t="shared" si="11"/>
        <v>79</v>
      </c>
      <c r="G33" s="4" t="s">
        <v>79</v>
      </c>
      <c r="H33" s="43">
        <f t="shared" si="8"/>
        <v>0</v>
      </c>
      <c r="I33" s="43">
        <f t="shared" si="9"/>
        <v>3.7974683544303799E-2</v>
      </c>
      <c r="J33" s="43">
        <f t="shared" si="10"/>
        <v>0.96202531645569622</v>
      </c>
    </row>
    <row r="34" spans="1:10" x14ac:dyDescent="0.45">
      <c r="A34" s="4" t="s">
        <v>192</v>
      </c>
      <c r="B34" s="4">
        <f>COUNTIFS(step3_combined_data!$AQ$2:$AQ$404,"Oppose", step3_combined_data!$E$2:$E$404,"50 - 54")</f>
        <v>0</v>
      </c>
      <c r="C34" s="4">
        <f>COUNTIFS(step3_combined_data!$AQ$2:$AQ$404,"Neutral", step3_combined_data!$E$2:$E$404,"50 - 54")</f>
        <v>1</v>
      </c>
      <c r="D34" s="4">
        <f>COUNTIFS(step3_combined_data!$AQ$2:$AQ$404,"Support", step3_combined_data!$E$2:$E$404,"50 - 54")</f>
        <v>30</v>
      </c>
      <c r="E34" s="4">
        <f t="shared" si="11"/>
        <v>31</v>
      </c>
      <c r="G34" s="4" t="s">
        <v>192</v>
      </c>
      <c r="H34" s="43">
        <f t="shared" si="8"/>
        <v>0</v>
      </c>
      <c r="I34" s="43">
        <f t="shared" si="9"/>
        <v>3.2258064516129031E-2</v>
      </c>
      <c r="J34" s="43">
        <f t="shared" si="10"/>
        <v>0.967741935483871</v>
      </c>
    </row>
    <row r="35" spans="1:10" x14ac:dyDescent="0.45">
      <c r="A35" s="4" t="s">
        <v>194</v>
      </c>
      <c r="B35" s="4">
        <f>COUNTIFS(step3_combined_data!$AQ$2:$AQ$404,"Oppose", step3_combined_data!$E$2:$E$404,"55 - 64")</f>
        <v>0</v>
      </c>
      <c r="C35" s="4">
        <f>COUNTIFS(step3_combined_data!$AQ$2:$AQ$404,"Neutral", step3_combined_data!$E$2:$E$404,"55 - 64")</f>
        <v>2</v>
      </c>
      <c r="D35" s="4">
        <f>COUNTIFS(step3_combined_data!$AQ$2:$AQ$404,"Support", step3_combined_data!$E$2:$E$404,"55 - 64")</f>
        <v>25</v>
      </c>
      <c r="E35" s="4">
        <f t="shared" si="11"/>
        <v>27</v>
      </c>
      <c r="G35" s="4" t="s">
        <v>194</v>
      </c>
      <c r="H35" s="43">
        <f t="shared" si="8"/>
        <v>0</v>
      </c>
      <c r="I35" s="43">
        <f t="shared" si="9"/>
        <v>7.407407407407407E-2</v>
      </c>
      <c r="J35" s="43">
        <f t="shared" si="10"/>
        <v>0.92592592592592593</v>
      </c>
    </row>
    <row r="37" spans="1:10" x14ac:dyDescent="0.45">
      <c r="A37" s="41" t="s">
        <v>19</v>
      </c>
      <c r="B37" s="41" t="s">
        <v>1</v>
      </c>
      <c r="C37" s="41" t="s">
        <v>2</v>
      </c>
      <c r="D37" s="41" t="s">
        <v>3</v>
      </c>
      <c r="E37" s="41">
        <f>SUM(E38:E43)</f>
        <v>401</v>
      </c>
      <c r="G37" s="41" t="s">
        <v>19</v>
      </c>
      <c r="H37" s="41" t="s">
        <v>1</v>
      </c>
      <c r="I37" s="41" t="s">
        <v>2</v>
      </c>
      <c r="J37" s="41" t="s">
        <v>3</v>
      </c>
    </row>
    <row r="38" spans="1:10" x14ac:dyDescent="0.45">
      <c r="A38" s="4" t="s">
        <v>189</v>
      </c>
      <c r="B38" s="4">
        <f>COUNTIFS(step3_combined_data!$AV$2:$AV$404,"Oppose", step3_combined_data!$E$2:$E$404,"18 - 24")</f>
        <v>0</v>
      </c>
      <c r="C38" s="4">
        <f>COUNTIFS(step3_combined_data!$AV$2:$AV$404,"Neutral", step3_combined_data!$E$2:$E$404,"18 - 24")</f>
        <v>20</v>
      </c>
      <c r="D38" s="4">
        <f>COUNTIFS(step3_combined_data!$AV$2:$AV$404,"Support", step3_combined_data!$E$2:$E$404,"18 - 24")</f>
        <v>33</v>
      </c>
      <c r="E38" s="4">
        <f>SUM(B38:D38)</f>
        <v>53</v>
      </c>
      <c r="G38" s="4" t="s">
        <v>189</v>
      </c>
      <c r="H38" s="43">
        <f t="shared" ref="H38:H43" si="12">B38/E38</f>
        <v>0</v>
      </c>
      <c r="I38" s="43">
        <f t="shared" ref="I38:I43" si="13">C38/E38</f>
        <v>0.37735849056603776</v>
      </c>
      <c r="J38" s="43">
        <f t="shared" ref="J38:J43" si="14">D38/E38</f>
        <v>0.62264150943396224</v>
      </c>
    </row>
    <row r="39" spans="1:10" x14ac:dyDescent="0.45">
      <c r="A39" s="4" t="s">
        <v>81</v>
      </c>
      <c r="B39" s="4">
        <f>COUNTIFS(step3_combined_data!$AV$2:$AV$404,"Oppose", step3_combined_data!$E$2:$E$404,"18 - 24")</f>
        <v>0</v>
      </c>
      <c r="C39" s="4">
        <f>COUNTIFS(step3_combined_data!$AV$2:$AV$404,"Neutral", step3_combined_data!$E$2:$E$404,"25 - 29")</f>
        <v>38</v>
      </c>
      <c r="D39" s="4">
        <f>COUNTIFS(step3_combined_data!$AV$2:$AV$404,"Support", step3_combined_data!$E$2:$E$404,"25 - 29")</f>
        <v>41</v>
      </c>
      <c r="E39" s="4">
        <f t="shared" ref="E39:E43" si="15">SUM(B39:D39)</f>
        <v>79</v>
      </c>
      <c r="G39" s="4" t="s">
        <v>81</v>
      </c>
      <c r="H39" s="43">
        <f t="shared" si="12"/>
        <v>0</v>
      </c>
      <c r="I39" s="43">
        <f t="shared" si="13"/>
        <v>0.48101265822784811</v>
      </c>
      <c r="J39" s="43">
        <f t="shared" si="14"/>
        <v>0.51898734177215189</v>
      </c>
    </row>
    <row r="40" spans="1:10" x14ac:dyDescent="0.45">
      <c r="A40" s="4" t="s">
        <v>73</v>
      </c>
      <c r="B40" s="4">
        <f>COUNTIFS(step3_combined_data!$AV$2:$AV$404,"Oppose", step3_combined_data!$E$2:$E$404,"30 - 39")</f>
        <v>0</v>
      </c>
      <c r="C40" s="4">
        <f>COUNTIFS(step3_combined_data!$AV$2:$AV$404,"Neutral", step3_combined_data!$E$2:$E$404,"30 - 39")</f>
        <v>57</v>
      </c>
      <c r="D40" s="4">
        <f>COUNTIFS(step3_combined_data!$AV$2:$AV$404,"Support", step3_combined_data!$E$2:$E$404,"30 - 39")</f>
        <v>75</v>
      </c>
      <c r="E40" s="4">
        <f t="shared" si="15"/>
        <v>132</v>
      </c>
      <c r="G40" s="4" t="s">
        <v>73</v>
      </c>
      <c r="H40" s="43">
        <f t="shared" si="12"/>
        <v>0</v>
      </c>
      <c r="I40" s="43">
        <f t="shared" si="13"/>
        <v>0.43181818181818182</v>
      </c>
      <c r="J40" s="43">
        <f t="shared" si="14"/>
        <v>0.56818181818181823</v>
      </c>
    </row>
    <row r="41" spans="1:10" x14ac:dyDescent="0.45">
      <c r="A41" s="4" t="s">
        <v>79</v>
      </c>
      <c r="B41" s="4">
        <f>COUNTIFS(step3_combined_data!$AV$2:$AV$404,"Oppose", step3_combined_data!$E$2:$E$404,"40 - 49")</f>
        <v>0</v>
      </c>
      <c r="C41" s="4">
        <f>COUNTIFS(step3_combined_data!$AV$2:$AV$404,"Neutral", step3_combined_data!$E$2:$E$404,"40 - 49")</f>
        <v>33</v>
      </c>
      <c r="D41" s="4">
        <f>COUNTIFS(step3_combined_data!$AV$2:$AV$404,"Support", step3_combined_data!$E$2:$E$404,"40 - 49")</f>
        <v>46</v>
      </c>
      <c r="E41" s="4">
        <f t="shared" si="15"/>
        <v>79</v>
      </c>
      <c r="G41" s="4" t="s">
        <v>79</v>
      </c>
      <c r="H41" s="43">
        <f t="shared" si="12"/>
        <v>0</v>
      </c>
      <c r="I41" s="43">
        <f t="shared" si="13"/>
        <v>0.41772151898734178</v>
      </c>
      <c r="J41" s="43">
        <f t="shared" si="14"/>
        <v>0.58227848101265822</v>
      </c>
    </row>
    <row r="42" spans="1:10" x14ac:dyDescent="0.45">
      <c r="A42" s="4" t="s">
        <v>192</v>
      </c>
      <c r="B42" s="4">
        <f>COUNTIFS(step3_combined_data!$AV$2:$AV$404,"Oppose", step3_combined_data!$E$2:$E$404,"50 - 54")</f>
        <v>0</v>
      </c>
      <c r="C42" s="4">
        <f>COUNTIFS(step3_combined_data!$AV$2:$AV$404,"Neutral", step3_combined_data!$E$2:$E$404,"50 - 54")</f>
        <v>12</v>
      </c>
      <c r="D42" s="4">
        <f>COUNTIFS(step3_combined_data!$AV$2:$AV$404,"Support", step3_combined_data!$E$2:$E$404,"50 - 54")</f>
        <v>19</v>
      </c>
      <c r="E42" s="4">
        <f t="shared" si="15"/>
        <v>31</v>
      </c>
      <c r="G42" s="4" t="s">
        <v>192</v>
      </c>
      <c r="H42" s="43">
        <f t="shared" si="12"/>
        <v>0</v>
      </c>
      <c r="I42" s="43">
        <f t="shared" si="13"/>
        <v>0.38709677419354838</v>
      </c>
      <c r="J42" s="43">
        <f t="shared" si="14"/>
        <v>0.61290322580645162</v>
      </c>
    </row>
    <row r="43" spans="1:10" x14ac:dyDescent="0.45">
      <c r="A43" s="4" t="s">
        <v>194</v>
      </c>
      <c r="B43" s="4">
        <f>COUNTIFS(step3_combined_data!$AV$2:$AV$404,"Oppose", step3_combined_data!$E$2:$E$404,"55 - 64")</f>
        <v>0</v>
      </c>
      <c r="C43" s="4">
        <f>COUNTIFS(step3_combined_data!$AV$2:$AV$404,"Neutral", step3_combined_data!$E$2:$E$404,"55 - 64")</f>
        <v>15</v>
      </c>
      <c r="D43" s="4">
        <f>COUNTIFS(step3_combined_data!$AV$2:$AV$404,"Support", step3_combined_data!$E$2:$E$404,"55 - 64")</f>
        <v>12</v>
      </c>
      <c r="E43" s="4">
        <f t="shared" si="15"/>
        <v>27</v>
      </c>
      <c r="G43" s="4" t="s">
        <v>194</v>
      </c>
      <c r="H43" s="43">
        <f t="shared" si="12"/>
        <v>0</v>
      </c>
      <c r="I43" s="43">
        <f t="shared" si="13"/>
        <v>0.55555555555555558</v>
      </c>
      <c r="J43" s="43">
        <f t="shared" si="14"/>
        <v>0.44444444444444442</v>
      </c>
    </row>
    <row r="45" spans="1:10" x14ac:dyDescent="0.45">
      <c r="A45" s="41" t="s">
        <v>20</v>
      </c>
      <c r="B45" s="41" t="s">
        <v>1</v>
      </c>
      <c r="C45" s="41" t="s">
        <v>2</v>
      </c>
      <c r="D45" s="41" t="s">
        <v>3</v>
      </c>
      <c r="E45" s="41">
        <f>SUM(E46:E51)</f>
        <v>401</v>
      </c>
      <c r="G45" s="41" t="s">
        <v>20</v>
      </c>
      <c r="H45" s="41" t="s">
        <v>1</v>
      </c>
      <c r="I45" s="41" t="s">
        <v>2</v>
      </c>
      <c r="J45" s="41" t="s">
        <v>3</v>
      </c>
    </row>
    <row r="46" spans="1:10" x14ac:dyDescent="0.45">
      <c r="A46" s="4" t="s">
        <v>189</v>
      </c>
      <c r="B46" s="4">
        <f>COUNTIFS(step3_combined_data!$BA$2:$BA$404,"Oppose", step3_combined_data!$E$2:$E$404,"18 - 24")</f>
        <v>0</v>
      </c>
      <c r="C46" s="4">
        <f>COUNTIFS(step3_combined_data!$BA$2:$BA$404,"Neutral", step3_combined_data!$E$2:$E$404,"18 - 24")</f>
        <v>25</v>
      </c>
      <c r="D46" s="4">
        <f>COUNTIFS(step3_combined_data!$BA$2:$BA$404,"Support", step3_combined_data!$E$2:$E$404,"18 - 24")</f>
        <v>28</v>
      </c>
      <c r="E46" s="4">
        <f>SUM(B46:D46)</f>
        <v>53</v>
      </c>
      <c r="G46" s="4" t="s">
        <v>189</v>
      </c>
      <c r="H46" s="43">
        <f t="shared" ref="H46:H51" si="16">B46/E46</f>
        <v>0</v>
      </c>
      <c r="I46" s="43">
        <f t="shared" ref="I46:I51" si="17">C46/E46</f>
        <v>0.47169811320754718</v>
      </c>
      <c r="J46" s="43">
        <f t="shared" ref="J46:J51" si="18">D46/E46</f>
        <v>0.52830188679245282</v>
      </c>
    </row>
    <row r="47" spans="1:10" x14ac:dyDescent="0.45">
      <c r="A47" s="4" t="s">
        <v>81</v>
      </c>
      <c r="B47" s="4">
        <f>COUNTIFS(step3_combined_data!$BA$2:$BA$404,"Oppose", step3_combined_data!$E$2:$E$404,"18 - 24")</f>
        <v>0</v>
      </c>
      <c r="C47" s="4">
        <f>COUNTIFS(step3_combined_data!$BA$2:$BA$404,"Neutral", step3_combined_data!$E$2:$E$404,"25 - 29")</f>
        <v>45</v>
      </c>
      <c r="D47" s="4">
        <f>COUNTIFS(step3_combined_data!$BA$2:$BA$404,"Support", step3_combined_data!$E$2:$E$404,"25 - 29")</f>
        <v>34</v>
      </c>
      <c r="E47" s="4">
        <f t="shared" ref="E47:E51" si="19">SUM(B47:D47)</f>
        <v>79</v>
      </c>
      <c r="G47" s="4" t="s">
        <v>81</v>
      </c>
      <c r="H47" s="43">
        <f t="shared" si="16"/>
        <v>0</v>
      </c>
      <c r="I47" s="43">
        <f t="shared" si="17"/>
        <v>0.569620253164557</v>
      </c>
      <c r="J47" s="43">
        <f t="shared" si="18"/>
        <v>0.43037974683544306</v>
      </c>
    </row>
    <row r="48" spans="1:10" x14ac:dyDescent="0.45">
      <c r="A48" s="4" t="s">
        <v>73</v>
      </c>
      <c r="B48" s="4">
        <f>COUNTIFS(step3_combined_data!$BA$2:$BA$404,"Oppose", step3_combined_data!$E$2:$E$404,"30 - 39")</f>
        <v>0</v>
      </c>
      <c r="C48" s="4">
        <f>COUNTIFS(step3_combined_data!$BA$2:$BA$404,"Neutral", step3_combined_data!$E$2:$E$404,"30 - 39")</f>
        <v>64</v>
      </c>
      <c r="D48" s="4">
        <f>COUNTIFS(step3_combined_data!$BA$2:$BA$404,"Support", step3_combined_data!$E$2:$E$404,"30 - 39")</f>
        <v>68</v>
      </c>
      <c r="E48" s="4">
        <f t="shared" si="19"/>
        <v>132</v>
      </c>
      <c r="G48" s="4" t="s">
        <v>73</v>
      </c>
      <c r="H48" s="43">
        <f t="shared" si="16"/>
        <v>0</v>
      </c>
      <c r="I48" s="43">
        <f t="shared" si="17"/>
        <v>0.48484848484848486</v>
      </c>
      <c r="J48" s="43">
        <f t="shared" si="18"/>
        <v>0.51515151515151514</v>
      </c>
    </row>
    <row r="49" spans="1:10" x14ac:dyDescent="0.45">
      <c r="A49" s="4" t="s">
        <v>79</v>
      </c>
      <c r="B49" s="4">
        <f>COUNTIFS(step3_combined_data!$BA$2:$BA$404,"Oppose", step3_combined_data!$E$2:$E$404,"40 - 49")</f>
        <v>0</v>
      </c>
      <c r="C49" s="4">
        <f>COUNTIFS(step3_combined_data!$BA$2:$BA$404,"Neutral", step3_combined_data!$E$2:$E$404,"40 - 49")</f>
        <v>43</v>
      </c>
      <c r="D49" s="4">
        <f>COUNTIFS(step3_combined_data!$BA$2:$BA$404,"Support", step3_combined_data!$E$2:$E$404,"40 - 49")</f>
        <v>36</v>
      </c>
      <c r="E49" s="4">
        <f t="shared" si="19"/>
        <v>79</v>
      </c>
      <c r="G49" s="4" t="s">
        <v>79</v>
      </c>
      <c r="H49" s="43">
        <f t="shared" si="16"/>
        <v>0</v>
      </c>
      <c r="I49" s="43">
        <f t="shared" si="17"/>
        <v>0.54430379746835444</v>
      </c>
      <c r="J49" s="43">
        <f t="shared" si="18"/>
        <v>0.45569620253164556</v>
      </c>
    </row>
    <row r="50" spans="1:10" x14ac:dyDescent="0.45">
      <c r="A50" s="4" t="s">
        <v>192</v>
      </c>
      <c r="B50" s="4">
        <f>COUNTIFS(step3_combined_data!$BA$2:$BA$404,"Oppose", step3_combined_data!$E$2:$E$404,"50 - 54")</f>
        <v>0</v>
      </c>
      <c r="C50" s="4">
        <f>COUNTIFS(step3_combined_data!$BA$2:$BA$404,"Neutral", step3_combined_data!$E$2:$E$404,"50 - 54")</f>
        <v>13</v>
      </c>
      <c r="D50" s="4">
        <f>COUNTIFS(step3_combined_data!$BA$2:$BA$404,"Support", step3_combined_data!$E$2:$E$404,"50 - 54")</f>
        <v>18</v>
      </c>
      <c r="E50" s="4">
        <f t="shared" si="19"/>
        <v>31</v>
      </c>
      <c r="G50" s="4" t="s">
        <v>192</v>
      </c>
      <c r="H50" s="43">
        <f t="shared" si="16"/>
        <v>0</v>
      </c>
      <c r="I50" s="43">
        <f t="shared" si="17"/>
        <v>0.41935483870967744</v>
      </c>
      <c r="J50" s="43">
        <f t="shared" si="18"/>
        <v>0.58064516129032262</v>
      </c>
    </row>
    <row r="51" spans="1:10" x14ac:dyDescent="0.45">
      <c r="A51" s="4" t="s">
        <v>194</v>
      </c>
      <c r="B51" s="4">
        <f>COUNTIFS(step3_combined_data!$BA$2:$BA$404,"Oppose", step3_combined_data!$E$2:$E$404,"55 - 64")</f>
        <v>0</v>
      </c>
      <c r="C51" s="4">
        <f>COUNTIFS(step3_combined_data!$BA$2:$BA$404,"Neutral", step3_combined_data!$E$2:$E$404,"55 - 64")</f>
        <v>14</v>
      </c>
      <c r="D51" s="4">
        <f>COUNTIFS(step3_combined_data!$BA$2:$BA$404,"Support", step3_combined_data!$E$2:$E$404,"55 - 64")</f>
        <v>13</v>
      </c>
      <c r="E51" s="4">
        <f t="shared" si="19"/>
        <v>27</v>
      </c>
      <c r="G51" s="4" t="s">
        <v>194</v>
      </c>
      <c r="H51" s="43">
        <f t="shared" si="16"/>
        <v>0</v>
      </c>
      <c r="I51" s="43">
        <f t="shared" si="17"/>
        <v>0.51851851851851849</v>
      </c>
      <c r="J51" s="43">
        <f t="shared" si="18"/>
        <v>0.48148148148148145</v>
      </c>
    </row>
    <row r="53" spans="1:10" x14ac:dyDescent="0.45">
      <c r="A53" s="41" t="s">
        <v>18</v>
      </c>
      <c r="B53" s="41" t="s">
        <v>1</v>
      </c>
      <c r="C53" s="41" t="s">
        <v>2</v>
      </c>
      <c r="D53" s="41" t="s">
        <v>3</v>
      </c>
      <c r="E53" s="41">
        <f>SUM(E54:E61)</f>
        <v>401</v>
      </c>
      <c r="G53" s="41" t="s">
        <v>18</v>
      </c>
      <c r="H53" s="41" t="s">
        <v>1</v>
      </c>
      <c r="I53" s="41" t="s">
        <v>2</v>
      </c>
      <c r="J53" s="41" t="s">
        <v>3</v>
      </c>
    </row>
    <row r="54" spans="1:10" x14ac:dyDescent="0.45">
      <c r="A54" s="4" t="s">
        <v>195</v>
      </c>
      <c r="B54" s="4">
        <f>COUNTIFS(step3_combined_data!$AQ$2:$AQ$404,"Oppose", step3_combined_data!$N$2:$N$404,"Dưới 12 triệu VNĐ")</f>
        <v>0</v>
      </c>
      <c r="C54" s="4">
        <f>COUNTIFS(step3_combined_data!$AQ$2:$AQ$404,"Neutral", step3_combined_data!$N$2:$N$404,"Dưới 12 triệu VNĐ")</f>
        <v>4</v>
      </c>
      <c r="D54" s="4">
        <f>COUNTIFS(step3_combined_data!$AQ$2:$AQ$404,"Support", step3_combined_data!$N$2:$N$404,"Dưới 12 triệu VNĐ")</f>
        <v>36</v>
      </c>
      <c r="E54" s="4">
        <f>SUM(B54:D54)</f>
        <v>40</v>
      </c>
      <c r="G54" s="4" t="s">
        <v>195</v>
      </c>
      <c r="H54" s="43">
        <f t="shared" ref="H54:H61" si="20">B54/E54</f>
        <v>0</v>
      </c>
      <c r="I54" s="43">
        <f t="shared" ref="I54:I61" si="21">C54/E54</f>
        <v>0.1</v>
      </c>
      <c r="J54" s="43">
        <f t="shared" ref="J54:J61" si="22">D54/E54</f>
        <v>0.9</v>
      </c>
    </row>
    <row r="55" spans="1:10" x14ac:dyDescent="0.45">
      <c r="A55" s="4" t="s">
        <v>104</v>
      </c>
      <c r="B55" s="4">
        <f>COUNTIFS(step3_combined_data!$AQ$2:$AQ$404,"Oppose", step3_combined_data!$N$2:$N$404,"Từ 12 - 18 triệu VNĐ")</f>
        <v>0</v>
      </c>
      <c r="C55" s="4">
        <f>COUNTIFS(step3_combined_data!$AQ$2:$AQ$404,"Neutral", step3_combined_data!$N$2:$N$404,"Từ 12 - 18 triệu VNĐ")</f>
        <v>3</v>
      </c>
      <c r="D55" s="4">
        <f>COUNTIFS(step3_combined_data!$AQ$2:$AQ$404,"Support", step3_combined_data!$N$2:$N$404,"Từ 12 - 18 triệu VNĐ")</f>
        <v>76</v>
      </c>
      <c r="E55" s="4">
        <f t="shared" ref="E55:E61" si="23">SUM(B55:D55)</f>
        <v>79</v>
      </c>
      <c r="G55" s="4" t="s">
        <v>104</v>
      </c>
      <c r="H55" s="43">
        <f t="shared" si="20"/>
        <v>0</v>
      </c>
      <c r="I55" s="43">
        <f t="shared" si="21"/>
        <v>3.7974683544303799E-2</v>
      </c>
      <c r="J55" s="43">
        <f t="shared" si="22"/>
        <v>0.96202531645569622</v>
      </c>
    </row>
    <row r="56" spans="1:10" x14ac:dyDescent="0.45">
      <c r="A56" s="4" t="s">
        <v>197</v>
      </c>
      <c r="B56" s="4">
        <f>COUNTIFS(step3_combined_data!$AQ$2:$AQ$404,"Oppose", step3_combined_data!$N$2:$N$404,"Từ 18 - 23 triệu VNĐ")</f>
        <v>0</v>
      </c>
      <c r="C56" s="4">
        <f>COUNTIFS(step3_combined_data!$AQ$2:$AQ$404,"Neutral", step3_combined_data!$N$2:$N$404,"Từ 18 - 23 triệu VNĐ")</f>
        <v>6</v>
      </c>
      <c r="D56" s="4">
        <f>COUNTIFS(step3_combined_data!$AQ$2:$AQ$404,"Support", step3_combined_data!$N$2:$N$404,"Từ 18 - 23 triệu VNĐ")</f>
        <v>34</v>
      </c>
      <c r="E56" s="4">
        <f t="shared" si="23"/>
        <v>40</v>
      </c>
      <c r="G56" s="4" t="s">
        <v>197</v>
      </c>
      <c r="H56" s="43">
        <f t="shared" si="20"/>
        <v>0</v>
      </c>
      <c r="I56" s="43">
        <f t="shared" si="21"/>
        <v>0.15</v>
      </c>
      <c r="J56" s="43">
        <f t="shared" si="22"/>
        <v>0.85</v>
      </c>
    </row>
    <row r="57" spans="1:10" x14ac:dyDescent="0.45">
      <c r="A57" s="4" t="s">
        <v>101</v>
      </c>
      <c r="B57" s="4">
        <f>COUNTIFS(step3_combined_data!$AQ$2:$AQ$404,"Oppose", step3_combined_data!$N$2:$N$404,"Từ 23 - 32 triệu VNĐ")</f>
        <v>0</v>
      </c>
      <c r="C57" s="4">
        <f>COUNTIFS(step3_combined_data!$AQ$2:$AQ$404,"Neutral", step3_combined_data!$N$2:$N$404,"Từ 23 - 32 triệu VNĐ")</f>
        <v>1</v>
      </c>
      <c r="D57" s="4">
        <f>COUNTIFS(step3_combined_data!$AQ$2:$AQ$404,"Support", step3_combined_data!$N$2:$N$404,"Từ 23 - 32 triệu VNĐ")</f>
        <v>52</v>
      </c>
      <c r="E57" s="4">
        <f t="shared" si="23"/>
        <v>53</v>
      </c>
      <c r="G57" s="4" t="s">
        <v>101</v>
      </c>
      <c r="H57" s="43">
        <f t="shared" si="20"/>
        <v>0</v>
      </c>
      <c r="I57" s="43">
        <f t="shared" si="21"/>
        <v>1.8867924528301886E-2</v>
      </c>
      <c r="J57" s="43">
        <f t="shared" si="22"/>
        <v>0.98113207547169812</v>
      </c>
    </row>
    <row r="58" spans="1:10" x14ac:dyDescent="0.45">
      <c r="A58" s="4" t="s">
        <v>109</v>
      </c>
      <c r="B58" s="4">
        <f>COUNTIFS(step3_combined_data!$AQ$2:$AQ$404,"Oppose", step3_combined_data!$N$2:$N$404,"Từ 32 - 48 triệu VNĐ")</f>
        <v>0</v>
      </c>
      <c r="C58" s="4">
        <f>COUNTIFS(step3_combined_data!$AQ$2:$AQ$404,"Neutral", step3_combined_data!$N$2:$N$404,"Từ 32 - 48 triệu VNĐ")</f>
        <v>1</v>
      </c>
      <c r="D58" s="4">
        <f>COUNTIFS(step3_combined_data!$AQ$2:$AQ$404,"Support", step3_combined_data!$N$2:$N$404,"Từ 32 - 48 triệu VNĐ")</f>
        <v>52</v>
      </c>
      <c r="E58" s="4">
        <f t="shared" si="23"/>
        <v>53</v>
      </c>
      <c r="G58" s="4" t="s">
        <v>109</v>
      </c>
      <c r="H58" s="43">
        <f t="shared" si="20"/>
        <v>0</v>
      </c>
      <c r="I58" s="43">
        <f t="shared" si="21"/>
        <v>1.8867924528301886E-2</v>
      </c>
      <c r="J58" s="43">
        <f t="shared" si="22"/>
        <v>0.98113207547169812</v>
      </c>
    </row>
    <row r="59" spans="1:10" x14ac:dyDescent="0.45">
      <c r="A59" s="4" t="s">
        <v>111</v>
      </c>
      <c r="B59" s="4">
        <f>COUNTIFS(step3_combined_data!$AQ$2:$AQ$404,"Oppose", step3_combined_data!$N$2:$N$404,"Từ 48 - 70 triệu VNĐ")</f>
        <v>0</v>
      </c>
      <c r="C59" s="4">
        <f>COUNTIFS(step3_combined_data!$AQ$2:$AQ$404,"Neutral", step3_combined_data!$N$2:$N$404,"Từ 48 - 70 triệu VNĐ")</f>
        <v>2</v>
      </c>
      <c r="D59" s="4">
        <f>COUNTIFS(step3_combined_data!$AQ$2:$AQ$404,"Support", step3_combined_data!$N$2:$N$404,"Từ 48 - 70 triệu VNĐ")</f>
        <v>60</v>
      </c>
      <c r="E59" s="4">
        <f t="shared" si="23"/>
        <v>62</v>
      </c>
      <c r="G59" s="4" t="s">
        <v>111</v>
      </c>
      <c r="H59" s="43">
        <f t="shared" si="20"/>
        <v>0</v>
      </c>
      <c r="I59" s="43">
        <f t="shared" si="21"/>
        <v>3.2258064516129031E-2</v>
      </c>
      <c r="J59" s="43">
        <f t="shared" si="22"/>
        <v>0.967741935483871</v>
      </c>
    </row>
    <row r="60" spans="1:10" x14ac:dyDescent="0.45">
      <c r="A60" s="4" t="s">
        <v>107</v>
      </c>
      <c r="B60" s="4">
        <f>COUNTIFS(step3_combined_data!$AQ$2:$AQ$404,"Oppose", step3_combined_data!$N$2:$N$404,"Từ 70 - 102 triệu VNĐ")</f>
        <v>0</v>
      </c>
      <c r="C60" s="4">
        <f>COUNTIFS(step3_combined_data!$AQ$2:$AQ$404,"Neutral", step3_combined_data!$N$2:$N$404,"Từ 70 - 102 triệu VNĐ")</f>
        <v>2</v>
      </c>
      <c r="D60" s="4">
        <f>COUNTIFS(step3_combined_data!$AQ$2:$AQ$404,"Support", step3_combined_data!$N$2:$N$404,"Từ 70 - 102 triệu VNĐ")</f>
        <v>37</v>
      </c>
      <c r="E60" s="4">
        <f t="shared" si="23"/>
        <v>39</v>
      </c>
      <c r="G60" s="4" t="s">
        <v>107</v>
      </c>
      <c r="H60" s="43">
        <f t="shared" si="20"/>
        <v>0</v>
      </c>
      <c r="I60" s="43">
        <f t="shared" si="21"/>
        <v>5.128205128205128E-2</v>
      </c>
      <c r="J60" s="43">
        <f t="shared" si="22"/>
        <v>0.94871794871794868</v>
      </c>
    </row>
    <row r="61" spans="1:10" x14ac:dyDescent="0.45">
      <c r="A61" s="4" t="s">
        <v>108</v>
      </c>
      <c r="B61" s="4">
        <f>COUNTIFS(step3_combined_data!$AQ$2:$AQ$404,"Oppose", step3_combined_data!$N$2:$N$404,"Trên 102 triệu VNĐ")</f>
        <v>0</v>
      </c>
      <c r="C61" s="4">
        <f>COUNTIFS(step3_combined_data!$AQ$2:$AQ$404,"Neutral", step3_combined_data!$N$2:$N$404,"Trên 102 triệu VNĐ")</f>
        <v>2</v>
      </c>
      <c r="D61" s="4">
        <f>COUNTIFS(step3_combined_data!$AQ$2:$AQ$404,"Support", step3_combined_data!$N$2:$N$404,"Trên 102 triệu VNĐ")</f>
        <v>33</v>
      </c>
      <c r="E61" s="4">
        <f t="shared" si="23"/>
        <v>35</v>
      </c>
      <c r="G61" s="4" t="s">
        <v>108</v>
      </c>
      <c r="H61" s="43">
        <f t="shared" si="20"/>
        <v>0</v>
      </c>
      <c r="I61" s="43">
        <f t="shared" si="21"/>
        <v>5.7142857142857141E-2</v>
      </c>
      <c r="J61" s="43">
        <f t="shared" si="22"/>
        <v>0.94285714285714284</v>
      </c>
    </row>
    <row r="63" spans="1:10" x14ac:dyDescent="0.45">
      <c r="A63" s="41" t="s">
        <v>19</v>
      </c>
      <c r="B63" s="41" t="s">
        <v>1</v>
      </c>
      <c r="C63" s="41" t="s">
        <v>2</v>
      </c>
      <c r="D63" s="41" t="s">
        <v>3</v>
      </c>
      <c r="E63" s="41">
        <f>SUM(E64:E71)</f>
        <v>401</v>
      </c>
      <c r="G63" s="41" t="s">
        <v>19</v>
      </c>
      <c r="H63" s="41" t="s">
        <v>1</v>
      </c>
      <c r="I63" s="41" t="s">
        <v>2</v>
      </c>
      <c r="J63" s="41" t="s">
        <v>3</v>
      </c>
    </row>
    <row r="64" spans="1:10" x14ac:dyDescent="0.45">
      <c r="A64" s="4" t="s">
        <v>195</v>
      </c>
      <c r="B64" s="4">
        <f>COUNTIFS(step3_combined_data!$AV$2:$AV$404,"Oppose", step3_combined_data!$N$2:$N$404,"Dưới 12 triệu VNĐ")</f>
        <v>0</v>
      </c>
      <c r="C64" s="4">
        <f>COUNTIFS(step3_combined_data!$AV$2:$AV$404,"Neutral", step3_combined_data!$N$2:$N$404,"Dưới 12 triệu VNĐ")</f>
        <v>18</v>
      </c>
      <c r="D64" s="4">
        <f>COUNTIFS(step3_combined_data!$AV$2:$AV$404,"Support", step3_combined_data!$N$2:$N$404,"Dưới 12 triệu VNĐ")</f>
        <v>22</v>
      </c>
      <c r="E64" s="4">
        <f>SUM(B64:D64)</f>
        <v>40</v>
      </c>
      <c r="G64" s="4" t="s">
        <v>195</v>
      </c>
      <c r="H64" s="43">
        <f t="shared" ref="H64:H71" si="24">B64/E64</f>
        <v>0</v>
      </c>
      <c r="I64" s="43">
        <f t="shared" ref="I64:I71" si="25">C64/E64</f>
        <v>0.45</v>
      </c>
      <c r="J64" s="43">
        <f t="shared" ref="J64:J71" si="26">D64/E64</f>
        <v>0.55000000000000004</v>
      </c>
    </row>
    <row r="65" spans="1:10" x14ac:dyDescent="0.45">
      <c r="A65" s="4" t="s">
        <v>104</v>
      </c>
      <c r="B65" s="4">
        <f>COUNTIFS(step3_combined_data!$AV$2:$AV$404,"Oppose", step3_combined_data!$N$2:$N$404,"Từ 12 - 18 triệu VNĐ")</f>
        <v>0</v>
      </c>
      <c r="C65" s="4">
        <f>COUNTIFS(step3_combined_data!$AV$2:$AV$404,"Neutral", step3_combined_data!$N$2:$N$404,"Từ 12 - 18 triệu VNĐ")</f>
        <v>33</v>
      </c>
      <c r="D65" s="4">
        <f>COUNTIFS(step3_combined_data!$AV$2:$AV$404,"Support", step3_combined_data!$N$2:$N$404,"Từ 12 - 18 triệu VNĐ")</f>
        <v>46</v>
      </c>
      <c r="E65" s="4">
        <f t="shared" ref="E65:E71" si="27">SUM(B65:D65)</f>
        <v>79</v>
      </c>
      <c r="G65" s="4" t="s">
        <v>104</v>
      </c>
      <c r="H65" s="43">
        <f t="shared" si="24"/>
        <v>0</v>
      </c>
      <c r="I65" s="43">
        <f t="shared" si="25"/>
        <v>0.41772151898734178</v>
      </c>
      <c r="J65" s="43">
        <f t="shared" si="26"/>
        <v>0.58227848101265822</v>
      </c>
    </row>
    <row r="66" spans="1:10" x14ac:dyDescent="0.45">
      <c r="A66" s="4" t="s">
        <v>197</v>
      </c>
      <c r="B66" s="4">
        <f>COUNTIFS(step3_combined_data!$AV$2:$AV$404,"Oppose", step3_combined_data!$N$2:$N$404,"Từ 18 - 23 triệu VNĐ")</f>
        <v>0</v>
      </c>
      <c r="C66" s="4">
        <f>COUNTIFS(step3_combined_data!$AV$2:$AV$404,"Neutral", step3_combined_data!$N$2:$N$404,"Từ 18 - 23 triệu VNĐ")</f>
        <v>19</v>
      </c>
      <c r="D66" s="4">
        <f>COUNTIFS(step3_combined_data!$AV$2:$AV$404,"Support", step3_combined_data!$N$2:$N$404,"Từ 18 - 23 triệu VNĐ")</f>
        <v>21</v>
      </c>
      <c r="E66" s="4">
        <f t="shared" si="27"/>
        <v>40</v>
      </c>
      <c r="G66" s="4" t="s">
        <v>197</v>
      </c>
      <c r="H66" s="43">
        <f t="shared" si="24"/>
        <v>0</v>
      </c>
      <c r="I66" s="43">
        <f t="shared" si="25"/>
        <v>0.47499999999999998</v>
      </c>
      <c r="J66" s="43">
        <f t="shared" si="26"/>
        <v>0.52500000000000002</v>
      </c>
    </row>
    <row r="67" spans="1:10" x14ac:dyDescent="0.45">
      <c r="A67" s="4" t="s">
        <v>101</v>
      </c>
      <c r="B67" s="4">
        <f>COUNTIFS(step3_combined_data!$AV$2:$AV$404,"Oppose", step3_combined_data!$N$2:$N$404,"Từ 23 - 32 triệu VNĐ")</f>
        <v>0</v>
      </c>
      <c r="C67" s="4">
        <f>COUNTIFS(step3_combined_data!$AV$2:$AV$404,"Neutral", step3_combined_data!$N$2:$N$404,"Từ 23 - 32 triệu VNĐ")</f>
        <v>23</v>
      </c>
      <c r="D67" s="4">
        <f>COUNTIFS(step3_combined_data!$AV$2:$AV$404,"Support", step3_combined_data!$N$2:$N$404,"Từ 23 - 32 triệu VNĐ")</f>
        <v>30</v>
      </c>
      <c r="E67" s="4">
        <f t="shared" si="27"/>
        <v>53</v>
      </c>
      <c r="G67" s="4" t="s">
        <v>101</v>
      </c>
      <c r="H67" s="43">
        <f t="shared" si="24"/>
        <v>0</v>
      </c>
      <c r="I67" s="43">
        <f t="shared" si="25"/>
        <v>0.43396226415094341</v>
      </c>
      <c r="J67" s="43">
        <f t="shared" si="26"/>
        <v>0.56603773584905659</v>
      </c>
    </row>
    <row r="68" spans="1:10" x14ac:dyDescent="0.45">
      <c r="A68" s="4" t="s">
        <v>109</v>
      </c>
      <c r="B68" s="4">
        <f>COUNTIFS(step3_combined_data!$AV$2:$AV$404,"Oppose", step3_combined_data!$N$2:$N$404,"Từ 32 - 48 triệu VNĐ")</f>
        <v>0</v>
      </c>
      <c r="C68" s="4">
        <f>COUNTIFS(step3_combined_data!$AV$2:$AV$404,"Neutral", step3_combined_data!$N$2:$N$404,"Từ 32 - 48 triệu VNĐ")</f>
        <v>23</v>
      </c>
      <c r="D68" s="4">
        <f>COUNTIFS(step3_combined_data!$AV$2:$AV$404,"Support", step3_combined_data!$N$2:$N$404,"Từ 32 - 48 triệu VNĐ")</f>
        <v>30</v>
      </c>
      <c r="E68" s="4">
        <f t="shared" si="27"/>
        <v>53</v>
      </c>
      <c r="G68" s="4" t="s">
        <v>109</v>
      </c>
      <c r="H68" s="43">
        <f t="shared" si="24"/>
        <v>0</v>
      </c>
      <c r="I68" s="43">
        <f t="shared" si="25"/>
        <v>0.43396226415094341</v>
      </c>
      <c r="J68" s="43">
        <f t="shared" si="26"/>
        <v>0.56603773584905659</v>
      </c>
    </row>
    <row r="69" spans="1:10" x14ac:dyDescent="0.45">
      <c r="A69" s="4" t="s">
        <v>111</v>
      </c>
      <c r="B69" s="4">
        <f>COUNTIFS(step3_combined_data!$AV$2:$AV$404,"Oppose", step3_combined_data!$N$2:$N$404,"Từ 48 - 70 triệu VNĐ")</f>
        <v>0</v>
      </c>
      <c r="C69" s="4">
        <f>COUNTIFS(step3_combined_data!$AV$2:$AV$404,"Neutral", step3_combined_data!$N$2:$N$404,"Từ 48 - 70 triệu VNĐ")</f>
        <v>26</v>
      </c>
      <c r="D69" s="4">
        <f>COUNTIFS(step3_combined_data!$AV$2:$AV$404,"Support", step3_combined_data!$N$2:$N$404,"Từ 48 - 70 triệu VNĐ")</f>
        <v>36</v>
      </c>
      <c r="E69" s="4">
        <f t="shared" si="27"/>
        <v>62</v>
      </c>
      <c r="G69" s="4" t="s">
        <v>111</v>
      </c>
      <c r="H69" s="43">
        <f t="shared" si="24"/>
        <v>0</v>
      </c>
      <c r="I69" s="43">
        <f t="shared" si="25"/>
        <v>0.41935483870967744</v>
      </c>
      <c r="J69" s="43">
        <f t="shared" si="26"/>
        <v>0.58064516129032262</v>
      </c>
    </row>
    <row r="70" spans="1:10" x14ac:dyDescent="0.45">
      <c r="A70" s="4" t="s">
        <v>107</v>
      </c>
      <c r="B70" s="4">
        <f>COUNTIFS(step3_combined_data!$AV$2:$AV$404,"Oppose", step3_combined_data!$N$2:$N$404,"Từ 70 - 102 triệu VNĐ")</f>
        <v>0</v>
      </c>
      <c r="C70" s="4">
        <f>COUNTIFS(step3_combined_data!$AV$2:$AV$404,"Neutral", step3_combined_data!$N$2:$N$404,"Từ 70 - 102 triệu VNĐ")</f>
        <v>19</v>
      </c>
      <c r="D70" s="4">
        <f>COUNTIFS(step3_combined_data!$AV$2:$AV$404,"Support", step3_combined_data!$N$2:$N$404,"Từ 70 - 102 triệu VNĐ")</f>
        <v>20</v>
      </c>
      <c r="E70" s="4">
        <f t="shared" si="27"/>
        <v>39</v>
      </c>
      <c r="G70" s="4" t="s">
        <v>107</v>
      </c>
      <c r="H70" s="43">
        <f t="shared" si="24"/>
        <v>0</v>
      </c>
      <c r="I70" s="43">
        <f t="shared" si="25"/>
        <v>0.48717948717948717</v>
      </c>
      <c r="J70" s="43">
        <f t="shared" si="26"/>
        <v>0.51282051282051277</v>
      </c>
    </row>
    <row r="71" spans="1:10" x14ac:dyDescent="0.45">
      <c r="A71" s="4" t="s">
        <v>108</v>
      </c>
      <c r="B71" s="4">
        <f>COUNTIFS(step3_combined_data!$AV$2:$AV$404,"Oppose", step3_combined_data!$N$2:$N$404,"Trên 102 triệu VNĐ")</f>
        <v>0</v>
      </c>
      <c r="C71" s="4">
        <f>COUNTIFS(step3_combined_data!$AV$2:$AV$404,"Neutral", step3_combined_data!$N$2:$N$404,"Trên 102 triệu VNĐ")</f>
        <v>14</v>
      </c>
      <c r="D71" s="4">
        <f>COUNTIFS(step3_combined_data!$AV$2:$AV$404,"Support", step3_combined_data!$N$2:$N$404,"Trên 102 triệu VNĐ")</f>
        <v>21</v>
      </c>
      <c r="E71" s="4">
        <f t="shared" si="27"/>
        <v>35</v>
      </c>
      <c r="G71" s="4" t="s">
        <v>108</v>
      </c>
      <c r="H71" s="43">
        <f t="shared" si="24"/>
        <v>0</v>
      </c>
      <c r="I71" s="43">
        <f t="shared" si="25"/>
        <v>0.4</v>
      </c>
      <c r="J71" s="43">
        <f t="shared" si="26"/>
        <v>0.6</v>
      </c>
    </row>
    <row r="73" spans="1:10" x14ac:dyDescent="0.45">
      <c r="A73" s="41" t="s">
        <v>3814</v>
      </c>
      <c r="B73" s="41" t="s">
        <v>1</v>
      </c>
      <c r="C73" s="41" t="s">
        <v>2</v>
      </c>
      <c r="D73" s="41" t="s">
        <v>3</v>
      </c>
      <c r="E73" s="41">
        <f>SUM(E74:E79)</f>
        <v>401</v>
      </c>
      <c r="G73" s="41" t="s">
        <v>3814</v>
      </c>
      <c r="H73" s="41" t="s">
        <v>1</v>
      </c>
      <c r="I73" s="41" t="s">
        <v>2</v>
      </c>
      <c r="J73" s="41" t="s">
        <v>3</v>
      </c>
    </row>
    <row r="74" spans="1:10" x14ac:dyDescent="0.45">
      <c r="A74" s="4" t="s">
        <v>189</v>
      </c>
      <c r="B74" s="4">
        <f>COUNTIFS(step3_combined_data!$BF$2:$BF$404,"Oppose", step3_combined_data!$E$2:$E$404,"18 - 24")</f>
        <v>0</v>
      </c>
      <c r="C74" s="4">
        <f>COUNTIFS(step3_combined_data!$BF$2:$BF$404,"Neutral", step3_combined_data!$E$2:$E$404,"18 - 24")</f>
        <v>2</v>
      </c>
      <c r="D74" s="4">
        <f>COUNTIFS(step3_combined_data!$BF$2:$BF$404,"Support", step3_combined_data!$E$2:$E$404,"18 - 24")</f>
        <v>51</v>
      </c>
      <c r="E74" s="4">
        <f>SUM(B74:D74)</f>
        <v>53</v>
      </c>
      <c r="G74" s="4" t="s">
        <v>189</v>
      </c>
      <c r="H74" s="43">
        <f t="shared" ref="H74:H79" si="28">B74/E74</f>
        <v>0</v>
      </c>
      <c r="I74" s="43">
        <f t="shared" ref="I74:I79" si="29">C74/E74</f>
        <v>3.7735849056603772E-2</v>
      </c>
      <c r="J74" s="43">
        <f t="shared" ref="J74:J79" si="30">D74/E74</f>
        <v>0.96226415094339623</v>
      </c>
    </row>
    <row r="75" spans="1:10" x14ac:dyDescent="0.45">
      <c r="A75" s="4" t="s">
        <v>81</v>
      </c>
      <c r="B75" s="4">
        <f>COUNTIFS(step3_combined_data!$BF$2:$BF$404,"Oppose", step3_combined_data!$E$2:$E$404,"18 - 24")</f>
        <v>0</v>
      </c>
      <c r="C75" s="4">
        <f>COUNTIFS(step3_combined_data!$BF$2:$BF$404,"Neutral", step3_combined_data!$E$2:$E$404,"25 - 29")</f>
        <v>3</v>
      </c>
      <c r="D75" s="4">
        <f>COUNTIFS(step3_combined_data!$BF$2:$BF$404,"Support", step3_combined_data!$E$2:$E$404,"25 - 29")</f>
        <v>76</v>
      </c>
      <c r="E75" s="4">
        <f t="shared" ref="E75:E79" si="31">SUM(B75:D75)</f>
        <v>79</v>
      </c>
      <c r="G75" s="4" t="s">
        <v>81</v>
      </c>
      <c r="H75" s="43">
        <f t="shared" si="28"/>
        <v>0</v>
      </c>
      <c r="I75" s="43">
        <f t="shared" si="29"/>
        <v>3.7974683544303799E-2</v>
      </c>
      <c r="J75" s="43">
        <f t="shared" si="30"/>
        <v>0.96202531645569622</v>
      </c>
    </row>
    <row r="76" spans="1:10" x14ac:dyDescent="0.45">
      <c r="A76" s="4" t="s">
        <v>73</v>
      </c>
      <c r="B76" s="4">
        <f>COUNTIFS(step3_combined_data!$BF$2:$BF$404,"Oppose", step3_combined_data!$E$2:$E$404,"30 - 39")</f>
        <v>0</v>
      </c>
      <c r="C76" s="4">
        <f>COUNTIFS(step3_combined_data!$BF$2:$BF$404,"Neutral", step3_combined_data!$E$2:$E$404,"30 - 39")</f>
        <v>7</v>
      </c>
      <c r="D76" s="4">
        <f>COUNTIFS(step3_combined_data!$BF$2:$BF$404,"Support", step3_combined_data!$E$2:$E$404,"30 - 39")</f>
        <v>125</v>
      </c>
      <c r="E76" s="4">
        <f t="shared" si="31"/>
        <v>132</v>
      </c>
      <c r="G76" s="4" t="s">
        <v>73</v>
      </c>
      <c r="H76" s="43">
        <f t="shared" si="28"/>
        <v>0</v>
      </c>
      <c r="I76" s="43">
        <f t="shared" si="29"/>
        <v>5.3030303030303032E-2</v>
      </c>
      <c r="J76" s="43">
        <f t="shared" si="30"/>
        <v>0.94696969696969702</v>
      </c>
    </row>
    <row r="77" spans="1:10" x14ac:dyDescent="0.45">
      <c r="A77" s="4" t="s">
        <v>79</v>
      </c>
      <c r="B77" s="4">
        <f>COUNTIFS(step3_combined_data!$BF$2:$BF$404,"Oppose", step3_combined_data!$E$2:$E$404,"40 - 49")</f>
        <v>1</v>
      </c>
      <c r="C77" s="4">
        <f>COUNTIFS(step3_combined_data!$BF$2:$BF$404,"Neutral", step3_combined_data!$E$2:$E$404,"40 - 49")</f>
        <v>1</v>
      </c>
      <c r="D77" s="4">
        <f>COUNTIFS(step3_combined_data!$BF$2:$BF$404,"Support", step3_combined_data!$E$2:$E$404,"40 - 49")</f>
        <v>77</v>
      </c>
      <c r="E77" s="4">
        <f t="shared" si="31"/>
        <v>79</v>
      </c>
      <c r="G77" s="4" t="s">
        <v>79</v>
      </c>
      <c r="H77" s="43">
        <f t="shared" si="28"/>
        <v>1.2658227848101266E-2</v>
      </c>
      <c r="I77" s="43">
        <f t="shared" si="29"/>
        <v>1.2658227848101266E-2</v>
      </c>
      <c r="J77" s="43">
        <f t="shared" si="30"/>
        <v>0.97468354430379744</v>
      </c>
    </row>
    <row r="78" spans="1:10" x14ac:dyDescent="0.45">
      <c r="A78" s="4" t="s">
        <v>192</v>
      </c>
      <c r="B78" s="4">
        <f>COUNTIFS(step3_combined_data!$BF$2:$BF$404,"Oppose", step3_combined_data!$E$2:$E$404,"50 - 54")</f>
        <v>0</v>
      </c>
      <c r="C78" s="4">
        <f>COUNTIFS(step3_combined_data!$BF$2:$BF$404,"Neutral", step3_combined_data!$E$2:$E$404,"50 - 54")</f>
        <v>1</v>
      </c>
      <c r="D78" s="4">
        <f>COUNTIFS(step3_combined_data!$BF$2:$BF$404,"Support", step3_combined_data!$E$2:$E$404,"50 - 54")</f>
        <v>30</v>
      </c>
      <c r="E78" s="4">
        <f t="shared" si="31"/>
        <v>31</v>
      </c>
      <c r="G78" s="4" t="s">
        <v>192</v>
      </c>
      <c r="H78" s="43">
        <f t="shared" si="28"/>
        <v>0</v>
      </c>
      <c r="I78" s="43">
        <f t="shared" si="29"/>
        <v>3.2258064516129031E-2</v>
      </c>
      <c r="J78" s="43">
        <f t="shared" si="30"/>
        <v>0.967741935483871</v>
      </c>
    </row>
    <row r="79" spans="1:10" x14ac:dyDescent="0.45">
      <c r="A79" s="4" t="s">
        <v>194</v>
      </c>
      <c r="B79" s="4">
        <f>COUNTIFS(step3_combined_data!$BF$2:$BF$404,"Oppose", step3_combined_data!$E$2:$E$404,"55 - 64")</f>
        <v>0</v>
      </c>
      <c r="C79" s="4">
        <f>COUNTIFS(step3_combined_data!$BF$2:$BF$404,"Neutral", step3_combined_data!$E$2:$E$404,"55 - 64")</f>
        <v>6</v>
      </c>
      <c r="D79" s="4">
        <f>COUNTIFS(step3_combined_data!$BF$2:$BF$404,"Support", step3_combined_data!$E$2:$E$404,"55 - 64")</f>
        <v>21</v>
      </c>
      <c r="E79" s="4">
        <f t="shared" si="31"/>
        <v>27</v>
      </c>
      <c r="G79" s="4" t="s">
        <v>194</v>
      </c>
      <c r="H79" s="43">
        <f t="shared" si="28"/>
        <v>0</v>
      </c>
      <c r="I79" s="43">
        <f t="shared" si="29"/>
        <v>0.22222222222222221</v>
      </c>
      <c r="J79" s="43">
        <f t="shared" si="30"/>
        <v>0.77777777777777779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9FE0A-9457-4FC2-AF15-C2F30908F43C}">
  <dimension ref="A1:AA405"/>
  <sheetViews>
    <sheetView topLeftCell="A375" workbookViewId="0">
      <selection activeCell="E1" sqref="E1"/>
    </sheetView>
  </sheetViews>
  <sheetFormatPr defaultRowHeight="14.25" x14ac:dyDescent="0.45"/>
  <sheetData>
    <row r="1" spans="1:27" x14ac:dyDescent="0.45">
      <c r="A1" s="8" t="s">
        <v>45</v>
      </c>
      <c r="B1" s="35" t="s">
        <v>126</v>
      </c>
      <c r="C1" s="8" t="s">
        <v>205</v>
      </c>
      <c r="D1" s="8" t="s">
        <v>48</v>
      </c>
      <c r="E1" s="8" t="s">
        <v>131</v>
      </c>
      <c r="F1" s="8" t="s">
        <v>206</v>
      </c>
      <c r="G1" s="8" t="s">
        <v>51</v>
      </c>
      <c r="H1" s="8" t="s">
        <v>135</v>
      </c>
      <c r="I1" s="8" t="s">
        <v>207</v>
      </c>
      <c r="J1" s="8" t="s">
        <v>54</v>
      </c>
      <c r="K1" s="8" t="s">
        <v>139</v>
      </c>
      <c r="L1" s="8" t="s">
        <v>208</v>
      </c>
      <c r="M1" t="s">
        <v>57</v>
      </c>
      <c r="N1" t="s">
        <v>143</v>
      </c>
      <c r="O1" s="8" t="s">
        <v>209</v>
      </c>
      <c r="P1" t="s">
        <v>60</v>
      </c>
      <c r="Q1" t="s">
        <v>147</v>
      </c>
      <c r="R1" s="8" t="s">
        <v>210</v>
      </c>
      <c r="S1" t="s">
        <v>63</v>
      </c>
      <c r="T1" t="s">
        <v>151</v>
      </c>
      <c r="U1" s="8" t="s">
        <v>211</v>
      </c>
      <c r="V1" t="s">
        <v>66</v>
      </c>
      <c r="W1" t="s">
        <v>155</v>
      </c>
      <c r="X1" s="8" t="s">
        <v>212</v>
      </c>
      <c r="Y1" t="s">
        <v>69</v>
      </c>
      <c r="Z1" t="s">
        <v>159</v>
      </c>
      <c r="AA1" s="8" t="s">
        <v>213</v>
      </c>
    </row>
    <row r="2" spans="1:27" x14ac:dyDescent="0.45">
      <c r="A2">
        <v>2</v>
      </c>
      <c r="B2" s="36">
        <f>step3_combined_data!S9</f>
        <v>1</v>
      </c>
      <c r="C2" s="32">
        <f>ABS(B2-A2)</f>
        <v>1</v>
      </c>
      <c r="D2">
        <v>0</v>
      </c>
      <c r="E2" s="36">
        <f>step3_combined_data!X9</f>
        <v>1</v>
      </c>
      <c r="F2" s="32">
        <f>ABS(E2-D2)</f>
        <v>1</v>
      </c>
      <c r="G2">
        <v>0</v>
      </c>
      <c r="H2" s="36">
        <v>1</v>
      </c>
      <c r="I2" s="32">
        <f>ABS(H2-G2)</f>
        <v>1</v>
      </c>
      <c r="J2">
        <v>0</v>
      </c>
      <c r="K2" s="36">
        <v>1</v>
      </c>
      <c r="L2" s="32">
        <f>ABS(K2-J2)</f>
        <v>1</v>
      </c>
      <c r="M2">
        <v>0</v>
      </c>
      <c r="N2" s="36">
        <v>1</v>
      </c>
      <c r="O2" s="32">
        <f>ABS(N2-M2)</f>
        <v>1</v>
      </c>
      <c r="P2">
        <v>0</v>
      </c>
      <c r="Q2" s="36">
        <v>1</v>
      </c>
      <c r="R2" s="32">
        <f>ABS(Q2-P2)</f>
        <v>1</v>
      </c>
      <c r="S2">
        <v>0</v>
      </c>
      <c r="T2" s="36">
        <v>1</v>
      </c>
      <c r="U2" s="32">
        <f>ABS(T2-S2)</f>
        <v>1</v>
      </c>
      <c r="V2">
        <v>0</v>
      </c>
      <c r="W2" s="36">
        <v>1</v>
      </c>
      <c r="X2" s="32">
        <f>ABS(W2-V2)</f>
        <v>1</v>
      </c>
      <c r="Y2">
        <v>0</v>
      </c>
      <c r="Z2" s="36">
        <v>1</v>
      </c>
      <c r="AA2" s="32">
        <f>ABS(Z2-Y2)</f>
        <v>1</v>
      </c>
    </row>
    <row r="3" spans="1:27" x14ac:dyDescent="0.45">
      <c r="A3">
        <v>3</v>
      </c>
      <c r="B3" s="36">
        <f>step3_combined_data!S28</f>
        <v>1</v>
      </c>
      <c r="C3" s="32">
        <f t="shared" ref="C3:C66" si="0">ABS(B3-A3)</f>
        <v>2</v>
      </c>
      <c r="D3">
        <v>2</v>
      </c>
      <c r="E3" s="36">
        <f>step3_combined_data!X28</f>
        <v>1</v>
      </c>
      <c r="F3" s="32">
        <f t="shared" ref="F3:F66" si="1">ABS(E3-D3)</f>
        <v>1</v>
      </c>
      <c r="G3">
        <v>4</v>
      </c>
      <c r="H3" s="36">
        <v>1</v>
      </c>
      <c r="I3" s="32">
        <f t="shared" ref="I3:I66" si="2">ABS(H3-G3)</f>
        <v>3</v>
      </c>
      <c r="J3">
        <v>5</v>
      </c>
      <c r="K3" s="36">
        <v>1</v>
      </c>
      <c r="L3" s="32">
        <f t="shared" ref="L3:L66" si="3">ABS(K3-J3)</f>
        <v>4</v>
      </c>
      <c r="M3">
        <v>5</v>
      </c>
      <c r="N3" s="36">
        <v>1</v>
      </c>
      <c r="O3" s="32">
        <f t="shared" ref="O3:O66" si="4">ABS(N3-M3)</f>
        <v>4</v>
      </c>
      <c r="P3">
        <v>6</v>
      </c>
      <c r="Q3" s="36">
        <v>1</v>
      </c>
      <c r="R3" s="32">
        <f t="shared" ref="R3:R66" si="5">ABS(Q3-P3)</f>
        <v>5</v>
      </c>
      <c r="S3">
        <v>4</v>
      </c>
      <c r="T3" s="36">
        <v>1</v>
      </c>
      <c r="U3" s="32">
        <f t="shared" ref="U3:U66" si="6">ABS(T3-S3)</f>
        <v>3</v>
      </c>
      <c r="V3">
        <v>5</v>
      </c>
      <c r="W3" s="36">
        <v>1</v>
      </c>
      <c r="X3" s="32">
        <f t="shared" ref="X3:X66" si="7">ABS(W3-V3)</f>
        <v>4</v>
      </c>
      <c r="Y3">
        <v>6</v>
      </c>
      <c r="Z3" s="36">
        <v>1</v>
      </c>
      <c r="AA3" s="32">
        <f t="shared" ref="AA3:AA66" si="8">ABS(Z3-Y3)</f>
        <v>5</v>
      </c>
    </row>
    <row r="4" spans="1:27" x14ac:dyDescent="0.45">
      <c r="A4">
        <v>3</v>
      </c>
      <c r="B4" s="36">
        <f>step3_combined_data!S29</f>
        <v>1</v>
      </c>
      <c r="C4" s="32">
        <f t="shared" si="0"/>
        <v>2</v>
      </c>
      <c r="D4">
        <v>3</v>
      </c>
      <c r="E4" s="36">
        <f>step3_combined_data!X29</f>
        <v>1</v>
      </c>
      <c r="F4" s="32">
        <f t="shared" si="1"/>
        <v>2</v>
      </c>
      <c r="G4">
        <v>5</v>
      </c>
      <c r="H4" s="36">
        <v>1</v>
      </c>
      <c r="I4" s="32">
        <f t="shared" si="2"/>
        <v>4</v>
      </c>
      <c r="J4">
        <v>7</v>
      </c>
      <c r="K4" s="36">
        <v>1</v>
      </c>
      <c r="L4" s="32">
        <f t="shared" si="3"/>
        <v>6</v>
      </c>
      <c r="M4">
        <v>5</v>
      </c>
      <c r="N4" s="36">
        <v>1</v>
      </c>
      <c r="O4" s="32">
        <f t="shared" si="4"/>
        <v>4</v>
      </c>
      <c r="P4">
        <v>6</v>
      </c>
      <c r="Q4" s="36">
        <v>1</v>
      </c>
      <c r="R4" s="32">
        <f t="shared" si="5"/>
        <v>5</v>
      </c>
      <c r="S4">
        <v>5</v>
      </c>
      <c r="T4" s="36">
        <v>1</v>
      </c>
      <c r="U4" s="32">
        <f t="shared" si="6"/>
        <v>4</v>
      </c>
      <c r="V4">
        <v>5</v>
      </c>
      <c r="W4" s="36">
        <v>1</v>
      </c>
      <c r="X4" s="32">
        <f t="shared" si="7"/>
        <v>4</v>
      </c>
      <c r="Y4">
        <v>6</v>
      </c>
      <c r="Z4" s="36">
        <v>1</v>
      </c>
      <c r="AA4" s="32">
        <f t="shared" si="8"/>
        <v>5</v>
      </c>
    </row>
    <row r="5" spans="1:27" x14ac:dyDescent="0.45">
      <c r="A5">
        <v>4</v>
      </c>
      <c r="B5" s="36">
        <f>step3_combined_data!S47</f>
        <v>1</v>
      </c>
      <c r="C5" s="32">
        <f t="shared" si="0"/>
        <v>3</v>
      </c>
      <c r="D5">
        <v>3</v>
      </c>
      <c r="E5" s="36">
        <f>step3_combined_data!X47</f>
        <v>1</v>
      </c>
      <c r="F5" s="32">
        <f t="shared" si="1"/>
        <v>2</v>
      </c>
      <c r="G5">
        <v>5</v>
      </c>
      <c r="H5" s="36">
        <v>1</v>
      </c>
      <c r="I5" s="32">
        <f t="shared" si="2"/>
        <v>4</v>
      </c>
      <c r="J5">
        <v>7</v>
      </c>
      <c r="K5" s="36">
        <v>1</v>
      </c>
      <c r="L5" s="32">
        <f t="shared" si="3"/>
        <v>6</v>
      </c>
      <c r="M5">
        <v>5</v>
      </c>
      <c r="N5" s="36">
        <v>1</v>
      </c>
      <c r="O5" s="32">
        <f t="shared" si="4"/>
        <v>4</v>
      </c>
      <c r="P5">
        <v>7</v>
      </c>
      <c r="Q5" s="36">
        <v>1</v>
      </c>
      <c r="R5" s="32">
        <f t="shared" si="5"/>
        <v>6</v>
      </c>
      <c r="S5">
        <v>5</v>
      </c>
      <c r="T5" s="36">
        <v>1</v>
      </c>
      <c r="U5" s="32">
        <f t="shared" si="6"/>
        <v>4</v>
      </c>
      <c r="V5">
        <v>6</v>
      </c>
      <c r="W5" s="36">
        <v>1</v>
      </c>
      <c r="X5" s="32">
        <f t="shared" si="7"/>
        <v>5</v>
      </c>
      <c r="Y5">
        <v>7</v>
      </c>
      <c r="Z5" s="36">
        <v>1</v>
      </c>
      <c r="AA5" s="32">
        <f t="shared" si="8"/>
        <v>6</v>
      </c>
    </row>
    <row r="6" spans="1:27" x14ac:dyDescent="0.45">
      <c r="A6">
        <v>4</v>
      </c>
      <c r="B6" s="36">
        <f>step3_combined_data!S114</f>
        <v>1</v>
      </c>
      <c r="C6" s="32">
        <f t="shared" si="0"/>
        <v>3</v>
      </c>
      <c r="D6">
        <v>4</v>
      </c>
      <c r="E6" s="36">
        <f>step3_combined_data!X114</f>
        <v>1</v>
      </c>
      <c r="F6" s="32">
        <f t="shared" si="1"/>
        <v>3</v>
      </c>
      <c r="G6">
        <v>5</v>
      </c>
      <c r="H6" s="36">
        <v>1</v>
      </c>
      <c r="I6" s="32">
        <f t="shared" si="2"/>
        <v>4</v>
      </c>
      <c r="J6">
        <v>7</v>
      </c>
      <c r="K6" s="36">
        <v>1</v>
      </c>
      <c r="L6" s="32">
        <f t="shared" si="3"/>
        <v>6</v>
      </c>
      <c r="M6">
        <v>6</v>
      </c>
      <c r="N6" s="36">
        <v>1</v>
      </c>
      <c r="O6" s="32">
        <f t="shared" si="4"/>
        <v>5</v>
      </c>
      <c r="P6">
        <v>7</v>
      </c>
      <c r="Q6" s="36">
        <v>1</v>
      </c>
      <c r="R6" s="32">
        <f t="shared" si="5"/>
        <v>6</v>
      </c>
      <c r="S6">
        <v>5</v>
      </c>
      <c r="T6" s="36">
        <v>1</v>
      </c>
      <c r="U6" s="32">
        <f t="shared" si="6"/>
        <v>4</v>
      </c>
      <c r="V6">
        <v>6</v>
      </c>
      <c r="W6" s="36">
        <v>1</v>
      </c>
      <c r="X6" s="32">
        <f t="shared" si="7"/>
        <v>5</v>
      </c>
      <c r="Y6">
        <v>7</v>
      </c>
      <c r="Z6" s="36">
        <v>1</v>
      </c>
      <c r="AA6" s="32">
        <f t="shared" si="8"/>
        <v>6</v>
      </c>
    </row>
    <row r="7" spans="1:27" x14ac:dyDescent="0.45">
      <c r="A7">
        <v>4</v>
      </c>
      <c r="B7" s="36">
        <f>step3_combined_data!S116</f>
        <v>1</v>
      </c>
      <c r="C7" s="32">
        <f t="shared" si="0"/>
        <v>3</v>
      </c>
      <c r="D7">
        <v>5</v>
      </c>
      <c r="E7" s="36">
        <f>step3_combined_data!X116</f>
        <v>1</v>
      </c>
      <c r="F7" s="32">
        <f t="shared" si="1"/>
        <v>4</v>
      </c>
      <c r="G7">
        <v>5</v>
      </c>
      <c r="H7" s="36">
        <v>1</v>
      </c>
      <c r="I7" s="32">
        <f t="shared" si="2"/>
        <v>4</v>
      </c>
      <c r="J7">
        <v>7</v>
      </c>
      <c r="K7" s="36">
        <v>1</v>
      </c>
      <c r="L7" s="32">
        <f t="shared" si="3"/>
        <v>6</v>
      </c>
      <c r="M7">
        <v>6</v>
      </c>
      <c r="N7" s="36">
        <v>1</v>
      </c>
      <c r="O7" s="32">
        <f t="shared" si="4"/>
        <v>5</v>
      </c>
      <c r="P7">
        <v>7</v>
      </c>
      <c r="Q7" s="36">
        <v>1</v>
      </c>
      <c r="R7" s="32">
        <f t="shared" si="5"/>
        <v>6</v>
      </c>
      <c r="S7">
        <v>5</v>
      </c>
      <c r="T7" s="36">
        <v>1</v>
      </c>
      <c r="U7" s="32">
        <f t="shared" si="6"/>
        <v>4</v>
      </c>
      <c r="V7">
        <v>6</v>
      </c>
      <c r="W7" s="36">
        <v>1</v>
      </c>
      <c r="X7" s="32">
        <f t="shared" si="7"/>
        <v>5</v>
      </c>
      <c r="Y7">
        <v>7</v>
      </c>
      <c r="Z7" s="36">
        <v>1</v>
      </c>
      <c r="AA7" s="32">
        <f t="shared" si="8"/>
        <v>6</v>
      </c>
    </row>
    <row r="8" spans="1:27" x14ac:dyDescent="0.45">
      <c r="A8">
        <v>5</v>
      </c>
      <c r="B8" s="36">
        <f>step3_combined_data!S122</f>
        <v>1</v>
      </c>
      <c r="C8" s="32">
        <f t="shared" si="0"/>
        <v>4</v>
      </c>
      <c r="D8">
        <v>5</v>
      </c>
      <c r="E8" s="36">
        <f>step3_combined_data!X119</f>
        <v>1</v>
      </c>
      <c r="F8" s="32">
        <f t="shared" si="1"/>
        <v>4</v>
      </c>
      <c r="G8">
        <v>6</v>
      </c>
      <c r="H8" s="36">
        <v>1</v>
      </c>
      <c r="I8" s="32">
        <f t="shared" si="2"/>
        <v>5</v>
      </c>
      <c r="J8">
        <v>7</v>
      </c>
      <c r="K8" s="36">
        <v>2</v>
      </c>
      <c r="L8" s="32">
        <f t="shared" si="3"/>
        <v>5</v>
      </c>
      <c r="M8">
        <v>6</v>
      </c>
      <c r="N8" s="36">
        <v>1</v>
      </c>
      <c r="O8" s="32">
        <f t="shared" si="4"/>
        <v>5</v>
      </c>
      <c r="P8">
        <v>7</v>
      </c>
      <c r="Q8" s="36">
        <v>1</v>
      </c>
      <c r="R8" s="32">
        <f t="shared" si="5"/>
        <v>6</v>
      </c>
      <c r="S8">
        <v>6</v>
      </c>
      <c r="T8" s="36">
        <v>1</v>
      </c>
      <c r="U8" s="32">
        <f t="shared" si="6"/>
        <v>5</v>
      </c>
      <c r="V8">
        <v>6</v>
      </c>
      <c r="W8" s="36">
        <v>1</v>
      </c>
      <c r="X8" s="32">
        <f t="shared" si="7"/>
        <v>5</v>
      </c>
      <c r="Y8">
        <v>7</v>
      </c>
      <c r="Z8" s="36">
        <v>1</v>
      </c>
      <c r="AA8" s="32">
        <f t="shared" si="8"/>
        <v>6</v>
      </c>
    </row>
    <row r="9" spans="1:27" x14ac:dyDescent="0.45">
      <c r="A9">
        <v>5</v>
      </c>
      <c r="B9" s="36">
        <f>step3_combined_data!S128</f>
        <v>1</v>
      </c>
      <c r="C9" s="32">
        <f t="shared" si="0"/>
        <v>4</v>
      </c>
      <c r="D9">
        <v>5</v>
      </c>
      <c r="E9" s="36">
        <f>step3_combined_data!X122</f>
        <v>1</v>
      </c>
      <c r="F9" s="32">
        <f t="shared" si="1"/>
        <v>4</v>
      </c>
      <c r="G9">
        <v>6</v>
      </c>
      <c r="H9" s="36">
        <v>1</v>
      </c>
      <c r="I9" s="32">
        <f t="shared" si="2"/>
        <v>5</v>
      </c>
      <c r="J9">
        <v>7</v>
      </c>
      <c r="K9" s="36">
        <v>2</v>
      </c>
      <c r="L9" s="32">
        <f t="shared" si="3"/>
        <v>5</v>
      </c>
      <c r="M9">
        <v>6</v>
      </c>
      <c r="N9" s="36">
        <v>1</v>
      </c>
      <c r="O9" s="32">
        <f t="shared" si="4"/>
        <v>5</v>
      </c>
      <c r="P9">
        <v>7</v>
      </c>
      <c r="Q9" s="36">
        <v>1</v>
      </c>
      <c r="R9" s="32">
        <f t="shared" si="5"/>
        <v>6</v>
      </c>
      <c r="S9">
        <v>6</v>
      </c>
      <c r="T9" s="36">
        <v>1</v>
      </c>
      <c r="U9" s="32">
        <f t="shared" si="6"/>
        <v>5</v>
      </c>
      <c r="V9">
        <v>6</v>
      </c>
      <c r="W9" s="36">
        <v>1</v>
      </c>
      <c r="X9" s="32">
        <f t="shared" si="7"/>
        <v>5</v>
      </c>
      <c r="Y9">
        <v>7</v>
      </c>
      <c r="Z9" s="36">
        <v>1</v>
      </c>
      <c r="AA9" s="32">
        <f t="shared" si="8"/>
        <v>6</v>
      </c>
    </row>
    <row r="10" spans="1:27" x14ac:dyDescent="0.45">
      <c r="A10">
        <v>5</v>
      </c>
      <c r="B10" s="36">
        <f>step3_combined_data!S144</f>
        <v>1</v>
      </c>
      <c r="C10" s="32">
        <f t="shared" si="0"/>
        <v>4</v>
      </c>
      <c r="D10">
        <v>5</v>
      </c>
      <c r="E10" s="36">
        <f>step3_combined_data!X128</f>
        <v>1</v>
      </c>
      <c r="F10" s="32">
        <f t="shared" si="1"/>
        <v>4</v>
      </c>
      <c r="G10">
        <v>6</v>
      </c>
      <c r="H10" s="36">
        <v>1</v>
      </c>
      <c r="I10" s="32">
        <f t="shared" si="2"/>
        <v>5</v>
      </c>
      <c r="J10">
        <v>7</v>
      </c>
      <c r="K10" s="36">
        <v>2</v>
      </c>
      <c r="L10" s="32">
        <f t="shared" si="3"/>
        <v>5</v>
      </c>
      <c r="M10">
        <v>6</v>
      </c>
      <c r="N10" s="36">
        <v>1</v>
      </c>
      <c r="O10" s="32">
        <f t="shared" si="4"/>
        <v>5</v>
      </c>
      <c r="P10">
        <v>7</v>
      </c>
      <c r="Q10" s="36">
        <v>1</v>
      </c>
      <c r="R10" s="32">
        <f t="shared" si="5"/>
        <v>6</v>
      </c>
      <c r="S10">
        <v>6</v>
      </c>
      <c r="T10" s="36">
        <v>1</v>
      </c>
      <c r="U10" s="32">
        <f t="shared" si="6"/>
        <v>5</v>
      </c>
      <c r="V10">
        <v>6</v>
      </c>
      <c r="W10" s="36">
        <v>1</v>
      </c>
      <c r="X10" s="32">
        <f t="shared" si="7"/>
        <v>5</v>
      </c>
      <c r="Y10">
        <v>7</v>
      </c>
      <c r="Z10" s="36">
        <v>1</v>
      </c>
      <c r="AA10" s="32">
        <f t="shared" si="8"/>
        <v>6</v>
      </c>
    </row>
    <row r="11" spans="1:27" x14ac:dyDescent="0.45">
      <c r="A11">
        <v>5</v>
      </c>
      <c r="B11" s="36">
        <f>step3_combined_data!S194</f>
        <v>1</v>
      </c>
      <c r="C11" s="32">
        <f t="shared" si="0"/>
        <v>4</v>
      </c>
      <c r="D11">
        <v>5</v>
      </c>
      <c r="E11" s="36">
        <f>step3_combined_data!X144</f>
        <v>1</v>
      </c>
      <c r="F11" s="32">
        <f t="shared" si="1"/>
        <v>4</v>
      </c>
      <c r="G11">
        <v>6</v>
      </c>
      <c r="H11" s="36">
        <v>1</v>
      </c>
      <c r="I11" s="32">
        <f t="shared" si="2"/>
        <v>5</v>
      </c>
      <c r="J11">
        <v>7</v>
      </c>
      <c r="K11" s="36">
        <v>2</v>
      </c>
      <c r="L11" s="32">
        <f t="shared" si="3"/>
        <v>5</v>
      </c>
      <c r="M11">
        <v>6</v>
      </c>
      <c r="N11" s="36">
        <v>1</v>
      </c>
      <c r="O11" s="32">
        <f t="shared" si="4"/>
        <v>5</v>
      </c>
      <c r="P11">
        <v>7</v>
      </c>
      <c r="Q11" s="36">
        <v>1</v>
      </c>
      <c r="R11" s="32">
        <f t="shared" si="5"/>
        <v>6</v>
      </c>
      <c r="S11">
        <v>6</v>
      </c>
      <c r="T11" s="36">
        <v>1</v>
      </c>
      <c r="U11" s="32">
        <f t="shared" si="6"/>
        <v>5</v>
      </c>
      <c r="V11">
        <v>6</v>
      </c>
      <c r="W11" s="36">
        <v>1</v>
      </c>
      <c r="X11" s="32">
        <f t="shared" si="7"/>
        <v>5</v>
      </c>
      <c r="Y11">
        <v>7</v>
      </c>
      <c r="Z11" s="36">
        <v>1</v>
      </c>
      <c r="AA11" s="32">
        <f t="shared" si="8"/>
        <v>6</v>
      </c>
    </row>
    <row r="12" spans="1:27" x14ac:dyDescent="0.45">
      <c r="A12">
        <v>5</v>
      </c>
      <c r="B12" s="36">
        <f>step3_combined_data!S384</f>
        <v>1</v>
      </c>
      <c r="C12" s="32">
        <f t="shared" si="0"/>
        <v>4</v>
      </c>
      <c r="D12">
        <v>5</v>
      </c>
      <c r="E12" s="36">
        <f>step3_combined_data!X194</f>
        <v>1</v>
      </c>
      <c r="F12" s="32">
        <f t="shared" si="1"/>
        <v>4</v>
      </c>
      <c r="G12">
        <v>6</v>
      </c>
      <c r="H12" s="36">
        <v>1</v>
      </c>
      <c r="I12" s="32">
        <f t="shared" si="2"/>
        <v>5</v>
      </c>
      <c r="J12">
        <v>7</v>
      </c>
      <c r="K12" s="36">
        <v>2</v>
      </c>
      <c r="L12" s="32">
        <f t="shared" si="3"/>
        <v>5</v>
      </c>
      <c r="M12">
        <v>6</v>
      </c>
      <c r="N12" s="36">
        <v>1</v>
      </c>
      <c r="O12" s="32">
        <f t="shared" si="4"/>
        <v>5</v>
      </c>
      <c r="P12">
        <v>7</v>
      </c>
      <c r="Q12" s="36">
        <v>1</v>
      </c>
      <c r="R12" s="32">
        <f t="shared" si="5"/>
        <v>6</v>
      </c>
      <c r="S12">
        <v>6</v>
      </c>
      <c r="T12" s="36">
        <v>1</v>
      </c>
      <c r="U12" s="32">
        <f t="shared" si="6"/>
        <v>5</v>
      </c>
      <c r="V12">
        <v>6</v>
      </c>
      <c r="W12" s="36">
        <v>1</v>
      </c>
      <c r="X12" s="32">
        <f t="shared" si="7"/>
        <v>5</v>
      </c>
      <c r="Y12">
        <v>7</v>
      </c>
      <c r="Z12" s="36">
        <v>1</v>
      </c>
      <c r="AA12" s="32">
        <f t="shared" si="8"/>
        <v>6</v>
      </c>
    </row>
    <row r="13" spans="1:27" x14ac:dyDescent="0.45">
      <c r="A13">
        <v>5</v>
      </c>
      <c r="B13" s="36">
        <f>step3_combined_data!S160</f>
        <v>2</v>
      </c>
      <c r="C13" s="32">
        <f t="shared" si="0"/>
        <v>3</v>
      </c>
      <c r="D13">
        <v>5</v>
      </c>
      <c r="E13" s="36">
        <f>step3_combined_data!X206</f>
        <v>1</v>
      </c>
      <c r="F13" s="32">
        <f t="shared" si="1"/>
        <v>4</v>
      </c>
      <c r="G13">
        <v>6</v>
      </c>
      <c r="H13" s="36">
        <v>1</v>
      </c>
      <c r="I13" s="32">
        <f t="shared" si="2"/>
        <v>5</v>
      </c>
      <c r="J13">
        <v>8</v>
      </c>
      <c r="K13" s="36">
        <v>3</v>
      </c>
      <c r="L13" s="32">
        <f t="shared" si="3"/>
        <v>5</v>
      </c>
      <c r="M13">
        <v>6</v>
      </c>
      <c r="N13" s="36">
        <v>1</v>
      </c>
      <c r="O13" s="32">
        <f t="shared" si="4"/>
        <v>5</v>
      </c>
      <c r="P13">
        <v>7</v>
      </c>
      <c r="Q13" s="36">
        <v>1</v>
      </c>
      <c r="R13" s="32">
        <f t="shared" si="5"/>
        <v>6</v>
      </c>
      <c r="S13">
        <v>6</v>
      </c>
      <c r="T13" s="36">
        <v>1</v>
      </c>
      <c r="U13" s="32">
        <f t="shared" si="6"/>
        <v>5</v>
      </c>
      <c r="V13">
        <v>6</v>
      </c>
      <c r="W13" s="36">
        <v>1</v>
      </c>
      <c r="X13" s="32">
        <f t="shared" si="7"/>
        <v>5</v>
      </c>
      <c r="Y13">
        <v>7</v>
      </c>
      <c r="Z13" s="36">
        <v>1</v>
      </c>
      <c r="AA13" s="32">
        <f t="shared" si="8"/>
        <v>6</v>
      </c>
    </row>
    <row r="14" spans="1:27" x14ac:dyDescent="0.45">
      <c r="A14">
        <v>5</v>
      </c>
      <c r="B14" s="36">
        <f>step3_combined_data!S177</f>
        <v>2</v>
      </c>
      <c r="C14" s="32">
        <f t="shared" si="0"/>
        <v>3</v>
      </c>
      <c r="D14">
        <v>5</v>
      </c>
      <c r="E14" s="36">
        <f>step3_combined_data!X260</f>
        <v>1</v>
      </c>
      <c r="F14" s="32">
        <f t="shared" si="1"/>
        <v>4</v>
      </c>
      <c r="G14">
        <v>6</v>
      </c>
      <c r="H14" s="36">
        <v>1</v>
      </c>
      <c r="I14" s="32">
        <f t="shared" si="2"/>
        <v>5</v>
      </c>
      <c r="J14">
        <v>8</v>
      </c>
      <c r="K14" s="36">
        <v>4</v>
      </c>
      <c r="L14" s="32">
        <f t="shared" si="3"/>
        <v>4</v>
      </c>
      <c r="M14">
        <v>6</v>
      </c>
      <c r="N14" s="36">
        <v>1</v>
      </c>
      <c r="O14" s="32">
        <f t="shared" si="4"/>
        <v>5</v>
      </c>
      <c r="P14">
        <v>8</v>
      </c>
      <c r="Q14" s="36">
        <v>1</v>
      </c>
      <c r="R14" s="32">
        <f t="shared" si="5"/>
        <v>7</v>
      </c>
      <c r="S14">
        <v>6</v>
      </c>
      <c r="T14" s="36">
        <v>1</v>
      </c>
      <c r="U14" s="32">
        <f t="shared" si="6"/>
        <v>5</v>
      </c>
      <c r="V14">
        <v>6</v>
      </c>
      <c r="W14" s="36">
        <v>1</v>
      </c>
      <c r="X14" s="32">
        <f t="shared" si="7"/>
        <v>5</v>
      </c>
      <c r="Y14">
        <v>7</v>
      </c>
      <c r="Z14" s="36">
        <v>1</v>
      </c>
      <c r="AA14" s="32">
        <f t="shared" si="8"/>
        <v>6</v>
      </c>
    </row>
    <row r="15" spans="1:27" x14ac:dyDescent="0.45">
      <c r="A15">
        <v>5</v>
      </c>
      <c r="B15" s="36">
        <f>step3_combined_data!S184</f>
        <v>2</v>
      </c>
      <c r="C15" s="32">
        <f t="shared" si="0"/>
        <v>3</v>
      </c>
      <c r="D15">
        <v>5</v>
      </c>
      <c r="E15" s="36">
        <f>step3_combined_data!X384</f>
        <v>1</v>
      </c>
      <c r="F15" s="32">
        <f t="shared" si="1"/>
        <v>4</v>
      </c>
      <c r="G15">
        <v>6</v>
      </c>
      <c r="H15" s="36">
        <v>1</v>
      </c>
      <c r="I15" s="32">
        <f t="shared" si="2"/>
        <v>5</v>
      </c>
      <c r="J15">
        <v>8</v>
      </c>
      <c r="K15" s="36">
        <v>4</v>
      </c>
      <c r="L15" s="32">
        <f t="shared" si="3"/>
        <v>4</v>
      </c>
      <c r="M15">
        <v>6</v>
      </c>
      <c r="N15" s="36">
        <v>1</v>
      </c>
      <c r="O15" s="32">
        <f t="shared" si="4"/>
        <v>5</v>
      </c>
      <c r="P15">
        <v>8</v>
      </c>
      <c r="Q15" s="36">
        <v>1</v>
      </c>
      <c r="R15" s="32">
        <f t="shared" si="5"/>
        <v>7</v>
      </c>
      <c r="S15">
        <v>6</v>
      </c>
      <c r="T15" s="36">
        <v>1</v>
      </c>
      <c r="U15" s="32">
        <f t="shared" si="6"/>
        <v>5</v>
      </c>
      <c r="V15">
        <v>6</v>
      </c>
      <c r="W15" s="36">
        <v>1</v>
      </c>
      <c r="X15" s="32">
        <f t="shared" si="7"/>
        <v>5</v>
      </c>
      <c r="Y15">
        <v>7</v>
      </c>
      <c r="Z15" s="36">
        <v>2</v>
      </c>
      <c r="AA15" s="32">
        <f t="shared" si="8"/>
        <v>5</v>
      </c>
    </row>
    <row r="16" spans="1:27" x14ac:dyDescent="0.45">
      <c r="A16">
        <v>5</v>
      </c>
      <c r="B16" s="36">
        <f>step3_combined_data!S260</f>
        <v>2</v>
      </c>
      <c r="C16" s="32">
        <f t="shared" si="0"/>
        <v>3</v>
      </c>
      <c r="D16">
        <v>5</v>
      </c>
      <c r="E16" s="36">
        <f>step3_combined_data!X80</f>
        <v>2</v>
      </c>
      <c r="F16" s="32">
        <f t="shared" si="1"/>
        <v>3</v>
      </c>
      <c r="G16">
        <v>6</v>
      </c>
      <c r="H16" s="36">
        <v>1</v>
      </c>
      <c r="I16" s="32">
        <f t="shared" si="2"/>
        <v>5</v>
      </c>
      <c r="J16">
        <v>8</v>
      </c>
      <c r="K16" s="36">
        <v>4</v>
      </c>
      <c r="L16" s="32">
        <f t="shared" si="3"/>
        <v>4</v>
      </c>
      <c r="M16">
        <v>6</v>
      </c>
      <c r="N16" s="36">
        <v>1</v>
      </c>
      <c r="O16" s="32">
        <f t="shared" si="4"/>
        <v>5</v>
      </c>
      <c r="P16">
        <v>8</v>
      </c>
      <c r="Q16" s="36">
        <v>1</v>
      </c>
      <c r="R16" s="32">
        <f t="shared" si="5"/>
        <v>7</v>
      </c>
      <c r="S16">
        <v>6</v>
      </c>
      <c r="T16" s="36">
        <v>1</v>
      </c>
      <c r="U16" s="32">
        <f t="shared" si="6"/>
        <v>5</v>
      </c>
      <c r="V16">
        <v>6</v>
      </c>
      <c r="W16" s="36">
        <v>2</v>
      </c>
      <c r="X16" s="32">
        <f t="shared" si="7"/>
        <v>4</v>
      </c>
      <c r="Y16">
        <v>8</v>
      </c>
      <c r="Z16" s="36">
        <v>2</v>
      </c>
      <c r="AA16" s="32">
        <f t="shared" si="8"/>
        <v>6</v>
      </c>
    </row>
    <row r="17" spans="1:27" x14ac:dyDescent="0.45">
      <c r="A17">
        <v>5</v>
      </c>
      <c r="B17" s="36">
        <f>step3_combined_data!S308</f>
        <v>2</v>
      </c>
      <c r="C17" s="32">
        <f t="shared" si="0"/>
        <v>3</v>
      </c>
      <c r="D17">
        <v>5</v>
      </c>
      <c r="E17" s="36">
        <f>step3_combined_data!X308</f>
        <v>2</v>
      </c>
      <c r="F17" s="32">
        <f t="shared" si="1"/>
        <v>3</v>
      </c>
      <c r="G17">
        <v>6</v>
      </c>
      <c r="H17" s="36">
        <v>1</v>
      </c>
      <c r="I17" s="32">
        <f t="shared" si="2"/>
        <v>5</v>
      </c>
      <c r="J17">
        <v>8</v>
      </c>
      <c r="K17" s="36">
        <v>4</v>
      </c>
      <c r="L17" s="32">
        <f t="shared" si="3"/>
        <v>4</v>
      </c>
      <c r="M17">
        <v>6</v>
      </c>
      <c r="N17" s="36">
        <v>1</v>
      </c>
      <c r="O17" s="32">
        <f t="shared" si="4"/>
        <v>5</v>
      </c>
      <c r="P17">
        <v>8</v>
      </c>
      <c r="Q17" s="36">
        <v>1</v>
      </c>
      <c r="R17" s="32">
        <f t="shared" si="5"/>
        <v>7</v>
      </c>
      <c r="S17">
        <v>6</v>
      </c>
      <c r="T17" s="36">
        <v>1</v>
      </c>
      <c r="U17" s="32">
        <f t="shared" si="6"/>
        <v>5</v>
      </c>
      <c r="V17">
        <v>6</v>
      </c>
      <c r="W17" s="36">
        <v>2</v>
      </c>
      <c r="X17" s="32">
        <f t="shared" si="7"/>
        <v>4</v>
      </c>
      <c r="Y17">
        <v>8</v>
      </c>
      <c r="Z17" s="36">
        <v>2</v>
      </c>
      <c r="AA17" s="32">
        <f t="shared" si="8"/>
        <v>6</v>
      </c>
    </row>
    <row r="18" spans="1:27" x14ac:dyDescent="0.45">
      <c r="A18">
        <v>5</v>
      </c>
      <c r="B18" s="36">
        <f>step3_combined_data!S326</f>
        <v>2</v>
      </c>
      <c r="C18" s="32">
        <f t="shared" si="0"/>
        <v>3</v>
      </c>
      <c r="D18">
        <v>6</v>
      </c>
      <c r="E18" s="36">
        <f>step3_combined_data!X326</f>
        <v>2</v>
      </c>
      <c r="F18" s="32">
        <f t="shared" si="1"/>
        <v>4</v>
      </c>
      <c r="G18">
        <v>6</v>
      </c>
      <c r="H18" s="36">
        <v>1</v>
      </c>
      <c r="I18" s="32">
        <f t="shared" si="2"/>
        <v>5</v>
      </c>
      <c r="J18">
        <v>8</v>
      </c>
      <c r="K18" s="36">
        <v>4</v>
      </c>
      <c r="L18" s="32">
        <f t="shared" si="3"/>
        <v>4</v>
      </c>
      <c r="M18">
        <v>6</v>
      </c>
      <c r="N18" s="36">
        <v>1</v>
      </c>
      <c r="O18" s="32">
        <f t="shared" si="4"/>
        <v>5</v>
      </c>
      <c r="P18">
        <v>8</v>
      </c>
      <c r="Q18" s="36">
        <v>1</v>
      </c>
      <c r="R18" s="32">
        <f t="shared" si="5"/>
        <v>7</v>
      </c>
      <c r="S18">
        <v>6</v>
      </c>
      <c r="T18" s="36">
        <v>1</v>
      </c>
      <c r="U18" s="32">
        <f t="shared" si="6"/>
        <v>5</v>
      </c>
      <c r="V18">
        <v>6</v>
      </c>
      <c r="W18" s="36">
        <v>3</v>
      </c>
      <c r="X18" s="32">
        <f t="shared" si="7"/>
        <v>3</v>
      </c>
      <c r="Y18">
        <v>8</v>
      </c>
      <c r="Z18" s="36">
        <v>3</v>
      </c>
      <c r="AA18" s="32">
        <f t="shared" si="8"/>
        <v>5</v>
      </c>
    </row>
    <row r="19" spans="1:27" x14ac:dyDescent="0.45">
      <c r="A19">
        <v>5</v>
      </c>
      <c r="B19" s="36">
        <f>step3_combined_data!S335</f>
        <v>2</v>
      </c>
      <c r="C19" s="32">
        <f t="shared" si="0"/>
        <v>3</v>
      </c>
      <c r="D19">
        <v>6</v>
      </c>
      <c r="E19" s="36">
        <f>step3_combined_data!X335</f>
        <v>2</v>
      </c>
      <c r="F19" s="32">
        <f t="shared" si="1"/>
        <v>4</v>
      </c>
      <c r="G19">
        <v>6</v>
      </c>
      <c r="H19" s="36">
        <v>1</v>
      </c>
      <c r="I19" s="32">
        <f t="shared" si="2"/>
        <v>5</v>
      </c>
      <c r="J19">
        <v>8</v>
      </c>
      <c r="K19" s="36">
        <v>4</v>
      </c>
      <c r="L19" s="32">
        <f t="shared" si="3"/>
        <v>4</v>
      </c>
      <c r="M19">
        <v>6</v>
      </c>
      <c r="N19" s="36">
        <v>1</v>
      </c>
      <c r="O19" s="32">
        <f t="shared" si="4"/>
        <v>5</v>
      </c>
      <c r="P19">
        <v>8</v>
      </c>
      <c r="Q19" s="36">
        <v>1</v>
      </c>
      <c r="R19" s="32">
        <f t="shared" si="5"/>
        <v>7</v>
      </c>
      <c r="S19">
        <v>6</v>
      </c>
      <c r="T19" s="36">
        <v>1</v>
      </c>
      <c r="U19" s="32">
        <f t="shared" si="6"/>
        <v>5</v>
      </c>
      <c r="V19">
        <v>6</v>
      </c>
      <c r="W19" s="36">
        <v>3</v>
      </c>
      <c r="X19" s="32">
        <f t="shared" si="7"/>
        <v>3</v>
      </c>
      <c r="Y19">
        <v>8</v>
      </c>
      <c r="Z19" s="36">
        <v>3</v>
      </c>
      <c r="AA19" s="32">
        <f t="shared" si="8"/>
        <v>5</v>
      </c>
    </row>
    <row r="20" spans="1:27" x14ac:dyDescent="0.45">
      <c r="A20">
        <v>5</v>
      </c>
      <c r="B20" s="36">
        <f>step3_combined_data!S393</f>
        <v>2</v>
      </c>
      <c r="C20" s="32">
        <f t="shared" si="0"/>
        <v>3</v>
      </c>
      <c r="D20">
        <v>6</v>
      </c>
      <c r="E20" s="36">
        <f>step3_combined_data!X397</f>
        <v>2</v>
      </c>
      <c r="F20" s="32">
        <f t="shared" si="1"/>
        <v>4</v>
      </c>
      <c r="G20">
        <v>6</v>
      </c>
      <c r="H20" s="36">
        <v>1</v>
      </c>
      <c r="I20" s="32">
        <f t="shared" si="2"/>
        <v>5</v>
      </c>
      <c r="J20">
        <v>8</v>
      </c>
      <c r="K20" s="36">
        <v>4</v>
      </c>
      <c r="L20" s="32">
        <f t="shared" si="3"/>
        <v>4</v>
      </c>
      <c r="M20">
        <v>6</v>
      </c>
      <c r="N20" s="36">
        <v>2</v>
      </c>
      <c r="O20" s="32">
        <f t="shared" si="4"/>
        <v>4</v>
      </c>
      <c r="P20">
        <v>8</v>
      </c>
      <c r="Q20" s="36">
        <v>1</v>
      </c>
      <c r="R20" s="32">
        <f t="shared" si="5"/>
        <v>7</v>
      </c>
      <c r="S20">
        <v>6</v>
      </c>
      <c r="T20" s="36">
        <v>1</v>
      </c>
      <c r="U20" s="32">
        <f t="shared" si="6"/>
        <v>5</v>
      </c>
      <c r="V20">
        <v>6</v>
      </c>
      <c r="W20" s="36">
        <v>3</v>
      </c>
      <c r="X20" s="32">
        <f t="shared" si="7"/>
        <v>3</v>
      </c>
      <c r="Y20">
        <v>8</v>
      </c>
      <c r="Z20" s="36">
        <v>3</v>
      </c>
      <c r="AA20" s="32">
        <f t="shared" si="8"/>
        <v>5</v>
      </c>
    </row>
    <row r="21" spans="1:27" x14ac:dyDescent="0.45">
      <c r="A21">
        <v>5</v>
      </c>
      <c r="B21" s="36">
        <f>step3_combined_data!S397</f>
        <v>2</v>
      </c>
      <c r="C21" s="32">
        <f t="shared" si="0"/>
        <v>3</v>
      </c>
      <c r="D21">
        <v>6</v>
      </c>
      <c r="E21" s="36">
        <f>step3_combined_data!X12</f>
        <v>3</v>
      </c>
      <c r="F21" s="32">
        <f t="shared" si="1"/>
        <v>3</v>
      </c>
      <c r="G21">
        <v>6</v>
      </c>
      <c r="H21" s="36">
        <v>1</v>
      </c>
      <c r="I21" s="32">
        <f t="shared" si="2"/>
        <v>5</v>
      </c>
      <c r="J21">
        <v>8</v>
      </c>
      <c r="K21" s="36">
        <v>4</v>
      </c>
      <c r="L21" s="32">
        <f t="shared" si="3"/>
        <v>4</v>
      </c>
      <c r="M21">
        <v>6</v>
      </c>
      <c r="N21" s="36">
        <v>2</v>
      </c>
      <c r="O21" s="32">
        <f t="shared" si="4"/>
        <v>4</v>
      </c>
      <c r="P21">
        <v>8</v>
      </c>
      <c r="Q21" s="36">
        <v>1</v>
      </c>
      <c r="R21" s="32">
        <f t="shared" si="5"/>
        <v>7</v>
      </c>
      <c r="S21">
        <v>6</v>
      </c>
      <c r="T21" s="36">
        <v>1</v>
      </c>
      <c r="U21" s="32">
        <f t="shared" si="6"/>
        <v>5</v>
      </c>
      <c r="V21">
        <v>6</v>
      </c>
      <c r="W21" s="36">
        <v>3</v>
      </c>
      <c r="X21" s="32">
        <f t="shared" si="7"/>
        <v>3</v>
      </c>
      <c r="Y21">
        <v>8</v>
      </c>
      <c r="Z21" s="36">
        <v>3</v>
      </c>
      <c r="AA21" s="32">
        <f t="shared" si="8"/>
        <v>5</v>
      </c>
    </row>
    <row r="22" spans="1:27" x14ac:dyDescent="0.45">
      <c r="A22">
        <v>5</v>
      </c>
      <c r="B22" s="36">
        <f>step3_combined_data!S72</f>
        <v>3</v>
      </c>
      <c r="C22" s="32">
        <f t="shared" si="0"/>
        <v>2</v>
      </c>
      <c r="D22">
        <v>6</v>
      </c>
      <c r="E22" s="36">
        <f>step3_combined_data!X69</f>
        <v>3</v>
      </c>
      <c r="F22" s="32">
        <f t="shared" si="1"/>
        <v>3</v>
      </c>
      <c r="G22">
        <v>6</v>
      </c>
      <c r="H22" s="36">
        <v>1</v>
      </c>
      <c r="I22" s="32">
        <f t="shared" si="2"/>
        <v>5</v>
      </c>
      <c r="J22">
        <v>8</v>
      </c>
      <c r="K22" s="36">
        <v>4</v>
      </c>
      <c r="L22" s="32">
        <f t="shared" si="3"/>
        <v>4</v>
      </c>
      <c r="M22">
        <v>6</v>
      </c>
      <c r="N22" s="36">
        <v>2</v>
      </c>
      <c r="O22" s="32">
        <f t="shared" si="4"/>
        <v>4</v>
      </c>
      <c r="P22">
        <v>8</v>
      </c>
      <c r="Q22" s="36">
        <v>1</v>
      </c>
      <c r="R22" s="32">
        <f t="shared" si="5"/>
        <v>7</v>
      </c>
      <c r="S22">
        <v>6</v>
      </c>
      <c r="T22" s="36">
        <v>1</v>
      </c>
      <c r="U22" s="32">
        <f t="shared" si="6"/>
        <v>5</v>
      </c>
      <c r="V22">
        <v>6</v>
      </c>
      <c r="W22" s="36">
        <v>3</v>
      </c>
      <c r="X22" s="32">
        <f t="shared" si="7"/>
        <v>3</v>
      </c>
      <c r="Y22">
        <v>8</v>
      </c>
      <c r="Z22" s="36">
        <v>3</v>
      </c>
      <c r="AA22" s="32">
        <f t="shared" si="8"/>
        <v>5</v>
      </c>
    </row>
    <row r="23" spans="1:27" x14ac:dyDescent="0.45">
      <c r="A23">
        <v>5</v>
      </c>
      <c r="B23" s="36">
        <f>step3_combined_data!S163</f>
        <v>3</v>
      </c>
      <c r="C23" s="32">
        <f t="shared" si="0"/>
        <v>2</v>
      </c>
      <c r="D23">
        <v>6</v>
      </c>
      <c r="E23" s="36">
        <f>step3_combined_data!X72</f>
        <v>3</v>
      </c>
      <c r="F23" s="32">
        <f t="shared" si="1"/>
        <v>3</v>
      </c>
      <c r="G23">
        <v>6</v>
      </c>
      <c r="H23" s="36">
        <v>1</v>
      </c>
      <c r="I23" s="32">
        <f t="shared" si="2"/>
        <v>5</v>
      </c>
      <c r="J23">
        <v>8</v>
      </c>
      <c r="K23" s="36">
        <v>5</v>
      </c>
      <c r="L23" s="32">
        <f t="shared" si="3"/>
        <v>3</v>
      </c>
      <c r="M23">
        <v>6</v>
      </c>
      <c r="N23" s="36">
        <v>2</v>
      </c>
      <c r="O23" s="32">
        <f t="shared" si="4"/>
        <v>4</v>
      </c>
      <c r="P23">
        <v>8</v>
      </c>
      <c r="Q23" s="36">
        <v>1</v>
      </c>
      <c r="R23" s="32">
        <f t="shared" si="5"/>
        <v>7</v>
      </c>
      <c r="S23">
        <v>6</v>
      </c>
      <c r="T23" s="36">
        <v>1</v>
      </c>
      <c r="U23" s="32">
        <f t="shared" si="6"/>
        <v>5</v>
      </c>
      <c r="V23">
        <v>6</v>
      </c>
      <c r="W23" s="36">
        <v>3</v>
      </c>
      <c r="X23" s="32">
        <f t="shared" si="7"/>
        <v>3</v>
      </c>
      <c r="Y23">
        <v>8</v>
      </c>
      <c r="Z23" s="36">
        <v>3</v>
      </c>
      <c r="AA23" s="32">
        <f t="shared" si="8"/>
        <v>5</v>
      </c>
    </row>
    <row r="24" spans="1:27" x14ac:dyDescent="0.45">
      <c r="A24">
        <v>5</v>
      </c>
      <c r="B24" s="36">
        <f>step3_combined_data!S206</f>
        <v>3</v>
      </c>
      <c r="C24" s="32">
        <f t="shared" si="0"/>
        <v>2</v>
      </c>
      <c r="D24">
        <v>6</v>
      </c>
      <c r="E24" s="36">
        <f>step3_combined_data!X208</f>
        <v>3</v>
      </c>
      <c r="F24" s="32">
        <f t="shared" si="1"/>
        <v>3</v>
      </c>
      <c r="G24">
        <v>6</v>
      </c>
      <c r="H24" s="36">
        <v>1</v>
      </c>
      <c r="I24" s="32">
        <f t="shared" si="2"/>
        <v>5</v>
      </c>
      <c r="J24">
        <v>8</v>
      </c>
      <c r="K24" s="36">
        <v>5</v>
      </c>
      <c r="L24" s="32">
        <f t="shared" si="3"/>
        <v>3</v>
      </c>
      <c r="M24">
        <v>6</v>
      </c>
      <c r="N24" s="36">
        <v>2</v>
      </c>
      <c r="O24" s="32">
        <f t="shared" si="4"/>
        <v>4</v>
      </c>
      <c r="P24">
        <v>8</v>
      </c>
      <c r="Q24" s="36">
        <v>1</v>
      </c>
      <c r="R24" s="32">
        <f t="shared" si="5"/>
        <v>7</v>
      </c>
      <c r="S24">
        <v>6</v>
      </c>
      <c r="T24" s="36">
        <v>1</v>
      </c>
      <c r="U24" s="32">
        <f t="shared" si="6"/>
        <v>5</v>
      </c>
      <c r="V24">
        <v>6</v>
      </c>
      <c r="W24" s="36">
        <v>3</v>
      </c>
      <c r="X24" s="32">
        <f t="shared" si="7"/>
        <v>3</v>
      </c>
      <c r="Y24">
        <v>8</v>
      </c>
      <c r="Z24" s="36">
        <v>3</v>
      </c>
      <c r="AA24" s="32">
        <f t="shared" si="8"/>
        <v>5</v>
      </c>
    </row>
    <row r="25" spans="1:27" x14ac:dyDescent="0.45">
      <c r="A25">
        <v>5</v>
      </c>
      <c r="B25" s="36">
        <f>step3_combined_data!S274</f>
        <v>3</v>
      </c>
      <c r="C25" s="32">
        <f t="shared" si="0"/>
        <v>2</v>
      </c>
      <c r="D25">
        <v>6</v>
      </c>
      <c r="E25" s="36">
        <f>step3_combined_data!X255</f>
        <v>3</v>
      </c>
      <c r="F25" s="32">
        <f t="shared" si="1"/>
        <v>3</v>
      </c>
      <c r="G25">
        <v>6</v>
      </c>
      <c r="H25" s="36">
        <v>1</v>
      </c>
      <c r="I25" s="32">
        <f t="shared" si="2"/>
        <v>5</v>
      </c>
      <c r="J25">
        <v>8</v>
      </c>
      <c r="K25" s="36">
        <v>5</v>
      </c>
      <c r="L25" s="32">
        <f t="shared" si="3"/>
        <v>3</v>
      </c>
      <c r="M25">
        <v>6</v>
      </c>
      <c r="N25" s="36">
        <v>2</v>
      </c>
      <c r="O25" s="32">
        <f t="shared" si="4"/>
        <v>4</v>
      </c>
      <c r="P25">
        <v>8</v>
      </c>
      <c r="Q25" s="36">
        <v>2</v>
      </c>
      <c r="R25" s="32">
        <f t="shared" si="5"/>
        <v>6</v>
      </c>
      <c r="S25">
        <v>6</v>
      </c>
      <c r="T25" s="36">
        <v>1</v>
      </c>
      <c r="U25" s="32">
        <f t="shared" si="6"/>
        <v>5</v>
      </c>
      <c r="V25">
        <v>6</v>
      </c>
      <c r="W25" s="36">
        <v>3</v>
      </c>
      <c r="X25" s="32">
        <f t="shared" si="7"/>
        <v>3</v>
      </c>
      <c r="Y25">
        <v>8</v>
      </c>
      <c r="Z25" s="36">
        <v>4</v>
      </c>
      <c r="AA25" s="32">
        <f t="shared" si="8"/>
        <v>4</v>
      </c>
    </row>
    <row r="26" spans="1:27" x14ac:dyDescent="0.45">
      <c r="A26">
        <v>6</v>
      </c>
      <c r="B26" s="36">
        <f>step3_combined_data!S307</f>
        <v>3</v>
      </c>
      <c r="C26" s="32">
        <f t="shared" si="0"/>
        <v>3</v>
      </c>
      <c r="D26">
        <v>6</v>
      </c>
      <c r="E26" s="36">
        <f>step3_combined_data!X274</f>
        <v>3</v>
      </c>
      <c r="F26" s="32">
        <f t="shared" si="1"/>
        <v>3</v>
      </c>
      <c r="G26">
        <v>6</v>
      </c>
      <c r="H26" s="36">
        <v>1</v>
      </c>
      <c r="I26" s="32">
        <f t="shared" si="2"/>
        <v>5</v>
      </c>
      <c r="J26">
        <v>8</v>
      </c>
      <c r="K26" s="36">
        <v>5</v>
      </c>
      <c r="L26" s="32">
        <f t="shared" si="3"/>
        <v>3</v>
      </c>
      <c r="M26">
        <v>6</v>
      </c>
      <c r="N26" s="36">
        <v>3</v>
      </c>
      <c r="O26" s="32">
        <f t="shared" si="4"/>
        <v>3</v>
      </c>
      <c r="P26">
        <v>8</v>
      </c>
      <c r="Q26" s="36">
        <v>2</v>
      </c>
      <c r="R26" s="32">
        <f t="shared" si="5"/>
        <v>6</v>
      </c>
      <c r="S26">
        <v>6</v>
      </c>
      <c r="T26" s="36">
        <v>1</v>
      </c>
      <c r="U26" s="32">
        <f t="shared" si="6"/>
        <v>5</v>
      </c>
      <c r="V26">
        <v>6</v>
      </c>
      <c r="W26" s="36">
        <v>3</v>
      </c>
      <c r="X26" s="32">
        <f t="shared" si="7"/>
        <v>3</v>
      </c>
      <c r="Y26">
        <v>8</v>
      </c>
      <c r="Z26" s="36">
        <v>4</v>
      </c>
      <c r="AA26" s="32">
        <f t="shared" si="8"/>
        <v>4</v>
      </c>
    </row>
    <row r="27" spans="1:27" x14ac:dyDescent="0.45">
      <c r="A27">
        <v>6</v>
      </c>
      <c r="B27" s="36">
        <f>step3_combined_data!S331</f>
        <v>3</v>
      </c>
      <c r="C27" s="32">
        <f t="shared" si="0"/>
        <v>3</v>
      </c>
      <c r="D27">
        <v>6</v>
      </c>
      <c r="E27" s="36">
        <f>step3_combined_data!X331</f>
        <v>3</v>
      </c>
      <c r="F27" s="32">
        <f t="shared" si="1"/>
        <v>3</v>
      </c>
      <c r="G27">
        <v>6</v>
      </c>
      <c r="H27">
        <v>1</v>
      </c>
      <c r="I27" s="32">
        <f t="shared" si="2"/>
        <v>5</v>
      </c>
      <c r="J27">
        <v>8</v>
      </c>
      <c r="K27">
        <v>5</v>
      </c>
      <c r="L27" s="32">
        <f t="shared" si="3"/>
        <v>3</v>
      </c>
      <c r="M27">
        <v>6</v>
      </c>
      <c r="N27">
        <v>3</v>
      </c>
      <c r="O27" s="32">
        <f t="shared" si="4"/>
        <v>3</v>
      </c>
      <c r="P27">
        <v>8</v>
      </c>
      <c r="Q27">
        <v>2</v>
      </c>
      <c r="R27" s="32">
        <f t="shared" si="5"/>
        <v>6</v>
      </c>
      <c r="S27">
        <v>6</v>
      </c>
      <c r="T27">
        <v>1</v>
      </c>
      <c r="U27" s="32">
        <f t="shared" si="6"/>
        <v>5</v>
      </c>
      <c r="V27">
        <v>6</v>
      </c>
      <c r="W27">
        <v>3</v>
      </c>
      <c r="X27" s="32">
        <f t="shared" si="7"/>
        <v>3</v>
      </c>
      <c r="Y27">
        <v>8</v>
      </c>
      <c r="Z27">
        <v>4</v>
      </c>
      <c r="AA27" s="32">
        <f t="shared" si="8"/>
        <v>4</v>
      </c>
    </row>
    <row r="28" spans="1:27" x14ac:dyDescent="0.45">
      <c r="A28">
        <v>6</v>
      </c>
      <c r="B28" s="36">
        <f>step3_combined_data!S363</f>
        <v>3</v>
      </c>
      <c r="C28" s="32">
        <f t="shared" si="0"/>
        <v>3</v>
      </c>
      <c r="D28">
        <v>6</v>
      </c>
      <c r="E28" s="36">
        <f>step3_combined_data!X363</f>
        <v>3</v>
      </c>
      <c r="F28" s="32">
        <f t="shared" si="1"/>
        <v>3</v>
      </c>
      <c r="G28">
        <v>6</v>
      </c>
      <c r="H28">
        <v>1</v>
      </c>
      <c r="I28" s="32">
        <f t="shared" si="2"/>
        <v>5</v>
      </c>
      <c r="J28">
        <v>8</v>
      </c>
      <c r="K28">
        <v>5</v>
      </c>
      <c r="L28" s="32">
        <f t="shared" si="3"/>
        <v>3</v>
      </c>
      <c r="M28">
        <v>6</v>
      </c>
      <c r="N28">
        <v>3</v>
      </c>
      <c r="O28" s="32">
        <f t="shared" si="4"/>
        <v>3</v>
      </c>
      <c r="P28">
        <v>8</v>
      </c>
      <c r="Q28">
        <v>2</v>
      </c>
      <c r="R28" s="32">
        <f t="shared" si="5"/>
        <v>6</v>
      </c>
      <c r="S28">
        <v>6</v>
      </c>
      <c r="T28">
        <v>1</v>
      </c>
      <c r="U28" s="32">
        <f t="shared" si="6"/>
        <v>5</v>
      </c>
      <c r="V28">
        <v>6</v>
      </c>
      <c r="W28">
        <v>3</v>
      </c>
      <c r="X28" s="32">
        <f t="shared" si="7"/>
        <v>3</v>
      </c>
      <c r="Y28">
        <v>8</v>
      </c>
      <c r="Z28">
        <v>4</v>
      </c>
      <c r="AA28" s="32">
        <f t="shared" si="8"/>
        <v>4</v>
      </c>
    </row>
    <row r="29" spans="1:27" x14ac:dyDescent="0.45">
      <c r="A29">
        <v>6</v>
      </c>
      <c r="B29" s="36">
        <f>step3_combined_data!S386</f>
        <v>3</v>
      </c>
      <c r="C29" s="32">
        <f t="shared" si="0"/>
        <v>3</v>
      </c>
      <c r="D29">
        <v>6</v>
      </c>
      <c r="E29" s="36">
        <f>step3_combined_data!X386</f>
        <v>3</v>
      </c>
      <c r="F29" s="32">
        <f t="shared" si="1"/>
        <v>3</v>
      </c>
      <c r="G29">
        <v>6</v>
      </c>
      <c r="H29">
        <v>1</v>
      </c>
      <c r="I29" s="32">
        <f t="shared" si="2"/>
        <v>5</v>
      </c>
      <c r="J29">
        <v>8</v>
      </c>
      <c r="K29">
        <v>5</v>
      </c>
      <c r="L29" s="32">
        <f t="shared" si="3"/>
        <v>3</v>
      </c>
      <c r="M29">
        <v>6</v>
      </c>
      <c r="N29">
        <v>3</v>
      </c>
      <c r="O29" s="32">
        <f t="shared" si="4"/>
        <v>3</v>
      </c>
      <c r="P29">
        <v>8</v>
      </c>
      <c r="Q29">
        <v>2</v>
      </c>
      <c r="R29" s="32">
        <f t="shared" si="5"/>
        <v>6</v>
      </c>
      <c r="S29">
        <v>6</v>
      </c>
      <c r="T29">
        <v>1</v>
      </c>
      <c r="U29" s="32">
        <f t="shared" si="6"/>
        <v>5</v>
      </c>
      <c r="V29">
        <v>6</v>
      </c>
      <c r="W29">
        <v>3</v>
      </c>
      <c r="X29" s="32">
        <f t="shared" si="7"/>
        <v>3</v>
      </c>
      <c r="Y29">
        <v>8</v>
      </c>
      <c r="Z29">
        <v>4</v>
      </c>
      <c r="AA29" s="32">
        <f t="shared" si="8"/>
        <v>4</v>
      </c>
    </row>
    <row r="30" spans="1:27" x14ac:dyDescent="0.45">
      <c r="A30">
        <v>6</v>
      </c>
      <c r="B30" s="36">
        <f>step3_combined_data!S69</f>
        <v>4</v>
      </c>
      <c r="C30" s="32">
        <f t="shared" si="0"/>
        <v>2</v>
      </c>
      <c r="D30">
        <v>6</v>
      </c>
      <c r="E30" s="36">
        <f>step3_combined_data!X393</f>
        <v>3</v>
      </c>
      <c r="F30" s="32">
        <f t="shared" si="1"/>
        <v>3</v>
      </c>
      <c r="G30">
        <v>6</v>
      </c>
      <c r="H30">
        <v>1</v>
      </c>
      <c r="I30" s="32">
        <f t="shared" si="2"/>
        <v>5</v>
      </c>
      <c r="J30">
        <v>8</v>
      </c>
      <c r="K30">
        <v>5</v>
      </c>
      <c r="L30" s="32">
        <f t="shared" si="3"/>
        <v>3</v>
      </c>
      <c r="M30">
        <v>6</v>
      </c>
      <c r="N30">
        <v>3</v>
      </c>
      <c r="O30" s="32">
        <f t="shared" si="4"/>
        <v>3</v>
      </c>
      <c r="P30">
        <v>8</v>
      </c>
      <c r="Q30">
        <v>2</v>
      </c>
      <c r="R30" s="32">
        <f t="shared" si="5"/>
        <v>6</v>
      </c>
      <c r="S30">
        <v>6</v>
      </c>
      <c r="T30">
        <v>1</v>
      </c>
      <c r="U30" s="32">
        <f t="shared" si="6"/>
        <v>5</v>
      </c>
      <c r="V30">
        <v>6</v>
      </c>
      <c r="W30">
        <v>3</v>
      </c>
      <c r="X30" s="32">
        <f t="shared" si="7"/>
        <v>3</v>
      </c>
      <c r="Y30">
        <v>8</v>
      </c>
      <c r="Z30">
        <v>4</v>
      </c>
      <c r="AA30" s="32">
        <f t="shared" si="8"/>
        <v>4</v>
      </c>
    </row>
    <row r="31" spans="1:27" x14ac:dyDescent="0.45">
      <c r="A31">
        <v>6</v>
      </c>
      <c r="B31" s="36">
        <f>step3_combined_data!S96</f>
        <v>4</v>
      </c>
      <c r="C31" s="32">
        <f t="shared" si="0"/>
        <v>2</v>
      </c>
      <c r="D31">
        <v>6</v>
      </c>
      <c r="E31" s="36">
        <f>step3_combined_data!X8</f>
        <v>4</v>
      </c>
      <c r="F31" s="32">
        <f t="shared" si="1"/>
        <v>2</v>
      </c>
      <c r="G31">
        <v>6</v>
      </c>
      <c r="H31">
        <v>2</v>
      </c>
      <c r="I31" s="32">
        <f t="shared" si="2"/>
        <v>4</v>
      </c>
      <c r="J31">
        <v>8</v>
      </c>
      <c r="K31">
        <v>5</v>
      </c>
      <c r="L31" s="32">
        <f t="shared" si="3"/>
        <v>3</v>
      </c>
      <c r="M31">
        <v>6</v>
      </c>
      <c r="N31">
        <v>3</v>
      </c>
      <c r="O31" s="32">
        <f t="shared" si="4"/>
        <v>3</v>
      </c>
      <c r="P31">
        <v>8</v>
      </c>
      <c r="Q31">
        <v>2</v>
      </c>
      <c r="R31" s="32">
        <f t="shared" si="5"/>
        <v>6</v>
      </c>
      <c r="S31">
        <v>6</v>
      </c>
      <c r="T31">
        <v>1</v>
      </c>
      <c r="U31" s="32">
        <f t="shared" si="6"/>
        <v>5</v>
      </c>
      <c r="V31">
        <v>6</v>
      </c>
      <c r="W31">
        <v>3</v>
      </c>
      <c r="X31" s="32">
        <f t="shared" si="7"/>
        <v>3</v>
      </c>
      <c r="Y31">
        <v>8</v>
      </c>
      <c r="Z31">
        <v>4</v>
      </c>
      <c r="AA31" s="32">
        <f t="shared" si="8"/>
        <v>4</v>
      </c>
    </row>
    <row r="32" spans="1:27" x14ac:dyDescent="0.45">
      <c r="A32">
        <v>6</v>
      </c>
      <c r="B32" s="36">
        <f>step3_combined_data!S119</f>
        <v>4</v>
      </c>
      <c r="C32" s="32">
        <f t="shared" si="0"/>
        <v>2</v>
      </c>
      <c r="D32">
        <v>6</v>
      </c>
      <c r="E32" s="36">
        <f>step3_combined_data!X123</f>
        <v>4</v>
      </c>
      <c r="F32" s="32">
        <f t="shared" si="1"/>
        <v>2</v>
      </c>
      <c r="G32">
        <v>6</v>
      </c>
      <c r="H32">
        <v>2</v>
      </c>
      <c r="I32" s="32">
        <f t="shared" si="2"/>
        <v>4</v>
      </c>
      <c r="J32">
        <v>8</v>
      </c>
      <c r="K32">
        <v>5</v>
      </c>
      <c r="L32" s="32">
        <f t="shared" si="3"/>
        <v>3</v>
      </c>
      <c r="M32">
        <v>6</v>
      </c>
      <c r="N32">
        <v>3</v>
      </c>
      <c r="O32" s="32">
        <f t="shared" si="4"/>
        <v>3</v>
      </c>
      <c r="P32">
        <v>8</v>
      </c>
      <c r="Q32">
        <v>2</v>
      </c>
      <c r="R32" s="32">
        <f t="shared" si="5"/>
        <v>6</v>
      </c>
      <c r="S32">
        <v>6</v>
      </c>
      <c r="T32">
        <v>1</v>
      </c>
      <c r="U32" s="32">
        <f t="shared" si="6"/>
        <v>5</v>
      </c>
      <c r="V32">
        <v>6</v>
      </c>
      <c r="W32">
        <v>3</v>
      </c>
      <c r="X32" s="32">
        <f t="shared" si="7"/>
        <v>3</v>
      </c>
      <c r="Y32">
        <v>8</v>
      </c>
      <c r="Z32">
        <v>4</v>
      </c>
      <c r="AA32" s="32">
        <f t="shared" si="8"/>
        <v>4</v>
      </c>
    </row>
    <row r="33" spans="1:27" x14ac:dyDescent="0.45">
      <c r="A33">
        <v>6</v>
      </c>
      <c r="B33" s="36">
        <f>step3_combined_data!S123</f>
        <v>4</v>
      </c>
      <c r="C33" s="32">
        <f t="shared" si="0"/>
        <v>2</v>
      </c>
      <c r="D33">
        <v>6</v>
      </c>
      <c r="E33" s="36">
        <f>step3_combined_data!X140</f>
        <v>4</v>
      </c>
      <c r="F33" s="32">
        <f t="shared" si="1"/>
        <v>2</v>
      </c>
      <c r="G33">
        <v>6</v>
      </c>
      <c r="H33">
        <v>2</v>
      </c>
      <c r="I33" s="32">
        <f t="shared" si="2"/>
        <v>4</v>
      </c>
      <c r="J33">
        <v>8</v>
      </c>
      <c r="K33">
        <v>5</v>
      </c>
      <c r="L33" s="32">
        <f t="shared" si="3"/>
        <v>3</v>
      </c>
      <c r="M33">
        <v>6</v>
      </c>
      <c r="N33">
        <v>3</v>
      </c>
      <c r="O33" s="32">
        <f t="shared" si="4"/>
        <v>3</v>
      </c>
      <c r="P33">
        <v>8</v>
      </c>
      <c r="Q33">
        <v>3</v>
      </c>
      <c r="R33" s="32">
        <f t="shared" si="5"/>
        <v>5</v>
      </c>
      <c r="S33">
        <v>6</v>
      </c>
      <c r="T33">
        <v>1</v>
      </c>
      <c r="U33" s="32">
        <f t="shared" si="6"/>
        <v>5</v>
      </c>
      <c r="V33">
        <v>6</v>
      </c>
      <c r="W33">
        <v>4</v>
      </c>
      <c r="X33" s="32">
        <f t="shared" si="7"/>
        <v>2</v>
      </c>
      <c r="Y33">
        <v>8</v>
      </c>
      <c r="Z33">
        <v>4</v>
      </c>
      <c r="AA33" s="32">
        <f t="shared" si="8"/>
        <v>4</v>
      </c>
    </row>
    <row r="34" spans="1:27" x14ac:dyDescent="0.45">
      <c r="A34">
        <v>6</v>
      </c>
      <c r="B34" s="36">
        <f>step3_combined_data!S176</f>
        <v>4</v>
      </c>
      <c r="C34" s="32">
        <f t="shared" si="0"/>
        <v>2</v>
      </c>
      <c r="D34">
        <v>6</v>
      </c>
      <c r="E34" s="36">
        <f>step3_combined_data!X177</f>
        <v>4</v>
      </c>
      <c r="F34" s="32">
        <f t="shared" si="1"/>
        <v>2</v>
      </c>
      <c r="G34">
        <v>6</v>
      </c>
      <c r="H34">
        <v>2</v>
      </c>
      <c r="I34" s="32">
        <f t="shared" si="2"/>
        <v>4</v>
      </c>
      <c r="J34">
        <v>8</v>
      </c>
      <c r="K34">
        <v>5</v>
      </c>
      <c r="L34" s="32">
        <f t="shared" si="3"/>
        <v>3</v>
      </c>
      <c r="M34">
        <v>6</v>
      </c>
      <c r="N34">
        <v>3</v>
      </c>
      <c r="O34" s="32">
        <f t="shared" si="4"/>
        <v>3</v>
      </c>
      <c r="P34">
        <v>8</v>
      </c>
      <c r="Q34">
        <v>3</v>
      </c>
      <c r="R34" s="32">
        <f t="shared" si="5"/>
        <v>5</v>
      </c>
      <c r="S34">
        <v>6</v>
      </c>
      <c r="T34">
        <v>1</v>
      </c>
      <c r="U34" s="32">
        <f t="shared" si="6"/>
        <v>5</v>
      </c>
      <c r="V34">
        <v>6</v>
      </c>
      <c r="W34">
        <v>4</v>
      </c>
      <c r="X34" s="32">
        <f t="shared" si="7"/>
        <v>2</v>
      </c>
      <c r="Y34">
        <v>8</v>
      </c>
      <c r="Z34">
        <v>4</v>
      </c>
      <c r="AA34" s="32">
        <f t="shared" si="8"/>
        <v>4</v>
      </c>
    </row>
    <row r="35" spans="1:27" x14ac:dyDescent="0.45">
      <c r="A35">
        <v>6</v>
      </c>
      <c r="B35" s="36">
        <f>step3_combined_data!S178</f>
        <v>4</v>
      </c>
      <c r="C35" s="32">
        <f t="shared" si="0"/>
        <v>2</v>
      </c>
      <c r="D35">
        <v>6</v>
      </c>
      <c r="E35" s="36">
        <f>step3_combined_data!X178</f>
        <v>4</v>
      </c>
      <c r="F35" s="32">
        <f t="shared" si="1"/>
        <v>2</v>
      </c>
      <c r="G35">
        <v>6</v>
      </c>
      <c r="H35">
        <v>2</v>
      </c>
      <c r="I35" s="32">
        <f t="shared" si="2"/>
        <v>4</v>
      </c>
      <c r="J35">
        <v>8</v>
      </c>
      <c r="K35">
        <v>5</v>
      </c>
      <c r="L35" s="32">
        <f t="shared" si="3"/>
        <v>3</v>
      </c>
      <c r="M35">
        <v>6</v>
      </c>
      <c r="N35">
        <v>3</v>
      </c>
      <c r="O35" s="32">
        <f t="shared" si="4"/>
        <v>3</v>
      </c>
      <c r="P35">
        <v>8</v>
      </c>
      <c r="Q35">
        <v>3</v>
      </c>
      <c r="R35" s="32">
        <f t="shared" si="5"/>
        <v>5</v>
      </c>
      <c r="S35">
        <v>6</v>
      </c>
      <c r="T35">
        <v>1</v>
      </c>
      <c r="U35" s="32">
        <f t="shared" si="6"/>
        <v>5</v>
      </c>
      <c r="V35">
        <v>6</v>
      </c>
      <c r="W35">
        <v>4</v>
      </c>
      <c r="X35" s="32">
        <f t="shared" si="7"/>
        <v>2</v>
      </c>
      <c r="Y35">
        <v>8</v>
      </c>
      <c r="Z35">
        <v>4</v>
      </c>
      <c r="AA35" s="32">
        <f t="shared" si="8"/>
        <v>4</v>
      </c>
    </row>
    <row r="36" spans="1:27" x14ac:dyDescent="0.45">
      <c r="A36">
        <v>6</v>
      </c>
      <c r="B36" s="36">
        <f>step3_combined_data!S201</f>
        <v>4</v>
      </c>
      <c r="C36" s="32">
        <f t="shared" si="0"/>
        <v>2</v>
      </c>
      <c r="D36">
        <v>6</v>
      </c>
      <c r="E36" s="36">
        <f>step3_combined_data!X201</f>
        <v>4</v>
      </c>
      <c r="F36" s="32">
        <f t="shared" si="1"/>
        <v>2</v>
      </c>
      <c r="G36">
        <v>6</v>
      </c>
      <c r="H36">
        <v>2</v>
      </c>
      <c r="I36" s="32">
        <f t="shared" si="2"/>
        <v>4</v>
      </c>
      <c r="J36">
        <v>8</v>
      </c>
      <c r="K36">
        <v>5</v>
      </c>
      <c r="L36" s="32">
        <f t="shared" si="3"/>
        <v>3</v>
      </c>
      <c r="M36">
        <v>7</v>
      </c>
      <c r="N36">
        <v>3</v>
      </c>
      <c r="O36" s="32">
        <f t="shared" si="4"/>
        <v>4</v>
      </c>
      <c r="P36">
        <v>8</v>
      </c>
      <c r="Q36">
        <v>3</v>
      </c>
      <c r="R36" s="32">
        <f t="shared" si="5"/>
        <v>5</v>
      </c>
      <c r="S36">
        <v>6</v>
      </c>
      <c r="T36">
        <v>1</v>
      </c>
      <c r="U36" s="32">
        <f t="shared" si="6"/>
        <v>5</v>
      </c>
      <c r="V36">
        <v>6</v>
      </c>
      <c r="W36">
        <v>4</v>
      </c>
      <c r="X36" s="32">
        <f t="shared" si="7"/>
        <v>2</v>
      </c>
      <c r="Y36">
        <v>8</v>
      </c>
      <c r="Z36">
        <v>4</v>
      </c>
      <c r="AA36" s="32">
        <f t="shared" si="8"/>
        <v>4</v>
      </c>
    </row>
    <row r="37" spans="1:27" x14ac:dyDescent="0.45">
      <c r="A37">
        <v>6</v>
      </c>
      <c r="B37" s="36">
        <f>step3_combined_data!S208</f>
        <v>4</v>
      </c>
      <c r="C37" s="32">
        <f t="shared" si="0"/>
        <v>2</v>
      </c>
      <c r="D37">
        <v>6</v>
      </c>
      <c r="E37" s="36">
        <f>step3_combined_data!X222</f>
        <v>4</v>
      </c>
      <c r="F37" s="32">
        <f t="shared" si="1"/>
        <v>2</v>
      </c>
      <c r="G37">
        <v>6</v>
      </c>
      <c r="H37">
        <v>2</v>
      </c>
      <c r="I37" s="32">
        <f t="shared" si="2"/>
        <v>4</v>
      </c>
      <c r="J37">
        <v>8</v>
      </c>
      <c r="K37">
        <v>5</v>
      </c>
      <c r="L37" s="32">
        <f t="shared" si="3"/>
        <v>3</v>
      </c>
      <c r="M37">
        <v>7</v>
      </c>
      <c r="N37">
        <v>3</v>
      </c>
      <c r="O37" s="32">
        <f t="shared" si="4"/>
        <v>4</v>
      </c>
      <c r="P37">
        <v>8</v>
      </c>
      <c r="Q37">
        <v>3</v>
      </c>
      <c r="R37" s="32">
        <f t="shared" si="5"/>
        <v>5</v>
      </c>
      <c r="S37">
        <v>6</v>
      </c>
      <c r="T37">
        <v>2</v>
      </c>
      <c r="U37" s="32">
        <f t="shared" si="6"/>
        <v>4</v>
      </c>
      <c r="V37">
        <v>6</v>
      </c>
      <c r="W37">
        <v>4</v>
      </c>
      <c r="X37" s="32">
        <f t="shared" si="7"/>
        <v>2</v>
      </c>
      <c r="Y37">
        <v>8</v>
      </c>
      <c r="Z37">
        <v>5</v>
      </c>
      <c r="AA37" s="32">
        <f t="shared" si="8"/>
        <v>3</v>
      </c>
    </row>
    <row r="38" spans="1:27" x14ac:dyDescent="0.45">
      <c r="A38">
        <v>6</v>
      </c>
      <c r="B38" s="36">
        <f>step3_combined_data!S222</f>
        <v>4</v>
      </c>
      <c r="C38" s="32">
        <f t="shared" si="0"/>
        <v>2</v>
      </c>
      <c r="D38">
        <v>6</v>
      </c>
      <c r="E38" s="36">
        <f>step3_combined_data!X235</f>
        <v>4</v>
      </c>
      <c r="F38" s="32">
        <f t="shared" si="1"/>
        <v>2</v>
      </c>
      <c r="G38">
        <v>6</v>
      </c>
      <c r="H38">
        <v>2</v>
      </c>
      <c r="I38" s="32">
        <f t="shared" si="2"/>
        <v>4</v>
      </c>
      <c r="J38">
        <v>8</v>
      </c>
      <c r="K38">
        <v>5</v>
      </c>
      <c r="L38" s="32">
        <f t="shared" si="3"/>
        <v>3</v>
      </c>
      <c r="M38">
        <v>7</v>
      </c>
      <c r="N38">
        <v>3</v>
      </c>
      <c r="O38" s="32">
        <f t="shared" si="4"/>
        <v>4</v>
      </c>
      <c r="P38">
        <v>8</v>
      </c>
      <c r="Q38">
        <v>3</v>
      </c>
      <c r="R38" s="32">
        <f t="shared" si="5"/>
        <v>5</v>
      </c>
      <c r="S38">
        <v>6</v>
      </c>
      <c r="T38">
        <v>2</v>
      </c>
      <c r="U38" s="32">
        <f t="shared" si="6"/>
        <v>4</v>
      </c>
      <c r="V38">
        <v>6</v>
      </c>
      <c r="W38">
        <v>4</v>
      </c>
      <c r="X38" s="32">
        <f t="shared" si="7"/>
        <v>2</v>
      </c>
      <c r="Y38">
        <v>8</v>
      </c>
      <c r="Z38">
        <v>5</v>
      </c>
      <c r="AA38" s="32">
        <f t="shared" si="8"/>
        <v>3</v>
      </c>
    </row>
    <row r="39" spans="1:27" x14ac:dyDescent="0.45">
      <c r="A39">
        <v>6</v>
      </c>
      <c r="B39" s="36">
        <f>step3_combined_data!S223</f>
        <v>4</v>
      </c>
      <c r="C39" s="32">
        <f t="shared" si="0"/>
        <v>2</v>
      </c>
      <c r="D39">
        <v>6</v>
      </c>
      <c r="E39" s="36">
        <f>step3_combined_data!X246</f>
        <v>4</v>
      </c>
      <c r="F39" s="32">
        <f t="shared" si="1"/>
        <v>2</v>
      </c>
      <c r="G39">
        <v>7</v>
      </c>
      <c r="H39">
        <v>2</v>
      </c>
      <c r="I39" s="32">
        <f t="shared" si="2"/>
        <v>5</v>
      </c>
      <c r="J39">
        <v>8</v>
      </c>
      <c r="K39">
        <v>5</v>
      </c>
      <c r="L39" s="32">
        <f t="shared" si="3"/>
        <v>3</v>
      </c>
      <c r="M39">
        <v>7</v>
      </c>
      <c r="N39">
        <v>3</v>
      </c>
      <c r="O39" s="32">
        <f t="shared" si="4"/>
        <v>4</v>
      </c>
      <c r="P39">
        <v>8</v>
      </c>
      <c r="Q39">
        <v>3</v>
      </c>
      <c r="R39" s="32">
        <f t="shared" si="5"/>
        <v>5</v>
      </c>
      <c r="S39">
        <v>6</v>
      </c>
      <c r="T39">
        <v>2</v>
      </c>
      <c r="U39" s="32">
        <f t="shared" si="6"/>
        <v>4</v>
      </c>
      <c r="V39">
        <v>6</v>
      </c>
      <c r="W39">
        <v>4</v>
      </c>
      <c r="X39" s="32">
        <f t="shared" si="7"/>
        <v>2</v>
      </c>
      <c r="Y39">
        <v>8</v>
      </c>
      <c r="Z39">
        <v>5</v>
      </c>
      <c r="AA39" s="32">
        <f t="shared" si="8"/>
        <v>3</v>
      </c>
    </row>
    <row r="40" spans="1:27" x14ac:dyDescent="0.45">
      <c r="A40">
        <v>6</v>
      </c>
      <c r="B40" s="36">
        <f>step3_combined_data!S231</f>
        <v>4</v>
      </c>
      <c r="C40" s="32">
        <f t="shared" si="0"/>
        <v>2</v>
      </c>
      <c r="D40">
        <v>6</v>
      </c>
      <c r="E40" s="36">
        <f>step3_combined_data!X281</f>
        <v>4</v>
      </c>
      <c r="F40" s="32">
        <f t="shared" si="1"/>
        <v>2</v>
      </c>
      <c r="G40">
        <v>7</v>
      </c>
      <c r="H40">
        <v>2</v>
      </c>
      <c r="I40" s="32">
        <f t="shared" si="2"/>
        <v>5</v>
      </c>
      <c r="J40">
        <v>8</v>
      </c>
      <c r="K40">
        <v>5</v>
      </c>
      <c r="L40" s="32">
        <f t="shared" si="3"/>
        <v>3</v>
      </c>
      <c r="M40">
        <v>7</v>
      </c>
      <c r="N40">
        <v>3</v>
      </c>
      <c r="O40" s="32">
        <f t="shared" si="4"/>
        <v>4</v>
      </c>
      <c r="P40">
        <v>8</v>
      </c>
      <c r="Q40">
        <v>3</v>
      </c>
      <c r="R40" s="32">
        <f t="shared" si="5"/>
        <v>5</v>
      </c>
      <c r="S40">
        <v>6</v>
      </c>
      <c r="T40">
        <v>2</v>
      </c>
      <c r="U40" s="32">
        <f t="shared" si="6"/>
        <v>4</v>
      </c>
      <c r="V40">
        <v>6</v>
      </c>
      <c r="W40">
        <v>4</v>
      </c>
      <c r="X40" s="32">
        <f t="shared" si="7"/>
        <v>2</v>
      </c>
      <c r="Y40">
        <v>8</v>
      </c>
      <c r="Z40">
        <v>5</v>
      </c>
      <c r="AA40" s="32">
        <f t="shared" si="8"/>
        <v>3</v>
      </c>
    </row>
    <row r="41" spans="1:27" x14ac:dyDescent="0.45">
      <c r="A41">
        <v>6</v>
      </c>
      <c r="B41" s="36">
        <f>step3_combined_data!S235</f>
        <v>4</v>
      </c>
      <c r="C41" s="32">
        <f t="shared" si="0"/>
        <v>2</v>
      </c>
      <c r="D41">
        <v>6</v>
      </c>
      <c r="E41" s="36">
        <f>step3_combined_data!X287</f>
        <v>4</v>
      </c>
      <c r="F41" s="32">
        <f t="shared" si="1"/>
        <v>2</v>
      </c>
      <c r="G41">
        <v>7</v>
      </c>
      <c r="H41">
        <v>2</v>
      </c>
      <c r="I41" s="32">
        <f t="shared" si="2"/>
        <v>5</v>
      </c>
      <c r="J41">
        <v>8</v>
      </c>
      <c r="K41">
        <v>5</v>
      </c>
      <c r="L41" s="32">
        <f t="shared" si="3"/>
        <v>3</v>
      </c>
      <c r="M41">
        <v>7</v>
      </c>
      <c r="N41">
        <v>3</v>
      </c>
      <c r="O41" s="32">
        <f t="shared" si="4"/>
        <v>4</v>
      </c>
      <c r="P41">
        <v>8</v>
      </c>
      <c r="Q41">
        <v>3</v>
      </c>
      <c r="R41" s="32">
        <f t="shared" si="5"/>
        <v>5</v>
      </c>
      <c r="S41">
        <v>7</v>
      </c>
      <c r="T41">
        <v>2</v>
      </c>
      <c r="U41" s="32">
        <f t="shared" si="6"/>
        <v>5</v>
      </c>
      <c r="V41">
        <v>6</v>
      </c>
      <c r="W41">
        <v>4</v>
      </c>
      <c r="X41" s="32">
        <f t="shared" si="7"/>
        <v>2</v>
      </c>
      <c r="Y41">
        <v>8</v>
      </c>
      <c r="Z41">
        <v>5</v>
      </c>
      <c r="AA41" s="32">
        <f t="shared" si="8"/>
        <v>3</v>
      </c>
    </row>
    <row r="42" spans="1:27" x14ac:dyDescent="0.45">
      <c r="A42">
        <v>6</v>
      </c>
      <c r="B42" s="36">
        <f>step3_combined_data!S246</f>
        <v>4</v>
      </c>
      <c r="C42" s="32">
        <f t="shared" si="0"/>
        <v>2</v>
      </c>
      <c r="D42">
        <v>6</v>
      </c>
      <c r="E42" s="36">
        <f>step3_combined_data!X319</f>
        <v>4</v>
      </c>
      <c r="F42" s="32">
        <f t="shared" si="1"/>
        <v>2</v>
      </c>
      <c r="G42">
        <v>7</v>
      </c>
      <c r="H42">
        <v>3</v>
      </c>
      <c r="I42" s="32">
        <f t="shared" si="2"/>
        <v>4</v>
      </c>
      <c r="J42">
        <v>8</v>
      </c>
      <c r="K42">
        <v>5</v>
      </c>
      <c r="L42" s="32">
        <f t="shared" si="3"/>
        <v>3</v>
      </c>
      <c r="M42">
        <v>7</v>
      </c>
      <c r="N42">
        <v>4</v>
      </c>
      <c r="O42" s="32">
        <f t="shared" si="4"/>
        <v>3</v>
      </c>
      <c r="P42">
        <v>8</v>
      </c>
      <c r="Q42">
        <v>3</v>
      </c>
      <c r="R42" s="32">
        <f t="shared" si="5"/>
        <v>5</v>
      </c>
      <c r="S42">
        <v>7</v>
      </c>
      <c r="T42">
        <v>2</v>
      </c>
      <c r="U42" s="32">
        <f t="shared" si="6"/>
        <v>5</v>
      </c>
      <c r="V42">
        <v>6</v>
      </c>
      <c r="W42">
        <v>4</v>
      </c>
      <c r="X42" s="32">
        <f t="shared" si="7"/>
        <v>2</v>
      </c>
      <c r="Y42">
        <v>8</v>
      </c>
      <c r="Z42">
        <v>5</v>
      </c>
      <c r="AA42" s="32">
        <f t="shared" si="8"/>
        <v>3</v>
      </c>
    </row>
    <row r="43" spans="1:27" x14ac:dyDescent="0.45">
      <c r="A43">
        <v>6</v>
      </c>
      <c r="B43" s="36">
        <f>step3_combined_data!S255</f>
        <v>4</v>
      </c>
      <c r="C43" s="32">
        <f t="shared" si="0"/>
        <v>2</v>
      </c>
      <c r="D43">
        <v>6</v>
      </c>
      <c r="E43" s="36">
        <f>step3_combined_data!X332</f>
        <v>4</v>
      </c>
      <c r="F43" s="32">
        <f t="shared" si="1"/>
        <v>2</v>
      </c>
      <c r="G43">
        <v>7</v>
      </c>
      <c r="H43">
        <v>3</v>
      </c>
      <c r="I43" s="32">
        <f t="shared" si="2"/>
        <v>4</v>
      </c>
      <c r="J43">
        <v>8</v>
      </c>
      <c r="K43">
        <v>5</v>
      </c>
      <c r="L43" s="32">
        <f t="shared" si="3"/>
        <v>3</v>
      </c>
      <c r="M43">
        <v>7</v>
      </c>
      <c r="N43">
        <v>4</v>
      </c>
      <c r="O43" s="32">
        <f t="shared" si="4"/>
        <v>3</v>
      </c>
      <c r="P43">
        <v>8</v>
      </c>
      <c r="Q43">
        <v>3</v>
      </c>
      <c r="R43" s="32">
        <f t="shared" si="5"/>
        <v>5</v>
      </c>
      <c r="S43">
        <v>7</v>
      </c>
      <c r="T43">
        <v>2</v>
      </c>
      <c r="U43" s="32">
        <f t="shared" si="6"/>
        <v>5</v>
      </c>
      <c r="V43">
        <v>6</v>
      </c>
      <c r="W43">
        <v>4</v>
      </c>
      <c r="X43" s="32">
        <f t="shared" si="7"/>
        <v>2</v>
      </c>
      <c r="Y43">
        <v>8</v>
      </c>
      <c r="Z43">
        <v>5</v>
      </c>
      <c r="AA43" s="32">
        <f t="shared" si="8"/>
        <v>3</v>
      </c>
    </row>
    <row r="44" spans="1:27" x14ac:dyDescent="0.45">
      <c r="A44">
        <v>6</v>
      </c>
      <c r="B44" s="36">
        <f>step3_combined_data!S270</f>
        <v>4</v>
      </c>
      <c r="C44" s="32">
        <f t="shared" si="0"/>
        <v>2</v>
      </c>
      <c r="D44">
        <v>6</v>
      </c>
      <c r="E44" s="36">
        <f>step3_combined_data!X350</f>
        <v>4</v>
      </c>
      <c r="F44" s="32">
        <f t="shared" si="1"/>
        <v>2</v>
      </c>
      <c r="G44">
        <v>7</v>
      </c>
      <c r="H44">
        <v>3</v>
      </c>
      <c r="I44" s="32">
        <f t="shared" si="2"/>
        <v>4</v>
      </c>
      <c r="J44">
        <v>8</v>
      </c>
      <c r="K44">
        <v>5</v>
      </c>
      <c r="L44" s="32">
        <f t="shared" si="3"/>
        <v>3</v>
      </c>
      <c r="M44">
        <v>7</v>
      </c>
      <c r="N44">
        <v>4</v>
      </c>
      <c r="O44" s="32">
        <f t="shared" si="4"/>
        <v>3</v>
      </c>
      <c r="P44">
        <v>8</v>
      </c>
      <c r="Q44">
        <v>3</v>
      </c>
      <c r="R44" s="32">
        <f t="shared" si="5"/>
        <v>5</v>
      </c>
      <c r="S44">
        <v>7</v>
      </c>
      <c r="T44">
        <v>2</v>
      </c>
      <c r="U44" s="32">
        <f t="shared" si="6"/>
        <v>5</v>
      </c>
      <c r="V44">
        <v>6</v>
      </c>
      <c r="W44">
        <v>4</v>
      </c>
      <c r="X44" s="32">
        <f t="shared" si="7"/>
        <v>2</v>
      </c>
      <c r="Y44">
        <v>8</v>
      </c>
      <c r="Z44">
        <v>5</v>
      </c>
      <c r="AA44" s="32">
        <f t="shared" si="8"/>
        <v>3</v>
      </c>
    </row>
    <row r="45" spans="1:27" x14ac:dyDescent="0.45">
      <c r="A45">
        <v>6</v>
      </c>
      <c r="B45" s="36">
        <f>step3_combined_data!S281</f>
        <v>4</v>
      </c>
      <c r="C45" s="32">
        <f t="shared" si="0"/>
        <v>2</v>
      </c>
      <c r="D45">
        <v>6</v>
      </c>
      <c r="E45" s="36">
        <f>step3_combined_data!X372</f>
        <v>4</v>
      </c>
      <c r="F45" s="32">
        <f t="shared" si="1"/>
        <v>2</v>
      </c>
      <c r="G45">
        <v>7</v>
      </c>
      <c r="H45">
        <v>3</v>
      </c>
      <c r="I45" s="32">
        <f t="shared" si="2"/>
        <v>4</v>
      </c>
      <c r="J45">
        <v>8</v>
      </c>
      <c r="K45">
        <v>5</v>
      </c>
      <c r="L45" s="32">
        <f t="shared" si="3"/>
        <v>3</v>
      </c>
      <c r="M45">
        <v>7</v>
      </c>
      <c r="N45">
        <v>4</v>
      </c>
      <c r="O45" s="32">
        <f t="shared" si="4"/>
        <v>3</v>
      </c>
      <c r="P45">
        <v>8</v>
      </c>
      <c r="Q45">
        <v>3</v>
      </c>
      <c r="R45" s="32">
        <f t="shared" si="5"/>
        <v>5</v>
      </c>
      <c r="S45">
        <v>7</v>
      </c>
      <c r="T45">
        <v>2</v>
      </c>
      <c r="U45" s="32">
        <f t="shared" si="6"/>
        <v>5</v>
      </c>
      <c r="V45">
        <v>6</v>
      </c>
      <c r="W45">
        <v>4</v>
      </c>
      <c r="X45" s="32">
        <f t="shared" si="7"/>
        <v>2</v>
      </c>
      <c r="Y45">
        <v>8</v>
      </c>
      <c r="Z45">
        <v>5</v>
      </c>
      <c r="AA45" s="32">
        <f t="shared" si="8"/>
        <v>3</v>
      </c>
    </row>
    <row r="46" spans="1:27" x14ac:dyDescent="0.45">
      <c r="A46">
        <v>6</v>
      </c>
      <c r="B46" s="36">
        <f>step3_combined_data!S287</f>
        <v>4</v>
      </c>
      <c r="C46" s="32">
        <f t="shared" si="0"/>
        <v>2</v>
      </c>
      <c r="D46">
        <v>6</v>
      </c>
      <c r="E46" s="36">
        <f>step3_combined_data!X402</f>
        <v>4</v>
      </c>
      <c r="F46" s="32">
        <f t="shared" si="1"/>
        <v>2</v>
      </c>
      <c r="G46">
        <v>7</v>
      </c>
      <c r="H46">
        <v>3</v>
      </c>
      <c r="I46" s="32">
        <f t="shared" si="2"/>
        <v>4</v>
      </c>
      <c r="J46">
        <v>8</v>
      </c>
      <c r="K46">
        <v>5</v>
      </c>
      <c r="L46" s="32">
        <f t="shared" si="3"/>
        <v>3</v>
      </c>
      <c r="M46">
        <v>7</v>
      </c>
      <c r="N46">
        <v>4</v>
      </c>
      <c r="O46" s="32">
        <f t="shared" si="4"/>
        <v>3</v>
      </c>
      <c r="P46">
        <v>8</v>
      </c>
      <c r="Q46">
        <v>3</v>
      </c>
      <c r="R46" s="32">
        <f t="shared" si="5"/>
        <v>5</v>
      </c>
      <c r="S46">
        <v>7</v>
      </c>
      <c r="T46">
        <v>2</v>
      </c>
      <c r="U46" s="32">
        <f t="shared" si="6"/>
        <v>5</v>
      </c>
      <c r="V46">
        <v>6</v>
      </c>
      <c r="W46">
        <v>4</v>
      </c>
      <c r="X46" s="32">
        <f t="shared" si="7"/>
        <v>2</v>
      </c>
      <c r="Y46">
        <v>8</v>
      </c>
      <c r="Z46">
        <v>5</v>
      </c>
      <c r="AA46" s="32">
        <f t="shared" si="8"/>
        <v>3</v>
      </c>
    </row>
    <row r="47" spans="1:27" x14ac:dyDescent="0.45">
      <c r="A47">
        <v>6</v>
      </c>
      <c r="B47" s="36">
        <f>step3_combined_data!S316</f>
        <v>4</v>
      </c>
      <c r="C47" s="32">
        <f t="shared" si="0"/>
        <v>2</v>
      </c>
      <c r="D47">
        <v>6</v>
      </c>
      <c r="E47" s="36">
        <f>step3_combined_data!X4</f>
        <v>5</v>
      </c>
      <c r="F47" s="32">
        <f t="shared" si="1"/>
        <v>1</v>
      </c>
      <c r="G47">
        <v>7</v>
      </c>
      <c r="H47">
        <v>3</v>
      </c>
      <c r="I47" s="32">
        <f t="shared" si="2"/>
        <v>4</v>
      </c>
      <c r="J47">
        <v>8</v>
      </c>
      <c r="K47">
        <v>5</v>
      </c>
      <c r="L47" s="32">
        <f t="shared" si="3"/>
        <v>3</v>
      </c>
      <c r="M47">
        <v>7</v>
      </c>
      <c r="N47">
        <v>4</v>
      </c>
      <c r="O47" s="32">
        <f t="shared" si="4"/>
        <v>3</v>
      </c>
      <c r="P47">
        <v>8</v>
      </c>
      <c r="Q47">
        <v>3</v>
      </c>
      <c r="R47" s="32">
        <f t="shared" si="5"/>
        <v>5</v>
      </c>
      <c r="S47">
        <v>7</v>
      </c>
      <c r="T47">
        <v>2</v>
      </c>
      <c r="U47" s="32">
        <f t="shared" si="6"/>
        <v>5</v>
      </c>
      <c r="V47">
        <v>6</v>
      </c>
      <c r="W47">
        <v>4</v>
      </c>
      <c r="X47" s="32">
        <f t="shared" si="7"/>
        <v>2</v>
      </c>
      <c r="Y47">
        <v>8</v>
      </c>
      <c r="Z47">
        <v>5</v>
      </c>
      <c r="AA47" s="32">
        <f t="shared" si="8"/>
        <v>3</v>
      </c>
    </row>
    <row r="48" spans="1:27" x14ac:dyDescent="0.45">
      <c r="A48">
        <v>6</v>
      </c>
      <c r="B48" s="36">
        <f>step3_combined_data!S319</f>
        <v>4</v>
      </c>
      <c r="C48" s="32">
        <f t="shared" si="0"/>
        <v>2</v>
      </c>
      <c r="D48">
        <v>6</v>
      </c>
      <c r="E48" s="36">
        <f>step3_combined_data!X24</f>
        <v>5</v>
      </c>
      <c r="F48" s="32">
        <f t="shared" si="1"/>
        <v>1</v>
      </c>
      <c r="G48">
        <v>7</v>
      </c>
      <c r="H48">
        <v>3</v>
      </c>
      <c r="I48" s="32">
        <f t="shared" si="2"/>
        <v>4</v>
      </c>
      <c r="J48">
        <v>8</v>
      </c>
      <c r="K48">
        <v>5</v>
      </c>
      <c r="L48" s="32">
        <f t="shared" si="3"/>
        <v>3</v>
      </c>
      <c r="M48">
        <v>7</v>
      </c>
      <c r="N48">
        <v>4</v>
      </c>
      <c r="O48" s="32">
        <f t="shared" si="4"/>
        <v>3</v>
      </c>
      <c r="P48">
        <v>8</v>
      </c>
      <c r="Q48">
        <v>3</v>
      </c>
      <c r="R48" s="32">
        <f t="shared" si="5"/>
        <v>5</v>
      </c>
      <c r="S48">
        <v>7</v>
      </c>
      <c r="T48">
        <v>2</v>
      </c>
      <c r="U48" s="32">
        <f t="shared" si="6"/>
        <v>5</v>
      </c>
      <c r="V48">
        <v>6</v>
      </c>
      <c r="W48">
        <v>5</v>
      </c>
      <c r="X48" s="32">
        <f t="shared" si="7"/>
        <v>1</v>
      </c>
      <c r="Y48">
        <v>8</v>
      </c>
      <c r="Z48">
        <v>5</v>
      </c>
      <c r="AA48" s="32">
        <f t="shared" si="8"/>
        <v>3</v>
      </c>
    </row>
    <row r="49" spans="1:27" x14ac:dyDescent="0.45">
      <c r="A49">
        <v>6</v>
      </c>
      <c r="B49" s="36">
        <f>step3_combined_data!S332</f>
        <v>4</v>
      </c>
      <c r="C49" s="32">
        <f t="shared" si="0"/>
        <v>2</v>
      </c>
      <c r="D49">
        <v>6</v>
      </c>
      <c r="E49" s="36">
        <f>step3_combined_data!X33</f>
        <v>5</v>
      </c>
      <c r="F49" s="32">
        <f t="shared" si="1"/>
        <v>1</v>
      </c>
      <c r="G49">
        <v>7</v>
      </c>
      <c r="H49">
        <v>3</v>
      </c>
      <c r="I49" s="32">
        <f t="shared" si="2"/>
        <v>4</v>
      </c>
      <c r="J49">
        <v>8</v>
      </c>
      <c r="K49">
        <v>5</v>
      </c>
      <c r="L49" s="32">
        <f t="shared" si="3"/>
        <v>3</v>
      </c>
      <c r="M49">
        <v>7</v>
      </c>
      <c r="N49">
        <v>4</v>
      </c>
      <c r="O49" s="32">
        <f t="shared" si="4"/>
        <v>3</v>
      </c>
      <c r="P49">
        <v>8</v>
      </c>
      <c r="Q49">
        <v>3</v>
      </c>
      <c r="R49" s="32">
        <f t="shared" si="5"/>
        <v>5</v>
      </c>
      <c r="S49">
        <v>7</v>
      </c>
      <c r="T49">
        <v>2</v>
      </c>
      <c r="U49" s="32">
        <f t="shared" si="6"/>
        <v>5</v>
      </c>
      <c r="V49">
        <v>6</v>
      </c>
      <c r="W49">
        <v>5</v>
      </c>
      <c r="X49" s="32">
        <f t="shared" si="7"/>
        <v>1</v>
      </c>
      <c r="Y49">
        <v>8</v>
      </c>
      <c r="Z49">
        <v>5</v>
      </c>
      <c r="AA49" s="32">
        <f t="shared" si="8"/>
        <v>3</v>
      </c>
    </row>
    <row r="50" spans="1:27" x14ac:dyDescent="0.45">
      <c r="A50">
        <v>6</v>
      </c>
      <c r="B50" s="36">
        <f>step3_combined_data!S337</f>
        <v>4</v>
      </c>
      <c r="C50" s="32">
        <f t="shared" si="0"/>
        <v>2</v>
      </c>
      <c r="D50">
        <v>6</v>
      </c>
      <c r="E50" s="36">
        <f>step3_combined_data!X59</f>
        <v>5</v>
      </c>
      <c r="F50" s="32">
        <f t="shared" si="1"/>
        <v>1</v>
      </c>
      <c r="G50">
        <v>7</v>
      </c>
      <c r="H50">
        <v>3</v>
      </c>
      <c r="I50" s="32">
        <f t="shared" si="2"/>
        <v>4</v>
      </c>
      <c r="J50">
        <v>8</v>
      </c>
      <c r="K50">
        <v>5</v>
      </c>
      <c r="L50" s="32">
        <f t="shared" si="3"/>
        <v>3</v>
      </c>
      <c r="M50">
        <v>7</v>
      </c>
      <c r="N50">
        <v>4</v>
      </c>
      <c r="O50" s="32">
        <f t="shared" si="4"/>
        <v>3</v>
      </c>
      <c r="P50">
        <v>8</v>
      </c>
      <c r="Q50">
        <v>3</v>
      </c>
      <c r="R50" s="32">
        <f t="shared" si="5"/>
        <v>5</v>
      </c>
      <c r="S50">
        <v>7</v>
      </c>
      <c r="T50">
        <v>3</v>
      </c>
      <c r="U50" s="32">
        <f t="shared" si="6"/>
        <v>4</v>
      </c>
      <c r="V50">
        <v>6</v>
      </c>
      <c r="W50">
        <v>5</v>
      </c>
      <c r="X50" s="32">
        <f t="shared" si="7"/>
        <v>1</v>
      </c>
      <c r="Y50">
        <v>8</v>
      </c>
      <c r="Z50">
        <v>5</v>
      </c>
      <c r="AA50" s="32">
        <f t="shared" si="8"/>
        <v>3</v>
      </c>
    </row>
    <row r="51" spans="1:27" x14ac:dyDescent="0.45">
      <c r="A51">
        <v>6</v>
      </c>
      <c r="B51" s="36">
        <f>step3_combined_data!S350</f>
        <v>4</v>
      </c>
      <c r="C51" s="32">
        <f t="shared" si="0"/>
        <v>2</v>
      </c>
      <c r="D51">
        <v>6</v>
      </c>
      <c r="E51" s="36">
        <f>step3_combined_data!X61</f>
        <v>5</v>
      </c>
      <c r="F51" s="32">
        <f t="shared" si="1"/>
        <v>1</v>
      </c>
      <c r="G51">
        <v>7</v>
      </c>
      <c r="H51">
        <v>3</v>
      </c>
      <c r="I51" s="32">
        <f t="shared" si="2"/>
        <v>4</v>
      </c>
      <c r="J51">
        <v>8</v>
      </c>
      <c r="K51">
        <v>5</v>
      </c>
      <c r="L51" s="32">
        <f t="shared" si="3"/>
        <v>3</v>
      </c>
      <c r="M51">
        <v>7</v>
      </c>
      <c r="N51">
        <v>4</v>
      </c>
      <c r="O51" s="32">
        <f t="shared" si="4"/>
        <v>3</v>
      </c>
      <c r="P51">
        <v>8</v>
      </c>
      <c r="Q51">
        <v>3</v>
      </c>
      <c r="R51" s="32">
        <f t="shared" si="5"/>
        <v>5</v>
      </c>
      <c r="S51">
        <v>7</v>
      </c>
      <c r="T51">
        <v>3</v>
      </c>
      <c r="U51" s="32">
        <f t="shared" si="6"/>
        <v>4</v>
      </c>
      <c r="V51">
        <v>6</v>
      </c>
      <c r="W51">
        <v>5</v>
      </c>
      <c r="X51" s="32">
        <f t="shared" si="7"/>
        <v>1</v>
      </c>
      <c r="Y51">
        <v>8</v>
      </c>
      <c r="Z51">
        <v>5</v>
      </c>
      <c r="AA51" s="32">
        <f t="shared" si="8"/>
        <v>3</v>
      </c>
    </row>
    <row r="52" spans="1:27" x14ac:dyDescent="0.45">
      <c r="A52">
        <v>6</v>
      </c>
      <c r="B52" s="36">
        <f>step3_combined_data!S360</f>
        <v>4</v>
      </c>
      <c r="C52" s="32">
        <f t="shared" si="0"/>
        <v>2</v>
      </c>
      <c r="D52">
        <v>6</v>
      </c>
      <c r="E52" s="36">
        <f>step3_combined_data!X67</f>
        <v>5</v>
      </c>
      <c r="F52" s="32">
        <f t="shared" si="1"/>
        <v>1</v>
      </c>
      <c r="G52">
        <v>7</v>
      </c>
      <c r="H52">
        <v>3</v>
      </c>
      <c r="I52" s="32">
        <f t="shared" si="2"/>
        <v>4</v>
      </c>
      <c r="J52">
        <v>8</v>
      </c>
      <c r="K52">
        <v>5</v>
      </c>
      <c r="L52" s="32">
        <f t="shared" si="3"/>
        <v>3</v>
      </c>
      <c r="M52">
        <v>7</v>
      </c>
      <c r="N52">
        <v>4</v>
      </c>
      <c r="O52" s="32">
        <f t="shared" si="4"/>
        <v>3</v>
      </c>
      <c r="P52">
        <v>8</v>
      </c>
      <c r="Q52">
        <v>3</v>
      </c>
      <c r="R52" s="32">
        <f t="shared" si="5"/>
        <v>5</v>
      </c>
      <c r="S52">
        <v>7</v>
      </c>
      <c r="T52">
        <v>3</v>
      </c>
      <c r="U52" s="32">
        <f t="shared" si="6"/>
        <v>4</v>
      </c>
      <c r="V52">
        <v>6</v>
      </c>
      <c r="W52">
        <v>5</v>
      </c>
      <c r="X52" s="32">
        <f t="shared" si="7"/>
        <v>1</v>
      </c>
      <c r="Y52">
        <v>8</v>
      </c>
      <c r="Z52">
        <v>5</v>
      </c>
      <c r="AA52" s="32">
        <f t="shared" si="8"/>
        <v>3</v>
      </c>
    </row>
    <row r="53" spans="1:27" x14ac:dyDescent="0.45">
      <c r="A53">
        <v>6</v>
      </c>
      <c r="B53" s="36">
        <f>step3_combined_data!S365</f>
        <v>4</v>
      </c>
      <c r="C53" s="32">
        <f t="shared" si="0"/>
        <v>2</v>
      </c>
      <c r="D53">
        <v>6</v>
      </c>
      <c r="E53" s="36">
        <f>step3_combined_data!X68</f>
        <v>5</v>
      </c>
      <c r="F53" s="32">
        <f t="shared" si="1"/>
        <v>1</v>
      </c>
      <c r="G53">
        <v>7</v>
      </c>
      <c r="H53">
        <v>3</v>
      </c>
      <c r="I53" s="32">
        <f t="shared" si="2"/>
        <v>4</v>
      </c>
      <c r="J53">
        <v>8</v>
      </c>
      <c r="K53">
        <v>5</v>
      </c>
      <c r="L53" s="32">
        <f t="shared" si="3"/>
        <v>3</v>
      </c>
      <c r="M53">
        <v>7</v>
      </c>
      <c r="N53">
        <v>4</v>
      </c>
      <c r="O53" s="32">
        <f t="shared" si="4"/>
        <v>3</v>
      </c>
      <c r="P53">
        <v>8</v>
      </c>
      <c r="Q53">
        <v>3</v>
      </c>
      <c r="R53" s="32">
        <f t="shared" si="5"/>
        <v>5</v>
      </c>
      <c r="S53">
        <v>7</v>
      </c>
      <c r="T53">
        <v>3</v>
      </c>
      <c r="U53" s="32">
        <f t="shared" si="6"/>
        <v>4</v>
      </c>
      <c r="V53">
        <v>6</v>
      </c>
      <c r="W53">
        <v>5</v>
      </c>
      <c r="X53" s="32">
        <f t="shared" si="7"/>
        <v>1</v>
      </c>
      <c r="Y53">
        <v>8</v>
      </c>
      <c r="Z53">
        <v>5</v>
      </c>
      <c r="AA53" s="32">
        <f t="shared" si="8"/>
        <v>3</v>
      </c>
    </row>
    <row r="54" spans="1:27" x14ac:dyDescent="0.45">
      <c r="A54">
        <v>6</v>
      </c>
      <c r="B54" s="36">
        <f>step3_combined_data!S372</f>
        <v>4</v>
      </c>
      <c r="C54" s="32">
        <f t="shared" si="0"/>
        <v>2</v>
      </c>
      <c r="D54">
        <v>6</v>
      </c>
      <c r="E54" s="36">
        <f>step3_combined_data!X74</f>
        <v>5</v>
      </c>
      <c r="F54" s="32">
        <f t="shared" si="1"/>
        <v>1</v>
      </c>
      <c r="G54">
        <v>7</v>
      </c>
      <c r="H54">
        <v>3</v>
      </c>
      <c r="I54" s="32">
        <f t="shared" si="2"/>
        <v>4</v>
      </c>
      <c r="J54">
        <v>8</v>
      </c>
      <c r="K54">
        <v>5</v>
      </c>
      <c r="L54" s="32">
        <f t="shared" si="3"/>
        <v>3</v>
      </c>
      <c r="M54">
        <v>7</v>
      </c>
      <c r="N54">
        <v>4</v>
      </c>
      <c r="O54" s="32">
        <f t="shared" si="4"/>
        <v>3</v>
      </c>
      <c r="P54">
        <v>8</v>
      </c>
      <c r="Q54">
        <v>3</v>
      </c>
      <c r="R54" s="32">
        <f t="shared" si="5"/>
        <v>5</v>
      </c>
      <c r="S54">
        <v>7</v>
      </c>
      <c r="T54">
        <v>3</v>
      </c>
      <c r="U54" s="32">
        <f t="shared" si="6"/>
        <v>4</v>
      </c>
      <c r="V54">
        <v>6</v>
      </c>
      <c r="W54">
        <v>5</v>
      </c>
      <c r="X54" s="32">
        <f t="shared" si="7"/>
        <v>1</v>
      </c>
      <c r="Y54">
        <v>8</v>
      </c>
      <c r="Z54">
        <v>5</v>
      </c>
      <c r="AA54" s="32">
        <f t="shared" si="8"/>
        <v>3</v>
      </c>
    </row>
    <row r="55" spans="1:27" x14ac:dyDescent="0.45">
      <c r="A55">
        <v>6</v>
      </c>
      <c r="B55" s="36">
        <f>step3_combined_data!S392</f>
        <v>4</v>
      </c>
      <c r="C55" s="32">
        <f t="shared" si="0"/>
        <v>2</v>
      </c>
      <c r="D55">
        <v>6</v>
      </c>
      <c r="E55" s="36">
        <f>step3_combined_data!X77</f>
        <v>5</v>
      </c>
      <c r="F55" s="32">
        <f t="shared" si="1"/>
        <v>1</v>
      </c>
      <c r="G55">
        <v>7</v>
      </c>
      <c r="H55">
        <v>3</v>
      </c>
      <c r="I55" s="32">
        <f t="shared" si="2"/>
        <v>4</v>
      </c>
      <c r="J55">
        <v>8</v>
      </c>
      <c r="K55">
        <v>5</v>
      </c>
      <c r="L55" s="32">
        <f t="shared" si="3"/>
        <v>3</v>
      </c>
      <c r="M55">
        <v>7</v>
      </c>
      <c r="N55">
        <v>4</v>
      </c>
      <c r="O55" s="32">
        <f t="shared" si="4"/>
        <v>3</v>
      </c>
      <c r="P55">
        <v>8</v>
      </c>
      <c r="Q55">
        <v>4</v>
      </c>
      <c r="R55" s="32">
        <f t="shared" si="5"/>
        <v>4</v>
      </c>
      <c r="S55">
        <v>7</v>
      </c>
      <c r="T55">
        <v>3</v>
      </c>
      <c r="U55" s="32">
        <f t="shared" si="6"/>
        <v>4</v>
      </c>
      <c r="V55">
        <v>6</v>
      </c>
      <c r="W55">
        <v>5</v>
      </c>
      <c r="X55" s="32">
        <f t="shared" si="7"/>
        <v>1</v>
      </c>
      <c r="Y55">
        <v>8</v>
      </c>
      <c r="Z55">
        <v>5</v>
      </c>
      <c r="AA55" s="32">
        <f t="shared" si="8"/>
        <v>3</v>
      </c>
    </row>
    <row r="56" spans="1:27" x14ac:dyDescent="0.45">
      <c r="A56">
        <v>6</v>
      </c>
      <c r="B56" s="36">
        <f>step3_combined_data!S402</f>
        <v>4</v>
      </c>
      <c r="C56" s="32">
        <f t="shared" si="0"/>
        <v>2</v>
      </c>
      <c r="D56">
        <v>6</v>
      </c>
      <c r="E56" s="36">
        <f>step3_combined_data!X87</f>
        <v>5</v>
      </c>
      <c r="F56" s="32">
        <f t="shared" si="1"/>
        <v>1</v>
      </c>
      <c r="G56">
        <v>7</v>
      </c>
      <c r="H56">
        <v>3</v>
      </c>
      <c r="I56" s="32">
        <f t="shared" si="2"/>
        <v>4</v>
      </c>
      <c r="J56">
        <v>8</v>
      </c>
      <c r="K56">
        <v>5</v>
      </c>
      <c r="L56" s="32">
        <f t="shared" si="3"/>
        <v>3</v>
      </c>
      <c r="M56">
        <v>7</v>
      </c>
      <c r="N56">
        <v>4</v>
      </c>
      <c r="O56" s="32">
        <f t="shared" si="4"/>
        <v>3</v>
      </c>
      <c r="P56">
        <v>8</v>
      </c>
      <c r="Q56">
        <v>4</v>
      </c>
      <c r="R56" s="32">
        <f t="shared" si="5"/>
        <v>4</v>
      </c>
      <c r="S56">
        <v>7</v>
      </c>
      <c r="T56">
        <v>3</v>
      </c>
      <c r="U56" s="32">
        <f t="shared" si="6"/>
        <v>4</v>
      </c>
      <c r="V56">
        <v>6</v>
      </c>
      <c r="W56">
        <v>5</v>
      </c>
      <c r="X56" s="32">
        <f t="shared" si="7"/>
        <v>1</v>
      </c>
      <c r="Y56">
        <v>8</v>
      </c>
      <c r="Z56">
        <v>5</v>
      </c>
      <c r="AA56" s="32">
        <f t="shared" si="8"/>
        <v>3</v>
      </c>
    </row>
    <row r="57" spans="1:27" x14ac:dyDescent="0.45">
      <c r="A57">
        <v>6</v>
      </c>
      <c r="B57" s="36">
        <f>step3_combined_data!S8</f>
        <v>5</v>
      </c>
      <c r="C57" s="32">
        <f t="shared" si="0"/>
        <v>1</v>
      </c>
      <c r="D57">
        <v>6</v>
      </c>
      <c r="E57" s="36">
        <f>step3_combined_data!X103</f>
        <v>5</v>
      </c>
      <c r="F57" s="32">
        <f t="shared" si="1"/>
        <v>1</v>
      </c>
      <c r="G57">
        <v>7</v>
      </c>
      <c r="H57">
        <v>3</v>
      </c>
      <c r="I57" s="32">
        <f t="shared" si="2"/>
        <v>4</v>
      </c>
      <c r="J57">
        <v>8</v>
      </c>
      <c r="K57">
        <v>5</v>
      </c>
      <c r="L57" s="32">
        <f t="shared" si="3"/>
        <v>3</v>
      </c>
      <c r="M57">
        <v>7</v>
      </c>
      <c r="N57">
        <v>4</v>
      </c>
      <c r="O57" s="32">
        <f t="shared" si="4"/>
        <v>3</v>
      </c>
      <c r="P57">
        <v>8</v>
      </c>
      <c r="Q57">
        <v>4</v>
      </c>
      <c r="R57" s="32">
        <f t="shared" si="5"/>
        <v>4</v>
      </c>
      <c r="S57">
        <v>7</v>
      </c>
      <c r="T57">
        <v>3</v>
      </c>
      <c r="U57" s="32">
        <f t="shared" si="6"/>
        <v>4</v>
      </c>
      <c r="V57">
        <v>6</v>
      </c>
      <c r="W57">
        <v>5</v>
      </c>
      <c r="X57" s="32">
        <f t="shared" si="7"/>
        <v>1</v>
      </c>
      <c r="Y57">
        <v>8</v>
      </c>
      <c r="Z57">
        <v>5</v>
      </c>
      <c r="AA57" s="32">
        <f t="shared" si="8"/>
        <v>3</v>
      </c>
    </row>
    <row r="58" spans="1:27" x14ac:dyDescent="0.45">
      <c r="A58">
        <v>6</v>
      </c>
      <c r="B58" s="36">
        <f>step3_combined_data!S13</f>
        <v>5</v>
      </c>
      <c r="C58" s="32">
        <f t="shared" si="0"/>
        <v>1</v>
      </c>
      <c r="D58">
        <v>6</v>
      </c>
      <c r="E58" s="36">
        <f>step3_combined_data!X107</f>
        <v>5</v>
      </c>
      <c r="F58" s="32">
        <f t="shared" si="1"/>
        <v>1</v>
      </c>
      <c r="G58">
        <v>7</v>
      </c>
      <c r="H58">
        <v>3</v>
      </c>
      <c r="I58" s="32">
        <f t="shared" si="2"/>
        <v>4</v>
      </c>
      <c r="J58">
        <v>8</v>
      </c>
      <c r="K58">
        <v>5</v>
      </c>
      <c r="L58" s="32">
        <f t="shared" si="3"/>
        <v>3</v>
      </c>
      <c r="M58">
        <v>7</v>
      </c>
      <c r="N58">
        <v>4</v>
      </c>
      <c r="O58" s="32">
        <f t="shared" si="4"/>
        <v>3</v>
      </c>
      <c r="P58">
        <v>8</v>
      </c>
      <c r="Q58">
        <v>4</v>
      </c>
      <c r="R58" s="32">
        <f t="shared" si="5"/>
        <v>4</v>
      </c>
      <c r="S58">
        <v>7</v>
      </c>
      <c r="T58">
        <v>3</v>
      </c>
      <c r="U58" s="32">
        <f t="shared" si="6"/>
        <v>4</v>
      </c>
      <c r="V58">
        <v>6</v>
      </c>
      <c r="W58">
        <v>5</v>
      </c>
      <c r="X58" s="32">
        <f t="shared" si="7"/>
        <v>1</v>
      </c>
      <c r="Y58">
        <v>8</v>
      </c>
      <c r="Z58">
        <v>5</v>
      </c>
      <c r="AA58" s="32">
        <f t="shared" si="8"/>
        <v>3</v>
      </c>
    </row>
    <row r="59" spans="1:27" x14ac:dyDescent="0.45">
      <c r="A59">
        <v>6</v>
      </c>
      <c r="B59" s="36">
        <f>step3_combined_data!S24</f>
        <v>5</v>
      </c>
      <c r="C59" s="32">
        <f t="shared" si="0"/>
        <v>1</v>
      </c>
      <c r="D59">
        <v>6</v>
      </c>
      <c r="E59" s="36">
        <f>step3_combined_data!X131</f>
        <v>5</v>
      </c>
      <c r="F59" s="32">
        <f t="shared" si="1"/>
        <v>1</v>
      </c>
      <c r="G59">
        <v>7</v>
      </c>
      <c r="H59">
        <v>3</v>
      </c>
      <c r="I59" s="32">
        <f t="shared" si="2"/>
        <v>4</v>
      </c>
      <c r="J59">
        <v>8</v>
      </c>
      <c r="K59">
        <v>5</v>
      </c>
      <c r="L59" s="32">
        <f t="shared" si="3"/>
        <v>3</v>
      </c>
      <c r="M59">
        <v>7</v>
      </c>
      <c r="N59">
        <v>5</v>
      </c>
      <c r="O59" s="32">
        <f t="shared" si="4"/>
        <v>2</v>
      </c>
      <c r="P59">
        <v>8</v>
      </c>
      <c r="Q59">
        <v>4</v>
      </c>
      <c r="R59" s="32">
        <f t="shared" si="5"/>
        <v>4</v>
      </c>
      <c r="S59">
        <v>7</v>
      </c>
      <c r="T59">
        <v>4</v>
      </c>
      <c r="U59" s="32">
        <f t="shared" si="6"/>
        <v>3</v>
      </c>
      <c r="V59">
        <v>6</v>
      </c>
      <c r="W59">
        <v>5</v>
      </c>
      <c r="X59" s="32">
        <f t="shared" si="7"/>
        <v>1</v>
      </c>
      <c r="Y59">
        <v>8</v>
      </c>
      <c r="Z59">
        <v>5</v>
      </c>
      <c r="AA59" s="32">
        <f t="shared" si="8"/>
        <v>3</v>
      </c>
    </row>
    <row r="60" spans="1:27" x14ac:dyDescent="0.45">
      <c r="A60">
        <v>6</v>
      </c>
      <c r="B60" s="36">
        <f>step3_combined_data!S33</f>
        <v>5</v>
      </c>
      <c r="C60" s="32">
        <f t="shared" si="0"/>
        <v>1</v>
      </c>
      <c r="D60">
        <v>6</v>
      </c>
      <c r="E60" s="36">
        <f>step3_combined_data!X134</f>
        <v>5</v>
      </c>
      <c r="F60" s="32">
        <f t="shared" si="1"/>
        <v>1</v>
      </c>
      <c r="G60">
        <v>7</v>
      </c>
      <c r="H60">
        <v>4</v>
      </c>
      <c r="I60" s="32">
        <f t="shared" si="2"/>
        <v>3</v>
      </c>
      <c r="J60">
        <v>8</v>
      </c>
      <c r="K60">
        <v>5</v>
      </c>
      <c r="L60" s="32">
        <f t="shared" si="3"/>
        <v>3</v>
      </c>
      <c r="M60">
        <v>7</v>
      </c>
      <c r="N60">
        <v>5</v>
      </c>
      <c r="O60" s="32">
        <f t="shared" si="4"/>
        <v>2</v>
      </c>
      <c r="P60">
        <v>8</v>
      </c>
      <c r="Q60">
        <v>4</v>
      </c>
      <c r="R60" s="32">
        <f t="shared" si="5"/>
        <v>4</v>
      </c>
      <c r="S60">
        <v>7</v>
      </c>
      <c r="T60">
        <v>4</v>
      </c>
      <c r="U60" s="32">
        <f t="shared" si="6"/>
        <v>3</v>
      </c>
      <c r="V60">
        <v>6</v>
      </c>
      <c r="W60">
        <v>5</v>
      </c>
      <c r="X60" s="32">
        <f t="shared" si="7"/>
        <v>1</v>
      </c>
      <c r="Y60">
        <v>8</v>
      </c>
      <c r="Z60">
        <v>5</v>
      </c>
      <c r="AA60" s="32">
        <f t="shared" si="8"/>
        <v>3</v>
      </c>
    </row>
    <row r="61" spans="1:27" x14ac:dyDescent="0.45">
      <c r="A61">
        <v>6</v>
      </c>
      <c r="B61" s="36">
        <f>step3_combined_data!S59</f>
        <v>5</v>
      </c>
      <c r="C61" s="32">
        <f t="shared" si="0"/>
        <v>1</v>
      </c>
      <c r="D61">
        <v>6</v>
      </c>
      <c r="E61" s="36">
        <f>step3_combined_data!X136</f>
        <v>5</v>
      </c>
      <c r="F61" s="32">
        <f t="shared" si="1"/>
        <v>1</v>
      </c>
      <c r="G61">
        <v>7</v>
      </c>
      <c r="H61">
        <v>4</v>
      </c>
      <c r="I61" s="32">
        <f t="shared" si="2"/>
        <v>3</v>
      </c>
      <c r="J61">
        <v>8</v>
      </c>
      <c r="K61">
        <v>5</v>
      </c>
      <c r="L61" s="32">
        <f t="shared" si="3"/>
        <v>3</v>
      </c>
      <c r="M61">
        <v>7</v>
      </c>
      <c r="N61">
        <v>5</v>
      </c>
      <c r="O61" s="32">
        <f t="shared" si="4"/>
        <v>2</v>
      </c>
      <c r="P61">
        <v>8</v>
      </c>
      <c r="Q61">
        <v>4</v>
      </c>
      <c r="R61" s="32">
        <f t="shared" si="5"/>
        <v>4</v>
      </c>
      <c r="S61">
        <v>7</v>
      </c>
      <c r="T61">
        <v>4</v>
      </c>
      <c r="U61" s="32">
        <f t="shared" si="6"/>
        <v>3</v>
      </c>
      <c r="V61">
        <v>6</v>
      </c>
      <c r="W61">
        <v>5</v>
      </c>
      <c r="X61" s="32">
        <f t="shared" si="7"/>
        <v>1</v>
      </c>
      <c r="Y61">
        <v>8</v>
      </c>
      <c r="Z61">
        <v>5</v>
      </c>
      <c r="AA61" s="32">
        <f t="shared" si="8"/>
        <v>3</v>
      </c>
    </row>
    <row r="62" spans="1:27" x14ac:dyDescent="0.45">
      <c r="A62">
        <v>6</v>
      </c>
      <c r="B62" s="36">
        <f>step3_combined_data!S61</f>
        <v>5</v>
      </c>
      <c r="C62" s="32">
        <f t="shared" si="0"/>
        <v>1</v>
      </c>
      <c r="D62">
        <v>6</v>
      </c>
      <c r="E62" s="36">
        <f>step3_combined_data!X162</f>
        <v>5</v>
      </c>
      <c r="F62" s="32">
        <f t="shared" si="1"/>
        <v>1</v>
      </c>
      <c r="G62">
        <v>7</v>
      </c>
      <c r="H62">
        <v>4</v>
      </c>
      <c r="I62" s="32">
        <f t="shared" si="2"/>
        <v>3</v>
      </c>
      <c r="J62">
        <v>8</v>
      </c>
      <c r="K62">
        <v>5</v>
      </c>
      <c r="L62" s="32">
        <f t="shared" si="3"/>
        <v>3</v>
      </c>
      <c r="M62">
        <v>7</v>
      </c>
      <c r="N62">
        <v>5</v>
      </c>
      <c r="O62" s="32">
        <f t="shared" si="4"/>
        <v>2</v>
      </c>
      <c r="P62">
        <v>8</v>
      </c>
      <c r="Q62">
        <v>4</v>
      </c>
      <c r="R62" s="32">
        <f t="shared" si="5"/>
        <v>4</v>
      </c>
      <c r="S62">
        <v>7</v>
      </c>
      <c r="T62">
        <v>4</v>
      </c>
      <c r="U62" s="32">
        <f t="shared" si="6"/>
        <v>3</v>
      </c>
      <c r="V62">
        <v>6</v>
      </c>
      <c r="W62">
        <v>5</v>
      </c>
      <c r="X62" s="32">
        <f t="shared" si="7"/>
        <v>1</v>
      </c>
      <c r="Y62">
        <v>8</v>
      </c>
      <c r="Z62">
        <v>5</v>
      </c>
      <c r="AA62" s="32">
        <f t="shared" si="8"/>
        <v>3</v>
      </c>
    </row>
    <row r="63" spans="1:27" x14ac:dyDescent="0.45">
      <c r="A63">
        <v>6</v>
      </c>
      <c r="B63" s="36">
        <f>step3_combined_data!S68</f>
        <v>5</v>
      </c>
      <c r="C63" s="32">
        <f t="shared" si="0"/>
        <v>1</v>
      </c>
      <c r="D63">
        <v>6</v>
      </c>
      <c r="E63" s="36">
        <f>step3_combined_data!X166</f>
        <v>5</v>
      </c>
      <c r="F63" s="32">
        <f t="shared" si="1"/>
        <v>1</v>
      </c>
      <c r="G63">
        <v>7</v>
      </c>
      <c r="H63">
        <v>4</v>
      </c>
      <c r="I63" s="32">
        <f t="shared" si="2"/>
        <v>3</v>
      </c>
      <c r="J63">
        <v>8</v>
      </c>
      <c r="K63">
        <v>5</v>
      </c>
      <c r="L63" s="32">
        <f t="shared" si="3"/>
        <v>3</v>
      </c>
      <c r="M63">
        <v>7</v>
      </c>
      <c r="N63">
        <v>5</v>
      </c>
      <c r="O63" s="32">
        <f t="shared" si="4"/>
        <v>2</v>
      </c>
      <c r="P63">
        <v>8</v>
      </c>
      <c r="Q63">
        <v>4</v>
      </c>
      <c r="R63" s="32">
        <f t="shared" si="5"/>
        <v>4</v>
      </c>
      <c r="S63">
        <v>7</v>
      </c>
      <c r="T63">
        <v>4</v>
      </c>
      <c r="U63" s="32">
        <f t="shared" si="6"/>
        <v>3</v>
      </c>
      <c r="V63">
        <v>6</v>
      </c>
      <c r="W63">
        <v>5</v>
      </c>
      <c r="X63" s="32">
        <f t="shared" si="7"/>
        <v>1</v>
      </c>
      <c r="Y63">
        <v>8</v>
      </c>
      <c r="Z63">
        <v>5</v>
      </c>
      <c r="AA63" s="32">
        <f t="shared" si="8"/>
        <v>3</v>
      </c>
    </row>
    <row r="64" spans="1:27" x14ac:dyDescent="0.45">
      <c r="A64">
        <v>6</v>
      </c>
      <c r="B64" s="36">
        <f>step3_combined_data!S74</f>
        <v>5</v>
      </c>
      <c r="C64" s="32">
        <f t="shared" si="0"/>
        <v>1</v>
      </c>
      <c r="D64">
        <v>6</v>
      </c>
      <c r="E64" s="36">
        <f>step3_combined_data!X174</f>
        <v>5</v>
      </c>
      <c r="F64" s="32">
        <f t="shared" si="1"/>
        <v>1</v>
      </c>
      <c r="G64">
        <v>7</v>
      </c>
      <c r="H64">
        <v>4</v>
      </c>
      <c r="I64" s="32">
        <f t="shared" si="2"/>
        <v>3</v>
      </c>
      <c r="J64">
        <v>8</v>
      </c>
      <c r="K64">
        <v>5</v>
      </c>
      <c r="L64" s="32">
        <f t="shared" si="3"/>
        <v>3</v>
      </c>
      <c r="M64">
        <v>7</v>
      </c>
      <c r="N64">
        <v>5</v>
      </c>
      <c r="O64" s="32">
        <f t="shared" si="4"/>
        <v>2</v>
      </c>
      <c r="P64">
        <v>8</v>
      </c>
      <c r="Q64">
        <v>4</v>
      </c>
      <c r="R64" s="32">
        <f t="shared" si="5"/>
        <v>4</v>
      </c>
      <c r="S64">
        <v>7</v>
      </c>
      <c r="T64">
        <v>4</v>
      </c>
      <c r="U64" s="32">
        <f t="shared" si="6"/>
        <v>3</v>
      </c>
      <c r="V64">
        <v>6</v>
      </c>
      <c r="W64">
        <v>5</v>
      </c>
      <c r="X64" s="32">
        <f t="shared" si="7"/>
        <v>1</v>
      </c>
      <c r="Y64">
        <v>8</v>
      </c>
      <c r="Z64">
        <v>5</v>
      </c>
      <c r="AA64" s="32">
        <f t="shared" si="8"/>
        <v>3</v>
      </c>
    </row>
    <row r="65" spans="1:27" x14ac:dyDescent="0.45">
      <c r="A65">
        <v>6</v>
      </c>
      <c r="B65" s="36">
        <f>step3_combined_data!S75</f>
        <v>5</v>
      </c>
      <c r="C65" s="32">
        <f t="shared" si="0"/>
        <v>1</v>
      </c>
      <c r="D65">
        <v>6</v>
      </c>
      <c r="E65" s="36">
        <f>step3_combined_data!X176</f>
        <v>5</v>
      </c>
      <c r="F65" s="32">
        <f t="shared" si="1"/>
        <v>1</v>
      </c>
      <c r="G65">
        <v>7</v>
      </c>
      <c r="H65">
        <v>4</v>
      </c>
      <c r="I65" s="32">
        <f t="shared" si="2"/>
        <v>3</v>
      </c>
      <c r="J65">
        <v>8</v>
      </c>
      <c r="K65">
        <v>5</v>
      </c>
      <c r="L65" s="32">
        <f t="shared" si="3"/>
        <v>3</v>
      </c>
      <c r="M65">
        <v>7</v>
      </c>
      <c r="N65">
        <v>5</v>
      </c>
      <c r="O65" s="32">
        <f t="shared" si="4"/>
        <v>2</v>
      </c>
      <c r="P65">
        <v>8</v>
      </c>
      <c r="Q65">
        <v>4</v>
      </c>
      <c r="R65" s="32">
        <f t="shared" si="5"/>
        <v>4</v>
      </c>
      <c r="S65">
        <v>7</v>
      </c>
      <c r="T65">
        <v>4</v>
      </c>
      <c r="U65" s="32">
        <f t="shared" si="6"/>
        <v>3</v>
      </c>
      <c r="V65">
        <v>6</v>
      </c>
      <c r="W65">
        <v>5</v>
      </c>
      <c r="X65" s="32">
        <f t="shared" si="7"/>
        <v>1</v>
      </c>
      <c r="Y65">
        <v>8</v>
      </c>
      <c r="Z65">
        <v>5</v>
      </c>
      <c r="AA65" s="32">
        <f t="shared" si="8"/>
        <v>3</v>
      </c>
    </row>
    <row r="66" spans="1:27" x14ac:dyDescent="0.45">
      <c r="A66">
        <v>6</v>
      </c>
      <c r="B66" s="36">
        <f>step3_combined_data!S77</f>
        <v>5</v>
      </c>
      <c r="C66" s="32">
        <f t="shared" si="0"/>
        <v>1</v>
      </c>
      <c r="D66">
        <v>6</v>
      </c>
      <c r="E66" s="36">
        <f>step3_combined_data!X181</f>
        <v>5</v>
      </c>
      <c r="F66" s="32">
        <f t="shared" si="1"/>
        <v>1</v>
      </c>
      <c r="G66">
        <v>7</v>
      </c>
      <c r="H66">
        <v>4</v>
      </c>
      <c r="I66" s="32">
        <f t="shared" si="2"/>
        <v>3</v>
      </c>
      <c r="J66">
        <v>8</v>
      </c>
      <c r="K66">
        <v>5</v>
      </c>
      <c r="L66" s="32">
        <f t="shared" si="3"/>
        <v>3</v>
      </c>
      <c r="M66">
        <v>7</v>
      </c>
      <c r="N66">
        <v>5</v>
      </c>
      <c r="O66" s="32">
        <f t="shared" si="4"/>
        <v>2</v>
      </c>
      <c r="P66">
        <v>8</v>
      </c>
      <c r="Q66">
        <v>4</v>
      </c>
      <c r="R66" s="32">
        <f t="shared" si="5"/>
        <v>4</v>
      </c>
      <c r="S66">
        <v>7</v>
      </c>
      <c r="T66">
        <v>4</v>
      </c>
      <c r="U66" s="32">
        <f t="shared" si="6"/>
        <v>3</v>
      </c>
      <c r="V66">
        <v>6</v>
      </c>
      <c r="W66">
        <v>5</v>
      </c>
      <c r="X66" s="32">
        <f t="shared" si="7"/>
        <v>1</v>
      </c>
      <c r="Y66">
        <v>8</v>
      </c>
      <c r="Z66">
        <v>5</v>
      </c>
      <c r="AA66" s="32">
        <f t="shared" si="8"/>
        <v>3</v>
      </c>
    </row>
    <row r="67" spans="1:27" x14ac:dyDescent="0.45">
      <c r="A67">
        <v>6</v>
      </c>
      <c r="B67" s="36">
        <f>step3_combined_data!S87</f>
        <v>5</v>
      </c>
      <c r="C67" s="32">
        <f t="shared" ref="C67:C130" si="9">ABS(B67-A67)</f>
        <v>1</v>
      </c>
      <c r="D67">
        <v>6</v>
      </c>
      <c r="E67" s="36">
        <f>step3_combined_data!X184</f>
        <v>5</v>
      </c>
      <c r="F67" s="32">
        <f t="shared" ref="F67:F130" si="10">ABS(E67-D67)</f>
        <v>1</v>
      </c>
      <c r="G67">
        <v>7</v>
      </c>
      <c r="H67">
        <v>4</v>
      </c>
      <c r="I67" s="32">
        <f t="shared" ref="I67:I130" si="11">ABS(H67-G67)</f>
        <v>3</v>
      </c>
      <c r="J67">
        <v>8</v>
      </c>
      <c r="K67">
        <v>5</v>
      </c>
      <c r="L67" s="32">
        <f t="shared" ref="L67:L130" si="12">ABS(K67-J67)</f>
        <v>3</v>
      </c>
      <c r="M67">
        <v>7</v>
      </c>
      <c r="N67">
        <v>5</v>
      </c>
      <c r="O67" s="32">
        <f t="shared" ref="O67:O130" si="13">ABS(N67-M67)</f>
        <v>2</v>
      </c>
      <c r="P67">
        <v>8</v>
      </c>
      <c r="Q67">
        <v>4</v>
      </c>
      <c r="R67" s="32">
        <f t="shared" ref="R67:R130" si="14">ABS(Q67-P67)</f>
        <v>4</v>
      </c>
      <c r="S67">
        <v>7</v>
      </c>
      <c r="T67">
        <v>4</v>
      </c>
      <c r="U67" s="32">
        <f t="shared" ref="U67:U130" si="15">ABS(T67-S67)</f>
        <v>3</v>
      </c>
      <c r="V67">
        <v>6</v>
      </c>
      <c r="W67">
        <v>5</v>
      </c>
      <c r="X67" s="32">
        <f t="shared" ref="X67:X130" si="16">ABS(W67-V67)</f>
        <v>1</v>
      </c>
      <c r="Y67">
        <v>8</v>
      </c>
      <c r="Z67">
        <v>5</v>
      </c>
      <c r="AA67" s="32">
        <f t="shared" ref="AA67:AA130" si="17">ABS(Z67-Y67)</f>
        <v>3</v>
      </c>
    </row>
    <row r="68" spans="1:27" x14ac:dyDescent="0.45">
      <c r="A68">
        <v>6</v>
      </c>
      <c r="B68" s="36">
        <f>step3_combined_data!S94</f>
        <v>5</v>
      </c>
      <c r="C68" s="32">
        <f t="shared" si="9"/>
        <v>1</v>
      </c>
      <c r="D68">
        <v>6</v>
      </c>
      <c r="E68" s="36">
        <f>step3_combined_data!X189</f>
        <v>5</v>
      </c>
      <c r="F68" s="32">
        <f t="shared" si="10"/>
        <v>1</v>
      </c>
      <c r="G68">
        <v>7</v>
      </c>
      <c r="H68">
        <v>4</v>
      </c>
      <c r="I68" s="32">
        <f t="shared" si="11"/>
        <v>3</v>
      </c>
      <c r="J68">
        <v>8</v>
      </c>
      <c r="K68">
        <v>5</v>
      </c>
      <c r="L68" s="32">
        <f t="shared" si="12"/>
        <v>3</v>
      </c>
      <c r="M68">
        <v>7</v>
      </c>
      <c r="N68">
        <v>5</v>
      </c>
      <c r="O68" s="32">
        <f t="shared" si="13"/>
        <v>2</v>
      </c>
      <c r="P68">
        <v>8</v>
      </c>
      <c r="Q68">
        <v>4</v>
      </c>
      <c r="R68" s="32">
        <f t="shared" si="14"/>
        <v>4</v>
      </c>
      <c r="S68">
        <v>7</v>
      </c>
      <c r="T68">
        <v>4</v>
      </c>
      <c r="U68" s="32">
        <f t="shared" si="15"/>
        <v>3</v>
      </c>
      <c r="V68">
        <v>6</v>
      </c>
      <c r="W68">
        <v>5</v>
      </c>
      <c r="X68" s="32">
        <f t="shared" si="16"/>
        <v>1</v>
      </c>
      <c r="Y68">
        <v>8</v>
      </c>
      <c r="Z68">
        <v>5</v>
      </c>
      <c r="AA68" s="32">
        <f t="shared" si="17"/>
        <v>3</v>
      </c>
    </row>
    <row r="69" spans="1:27" x14ac:dyDescent="0.45">
      <c r="A69">
        <v>6</v>
      </c>
      <c r="B69" s="36">
        <f>step3_combined_data!S103</f>
        <v>5</v>
      </c>
      <c r="C69" s="32">
        <f t="shared" si="9"/>
        <v>1</v>
      </c>
      <c r="D69">
        <v>6</v>
      </c>
      <c r="E69" s="36">
        <f>step3_combined_data!X199</f>
        <v>5</v>
      </c>
      <c r="F69" s="32">
        <f t="shared" si="10"/>
        <v>1</v>
      </c>
      <c r="G69">
        <v>7</v>
      </c>
      <c r="H69">
        <v>4</v>
      </c>
      <c r="I69" s="32">
        <f t="shared" si="11"/>
        <v>3</v>
      </c>
      <c r="J69">
        <v>8</v>
      </c>
      <c r="K69">
        <v>5</v>
      </c>
      <c r="L69" s="32">
        <f t="shared" si="12"/>
        <v>3</v>
      </c>
      <c r="M69">
        <v>7</v>
      </c>
      <c r="N69">
        <v>5</v>
      </c>
      <c r="O69" s="32">
        <f t="shared" si="13"/>
        <v>2</v>
      </c>
      <c r="P69">
        <v>8</v>
      </c>
      <c r="Q69">
        <v>4</v>
      </c>
      <c r="R69" s="32">
        <f t="shared" si="14"/>
        <v>4</v>
      </c>
      <c r="S69">
        <v>7</v>
      </c>
      <c r="T69">
        <v>4</v>
      </c>
      <c r="U69" s="32">
        <f t="shared" si="15"/>
        <v>3</v>
      </c>
      <c r="V69">
        <v>7</v>
      </c>
      <c r="W69">
        <v>5</v>
      </c>
      <c r="X69" s="32">
        <f t="shared" si="16"/>
        <v>2</v>
      </c>
      <c r="Y69">
        <v>8</v>
      </c>
      <c r="Z69">
        <v>5</v>
      </c>
      <c r="AA69" s="32">
        <f t="shared" si="17"/>
        <v>3</v>
      </c>
    </row>
    <row r="70" spans="1:27" x14ac:dyDescent="0.45">
      <c r="A70">
        <v>6</v>
      </c>
      <c r="B70" s="36">
        <f>step3_combined_data!S109</f>
        <v>5</v>
      </c>
      <c r="C70" s="32">
        <f t="shared" si="9"/>
        <v>1</v>
      </c>
      <c r="D70">
        <v>6</v>
      </c>
      <c r="E70" s="36">
        <f>step3_combined_data!X202</f>
        <v>5</v>
      </c>
      <c r="F70" s="32">
        <f t="shared" si="10"/>
        <v>1</v>
      </c>
      <c r="G70">
        <v>7</v>
      </c>
      <c r="H70">
        <v>4</v>
      </c>
      <c r="I70" s="32">
        <f t="shared" si="11"/>
        <v>3</v>
      </c>
      <c r="J70">
        <v>8</v>
      </c>
      <c r="K70">
        <v>5</v>
      </c>
      <c r="L70" s="32">
        <f t="shared" si="12"/>
        <v>3</v>
      </c>
      <c r="M70">
        <v>7</v>
      </c>
      <c r="N70">
        <v>5</v>
      </c>
      <c r="O70" s="32">
        <f t="shared" si="13"/>
        <v>2</v>
      </c>
      <c r="P70">
        <v>8</v>
      </c>
      <c r="Q70">
        <v>4</v>
      </c>
      <c r="R70" s="32">
        <f t="shared" si="14"/>
        <v>4</v>
      </c>
      <c r="S70">
        <v>7</v>
      </c>
      <c r="T70">
        <v>4</v>
      </c>
      <c r="U70" s="32">
        <f t="shared" si="15"/>
        <v>3</v>
      </c>
      <c r="V70">
        <v>7</v>
      </c>
      <c r="W70">
        <v>5</v>
      </c>
      <c r="X70" s="32">
        <f t="shared" si="16"/>
        <v>2</v>
      </c>
      <c r="Y70">
        <v>8</v>
      </c>
      <c r="Z70">
        <v>5</v>
      </c>
      <c r="AA70" s="32">
        <f t="shared" si="17"/>
        <v>3</v>
      </c>
    </row>
    <row r="71" spans="1:27" x14ac:dyDescent="0.45">
      <c r="A71">
        <v>6</v>
      </c>
      <c r="B71" s="36">
        <f>step3_combined_data!S131</f>
        <v>5</v>
      </c>
      <c r="C71" s="32">
        <f t="shared" si="9"/>
        <v>1</v>
      </c>
      <c r="D71">
        <v>6</v>
      </c>
      <c r="E71" s="36">
        <f>step3_combined_data!X204</f>
        <v>5</v>
      </c>
      <c r="F71" s="32">
        <f t="shared" si="10"/>
        <v>1</v>
      </c>
      <c r="G71">
        <v>7</v>
      </c>
      <c r="H71">
        <v>4</v>
      </c>
      <c r="I71" s="32">
        <f t="shared" si="11"/>
        <v>3</v>
      </c>
      <c r="J71">
        <v>8</v>
      </c>
      <c r="K71">
        <v>5</v>
      </c>
      <c r="L71" s="32">
        <f t="shared" si="12"/>
        <v>3</v>
      </c>
      <c r="M71">
        <v>7</v>
      </c>
      <c r="N71">
        <v>5</v>
      </c>
      <c r="O71" s="32">
        <f t="shared" si="13"/>
        <v>2</v>
      </c>
      <c r="P71">
        <v>8</v>
      </c>
      <c r="Q71">
        <v>4</v>
      </c>
      <c r="R71" s="32">
        <f t="shared" si="14"/>
        <v>4</v>
      </c>
      <c r="S71">
        <v>7</v>
      </c>
      <c r="T71">
        <v>4</v>
      </c>
      <c r="U71" s="32">
        <f t="shared" si="15"/>
        <v>3</v>
      </c>
      <c r="V71">
        <v>7</v>
      </c>
      <c r="W71">
        <v>5</v>
      </c>
      <c r="X71" s="32">
        <f t="shared" si="16"/>
        <v>2</v>
      </c>
      <c r="Y71">
        <v>8</v>
      </c>
      <c r="Z71">
        <v>5</v>
      </c>
      <c r="AA71" s="32">
        <f t="shared" si="17"/>
        <v>3</v>
      </c>
    </row>
    <row r="72" spans="1:27" x14ac:dyDescent="0.45">
      <c r="A72">
        <v>6</v>
      </c>
      <c r="B72" s="36">
        <f>step3_combined_data!S134</f>
        <v>5</v>
      </c>
      <c r="C72" s="32">
        <f t="shared" si="9"/>
        <v>1</v>
      </c>
      <c r="D72">
        <v>6</v>
      </c>
      <c r="E72" s="36">
        <f>step3_combined_data!X213</f>
        <v>5</v>
      </c>
      <c r="F72" s="32">
        <f t="shared" si="10"/>
        <v>1</v>
      </c>
      <c r="G72">
        <v>7</v>
      </c>
      <c r="H72">
        <v>4</v>
      </c>
      <c r="I72" s="32">
        <f t="shared" si="11"/>
        <v>3</v>
      </c>
      <c r="J72">
        <v>8</v>
      </c>
      <c r="K72">
        <v>5</v>
      </c>
      <c r="L72" s="32">
        <f t="shared" si="12"/>
        <v>3</v>
      </c>
      <c r="M72">
        <v>7</v>
      </c>
      <c r="N72">
        <v>5</v>
      </c>
      <c r="O72" s="32">
        <f t="shared" si="13"/>
        <v>2</v>
      </c>
      <c r="P72">
        <v>8</v>
      </c>
      <c r="Q72">
        <v>5</v>
      </c>
      <c r="R72" s="32">
        <f t="shared" si="14"/>
        <v>3</v>
      </c>
      <c r="S72">
        <v>7</v>
      </c>
      <c r="T72">
        <v>4</v>
      </c>
      <c r="U72" s="32">
        <f t="shared" si="15"/>
        <v>3</v>
      </c>
      <c r="V72">
        <v>7</v>
      </c>
      <c r="W72">
        <v>5</v>
      </c>
      <c r="X72" s="32">
        <f t="shared" si="16"/>
        <v>2</v>
      </c>
      <c r="Y72">
        <v>8</v>
      </c>
      <c r="Z72">
        <v>5</v>
      </c>
      <c r="AA72" s="32">
        <f t="shared" si="17"/>
        <v>3</v>
      </c>
    </row>
    <row r="73" spans="1:27" x14ac:dyDescent="0.45">
      <c r="A73">
        <v>6</v>
      </c>
      <c r="B73" s="36">
        <f>step3_combined_data!S136</f>
        <v>5</v>
      </c>
      <c r="C73" s="32">
        <f t="shared" si="9"/>
        <v>1</v>
      </c>
      <c r="D73">
        <v>6</v>
      </c>
      <c r="E73" s="36">
        <f>step3_combined_data!X216</f>
        <v>5</v>
      </c>
      <c r="F73" s="32">
        <f t="shared" si="10"/>
        <v>1</v>
      </c>
      <c r="G73">
        <v>7</v>
      </c>
      <c r="H73">
        <v>4</v>
      </c>
      <c r="I73" s="32">
        <f t="shared" si="11"/>
        <v>3</v>
      </c>
      <c r="J73">
        <v>8</v>
      </c>
      <c r="K73">
        <v>5</v>
      </c>
      <c r="L73" s="32">
        <f t="shared" si="12"/>
        <v>3</v>
      </c>
      <c r="M73">
        <v>7</v>
      </c>
      <c r="N73">
        <v>5</v>
      </c>
      <c r="O73" s="32">
        <f t="shared" si="13"/>
        <v>2</v>
      </c>
      <c r="P73">
        <v>8</v>
      </c>
      <c r="Q73">
        <v>5</v>
      </c>
      <c r="R73" s="32">
        <f t="shared" si="14"/>
        <v>3</v>
      </c>
      <c r="S73">
        <v>7</v>
      </c>
      <c r="T73">
        <v>4</v>
      </c>
      <c r="U73" s="32">
        <f t="shared" si="15"/>
        <v>3</v>
      </c>
      <c r="V73">
        <v>7</v>
      </c>
      <c r="W73">
        <v>5</v>
      </c>
      <c r="X73" s="32">
        <f t="shared" si="16"/>
        <v>2</v>
      </c>
      <c r="Y73">
        <v>8</v>
      </c>
      <c r="Z73">
        <v>5</v>
      </c>
      <c r="AA73" s="32">
        <f t="shared" si="17"/>
        <v>3</v>
      </c>
    </row>
    <row r="74" spans="1:27" x14ac:dyDescent="0.45">
      <c r="A74">
        <v>6</v>
      </c>
      <c r="B74" s="36">
        <f>step3_combined_data!S140</f>
        <v>5</v>
      </c>
      <c r="C74" s="32">
        <f t="shared" si="9"/>
        <v>1</v>
      </c>
      <c r="D74">
        <v>6</v>
      </c>
      <c r="E74" s="36">
        <f>step3_combined_data!X218</f>
        <v>5</v>
      </c>
      <c r="F74" s="32">
        <f t="shared" si="10"/>
        <v>1</v>
      </c>
      <c r="G74">
        <v>7</v>
      </c>
      <c r="H74">
        <v>4</v>
      </c>
      <c r="I74" s="32">
        <f t="shared" si="11"/>
        <v>3</v>
      </c>
      <c r="J74">
        <v>8</v>
      </c>
      <c r="K74">
        <v>5</v>
      </c>
      <c r="L74" s="32">
        <f t="shared" si="12"/>
        <v>3</v>
      </c>
      <c r="M74">
        <v>7</v>
      </c>
      <c r="N74">
        <v>5</v>
      </c>
      <c r="O74" s="32">
        <f t="shared" si="13"/>
        <v>2</v>
      </c>
      <c r="P74">
        <v>8</v>
      </c>
      <c r="Q74">
        <v>5</v>
      </c>
      <c r="R74" s="32">
        <f t="shared" si="14"/>
        <v>3</v>
      </c>
      <c r="S74">
        <v>7</v>
      </c>
      <c r="T74">
        <v>5</v>
      </c>
      <c r="U74" s="32">
        <f t="shared" si="15"/>
        <v>2</v>
      </c>
      <c r="V74">
        <v>7</v>
      </c>
      <c r="W74">
        <v>5</v>
      </c>
      <c r="X74" s="32">
        <f t="shared" si="16"/>
        <v>2</v>
      </c>
      <c r="Y74">
        <v>8</v>
      </c>
      <c r="Z74">
        <v>5</v>
      </c>
      <c r="AA74" s="32">
        <f t="shared" si="17"/>
        <v>3</v>
      </c>
    </row>
    <row r="75" spans="1:27" x14ac:dyDescent="0.45">
      <c r="A75">
        <v>6</v>
      </c>
      <c r="B75" s="36">
        <f>step3_combined_data!S143</f>
        <v>5</v>
      </c>
      <c r="C75" s="32">
        <f t="shared" si="9"/>
        <v>1</v>
      </c>
      <c r="D75">
        <v>6</v>
      </c>
      <c r="E75" s="36">
        <f>step3_combined_data!X223</f>
        <v>5</v>
      </c>
      <c r="F75" s="32">
        <f t="shared" si="10"/>
        <v>1</v>
      </c>
      <c r="G75">
        <v>7</v>
      </c>
      <c r="H75">
        <v>4</v>
      </c>
      <c r="I75" s="32">
        <f t="shared" si="11"/>
        <v>3</v>
      </c>
      <c r="J75">
        <v>8</v>
      </c>
      <c r="K75">
        <v>5</v>
      </c>
      <c r="L75" s="32">
        <f t="shared" si="12"/>
        <v>3</v>
      </c>
      <c r="M75">
        <v>7</v>
      </c>
      <c r="N75">
        <v>5</v>
      </c>
      <c r="O75" s="32">
        <f t="shared" si="13"/>
        <v>2</v>
      </c>
      <c r="P75">
        <v>8</v>
      </c>
      <c r="Q75">
        <v>5</v>
      </c>
      <c r="R75" s="32">
        <f t="shared" si="14"/>
        <v>3</v>
      </c>
      <c r="S75">
        <v>7</v>
      </c>
      <c r="T75">
        <v>5</v>
      </c>
      <c r="U75" s="32">
        <f t="shared" si="15"/>
        <v>2</v>
      </c>
      <c r="V75">
        <v>7</v>
      </c>
      <c r="W75">
        <v>5</v>
      </c>
      <c r="X75" s="32">
        <f t="shared" si="16"/>
        <v>2</v>
      </c>
      <c r="Y75">
        <v>8</v>
      </c>
      <c r="Z75">
        <v>5</v>
      </c>
      <c r="AA75" s="32">
        <f t="shared" si="17"/>
        <v>3</v>
      </c>
    </row>
    <row r="76" spans="1:27" x14ac:dyDescent="0.45">
      <c r="A76">
        <v>6</v>
      </c>
      <c r="B76" s="36">
        <f>step3_combined_data!S166</f>
        <v>5</v>
      </c>
      <c r="C76" s="32">
        <f t="shared" si="9"/>
        <v>1</v>
      </c>
      <c r="D76">
        <v>6</v>
      </c>
      <c r="E76" s="36">
        <f>step3_combined_data!X231</f>
        <v>5</v>
      </c>
      <c r="F76" s="32">
        <f t="shared" si="10"/>
        <v>1</v>
      </c>
      <c r="G76">
        <v>7</v>
      </c>
      <c r="H76">
        <v>4</v>
      </c>
      <c r="I76" s="32">
        <f t="shared" si="11"/>
        <v>3</v>
      </c>
      <c r="J76">
        <v>8</v>
      </c>
      <c r="K76">
        <v>5</v>
      </c>
      <c r="L76" s="32">
        <f t="shared" si="12"/>
        <v>3</v>
      </c>
      <c r="M76">
        <v>7</v>
      </c>
      <c r="N76">
        <v>5</v>
      </c>
      <c r="O76" s="32">
        <f t="shared" si="13"/>
        <v>2</v>
      </c>
      <c r="P76">
        <v>8</v>
      </c>
      <c r="Q76">
        <v>5</v>
      </c>
      <c r="R76" s="32">
        <f t="shared" si="14"/>
        <v>3</v>
      </c>
      <c r="S76">
        <v>7</v>
      </c>
      <c r="T76">
        <v>5</v>
      </c>
      <c r="U76" s="32">
        <f t="shared" si="15"/>
        <v>2</v>
      </c>
      <c r="V76">
        <v>7</v>
      </c>
      <c r="W76">
        <v>5</v>
      </c>
      <c r="X76" s="32">
        <f t="shared" si="16"/>
        <v>2</v>
      </c>
      <c r="Y76">
        <v>8</v>
      </c>
      <c r="Z76">
        <v>5</v>
      </c>
      <c r="AA76" s="32">
        <f t="shared" si="17"/>
        <v>3</v>
      </c>
    </row>
    <row r="77" spans="1:27" x14ac:dyDescent="0.45">
      <c r="A77">
        <v>6</v>
      </c>
      <c r="B77" s="36">
        <f>step3_combined_data!S168</f>
        <v>5</v>
      </c>
      <c r="C77" s="32">
        <f t="shared" si="9"/>
        <v>1</v>
      </c>
      <c r="D77">
        <v>6</v>
      </c>
      <c r="E77" s="36">
        <f>step3_combined_data!X243</f>
        <v>5</v>
      </c>
      <c r="F77" s="32">
        <f t="shared" si="10"/>
        <v>1</v>
      </c>
      <c r="G77">
        <v>7</v>
      </c>
      <c r="H77">
        <v>4</v>
      </c>
      <c r="I77" s="32">
        <f t="shared" si="11"/>
        <v>3</v>
      </c>
      <c r="J77">
        <v>8</v>
      </c>
      <c r="K77">
        <v>6</v>
      </c>
      <c r="L77" s="32">
        <f t="shared" si="12"/>
        <v>2</v>
      </c>
      <c r="M77">
        <v>7</v>
      </c>
      <c r="N77">
        <v>5</v>
      </c>
      <c r="O77" s="32">
        <f t="shared" si="13"/>
        <v>2</v>
      </c>
      <c r="P77">
        <v>8</v>
      </c>
      <c r="Q77">
        <v>5</v>
      </c>
      <c r="R77" s="32">
        <f t="shared" si="14"/>
        <v>3</v>
      </c>
      <c r="S77">
        <v>7</v>
      </c>
      <c r="T77">
        <v>5</v>
      </c>
      <c r="U77" s="32">
        <f t="shared" si="15"/>
        <v>2</v>
      </c>
      <c r="V77">
        <v>7</v>
      </c>
      <c r="W77">
        <v>5</v>
      </c>
      <c r="X77" s="32">
        <f t="shared" si="16"/>
        <v>2</v>
      </c>
      <c r="Y77">
        <v>8</v>
      </c>
      <c r="Z77">
        <v>5</v>
      </c>
      <c r="AA77" s="32">
        <f t="shared" si="17"/>
        <v>3</v>
      </c>
    </row>
    <row r="78" spans="1:27" x14ac:dyDescent="0.45">
      <c r="A78">
        <v>6</v>
      </c>
      <c r="B78" s="36">
        <f>step3_combined_data!S171</f>
        <v>5</v>
      </c>
      <c r="C78" s="32">
        <f t="shared" si="9"/>
        <v>1</v>
      </c>
      <c r="D78">
        <v>6</v>
      </c>
      <c r="E78" s="36">
        <f>step3_combined_data!X266</f>
        <v>5</v>
      </c>
      <c r="F78" s="32">
        <f t="shared" si="10"/>
        <v>1</v>
      </c>
      <c r="G78">
        <v>7</v>
      </c>
      <c r="H78">
        <v>4</v>
      </c>
      <c r="I78" s="32">
        <f t="shared" si="11"/>
        <v>3</v>
      </c>
      <c r="J78">
        <v>8</v>
      </c>
      <c r="K78">
        <v>6</v>
      </c>
      <c r="L78" s="32">
        <f t="shared" si="12"/>
        <v>2</v>
      </c>
      <c r="M78">
        <v>7</v>
      </c>
      <c r="N78">
        <v>5</v>
      </c>
      <c r="O78" s="32">
        <f t="shared" si="13"/>
        <v>2</v>
      </c>
      <c r="P78">
        <v>8</v>
      </c>
      <c r="Q78">
        <v>5</v>
      </c>
      <c r="R78" s="32">
        <f t="shared" si="14"/>
        <v>3</v>
      </c>
      <c r="S78">
        <v>7</v>
      </c>
      <c r="T78">
        <v>5</v>
      </c>
      <c r="U78" s="32">
        <f t="shared" si="15"/>
        <v>2</v>
      </c>
      <c r="V78">
        <v>7</v>
      </c>
      <c r="W78">
        <v>5</v>
      </c>
      <c r="X78" s="32">
        <f t="shared" si="16"/>
        <v>2</v>
      </c>
      <c r="Y78">
        <v>8</v>
      </c>
      <c r="Z78">
        <v>5</v>
      </c>
      <c r="AA78" s="32">
        <f t="shared" si="17"/>
        <v>3</v>
      </c>
    </row>
    <row r="79" spans="1:27" x14ac:dyDescent="0.45">
      <c r="A79">
        <v>6</v>
      </c>
      <c r="B79" s="36">
        <f>step3_combined_data!S174</f>
        <v>5</v>
      </c>
      <c r="C79" s="32">
        <f t="shared" si="9"/>
        <v>1</v>
      </c>
      <c r="D79">
        <v>6</v>
      </c>
      <c r="E79" s="36">
        <f>step3_combined_data!X270</f>
        <v>5</v>
      </c>
      <c r="F79" s="32">
        <f t="shared" si="10"/>
        <v>1</v>
      </c>
      <c r="G79">
        <v>7</v>
      </c>
      <c r="H79">
        <v>4</v>
      </c>
      <c r="I79" s="32">
        <f t="shared" si="11"/>
        <v>3</v>
      </c>
      <c r="J79">
        <v>8</v>
      </c>
      <c r="K79">
        <v>6</v>
      </c>
      <c r="L79" s="32">
        <f t="shared" si="12"/>
        <v>2</v>
      </c>
      <c r="M79">
        <v>7</v>
      </c>
      <c r="N79">
        <v>5</v>
      </c>
      <c r="O79" s="32">
        <f t="shared" si="13"/>
        <v>2</v>
      </c>
      <c r="P79">
        <v>8</v>
      </c>
      <c r="Q79">
        <v>5</v>
      </c>
      <c r="R79" s="32">
        <f t="shared" si="14"/>
        <v>3</v>
      </c>
      <c r="S79">
        <v>7</v>
      </c>
      <c r="T79">
        <v>5</v>
      </c>
      <c r="U79" s="32">
        <f t="shared" si="15"/>
        <v>2</v>
      </c>
      <c r="V79">
        <v>7</v>
      </c>
      <c r="W79">
        <v>5</v>
      </c>
      <c r="X79" s="32">
        <f t="shared" si="16"/>
        <v>2</v>
      </c>
      <c r="Y79">
        <v>8</v>
      </c>
      <c r="Z79">
        <v>5</v>
      </c>
      <c r="AA79" s="32">
        <f t="shared" si="17"/>
        <v>3</v>
      </c>
    </row>
    <row r="80" spans="1:27" x14ac:dyDescent="0.45">
      <c r="A80">
        <v>6</v>
      </c>
      <c r="B80" s="36">
        <f>step3_combined_data!S181</f>
        <v>5</v>
      </c>
      <c r="C80" s="32">
        <f t="shared" si="9"/>
        <v>1</v>
      </c>
      <c r="D80">
        <v>6</v>
      </c>
      <c r="E80" s="36">
        <f>step3_combined_data!X284</f>
        <v>5</v>
      </c>
      <c r="F80" s="32">
        <f t="shared" si="10"/>
        <v>1</v>
      </c>
      <c r="G80">
        <v>7</v>
      </c>
      <c r="H80">
        <v>4</v>
      </c>
      <c r="I80" s="32">
        <f t="shared" si="11"/>
        <v>3</v>
      </c>
      <c r="J80">
        <v>8</v>
      </c>
      <c r="K80">
        <v>6</v>
      </c>
      <c r="L80" s="32">
        <f t="shared" si="12"/>
        <v>2</v>
      </c>
      <c r="M80">
        <v>7</v>
      </c>
      <c r="N80">
        <v>5</v>
      </c>
      <c r="O80" s="32">
        <f t="shared" si="13"/>
        <v>2</v>
      </c>
      <c r="P80">
        <v>8</v>
      </c>
      <c r="Q80">
        <v>5</v>
      </c>
      <c r="R80" s="32">
        <f t="shared" si="14"/>
        <v>3</v>
      </c>
      <c r="S80">
        <v>7</v>
      </c>
      <c r="T80">
        <v>5</v>
      </c>
      <c r="U80" s="32">
        <f t="shared" si="15"/>
        <v>2</v>
      </c>
      <c r="V80">
        <v>7</v>
      </c>
      <c r="W80">
        <v>5</v>
      </c>
      <c r="X80" s="32">
        <f t="shared" si="16"/>
        <v>2</v>
      </c>
      <c r="Y80">
        <v>8</v>
      </c>
      <c r="Z80">
        <v>5</v>
      </c>
      <c r="AA80" s="32">
        <f t="shared" si="17"/>
        <v>3</v>
      </c>
    </row>
    <row r="81" spans="1:27" x14ac:dyDescent="0.45">
      <c r="A81">
        <v>6</v>
      </c>
      <c r="B81" s="36">
        <f>step3_combined_data!S189</f>
        <v>5</v>
      </c>
      <c r="C81" s="32">
        <f t="shared" si="9"/>
        <v>1</v>
      </c>
      <c r="D81">
        <v>6</v>
      </c>
      <c r="E81" s="36">
        <f>step3_combined_data!X299</f>
        <v>5</v>
      </c>
      <c r="F81" s="32">
        <f t="shared" si="10"/>
        <v>1</v>
      </c>
      <c r="G81">
        <v>7</v>
      </c>
      <c r="H81">
        <v>4</v>
      </c>
      <c r="I81" s="32">
        <f t="shared" si="11"/>
        <v>3</v>
      </c>
      <c r="J81">
        <v>8</v>
      </c>
      <c r="K81">
        <v>6</v>
      </c>
      <c r="L81" s="32">
        <f t="shared" si="12"/>
        <v>2</v>
      </c>
      <c r="M81">
        <v>7</v>
      </c>
      <c r="N81">
        <v>5</v>
      </c>
      <c r="O81" s="32">
        <f t="shared" si="13"/>
        <v>2</v>
      </c>
      <c r="P81">
        <v>8</v>
      </c>
      <c r="Q81">
        <v>5</v>
      </c>
      <c r="R81" s="32">
        <f t="shared" si="14"/>
        <v>3</v>
      </c>
      <c r="S81">
        <v>7</v>
      </c>
      <c r="T81">
        <v>5</v>
      </c>
      <c r="U81" s="32">
        <f t="shared" si="15"/>
        <v>2</v>
      </c>
      <c r="V81">
        <v>7</v>
      </c>
      <c r="W81">
        <v>5</v>
      </c>
      <c r="X81" s="32">
        <f t="shared" si="16"/>
        <v>2</v>
      </c>
      <c r="Y81">
        <v>8</v>
      </c>
      <c r="Z81">
        <v>5</v>
      </c>
      <c r="AA81" s="32">
        <f t="shared" si="17"/>
        <v>3</v>
      </c>
    </row>
    <row r="82" spans="1:27" x14ac:dyDescent="0.45">
      <c r="A82">
        <v>6</v>
      </c>
      <c r="B82" s="36">
        <f>step3_combined_data!S199</f>
        <v>5</v>
      </c>
      <c r="C82" s="32">
        <f t="shared" si="9"/>
        <v>1</v>
      </c>
      <c r="D82">
        <v>6</v>
      </c>
      <c r="E82" s="36">
        <f>step3_combined_data!X312</f>
        <v>5</v>
      </c>
      <c r="F82" s="32">
        <f t="shared" si="10"/>
        <v>1</v>
      </c>
      <c r="G82">
        <v>7</v>
      </c>
      <c r="H82">
        <v>4</v>
      </c>
      <c r="I82" s="32">
        <f t="shared" si="11"/>
        <v>3</v>
      </c>
      <c r="J82">
        <v>8</v>
      </c>
      <c r="K82">
        <v>6</v>
      </c>
      <c r="L82" s="32">
        <f t="shared" si="12"/>
        <v>2</v>
      </c>
      <c r="M82">
        <v>7</v>
      </c>
      <c r="N82">
        <v>5</v>
      </c>
      <c r="O82" s="32">
        <f t="shared" si="13"/>
        <v>2</v>
      </c>
      <c r="P82">
        <v>8</v>
      </c>
      <c r="Q82">
        <v>5</v>
      </c>
      <c r="R82" s="32">
        <f t="shared" si="14"/>
        <v>3</v>
      </c>
      <c r="S82">
        <v>7</v>
      </c>
      <c r="T82">
        <v>5</v>
      </c>
      <c r="U82" s="32">
        <f t="shared" si="15"/>
        <v>2</v>
      </c>
      <c r="V82">
        <v>7</v>
      </c>
      <c r="W82">
        <v>5</v>
      </c>
      <c r="X82" s="32">
        <f t="shared" si="16"/>
        <v>2</v>
      </c>
      <c r="Y82">
        <v>8</v>
      </c>
      <c r="Z82">
        <v>5</v>
      </c>
      <c r="AA82" s="32">
        <f t="shared" si="17"/>
        <v>3</v>
      </c>
    </row>
    <row r="83" spans="1:27" x14ac:dyDescent="0.45">
      <c r="A83">
        <v>6</v>
      </c>
      <c r="B83" s="36">
        <f>step3_combined_data!S202</f>
        <v>5</v>
      </c>
      <c r="C83" s="32">
        <f t="shared" si="9"/>
        <v>1</v>
      </c>
      <c r="D83">
        <v>6</v>
      </c>
      <c r="E83" s="36">
        <f>step3_combined_data!X316</f>
        <v>5</v>
      </c>
      <c r="F83" s="32">
        <f t="shared" si="10"/>
        <v>1</v>
      </c>
      <c r="G83">
        <v>7</v>
      </c>
      <c r="H83">
        <v>4</v>
      </c>
      <c r="I83" s="32">
        <f t="shared" si="11"/>
        <v>3</v>
      </c>
      <c r="J83">
        <v>8</v>
      </c>
      <c r="K83">
        <v>6</v>
      </c>
      <c r="L83" s="32">
        <f t="shared" si="12"/>
        <v>2</v>
      </c>
      <c r="M83">
        <v>7</v>
      </c>
      <c r="N83">
        <v>5</v>
      </c>
      <c r="O83" s="32">
        <f t="shared" si="13"/>
        <v>2</v>
      </c>
      <c r="P83">
        <v>8</v>
      </c>
      <c r="Q83">
        <v>5</v>
      </c>
      <c r="R83" s="32">
        <f t="shared" si="14"/>
        <v>3</v>
      </c>
      <c r="S83">
        <v>7</v>
      </c>
      <c r="T83">
        <v>5</v>
      </c>
      <c r="U83" s="32">
        <f t="shared" si="15"/>
        <v>2</v>
      </c>
      <c r="V83">
        <v>7</v>
      </c>
      <c r="W83">
        <v>5</v>
      </c>
      <c r="X83" s="32">
        <f t="shared" si="16"/>
        <v>2</v>
      </c>
      <c r="Y83">
        <v>8</v>
      </c>
      <c r="Z83">
        <v>5</v>
      </c>
      <c r="AA83" s="32">
        <f t="shared" si="17"/>
        <v>3</v>
      </c>
    </row>
    <row r="84" spans="1:27" x14ac:dyDescent="0.45">
      <c r="A84">
        <v>6</v>
      </c>
      <c r="B84" s="36">
        <f>step3_combined_data!S204</f>
        <v>5</v>
      </c>
      <c r="C84" s="32">
        <f t="shared" si="9"/>
        <v>1</v>
      </c>
      <c r="D84">
        <v>6</v>
      </c>
      <c r="E84" s="36">
        <f>step3_combined_data!X323</f>
        <v>5</v>
      </c>
      <c r="F84" s="32">
        <f t="shared" si="10"/>
        <v>1</v>
      </c>
      <c r="G84">
        <v>7</v>
      </c>
      <c r="H84">
        <v>4</v>
      </c>
      <c r="I84" s="32">
        <f t="shared" si="11"/>
        <v>3</v>
      </c>
      <c r="J84">
        <v>8</v>
      </c>
      <c r="K84">
        <v>6</v>
      </c>
      <c r="L84" s="32">
        <f t="shared" si="12"/>
        <v>2</v>
      </c>
      <c r="M84">
        <v>7</v>
      </c>
      <c r="N84">
        <v>5</v>
      </c>
      <c r="O84" s="32">
        <f t="shared" si="13"/>
        <v>2</v>
      </c>
      <c r="P84">
        <v>8</v>
      </c>
      <c r="Q84">
        <v>5</v>
      </c>
      <c r="R84" s="32">
        <f t="shared" si="14"/>
        <v>3</v>
      </c>
      <c r="S84">
        <v>7</v>
      </c>
      <c r="T84">
        <v>5</v>
      </c>
      <c r="U84" s="32">
        <f t="shared" si="15"/>
        <v>2</v>
      </c>
      <c r="V84">
        <v>7</v>
      </c>
      <c r="W84">
        <v>5</v>
      </c>
      <c r="X84" s="32">
        <f t="shared" si="16"/>
        <v>2</v>
      </c>
      <c r="Y84">
        <v>8</v>
      </c>
      <c r="Z84">
        <v>5</v>
      </c>
      <c r="AA84" s="32">
        <f t="shared" si="17"/>
        <v>3</v>
      </c>
    </row>
    <row r="85" spans="1:27" x14ac:dyDescent="0.45">
      <c r="A85">
        <v>6</v>
      </c>
      <c r="B85" s="36">
        <f>step3_combined_data!S213</f>
        <v>5</v>
      </c>
      <c r="C85" s="32">
        <f t="shared" si="9"/>
        <v>1</v>
      </c>
      <c r="D85">
        <v>6</v>
      </c>
      <c r="E85" s="36">
        <f>step3_combined_data!X337</f>
        <v>5</v>
      </c>
      <c r="F85" s="32">
        <f t="shared" si="10"/>
        <v>1</v>
      </c>
      <c r="G85">
        <v>7</v>
      </c>
      <c r="H85">
        <v>5</v>
      </c>
      <c r="I85" s="32">
        <f t="shared" si="11"/>
        <v>2</v>
      </c>
      <c r="J85">
        <v>8</v>
      </c>
      <c r="K85">
        <v>6</v>
      </c>
      <c r="L85" s="32">
        <f t="shared" si="12"/>
        <v>2</v>
      </c>
      <c r="M85">
        <v>7</v>
      </c>
      <c r="N85">
        <v>5</v>
      </c>
      <c r="O85" s="32">
        <f t="shared" si="13"/>
        <v>2</v>
      </c>
      <c r="P85">
        <v>8</v>
      </c>
      <c r="Q85">
        <v>5</v>
      </c>
      <c r="R85" s="32">
        <f t="shared" si="14"/>
        <v>3</v>
      </c>
      <c r="S85">
        <v>7</v>
      </c>
      <c r="T85">
        <v>5</v>
      </c>
      <c r="U85" s="32">
        <f t="shared" si="15"/>
        <v>2</v>
      </c>
      <c r="V85">
        <v>7</v>
      </c>
      <c r="W85">
        <v>5</v>
      </c>
      <c r="X85" s="32">
        <f t="shared" si="16"/>
        <v>2</v>
      </c>
      <c r="Y85">
        <v>8</v>
      </c>
      <c r="Z85">
        <v>5</v>
      </c>
      <c r="AA85" s="32">
        <f t="shared" si="17"/>
        <v>3</v>
      </c>
    </row>
    <row r="86" spans="1:27" x14ac:dyDescent="0.45">
      <c r="A86">
        <v>6</v>
      </c>
      <c r="B86" s="36">
        <f>step3_combined_data!S216</f>
        <v>5</v>
      </c>
      <c r="C86" s="32">
        <f t="shared" si="9"/>
        <v>1</v>
      </c>
      <c r="D86">
        <v>6</v>
      </c>
      <c r="E86" s="36">
        <f>step3_combined_data!X343</f>
        <v>5</v>
      </c>
      <c r="F86" s="32">
        <f t="shared" si="10"/>
        <v>1</v>
      </c>
      <c r="G86">
        <v>7</v>
      </c>
      <c r="H86">
        <v>5</v>
      </c>
      <c r="I86" s="32">
        <f t="shared" si="11"/>
        <v>2</v>
      </c>
      <c r="J86">
        <v>8</v>
      </c>
      <c r="K86">
        <v>6</v>
      </c>
      <c r="L86" s="32">
        <f t="shared" si="12"/>
        <v>2</v>
      </c>
      <c r="M86">
        <v>7</v>
      </c>
      <c r="N86">
        <v>5</v>
      </c>
      <c r="O86" s="32">
        <f t="shared" si="13"/>
        <v>2</v>
      </c>
      <c r="P86">
        <v>8</v>
      </c>
      <c r="Q86">
        <v>5</v>
      </c>
      <c r="R86" s="32">
        <f t="shared" si="14"/>
        <v>3</v>
      </c>
      <c r="S86">
        <v>7</v>
      </c>
      <c r="T86">
        <v>5</v>
      </c>
      <c r="U86" s="32">
        <f t="shared" si="15"/>
        <v>2</v>
      </c>
      <c r="V86">
        <v>7</v>
      </c>
      <c r="W86">
        <v>5</v>
      </c>
      <c r="X86" s="32">
        <f t="shared" si="16"/>
        <v>2</v>
      </c>
      <c r="Y86">
        <v>8</v>
      </c>
      <c r="Z86">
        <v>5</v>
      </c>
      <c r="AA86" s="32">
        <f t="shared" si="17"/>
        <v>3</v>
      </c>
    </row>
    <row r="87" spans="1:27" x14ac:dyDescent="0.45">
      <c r="A87">
        <v>6</v>
      </c>
      <c r="B87" s="36">
        <f>step3_combined_data!S218</f>
        <v>5</v>
      </c>
      <c r="C87" s="32">
        <f t="shared" si="9"/>
        <v>1</v>
      </c>
      <c r="D87">
        <v>6</v>
      </c>
      <c r="E87" s="36">
        <f>step3_combined_data!X360</f>
        <v>5</v>
      </c>
      <c r="F87" s="32">
        <f t="shared" si="10"/>
        <v>1</v>
      </c>
      <c r="G87">
        <v>8</v>
      </c>
      <c r="H87">
        <v>5</v>
      </c>
      <c r="I87" s="32">
        <f t="shared" si="11"/>
        <v>3</v>
      </c>
      <c r="J87">
        <v>8</v>
      </c>
      <c r="K87">
        <v>6</v>
      </c>
      <c r="L87" s="32">
        <f t="shared" si="12"/>
        <v>2</v>
      </c>
      <c r="M87">
        <v>7</v>
      </c>
      <c r="N87">
        <v>5</v>
      </c>
      <c r="O87" s="32">
        <f t="shared" si="13"/>
        <v>2</v>
      </c>
      <c r="P87">
        <v>8</v>
      </c>
      <c r="Q87">
        <v>5</v>
      </c>
      <c r="R87" s="32">
        <f t="shared" si="14"/>
        <v>3</v>
      </c>
      <c r="S87">
        <v>7</v>
      </c>
      <c r="T87">
        <v>5</v>
      </c>
      <c r="U87" s="32">
        <f t="shared" si="15"/>
        <v>2</v>
      </c>
      <c r="V87">
        <v>7</v>
      </c>
      <c r="W87">
        <v>5</v>
      </c>
      <c r="X87" s="32">
        <f t="shared" si="16"/>
        <v>2</v>
      </c>
      <c r="Y87">
        <v>8</v>
      </c>
      <c r="Z87">
        <v>5</v>
      </c>
      <c r="AA87" s="32">
        <f t="shared" si="17"/>
        <v>3</v>
      </c>
    </row>
    <row r="88" spans="1:27" x14ac:dyDescent="0.45">
      <c r="A88">
        <v>6</v>
      </c>
      <c r="B88" s="36">
        <f>step3_combined_data!S284</f>
        <v>5</v>
      </c>
      <c r="C88" s="32">
        <f t="shared" si="9"/>
        <v>1</v>
      </c>
      <c r="D88">
        <v>6</v>
      </c>
      <c r="E88" s="36">
        <f>step3_combined_data!X365</f>
        <v>5</v>
      </c>
      <c r="F88" s="32">
        <f t="shared" si="10"/>
        <v>1</v>
      </c>
      <c r="G88">
        <v>8</v>
      </c>
      <c r="H88">
        <v>5</v>
      </c>
      <c r="I88" s="32">
        <f t="shared" si="11"/>
        <v>3</v>
      </c>
      <c r="J88">
        <v>8</v>
      </c>
      <c r="K88">
        <v>6</v>
      </c>
      <c r="L88" s="32">
        <f t="shared" si="12"/>
        <v>2</v>
      </c>
      <c r="M88">
        <v>7</v>
      </c>
      <c r="N88">
        <v>5</v>
      </c>
      <c r="O88" s="32">
        <f t="shared" si="13"/>
        <v>2</v>
      </c>
      <c r="P88">
        <v>8</v>
      </c>
      <c r="Q88">
        <v>5</v>
      </c>
      <c r="R88" s="32">
        <f t="shared" si="14"/>
        <v>3</v>
      </c>
      <c r="S88">
        <v>7</v>
      </c>
      <c r="T88">
        <v>5</v>
      </c>
      <c r="U88" s="32">
        <f t="shared" si="15"/>
        <v>2</v>
      </c>
      <c r="V88">
        <v>7</v>
      </c>
      <c r="W88">
        <v>5</v>
      </c>
      <c r="X88" s="32">
        <f t="shared" si="16"/>
        <v>2</v>
      </c>
      <c r="Y88">
        <v>8</v>
      </c>
      <c r="Z88">
        <v>5</v>
      </c>
      <c r="AA88" s="32">
        <f t="shared" si="17"/>
        <v>3</v>
      </c>
    </row>
    <row r="89" spans="1:27" x14ac:dyDescent="0.45">
      <c r="A89">
        <v>6</v>
      </c>
      <c r="B89" s="36">
        <f>step3_combined_data!S298</f>
        <v>5</v>
      </c>
      <c r="C89" s="32">
        <f t="shared" si="9"/>
        <v>1</v>
      </c>
      <c r="D89">
        <v>6</v>
      </c>
      <c r="E89" s="36">
        <f>step3_combined_data!X383</f>
        <v>5</v>
      </c>
      <c r="F89" s="32">
        <f t="shared" si="10"/>
        <v>1</v>
      </c>
      <c r="G89">
        <v>8</v>
      </c>
      <c r="H89">
        <v>5</v>
      </c>
      <c r="I89" s="32">
        <f t="shared" si="11"/>
        <v>3</v>
      </c>
      <c r="J89">
        <v>8</v>
      </c>
      <c r="K89">
        <v>6</v>
      </c>
      <c r="L89" s="32">
        <f t="shared" si="12"/>
        <v>2</v>
      </c>
      <c r="M89">
        <v>7</v>
      </c>
      <c r="N89">
        <v>5</v>
      </c>
      <c r="O89" s="32">
        <f t="shared" si="13"/>
        <v>2</v>
      </c>
      <c r="P89">
        <v>8</v>
      </c>
      <c r="Q89">
        <v>5</v>
      </c>
      <c r="R89" s="32">
        <f t="shared" si="14"/>
        <v>3</v>
      </c>
      <c r="S89">
        <v>7</v>
      </c>
      <c r="T89">
        <v>5</v>
      </c>
      <c r="U89" s="32">
        <f t="shared" si="15"/>
        <v>2</v>
      </c>
      <c r="V89">
        <v>7</v>
      </c>
      <c r="W89">
        <v>5</v>
      </c>
      <c r="X89" s="32">
        <f t="shared" si="16"/>
        <v>2</v>
      </c>
      <c r="Y89">
        <v>8</v>
      </c>
      <c r="Z89">
        <v>5</v>
      </c>
      <c r="AA89" s="32">
        <f t="shared" si="17"/>
        <v>3</v>
      </c>
    </row>
    <row r="90" spans="1:27" x14ac:dyDescent="0.45">
      <c r="A90">
        <v>6</v>
      </c>
      <c r="B90" s="36">
        <f>step3_combined_data!S299</f>
        <v>5</v>
      </c>
      <c r="C90" s="32">
        <f t="shared" si="9"/>
        <v>1</v>
      </c>
      <c r="D90">
        <v>6</v>
      </c>
      <c r="E90" s="36">
        <f>step3_combined_data!X388</f>
        <v>5</v>
      </c>
      <c r="F90" s="32">
        <f t="shared" si="10"/>
        <v>1</v>
      </c>
      <c r="G90">
        <v>8</v>
      </c>
      <c r="H90">
        <v>5</v>
      </c>
      <c r="I90" s="32">
        <f t="shared" si="11"/>
        <v>3</v>
      </c>
      <c r="J90">
        <v>8</v>
      </c>
      <c r="K90">
        <v>6</v>
      </c>
      <c r="L90" s="32">
        <f t="shared" si="12"/>
        <v>2</v>
      </c>
      <c r="M90">
        <v>7</v>
      </c>
      <c r="N90">
        <v>5</v>
      </c>
      <c r="O90" s="32">
        <f t="shared" si="13"/>
        <v>2</v>
      </c>
      <c r="P90">
        <v>8</v>
      </c>
      <c r="Q90">
        <v>5</v>
      </c>
      <c r="R90" s="32">
        <f t="shared" si="14"/>
        <v>3</v>
      </c>
      <c r="S90">
        <v>7</v>
      </c>
      <c r="T90">
        <v>5</v>
      </c>
      <c r="U90" s="32">
        <f t="shared" si="15"/>
        <v>2</v>
      </c>
      <c r="V90">
        <v>7</v>
      </c>
      <c r="W90">
        <v>5</v>
      </c>
      <c r="X90" s="32">
        <f t="shared" si="16"/>
        <v>2</v>
      </c>
      <c r="Y90">
        <v>8</v>
      </c>
      <c r="Z90">
        <v>5</v>
      </c>
      <c r="AA90" s="32">
        <f t="shared" si="17"/>
        <v>3</v>
      </c>
    </row>
    <row r="91" spans="1:27" x14ac:dyDescent="0.45">
      <c r="A91">
        <v>6</v>
      </c>
      <c r="B91" s="36">
        <f>step3_combined_data!S321</f>
        <v>5</v>
      </c>
      <c r="C91" s="32">
        <f t="shared" si="9"/>
        <v>1</v>
      </c>
      <c r="D91">
        <v>6</v>
      </c>
      <c r="E91" s="36">
        <f>step3_combined_data!X392</f>
        <v>5</v>
      </c>
      <c r="F91" s="32">
        <f t="shared" si="10"/>
        <v>1</v>
      </c>
      <c r="G91">
        <v>8</v>
      </c>
      <c r="H91">
        <v>5</v>
      </c>
      <c r="I91" s="32">
        <f t="shared" si="11"/>
        <v>3</v>
      </c>
      <c r="J91">
        <v>8</v>
      </c>
      <c r="K91">
        <v>6</v>
      </c>
      <c r="L91" s="32">
        <f t="shared" si="12"/>
        <v>2</v>
      </c>
      <c r="M91">
        <v>7</v>
      </c>
      <c r="N91">
        <v>5</v>
      </c>
      <c r="O91" s="32">
        <f t="shared" si="13"/>
        <v>2</v>
      </c>
      <c r="P91">
        <v>8</v>
      </c>
      <c r="Q91">
        <v>5</v>
      </c>
      <c r="R91" s="32">
        <f t="shared" si="14"/>
        <v>3</v>
      </c>
      <c r="S91">
        <v>7</v>
      </c>
      <c r="T91">
        <v>5</v>
      </c>
      <c r="U91" s="32">
        <f t="shared" si="15"/>
        <v>2</v>
      </c>
      <c r="V91">
        <v>7</v>
      </c>
      <c r="W91">
        <v>5</v>
      </c>
      <c r="X91" s="32">
        <f t="shared" si="16"/>
        <v>2</v>
      </c>
      <c r="Y91">
        <v>8</v>
      </c>
      <c r="Z91">
        <v>5</v>
      </c>
      <c r="AA91" s="32">
        <f t="shared" si="17"/>
        <v>3</v>
      </c>
    </row>
    <row r="92" spans="1:27" x14ac:dyDescent="0.45">
      <c r="A92">
        <v>6</v>
      </c>
      <c r="B92" s="36">
        <f>step3_combined_data!S323</f>
        <v>5</v>
      </c>
      <c r="C92" s="32">
        <f t="shared" si="9"/>
        <v>1</v>
      </c>
      <c r="D92">
        <v>6</v>
      </c>
      <c r="E92" s="36">
        <f>step3_combined_data!X44</f>
        <v>6</v>
      </c>
      <c r="F92" s="32">
        <f t="shared" si="10"/>
        <v>0</v>
      </c>
      <c r="G92">
        <v>8</v>
      </c>
      <c r="H92">
        <v>5</v>
      </c>
      <c r="I92" s="32">
        <f t="shared" si="11"/>
        <v>3</v>
      </c>
      <c r="J92">
        <v>8</v>
      </c>
      <c r="K92">
        <v>6</v>
      </c>
      <c r="L92" s="32">
        <f t="shared" si="12"/>
        <v>2</v>
      </c>
      <c r="M92">
        <v>7</v>
      </c>
      <c r="N92">
        <v>5</v>
      </c>
      <c r="O92" s="32">
        <f t="shared" si="13"/>
        <v>2</v>
      </c>
      <c r="P92">
        <v>8</v>
      </c>
      <c r="Q92">
        <v>5</v>
      </c>
      <c r="R92" s="32">
        <f t="shared" si="14"/>
        <v>3</v>
      </c>
      <c r="S92">
        <v>7</v>
      </c>
      <c r="T92">
        <v>5</v>
      </c>
      <c r="U92" s="32">
        <f t="shared" si="15"/>
        <v>2</v>
      </c>
      <c r="V92">
        <v>7</v>
      </c>
      <c r="W92">
        <v>5</v>
      </c>
      <c r="X92" s="32">
        <f t="shared" si="16"/>
        <v>2</v>
      </c>
      <c r="Y92">
        <v>8</v>
      </c>
      <c r="Z92">
        <v>5</v>
      </c>
      <c r="AA92" s="32">
        <f t="shared" si="17"/>
        <v>3</v>
      </c>
    </row>
    <row r="93" spans="1:27" x14ac:dyDescent="0.45">
      <c r="A93">
        <v>6</v>
      </c>
      <c r="B93" s="36">
        <f>step3_combined_data!S343</f>
        <v>5</v>
      </c>
      <c r="C93" s="32">
        <f t="shared" si="9"/>
        <v>1</v>
      </c>
      <c r="D93">
        <v>6</v>
      </c>
      <c r="E93" s="36">
        <f>step3_combined_data!X71</f>
        <v>6</v>
      </c>
      <c r="F93" s="32">
        <f t="shared" si="10"/>
        <v>0</v>
      </c>
      <c r="G93">
        <v>8</v>
      </c>
      <c r="H93">
        <v>5</v>
      </c>
      <c r="I93" s="32">
        <f t="shared" si="11"/>
        <v>3</v>
      </c>
      <c r="J93">
        <v>8</v>
      </c>
      <c r="K93">
        <v>6</v>
      </c>
      <c r="L93" s="32">
        <f t="shared" si="12"/>
        <v>2</v>
      </c>
      <c r="M93">
        <v>7</v>
      </c>
      <c r="N93">
        <v>5</v>
      </c>
      <c r="O93" s="32">
        <f t="shared" si="13"/>
        <v>2</v>
      </c>
      <c r="P93">
        <v>8</v>
      </c>
      <c r="Q93">
        <v>5</v>
      </c>
      <c r="R93" s="32">
        <f t="shared" si="14"/>
        <v>3</v>
      </c>
      <c r="S93">
        <v>7</v>
      </c>
      <c r="T93">
        <v>5</v>
      </c>
      <c r="U93" s="32">
        <f t="shared" si="15"/>
        <v>2</v>
      </c>
      <c r="V93">
        <v>7</v>
      </c>
      <c r="W93">
        <v>5</v>
      </c>
      <c r="X93" s="32">
        <f t="shared" si="16"/>
        <v>2</v>
      </c>
      <c r="Y93">
        <v>8</v>
      </c>
      <c r="Z93">
        <v>5</v>
      </c>
      <c r="AA93" s="32">
        <f t="shared" si="17"/>
        <v>3</v>
      </c>
    </row>
    <row r="94" spans="1:27" x14ac:dyDescent="0.45">
      <c r="A94">
        <v>6</v>
      </c>
      <c r="B94" s="36">
        <f>step3_combined_data!S383</f>
        <v>5</v>
      </c>
      <c r="C94" s="32">
        <f t="shared" si="9"/>
        <v>1</v>
      </c>
      <c r="D94">
        <v>6</v>
      </c>
      <c r="E94" s="36">
        <f>step3_combined_data!X96</f>
        <v>6</v>
      </c>
      <c r="F94" s="32">
        <f t="shared" si="10"/>
        <v>0</v>
      </c>
      <c r="G94">
        <v>8</v>
      </c>
      <c r="H94">
        <v>5</v>
      </c>
      <c r="I94" s="32">
        <f t="shared" si="11"/>
        <v>3</v>
      </c>
      <c r="J94">
        <v>8</v>
      </c>
      <c r="K94">
        <v>6</v>
      </c>
      <c r="L94" s="32">
        <f t="shared" si="12"/>
        <v>2</v>
      </c>
      <c r="M94">
        <v>7</v>
      </c>
      <c r="N94">
        <v>5</v>
      </c>
      <c r="O94" s="32">
        <f t="shared" si="13"/>
        <v>2</v>
      </c>
      <c r="P94">
        <v>8</v>
      </c>
      <c r="Q94">
        <v>5</v>
      </c>
      <c r="R94" s="32">
        <f t="shared" si="14"/>
        <v>3</v>
      </c>
      <c r="S94">
        <v>7</v>
      </c>
      <c r="T94">
        <v>5</v>
      </c>
      <c r="U94" s="32">
        <f t="shared" si="15"/>
        <v>2</v>
      </c>
      <c r="V94">
        <v>7</v>
      </c>
      <c r="W94">
        <v>5</v>
      </c>
      <c r="X94" s="32">
        <f t="shared" si="16"/>
        <v>2</v>
      </c>
      <c r="Y94">
        <v>8</v>
      </c>
      <c r="Z94">
        <v>5</v>
      </c>
      <c r="AA94" s="32">
        <f t="shared" si="17"/>
        <v>3</v>
      </c>
    </row>
    <row r="95" spans="1:27" x14ac:dyDescent="0.45">
      <c r="A95">
        <v>6</v>
      </c>
      <c r="B95" s="36">
        <f>step3_combined_data!S388</f>
        <v>5</v>
      </c>
      <c r="C95" s="32">
        <f t="shared" si="9"/>
        <v>1</v>
      </c>
      <c r="D95">
        <v>6</v>
      </c>
      <c r="E95" s="36">
        <f>step3_combined_data!X98</f>
        <v>6</v>
      </c>
      <c r="F95" s="32">
        <f t="shared" si="10"/>
        <v>0</v>
      </c>
      <c r="G95">
        <v>8</v>
      </c>
      <c r="H95">
        <v>5</v>
      </c>
      <c r="I95" s="32">
        <f t="shared" si="11"/>
        <v>3</v>
      </c>
      <c r="J95">
        <v>8</v>
      </c>
      <c r="K95">
        <v>6</v>
      </c>
      <c r="L95" s="32">
        <f t="shared" si="12"/>
        <v>2</v>
      </c>
      <c r="M95">
        <v>7</v>
      </c>
      <c r="N95">
        <v>5</v>
      </c>
      <c r="O95" s="32">
        <f t="shared" si="13"/>
        <v>2</v>
      </c>
      <c r="P95">
        <v>8</v>
      </c>
      <c r="Q95">
        <v>5</v>
      </c>
      <c r="R95" s="32">
        <f t="shared" si="14"/>
        <v>3</v>
      </c>
      <c r="S95">
        <v>7</v>
      </c>
      <c r="T95">
        <v>5</v>
      </c>
      <c r="U95" s="32">
        <f t="shared" si="15"/>
        <v>2</v>
      </c>
      <c r="V95">
        <v>7</v>
      </c>
      <c r="W95">
        <v>5</v>
      </c>
      <c r="X95" s="32">
        <f t="shared" si="16"/>
        <v>2</v>
      </c>
      <c r="Y95">
        <v>8</v>
      </c>
      <c r="Z95">
        <v>5</v>
      </c>
      <c r="AA95" s="32">
        <f t="shared" si="17"/>
        <v>3</v>
      </c>
    </row>
    <row r="96" spans="1:27" x14ac:dyDescent="0.45">
      <c r="A96">
        <v>6</v>
      </c>
      <c r="B96" s="36">
        <f>step3_combined_data!S4</f>
        <v>6</v>
      </c>
      <c r="C96" s="32">
        <f t="shared" si="9"/>
        <v>0</v>
      </c>
      <c r="D96">
        <v>6</v>
      </c>
      <c r="E96" s="36">
        <f>step3_combined_data!X100</f>
        <v>6</v>
      </c>
      <c r="F96" s="32">
        <f t="shared" si="10"/>
        <v>0</v>
      </c>
      <c r="G96">
        <v>8</v>
      </c>
      <c r="H96">
        <v>5</v>
      </c>
      <c r="I96" s="32">
        <f t="shared" si="11"/>
        <v>3</v>
      </c>
      <c r="J96">
        <v>8</v>
      </c>
      <c r="K96">
        <v>6</v>
      </c>
      <c r="L96" s="32">
        <f t="shared" si="12"/>
        <v>2</v>
      </c>
      <c r="M96">
        <v>7</v>
      </c>
      <c r="N96">
        <v>5</v>
      </c>
      <c r="O96" s="32">
        <f t="shared" si="13"/>
        <v>2</v>
      </c>
      <c r="P96">
        <v>8</v>
      </c>
      <c r="Q96">
        <v>5</v>
      </c>
      <c r="R96" s="32">
        <f t="shared" si="14"/>
        <v>3</v>
      </c>
      <c r="S96">
        <v>7</v>
      </c>
      <c r="T96">
        <v>5</v>
      </c>
      <c r="U96" s="32">
        <f t="shared" si="15"/>
        <v>2</v>
      </c>
      <c r="V96">
        <v>7</v>
      </c>
      <c r="W96">
        <v>5</v>
      </c>
      <c r="X96" s="32">
        <f t="shared" si="16"/>
        <v>2</v>
      </c>
      <c r="Y96">
        <v>8</v>
      </c>
      <c r="Z96">
        <v>5</v>
      </c>
      <c r="AA96" s="32">
        <f t="shared" si="17"/>
        <v>3</v>
      </c>
    </row>
    <row r="97" spans="1:27" x14ac:dyDescent="0.45">
      <c r="A97">
        <v>6</v>
      </c>
      <c r="B97" s="36">
        <f>step3_combined_data!S18</f>
        <v>6</v>
      </c>
      <c r="C97" s="32">
        <f t="shared" si="9"/>
        <v>0</v>
      </c>
      <c r="D97">
        <v>6</v>
      </c>
      <c r="E97" s="36">
        <f>step3_combined_data!X111</f>
        <v>6</v>
      </c>
      <c r="F97" s="32">
        <f t="shared" si="10"/>
        <v>0</v>
      </c>
      <c r="G97">
        <v>8</v>
      </c>
      <c r="H97">
        <v>5</v>
      </c>
      <c r="I97" s="32">
        <f t="shared" si="11"/>
        <v>3</v>
      </c>
      <c r="J97">
        <v>8</v>
      </c>
      <c r="K97">
        <v>6</v>
      </c>
      <c r="L97" s="32">
        <f t="shared" si="12"/>
        <v>2</v>
      </c>
      <c r="M97">
        <v>7</v>
      </c>
      <c r="N97">
        <v>5</v>
      </c>
      <c r="O97" s="32">
        <f t="shared" si="13"/>
        <v>2</v>
      </c>
      <c r="P97">
        <v>8</v>
      </c>
      <c r="Q97">
        <v>5</v>
      </c>
      <c r="R97" s="32">
        <f t="shared" si="14"/>
        <v>3</v>
      </c>
      <c r="S97">
        <v>7</v>
      </c>
      <c r="T97">
        <v>5</v>
      </c>
      <c r="U97" s="32">
        <f t="shared" si="15"/>
        <v>2</v>
      </c>
      <c r="V97">
        <v>7</v>
      </c>
      <c r="W97">
        <v>5</v>
      </c>
      <c r="X97" s="32">
        <f t="shared" si="16"/>
        <v>2</v>
      </c>
      <c r="Y97">
        <v>8</v>
      </c>
      <c r="Z97">
        <v>5</v>
      </c>
      <c r="AA97" s="32">
        <f t="shared" si="17"/>
        <v>3</v>
      </c>
    </row>
    <row r="98" spans="1:27" x14ac:dyDescent="0.45">
      <c r="A98">
        <v>6</v>
      </c>
      <c r="B98" s="36">
        <f>step3_combined_data!S19</f>
        <v>6</v>
      </c>
      <c r="C98" s="32">
        <f t="shared" si="9"/>
        <v>0</v>
      </c>
      <c r="D98">
        <v>6</v>
      </c>
      <c r="E98" s="36">
        <f>step3_combined_data!X121</f>
        <v>6</v>
      </c>
      <c r="F98" s="32">
        <f t="shared" si="10"/>
        <v>0</v>
      </c>
      <c r="G98">
        <v>8</v>
      </c>
      <c r="H98">
        <v>5</v>
      </c>
      <c r="I98" s="32">
        <f t="shared" si="11"/>
        <v>3</v>
      </c>
      <c r="J98">
        <v>8</v>
      </c>
      <c r="K98">
        <v>6</v>
      </c>
      <c r="L98" s="32">
        <f t="shared" si="12"/>
        <v>2</v>
      </c>
      <c r="M98">
        <v>7</v>
      </c>
      <c r="N98">
        <v>5</v>
      </c>
      <c r="O98" s="32">
        <f t="shared" si="13"/>
        <v>2</v>
      </c>
      <c r="P98">
        <v>8</v>
      </c>
      <c r="Q98">
        <v>5</v>
      </c>
      <c r="R98" s="32">
        <f t="shared" si="14"/>
        <v>3</v>
      </c>
      <c r="S98">
        <v>7</v>
      </c>
      <c r="T98">
        <v>5</v>
      </c>
      <c r="U98" s="32">
        <f t="shared" si="15"/>
        <v>2</v>
      </c>
      <c r="V98">
        <v>7</v>
      </c>
      <c r="W98">
        <v>5</v>
      </c>
      <c r="X98" s="32">
        <f t="shared" si="16"/>
        <v>2</v>
      </c>
      <c r="Y98">
        <v>8</v>
      </c>
      <c r="Z98">
        <v>5</v>
      </c>
      <c r="AA98" s="32">
        <f t="shared" si="17"/>
        <v>3</v>
      </c>
    </row>
    <row r="99" spans="1:27" x14ac:dyDescent="0.45">
      <c r="A99">
        <v>6</v>
      </c>
      <c r="B99" s="36">
        <f>step3_combined_data!S26</f>
        <v>6</v>
      </c>
      <c r="C99" s="32">
        <f t="shared" si="9"/>
        <v>0</v>
      </c>
      <c r="D99">
        <v>6</v>
      </c>
      <c r="E99" s="36">
        <f>step3_combined_data!X129</f>
        <v>6</v>
      </c>
      <c r="F99" s="32">
        <f t="shared" si="10"/>
        <v>0</v>
      </c>
      <c r="G99">
        <v>8</v>
      </c>
      <c r="H99">
        <v>5</v>
      </c>
      <c r="I99" s="32">
        <f t="shared" si="11"/>
        <v>3</v>
      </c>
      <c r="J99">
        <v>8</v>
      </c>
      <c r="K99">
        <v>6</v>
      </c>
      <c r="L99" s="32">
        <f t="shared" si="12"/>
        <v>2</v>
      </c>
      <c r="M99">
        <v>7</v>
      </c>
      <c r="N99">
        <v>5</v>
      </c>
      <c r="O99" s="32">
        <f t="shared" si="13"/>
        <v>2</v>
      </c>
      <c r="P99">
        <v>8</v>
      </c>
      <c r="Q99">
        <v>5</v>
      </c>
      <c r="R99" s="32">
        <f t="shared" si="14"/>
        <v>3</v>
      </c>
      <c r="S99">
        <v>7</v>
      </c>
      <c r="T99">
        <v>5</v>
      </c>
      <c r="U99" s="32">
        <f t="shared" si="15"/>
        <v>2</v>
      </c>
      <c r="V99">
        <v>7</v>
      </c>
      <c r="W99">
        <v>5</v>
      </c>
      <c r="X99" s="32">
        <f t="shared" si="16"/>
        <v>2</v>
      </c>
      <c r="Y99">
        <v>8</v>
      </c>
      <c r="Z99">
        <v>5</v>
      </c>
      <c r="AA99" s="32">
        <f t="shared" si="17"/>
        <v>3</v>
      </c>
    </row>
    <row r="100" spans="1:27" x14ac:dyDescent="0.45">
      <c r="A100">
        <v>6</v>
      </c>
      <c r="B100" s="36">
        <f>step3_combined_data!S44</f>
        <v>6</v>
      </c>
      <c r="C100" s="32">
        <f t="shared" si="9"/>
        <v>0</v>
      </c>
      <c r="D100">
        <v>6</v>
      </c>
      <c r="E100" s="36">
        <f>step3_combined_data!X130</f>
        <v>6</v>
      </c>
      <c r="F100" s="32">
        <f t="shared" si="10"/>
        <v>0</v>
      </c>
      <c r="G100">
        <v>8</v>
      </c>
      <c r="H100">
        <v>5</v>
      </c>
      <c r="I100" s="32">
        <f t="shared" si="11"/>
        <v>3</v>
      </c>
      <c r="J100">
        <v>8</v>
      </c>
      <c r="K100">
        <v>6</v>
      </c>
      <c r="L100" s="32">
        <f t="shared" si="12"/>
        <v>2</v>
      </c>
      <c r="M100">
        <v>7</v>
      </c>
      <c r="N100">
        <v>5</v>
      </c>
      <c r="O100" s="32">
        <f t="shared" si="13"/>
        <v>2</v>
      </c>
      <c r="P100">
        <v>8</v>
      </c>
      <c r="Q100">
        <v>5</v>
      </c>
      <c r="R100" s="32">
        <f t="shared" si="14"/>
        <v>3</v>
      </c>
      <c r="S100">
        <v>7</v>
      </c>
      <c r="T100">
        <v>5</v>
      </c>
      <c r="U100" s="32">
        <f t="shared" si="15"/>
        <v>2</v>
      </c>
      <c r="V100">
        <v>7</v>
      </c>
      <c r="W100">
        <v>5</v>
      </c>
      <c r="X100" s="32">
        <f t="shared" si="16"/>
        <v>2</v>
      </c>
      <c r="Y100">
        <v>8</v>
      </c>
      <c r="Z100">
        <v>5</v>
      </c>
      <c r="AA100" s="32">
        <f t="shared" si="17"/>
        <v>3</v>
      </c>
    </row>
    <row r="101" spans="1:27" x14ac:dyDescent="0.45">
      <c r="A101">
        <v>6</v>
      </c>
      <c r="B101" s="36">
        <f>step3_combined_data!S71</f>
        <v>6</v>
      </c>
      <c r="C101" s="32">
        <f t="shared" si="9"/>
        <v>0</v>
      </c>
      <c r="D101">
        <v>6</v>
      </c>
      <c r="E101" s="36">
        <f>step3_combined_data!X143</f>
        <v>6</v>
      </c>
      <c r="F101" s="32">
        <f t="shared" si="10"/>
        <v>0</v>
      </c>
      <c r="G101">
        <v>8</v>
      </c>
      <c r="H101">
        <v>5</v>
      </c>
      <c r="I101" s="32">
        <f t="shared" si="11"/>
        <v>3</v>
      </c>
      <c r="J101">
        <v>8</v>
      </c>
      <c r="K101">
        <v>6</v>
      </c>
      <c r="L101" s="32">
        <f t="shared" si="12"/>
        <v>2</v>
      </c>
      <c r="M101">
        <v>7</v>
      </c>
      <c r="N101">
        <v>5</v>
      </c>
      <c r="O101" s="32">
        <f t="shared" si="13"/>
        <v>2</v>
      </c>
      <c r="P101">
        <v>8</v>
      </c>
      <c r="Q101">
        <v>5</v>
      </c>
      <c r="R101" s="32">
        <f t="shared" si="14"/>
        <v>3</v>
      </c>
      <c r="S101">
        <v>7</v>
      </c>
      <c r="T101">
        <v>5</v>
      </c>
      <c r="U101" s="32">
        <f t="shared" si="15"/>
        <v>2</v>
      </c>
      <c r="V101">
        <v>7</v>
      </c>
      <c r="W101">
        <v>5</v>
      </c>
      <c r="X101" s="32">
        <f t="shared" si="16"/>
        <v>2</v>
      </c>
      <c r="Y101">
        <v>8</v>
      </c>
      <c r="Z101">
        <v>5</v>
      </c>
      <c r="AA101" s="32">
        <f t="shared" si="17"/>
        <v>3</v>
      </c>
    </row>
    <row r="102" spans="1:27" x14ac:dyDescent="0.45">
      <c r="A102">
        <v>6</v>
      </c>
      <c r="B102" s="36">
        <f>step3_combined_data!S80</f>
        <v>6</v>
      </c>
      <c r="C102" s="32">
        <f t="shared" si="9"/>
        <v>0</v>
      </c>
      <c r="D102">
        <v>6</v>
      </c>
      <c r="E102" s="36">
        <f>step3_combined_data!X149</f>
        <v>6</v>
      </c>
      <c r="F102" s="32">
        <f t="shared" si="10"/>
        <v>0</v>
      </c>
      <c r="G102">
        <v>8</v>
      </c>
      <c r="H102">
        <v>5</v>
      </c>
      <c r="I102" s="32">
        <f t="shared" si="11"/>
        <v>3</v>
      </c>
      <c r="J102">
        <v>8</v>
      </c>
      <c r="K102">
        <v>6</v>
      </c>
      <c r="L102" s="32">
        <f t="shared" si="12"/>
        <v>2</v>
      </c>
      <c r="M102">
        <v>7</v>
      </c>
      <c r="N102">
        <v>5</v>
      </c>
      <c r="O102" s="32">
        <f t="shared" si="13"/>
        <v>2</v>
      </c>
      <c r="P102">
        <v>8</v>
      </c>
      <c r="Q102">
        <v>5</v>
      </c>
      <c r="R102" s="32">
        <f t="shared" si="14"/>
        <v>3</v>
      </c>
      <c r="S102">
        <v>7</v>
      </c>
      <c r="T102">
        <v>5</v>
      </c>
      <c r="U102" s="32">
        <f t="shared" si="15"/>
        <v>2</v>
      </c>
      <c r="V102">
        <v>7</v>
      </c>
      <c r="W102">
        <v>5</v>
      </c>
      <c r="X102" s="32">
        <f t="shared" si="16"/>
        <v>2</v>
      </c>
      <c r="Y102">
        <v>8</v>
      </c>
      <c r="Z102">
        <v>5</v>
      </c>
      <c r="AA102" s="32">
        <f t="shared" si="17"/>
        <v>3</v>
      </c>
    </row>
    <row r="103" spans="1:27" x14ac:dyDescent="0.45">
      <c r="A103">
        <v>6</v>
      </c>
      <c r="B103" s="36">
        <f>step3_combined_data!S85</f>
        <v>6</v>
      </c>
      <c r="C103" s="32">
        <f t="shared" si="9"/>
        <v>0</v>
      </c>
      <c r="D103">
        <v>6</v>
      </c>
      <c r="E103" s="36">
        <f>step3_combined_data!X175</f>
        <v>6</v>
      </c>
      <c r="F103" s="32">
        <f t="shared" si="10"/>
        <v>0</v>
      </c>
      <c r="G103">
        <v>8</v>
      </c>
      <c r="H103">
        <v>5</v>
      </c>
      <c r="I103" s="32">
        <f t="shared" si="11"/>
        <v>3</v>
      </c>
      <c r="J103">
        <v>8</v>
      </c>
      <c r="K103">
        <v>6</v>
      </c>
      <c r="L103" s="32">
        <f t="shared" si="12"/>
        <v>2</v>
      </c>
      <c r="M103">
        <v>7</v>
      </c>
      <c r="N103">
        <v>5</v>
      </c>
      <c r="O103" s="32">
        <f t="shared" si="13"/>
        <v>2</v>
      </c>
      <c r="P103">
        <v>8</v>
      </c>
      <c r="Q103">
        <v>5</v>
      </c>
      <c r="R103" s="32">
        <f t="shared" si="14"/>
        <v>3</v>
      </c>
      <c r="S103">
        <v>7</v>
      </c>
      <c r="T103">
        <v>5</v>
      </c>
      <c r="U103" s="32">
        <f t="shared" si="15"/>
        <v>2</v>
      </c>
      <c r="V103">
        <v>7</v>
      </c>
      <c r="W103">
        <v>5</v>
      </c>
      <c r="X103" s="32">
        <f t="shared" si="16"/>
        <v>2</v>
      </c>
      <c r="Y103">
        <v>8</v>
      </c>
      <c r="Z103">
        <v>5</v>
      </c>
      <c r="AA103" s="32">
        <f t="shared" si="17"/>
        <v>3</v>
      </c>
    </row>
    <row r="104" spans="1:27" x14ac:dyDescent="0.45">
      <c r="A104">
        <v>6</v>
      </c>
      <c r="B104" s="36">
        <f>step3_combined_data!S91</f>
        <v>6</v>
      </c>
      <c r="C104" s="32">
        <f t="shared" si="9"/>
        <v>0</v>
      </c>
      <c r="D104">
        <v>6</v>
      </c>
      <c r="E104" s="36">
        <f>step3_combined_data!X185</f>
        <v>6</v>
      </c>
      <c r="F104" s="32">
        <f t="shared" si="10"/>
        <v>0</v>
      </c>
      <c r="G104">
        <v>8</v>
      </c>
      <c r="H104">
        <v>5</v>
      </c>
      <c r="I104" s="32">
        <f t="shared" si="11"/>
        <v>3</v>
      </c>
      <c r="J104">
        <v>8</v>
      </c>
      <c r="K104">
        <v>6</v>
      </c>
      <c r="L104" s="32">
        <f t="shared" si="12"/>
        <v>2</v>
      </c>
      <c r="M104">
        <v>7</v>
      </c>
      <c r="N104">
        <v>5</v>
      </c>
      <c r="O104" s="32">
        <f t="shared" si="13"/>
        <v>2</v>
      </c>
      <c r="P104">
        <v>8</v>
      </c>
      <c r="Q104">
        <v>5</v>
      </c>
      <c r="R104" s="32">
        <f t="shared" si="14"/>
        <v>3</v>
      </c>
      <c r="S104">
        <v>7</v>
      </c>
      <c r="T104">
        <v>5</v>
      </c>
      <c r="U104" s="32">
        <f t="shared" si="15"/>
        <v>2</v>
      </c>
      <c r="V104">
        <v>7</v>
      </c>
      <c r="W104">
        <v>5</v>
      </c>
      <c r="X104" s="32">
        <f t="shared" si="16"/>
        <v>2</v>
      </c>
      <c r="Y104">
        <v>8</v>
      </c>
      <c r="Z104">
        <v>5</v>
      </c>
      <c r="AA104" s="32">
        <f t="shared" si="17"/>
        <v>3</v>
      </c>
    </row>
    <row r="105" spans="1:27" x14ac:dyDescent="0.45">
      <c r="A105">
        <v>6</v>
      </c>
      <c r="B105" s="36">
        <f>step3_combined_data!S98</f>
        <v>6</v>
      </c>
      <c r="C105" s="32">
        <f t="shared" si="9"/>
        <v>0</v>
      </c>
      <c r="D105">
        <v>6</v>
      </c>
      <c r="E105" s="36">
        <f>step3_combined_data!X210</f>
        <v>6</v>
      </c>
      <c r="F105" s="32">
        <f t="shared" si="10"/>
        <v>0</v>
      </c>
      <c r="G105">
        <v>8</v>
      </c>
      <c r="H105">
        <v>5</v>
      </c>
      <c r="I105" s="32">
        <f t="shared" si="11"/>
        <v>3</v>
      </c>
      <c r="J105">
        <v>8</v>
      </c>
      <c r="K105">
        <v>6</v>
      </c>
      <c r="L105" s="32">
        <f t="shared" si="12"/>
        <v>2</v>
      </c>
      <c r="M105">
        <v>7</v>
      </c>
      <c r="N105">
        <v>5</v>
      </c>
      <c r="O105" s="32">
        <f t="shared" si="13"/>
        <v>2</v>
      </c>
      <c r="P105">
        <v>8</v>
      </c>
      <c r="Q105">
        <v>5</v>
      </c>
      <c r="R105" s="32">
        <f t="shared" si="14"/>
        <v>3</v>
      </c>
      <c r="S105">
        <v>7</v>
      </c>
      <c r="T105">
        <v>5</v>
      </c>
      <c r="U105" s="32">
        <f t="shared" si="15"/>
        <v>2</v>
      </c>
      <c r="V105">
        <v>7</v>
      </c>
      <c r="W105">
        <v>5</v>
      </c>
      <c r="X105" s="32">
        <f t="shared" si="16"/>
        <v>2</v>
      </c>
      <c r="Y105">
        <v>8</v>
      </c>
      <c r="Z105">
        <v>6</v>
      </c>
      <c r="AA105" s="32">
        <f t="shared" si="17"/>
        <v>2</v>
      </c>
    </row>
    <row r="106" spans="1:27" x14ac:dyDescent="0.45">
      <c r="A106">
        <v>6</v>
      </c>
      <c r="B106" s="36">
        <f>step3_combined_data!S100</f>
        <v>6</v>
      </c>
      <c r="C106" s="32">
        <f t="shared" si="9"/>
        <v>0</v>
      </c>
      <c r="D106">
        <v>6</v>
      </c>
      <c r="E106" s="36">
        <f>step3_combined_data!X224</f>
        <v>6</v>
      </c>
      <c r="F106" s="32">
        <f t="shared" si="10"/>
        <v>0</v>
      </c>
      <c r="G106">
        <v>8</v>
      </c>
      <c r="H106">
        <v>5</v>
      </c>
      <c r="I106" s="32">
        <f t="shared" si="11"/>
        <v>3</v>
      </c>
      <c r="J106">
        <v>8</v>
      </c>
      <c r="K106">
        <v>6</v>
      </c>
      <c r="L106" s="32">
        <f t="shared" si="12"/>
        <v>2</v>
      </c>
      <c r="M106">
        <v>7</v>
      </c>
      <c r="N106">
        <v>5</v>
      </c>
      <c r="O106" s="32">
        <f t="shared" si="13"/>
        <v>2</v>
      </c>
      <c r="P106">
        <v>8</v>
      </c>
      <c r="Q106">
        <v>5</v>
      </c>
      <c r="R106" s="32">
        <f t="shared" si="14"/>
        <v>3</v>
      </c>
      <c r="S106">
        <v>7</v>
      </c>
      <c r="T106">
        <v>5</v>
      </c>
      <c r="U106" s="32">
        <f t="shared" si="15"/>
        <v>2</v>
      </c>
      <c r="V106">
        <v>7</v>
      </c>
      <c r="W106">
        <v>5</v>
      </c>
      <c r="X106" s="32">
        <f t="shared" si="16"/>
        <v>2</v>
      </c>
      <c r="Y106">
        <v>8</v>
      </c>
      <c r="Z106">
        <v>6</v>
      </c>
      <c r="AA106" s="32">
        <f t="shared" si="17"/>
        <v>2</v>
      </c>
    </row>
    <row r="107" spans="1:27" x14ac:dyDescent="0.45">
      <c r="A107">
        <v>6</v>
      </c>
      <c r="B107" s="36">
        <f>step3_combined_data!S105</f>
        <v>6</v>
      </c>
      <c r="C107" s="32">
        <f t="shared" si="9"/>
        <v>0</v>
      </c>
      <c r="D107">
        <v>6</v>
      </c>
      <c r="E107" s="36">
        <f>step3_combined_data!X226</f>
        <v>6</v>
      </c>
      <c r="F107" s="32">
        <f t="shared" si="10"/>
        <v>0</v>
      </c>
      <c r="G107">
        <v>8</v>
      </c>
      <c r="H107">
        <v>5</v>
      </c>
      <c r="I107" s="32">
        <f t="shared" si="11"/>
        <v>3</v>
      </c>
      <c r="J107">
        <v>8</v>
      </c>
      <c r="K107">
        <v>6</v>
      </c>
      <c r="L107" s="32">
        <f t="shared" si="12"/>
        <v>2</v>
      </c>
      <c r="M107">
        <v>7</v>
      </c>
      <c r="N107">
        <v>5</v>
      </c>
      <c r="O107" s="32">
        <f t="shared" si="13"/>
        <v>2</v>
      </c>
      <c r="P107">
        <v>8</v>
      </c>
      <c r="Q107">
        <v>5</v>
      </c>
      <c r="R107" s="32">
        <f t="shared" si="14"/>
        <v>3</v>
      </c>
      <c r="S107">
        <v>7</v>
      </c>
      <c r="T107">
        <v>5</v>
      </c>
      <c r="U107" s="32">
        <f t="shared" si="15"/>
        <v>2</v>
      </c>
      <c r="V107">
        <v>7</v>
      </c>
      <c r="W107">
        <v>5</v>
      </c>
      <c r="X107" s="32">
        <f t="shared" si="16"/>
        <v>2</v>
      </c>
      <c r="Y107">
        <v>8</v>
      </c>
      <c r="Z107">
        <v>6</v>
      </c>
      <c r="AA107" s="32">
        <f t="shared" si="17"/>
        <v>2</v>
      </c>
    </row>
    <row r="108" spans="1:27" x14ac:dyDescent="0.45">
      <c r="A108">
        <v>6</v>
      </c>
      <c r="B108" s="36">
        <f>step3_combined_data!S121</f>
        <v>6</v>
      </c>
      <c r="C108" s="32">
        <f t="shared" si="9"/>
        <v>0</v>
      </c>
      <c r="D108">
        <v>6</v>
      </c>
      <c r="E108" s="36">
        <f>step3_combined_data!X228</f>
        <v>6</v>
      </c>
      <c r="F108" s="32">
        <f t="shared" si="10"/>
        <v>0</v>
      </c>
      <c r="G108">
        <v>8</v>
      </c>
      <c r="H108">
        <v>5</v>
      </c>
      <c r="I108" s="32">
        <f t="shared" si="11"/>
        <v>3</v>
      </c>
      <c r="J108">
        <v>8</v>
      </c>
      <c r="K108">
        <v>6</v>
      </c>
      <c r="L108" s="32">
        <f t="shared" si="12"/>
        <v>2</v>
      </c>
      <c r="M108">
        <v>7</v>
      </c>
      <c r="N108">
        <v>5</v>
      </c>
      <c r="O108" s="32">
        <f t="shared" si="13"/>
        <v>2</v>
      </c>
      <c r="P108">
        <v>8</v>
      </c>
      <c r="Q108">
        <v>5</v>
      </c>
      <c r="R108" s="32">
        <f t="shared" si="14"/>
        <v>3</v>
      </c>
      <c r="S108">
        <v>7</v>
      </c>
      <c r="T108">
        <v>5</v>
      </c>
      <c r="U108" s="32">
        <f t="shared" si="15"/>
        <v>2</v>
      </c>
      <c r="V108">
        <v>7</v>
      </c>
      <c r="W108">
        <v>5</v>
      </c>
      <c r="X108" s="32">
        <f t="shared" si="16"/>
        <v>2</v>
      </c>
      <c r="Y108">
        <v>8</v>
      </c>
      <c r="Z108">
        <v>6</v>
      </c>
      <c r="AA108" s="32">
        <f t="shared" si="17"/>
        <v>2</v>
      </c>
    </row>
    <row r="109" spans="1:27" x14ac:dyDescent="0.45">
      <c r="A109">
        <v>6</v>
      </c>
      <c r="B109" s="36">
        <f>step3_combined_data!S129</f>
        <v>6</v>
      </c>
      <c r="C109" s="32">
        <f t="shared" si="9"/>
        <v>0</v>
      </c>
      <c r="D109">
        <v>6</v>
      </c>
      <c r="E109" s="36">
        <f>step3_combined_data!X230</f>
        <v>6</v>
      </c>
      <c r="F109" s="32">
        <f t="shared" si="10"/>
        <v>0</v>
      </c>
      <c r="G109">
        <v>8</v>
      </c>
      <c r="H109">
        <v>5</v>
      </c>
      <c r="I109" s="32">
        <f t="shared" si="11"/>
        <v>3</v>
      </c>
      <c r="J109">
        <v>8</v>
      </c>
      <c r="K109">
        <v>6</v>
      </c>
      <c r="L109" s="32">
        <f t="shared" si="12"/>
        <v>2</v>
      </c>
      <c r="M109">
        <v>7</v>
      </c>
      <c r="N109">
        <v>5</v>
      </c>
      <c r="O109" s="32">
        <f t="shared" si="13"/>
        <v>2</v>
      </c>
      <c r="P109">
        <v>8</v>
      </c>
      <c r="Q109">
        <v>5</v>
      </c>
      <c r="R109" s="32">
        <f t="shared" si="14"/>
        <v>3</v>
      </c>
      <c r="S109">
        <v>7</v>
      </c>
      <c r="T109">
        <v>5</v>
      </c>
      <c r="U109" s="32">
        <f t="shared" si="15"/>
        <v>2</v>
      </c>
      <c r="V109">
        <v>7</v>
      </c>
      <c r="W109">
        <v>5</v>
      </c>
      <c r="X109" s="32">
        <f t="shared" si="16"/>
        <v>2</v>
      </c>
      <c r="Y109">
        <v>8</v>
      </c>
      <c r="Z109">
        <v>6</v>
      </c>
      <c r="AA109" s="32">
        <f t="shared" si="17"/>
        <v>2</v>
      </c>
    </row>
    <row r="110" spans="1:27" x14ac:dyDescent="0.45">
      <c r="A110">
        <v>6</v>
      </c>
      <c r="B110" s="36">
        <f>step3_combined_data!S130</f>
        <v>6</v>
      </c>
      <c r="C110" s="32">
        <f t="shared" si="9"/>
        <v>0</v>
      </c>
      <c r="D110">
        <v>6</v>
      </c>
      <c r="E110" s="36">
        <f>step3_combined_data!X233</f>
        <v>6</v>
      </c>
      <c r="F110" s="32">
        <f t="shared" si="10"/>
        <v>0</v>
      </c>
      <c r="G110">
        <v>8</v>
      </c>
      <c r="H110">
        <v>5</v>
      </c>
      <c r="I110" s="32">
        <f t="shared" si="11"/>
        <v>3</v>
      </c>
      <c r="J110">
        <v>8</v>
      </c>
      <c r="K110">
        <v>6</v>
      </c>
      <c r="L110" s="32">
        <f t="shared" si="12"/>
        <v>2</v>
      </c>
      <c r="M110">
        <v>7</v>
      </c>
      <c r="N110">
        <v>5</v>
      </c>
      <c r="O110" s="32">
        <f t="shared" si="13"/>
        <v>2</v>
      </c>
      <c r="P110">
        <v>8</v>
      </c>
      <c r="Q110">
        <v>5</v>
      </c>
      <c r="R110" s="32">
        <f t="shared" si="14"/>
        <v>3</v>
      </c>
      <c r="S110">
        <v>7</v>
      </c>
      <c r="T110">
        <v>5</v>
      </c>
      <c r="U110" s="32">
        <f t="shared" si="15"/>
        <v>2</v>
      </c>
      <c r="V110">
        <v>7</v>
      </c>
      <c r="W110">
        <v>5</v>
      </c>
      <c r="X110" s="32">
        <f t="shared" si="16"/>
        <v>2</v>
      </c>
      <c r="Y110">
        <v>8</v>
      </c>
      <c r="Z110">
        <v>6</v>
      </c>
      <c r="AA110" s="32">
        <f t="shared" si="17"/>
        <v>2</v>
      </c>
    </row>
    <row r="111" spans="1:27" x14ac:dyDescent="0.45">
      <c r="A111">
        <v>6</v>
      </c>
      <c r="B111" s="36">
        <f>step3_combined_data!S149</f>
        <v>6</v>
      </c>
      <c r="C111" s="32">
        <f t="shared" si="9"/>
        <v>0</v>
      </c>
      <c r="D111">
        <v>6</v>
      </c>
      <c r="E111" s="36">
        <f>step3_combined_data!X236</f>
        <v>6</v>
      </c>
      <c r="F111" s="32">
        <f t="shared" si="10"/>
        <v>0</v>
      </c>
      <c r="G111">
        <v>8</v>
      </c>
      <c r="H111">
        <v>5</v>
      </c>
      <c r="I111" s="32">
        <f t="shared" si="11"/>
        <v>3</v>
      </c>
      <c r="J111">
        <v>8</v>
      </c>
      <c r="K111">
        <v>6</v>
      </c>
      <c r="L111" s="32">
        <f t="shared" si="12"/>
        <v>2</v>
      </c>
      <c r="M111">
        <v>7</v>
      </c>
      <c r="N111">
        <v>5</v>
      </c>
      <c r="O111" s="32">
        <f t="shared" si="13"/>
        <v>2</v>
      </c>
      <c r="P111">
        <v>8</v>
      </c>
      <c r="Q111">
        <v>5</v>
      </c>
      <c r="R111" s="32">
        <f t="shared" si="14"/>
        <v>3</v>
      </c>
      <c r="S111">
        <v>7</v>
      </c>
      <c r="T111">
        <v>5</v>
      </c>
      <c r="U111" s="32">
        <f t="shared" si="15"/>
        <v>2</v>
      </c>
      <c r="V111">
        <v>7</v>
      </c>
      <c r="W111">
        <v>5</v>
      </c>
      <c r="X111" s="32">
        <f t="shared" si="16"/>
        <v>2</v>
      </c>
      <c r="Y111">
        <v>8</v>
      </c>
      <c r="Z111">
        <v>6</v>
      </c>
      <c r="AA111" s="32">
        <f t="shared" si="17"/>
        <v>2</v>
      </c>
    </row>
    <row r="112" spans="1:27" x14ac:dyDescent="0.45">
      <c r="A112">
        <v>6</v>
      </c>
      <c r="B112" s="36">
        <f>step3_combined_data!S172</f>
        <v>6</v>
      </c>
      <c r="C112" s="32">
        <f t="shared" si="9"/>
        <v>0</v>
      </c>
      <c r="D112">
        <v>6</v>
      </c>
      <c r="E112" s="36">
        <f>step3_combined_data!X240</f>
        <v>6</v>
      </c>
      <c r="F112" s="32">
        <f t="shared" si="10"/>
        <v>0</v>
      </c>
      <c r="G112">
        <v>8</v>
      </c>
      <c r="H112">
        <v>5</v>
      </c>
      <c r="I112" s="32">
        <f t="shared" si="11"/>
        <v>3</v>
      </c>
      <c r="J112">
        <v>8</v>
      </c>
      <c r="K112">
        <v>6</v>
      </c>
      <c r="L112" s="32">
        <f t="shared" si="12"/>
        <v>2</v>
      </c>
      <c r="M112">
        <v>7</v>
      </c>
      <c r="N112">
        <v>5</v>
      </c>
      <c r="O112" s="32">
        <f t="shared" si="13"/>
        <v>2</v>
      </c>
      <c r="P112">
        <v>8</v>
      </c>
      <c r="Q112">
        <v>5</v>
      </c>
      <c r="R112" s="32">
        <f t="shared" si="14"/>
        <v>3</v>
      </c>
      <c r="S112">
        <v>7</v>
      </c>
      <c r="T112">
        <v>5</v>
      </c>
      <c r="U112" s="32">
        <f t="shared" si="15"/>
        <v>2</v>
      </c>
      <c r="V112">
        <v>7</v>
      </c>
      <c r="W112">
        <v>5</v>
      </c>
      <c r="X112" s="32">
        <f t="shared" si="16"/>
        <v>2</v>
      </c>
      <c r="Y112">
        <v>8</v>
      </c>
      <c r="Z112">
        <v>6</v>
      </c>
      <c r="AA112" s="32">
        <f t="shared" si="17"/>
        <v>2</v>
      </c>
    </row>
    <row r="113" spans="1:27" x14ac:dyDescent="0.45">
      <c r="A113">
        <v>7</v>
      </c>
      <c r="B113" s="36">
        <f>step3_combined_data!S175</f>
        <v>6</v>
      </c>
      <c r="C113" s="32">
        <f t="shared" si="9"/>
        <v>1</v>
      </c>
      <c r="D113">
        <v>6</v>
      </c>
      <c r="E113" s="36">
        <f>step3_combined_data!X242</f>
        <v>6</v>
      </c>
      <c r="F113" s="32">
        <f t="shared" si="10"/>
        <v>0</v>
      </c>
      <c r="G113">
        <v>8</v>
      </c>
      <c r="H113">
        <v>5</v>
      </c>
      <c r="I113" s="32">
        <f t="shared" si="11"/>
        <v>3</v>
      </c>
      <c r="J113">
        <v>8</v>
      </c>
      <c r="K113">
        <v>6</v>
      </c>
      <c r="L113" s="32">
        <f t="shared" si="12"/>
        <v>2</v>
      </c>
      <c r="M113">
        <v>7</v>
      </c>
      <c r="N113">
        <v>5</v>
      </c>
      <c r="O113" s="32">
        <f t="shared" si="13"/>
        <v>2</v>
      </c>
      <c r="P113">
        <v>8</v>
      </c>
      <c r="Q113">
        <v>5</v>
      </c>
      <c r="R113" s="32">
        <f t="shared" si="14"/>
        <v>3</v>
      </c>
      <c r="S113">
        <v>7</v>
      </c>
      <c r="T113">
        <v>5</v>
      </c>
      <c r="U113" s="32">
        <f t="shared" si="15"/>
        <v>2</v>
      </c>
      <c r="V113">
        <v>7</v>
      </c>
      <c r="W113">
        <v>5</v>
      </c>
      <c r="X113" s="32">
        <f t="shared" si="16"/>
        <v>2</v>
      </c>
      <c r="Y113">
        <v>8</v>
      </c>
      <c r="Z113">
        <v>6</v>
      </c>
      <c r="AA113" s="32">
        <f t="shared" si="17"/>
        <v>2</v>
      </c>
    </row>
    <row r="114" spans="1:27" x14ac:dyDescent="0.45">
      <c r="A114">
        <v>7</v>
      </c>
      <c r="B114" s="36">
        <f>step3_combined_data!S179</f>
        <v>6</v>
      </c>
      <c r="C114" s="32">
        <f t="shared" si="9"/>
        <v>1</v>
      </c>
      <c r="D114">
        <v>6</v>
      </c>
      <c r="E114" s="36">
        <f>step3_combined_data!X244</f>
        <v>6</v>
      </c>
      <c r="F114" s="32">
        <f t="shared" si="10"/>
        <v>0</v>
      </c>
      <c r="G114">
        <v>8</v>
      </c>
      <c r="H114">
        <v>5</v>
      </c>
      <c r="I114" s="32">
        <f t="shared" si="11"/>
        <v>3</v>
      </c>
      <c r="J114">
        <v>8</v>
      </c>
      <c r="K114">
        <v>6</v>
      </c>
      <c r="L114" s="32">
        <f t="shared" si="12"/>
        <v>2</v>
      </c>
      <c r="M114">
        <v>7</v>
      </c>
      <c r="N114">
        <v>5</v>
      </c>
      <c r="O114" s="32">
        <f t="shared" si="13"/>
        <v>2</v>
      </c>
      <c r="P114">
        <v>8</v>
      </c>
      <c r="Q114">
        <v>5</v>
      </c>
      <c r="R114" s="32">
        <f t="shared" si="14"/>
        <v>3</v>
      </c>
      <c r="S114">
        <v>7</v>
      </c>
      <c r="T114">
        <v>5</v>
      </c>
      <c r="U114" s="32">
        <f t="shared" si="15"/>
        <v>2</v>
      </c>
      <c r="V114">
        <v>7</v>
      </c>
      <c r="W114">
        <v>5</v>
      </c>
      <c r="X114" s="32">
        <f t="shared" si="16"/>
        <v>2</v>
      </c>
      <c r="Y114">
        <v>8</v>
      </c>
      <c r="Z114">
        <v>6</v>
      </c>
      <c r="AA114" s="32">
        <f t="shared" si="17"/>
        <v>2</v>
      </c>
    </row>
    <row r="115" spans="1:27" x14ac:dyDescent="0.45">
      <c r="A115">
        <v>7</v>
      </c>
      <c r="B115" s="36">
        <f>step3_combined_data!S182</f>
        <v>6</v>
      </c>
      <c r="C115" s="32">
        <f t="shared" si="9"/>
        <v>1</v>
      </c>
      <c r="D115">
        <v>6</v>
      </c>
      <c r="E115" s="36">
        <f>step3_combined_data!X245</f>
        <v>6</v>
      </c>
      <c r="F115" s="32">
        <f t="shared" si="10"/>
        <v>0</v>
      </c>
      <c r="G115">
        <v>8</v>
      </c>
      <c r="H115">
        <v>5</v>
      </c>
      <c r="I115" s="32">
        <f t="shared" si="11"/>
        <v>3</v>
      </c>
      <c r="J115">
        <v>8</v>
      </c>
      <c r="K115">
        <v>6</v>
      </c>
      <c r="L115" s="32">
        <f t="shared" si="12"/>
        <v>2</v>
      </c>
      <c r="M115">
        <v>7</v>
      </c>
      <c r="N115">
        <v>5</v>
      </c>
      <c r="O115" s="32">
        <f t="shared" si="13"/>
        <v>2</v>
      </c>
      <c r="P115">
        <v>8</v>
      </c>
      <c r="Q115">
        <v>5</v>
      </c>
      <c r="R115" s="32">
        <f t="shared" si="14"/>
        <v>3</v>
      </c>
      <c r="S115">
        <v>7</v>
      </c>
      <c r="T115">
        <v>5</v>
      </c>
      <c r="U115" s="32">
        <f t="shared" si="15"/>
        <v>2</v>
      </c>
      <c r="V115">
        <v>7</v>
      </c>
      <c r="W115">
        <v>5</v>
      </c>
      <c r="X115" s="32">
        <f t="shared" si="16"/>
        <v>2</v>
      </c>
      <c r="Y115">
        <v>8</v>
      </c>
      <c r="Z115">
        <v>6</v>
      </c>
      <c r="AA115" s="32">
        <f t="shared" si="17"/>
        <v>2</v>
      </c>
    </row>
    <row r="116" spans="1:27" x14ac:dyDescent="0.45">
      <c r="A116">
        <v>7</v>
      </c>
      <c r="B116" s="36">
        <f>step3_combined_data!S185</f>
        <v>6</v>
      </c>
      <c r="C116" s="32">
        <f t="shared" si="9"/>
        <v>1</v>
      </c>
      <c r="D116">
        <v>6</v>
      </c>
      <c r="E116" s="36">
        <f>step3_combined_data!X251</f>
        <v>6</v>
      </c>
      <c r="F116" s="32">
        <f t="shared" si="10"/>
        <v>0</v>
      </c>
      <c r="G116">
        <v>8</v>
      </c>
      <c r="H116">
        <v>5</v>
      </c>
      <c r="I116" s="32">
        <f t="shared" si="11"/>
        <v>3</v>
      </c>
      <c r="J116">
        <v>8</v>
      </c>
      <c r="K116">
        <v>6</v>
      </c>
      <c r="L116" s="32">
        <f t="shared" si="12"/>
        <v>2</v>
      </c>
      <c r="M116">
        <v>7</v>
      </c>
      <c r="N116">
        <v>5</v>
      </c>
      <c r="O116" s="32">
        <f t="shared" si="13"/>
        <v>2</v>
      </c>
      <c r="P116">
        <v>8</v>
      </c>
      <c r="Q116">
        <v>5</v>
      </c>
      <c r="R116" s="32">
        <f t="shared" si="14"/>
        <v>3</v>
      </c>
      <c r="S116">
        <v>7</v>
      </c>
      <c r="T116">
        <v>5</v>
      </c>
      <c r="U116" s="32">
        <f t="shared" si="15"/>
        <v>2</v>
      </c>
      <c r="V116">
        <v>7</v>
      </c>
      <c r="W116">
        <v>5</v>
      </c>
      <c r="X116" s="32">
        <f t="shared" si="16"/>
        <v>2</v>
      </c>
      <c r="Y116">
        <v>9</v>
      </c>
      <c r="Z116">
        <v>6</v>
      </c>
      <c r="AA116" s="32">
        <f t="shared" si="17"/>
        <v>3</v>
      </c>
    </row>
    <row r="117" spans="1:27" x14ac:dyDescent="0.45">
      <c r="A117">
        <v>7</v>
      </c>
      <c r="B117" s="36">
        <f>step3_combined_data!S188</f>
        <v>6</v>
      </c>
      <c r="C117" s="32">
        <f t="shared" si="9"/>
        <v>1</v>
      </c>
      <c r="D117">
        <v>6</v>
      </c>
      <c r="E117" s="36">
        <f>step3_combined_data!X253</f>
        <v>6</v>
      </c>
      <c r="F117" s="32">
        <f t="shared" si="10"/>
        <v>0</v>
      </c>
      <c r="G117">
        <v>8</v>
      </c>
      <c r="H117">
        <v>5</v>
      </c>
      <c r="I117" s="32">
        <f t="shared" si="11"/>
        <v>3</v>
      </c>
      <c r="J117">
        <v>8</v>
      </c>
      <c r="K117">
        <v>6</v>
      </c>
      <c r="L117" s="32">
        <f t="shared" si="12"/>
        <v>2</v>
      </c>
      <c r="M117">
        <v>7</v>
      </c>
      <c r="N117">
        <v>5</v>
      </c>
      <c r="O117" s="32">
        <f t="shared" si="13"/>
        <v>2</v>
      </c>
      <c r="P117">
        <v>8</v>
      </c>
      <c r="Q117">
        <v>5</v>
      </c>
      <c r="R117" s="32">
        <f t="shared" si="14"/>
        <v>3</v>
      </c>
      <c r="S117">
        <v>7</v>
      </c>
      <c r="T117">
        <v>5</v>
      </c>
      <c r="U117" s="32">
        <f t="shared" si="15"/>
        <v>2</v>
      </c>
      <c r="V117">
        <v>7</v>
      </c>
      <c r="W117">
        <v>5</v>
      </c>
      <c r="X117" s="32">
        <f t="shared" si="16"/>
        <v>2</v>
      </c>
      <c r="Y117">
        <v>9</v>
      </c>
      <c r="Z117">
        <v>6</v>
      </c>
      <c r="AA117" s="32">
        <f t="shared" si="17"/>
        <v>3</v>
      </c>
    </row>
    <row r="118" spans="1:27" x14ac:dyDescent="0.45">
      <c r="A118">
        <v>7</v>
      </c>
      <c r="B118" s="36">
        <f>step3_combined_data!S203</f>
        <v>6</v>
      </c>
      <c r="C118" s="32">
        <f t="shared" si="9"/>
        <v>1</v>
      </c>
      <c r="D118">
        <v>6</v>
      </c>
      <c r="E118" s="36">
        <f>step3_combined_data!X256</f>
        <v>6</v>
      </c>
      <c r="F118" s="32">
        <f t="shared" si="10"/>
        <v>0</v>
      </c>
      <c r="G118">
        <v>8</v>
      </c>
      <c r="H118">
        <v>5</v>
      </c>
      <c r="I118" s="32">
        <f t="shared" si="11"/>
        <v>3</v>
      </c>
      <c r="J118">
        <v>8</v>
      </c>
      <c r="K118">
        <v>6</v>
      </c>
      <c r="L118" s="32">
        <f t="shared" si="12"/>
        <v>2</v>
      </c>
      <c r="M118">
        <v>7</v>
      </c>
      <c r="N118">
        <v>5</v>
      </c>
      <c r="O118" s="32">
        <f t="shared" si="13"/>
        <v>2</v>
      </c>
      <c r="P118">
        <v>8</v>
      </c>
      <c r="Q118">
        <v>5</v>
      </c>
      <c r="R118" s="32">
        <f t="shared" si="14"/>
        <v>3</v>
      </c>
      <c r="S118">
        <v>7</v>
      </c>
      <c r="T118">
        <v>5</v>
      </c>
      <c r="U118" s="32">
        <f t="shared" si="15"/>
        <v>2</v>
      </c>
      <c r="V118">
        <v>7</v>
      </c>
      <c r="W118">
        <v>5</v>
      </c>
      <c r="X118" s="32">
        <f t="shared" si="16"/>
        <v>2</v>
      </c>
      <c r="Y118">
        <v>9</v>
      </c>
      <c r="Z118">
        <v>6</v>
      </c>
      <c r="AA118" s="32">
        <f t="shared" si="17"/>
        <v>3</v>
      </c>
    </row>
    <row r="119" spans="1:27" x14ac:dyDescent="0.45">
      <c r="A119">
        <v>7</v>
      </c>
      <c r="B119" s="36">
        <f>step3_combined_data!S210</f>
        <v>6</v>
      </c>
      <c r="C119" s="32">
        <f t="shared" si="9"/>
        <v>1</v>
      </c>
      <c r="D119">
        <v>6</v>
      </c>
      <c r="E119" s="36">
        <f>step3_combined_data!X261</f>
        <v>6</v>
      </c>
      <c r="F119" s="32">
        <f t="shared" si="10"/>
        <v>0</v>
      </c>
      <c r="G119">
        <v>8</v>
      </c>
      <c r="H119">
        <v>5</v>
      </c>
      <c r="I119" s="32">
        <f t="shared" si="11"/>
        <v>3</v>
      </c>
      <c r="J119">
        <v>8</v>
      </c>
      <c r="K119">
        <v>6</v>
      </c>
      <c r="L119" s="32">
        <f t="shared" si="12"/>
        <v>2</v>
      </c>
      <c r="M119">
        <v>7</v>
      </c>
      <c r="N119">
        <v>5</v>
      </c>
      <c r="O119" s="32">
        <f t="shared" si="13"/>
        <v>2</v>
      </c>
      <c r="P119">
        <v>8</v>
      </c>
      <c r="Q119">
        <v>5</v>
      </c>
      <c r="R119" s="32">
        <f t="shared" si="14"/>
        <v>3</v>
      </c>
      <c r="S119">
        <v>7</v>
      </c>
      <c r="T119">
        <v>5</v>
      </c>
      <c r="U119" s="32">
        <f t="shared" si="15"/>
        <v>2</v>
      </c>
      <c r="V119">
        <v>7</v>
      </c>
      <c r="W119">
        <v>5</v>
      </c>
      <c r="X119" s="32">
        <f t="shared" si="16"/>
        <v>2</v>
      </c>
      <c r="Y119">
        <v>9</v>
      </c>
      <c r="Z119">
        <v>6</v>
      </c>
      <c r="AA119" s="32">
        <f t="shared" si="17"/>
        <v>3</v>
      </c>
    </row>
    <row r="120" spans="1:27" x14ac:dyDescent="0.45">
      <c r="A120">
        <v>7</v>
      </c>
      <c r="B120" s="36">
        <f>step3_combined_data!S217</f>
        <v>6</v>
      </c>
      <c r="C120" s="32">
        <f t="shared" si="9"/>
        <v>1</v>
      </c>
      <c r="D120">
        <v>6</v>
      </c>
      <c r="E120" s="36">
        <f>step3_combined_data!X267</f>
        <v>6</v>
      </c>
      <c r="F120" s="32">
        <f t="shared" si="10"/>
        <v>0</v>
      </c>
      <c r="G120">
        <v>8</v>
      </c>
      <c r="H120">
        <v>5</v>
      </c>
      <c r="I120" s="32">
        <f t="shared" si="11"/>
        <v>3</v>
      </c>
      <c r="J120">
        <v>8</v>
      </c>
      <c r="K120">
        <v>6</v>
      </c>
      <c r="L120" s="32">
        <f t="shared" si="12"/>
        <v>2</v>
      </c>
      <c r="M120">
        <v>7</v>
      </c>
      <c r="N120">
        <v>5</v>
      </c>
      <c r="O120" s="32">
        <f t="shared" si="13"/>
        <v>2</v>
      </c>
      <c r="P120">
        <v>8</v>
      </c>
      <c r="Q120">
        <v>5</v>
      </c>
      <c r="R120" s="32">
        <f t="shared" si="14"/>
        <v>3</v>
      </c>
      <c r="S120">
        <v>7</v>
      </c>
      <c r="T120">
        <v>5</v>
      </c>
      <c r="U120" s="32">
        <f t="shared" si="15"/>
        <v>2</v>
      </c>
      <c r="V120">
        <v>7</v>
      </c>
      <c r="W120">
        <v>5</v>
      </c>
      <c r="X120" s="32">
        <f t="shared" si="16"/>
        <v>2</v>
      </c>
      <c r="Y120">
        <v>9</v>
      </c>
      <c r="Z120">
        <v>6</v>
      </c>
      <c r="AA120" s="32">
        <f t="shared" si="17"/>
        <v>3</v>
      </c>
    </row>
    <row r="121" spans="1:27" x14ac:dyDescent="0.45">
      <c r="A121">
        <v>7</v>
      </c>
      <c r="B121" s="36">
        <f>step3_combined_data!S219</f>
        <v>6</v>
      </c>
      <c r="C121" s="32">
        <f t="shared" si="9"/>
        <v>1</v>
      </c>
      <c r="D121">
        <v>6</v>
      </c>
      <c r="E121" s="36">
        <f>step3_combined_data!X275</f>
        <v>6</v>
      </c>
      <c r="F121" s="32">
        <f t="shared" si="10"/>
        <v>0</v>
      </c>
      <c r="G121">
        <v>8</v>
      </c>
      <c r="H121">
        <v>5</v>
      </c>
      <c r="I121" s="32">
        <f t="shared" si="11"/>
        <v>3</v>
      </c>
      <c r="J121">
        <v>8</v>
      </c>
      <c r="K121">
        <v>6</v>
      </c>
      <c r="L121" s="32">
        <f t="shared" si="12"/>
        <v>2</v>
      </c>
      <c r="M121">
        <v>7</v>
      </c>
      <c r="N121">
        <v>5</v>
      </c>
      <c r="O121" s="32">
        <f t="shared" si="13"/>
        <v>2</v>
      </c>
      <c r="P121">
        <v>8</v>
      </c>
      <c r="Q121">
        <v>5</v>
      </c>
      <c r="R121" s="32">
        <f t="shared" si="14"/>
        <v>3</v>
      </c>
      <c r="S121">
        <v>7</v>
      </c>
      <c r="T121">
        <v>5</v>
      </c>
      <c r="U121" s="32">
        <f t="shared" si="15"/>
        <v>2</v>
      </c>
      <c r="V121">
        <v>7</v>
      </c>
      <c r="W121">
        <v>5</v>
      </c>
      <c r="X121" s="32">
        <f t="shared" si="16"/>
        <v>2</v>
      </c>
      <c r="Y121">
        <v>9</v>
      </c>
      <c r="Z121">
        <v>6</v>
      </c>
      <c r="AA121" s="32">
        <f t="shared" si="17"/>
        <v>3</v>
      </c>
    </row>
    <row r="122" spans="1:27" x14ac:dyDescent="0.45">
      <c r="A122">
        <v>7</v>
      </c>
      <c r="B122" s="36">
        <f>step3_combined_data!S224</f>
        <v>6</v>
      </c>
      <c r="C122" s="32">
        <f t="shared" si="9"/>
        <v>1</v>
      </c>
      <c r="D122">
        <v>6</v>
      </c>
      <c r="E122" s="36">
        <f>step3_combined_data!X277</f>
        <v>6</v>
      </c>
      <c r="F122" s="32">
        <f t="shared" si="10"/>
        <v>0</v>
      </c>
      <c r="G122">
        <v>8</v>
      </c>
      <c r="H122">
        <v>5</v>
      </c>
      <c r="I122" s="32">
        <f t="shared" si="11"/>
        <v>3</v>
      </c>
      <c r="J122">
        <v>8</v>
      </c>
      <c r="K122">
        <v>6</v>
      </c>
      <c r="L122" s="32">
        <f t="shared" si="12"/>
        <v>2</v>
      </c>
      <c r="M122">
        <v>7</v>
      </c>
      <c r="N122">
        <v>5</v>
      </c>
      <c r="O122" s="32">
        <f t="shared" si="13"/>
        <v>2</v>
      </c>
      <c r="P122">
        <v>8</v>
      </c>
      <c r="Q122">
        <v>5</v>
      </c>
      <c r="R122" s="32">
        <f t="shared" si="14"/>
        <v>3</v>
      </c>
      <c r="S122">
        <v>7</v>
      </c>
      <c r="T122">
        <v>5</v>
      </c>
      <c r="U122" s="32">
        <f t="shared" si="15"/>
        <v>2</v>
      </c>
      <c r="V122">
        <v>7</v>
      </c>
      <c r="W122">
        <v>5</v>
      </c>
      <c r="X122" s="32">
        <f t="shared" si="16"/>
        <v>2</v>
      </c>
      <c r="Y122">
        <v>9</v>
      </c>
      <c r="Z122">
        <v>6</v>
      </c>
      <c r="AA122" s="32">
        <f t="shared" si="17"/>
        <v>3</v>
      </c>
    </row>
    <row r="123" spans="1:27" x14ac:dyDescent="0.45">
      <c r="A123">
        <v>7</v>
      </c>
      <c r="B123" s="36">
        <f>step3_combined_data!S226</f>
        <v>6</v>
      </c>
      <c r="C123" s="32">
        <f t="shared" si="9"/>
        <v>1</v>
      </c>
      <c r="D123">
        <v>6</v>
      </c>
      <c r="E123" s="36">
        <f>step3_combined_data!X293</f>
        <v>6</v>
      </c>
      <c r="F123" s="32">
        <f t="shared" si="10"/>
        <v>0</v>
      </c>
      <c r="G123">
        <v>8</v>
      </c>
      <c r="H123">
        <v>5</v>
      </c>
      <c r="I123" s="32">
        <f t="shared" si="11"/>
        <v>3</v>
      </c>
      <c r="J123">
        <v>8</v>
      </c>
      <c r="K123">
        <v>6</v>
      </c>
      <c r="L123" s="32">
        <f t="shared" si="12"/>
        <v>2</v>
      </c>
      <c r="M123">
        <v>7</v>
      </c>
      <c r="N123">
        <v>5</v>
      </c>
      <c r="O123" s="32">
        <f t="shared" si="13"/>
        <v>2</v>
      </c>
      <c r="P123">
        <v>8</v>
      </c>
      <c r="Q123">
        <v>5</v>
      </c>
      <c r="R123" s="32">
        <f t="shared" si="14"/>
        <v>3</v>
      </c>
      <c r="S123">
        <v>7</v>
      </c>
      <c r="T123">
        <v>5</v>
      </c>
      <c r="U123" s="32">
        <f t="shared" si="15"/>
        <v>2</v>
      </c>
      <c r="V123">
        <v>7</v>
      </c>
      <c r="W123">
        <v>5</v>
      </c>
      <c r="X123" s="32">
        <f t="shared" si="16"/>
        <v>2</v>
      </c>
      <c r="Y123">
        <v>9</v>
      </c>
      <c r="Z123">
        <v>6</v>
      </c>
      <c r="AA123" s="32">
        <f t="shared" si="17"/>
        <v>3</v>
      </c>
    </row>
    <row r="124" spans="1:27" x14ac:dyDescent="0.45">
      <c r="A124">
        <v>7</v>
      </c>
      <c r="B124" s="36">
        <f>step3_combined_data!S228</f>
        <v>6</v>
      </c>
      <c r="C124" s="32">
        <f t="shared" si="9"/>
        <v>1</v>
      </c>
      <c r="D124">
        <v>7</v>
      </c>
      <c r="E124" s="36">
        <f>step3_combined_data!X295</f>
        <v>6</v>
      </c>
      <c r="F124" s="32">
        <f t="shared" si="10"/>
        <v>1</v>
      </c>
      <c r="G124">
        <v>8</v>
      </c>
      <c r="H124">
        <v>5</v>
      </c>
      <c r="I124" s="32">
        <f t="shared" si="11"/>
        <v>3</v>
      </c>
      <c r="J124">
        <v>8</v>
      </c>
      <c r="K124">
        <v>6</v>
      </c>
      <c r="L124" s="32">
        <f t="shared" si="12"/>
        <v>2</v>
      </c>
      <c r="M124">
        <v>7</v>
      </c>
      <c r="N124">
        <v>5</v>
      </c>
      <c r="O124" s="32">
        <f t="shared" si="13"/>
        <v>2</v>
      </c>
      <c r="P124">
        <v>8</v>
      </c>
      <c r="Q124">
        <v>5</v>
      </c>
      <c r="R124" s="32">
        <f t="shared" si="14"/>
        <v>3</v>
      </c>
      <c r="S124">
        <v>7</v>
      </c>
      <c r="T124">
        <v>5</v>
      </c>
      <c r="U124" s="32">
        <f t="shared" si="15"/>
        <v>2</v>
      </c>
      <c r="V124">
        <v>7</v>
      </c>
      <c r="W124">
        <v>5</v>
      </c>
      <c r="X124" s="32">
        <f t="shared" si="16"/>
        <v>2</v>
      </c>
      <c r="Y124">
        <v>9</v>
      </c>
      <c r="Z124">
        <v>6</v>
      </c>
      <c r="AA124" s="32">
        <f t="shared" si="17"/>
        <v>3</v>
      </c>
    </row>
    <row r="125" spans="1:27" x14ac:dyDescent="0.45">
      <c r="A125">
        <v>7</v>
      </c>
      <c r="B125" s="36">
        <f>step3_combined_data!S230</f>
        <v>6</v>
      </c>
      <c r="C125" s="32">
        <f t="shared" si="9"/>
        <v>1</v>
      </c>
      <c r="D125">
        <v>7</v>
      </c>
      <c r="E125" s="36">
        <f>step3_combined_data!X314</f>
        <v>6</v>
      </c>
      <c r="F125" s="32">
        <f t="shared" si="10"/>
        <v>1</v>
      </c>
      <c r="G125">
        <v>8</v>
      </c>
      <c r="H125">
        <v>5</v>
      </c>
      <c r="I125" s="32">
        <f t="shared" si="11"/>
        <v>3</v>
      </c>
      <c r="J125">
        <v>8</v>
      </c>
      <c r="K125">
        <v>6</v>
      </c>
      <c r="L125" s="32">
        <f t="shared" si="12"/>
        <v>2</v>
      </c>
      <c r="M125">
        <v>7</v>
      </c>
      <c r="N125">
        <v>5</v>
      </c>
      <c r="O125" s="32">
        <f t="shared" si="13"/>
        <v>2</v>
      </c>
      <c r="P125">
        <v>8</v>
      </c>
      <c r="Q125">
        <v>5</v>
      </c>
      <c r="R125" s="32">
        <f t="shared" si="14"/>
        <v>3</v>
      </c>
      <c r="S125">
        <v>7</v>
      </c>
      <c r="T125">
        <v>5</v>
      </c>
      <c r="U125" s="32">
        <f t="shared" si="15"/>
        <v>2</v>
      </c>
      <c r="V125">
        <v>7</v>
      </c>
      <c r="W125">
        <v>5</v>
      </c>
      <c r="X125" s="32">
        <f t="shared" si="16"/>
        <v>2</v>
      </c>
      <c r="Y125">
        <v>9</v>
      </c>
      <c r="Z125">
        <v>6</v>
      </c>
      <c r="AA125" s="32">
        <f t="shared" si="17"/>
        <v>3</v>
      </c>
    </row>
    <row r="126" spans="1:27" x14ac:dyDescent="0.45">
      <c r="A126">
        <v>7</v>
      </c>
      <c r="B126" s="36">
        <f>step3_combined_data!S233</f>
        <v>6</v>
      </c>
      <c r="C126" s="32">
        <f t="shared" si="9"/>
        <v>1</v>
      </c>
      <c r="D126">
        <v>7</v>
      </c>
      <c r="E126" s="36">
        <f>step3_combined_data!X334</f>
        <v>6</v>
      </c>
      <c r="F126" s="32">
        <f t="shared" si="10"/>
        <v>1</v>
      </c>
      <c r="G126">
        <v>8</v>
      </c>
      <c r="H126">
        <v>5</v>
      </c>
      <c r="I126" s="32">
        <f t="shared" si="11"/>
        <v>3</v>
      </c>
      <c r="J126">
        <v>8</v>
      </c>
      <c r="K126">
        <v>6</v>
      </c>
      <c r="L126" s="32">
        <f t="shared" si="12"/>
        <v>2</v>
      </c>
      <c r="M126">
        <v>7</v>
      </c>
      <c r="N126">
        <v>5</v>
      </c>
      <c r="O126" s="32">
        <f t="shared" si="13"/>
        <v>2</v>
      </c>
      <c r="P126">
        <v>8</v>
      </c>
      <c r="Q126">
        <v>6</v>
      </c>
      <c r="R126" s="32">
        <f t="shared" si="14"/>
        <v>2</v>
      </c>
      <c r="S126">
        <v>7</v>
      </c>
      <c r="T126">
        <v>5</v>
      </c>
      <c r="U126" s="32">
        <f t="shared" si="15"/>
        <v>2</v>
      </c>
      <c r="V126">
        <v>7</v>
      </c>
      <c r="W126">
        <v>5</v>
      </c>
      <c r="X126" s="32">
        <f t="shared" si="16"/>
        <v>2</v>
      </c>
      <c r="Y126">
        <v>9</v>
      </c>
      <c r="Z126">
        <v>6</v>
      </c>
      <c r="AA126" s="32">
        <f t="shared" si="17"/>
        <v>3</v>
      </c>
    </row>
    <row r="127" spans="1:27" x14ac:dyDescent="0.45">
      <c r="A127">
        <v>7</v>
      </c>
      <c r="B127" s="36">
        <f>step3_combined_data!S236</f>
        <v>6</v>
      </c>
      <c r="C127" s="32">
        <f t="shared" si="9"/>
        <v>1</v>
      </c>
      <c r="D127">
        <v>7</v>
      </c>
      <c r="E127" s="36">
        <f>step3_combined_data!X353</f>
        <v>6</v>
      </c>
      <c r="F127" s="32">
        <f t="shared" si="10"/>
        <v>1</v>
      </c>
      <c r="G127">
        <v>8</v>
      </c>
      <c r="H127">
        <v>5</v>
      </c>
      <c r="I127" s="32">
        <f t="shared" si="11"/>
        <v>3</v>
      </c>
      <c r="J127">
        <v>8</v>
      </c>
      <c r="K127">
        <v>6</v>
      </c>
      <c r="L127" s="32">
        <f t="shared" si="12"/>
        <v>2</v>
      </c>
      <c r="M127">
        <v>7</v>
      </c>
      <c r="N127">
        <v>5</v>
      </c>
      <c r="O127" s="32">
        <f t="shared" si="13"/>
        <v>2</v>
      </c>
      <c r="P127">
        <v>8</v>
      </c>
      <c r="Q127">
        <v>6</v>
      </c>
      <c r="R127" s="32">
        <f t="shared" si="14"/>
        <v>2</v>
      </c>
      <c r="S127">
        <v>7</v>
      </c>
      <c r="T127">
        <v>5</v>
      </c>
      <c r="U127" s="32">
        <f t="shared" si="15"/>
        <v>2</v>
      </c>
      <c r="V127">
        <v>7</v>
      </c>
      <c r="W127">
        <v>5</v>
      </c>
      <c r="X127" s="32">
        <f t="shared" si="16"/>
        <v>2</v>
      </c>
      <c r="Y127">
        <v>9</v>
      </c>
      <c r="Z127">
        <v>6</v>
      </c>
      <c r="AA127" s="32">
        <f t="shared" si="17"/>
        <v>3</v>
      </c>
    </row>
    <row r="128" spans="1:27" x14ac:dyDescent="0.45">
      <c r="A128">
        <v>7</v>
      </c>
      <c r="B128" s="36">
        <f>step3_combined_data!S240</f>
        <v>6</v>
      </c>
      <c r="C128" s="32">
        <f t="shared" si="9"/>
        <v>1</v>
      </c>
      <c r="D128">
        <v>7</v>
      </c>
      <c r="E128" s="36">
        <f>step3_combined_data!X370</f>
        <v>6</v>
      </c>
      <c r="F128" s="32">
        <f t="shared" si="10"/>
        <v>1</v>
      </c>
      <c r="G128">
        <v>8</v>
      </c>
      <c r="H128">
        <v>5</v>
      </c>
      <c r="I128" s="32">
        <f t="shared" si="11"/>
        <v>3</v>
      </c>
      <c r="J128">
        <v>8</v>
      </c>
      <c r="K128">
        <v>6</v>
      </c>
      <c r="L128" s="32">
        <f t="shared" si="12"/>
        <v>2</v>
      </c>
      <c r="M128">
        <v>7</v>
      </c>
      <c r="N128">
        <v>5</v>
      </c>
      <c r="O128" s="32">
        <f t="shared" si="13"/>
        <v>2</v>
      </c>
      <c r="P128">
        <v>8</v>
      </c>
      <c r="Q128">
        <v>6</v>
      </c>
      <c r="R128" s="32">
        <f t="shared" si="14"/>
        <v>2</v>
      </c>
      <c r="S128">
        <v>7</v>
      </c>
      <c r="T128">
        <v>5</v>
      </c>
      <c r="U128" s="32">
        <f t="shared" si="15"/>
        <v>2</v>
      </c>
      <c r="V128">
        <v>7</v>
      </c>
      <c r="W128">
        <v>5</v>
      </c>
      <c r="X128" s="32">
        <f t="shared" si="16"/>
        <v>2</v>
      </c>
      <c r="Y128">
        <v>9</v>
      </c>
      <c r="Z128">
        <v>6</v>
      </c>
      <c r="AA128" s="32">
        <f t="shared" si="17"/>
        <v>3</v>
      </c>
    </row>
    <row r="129" spans="1:27" x14ac:dyDescent="0.45">
      <c r="A129">
        <v>7</v>
      </c>
      <c r="B129" s="36">
        <f>step3_combined_data!S243</f>
        <v>6</v>
      </c>
      <c r="C129" s="32">
        <f t="shared" si="9"/>
        <v>1</v>
      </c>
      <c r="D129">
        <v>7</v>
      </c>
      <c r="E129" s="36">
        <f>step3_combined_data!X373</f>
        <v>6</v>
      </c>
      <c r="F129" s="32">
        <f t="shared" si="10"/>
        <v>1</v>
      </c>
      <c r="G129">
        <v>8</v>
      </c>
      <c r="H129">
        <v>5</v>
      </c>
      <c r="I129" s="32">
        <f t="shared" si="11"/>
        <v>3</v>
      </c>
      <c r="J129">
        <v>8</v>
      </c>
      <c r="K129">
        <v>6</v>
      </c>
      <c r="L129" s="32">
        <f t="shared" si="12"/>
        <v>2</v>
      </c>
      <c r="M129">
        <v>7</v>
      </c>
      <c r="N129">
        <v>5</v>
      </c>
      <c r="O129" s="32">
        <f t="shared" si="13"/>
        <v>2</v>
      </c>
      <c r="P129">
        <v>8</v>
      </c>
      <c r="Q129">
        <v>6</v>
      </c>
      <c r="R129" s="32">
        <f t="shared" si="14"/>
        <v>2</v>
      </c>
      <c r="S129">
        <v>7</v>
      </c>
      <c r="T129">
        <v>5</v>
      </c>
      <c r="U129" s="32">
        <f t="shared" si="15"/>
        <v>2</v>
      </c>
      <c r="V129">
        <v>7</v>
      </c>
      <c r="W129">
        <v>5</v>
      </c>
      <c r="X129" s="32">
        <f t="shared" si="16"/>
        <v>2</v>
      </c>
      <c r="Y129">
        <v>9</v>
      </c>
      <c r="Z129">
        <v>6</v>
      </c>
      <c r="AA129" s="32">
        <f t="shared" si="17"/>
        <v>3</v>
      </c>
    </row>
    <row r="130" spans="1:27" x14ac:dyDescent="0.45">
      <c r="A130">
        <v>7</v>
      </c>
      <c r="B130" s="36">
        <f>step3_combined_data!S244</f>
        <v>6</v>
      </c>
      <c r="C130" s="32">
        <f t="shared" si="9"/>
        <v>1</v>
      </c>
      <c r="D130">
        <v>7</v>
      </c>
      <c r="E130" s="36">
        <f>step3_combined_data!X375</f>
        <v>6</v>
      </c>
      <c r="F130" s="32">
        <f t="shared" si="10"/>
        <v>1</v>
      </c>
      <c r="G130">
        <v>8</v>
      </c>
      <c r="H130">
        <v>5</v>
      </c>
      <c r="I130" s="32">
        <f t="shared" si="11"/>
        <v>3</v>
      </c>
      <c r="J130">
        <v>8</v>
      </c>
      <c r="K130">
        <v>6</v>
      </c>
      <c r="L130" s="32">
        <f t="shared" si="12"/>
        <v>2</v>
      </c>
      <c r="M130">
        <v>7</v>
      </c>
      <c r="N130">
        <v>5</v>
      </c>
      <c r="O130" s="32">
        <f t="shared" si="13"/>
        <v>2</v>
      </c>
      <c r="P130">
        <v>8</v>
      </c>
      <c r="Q130">
        <v>6</v>
      </c>
      <c r="R130" s="32">
        <f t="shared" si="14"/>
        <v>2</v>
      </c>
      <c r="S130">
        <v>7</v>
      </c>
      <c r="T130">
        <v>5</v>
      </c>
      <c r="U130" s="32">
        <f t="shared" si="15"/>
        <v>2</v>
      </c>
      <c r="V130">
        <v>7</v>
      </c>
      <c r="W130">
        <v>5</v>
      </c>
      <c r="X130" s="32">
        <f t="shared" si="16"/>
        <v>2</v>
      </c>
      <c r="Y130">
        <v>9</v>
      </c>
      <c r="Z130">
        <v>6</v>
      </c>
      <c r="AA130" s="32">
        <f t="shared" si="17"/>
        <v>3</v>
      </c>
    </row>
    <row r="131" spans="1:27" x14ac:dyDescent="0.45">
      <c r="A131">
        <v>7</v>
      </c>
      <c r="B131" s="36">
        <f>step3_combined_data!S247</f>
        <v>6</v>
      </c>
      <c r="C131" s="32">
        <f t="shared" ref="C131:C194" si="18">ABS(B131-A131)</f>
        <v>1</v>
      </c>
      <c r="D131">
        <v>7</v>
      </c>
      <c r="E131" s="36">
        <f>step3_combined_data!X377</f>
        <v>6</v>
      </c>
      <c r="F131" s="32">
        <f t="shared" ref="F131:F194" si="19">ABS(E131-D131)</f>
        <v>1</v>
      </c>
      <c r="G131">
        <v>8</v>
      </c>
      <c r="H131">
        <v>5</v>
      </c>
      <c r="I131" s="32">
        <f t="shared" ref="I131:I194" si="20">ABS(H131-G131)</f>
        <v>3</v>
      </c>
      <c r="J131">
        <v>8</v>
      </c>
      <c r="K131">
        <v>7</v>
      </c>
      <c r="L131" s="32">
        <f t="shared" ref="L131:L194" si="21">ABS(K131-J131)</f>
        <v>1</v>
      </c>
      <c r="M131">
        <v>7</v>
      </c>
      <c r="N131">
        <v>5</v>
      </c>
      <c r="O131" s="32">
        <f t="shared" ref="O131:O194" si="22">ABS(N131-M131)</f>
        <v>2</v>
      </c>
      <c r="P131">
        <v>8</v>
      </c>
      <c r="Q131">
        <v>6</v>
      </c>
      <c r="R131" s="32">
        <f t="shared" ref="R131:R194" si="23">ABS(Q131-P131)</f>
        <v>2</v>
      </c>
      <c r="S131">
        <v>7</v>
      </c>
      <c r="T131">
        <v>5</v>
      </c>
      <c r="U131" s="32">
        <f t="shared" ref="U131:U194" si="24">ABS(T131-S131)</f>
        <v>2</v>
      </c>
      <c r="V131">
        <v>7</v>
      </c>
      <c r="W131">
        <v>5</v>
      </c>
      <c r="X131" s="32">
        <f t="shared" ref="X131:X194" si="25">ABS(W131-V131)</f>
        <v>2</v>
      </c>
      <c r="Y131">
        <v>9</v>
      </c>
      <c r="Z131">
        <v>6</v>
      </c>
      <c r="AA131" s="32">
        <f t="shared" ref="AA131:AA194" si="26">ABS(Z131-Y131)</f>
        <v>3</v>
      </c>
    </row>
    <row r="132" spans="1:27" x14ac:dyDescent="0.45">
      <c r="A132">
        <v>7</v>
      </c>
      <c r="B132" s="36">
        <f>step3_combined_data!S253</f>
        <v>6</v>
      </c>
      <c r="C132" s="32">
        <f t="shared" si="18"/>
        <v>1</v>
      </c>
      <c r="D132">
        <v>7</v>
      </c>
      <c r="E132" s="36">
        <f>step3_combined_data!X14</f>
        <v>7</v>
      </c>
      <c r="F132" s="32">
        <f t="shared" si="19"/>
        <v>0</v>
      </c>
      <c r="G132">
        <v>8</v>
      </c>
      <c r="H132">
        <v>5</v>
      </c>
      <c r="I132" s="32">
        <f t="shared" si="20"/>
        <v>3</v>
      </c>
      <c r="J132">
        <v>8</v>
      </c>
      <c r="K132">
        <v>7</v>
      </c>
      <c r="L132" s="32">
        <f t="shared" si="21"/>
        <v>1</v>
      </c>
      <c r="M132">
        <v>7</v>
      </c>
      <c r="N132">
        <v>5</v>
      </c>
      <c r="O132" s="32">
        <f t="shared" si="22"/>
        <v>2</v>
      </c>
      <c r="P132">
        <v>8</v>
      </c>
      <c r="Q132">
        <v>6</v>
      </c>
      <c r="R132" s="32">
        <f t="shared" si="23"/>
        <v>2</v>
      </c>
      <c r="S132">
        <v>7</v>
      </c>
      <c r="T132">
        <v>5</v>
      </c>
      <c r="U132" s="32">
        <f t="shared" si="24"/>
        <v>2</v>
      </c>
      <c r="V132">
        <v>7</v>
      </c>
      <c r="W132">
        <v>6</v>
      </c>
      <c r="X132" s="32">
        <f t="shared" si="25"/>
        <v>1</v>
      </c>
      <c r="Y132">
        <v>9</v>
      </c>
      <c r="Z132">
        <v>6</v>
      </c>
      <c r="AA132" s="32">
        <f t="shared" si="26"/>
        <v>3</v>
      </c>
    </row>
    <row r="133" spans="1:27" x14ac:dyDescent="0.45">
      <c r="A133">
        <v>7</v>
      </c>
      <c r="B133" s="36">
        <f>step3_combined_data!S256</f>
        <v>6</v>
      </c>
      <c r="C133" s="32">
        <f t="shared" si="18"/>
        <v>1</v>
      </c>
      <c r="D133">
        <v>7</v>
      </c>
      <c r="E133" s="36">
        <f>step3_combined_data!X18</f>
        <v>7</v>
      </c>
      <c r="F133" s="32">
        <f t="shared" si="19"/>
        <v>0</v>
      </c>
      <c r="G133">
        <v>8</v>
      </c>
      <c r="H133">
        <v>5</v>
      </c>
      <c r="I133" s="32">
        <f t="shared" si="20"/>
        <v>3</v>
      </c>
      <c r="J133">
        <v>8</v>
      </c>
      <c r="K133">
        <v>7</v>
      </c>
      <c r="L133" s="32">
        <f t="shared" si="21"/>
        <v>1</v>
      </c>
      <c r="M133">
        <v>7</v>
      </c>
      <c r="N133">
        <v>5</v>
      </c>
      <c r="O133" s="32">
        <f t="shared" si="22"/>
        <v>2</v>
      </c>
      <c r="P133">
        <v>8</v>
      </c>
      <c r="Q133">
        <v>6</v>
      </c>
      <c r="R133" s="32">
        <f t="shared" si="23"/>
        <v>2</v>
      </c>
      <c r="S133">
        <v>7</v>
      </c>
      <c r="T133">
        <v>5</v>
      </c>
      <c r="U133" s="32">
        <f t="shared" si="24"/>
        <v>2</v>
      </c>
      <c r="V133">
        <v>7</v>
      </c>
      <c r="W133">
        <v>6</v>
      </c>
      <c r="X133" s="32">
        <f t="shared" si="25"/>
        <v>1</v>
      </c>
      <c r="Y133">
        <v>9</v>
      </c>
      <c r="Z133">
        <v>6</v>
      </c>
      <c r="AA133" s="32">
        <f t="shared" si="26"/>
        <v>3</v>
      </c>
    </row>
    <row r="134" spans="1:27" x14ac:dyDescent="0.45">
      <c r="A134">
        <v>7</v>
      </c>
      <c r="B134" s="36">
        <f>step3_combined_data!S259</f>
        <v>6</v>
      </c>
      <c r="C134" s="32">
        <f t="shared" si="18"/>
        <v>1</v>
      </c>
      <c r="D134">
        <v>7</v>
      </c>
      <c r="E134" s="36">
        <f>step3_combined_data!X26</f>
        <v>7</v>
      </c>
      <c r="F134" s="32">
        <f t="shared" si="19"/>
        <v>0</v>
      </c>
      <c r="G134">
        <v>8</v>
      </c>
      <c r="H134">
        <v>5</v>
      </c>
      <c r="I134" s="32">
        <f t="shared" si="20"/>
        <v>3</v>
      </c>
      <c r="J134">
        <v>8</v>
      </c>
      <c r="K134">
        <v>7</v>
      </c>
      <c r="L134" s="32">
        <f t="shared" si="21"/>
        <v>1</v>
      </c>
      <c r="M134">
        <v>7</v>
      </c>
      <c r="N134">
        <v>5</v>
      </c>
      <c r="O134" s="32">
        <f t="shared" si="22"/>
        <v>2</v>
      </c>
      <c r="P134">
        <v>8</v>
      </c>
      <c r="Q134">
        <v>6</v>
      </c>
      <c r="R134" s="32">
        <f t="shared" si="23"/>
        <v>2</v>
      </c>
      <c r="S134">
        <v>7</v>
      </c>
      <c r="T134">
        <v>5</v>
      </c>
      <c r="U134" s="32">
        <f t="shared" si="24"/>
        <v>2</v>
      </c>
      <c r="V134">
        <v>7</v>
      </c>
      <c r="W134">
        <v>6</v>
      </c>
      <c r="X134" s="32">
        <f t="shared" si="25"/>
        <v>1</v>
      </c>
      <c r="Y134">
        <v>9</v>
      </c>
      <c r="Z134">
        <v>6</v>
      </c>
      <c r="AA134" s="32">
        <f t="shared" si="26"/>
        <v>3</v>
      </c>
    </row>
    <row r="135" spans="1:27" x14ac:dyDescent="0.45">
      <c r="A135">
        <v>7</v>
      </c>
      <c r="B135" s="36">
        <f>step3_combined_data!S261</f>
        <v>6</v>
      </c>
      <c r="C135" s="32">
        <f t="shared" si="18"/>
        <v>1</v>
      </c>
      <c r="D135">
        <v>7</v>
      </c>
      <c r="E135" s="36">
        <f>step3_combined_data!X32</f>
        <v>7</v>
      </c>
      <c r="F135" s="32">
        <f t="shared" si="19"/>
        <v>0</v>
      </c>
      <c r="G135">
        <v>8</v>
      </c>
      <c r="H135">
        <v>5</v>
      </c>
      <c r="I135" s="32">
        <f t="shared" si="20"/>
        <v>3</v>
      </c>
      <c r="J135">
        <v>8</v>
      </c>
      <c r="K135">
        <v>7</v>
      </c>
      <c r="L135" s="32">
        <f t="shared" si="21"/>
        <v>1</v>
      </c>
      <c r="M135">
        <v>7</v>
      </c>
      <c r="N135">
        <v>5</v>
      </c>
      <c r="O135" s="32">
        <f t="shared" si="22"/>
        <v>2</v>
      </c>
      <c r="P135">
        <v>8</v>
      </c>
      <c r="Q135">
        <v>6</v>
      </c>
      <c r="R135" s="32">
        <f t="shared" si="23"/>
        <v>2</v>
      </c>
      <c r="S135">
        <v>7</v>
      </c>
      <c r="T135">
        <v>5</v>
      </c>
      <c r="U135" s="32">
        <f t="shared" si="24"/>
        <v>2</v>
      </c>
      <c r="V135">
        <v>7</v>
      </c>
      <c r="W135">
        <v>6</v>
      </c>
      <c r="X135" s="32">
        <f t="shared" si="25"/>
        <v>1</v>
      </c>
      <c r="Y135">
        <v>9</v>
      </c>
      <c r="Z135">
        <v>6</v>
      </c>
      <c r="AA135" s="32">
        <f t="shared" si="26"/>
        <v>3</v>
      </c>
    </row>
    <row r="136" spans="1:27" x14ac:dyDescent="0.45">
      <c r="A136">
        <v>7</v>
      </c>
      <c r="B136" s="36">
        <f>step3_combined_data!S262</f>
        <v>6</v>
      </c>
      <c r="C136" s="32">
        <f t="shared" si="18"/>
        <v>1</v>
      </c>
      <c r="D136">
        <v>7</v>
      </c>
      <c r="E136" s="36">
        <f>step3_combined_data!X55</f>
        <v>7</v>
      </c>
      <c r="F136" s="32">
        <f t="shared" si="19"/>
        <v>0</v>
      </c>
      <c r="G136">
        <v>8</v>
      </c>
      <c r="H136">
        <v>5</v>
      </c>
      <c r="I136" s="32">
        <f t="shared" si="20"/>
        <v>3</v>
      </c>
      <c r="J136">
        <v>8</v>
      </c>
      <c r="K136">
        <v>7</v>
      </c>
      <c r="L136" s="32">
        <f t="shared" si="21"/>
        <v>1</v>
      </c>
      <c r="M136">
        <v>7</v>
      </c>
      <c r="N136">
        <v>5</v>
      </c>
      <c r="O136" s="32">
        <f t="shared" si="22"/>
        <v>2</v>
      </c>
      <c r="P136">
        <v>8</v>
      </c>
      <c r="Q136">
        <v>6</v>
      </c>
      <c r="R136" s="32">
        <f t="shared" si="23"/>
        <v>2</v>
      </c>
      <c r="S136">
        <v>7</v>
      </c>
      <c r="T136">
        <v>5</v>
      </c>
      <c r="U136" s="32">
        <f t="shared" si="24"/>
        <v>2</v>
      </c>
      <c r="V136">
        <v>7</v>
      </c>
      <c r="W136">
        <v>6</v>
      </c>
      <c r="X136" s="32">
        <f t="shared" si="25"/>
        <v>1</v>
      </c>
      <c r="Y136">
        <v>9</v>
      </c>
      <c r="Z136">
        <v>6</v>
      </c>
      <c r="AA136" s="32">
        <f t="shared" si="26"/>
        <v>3</v>
      </c>
    </row>
    <row r="137" spans="1:27" x14ac:dyDescent="0.45">
      <c r="A137">
        <v>7</v>
      </c>
      <c r="B137" s="36">
        <f>step3_combined_data!S266</f>
        <v>6</v>
      </c>
      <c r="C137" s="32">
        <f t="shared" si="18"/>
        <v>1</v>
      </c>
      <c r="D137">
        <v>7</v>
      </c>
      <c r="E137" s="36">
        <f>step3_combined_data!X70</f>
        <v>7</v>
      </c>
      <c r="F137" s="32">
        <f t="shared" si="19"/>
        <v>0</v>
      </c>
      <c r="G137">
        <v>8</v>
      </c>
      <c r="H137">
        <v>5</v>
      </c>
      <c r="I137" s="32">
        <f t="shared" si="20"/>
        <v>3</v>
      </c>
      <c r="J137">
        <v>8</v>
      </c>
      <c r="K137">
        <v>7</v>
      </c>
      <c r="L137" s="32">
        <f t="shared" si="21"/>
        <v>1</v>
      </c>
      <c r="M137">
        <v>7</v>
      </c>
      <c r="N137">
        <v>5</v>
      </c>
      <c r="O137" s="32">
        <f t="shared" si="22"/>
        <v>2</v>
      </c>
      <c r="P137">
        <v>8</v>
      </c>
      <c r="Q137">
        <v>6</v>
      </c>
      <c r="R137" s="32">
        <f t="shared" si="23"/>
        <v>2</v>
      </c>
      <c r="S137">
        <v>7</v>
      </c>
      <c r="T137">
        <v>5</v>
      </c>
      <c r="U137" s="32">
        <f t="shared" si="24"/>
        <v>2</v>
      </c>
      <c r="V137">
        <v>7</v>
      </c>
      <c r="W137">
        <v>6</v>
      </c>
      <c r="X137" s="32">
        <f t="shared" si="25"/>
        <v>1</v>
      </c>
      <c r="Y137">
        <v>9</v>
      </c>
      <c r="Z137">
        <v>6</v>
      </c>
      <c r="AA137" s="32">
        <f t="shared" si="26"/>
        <v>3</v>
      </c>
    </row>
    <row r="138" spans="1:27" x14ac:dyDescent="0.45">
      <c r="A138">
        <v>7</v>
      </c>
      <c r="B138" s="36">
        <f>step3_combined_data!S268</f>
        <v>6</v>
      </c>
      <c r="C138" s="32">
        <f t="shared" si="18"/>
        <v>1</v>
      </c>
      <c r="D138">
        <v>7</v>
      </c>
      <c r="E138" s="36">
        <f>step3_combined_data!X79</f>
        <v>7</v>
      </c>
      <c r="F138" s="32">
        <f t="shared" si="19"/>
        <v>0</v>
      </c>
      <c r="G138">
        <v>8</v>
      </c>
      <c r="H138">
        <v>5</v>
      </c>
      <c r="I138" s="32">
        <f t="shared" si="20"/>
        <v>3</v>
      </c>
      <c r="J138">
        <v>8</v>
      </c>
      <c r="K138">
        <v>7</v>
      </c>
      <c r="L138" s="32">
        <f t="shared" si="21"/>
        <v>1</v>
      </c>
      <c r="M138">
        <v>7</v>
      </c>
      <c r="N138">
        <v>6</v>
      </c>
      <c r="O138" s="32">
        <f t="shared" si="22"/>
        <v>1</v>
      </c>
      <c r="P138">
        <v>8</v>
      </c>
      <c r="Q138">
        <v>6</v>
      </c>
      <c r="R138" s="32">
        <f t="shared" si="23"/>
        <v>2</v>
      </c>
      <c r="S138">
        <v>7</v>
      </c>
      <c r="T138">
        <v>5</v>
      </c>
      <c r="U138" s="32">
        <f t="shared" si="24"/>
        <v>2</v>
      </c>
      <c r="V138">
        <v>7</v>
      </c>
      <c r="W138">
        <v>6</v>
      </c>
      <c r="X138" s="32">
        <f t="shared" si="25"/>
        <v>1</v>
      </c>
      <c r="Y138">
        <v>9</v>
      </c>
      <c r="Z138">
        <v>6</v>
      </c>
      <c r="AA138" s="32">
        <f t="shared" si="26"/>
        <v>3</v>
      </c>
    </row>
    <row r="139" spans="1:27" x14ac:dyDescent="0.45">
      <c r="A139">
        <v>7</v>
      </c>
      <c r="B139" s="36">
        <f>step3_combined_data!S275</f>
        <v>6</v>
      </c>
      <c r="C139" s="32">
        <f t="shared" si="18"/>
        <v>1</v>
      </c>
      <c r="D139">
        <v>7</v>
      </c>
      <c r="E139" s="36">
        <f>step3_combined_data!X82</f>
        <v>7</v>
      </c>
      <c r="F139" s="32">
        <f t="shared" si="19"/>
        <v>0</v>
      </c>
      <c r="G139">
        <v>8</v>
      </c>
      <c r="H139">
        <v>5</v>
      </c>
      <c r="I139" s="32">
        <f t="shared" si="20"/>
        <v>3</v>
      </c>
      <c r="J139">
        <v>8</v>
      </c>
      <c r="K139">
        <v>7</v>
      </c>
      <c r="L139" s="32">
        <f t="shared" si="21"/>
        <v>1</v>
      </c>
      <c r="M139">
        <v>7</v>
      </c>
      <c r="N139">
        <v>6</v>
      </c>
      <c r="O139" s="32">
        <f t="shared" si="22"/>
        <v>1</v>
      </c>
      <c r="P139">
        <v>8</v>
      </c>
      <c r="Q139">
        <v>6</v>
      </c>
      <c r="R139" s="32">
        <f t="shared" si="23"/>
        <v>2</v>
      </c>
      <c r="S139">
        <v>7</v>
      </c>
      <c r="T139">
        <v>5</v>
      </c>
      <c r="U139" s="32">
        <f t="shared" si="24"/>
        <v>2</v>
      </c>
      <c r="V139">
        <v>7</v>
      </c>
      <c r="W139">
        <v>6</v>
      </c>
      <c r="X139" s="32">
        <f t="shared" si="25"/>
        <v>1</v>
      </c>
      <c r="Y139">
        <v>9</v>
      </c>
      <c r="Z139">
        <v>6</v>
      </c>
      <c r="AA139" s="32">
        <f t="shared" si="26"/>
        <v>3</v>
      </c>
    </row>
    <row r="140" spans="1:27" x14ac:dyDescent="0.45">
      <c r="A140">
        <v>7</v>
      </c>
      <c r="B140" s="36">
        <f>step3_combined_data!S277</f>
        <v>6</v>
      </c>
      <c r="C140" s="32">
        <f t="shared" si="18"/>
        <v>1</v>
      </c>
      <c r="D140">
        <v>7</v>
      </c>
      <c r="E140" s="36">
        <f>step3_combined_data!X85</f>
        <v>7</v>
      </c>
      <c r="F140" s="32">
        <f t="shared" si="19"/>
        <v>0</v>
      </c>
      <c r="G140">
        <v>8</v>
      </c>
      <c r="H140">
        <v>5</v>
      </c>
      <c r="I140" s="32">
        <f t="shared" si="20"/>
        <v>3</v>
      </c>
      <c r="J140">
        <v>8</v>
      </c>
      <c r="K140">
        <v>7</v>
      </c>
      <c r="L140" s="32">
        <f t="shared" si="21"/>
        <v>1</v>
      </c>
      <c r="M140">
        <v>7</v>
      </c>
      <c r="N140">
        <v>6</v>
      </c>
      <c r="O140" s="32">
        <f t="shared" si="22"/>
        <v>1</v>
      </c>
      <c r="P140">
        <v>8</v>
      </c>
      <c r="Q140">
        <v>6</v>
      </c>
      <c r="R140" s="32">
        <f t="shared" si="23"/>
        <v>2</v>
      </c>
      <c r="S140">
        <v>7</v>
      </c>
      <c r="T140">
        <v>5</v>
      </c>
      <c r="U140" s="32">
        <f t="shared" si="24"/>
        <v>2</v>
      </c>
      <c r="V140">
        <v>7</v>
      </c>
      <c r="W140">
        <v>6</v>
      </c>
      <c r="X140" s="32">
        <f t="shared" si="25"/>
        <v>1</v>
      </c>
      <c r="Y140">
        <v>9</v>
      </c>
      <c r="Z140">
        <v>6</v>
      </c>
      <c r="AA140" s="32">
        <f t="shared" si="26"/>
        <v>3</v>
      </c>
    </row>
    <row r="141" spans="1:27" x14ac:dyDescent="0.45">
      <c r="A141">
        <v>7</v>
      </c>
      <c r="B141" s="36">
        <f>step3_combined_data!S279</f>
        <v>6</v>
      </c>
      <c r="C141" s="32">
        <f t="shared" si="18"/>
        <v>1</v>
      </c>
      <c r="D141">
        <v>7</v>
      </c>
      <c r="E141" s="36">
        <f>step3_combined_data!X95</f>
        <v>7</v>
      </c>
      <c r="F141" s="32">
        <f t="shared" si="19"/>
        <v>0</v>
      </c>
      <c r="G141">
        <v>8</v>
      </c>
      <c r="H141">
        <v>5</v>
      </c>
      <c r="I141" s="32">
        <f t="shared" si="20"/>
        <v>3</v>
      </c>
      <c r="J141">
        <v>8</v>
      </c>
      <c r="K141">
        <v>7</v>
      </c>
      <c r="L141" s="32">
        <f t="shared" si="21"/>
        <v>1</v>
      </c>
      <c r="M141">
        <v>7</v>
      </c>
      <c r="N141">
        <v>6</v>
      </c>
      <c r="O141" s="32">
        <f t="shared" si="22"/>
        <v>1</v>
      </c>
      <c r="P141">
        <v>8</v>
      </c>
      <c r="Q141">
        <v>6</v>
      </c>
      <c r="R141" s="32">
        <f t="shared" si="23"/>
        <v>2</v>
      </c>
      <c r="S141">
        <v>7</v>
      </c>
      <c r="T141">
        <v>5</v>
      </c>
      <c r="U141" s="32">
        <f t="shared" si="24"/>
        <v>2</v>
      </c>
      <c r="V141">
        <v>7</v>
      </c>
      <c r="W141">
        <v>6</v>
      </c>
      <c r="X141" s="32">
        <f t="shared" si="25"/>
        <v>1</v>
      </c>
      <c r="Y141">
        <v>9</v>
      </c>
      <c r="Z141">
        <v>6</v>
      </c>
      <c r="AA141" s="32">
        <f t="shared" si="26"/>
        <v>3</v>
      </c>
    </row>
    <row r="142" spans="1:27" x14ac:dyDescent="0.45">
      <c r="A142">
        <v>7</v>
      </c>
      <c r="B142" s="36">
        <f>step3_combined_data!S280</f>
        <v>6</v>
      </c>
      <c r="C142" s="32">
        <f t="shared" si="18"/>
        <v>1</v>
      </c>
      <c r="D142">
        <v>7</v>
      </c>
      <c r="E142" s="36">
        <f>step3_combined_data!X97</f>
        <v>7</v>
      </c>
      <c r="F142" s="32">
        <f t="shared" si="19"/>
        <v>0</v>
      </c>
      <c r="G142">
        <v>8</v>
      </c>
      <c r="H142">
        <v>5</v>
      </c>
      <c r="I142" s="32">
        <f t="shared" si="20"/>
        <v>3</v>
      </c>
      <c r="J142">
        <v>8</v>
      </c>
      <c r="K142">
        <v>7</v>
      </c>
      <c r="L142" s="32">
        <f t="shared" si="21"/>
        <v>1</v>
      </c>
      <c r="M142">
        <v>7</v>
      </c>
      <c r="N142">
        <v>6</v>
      </c>
      <c r="O142" s="32">
        <f t="shared" si="22"/>
        <v>1</v>
      </c>
      <c r="P142">
        <v>8</v>
      </c>
      <c r="Q142">
        <v>6</v>
      </c>
      <c r="R142" s="32">
        <f t="shared" si="23"/>
        <v>2</v>
      </c>
      <c r="S142">
        <v>7</v>
      </c>
      <c r="T142">
        <v>5</v>
      </c>
      <c r="U142" s="32">
        <f t="shared" si="24"/>
        <v>2</v>
      </c>
      <c r="V142">
        <v>7</v>
      </c>
      <c r="W142">
        <v>6</v>
      </c>
      <c r="X142" s="32">
        <f t="shared" si="25"/>
        <v>1</v>
      </c>
      <c r="Y142">
        <v>9</v>
      </c>
      <c r="Z142">
        <v>6</v>
      </c>
      <c r="AA142" s="32">
        <f t="shared" si="26"/>
        <v>3</v>
      </c>
    </row>
    <row r="143" spans="1:27" x14ac:dyDescent="0.45">
      <c r="A143">
        <v>7</v>
      </c>
      <c r="B143" s="36">
        <f>step3_combined_data!S282</f>
        <v>6</v>
      </c>
      <c r="C143" s="32">
        <f t="shared" si="18"/>
        <v>1</v>
      </c>
      <c r="D143">
        <v>7</v>
      </c>
      <c r="E143" s="36">
        <f>step3_combined_data!X105</f>
        <v>7</v>
      </c>
      <c r="F143" s="32">
        <f t="shared" si="19"/>
        <v>0</v>
      </c>
      <c r="G143">
        <v>8</v>
      </c>
      <c r="H143">
        <v>5</v>
      </c>
      <c r="I143" s="32">
        <f t="shared" si="20"/>
        <v>3</v>
      </c>
      <c r="J143">
        <v>8</v>
      </c>
      <c r="K143">
        <v>7</v>
      </c>
      <c r="L143" s="32">
        <f t="shared" si="21"/>
        <v>1</v>
      </c>
      <c r="M143">
        <v>7</v>
      </c>
      <c r="N143">
        <v>6</v>
      </c>
      <c r="O143" s="32">
        <f t="shared" si="22"/>
        <v>1</v>
      </c>
      <c r="P143">
        <v>8</v>
      </c>
      <c r="Q143">
        <v>6</v>
      </c>
      <c r="R143" s="32">
        <f t="shared" si="23"/>
        <v>2</v>
      </c>
      <c r="S143">
        <v>7</v>
      </c>
      <c r="T143">
        <v>5</v>
      </c>
      <c r="U143" s="32">
        <f t="shared" si="24"/>
        <v>2</v>
      </c>
      <c r="V143">
        <v>7</v>
      </c>
      <c r="W143">
        <v>6</v>
      </c>
      <c r="X143" s="32">
        <f t="shared" si="25"/>
        <v>1</v>
      </c>
      <c r="Y143">
        <v>9</v>
      </c>
      <c r="Z143">
        <v>6</v>
      </c>
      <c r="AA143" s="32">
        <f t="shared" si="26"/>
        <v>3</v>
      </c>
    </row>
    <row r="144" spans="1:27" x14ac:dyDescent="0.45">
      <c r="A144">
        <v>7</v>
      </c>
      <c r="B144" s="36">
        <f>step3_combined_data!S293</f>
        <v>6</v>
      </c>
      <c r="C144" s="32">
        <f t="shared" si="18"/>
        <v>1</v>
      </c>
      <c r="D144">
        <v>7</v>
      </c>
      <c r="E144" s="36">
        <f>step3_combined_data!X108</f>
        <v>7</v>
      </c>
      <c r="F144" s="32">
        <f t="shared" si="19"/>
        <v>0</v>
      </c>
      <c r="G144">
        <v>8</v>
      </c>
      <c r="H144">
        <v>5</v>
      </c>
      <c r="I144" s="32">
        <f t="shared" si="20"/>
        <v>3</v>
      </c>
      <c r="J144">
        <v>8</v>
      </c>
      <c r="K144">
        <v>7</v>
      </c>
      <c r="L144" s="32">
        <f t="shared" si="21"/>
        <v>1</v>
      </c>
      <c r="M144">
        <v>7</v>
      </c>
      <c r="N144">
        <v>6</v>
      </c>
      <c r="O144" s="32">
        <f t="shared" si="22"/>
        <v>1</v>
      </c>
      <c r="P144">
        <v>8</v>
      </c>
      <c r="Q144">
        <v>6</v>
      </c>
      <c r="R144" s="32">
        <f t="shared" si="23"/>
        <v>2</v>
      </c>
      <c r="S144">
        <v>7</v>
      </c>
      <c r="T144">
        <v>5</v>
      </c>
      <c r="U144" s="32">
        <f t="shared" si="24"/>
        <v>2</v>
      </c>
      <c r="V144">
        <v>7</v>
      </c>
      <c r="W144">
        <v>6</v>
      </c>
      <c r="X144" s="32">
        <f t="shared" si="25"/>
        <v>1</v>
      </c>
      <c r="Y144">
        <v>9</v>
      </c>
      <c r="Z144">
        <v>6</v>
      </c>
      <c r="AA144" s="32">
        <f t="shared" si="26"/>
        <v>3</v>
      </c>
    </row>
    <row r="145" spans="1:27" x14ac:dyDescent="0.45">
      <c r="A145">
        <v>7</v>
      </c>
      <c r="B145" s="36">
        <f>step3_combined_data!S295</f>
        <v>6</v>
      </c>
      <c r="C145" s="32">
        <f t="shared" si="18"/>
        <v>1</v>
      </c>
      <c r="D145">
        <v>7</v>
      </c>
      <c r="E145" s="36">
        <f>step3_combined_data!X124</f>
        <v>7</v>
      </c>
      <c r="F145" s="32">
        <f t="shared" si="19"/>
        <v>0</v>
      </c>
      <c r="G145">
        <v>8</v>
      </c>
      <c r="H145">
        <v>5</v>
      </c>
      <c r="I145" s="32">
        <f t="shared" si="20"/>
        <v>3</v>
      </c>
      <c r="J145">
        <v>8</v>
      </c>
      <c r="K145">
        <v>7</v>
      </c>
      <c r="L145" s="32">
        <f t="shared" si="21"/>
        <v>1</v>
      </c>
      <c r="M145">
        <v>7</v>
      </c>
      <c r="N145">
        <v>6</v>
      </c>
      <c r="O145" s="32">
        <f t="shared" si="22"/>
        <v>1</v>
      </c>
      <c r="P145">
        <v>8</v>
      </c>
      <c r="Q145">
        <v>6</v>
      </c>
      <c r="R145" s="32">
        <f t="shared" si="23"/>
        <v>2</v>
      </c>
      <c r="S145">
        <v>7</v>
      </c>
      <c r="T145">
        <v>5</v>
      </c>
      <c r="U145" s="32">
        <f t="shared" si="24"/>
        <v>2</v>
      </c>
      <c r="V145">
        <v>7</v>
      </c>
      <c r="W145">
        <v>6</v>
      </c>
      <c r="X145" s="32">
        <f t="shared" si="25"/>
        <v>1</v>
      </c>
      <c r="Y145">
        <v>9</v>
      </c>
      <c r="Z145">
        <v>6</v>
      </c>
      <c r="AA145" s="32">
        <f t="shared" si="26"/>
        <v>3</v>
      </c>
    </row>
    <row r="146" spans="1:27" x14ac:dyDescent="0.45">
      <c r="A146">
        <v>7</v>
      </c>
      <c r="B146" s="36">
        <f>step3_combined_data!S304</f>
        <v>6</v>
      </c>
      <c r="C146" s="32">
        <f t="shared" si="18"/>
        <v>1</v>
      </c>
      <c r="D146">
        <v>7</v>
      </c>
      <c r="E146" s="36">
        <f>step3_combined_data!X142</f>
        <v>7</v>
      </c>
      <c r="F146" s="32">
        <f t="shared" si="19"/>
        <v>0</v>
      </c>
      <c r="G146">
        <v>8</v>
      </c>
      <c r="H146">
        <v>5</v>
      </c>
      <c r="I146" s="32">
        <f t="shared" si="20"/>
        <v>3</v>
      </c>
      <c r="J146">
        <v>8</v>
      </c>
      <c r="K146">
        <v>7</v>
      </c>
      <c r="L146" s="32">
        <f t="shared" si="21"/>
        <v>1</v>
      </c>
      <c r="M146">
        <v>7</v>
      </c>
      <c r="N146">
        <v>6</v>
      </c>
      <c r="O146" s="32">
        <f t="shared" si="22"/>
        <v>1</v>
      </c>
      <c r="P146">
        <v>8</v>
      </c>
      <c r="Q146">
        <v>6</v>
      </c>
      <c r="R146" s="32">
        <f t="shared" si="23"/>
        <v>2</v>
      </c>
      <c r="S146">
        <v>7</v>
      </c>
      <c r="T146">
        <v>5</v>
      </c>
      <c r="U146" s="32">
        <f t="shared" si="24"/>
        <v>2</v>
      </c>
      <c r="V146">
        <v>7</v>
      </c>
      <c r="W146">
        <v>6</v>
      </c>
      <c r="X146" s="32">
        <f t="shared" si="25"/>
        <v>1</v>
      </c>
      <c r="Y146">
        <v>9</v>
      </c>
      <c r="Z146">
        <v>6</v>
      </c>
      <c r="AA146" s="32">
        <f t="shared" si="26"/>
        <v>3</v>
      </c>
    </row>
    <row r="147" spans="1:27" x14ac:dyDescent="0.45">
      <c r="A147">
        <v>7</v>
      </c>
      <c r="B147" s="36">
        <f>step3_combined_data!S312</f>
        <v>6</v>
      </c>
      <c r="C147" s="32">
        <f t="shared" si="18"/>
        <v>1</v>
      </c>
      <c r="D147">
        <v>7</v>
      </c>
      <c r="E147" s="36">
        <f>step3_combined_data!X148</f>
        <v>7</v>
      </c>
      <c r="F147" s="32">
        <f t="shared" si="19"/>
        <v>0</v>
      </c>
      <c r="G147">
        <v>8</v>
      </c>
      <c r="H147">
        <v>5</v>
      </c>
      <c r="I147" s="32">
        <f t="shared" si="20"/>
        <v>3</v>
      </c>
      <c r="J147">
        <v>8</v>
      </c>
      <c r="K147">
        <v>7</v>
      </c>
      <c r="L147" s="32">
        <f t="shared" si="21"/>
        <v>1</v>
      </c>
      <c r="M147">
        <v>7</v>
      </c>
      <c r="N147">
        <v>6</v>
      </c>
      <c r="O147" s="32">
        <f t="shared" si="22"/>
        <v>1</v>
      </c>
      <c r="P147">
        <v>8</v>
      </c>
      <c r="Q147">
        <v>6</v>
      </c>
      <c r="R147" s="32">
        <f t="shared" si="23"/>
        <v>2</v>
      </c>
      <c r="S147">
        <v>7</v>
      </c>
      <c r="T147">
        <v>5</v>
      </c>
      <c r="U147" s="32">
        <f t="shared" si="24"/>
        <v>2</v>
      </c>
      <c r="V147">
        <v>7</v>
      </c>
      <c r="W147">
        <v>6</v>
      </c>
      <c r="X147" s="32">
        <f t="shared" si="25"/>
        <v>1</v>
      </c>
      <c r="Y147">
        <v>9</v>
      </c>
      <c r="Z147">
        <v>6</v>
      </c>
      <c r="AA147" s="32">
        <f t="shared" si="26"/>
        <v>3</v>
      </c>
    </row>
    <row r="148" spans="1:27" x14ac:dyDescent="0.45">
      <c r="A148">
        <v>7</v>
      </c>
      <c r="B148" s="36">
        <f>step3_combined_data!S314</f>
        <v>6</v>
      </c>
      <c r="C148" s="32">
        <f t="shared" si="18"/>
        <v>1</v>
      </c>
      <c r="D148">
        <v>7</v>
      </c>
      <c r="E148" s="36">
        <f>step3_combined_data!X154</f>
        <v>7</v>
      </c>
      <c r="F148" s="32">
        <f t="shared" si="19"/>
        <v>0</v>
      </c>
      <c r="G148">
        <v>8</v>
      </c>
      <c r="H148">
        <v>5</v>
      </c>
      <c r="I148" s="32">
        <f t="shared" si="20"/>
        <v>3</v>
      </c>
      <c r="J148">
        <v>8</v>
      </c>
      <c r="K148">
        <v>7</v>
      </c>
      <c r="L148" s="32">
        <f t="shared" si="21"/>
        <v>1</v>
      </c>
      <c r="M148">
        <v>7</v>
      </c>
      <c r="N148">
        <v>6</v>
      </c>
      <c r="O148" s="32">
        <f t="shared" si="22"/>
        <v>1</v>
      </c>
      <c r="P148">
        <v>8</v>
      </c>
      <c r="Q148">
        <v>6</v>
      </c>
      <c r="R148" s="32">
        <f t="shared" si="23"/>
        <v>2</v>
      </c>
      <c r="S148">
        <v>7</v>
      </c>
      <c r="T148">
        <v>5</v>
      </c>
      <c r="U148" s="32">
        <f t="shared" si="24"/>
        <v>2</v>
      </c>
      <c r="V148">
        <v>7</v>
      </c>
      <c r="W148">
        <v>6</v>
      </c>
      <c r="X148" s="32">
        <f t="shared" si="25"/>
        <v>1</v>
      </c>
      <c r="Y148">
        <v>9</v>
      </c>
      <c r="Z148">
        <v>6</v>
      </c>
      <c r="AA148" s="32">
        <f t="shared" si="26"/>
        <v>3</v>
      </c>
    </row>
    <row r="149" spans="1:27" x14ac:dyDescent="0.45">
      <c r="A149">
        <v>7</v>
      </c>
      <c r="B149" s="36">
        <f>step3_combined_data!S317</f>
        <v>6</v>
      </c>
      <c r="C149" s="32">
        <f t="shared" si="18"/>
        <v>1</v>
      </c>
      <c r="D149">
        <v>7</v>
      </c>
      <c r="E149" s="36">
        <f>step3_combined_data!X160</f>
        <v>7</v>
      </c>
      <c r="F149" s="32">
        <f t="shared" si="19"/>
        <v>0</v>
      </c>
      <c r="G149">
        <v>8</v>
      </c>
      <c r="H149">
        <v>5</v>
      </c>
      <c r="I149" s="32">
        <f t="shared" si="20"/>
        <v>3</v>
      </c>
      <c r="J149">
        <v>8</v>
      </c>
      <c r="K149">
        <v>7</v>
      </c>
      <c r="L149" s="32">
        <f t="shared" si="21"/>
        <v>1</v>
      </c>
      <c r="M149">
        <v>7</v>
      </c>
      <c r="N149">
        <v>6</v>
      </c>
      <c r="O149" s="32">
        <f t="shared" si="22"/>
        <v>1</v>
      </c>
      <c r="P149">
        <v>8</v>
      </c>
      <c r="Q149">
        <v>6</v>
      </c>
      <c r="R149" s="32">
        <f t="shared" si="23"/>
        <v>2</v>
      </c>
      <c r="S149">
        <v>7</v>
      </c>
      <c r="T149">
        <v>5</v>
      </c>
      <c r="U149" s="32">
        <f t="shared" si="24"/>
        <v>2</v>
      </c>
      <c r="V149">
        <v>7</v>
      </c>
      <c r="W149">
        <v>6</v>
      </c>
      <c r="X149" s="32">
        <f t="shared" si="25"/>
        <v>1</v>
      </c>
      <c r="Y149">
        <v>9</v>
      </c>
      <c r="Z149">
        <v>6</v>
      </c>
      <c r="AA149" s="32">
        <f t="shared" si="26"/>
        <v>3</v>
      </c>
    </row>
    <row r="150" spans="1:27" x14ac:dyDescent="0.45">
      <c r="A150">
        <v>7</v>
      </c>
      <c r="B150" s="36">
        <f>step3_combined_data!S334</f>
        <v>6</v>
      </c>
      <c r="C150" s="32">
        <f t="shared" si="18"/>
        <v>1</v>
      </c>
      <c r="D150">
        <v>7</v>
      </c>
      <c r="E150" s="36">
        <f>step3_combined_data!X169</f>
        <v>7</v>
      </c>
      <c r="F150" s="32">
        <f t="shared" si="19"/>
        <v>0</v>
      </c>
      <c r="G150">
        <v>8</v>
      </c>
      <c r="H150">
        <v>5</v>
      </c>
      <c r="I150" s="32">
        <f t="shared" si="20"/>
        <v>3</v>
      </c>
      <c r="J150">
        <v>9</v>
      </c>
      <c r="K150">
        <v>7</v>
      </c>
      <c r="L150" s="32">
        <f t="shared" si="21"/>
        <v>2</v>
      </c>
      <c r="M150">
        <v>7</v>
      </c>
      <c r="N150">
        <v>6</v>
      </c>
      <c r="O150" s="32">
        <f t="shared" si="22"/>
        <v>1</v>
      </c>
      <c r="P150">
        <v>8</v>
      </c>
      <c r="Q150">
        <v>6</v>
      </c>
      <c r="R150" s="32">
        <f t="shared" si="23"/>
        <v>2</v>
      </c>
      <c r="S150">
        <v>7</v>
      </c>
      <c r="T150">
        <v>5</v>
      </c>
      <c r="U150" s="32">
        <f t="shared" si="24"/>
        <v>2</v>
      </c>
      <c r="V150">
        <v>7</v>
      </c>
      <c r="W150">
        <v>6</v>
      </c>
      <c r="X150" s="32">
        <f t="shared" si="25"/>
        <v>1</v>
      </c>
      <c r="Y150">
        <v>9</v>
      </c>
      <c r="Z150">
        <v>6</v>
      </c>
      <c r="AA150" s="32">
        <f t="shared" si="26"/>
        <v>3</v>
      </c>
    </row>
    <row r="151" spans="1:27" x14ac:dyDescent="0.45">
      <c r="A151">
        <v>7</v>
      </c>
      <c r="B151" s="36">
        <f>step3_combined_data!S353</f>
        <v>6</v>
      </c>
      <c r="C151" s="32">
        <f t="shared" si="18"/>
        <v>1</v>
      </c>
      <c r="D151">
        <v>7</v>
      </c>
      <c r="E151" s="36">
        <f>step3_combined_data!X172</f>
        <v>7</v>
      </c>
      <c r="F151" s="32">
        <f t="shared" si="19"/>
        <v>0</v>
      </c>
      <c r="G151">
        <v>8</v>
      </c>
      <c r="H151">
        <v>5</v>
      </c>
      <c r="I151" s="32">
        <f t="shared" si="20"/>
        <v>3</v>
      </c>
      <c r="J151">
        <v>9</v>
      </c>
      <c r="K151">
        <v>7</v>
      </c>
      <c r="L151" s="32">
        <f t="shared" si="21"/>
        <v>2</v>
      </c>
      <c r="M151">
        <v>7</v>
      </c>
      <c r="N151">
        <v>6</v>
      </c>
      <c r="O151" s="32">
        <f t="shared" si="22"/>
        <v>1</v>
      </c>
      <c r="P151">
        <v>8</v>
      </c>
      <c r="Q151">
        <v>6</v>
      </c>
      <c r="R151" s="32">
        <f t="shared" si="23"/>
        <v>2</v>
      </c>
      <c r="S151">
        <v>7</v>
      </c>
      <c r="T151">
        <v>5</v>
      </c>
      <c r="U151" s="32">
        <f t="shared" si="24"/>
        <v>2</v>
      </c>
      <c r="V151">
        <v>7</v>
      </c>
      <c r="W151">
        <v>6</v>
      </c>
      <c r="X151" s="32">
        <f t="shared" si="25"/>
        <v>1</v>
      </c>
      <c r="Y151">
        <v>9</v>
      </c>
      <c r="Z151">
        <v>6</v>
      </c>
      <c r="AA151" s="32">
        <f t="shared" si="26"/>
        <v>3</v>
      </c>
    </row>
    <row r="152" spans="1:27" x14ac:dyDescent="0.45">
      <c r="A152">
        <v>7</v>
      </c>
      <c r="B152" s="36">
        <f>step3_combined_data!S370</f>
        <v>6</v>
      </c>
      <c r="C152" s="32">
        <f t="shared" si="18"/>
        <v>1</v>
      </c>
      <c r="D152">
        <v>7</v>
      </c>
      <c r="E152" s="36">
        <f>step3_combined_data!X179</f>
        <v>7</v>
      </c>
      <c r="F152" s="32">
        <f t="shared" si="19"/>
        <v>0</v>
      </c>
      <c r="G152">
        <v>8</v>
      </c>
      <c r="H152">
        <v>5</v>
      </c>
      <c r="I152" s="32">
        <f t="shared" si="20"/>
        <v>3</v>
      </c>
      <c r="J152">
        <v>9</v>
      </c>
      <c r="K152">
        <v>7</v>
      </c>
      <c r="L152" s="32">
        <f t="shared" si="21"/>
        <v>2</v>
      </c>
      <c r="M152">
        <v>7</v>
      </c>
      <c r="N152">
        <v>6</v>
      </c>
      <c r="O152" s="32">
        <f t="shared" si="22"/>
        <v>1</v>
      </c>
      <c r="P152">
        <v>8</v>
      </c>
      <c r="Q152">
        <v>6</v>
      </c>
      <c r="R152" s="32">
        <f t="shared" si="23"/>
        <v>2</v>
      </c>
      <c r="S152">
        <v>7</v>
      </c>
      <c r="T152">
        <v>5</v>
      </c>
      <c r="U152" s="32">
        <f t="shared" si="24"/>
        <v>2</v>
      </c>
      <c r="V152">
        <v>7</v>
      </c>
      <c r="W152">
        <v>6</v>
      </c>
      <c r="X152" s="32">
        <f t="shared" si="25"/>
        <v>1</v>
      </c>
      <c r="Y152">
        <v>9</v>
      </c>
      <c r="Z152">
        <v>6</v>
      </c>
      <c r="AA152" s="32">
        <f t="shared" si="26"/>
        <v>3</v>
      </c>
    </row>
    <row r="153" spans="1:27" x14ac:dyDescent="0.45">
      <c r="A153">
        <v>7</v>
      </c>
      <c r="B153" s="36">
        <f>step3_combined_data!S371</f>
        <v>6</v>
      </c>
      <c r="C153" s="32">
        <f t="shared" si="18"/>
        <v>1</v>
      </c>
      <c r="D153">
        <v>7</v>
      </c>
      <c r="E153" s="36">
        <f>step3_combined_data!X180</f>
        <v>7</v>
      </c>
      <c r="F153" s="32">
        <f t="shared" si="19"/>
        <v>0</v>
      </c>
      <c r="G153">
        <v>8</v>
      </c>
      <c r="H153">
        <v>5</v>
      </c>
      <c r="I153" s="32">
        <f t="shared" si="20"/>
        <v>3</v>
      </c>
      <c r="J153">
        <v>9</v>
      </c>
      <c r="K153">
        <v>7</v>
      </c>
      <c r="L153" s="32">
        <f t="shared" si="21"/>
        <v>2</v>
      </c>
      <c r="M153">
        <v>7</v>
      </c>
      <c r="N153">
        <v>6</v>
      </c>
      <c r="O153" s="32">
        <f t="shared" si="22"/>
        <v>1</v>
      </c>
      <c r="P153">
        <v>8</v>
      </c>
      <c r="Q153">
        <v>6</v>
      </c>
      <c r="R153" s="32">
        <f t="shared" si="23"/>
        <v>2</v>
      </c>
      <c r="S153">
        <v>7</v>
      </c>
      <c r="T153">
        <v>5</v>
      </c>
      <c r="U153" s="32">
        <f t="shared" si="24"/>
        <v>2</v>
      </c>
      <c r="V153">
        <v>7</v>
      </c>
      <c r="W153">
        <v>6</v>
      </c>
      <c r="X153" s="32">
        <f t="shared" si="25"/>
        <v>1</v>
      </c>
      <c r="Y153">
        <v>9</v>
      </c>
      <c r="Z153">
        <v>6</v>
      </c>
      <c r="AA153" s="32">
        <f t="shared" si="26"/>
        <v>3</v>
      </c>
    </row>
    <row r="154" spans="1:27" x14ac:dyDescent="0.45">
      <c r="A154">
        <v>7</v>
      </c>
      <c r="B154" s="36">
        <f>step3_combined_data!S373</f>
        <v>6</v>
      </c>
      <c r="C154" s="32">
        <f t="shared" si="18"/>
        <v>1</v>
      </c>
      <c r="D154">
        <v>7</v>
      </c>
      <c r="E154" s="36">
        <f>step3_combined_data!X182</f>
        <v>7</v>
      </c>
      <c r="F154" s="32">
        <f t="shared" si="19"/>
        <v>0</v>
      </c>
      <c r="G154">
        <v>8</v>
      </c>
      <c r="H154">
        <v>5</v>
      </c>
      <c r="I154" s="32">
        <f t="shared" si="20"/>
        <v>3</v>
      </c>
      <c r="J154">
        <v>9</v>
      </c>
      <c r="K154">
        <v>7</v>
      </c>
      <c r="L154" s="32">
        <f t="shared" si="21"/>
        <v>2</v>
      </c>
      <c r="M154">
        <v>7</v>
      </c>
      <c r="N154">
        <v>6</v>
      </c>
      <c r="O154" s="32">
        <f t="shared" si="22"/>
        <v>1</v>
      </c>
      <c r="P154">
        <v>8</v>
      </c>
      <c r="Q154">
        <v>6</v>
      </c>
      <c r="R154" s="32">
        <f t="shared" si="23"/>
        <v>2</v>
      </c>
      <c r="S154">
        <v>7</v>
      </c>
      <c r="T154">
        <v>5</v>
      </c>
      <c r="U154" s="32">
        <f t="shared" si="24"/>
        <v>2</v>
      </c>
      <c r="V154">
        <v>7</v>
      </c>
      <c r="W154">
        <v>6</v>
      </c>
      <c r="X154" s="32">
        <f t="shared" si="25"/>
        <v>1</v>
      </c>
      <c r="Y154">
        <v>9</v>
      </c>
      <c r="Z154">
        <v>6</v>
      </c>
      <c r="AA154" s="32">
        <f t="shared" si="26"/>
        <v>3</v>
      </c>
    </row>
    <row r="155" spans="1:27" x14ac:dyDescent="0.45">
      <c r="A155">
        <v>7</v>
      </c>
      <c r="B155" s="36">
        <f>step3_combined_data!S375</f>
        <v>6</v>
      </c>
      <c r="C155" s="32">
        <f t="shared" si="18"/>
        <v>1</v>
      </c>
      <c r="D155">
        <v>7</v>
      </c>
      <c r="E155" s="36">
        <f>step3_combined_data!X186</f>
        <v>7</v>
      </c>
      <c r="F155" s="32">
        <f t="shared" si="19"/>
        <v>0</v>
      </c>
      <c r="G155">
        <v>8</v>
      </c>
      <c r="H155">
        <v>5</v>
      </c>
      <c r="I155" s="32">
        <f t="shared" si="20"/>
        <v>3</v>
      </c>
      <c r="J155">
        <v>9</v>
      </c>
      <c r="K155">
        <v>7</v>
      </c>
      <c r="L155" s="32">
        <f t="shared" si="21"/>
        <v>2</v>
      </c>
      <c r="M155">
        <v>7</v>
      </c>
      <c r="N155">
        <v>6</v>
      </c>
      <c r="O155" s="32">
        <f t="shared" si="22"/>
        <v>1</v>
      </c>
      <c r="P155">
        <v>8</v>
      </c>
      <c r="Q155">
        <v>6</v>
      </c>
      <c r="R155" s="32">
        <f t="shared" si="23"/>
        <v>2</v>
      </c>
      <c r="S155">
        <v>7</v>
      </c>
      <c r="T155">
        <v>5</v>
      </c>
      <c r="U155" s="32">
        <f t="shared" si="24"/>
        <v>2</v>
      </c>
      <c r="V155">
        <v>7</v>
      </c>
      <c r="W155">
        <v>6</v>
      </c>
      <c r="X155" s="32">
        <f t="shared" si="25"/>
        <v>1</v>
      </c>
      <c r="Y155">
        <v>9</v>
      </c>
      <c r="Z155">
        <v>6</v>
      </c>
      <c r="AA155" s="32">
        <f t="shared" si="26"/>
        <v>3</v>
      </c>
    </row>
    <row r="156" spans="1:27" x14ac:dyDescent="0.45">
      <c r="A156">
        <v>7</v>
      </c>
      <c r="B156" s="36">
        <f>step3_combined_data!S377</f>
        <v>6</v>
      </c>
      <c r="C156" s="32">
        <f t="shared" si="18"/>
        <v>1</v>
      </c>
      <c r="D156">
        <v>7</v>
      </c>
      <c r="E156" s="36">
        <f>step3_combined_data!X187</f>
        <v>7</v>
      </c>
      <c r="F156" s="32">
        <f t="shared" si="19"/>
        <v>0</v>
      </c>
      <c r="G156">
        <v>8</v>
      </c>
      <c r="H156">
        <v>5</v>
      </c>
      <c r="I156" s="32">
        <f t="shared" si="20"/>
        <v>3</v>
      </c>
      <c r="J156">
        <v>9</v>
      </c>
      <c r="K156">
        <v>7</v>
      </c>
      <c r="L156" s="32">
        <f t="shared" si="21"/>
        <v>2</v>
      </c>
      <c r="M156">
        <v>7</v>
      </c>
      <c r="N156">
        <v>6</v>
      </c>
      <c r="O156" s="32">
        <f t="shared" si="22"/>
        <v>1</v>
      </c>
      <c r="P156">
        <v>8</v>
      </c>
      <c r="Q156">
        <v>6</v>
      </c>
      <c r="R156" s="32">
        <f t="shared" si="23"/>
        <v>2</v>
      </c>
      <c r="S156">
        <v>7</v>
      </c>
      <c r="T156">
        <v>5</v>
      </c>
      <c r="U156" s="32">
        <f t="shared" si="24"/>
        <v>2</v>
      </c>
      <c r="V156">
        <v>7</v>
      </c>
      <c r="W156">
        <v>6</v>
      </c>
      <c r="X156" s="32">
        <f t="shared" si="25"/>
        <v>1</v>
      </c>
      <c r="Y156">
        <v>9</v>
      </c>
      <c r="Z156">
        <v>7</v>
      </c>
      <c r="AA156" s="32">
        <f t="shared" si="26"/>
        <v>2</v>
      </c>
    </row>
    <row r="157" spans="1:27" x14ac:dyDescent="0.45">
      <c r="A157">
        <v>7</v>
      </c>
      <c r="B157" s="36">
        <f>step3_combined_data!S379</f>
        <v>6</v>
      </c>
      <c r="C157" s="32">
        <f t="shared" si="18"/>
        <v>1</v>
      </c>
      <c r="D157">
        <v>7</v>
      </c>
      <c r="E157" s="36">
        <f>step3_combined_data!X188</f>
        <v>7</v>
      </c>
      <c r="F157" s="32">
        <f t="shared" si="19"/>
        <v>0</v>
      </c>
      <c r="G157">
        <v>8</v>
      </c>
      <c r="H157">
        <v>5</v>
      </c>
      <c r="I157" s="32">
        <f t="shared" si="20"/>
        <v>3</v>
      </c>
      <c r="J157">
        <v>9</v>
      </c>
      <c r="K157">
        <v>7</v>
      </c>
      <c r="L157" s="32">
        <f t="shared" si="21"/>
        <v>2</v>
      </c>
      <c r="M157">
        <v>7</v>
      </c>
      <c r="N157">
        <v>6</v>
      </c>
      <c r="O157" s="32">
        <f t="shared" si="22"/>
        <v>1</v>
      </c>
      <c r="P157">
        <v>8</v>
      </c>
      <c r="Q157">
        <v>6</v>
      </c>
      <c r="R157" s="32">
        <f t="shared" si="23"/>
        <v>2</v>
      </c>
      <c r="S157">
        <v>7</v>
      </c>
      <c r="T157">
        <v>5</v>
      </c>
      <c r="U157" s="32">
        <f t="shared" si="24"/>
        <v>2</v>
      </c>
      <c r="V157">
        <v>7</v>
      </c>
      <c r="W157">
        <v>6</v>
      </c>
      <c r="X157" s="32">
        <f t="shared" si="25"/>
        <v>1</v>
      </c>
      <c r="Y157">
        <v>9</v>
      </c>
      <c r="Z157">
        <v>7</v>
      </c>
      <c r="AA157" s="32">
        <f t="shared" si="26"/>
        <v>2</v>
      </c>
    </row>
    <row r="158" spans="1:27" x14ac:dyDescent="0.45">
      <c r="A158">
        <v>7</v>
      </c>
      <c r="B158" s="36">
        <f>step3_combined_data!S390</f>
        <v>6</v>
      </c>
      <c r="C158" s="32">
        <f t="shared" si="18"/>
        <v>1</v>
      </c>
      <c r="D158">
        <v>7</v>
      </c>
      <c r="E158" s="36">
        <f>step3_combined_data!X191</f>
        <v>7</v>
      </c>
      <c r="F158" s="32">
        <f t="shared" si="19"/>
        <v>0</v>
      </c>
      <c r="G158">
        <v>8</v>
      </c>
      <c r="H158">
        <v>5</v>
      </c>
      <c r="I158" s="32">
        <f t="shared" si="20"/>
        <v>3</v>
      </c>
      <c r="J158">
        <v>9</v>
      </c>
      <c r="K158">
        <v>7</v>
      </c>
      <c r="L158" s="32">
        <f t="shared" si="21"/>
        <v>2</v>
      </c>
      <c r="M158">
        <v>7</v>
      </c>
      <c r="N158">
        <v>6</v>
      </c>
      <c r="O158" s="32">
        <f t="shared" si="22"/>
        <v>1</v>
      </c>
      <c r="P158">
        <v>8</v>
      </c>
      <c r="Q158">
        <v>6</v>
      </c>
      <c r="R158" s="32">
        <f t="shared" si="23"/>
        <v>2</v>
      </c>
      <c r="S158">
        <v>7</v>
      </c>
      <c r="T158">
        <v>5</v>
      </c>
      <c r="U158" s="32">
        <f t="shared" si="24"/>
        <v>2</v>
      </c>
      <c r="V158">
        <v>7</v>
      </c>
      <c r="W158">
        <v>6</v>
      </c>
      <c r="X158" s="32">
        <f t="shared" si="25"/>
        <v>1</v>
      </c>
      <c r="Y158">
        <v>9</v>
      </c>
      <c r="Z158">
        <v>7</v>
      </c>
      <c r="AA158" s="32">
        <f t="shared" si="26"/>
        <v>2</v>
      </c>
    </row>
    <row r="159" spans="1:27" x14ac:dyDescent="0.45">
      <c r="A159">
        <v>7</v>
      </c>
      <c r="B159" s="36">
        <f>step3_combined_data!S11</f>
        <v>7</v>
      </c>
      <c r="C159" s="32">
        <f t="shared" si="18"/>
        <v>0</v>
      </c>
      <c r="D159">
        <v>7</v>
      </c>
      <c r="E159" s="36">
        <f>step3_combined_data!X192</f>
        <v>7</v>
      </c>
      <c r="F159" s="32">
        <f t="shared" si="19"/>
        <v>0</v>
      </c>
      <c r="G159">
        <v>8</v>
      </c>
      <c r="H159">
        <v>5</v>
      </c>
      <c r="I159" s="32">
        <f t="shared" si="20"/>
        <v>3</v>
      </c>
      <c r="J159">
        <v>9</v>
      </c>
      <c r="K159">
        <v>7</v>
      </c>
      <c r="L159" s="32">
        <f t="shared" si="21"/>
        <v>2</v>
      </c>
      <c r="M159">
        <v>7</v>
      </c>
      <c r="N159">
        <v>6</v>
      </c>
      <c r="O159" s="32">
        <f t="shared" si="22"/>
        <v>1</v>
      </c>
      <c r="P159">
        <v>8</v>
      </c>
      <c r="Q159">
        <v>6</v>
      </c>
      <c r="R159" s="32">
        <f t="shared" si="23"/>
        <v>2</v>
      </c>
      <c r="S159">
        <v>7</v>
      </c>
      <c r="T159">
        <v>5</v>
      </c>
      <c r="U159" s="32">
        <f t="shared" si="24"/>
        <v>2</v>
      </c>
      <c r="V159">
        <v>7</v>
      </c>
      <c r="W159">
        <v>6</v>
      </c>
      <c r="X159" s="32">
        <f t="shared" si="25"/>
        <v>1</v>
      </c>
      <c r="Y159">
        <v>9</v>
      </c>
      <c r="Z159">
        <v>7</v>
      </c>
      <c r="AA159" s="32">
        <f t="shared" si="26"/>
        <v>2</v>
      </c>
    </row>
    <row r="160" spans="1:27" x14ac:dyDescent="0.45">
      <c r="A160">
        <v>7</v>
      </c>
      <c r="B160" s="36">
        <f>step3_combined_data!S16</f>
        <v>7</v>
      </c>
      <c r="C160" s="32">
        <f t="shared" si="18"/>
        <v>0</v>
      </c>
      <c r="D160">
        <v>7</v>
      </c>
      <c r="E160" s="36">
        <f>step3_combined_data!X205</f>
        <v>7</v>
      </c>
      <c r="F160" s="32">
        <f t="shared" si="19"/>
        <v>0</v>
      </c>
      <c r="G160">
        <v>8</v>
      </c>
      <c r="H160">
        <v>5</v>
      </c>
      <c r="I160" s="32">
        <f t="shared" si="20"/>
        <v>3</v>
      </c>
      <c r="J160">
        <v>9</v>
      </c>
      <c r="K160">
        <v>7</v>
      </c>
      <c r="L160" s="32">
        <f t="shared" si="21"/>
        <v>2</v>
      </c>
      <c r="M160">
        <v>7</v>
      </c>
      <c r="N160">
        <v>6</v>
      </c>
      <c r="O160" s="32">
        <f t="shared" si="22"/>
        <v>1</v>
      </c>
      <c r="P160">
        <v>8</v>
      </c>
      <c r="Q160">
        <v>6</v>
      </c>
      <c r="R160" s="32">
        <f t="shared" si="23"/>
        <v>2</v>
      </c>
      <c r="S160">
        <v>7</v>
      </c>
      <c r="T160">
        <v>5</v>
      </c>
      <c r="U160" s="32">
        <f t="shared" si="24"/>
        <v>2</v>
      </c>
      <c r="V160">
        <v>7</v>
      </c>
      <c r="W160">
        <v>6</v>
      </c>
      <c r="X160" s="32">
        <f t="shared" si="25"/>
        <v>1</v>
      </c>
      <c r="Y160">
        <v>9</v>
      </c>
      <c r="Z160">
        <v>7</v>
      </c>
      <c r="AA160" s="32">
        <f t="shared" si="26"/>
        <v>2</v>
      </c>
    </row>
    <row r="161" spans="1:27" x14ac:dyDescent="0.45">
      <c r="A161">
        <v>7</v>
      </c>
      <c r="B161" s="36">
        <f>step3_combined_data!S67</f>
        <v>7</v>
      </c>
      <c r="C161" s="32">
        <f t="shared" si="18"/>
        <v>0</v>
      </c>
      <c r="D161">
        <v>7</v>
      </c>
      <c r="E161" s="36">
        <f>step3_combined_data!X211</f>
        <v>7</v>
      </c>
      <c r="F161" s="32">
        <f t="shared" si="19"/>
        <v>0</v>
      </c>
      <c r="G161">
        <v>8</v>
      </c>
      <c r="H161">
        <v>5</v>
      </c>
      <c r="I161" s="32">
        <f t="shared" si="20"/>
        <v>3</v>
      </c>
      <c r="J161">
        <v>9</v>
      </c>
      <c r="K161">
        <v>7</v>
      </c>
      <c r="L161" s="32">
        <f t="shared" si="21"/>
        <v>2</v>
      </c>
      <c r="M161">
        <v>7</v>
      </c>
      <c r="N161">
        <v>6</v>
      </c>
      <c r="O161" s="32">
        <f t="shared" si="22"/>
        <v>1</v>
      </c>
      <c r="P161">
        <v>8</v>
      </c>
      <c r="Q161">
        <v>6</v>
      </c>
      <c r="R161" s="32">
        <f t="shared" si="23"/>
        <v>2</v>
      </c>
      <c r="S161">
        <v>7</v>
      </c>
      <c r="T161">
        <v>5</v>
      </c>
      <c r="U161" s="32">
        <f t="shared" si="24"/>
        <v>2</v>
      </c>
      <c r="V161">
        <v>7</v>
      </c>
      <c r="W161">
        <v>6</v>
      </c>
      <c r="X161" s="32">
        <f t="shared" si="25"/>
        <v>1</v>
      </c>
      <c r="Y161">
        <v>9</v>
      </c>
      <c r="Z161">
        <v>7</v>
      </c>
      <c r="AA161" s="32">
        <f t="shared" si="26"/>
        <v>2</v>
      </c>
    </row>
    <row r="162" spans="1:27" x14ac:dyDescent="0.45">
      <c r="A162">
        <v>7</v>
      </c>
      <c r="B162" s="36">
        <f>step3_combined_data!S70</f>
        <v>7</v>
      </c>
      <c r="C162" s="32">
        <f t="shared" si="18"/>
        <v>0</v>
      </c>
      <c r="D162">
        <v>7</v>
      </c>
      <c r="E162" s="36">
        <f>step3_combined_data!X212</f>
        <v>7</v>
      </c>
      <c r="F162" s="32">
        <f t="shared" si="19"/>
        <v>0</v>
      </c>
      <c r="G162">
        <v>8</v>
      </c>
      <c r="H162">
        <v>5</v>
      </c>
      <c r="I162" s="32">
        <f t="shared" si="20"/>
        <v>3</v>
      </c>
      <c r="J162">
        <v>9</v>
      </c>
      <c r="K162">
        <v>7</v>
      </c>
      <c r="L162" s="32">
        <f t="shared" si="21"/>
        <v>2</v>
      </c>
      <c r="M162">
        <v>7</v>
      </c>
      <c r="N162">
        <v>6</v>
      </c>
      <c r="O162" s="32">
        <f t="shared" si="22"/>
        <v>1</v>
      </c>
      <c r="P162">
        <v>8</v>
      </c>
      <c r="Q162">
        <v>6</v>
      </c>
      <c r="R162" s="32">
        <f t="shared" si="23"/>
        <v>2</v>
      </c>
      <c r="S162">
        <v>7</v>
      </c>
      <c r="T162">
        <v>5</v>
      </c>
      <c r="U162" s="32">
        <f t="shared" si="24"/>
        <v>2</v>
      </c>
      <c r="V162">
        <v>7</v>
      </c>
      <c r="W162">
        <v>6</v>
      </c>
      <c r="X162" s="32">
        <f t="shared" si="25"/>
        <v>1</v>
      </c>
      <c r="Y162">
        <v>9</v>
      </c>
      <c r="Z162">
        <v>7</v>
      </c>
      <c r="AA162" s="32">
        <f t="shared" si="26"/>
        <v>2</v>
      </c>
    </row>
    <row r="163" spans="1:27" x14ac:dyDescent="0.45">
      <c r="A163">
        <v>7</v>
      </c>
      <c r="B163" s="36">
        <f>step3_combined_data!S82</f>
        <v>7</v>
      </c>
      <c r="C163" s="32">
        <f t="shared" si="18"/>
        <v>0</v>
      </c>
      <c r="D163">
        <v>7</v>
      </c>
      <c r="E163" s="36">
        <f>step3_combined_data!X217</f>
        <v>7</v>
      </c>
      <c r="F163" s="32">
        <f t="shared" si="19"/>
        <v>0</v>
      </c>
      <c r="G163">
        <v>8</v>
      </c>
      <c r="H163">
        <v>5</v>
      </c>
      <c r="I163" s="32">
        <f t="shared" si="20"/>
        <v>3</v>
      </c>
      <c r="J163">
        <v>9</v>
      </c>
      <c r="K163">
        <v>7</v>
      </c>
      <c r="L163" s="32">
        <f t="shared" si="21"/>
        <v>2</v>
      </c>
      <c r="M163">
        <v>7</v>
      </c>
      <c r="N163">
        <v>6</v>
      </c>
      <c r="O163" s="32">
        <f t="shared" si="22"/>
        <v>1</v>
      </c>
      <c r="P163">
        <v>8</v>
      </c>
      <c r="Q163">
        <v>6</v>
      </c>
      <c r="R163" s="32">
        <f t="shared" si="23"/>
        <v>2</v>
      </c>
      <c r="S163">
        <v>7</v>
      </c>
      <c r="T163">
        <v>5</v>
      </c>
      <c r="U163" s="32">
        <f t="shared" si="24"/>
        <v>2</v>
      </c>
      <c r="V163">
        <v>7</v>
      </c>
      <c r="W163">
        <v>6</v>
      </c>
      <c r="X163" s="32">
        <f t="shared" si="25"/>
        <v>1</v>
      </c>
      <c r="Y163">
        <v>9</v>
      </c>
      <c r="Z163">
        <v>7</v>
      </c>
      <c r="AA163" s="32">
        <f t="shared" si="26"/>
        <v>2</v>
      </c>
    </row>
    <row r="164" spans="1:27" x14ac:dyDescent="0.45">
      <c r="A164">
        <v>7</v>
      </c>
      <c r="B164" s="36">
        <f>step3_combined_data!S108</f>
        <v>7</v>
      </c>
      <c r="C164" s="32">
        <f t="shared" si="18"/>
        <v>0</v>
      </c>
      <c r="D164">
        <v>7</v>
      </c>
      <c r="E164" s="36">
        <f>step3_combined_data!X219</f>
        <v>7</v>
      </c>
      <c r="F164" s="32">
        <f t="shared" si="19"/>
        <v>0</v>
      </c>
      <c r="G164">
        <v>8</v>
      </c>
      <c r="H164">
        <v>5</v>
      </c>
      <c r="I164" s="32">
        <f t="shared" si="20"/>
        <v>3</v>
      </c>
      <c r="J164">
        <v>9</v>
      </c>
      <c r="K164">
        <v>7</v>
      </c>
      <c r="L164" s="32">
        <f t="shared" si="21"/>
        <v>2</v>
      </c>
      <c r="M164">
        <v>7</v>
      </c>
      <c r="N164">
        <v>6</v>
      </c>
      <c r="O164" s="32">
        <f t="shared" si="22"/>
        <v>1</v>
      </c>
      <c r="P164">
        <v>8</v>
      </c>
      <c r="Q164">
        <v>6</v>
      </c>
      <c r="R164" s="32">
        <f t="shared" si="23"/>
        <v>2</v>
      </c>
      <c r="S164">
        <v>7</v>
      </c>
      <c r="T164">
        <v>5</v>
      </c>
      <c r="U164" s="32">
        <f t="shared" si="24"/>
        <v>2</v>
      </c>
      <c r="V164">
        <v>7</v>
      </c>
      <c r="W164">
        <v>6</v>
      </c>
      <c r="X164" s="32">
        <f t="shared" si="25"/>
        <v>1</v>
      </c>
      <c r="Y164">
        <v>9</v>
      </c>
      <c r="Z164">
        <v>7</v>
      </c>
      <c r="AA164" s="32">
        <f t="shared" si="26"/>
        <v>2</v>
      </c>
    </row>
    <row r="165" spans="1:27" x14ac:dyDescent="0.45">
      <c r="A165">
        <v>7</v>
      </c>
      <c r="B165" s="36">
        <f>step3_combined_data!S111</f>
        <v>7</v>
      </c>
      <c r="C165" s="32">
        <f t="shared" si="18"/>
        <v>0</v>
      </c>
      <c r="D165">
        <v>7</v>
      </c>
      <c r="E165" s="36">
        <f>step3_combined_data!X225</f>
        <v>7</v>
      </c>
      <c r="F165" s="32">
        <f t="shared" si="19"/>
        <v>0</v>
      </c>
      <c r="G165">
        <v>8</v>
      </c>
      <c r="H165">
        <v>5</v>
      </c>
      <c r="I165" s="32">
        <f t="shared" si="20"/>
        <v>3</v>
      </c>
      <c r="J165">
        <v>9</v>
      </c>
      <c r="K165">
        <v>7</v>
      </c>
      <c r="L165" s="32">
        <f t="shared" si="21"/>
        <v>2</v>
      </c>
      <c r="M165">
        <v>7</v>
      </c>
      <c r="N165">
        <v>6</v>
      </c>
      <c r="O165" s="32">
        <f t="shared" si="22"/>
        <v>1</v>
      </c>
      <c r="P165">
        <v>8</v>
      </c>
      <c r="Q165">
        <v>6</v>
      </c>
      <c r="R165" s="32">
        <f t="shared" si="23"/>
        <v>2</v>
      </c>
      <c r="S165">
        <v>7</v>
      </c>
      <c r="T165">
        <v>5</v>
      </c>
      <c r="U165" s="32">
        <f t="shared" si="24"/>
        <v>2</v>
      </c>
      <c r="V165">
        <v>7</v>
      </c>
      <c r="W165">
        <v>6</v>
      </c>
      <c r="X165" s="32">
        <f t="shared" si="25"/>
        <v>1</v>
      </c>
      <c r="Y165">
        <v>9</v>
      </c>
      <c r="Z165">
        <v>7</v>
      </c>
      <c r="AA165" s="32">
        <f t="shared" si="26"/>
        <v>2</v>
      </c>
    </row>
    <row r="166" spans="1:27" x14ac:dyDescent="0.45">
      <c r="A166">
        <v>7</v>
      </c>
      <c r="B166" s="36">
        <f>step3_combined_data!S113</f>
        <v>7</v>
      </c>
      <c r="C166" s="32">
        <f t="shared" si="18"/>
        <v>0</v>
      </c>
      <c r="D166">
        <v>7</v>
      </c>
      <c r="E166" s="36">
        <f>step3_combined_data!X227</f>
        <v>7</v>
      </c>
      <c r="F166" s="32">
        <f t="shared" si="19"/>
        <v>0</v>
      </c>
      <c r="G166">
        <v>8</v>
      </c>
      <c r="H166">
        <v>5</v>
      </c>
      <c r="I166" s="32">
        <f t="shared" si="20"/>
        <v>3</v>
      </c>
      <c r="J166">
        <v>9</v>
      </c>
      <c r="K166">
        <v>7</v>
      </c>
      <c r="L166" s="32">
        <f t="shared" si="21"/>
        <v>2</v>
      </c>
      <c r="M166">
        <v>7</v>
      </c>
      <c r="N166">
        <v>6</v>
      </c>
      <c r="O166" s="32">
        <f t="shared" si="22"/>
        <v>1</v>
      </c>
      <c r="P166">
        <v>8</v>
      </c>
      <c r="Q166">
        <v>6</v>
      </c>
      <c r="R166" s="32">
        <f t="shared" si="23"/>
        <v>2</v>
      </c>
      <c r="S166">
        <v>7</v>
      </c>
      <c r="T166">
        <v>5</v>
      </c>
      <c r="U166" s="32">
        <f t="shared" si="24"/>
        <v>2</v>
      </c>
      <c r="V166">
        <v>7</v>
      </c>
      <c r="W166">
        <v>6</v>
      </c>
      <c r="X166" s="32">
        <f t="shared" si="25"/>
        <v>1</v>
      </c>
      <c r="Y166">
        <v>9</v>
      </c>
      <c r="Z166">
        <v>7</v>
      </c>
      <c r="AA166" s="32">
        <f t="shared" si="26"/>
        <v>2</v>
      </c>
    </row>
    <row r="167" spans="1:27" x14ac:dyDescent="0.45">
      <c r="A167">
        <v>7</v>
      </c>
      <c r="B167" s="36">
        <f>step3_combined_data!S124</f>
        <v>7</v>
      </c>
      <c r="C167" s="32">
        <f t="shared" si="18"/>
        <v>0</v>
      </c>
      <c r="D167">
        <v>7</v>
      </c>
      <c r="E167" s="36">
        <f>step3_combined_data!X237</f>
        <v>7</v>
      </c>
      <c r="F167" s="32">
        <f t="shared" si="19"/>
        <v>0</v>
      </c>
      <c r="G167">
        <v>8</v>
      </c>
      <c r="H167">
        <v>5</v>
      </c>
      <c r="I167" s="32">
        <f t="shared" si="20"/>
        <v>3</v>
      </c>
      <c r="J167">
        <v>9</v>
      </c>
      <c r="K167">
        <v>7</v>
      </c>
      <c r="L167" s="32">
        <f t="shared" si="21"/>
        <v>2</v>
      </c>
      <c r="M167">
        <v>7</v>
      </c>
      <c r="N167">
        <v>6</v>
      </c>
      <c r="O167" s="32">
        <f t="shared" si="22"/>
        <v>1</v>
      </c>
      <c r="P167">
        <v>8</v>
      </c>
      <c r="Q167">
        <v>6</v>
      </c>
      <c r="R167" s="32">
        <f t="shared" si="23"/>
        <v>2</v>
      </c>
      <c r="S167">
        <v>7</v>
      </c>
      <c r="T167">
        <v>5</v>
      </c>
      <c r="U167" s="32">
        <f t="shared" si="24"/>
        <v>2</v>
      </c>
      <c r="V167">
        <v>7</v>
      </c>
      <c r="W167">
        <v>6</v>
      </c>
      <c r="X167" s="32">
        <f t="shared" si="25"/>
        <v>1</v>
      </c>
      <c r="Y167">
        <v>9</v>
      </c>
      <c r="Z167">
        <v>7</v>
      </c>
      <c r="AA167" s="32">
        <f t="shared" si="26"/>
        <v>2</v>
      </c>
    </row>
    <row r="168" spans="1:27" x14ac:dyDescent="0.45">
      <c r="A168">
        <v>7</v>
      </c>
      <c r="B168" s="36">
        <f>step3_combined_data!S148</f>
        <v>7</v>
      </c>
      <c r="C168" s="32">
        <f t="shared" si="18"/>
        <v>0</v>
      </c>
      <c r="D168">
        <v>7</v>
      </c>
      <c r="E168" s="36">
        <f>step3_combined_data!X247</f>
        <v>7</v>
      </c>
      <c r="F168" s="32">
        <f t="shared" si="19"/>
        <v>0</v>
      </c>
      <c r="G168">
        <v>8</v>
      </c>
      <c r="H168">
        <v>5</v>
      </c>
      <c r="I168" s="32">
        <f t="shared" si="20"/>
        <v>3</v>
      </c>
      <c r="J168">
        <v>9</v>
      </c>
      <c r="K168">
        <v>7</v>
      </c>
      <c r="L168" s="32">
        <f t="shared" si="21"/>
        <v>2</v>
      </c>
      <c r="M168">
        <v>7</v>
      </c>
      <c r="N168">
        <v>6</v>
      </c>
      <c r="O168" s="32">
        <f t="shared" si="22"/>
        <v>1</v>
      </c>
      <c r="P168">
        <v>8</v>
      </c>
      <c r="Q168">
        <v>6</v>
      </c>
      <c r="R168" s="32">
        <f t="shared" si="23"/>
        <v>2</v>
      </c>
      <c r="S168">
        <v>7</v>
      </c>
      <c r="T168">
        <v>5</v>
      </c>
      <c r="U168" s="32">
        <f t="shared" si="24"/>
        <v>2</v>
      </c>
      <c r="V168">
        <v>7</v>
      </c>
      <c r="W168">
        <v>6</v>
      </c>
      <c r="X168" s="32">
        <f t="shared" si="25"/>
        <v>1</v>
      </c>
      <c r="Y168">
        <v>9</v>
      </c>
      <c r="Z168">
        <v>7</v>
      </c>
      <c r="AA168" s="32">
        <f t="shared" si="26"/>
        <v>2</v>
      </c>
    </row>
    <row r="169" spans="1:27" x14ac:dyDescent="0.45">
      <c r="A169">
        <v>7</v>
      </c>
      <c r="B169" s="36">
        <f>step3_combined_data!S151</f>
        <v>7</v>
      </c>
      <c r="C169" s="32">
        <f t="shared" si="18"/>
        <v>0</v>
      </c>
      <c r="D169">
        <v>7</v>
      </c>
      <c r="E169" s="36">
        <f>step3_combined_data!X249</f>
        <v>7</v>
      </c>
      <c r="F169" s="32">
        <f t="shared" si="19"/>
        <v>0</v>
      </c>
      <c r="G169">
        <v>8</v>
      </c>
      <c r="H169">
        <v>5</v>
      </c>
      <c r="I169" s="32">
        <f t="shared" si="20"/>
        <v>3</v>
      </c>
      <c r="J169">
        <v>9</v>
      </c>
      <c r="K169">
        <v>7</v>
      </c>
      <c r="L169" s="32">
        <f t="shared" si="21"/>
        <v>2</v>
      </c>
      <c r="M169">
        <v>7</v>
      </c>
      <c r="N169">
        <v>6</v>
      </c>
      <c r="O169" s="32">
        <f t="shared" si="22"/>
        <v>1</v>
      </c>
      <c r="P169">
        <v>8</v>
      </c>
      <c r="Q169">
        <v>6</v>
      </c>
      <c r="R169" s="32">
        <f t="shared" si="23"/>
        <v>2</v>
      </c>
      <c r="S169">
        <v>8</v>
      </c>
      <c r="T169">
        <v>5</v>
      </c>
      <c r="U169" s="32">
        <f t="shared" si="24"/>
        <v>3</v>
      </c>
      <c r="V169">
        <v>7</v>
      </c>
      <c r="W169">
        <v>6</v>
      </c>
      <c r="X169" s="32">
        <f t="shared" si="25"/>
        <v>1</v>
      </c>
      <c r="Y169">
        <v>9</v>
      </c>
      <c r="Z169">
        <v>7</v>
      </c>
      <c r="AA169" s="32">
        <f t="shared" si="26"/>
        <v>2</v>
      </c>
    </row>
    <row r="170" spans="1:27" x14ac:dyDescent="0.45">
      <c r="A170">
        <v>7</v>
      </c>
      <c r="B170" s="36">
        <f>step3_combined_data!S154</f>
        <v>7</v>
      </c>
      <c r="C170" s="32">
        <f t="shared" si="18"/>
        <v>0</v>
      </c>
      <c r="D170">
        <v>7</v>
      </c>
      <c r="E170" s="36">
        <f>step3_combined_data!X259</f>
        <v>7</v>
      </c>
      <c r="F170" s="32">
        <f t="shared" si="19"/>
        <v>0</v>
      </c>
      <c r="G170">
        <v>8</v>
      </c>
      <c r="H170">
        <v>5</v>
      </c>
      <c r="I170" s="32">
        <f t="shared" si="20"/>
        <v>3</v>
      </c>
      <c r="J170">
        <v>9</v>
      </c>
      <c r="K170">
        <v>7</v>
      </c>
      <c r="L170" s="32">
        <f t="shared" si="21"/>
        <v>2</v>
      </c>
      <c r="M170">
        <v>7</v>
      </c>
      <c r="N170">
        <v>6</v>
      </c>
      <c r="O170" s="32">
        <f t="shared" si="22"/>
        <v>1</v>
      </c>
      <c r="P170">
        <v>8</v>
      </c>
      <c r="Q170">
        <v>6</v>
      </c>
      <c r="R170" s="32">
        <f t="shared" si="23"/>
        <v>2</v>
      </c>
      <c r="S170">
        <v>8</v>
      </c>
      <c r="T170">
        <v>5</v>
      </c>
      <c r="U170" s="32">
        <f t="shared" si="24"/>
        <v>3</v>
      </c>
      <c r="V170">
        <v>7</v>
      </c>
      <c r="W170">
        <v>6</v>
      </c>
      <c r="X170" s="32">
        <f t="shared" si="25"/>
        <v>1</v>
      </c>
      <c r="Y170">
        <v>9</v>
      </c>
      <c r="Z170">
        <v>7</v>
      </c>
      <c r="AA170" s="32">
        <f t="shared" si="26"/>
        <v>2</v>
      </c>
    </row>
    <row r="171" spans="1:27" x14ac:dyDescent="0.45">
      <c r="A171">
        <v>7</v>
      </c>
      <c r="B171" s="36">
        <f>step3_combined_data!S155</f>
        <v>7</v>
      </c>
      <c r="C171" s="32">
        <f t="shared" si="18"/>
        <v>0</v>
      </c>
      <c r="D171">
        <v>7</v>
      </c>
      <c r="E171" s="36">
        <f>step3_combined_data!X262</f>
        <v>7</v>
      </c>
      <c r="F171" s="32">
        <f t="shared" si="19"/>
        <v>0</v>
      </c>
      <c r="G171">
        <v>8</v>
      </c>
      <c r="H171">
        <v>5</v>
      </c>
      <c r="I171" s="32">
        <f t="shared" si="20"/>
        <v>3</v>
      </c>
      <c r="J171">
        <v>9</v>
      </c>
      <c r="K171">
        <v>7</v>
      </c>
      <c r="L171" s="32">
        <f t="shared" si="21"/>
        <v>2</v>
      </c>
      <c r="M171">
        <v>7</v>
      </c>
      <c r="N171">
        <v>6</v>
      </c>
      <c r="O171" s="32">
        <f t="shared" si="22"/>
        <v>1</v>
      </c>
      <c r="P171">
        <v>8</v>
      </c>
      <c r="Q171">
        <v>6</v>
      </c>
      <c r="R171" s="32">
        <f t="shared" si="23"/>
        <v>2</v>
      </c>
      <c r="S171">
        <v>8</v>
      </c>
      <c r="T171">
        <v>5</v>
      </c>
      <c r="U171" s="32">
        <f t="shared" si="24"/>
        <v>3</v>
      </c>
      <c r="V171">
        <v>7</v>
      </c>
      <c r="W171">
        <v>6</v>
      </c>
      <c r="X171" s="32">
        <f t="shared" si="25"/>
        <v>1</v>
      </c>
      <c r="Y171">
        <v>9</v>
      </c>
      <c r="Z171">
        <v>7</v>
      </c>
      <c r="AA171" s="32">
        <f t="shared" si="26"/>
        <v>2</v>
      </c>
    </row>
    <row r="172" spans="1:27" x14ac:dyDescent="0.45">
      <c r="A172">
        <v>7</v>
      </c>
      <c r="B172" s="36">
        <f>step3_combined_data!S159</f>
        <v>7</v>
      </c>
      <c r="C172" s="32">
        <f t="shared" si="18"/>
        <v>0</v>
      </c>
      <c r="D172">
        <v>7</v>
      </c>
      <c r="E172" s="36">
        <f>step3_combined_data!X265</f>
        <v>7</v>
      </c>
      <c r="F172" s="32">
        <f t="shared" si="19"/>
        <v>0</v>
      </c>
      <c r="G172">
        <v>8</v>
      </c>
      <c r="H172">
        <v>5</v>
      </c>
      <c r="I172" s="32">
        <f t="shared" si="20"/>
        <v>3</v>
      </c>
      <c r="J172">
        <v>9</v>
      </c>
      <c r="K172">
        <v>7</v>
      </c>
      <c r="L172" s="32">
        <f t="shared" si="21"/>
        <v>2</v>
      </c>
      <c r="M172">
        <v>7</v>
      </c>
      <c r="N172">
        <v>6</v>
      </c>
      <c r="O172" s="32">
        <f t="shared" si="22"/>
        <v>1</v>
      </c>
      <c r="P172">
        <v>8</v>
      </c>
      <c r="Q172">
        <v>6</v>
      </c>
      <c r="R172" s="32">
        <f t="shared" si="23"/>
        <v>2</v>
      </c>
      <c r="S172">
        <v>8</v>
      </c>
      <c r="T172">
        <v>5</v>
      </c>
      <c r="U172" s="32">
        <f t="shared" si="24"/>
        <v>3</v>
      </c>
      <c r="V172">
        <v>7</v>
      </c>
      <c r="W172">
        <v>6</v>
      </c>
      <c r="X172" s="32">
        <f t="shared" si="25"/>
        <v>1</v>
      </c>
      <c r="Y172">
        <v>9</v>
      </c>
      <c r="Z172">
        <v>7</v>
      </c>
      <c r="AA172" s="32">
        <f t="shared" si="26"/>
        <v>2</v>
      </c>
    </row>
    <row r="173" spans="1:27" x14ac:dyDescent="0.45">
      <c r="A173">
        <v>7</v>
      </c>
      <c r="B173" s="36">
        <f>step3_combined_data!S162</f>
        <v>7</v>
      </c>
      <c r="C173" s="32">
        <f t="shared" si="18"/>
        <v>0</v>
      </c>
      <c r="D173">
        <v>7</v>
      </c>
      <c r="E173" s="36">
        <f>step3_combined_data!X268</f>
        <v>7</v>
      </c>
      <c r="F173" s="32">
        <f t="shared" si="19"/>
        <v>0</v>
      </c>
      <c r="G173">
        <v>8</v>
      </c>
      <c r="H173">
        <v>5</v>
      </c>
      <c r="I173" s="32">
        <f t="shared" si="20"/>
        <v>3</v>
      </c>
      <c r="J173">
        <v>9</v>
      </c>
      <c r="K173">
        <v>7</v>
      </c>
      <c r="L173" s="32">
        <f t="shared" si="21"/>
        <v>2</v>
      </c>
      <c r="M173">
        <v>7</v>
      </c>
      <c r="N173">
        <v>6</v>
      </c>
      <c r="O173" s="32">
        <f t="shared" si="22"/>
        <v>1</v>
      </c>
      <c r="P173">
        <v>8</v>
      </c>
      <c r="Q173">
        <v>6</v>
      </c>
      <c r="R173" s="32">
        <f t="shared" si="23"/>
        <v>2</v>
      </c>
      <c r="S173">
        <v>8</v>
      </c>
      <c r="T173">
        <v>5</v>
      </c>
      <c r="U173" s="32">
        <f t="shared" si="24"/>
        <v>3</v>
      </c>
      <c r="V173">
        <v>7</v>
      </c>
      <c r="W173">
        <v>6</v>
      </c>
      <c r="X173" s="32">
        <f t="shared" si="25"/>
        <v>1</v>
      </c>
      <c r="Y173">
        <v>9</v>
      </c>
      <c r="Z173">
        <v>7</v>
      </c>
      <c r="AA173" s="32">
        <f t="shared" si="26"/>
        <v>2</v>
      </c>
    </row>
    <row r="174" spans="1:27" x14ac:dyDescent="0.45">
      <c r="A174">
        <v>7</v>
      </c>
      <c r="B174" s="36">
        <f>step3_combined_data!S169</f>
        <v>7</v>
      </c>
      <c r="C174" s="32">
        <f t="shared" si="18"/>
        <v>0</v>
      </c>
      <c r="D174">
        <v>7</v>
      </c>
      <c r="E174" s="36">
        <f>step3_combined_data!X269</f>
        <v>7</v>
      </c>
      <c r="F174" s="32">
        <f t="shared" si="19"/>
        <v>0</v>
      </c>
      <c r="G174">
        <v>8</v>
      </c>
      <c r="H174">
        <v>6</v>
      </c>
      <c r="I174" s="32">
        <f t="shared" si="20"/>
        <v>2</v>
      </c>
      <c r="J174">
        <v>9</v>
      </c>
      <c r="K174">
        <v>7</v>
      </c>
      <c r="L174" s="32">
        <f t="shared" si="21"/>
        <v>2</v>
      </c>
      <c r="M174">
        <v>7</v>
      </c>
      <c r="N174">
        <v>6</v>
      </c>
      <c r="O174" s="32">
        <f t="shared" si="22"/>
        <v>1</v>
      </c>
      <c r="P174">
        <v>8</v>
      </c>
      <c r="Q174">
        <v>6</v>
      </c>
      <c r="R174" s="32">
        <f t="shared" si="23"/>
        <v>2</v>
      </c>
      <c r="S174">
        <v>8</v>
      </c>
      <c r="T174">
        <v>5</v>
      </c>
      <c r="U174" s="32">
        <f t="shared" si="24"/>
        <v>3</v>
      </c>
      <c r="V174">
        <v>7</v>
      </c>
      <c r="W174">
        <v>6</v>
      </c>
      <c r="X174" s="32">
        <f t="shared" si="25"/>
        <v>1</v>
      </c>
      <c r="Y174">
        <v>9</v>
      </c>
      <c r="Z174">
        <v>7</v>
      </c>
      <c r="AA174" s="32">
        <f t="shared" si="26"/>
        <v>2</v>
      </c>
    </row>
    <row r="175" spans="1:27" x14ac:dyDescent="0.45">
      <c r="A175">
        <v>7</v>
      </c>
      <c r="B175" s="36">
        <f>step3_combined_data!S180</f>
        <v>7</v>
      </c>
      <c r="C175" s="32">
        <f t="shared" si="18"/>
        <v>0</v>
      </c>
      <c r="D175">
        <v>7</v>
      </c>
      <c r="E175" s="36">
        <f>step3_combined_data!X272</f>
        <v>7</v>
      </c>
      <c r="F175" s="32">
        <f t="shared" si="19"/>
        <v>0</v>
      </c>
      <c r="G175">
        <v>8</v>
      </c>
      <c r="H175">
        <v>6</v>
      </c>
      <c r="I175" s="32">
        <f t="shared" si="20"/>
        <v>2</v>
      </c>
      <c r="J175">
        <v>9</v>
      </c>
      <c r="K175">
        <v>7</v>
      </c>
      <c r="L175" s="32">
        <f t="shared" si="21"/>
        <v>2</v>
      </c>
      <c r="M175">
        <v>7</v>
      </c>
      <c r="N175">
        <v>6</v>
      </c>
      <c r="O175" s="32">
        <f t="shared" si="22"/>
        <v>1</v>
      </c>
      <c r="P175">
        <v>8</v>
      </c>
      <c r="Q175">
        <v>7</v>
      </c>
      <c r="R175" s="32">
        <f t="shared" si="23"/>
        <v>1</v>
      </c>
      <c r="S175">
        <v>8</v>
      </c>
      <c r="T175">
        <v>5</v>
      </c>
      <c r="U175" s="32">
        <f t="shared" si="24"/>
        <v>3</v>
      </c>
      <c r="V175">
        <v>7</v>
      </c>
      <c r="W175">
        <v>6</v>
      </c>
      <c r="X175" s="32">
        <f t="shared" si="25"/>
        <v>1</v>
      </c>
      <c r="Y175">
        <v>9</v>
      </c>
      <c r="Z175">
        <v>7</v>
      </c>
      <c r="AA175" s="32">
        <f t="shared" si="26"/>
        <v>2</v>
      </c>
    </row>
    <row r="176" spans="1:27" x14ac:dyDescent="0.45">
      <c r="A176">
        <v>7</v>
      </c>
      <c r="B176" s="36">
        <f>step3_combined_data!S186</f>
        <v>7</v>
      </c>
      <c r="C176" s="32">
        <f t="shared" si="18"/>
        <v>0</v>
      </c>
      <c r="D176">
        <v>7</v>
      </c>
      <c r="E176" s="36">
        <f>step3_combined_data!X279</f>
        <v>7</v>
      </c>
      <c r="F176" s="32">
        <f t="shared" si="19"/>
        <v>0</v>
      </c>
      <c r="G176">
        <v>8</v>
      </c>
      <c r="H176">
        <v>6</v>
      </c>
      <c r="I176" s="32">
        <f t="shared" si="20"/>
        <v>2</v>
      </c>
      <c r="J176">
        <v>9</v>
      </c>
      <c r="K176">
        <v>7</v>
      </c>
      <c r="L176" s="32">
        <f t="shared" si="21"/>
        <v>2</v>
      </c>
      <c r="M176">
        <v>7</v>
      </c>
      <c r="N176">
        <v>6</v>
      </c>
      <c r="O176" s="32">
        <f t="shared" si="22"/>
        <v>1</v>
      </c>
      <c r="P176">
        <v>8</v>
      </c>
      <c r="Q176">
        <v>7</v>
      </c>
      <c r="R176" s="32">
        <f t="shared" si="23"/>
        <v>1</v>
      </c>
      <c r="S176">
        <v>8</v>
      </c>
      <c r="T176">
        <v>5</v>
      </c>
      <c r="U176" s="32">
        <f t="shared" si="24"/>
        <v>3</v>
      </c>
      <c r="V176">
        <v>7</v>
      </c>
      <c r="W176">
        <v>6</v>
      </c>
      <c r="X176" s="32">
        <f t="shared" si="25"/>
        <v>1</v>
      </c>
      <c r="Y176">
        <v>9</v>
      </c>
      <c r="Z176">
        <v>7</v>
      </c>
      <c r="AA176" s="32">
        <f t="shared" si="26"/>
        <v>2</v>
      </c>
    </row>
    <row r="177" spans="1:27" x14ac:dyDescent="0.45">
      <c r="A177">
        <v>7</v>
      </c>
      <c r="B177" s="36">
        <f>step3_combined_data!S187</f>
        <v>7</v>
      </c>
      <c r="C177" s="32">
        <f t="shared" si="18"/>
        <v>0</v>
      </c>
      <c r="D177">
        <v>7</v>
      </c>
      <c r="E177" s="36">
        <f>step3_combined_data!X280</f>
        <v>7</v>
      </c>
      <c r="F177" s="32">
        <f t="shared" si="19"/>
        <v>0</v>
      </c>
      <c r="G177">
        <v>8</v>
      </c>
      <c r="H177">
        <v>6</v>
      </c>
      <c r="I177" s="32">
        <f t="shared" si="20"/>
        <v>2</v>
      </c>
      <c r="J177">
        <v>9</v>
      </c>
      <c r="K177">
        <v>7</v>
      </c>
      <c r="L177" s="32">
        <f t="shared" si="21"/>
        <v>2</v>
      </c>
      <c r="M177">
        <v>7</v>
      </c>
      <c r="N177">
        <v>6</v>
      </c>
      <c r="O177" s="32">
        <f t="shared" si="22"/>
        <v>1</v>
      </c>
      <c r="P177">
        <v>8</v>
      </c>
      <c r="Q177">
        <v>7</v>
      </c>
      <c r="R177" s="32">
        <f t="shared" si="23"/>
        <v>1</v>
      </c>
      <c r="S177">
        <v>8</v>
      </c>
      <c r="T177">
        <v>5</v>
      </c>
      <c r="U177" s="32">
        <f t="shared" si="24"/>
        <v>3</v>
      </c>
      <c r="V177">
        <v>7</v>
      </c>
      <c r="W177">
        <v>6</v>
      </c>
      <c r="X177" s="32">
        <f t="shared" si="25"/>
        <v>1</v>
      </c>
      <c r="Y177">
        <v>9</v>
      </c>
      <c r="Z177">
        <v>7</v>
      </c>
      <c r="AA177" s="32">
        <f t="shared" si="26"/>
        <v>2</v>
      </c>
    </row>
    <row r="178" spans="1:27" x14ac:dyDescent="0.45">
      <c r="A178">
        <v>7</v>
      </c>
      <c r="B178" s="36">
        <f>step3_combined_data!S191</f>
        <v>7</v>
      </c>
      <c r="C178" s="32">
        <f t="shared" si="18"/>
        <v>0</v>
      </c>
      <c r="D178">
        <v>7</v>
      </c>
      <c r="E178" s="36">
        <f>step3_combined_data!X282</f>
        <v>7</v>
      </c>
      <c r="F178" s="32">
        <f t="shared" si="19"/>
        <v>0</v>
      </c>
      <c r="G178">
        <v>8</v>
      </c>
      <c r="H178">
        <v>6</v>
      </c>
      <c r="I178" s="32">
        <f t="shared" si="20"/>
        <v>2</v>
      </c>
      <c r="J178">
        <v>9</v>
      </c>
      <c r="K178">
        <v>7</v>
      </c>
      <c r="L178" s="32">
        <f t="shared" si="21"/>
        <v>2</v>
      </c>
      <c r="M178">
        <v>7</v>
      </c>
      <c r="N178">
        <v>6</v>
      </c>
      <c r="O178" s="32">
        <f t="shared" si="22"/>
        <v>1</v>
      </c>
      <c r="P178">
        <v>8</v>
      </c>
      <c r="Q178">
        <v>7</v>
      </c>
      <c r="R178" s="32">
        <f t="shared" si="23"/>
        <v>1</v>
      </c>
      <c r="S178">
        <v>8</v>
      </c>
      <c r="T178">
        <v>5</v>
      </c>
      <c r="U178" s="32">
        <f t="shared" si="24"/>
        <v>3</v>
      </c>
      <c r="V178">
        <v>7</v>
      </c>
      <c r="W178">
        <v>6</v>
      </c>
      <c r="X178" s="32">
        <f t="shared" si="25"/>
        <v>1</v>
      </c>
      <c r="Y178">
        <v>9</v>
      </c>
      <c r="Z178">
        <v>7</v>
      </c>
      <c r="AA178" s="32">
        <f t="shared" si="26"/>
        <v>2</v>
      </c>
    </row>
    <row r="179" spans="1:27" x14ac:dyDescent="0.45">
      <c r="A179">
        <v>7</v>
      </c>
      <c r="B179" s="36">
        <f>step3_combined_data!S192</f>
        <v>7</v>
      </c>
      <c r="C179" s="32">
        <f t="shared" si="18"/>
        <v>0</v>
      </c>
      <c r="D179">
        <v>7</v>
      </c>
      <c r="E179" s="36">
        <f>step3_combined_data!X285</f>
        <v>7</v>
      </c>
      <c r="F179" s="32">
        <f t="shared" si="19"/>
        <v>0</v>
      </c>
      <c r="G179">
        <v>8</v>
      </c>
      <c r="H179">
        <v>6</v>
      </c>
      <c r="I179" s="32">
        <f t="shared" si="20"/>
        <v>2</v>
      </c>
      <c r="J179">
        <v>9</v>
      </c>
      <c r="K179">
        <v>7</v>
      </c>
      <c r="L179" s="32">
        <f t="shared" si="21"/>
        <v>2</v>
      </c>
      <c r="M179">
        <v>7</v>
      </c>
      <c r="N179">
        <v>6</v>
      </c>
      <c r="O179" s="32">
        <f t="shared" si="22"/>
        <v>1</v>
      </c>
      <c r="P179">
        <v>8</v>
      </c>
      <c r="Q179">
        <v>7</v>
      </c>
      <c r="R179" s="32">
        <f t="shared" si="23"/>
        <v>1</v>
      </c>
      <c r="S179">
        <v>8</v>
      </c>
      <c r="T179">
        <v>5</v>
      </c>
      <c r="U179" s="32">
        <f t="shared" si="24"/>
        <v>3</v>
      </c>
      <c r="V179">
        <v>7</v>
      </c>
      <c r="W179">
        <v>6</v>
      </c>
      <c r="X179" s="32">
        <f t="shared" si="25"/>
        <v>1</v>
      </c>
      <c r="Y179">
        <v>9</v>
      </c>
      <c r="Z179">
        <v>7</v>
      </c>
      <c r="AA179" s="32">
        <f t="shared" si="26"/>
        <v>2</v>
      </c>
    </row>
    <row r="180" spans="1:27" x14ac:dyDescent="0.45">
      <c r="A180">
        <v>7</v>
      </c>
      <c r="B180" s="36">
        <f>step3_combined_data!S205</f>
        <v>7</v>
      </c>
      <c r="C180" s="32">
        <f t="shared" si="18"/>
        <v>0</v>
      </c>
      <c r="D180">
        <v>7</v>
      </c>
      <c r="E180" s="36">
        <f>step3_combined_data!X286</f>
        <v>7</v>
      </c>
      <c r="F180" s="32">
        <f t="shared" si="19"/>
        <v>0</v>
      </c>
      <c r="G180">
        <v>8</v>
      </c>
      <c r="H180">
        <v>6</v>
      </c>
      <c r="I180" s="32">
        <f t="shared" si="20"/>
        <v>2</v>
      </c>
      <c r="J180">
        <v>9</v>
      </c>
      <c r="K180">
        <v>7</v>
      </c>
      <c r="L180" s="32">
        <f t="shared" si="21"/>
        <v>2</v>
      </c>
      <c r="M180">
        <v>7</v>
      </c>
      <c r="N180">
        <v>6</v>
      </c>
      <c r="O180" s="32">
        <f t="shared" si="22"/>
        <v>1</v>
      </c>
      <c r="P180">
        <v>8</v>
      </c>
      <c r="Q180">
        <v>7</v>
      </c>
      <c r="R180" s="32">
        <f t="shared" si="23"/>
        <v>1</v>
      </c>
      <c r="S180">
        <v>8</v>
      </c>
      <c r="T180">
        <v>5</v>
      </c>
      <c r="U180" s="32">
        <f t="shared" si="24"/>
        <v>3</v>
      </c>
      <c r="V180">
        <v>7</v>
      </c>
      <c r="W180">
        <v>6</v>
      </c>
      <c r="X180" s="32">
        <f t="shared" si="25"/>
        <v>1</v>
      </c>
      <c r="Y180">
        <v>9</v>
      </c>
      <c r="Z180">
        <v>7</v>
      </c>
      <c r="AA180" s="32">
        <f t="shared" si="26"/>
        <v>2</v>
      </c>
    </row>
    <row r="181" spans="1:27" x14ac:dyDescent="0.45">
      <c r="A181">
        <v>7</v>
      </c>
      <c r="B181" s="36">
        <f>step3_combined_data!S209</f>
        <v>7</v>
      </c>
      <c r="C181" s="32">
        <f t="shared" si="18"/>
        <v>0</v>
      </c>
      <c r="D181">
        <v>7</v>
      </c>
      <c r="E181" s="36">
        <f>step3_combined_data!X290</f>
        <v>7</v>
      </c>
      <c r="F181" s="32">
        <f t="shared" si="19"/>
        <v>0</v>
      </c>
      <c r="G181">
        <v>8</v>
      </c>
      <c r="H181">
        <v>6</v>
      </c>
      <c r="I181" s="32">
        <f t="shared" si="20"/>
        <v>2</v>
      </c>
      <c r="J181">
        <v>9</v>
      </c>
      <c r="K181">
        <v>7</v>
      </c>
      <c r="L181" s="32">
        <f t="shared" si="21"/>
        <v>2</v>
      </c>
      <c r="M181">
        <v>7</v>
      </c>
      <c r="N181">
        <v>6</v>
      </c>
      <c r="O181" s="32">
        <f t="shared" si="22"/>
        <v>1</v>
      </c>
      <c r="P181">
        <v>8</v>
      </c>
      <c r="Q181">
        <v>7</v>
      </c>
      <c r="R181" s="32">
        <f t="shared" si="23"/>
        <v>1</v>
      </c>
      <c r="S181">
        <v>8</v>
      </c>
      <c r="T181">
        <v>5</v>
      </c>
      <c r="U181" s="32">
        <f t="shared" si="24"/>
        <v>3</v>
      </c>
      <c r="V181">
        <v>7</v>
      </c>
      <c r="W181">
        <v>6</v>
      </c>
      <c r="X181" s="32">
        <f t="shared" si="25"/>
        <v>1</v>
      </c>
      <c r="Y181">
        <v>9</v>
      </c>
      <c r="Z181">
        <v>7</v>
      </c>
      <c r="AA181" s="32">
        <f t="shared" si="26"/>
        <v>2</v>
      </c>
    </row>
    <row r="182" spans="1:27" x14ac:dyDescent="0.45">
      <c r="A182">
        <v>7</v>
      </c>
      <c r="B182" s="36">
        <f>step3_combined_data!S211</f>
        <v>7</v>
      </c>
      <c r="C182" s="32">
        <f t="shared" si="18"/>
        <v>0</v>
      </c>
      <c r="D182">
        <v>7</v>
      </c>
      <c r="E182" s="36">
        <f>step3_combined_data!X297</f>
        <v>7</v>
      </c>
      <c r="F182" s="32">
        <f t="shared" si="19"/>
        <v>0</v>
      </c>
      <c r="G182">
        <v>8</v>
      </c>
      <c r="H182">
        <v>6</v>
      </c>
      <c r="I182" s="32">
        <f t="shared" si="20"/>
        <v>2</v>
      </c>
      <c r="J182">
        <v>9</v>
      </c>
      <c r="K182">
        <v>7</v>
      </c>
      <c r="L182" s="32">
        <f t="shared" si="21"/>
        <v>2</v>
      </c>
      <c r="M182">
        <v>7</v>
      </c>
      <c r="N182">
        <v>6</v>
      </c>
      <c r="O182" s="32">
        <f t="shared" si="22"/>
        <v>1</v>
      </c>
      <c r="P182">
        <v>8</v>
      </c>
      <c r="Q182">
        <v>7</v>
      </c>
      <c r="R182" s="32">
        <f t="shared" si="23"/>
        <v>1</v>
      </c>
      <c r="S182">
        <v>8</v>
      </c>
      <c r="T182">
        <v>5</v>
      </c>
      <c r="U182" s="32">
        <f t="shared" si="24"/>
        <v>3</v>
      </c>
      <c r="V182">
        <v>7</v>
      </c>
      <c r="W182">
        <v>6</v>
      </c>
      <c r="X182" s="32">
        <f t="shared" si="25"/>
        <v>1</v>
      </c>
      <c r="Y182">
        <v>9</v>
      </c>
      <c r="Z182">
        <v>7</v>
      </c>
      <c r="AA182" s="32">
        <f t="shared" si="26"/>
        <v>2</v>
      </c>
    </row>
    <row r="183" spans="1:27" x14ac:dyDescent="0.45">
      <c r="A183">
        <v>7</v>
      </c>
      <c r="B183" s="36">
        <f>step3_combined_data!S212</f>
        <v>7</v>
      </c>
      <c r="C183" s="32">
        <f t="shared" si="18"/>
        <v>0</v>
      </c>
      <c r="D183">
        <v>7</v>
      </c>
      <c r="E183" s="36">
        <f>step3_combined_data!X302</f>
        <v>7</v>
      </c>
      <c r="F183" s="32">
        <f t="shared" si="19"/>
        <v>0</v>
      </c>
      <c r="G183">
        <v>8</v>
      </c>
      <c r="H183">
        <v>6</v>
      </c>
      <c r="I183" s="32">
        <f t="shared" si="20"/>
        <v>2</v>
      </c>
      <c r="J183">
        <v>9</v>
      </c>
      <c r="K183">
        <v>7</v>
      </c>
      <c r="L183" s="32">
        <f t="shared" si="21"/>
        <v>2</v>
      </c>
      <c r="M183">
        <v>7</v>
      </c>
      <c r="N183">
        <v>6</v>
      </c>
      <c r="O183" s="32">
        <f t="shared" si="22"/>
        <v>1</v>
      </c>
      <c r="P183">
        <v>8</v>
      </c>
      <c r="Q183">
        <v>7</v>
      </c>
      <c r="R183" s="32">
        <f t="shared" si="23"/>
        <v>1</v>
      </c>
      <c r="S183">
        <v>8</v>
      </c>
      <c r="T183">
        <v>5</v>
      </c>
      <c r="U183" s="32">
        <f t="shared" si="24"/>
        <v>3</v>
      </c>
      <c r="V183">
        <v>7</v>
      </c>
      <c r="W183">
        <v>6</v>
      </c>
      <c r="X183" s="32">
        <f t="shared" si="25"/>
        <v>1</v>
      </c>
      <c r="Y183">
        <v>9</v>
      </c>
      <c r="Z183">
        <v>7</v>
      </c>
      <c r="AA183" s="32">
        <f t="shared" si="26"/>
        <v>2</v>
      </c>
    </row>
    <row r="184" spans="1:27" x14ac:dyDescent="0.45">
      <c r="A184">
        <v>7</v>
      </c>
      <c r="B184" s="36">
        <f>step3_combined_data!S214</f>
        <v>7</v>
      </c>
      <c r="C184" s="32">
        <f t="shared" si="18"/>
        <v>0</v>
      </c>
      <c r="D184">
        <v>7</v>
      </c>
      <c r="E184" s="36">
        <f>step3_combined_data!X303</f>
        <v>7</v>
      </c>
      <c r="F184" s="32">
        <f t="shared" si="19"/>
        <v>0</v>
      </c>
      <c r="G184">
        <v>8</v>
      </c>
      <c r="H184">
        <v>6</v>
      </c>
      <c r="I184" s="32">
        <f t="shared" si="20"/>
        <v>2</v>
      </c>
      <c r="J184">
        <v>9</v>
      </c>
      <c r="K184">
        <v>7</v>
      </c>
      <c r="L184" s="32">
        <f t="shared" si="21"/>
        <v>2</v>
      </c>
      <c r="M184">
        <v>7</v>
      </c>
      <c r="N184">
        <v>6</v>
      </c>
      <c r="O184" s="32">
        <f t="shared" si="22"/>
        <v>1</v>
      </c>
      <c r="P184">
        <v>8</v>
      </c>
      <c r="Q184">
        <v>7</v>
      </c>
      <c r="R184" s="32">
        <f t="shared" si="23"/>
        <v>1</v>
      </c>
      <c r="S184">
        <v>8</v>
      </c>
      <c r="T184">
        <v>5</v>
      </c>
      <c r="U184" s="32">
        <f t="shared" si="24"/>
        <v>3</v>
      </c>
      <c r="V184">
        <v>7</v>
      </c>
      <c r="W184">
        <v>6</v>
      </c>
      <c r="X184" s="32">
        <f t="shared" si="25"/>
        <v>1</v>
      </c>
      <c r="Y184">
        <v>9</v>
      </c>
      <c r="Z184">
        <v>7</v>
      </c>
      <c r="AA184" s="32">
        <f t="shared" si="26"/>
        <v>2</v>
      </c>
    </row>
    <row r="185" spans="1:27" x14ac:dyDescent="0.45">
      <c r="A185">
        <v>7</v>
      </c>
      <c r="B185" s="36">
        <f>step3_combined_data!S220</f>
        <v>7</v>
      </c>
      <c r="C185" s="32">
        <f t="shared" si="18"/>
        <v>0</v>
      </c>
      <c r="D185">
        <v>7</v>
      </c>
      <c r="E185" s="36">
        <f>step3_combined_data!X311</f>
        <v>7</v>
      </c>
      <c r="F185" s="32">
        <f t="shared" si="19"/>
        <v>0</v>
      </c>
      <c r="G185">
        <v>8</v>
      </c>
      <c r="H185">
        <v>6</v>
      </c>
      <c r="I185" s="32">
        <f t="shared" si="20"/>
        <v>2</v>
      </c>
      <c r="J185">
        <v>9</v>
      </c>
      <c r="K185">
        <v>7</v>
      </c>
      <c r="L185" s="32">
        <f t="shared" si="21"/>
        <v>2</v>
      </c>
      <c r="M185">
        <v>7</v>
      </c>
      <c r="N185">
        <v>6</v>
      </c>
      <c r="O185" s="32">
        <f t="shared" si="22"/>
        <v>1</v>
      </c>
      <c r="P185">
        <v>8</v>
      </c>
      <c r="Q185">
        <v>7</v>
      </c>
      <c r="R185" s="32">
        <f t="shared" si="23"/>
        <v>1</v>
      </c>
      <c r="S185">
        <v>8</v>
      </c>
      <c r="T185">
        <v>5</v>
      </c>
      <c r="U185" s="32">
        <f t="shared" si="24"/>
        <v>3</v>
      </c>
      <c r="V185">
        <v>7</v>
      </c>
      <c r="W185">
        <v>6</v>
      </c>
      <c r="X185" s="32">
        <f t="shared" si="25"/>
        <v>1</v>
      </c>
      <c r="Y185">
        <v>9</v>
      </c>
      <c r="Z185">
        <v>7</v>
      </c>
      <c r="AA185" s="32">
        <f t="shared" si="26"/>
        <v>2</v>
      </c>
    </row>
    <row r="186" spans="1:27" x14ac:dyDescent="0.45">
      <c r="A186">
        <v>7</v>
      </c>
      <c r="B186" s="36">
        <f>step3_combined_data!S225</f>
        <v>7</v>
      </c>
      <c r="C186" s="32">
        <f t="shared" si="18"/>
        <v>0</v>
      </c>
      <c r="D186">
        <v>7</v>
      </c>
      <c r="E186" s="36">
        <f>step3_combined_data!X318</f>
        <v>7</v>
      </c>
      <c r="F186" s="32">
        <f t="shared" si="19"/>
        <v>0</v>
      </c>
      <c r="G186">
        <v>8</v>
      </c>
      <c r="H186">
        <v>6</v>
      </c>
      <c r="I186" s="32">
        <f t="shared" si="20"/>
        <v>2</v>
      </c>
      <c r="J186">
        <v>9</v>
      </c>
      <c r="K186">
        <v>7</v>
      </c>
      <c r="L186" s="32">
        <f t="shared" si="21"/>
        <v>2</v>
      </c>
      <c r="M186">
        <v>7</v>
      </c>
      <c r="N186">
        <v>6</v>
      </c>
      <c r="O186" s="32">
        <f t="shared" si="22"/>
        <v>1</v>
      </c>
      <c r="P186">
        <v>8</v>
      </c>
      <c r="Q186">
        <v>7</v>
      </c>
      <c r="R186" s="32">
        <f t="shared" si="23"/>
        <v>1</v>
      </c>
      <c r="S186">
        <v>8</v>
      </c>
      <c r="T186">
        <v>5</v>
      </c>
      <c r="U186" s="32">
        <f t="shared" si="24"/>
        <v>3</v>
      </c>
      <c r="V186">
        <v>7</v>
      </c>
      <c r="W186">
        <v>6</v>
      </c>
      <c r="X186" s="32">
        <f t="shared" si="25"/>
        <v>1</v>
      </c>
      <c r="Y186">
        <v>9</v>
      </c>
      <c r="Z186">
        <v>7</v>
      </c>
      <c r="AA186" s="32">
        <f t="shared" si="26"/>
        <v>2</v>
      </c>
    </row>
    <row r="187" spans="1:27" x14ac:dyDescent="0.45">
      <c r="A187">
        <v>7</v>
      </c>
      <c r="B187" s="36">
        <f>step3_combined_data!S227</f>
        <v>7</v>
      </c>
      <c r="C187" s="32">
        <f t="shared" si="18"/>
        <v>0</v>
      </c>
      <c r="D187">
        <v>7</v>
      </c>
      <c r="E187" s="36">
        <f>step3_combined_data!X321</f>
        <v>7</v>
      </c>
      <c r="F187" s="32">
        <f t="shared" si="19"/>
        <v>0</v>
      </c>
      <c r="G187">
        <v>8</v>
      </c>
      <c r="H187">
        <v>6</v>
      </c>
      <c r="I187" s="32">
        <f t="shared" si="20"/>
        <v>2</v>
      </c>
      <c r="J187">
        <v>9</v>
      </c>
      <c r="K187">
        <v>7</v>
      </c>
      <c r="L187" s="32">
        <f t="shared" si="21"/>
        <v>2</v>
      </c>
      <c r="M187">
        <v>7</v>
      </c>
      <c r="N187">
        <v>6</v>
      </c>
      <c r="O187" s="32">
        <f t="shared" si="22"/>
        <v>1</v>
      </c>
      <c r="P187">
        <v>8</v>
      </c>
      <c r="Q187">
        <v>7</v>
      </c>
      <c r="R187" s="32">
        <f t="shared" si="23"/>
        <v>1</v>
      </c>
      <c r="S187">
        <v>8</v>
      </c>
      <c r="T187">
        <v>5</v>
      </c>
      <c r="U187" s="32">
        <f t="shared" si="24"/>
        <v>3</v>
      </c>
      <c r="V187">
        <v>8</v>
      </c>
      <c r="W187">
        <v>6</v>
      </c>
      <c r="X187" s="32">
        <f t="shared" si="25"/>
        <v>2</v>
      </c>
      <c r="Y187">
        <v>9</v>
      </c>
      <c r="Z187">
        <v>7</v>
      </c>
      <c r="AA187" s="32">
        <f t="shared" si="26"/>
        <v>2</v>
      </c>
    </row>
    <row r="188" spans="1:27" x14ac:dyDescent="0.45">
      <c r="A188">
        <v>7</v>
      </c>
      <c r="B188" s="36">
        <f>step3_combined_data!S237</f>
        <v>7</v>
      </c>
      <c r="C188" s="32">
        <f t="shared" si="18"/>
        <v>0</v>
      </c>
      <c r="D188">
        <v>7</v>
      </c>
      <c r="E188" s="36">
        <f>step3_combined_data!X324</f>
        <v>7</v>
      </c>
      <c r="F188" s="32">
        <f t="shared" si="19"/>
        <v>0</v>
      </c>
      <c r="G188">
        <v>8</v>
      </c>
      <c r="H188">
        <v>6</v>
      </c>
      <c r="I188" s="32">
        <f t="shared" si="20"/>
        <v>2</v>
      </c>
      <c r="J188">
        <v>9</v>
      </c>
      <c r="K188">
        <v>7</v>
      </c>
      <c r="L188" s="32">
        <f t="shared" si="21"/>
        <v>2</v>
      </c>
      <c r="M188">
        <v>8</v>
      </c>
      <c r="N188">
        <v>6</v>
      </c>
      <c r="O188" s="32">
        <f t="shared" si="22"/>
        <v>2</v>
      </c>
      <c r="P188">
        <v>8</v>
      </c>
      <c r="Q188">
        <v>7</v>
      </c>
      <c r="R188" s="32">
        <f t="shared" si="23"/>
        <v>1</v>
      </c>
      <c r="S188">
        <v>8</v>
      </c>
      <c r="T188">
        <v>6</v>
      </c>
      <c r="U188" s="32">
        <f t="shared" si="24"/>
        <v>2</v>
      </c>
      <c r="V188">
        <v>8</v>
      </c>
      <c r="W188">
        <v>6</v>
      </c>
      <c r="X188" s="32">
        <f t="shared" si="25"/>
        <v>2</v>
      </c>
      <c r="Y188">
        <v>9</v>
      </c>
      <c r="Z188">
        <v>7</v>
      </c>
      <c r="AA188" s="32">
        <f t="shared" si="26"/>
        <v>2</v>
      </c>
    </row>
    <row r="189" spans="1:27" x14ac:dyDescent="0.45">
      <c r="A189">
        <v>7</v>
      </c>
      <c r="B189" s="36">
        <f>step3_combined_data!S242</f>
        <v>7</v>
      </c>
      <c r="C189" s="32">
        <f t="shared" si="18"/>
        <v>0</v>
      </c>
      <c r="D189">
        <v>7</v>
      </c>
      <c r="E189" s="36">
        <f>step3_combined_data!X325</f>
        <v>7</v>
      </c>
      <c r="F189" s="32">
        <f t="shared" si="19"/>
        <v>0</v>
      </c>
      <c r="G189">
        <v>8</v>
      </c>
      <c r="H189">
        <v>6</v>
      </c>
      <c r="I189" s="32">
        <f t="shared" si="20"/>
        <v>2</v>
      </c>
      <c r="J189">
        <v>9</v>
      </c>
      <c r="K189">
        <v>7</v>
      </c>
      <c r="L189" s="32">
        <f t="shared" si="21"/>
        <v>2</v>
      </c>
      <c r="M189">
        <v>8</v>
      </c>
      <c r="N189">
        <v>6</v>
      </c>
      <c r="O189" s="32">
        <f t="shared" si="22"/>
        <v>2</v>
      </c>
      <c r="P189">
        <v>8</v>
      </c>
      <c r="Q189">
        <v>7</v>
      </c>
      <c r="R189" s="32">
        <f t="shared" si="23"/>
        <v>1</v>
      </c>
      <c r="S189">
        <v>8</v>
      </c>
      <c r="T189">
        <v>6</v>
      </c>
      <c r="U189" s="32">
        <f t="shared" si="24"/>
        <v>2</v>
      </c>
      <c r="V189">
        <v>8</v>
      </c>
      <c r="W189">
        <v>6</v>
      </c>
      <c r="X189" s="32">
        <f t="shared" si="25"/>
        <v>2</v>
      </c>
      <c r="Y189">
        <v>9</v>
      </c>
      <c r="Z189">
        <v>7</v>
      </c>
      <c r="AA189" s="32">
        <f t="shared" si="26"/>
        <v>2</v>
      </c>
    </row>
    <row r="190" spans="1:27" x14ac:dyDescent="0.45">
      <c r="A190">
        <v>7</v>
      </c>
      <c r="B190" s="36">
        <f>step3_combined_data!S245</f>
        <v>7</v>
      </c>
      <c r="C190" s="32">
        <f t="shared" si="18"/>
        <v>0</v>
      </c>
      <c r="D190">
        <v>7</v>
      </c>
      <c r="E190" s="36">
        <f>step3_combined_data!X328</f>
        <v>7</v>
      </c>
      <c r="F190" s="32">
        <f t="shared" si="19"/>
        <v>0</v>
      </c>
      <c r="G190">
        <v>8</v>
      </c>
      <c r="H190">
        <v>6</v>
      </c>
      <c r="I190" s="32">
        <f t="shared" si="20"/>
        <v>2</v>
      </c>
      <c r="J190">
        <v>9</v>
      </c>
      <c r="K190">
        <v>7</v>
      </c>
      <c r="L190" s="32">
        <f t="shared" si="21"/>
        <v>2</v>
      </c>
      <c r="M190">
        <v>8</v>
      </c>
      <c r="N190">
        <v>6</v>
      </c>
      <c r="O190" s="32">
        <f t="shared" si="22"/>
        <v>2</v>
      </c>
      <c r="P190">
        <v>8</v>
      </c>
      <c r="Q190">
        <v>7</v>
      </c>
      <c r="R190" s="32">
        <f t="shared" si="23"/>
        <v>1</v>
      </c>
      <c r="S190">
        <v>8</v>
      </c>
      <c r="T190">
        <v>6</v>
      </c>
      <c r="U190" s="32">
        <f t="shared" si="24"/>
        <v>2</v>
      </c>
      <c r="V190">
        <v>8</v>
      </c>
      <c r="W190">
        <v>6</v>
      </c>
      <c r="X190" s="32">
        <f t="shared" si="25"/>
        <v>2</v>
      </c>
      <c r="Y190">
        <v>9</v>
      </c>
      <c r="Z190">
        <v>7</v>
      </c>
      <c r="AA190" s="32">
        <f t="shared" si="26"/>
        <v>2</v>
      </c>
    </row>
    <row r="191" spans="1:27" x14ac:dyDescent="0.45">
      <c r="A191">
        <v>7</v>
      </c>
      <c r="B191" s="36">
        <f>step3_combined_data!S249</f>
        <v>7</v>
      </c>
      <c r="C191" s="32">
        <f t="shared" si="18"/>
        <v>0</v>
      </c>
      <c r="D191">
        <v>7</v>
      </c>
      <c r="E191" s="36">
        <f>step3_combined_data!X330</f>
        <v>7</v>
      </c>
      <c r="F191" s="32">
        <f t="shared" si="19"/>
        <v>0</v>
      </c>
      <c r="G191">
        <v>8</v>
      </c>
      <c r="H191">
        <v>6</v>
      </c>
      <c r="I191" s="32">
        <f t="shared" si="20"/>
        <v>2</v>
      </c>
      <c r="J191">
        <v>9</v>
      </c>
      <c r="K191">
        <v>7</v>
      </c>
      <c r="L191" s="32">
        <f t="shared" si="21"/>
        <v>2</v>
      </c>
      <c r="M191">
        <v>8</v>
      </c>
      <c r="N191">
        <v>6</v>
      </c>
      <c r="O191" s="32">
        <f t="shared" si="22"/>
        <v>2</v>
      </c>
      <c r="P191">
        <v>9</v>
      </c>
      <c r="Q191">
        <v>7</v>
      </c>
      <c r="R191" s="32">
        <f t="shared" si="23"/>
        <v>2</v>
      </c>
      <c r="S191">
        <v>8</v>
      </c>
      <c r="T191">
        <v>6</v>
      </c>
      <c r="U191" s="32">
        <f t="shared" si="24"/>
        <v>2</v>
      </c>
      <c r="V191">
        <v>8</v>
      </c>
      <c r="W191">
        <v>6</v>
      </c>
      <c r="X191" s="32">
        <f t="shared" si="25"/>
        <v>2</v>
      </c>
      <c r="Y191">
        <v>9</v>
      </c>
      <c r="Z191">
        <v>7</v>
      </c>
      <c r="AA191" s="32">
        <f t="shared" si="26"/>
        <v>2</v>
      </c>
    </row>
    <row r="192" spans="1:27" x14ac:dyDescent="0.45">
      <c r="A192">
        <v>7</v>
      </c>
      <c r="B192" s="36">
        <f>step3_combined_data!S251</f>
        <v>7</v>
      </c>
      <c r="C192" s="32">
        <f t="shared" si="18"/>
        <v>0</v>
      </c>
      <c r="D192">
        <v>7</v>
      </c>
      <c r="E192" s="36">
        <f>step3_combined_data!X333</f>
        <v>7</v>
      </c>
      <c r="F192" s="32">
        <f t="shared" si="19"/>
        <v>0</v>
      </c>
      <c r="G192">
        <v>8</v>
      </c>
      <c r="H192">
        <v>6</v>
      </c>
      <c r="I192" s="32">
        <f t="shared" si="20"/>
        <v>2</v>
      </c>
      <c r="J192">
        <v>9</v>
      </c>
      <c r="K192">
        <v>7</v>
      </c>
      <c r="L192" s="32">
        <f t="shared" si="21"/>
        <v>2</v>
      </c>
      <c r="M192">
        <v>8</v>
      </c>
      <c r="N192">
        <v>6</v>
      </c>
      <c r="O192" s="32">
        <f t="shared" si="22"/>
        <v>2</v>
      </c>
      <c r="P192">
        <v>9</v>
      </c>
      <c r="Q192">
        <v>7</v>
      </c>
      <c r="R192" s="32">
        <f t="shared" si="23"/>
        <v>2</v>
      </c>
      <c r="S192">
        <v>8</v>
      </c>
      <c r="T192">
        <v>6</v>
      </c>
      <c r="U192" s="32">
        <f t="shared" si="24"/>
        <v>2</v>
      </c>
      <c r="V192">
        <v>8</v>
      </c>
      <c r="W192">
        <v>6</v>
      </c>
      <c r="X192" s="32">
        <f t="shared" si="25"/>
        <v>2</v>
      </c>
      <c r="Y192">
        <v>9</v>
      </c>
      <c r="Z192">
        <v>7</v>
      </c>
      <c r="AA192" s="32">
        <f t="shared" si="26"/>
        <v>2</v>
      </c>
    </row>
    <row r="193" spans="1:27" x14ac:dyDescent="0.45">
      <c r="A193">
        <v>7</v>
      </c>
      <c r="B193" s="36">
        <f>step3_combined_data!S258</f>
        <v>7</v>
      </c>
      <c r="C193" s="32">
        <f t="shared" si="18"/>
        <v>0</v>
      </c>
      <c r="D193">
        <v>7</v>
      </c>
      <c r="E193" s="36">
        <f>step3_combined_data!X336</f>
        <v>7</v>
      </c>
      <c r="F193" s="32">
        <f t="shared" si="19"/>
        <v>0</v>
      </c>
      <c r="G193">
        <v>8</v>
      </c>
      <c r="H193">
        <v>6</v>
      </c>
      <c r="I193" s="32">
        <f t="shared" si="20"/>
        <v>2</v>
      </c>
      <c r="J193">
        <v>9</v>
      </c>
      <c r="K193">
        <v>7</v>
      </c>
      <c r="L193" s="32">
        <f t="shared" si="21"/>
        <v>2</v>
      </c>
      <c r="M193">
        <v>8</v>
      </c>
      <c r="N193">
        <v>6</v>
      </c>
      <c r="O193" s="32">
        <f t="shared" si="22"/>
        <v>2</v>
      </c>
      <c r="P193">
        <v>9</v>
      </c>
      <c r="Q193">
        <v>7</v>
      </c>
      <c r="R193" s="32">
        <f t="shared" si="23"/>
        <v>2</v>
      </c>
      <c r="S193">
        <v>8</v>
      </c>
      <c r="T193">
        <v>6</v>
      </c>
      <c r="U193" s="32">
        <f t="shared" si="24"/>
        <v>2</v>
      </c>
      <c r="V193">
        <v>8</v>
      </c>
      <c r="W193">
        <v>6</v>
      </c>
      <c r="X193" s="32">
        <f t="shared" si="25"/>
        <v>2</v>
      </c>
      <c r="Y193">
        <v>9</v>
      </c>
      <c r="Z193">
        <v>7</v>
      </c>
      <c r="AA193" s="32">
        <f t="shared" si="26"/>
        <v>2</v>
      </c>
    </row>
    <row r="194" spans="1:27" x14ac:dyDescent="0.45">
      <c r="A194">
        <v>7</v>
      </c>
      <c r="B194" s="36">
        <f>step3_combined_data!S265</f>
        <v>7</v>
      </c>
      <c r="C194" s="32">
        <f t="shared" si="18"/>
        <v>0</v>
      </c>
      <c r="D194">
        <v>7</v>
      </c>
      <c r="E194" s="36">
        <f>step3_combined_data!X340</f>
        <v>7</v>
      </c>
      <c r="F194" s="32">
        <f t="shared" si="19"/>
        <v>0</v>
      </c>
      <c r="G194">
        <v>8</v>
      </c>
      <c r="H194">
        <v>6</v>
      </c>
      <c r="I194" s="32">
        <f t="shared" si="20"/>
        <v>2</v>
      </c>
      <c r="J194">
        <v>9</v>
      </c>
      <c r="K194">
        <v>7</v>
      </c>
      <c r="L194" s="32">
        <f t="shared" si="21"/>
        <v>2</v>
      </c>
      <c r="M194">
        <v>8</v>
      </c>
      <c r="N194">
        <v>6</v>
      </c>
      <c r="O194" s="32">
        <f t="shared" si="22"/>
        <v>2</v>
      </c>
      <c r="P194">
        <v>9</v>
      </c>
      <c r="Q194">
        <v>7</v>
      </c>
      <c r="R194" s="32">
        <f t="shared" si="23"/>
        <v>2</v>
      </c>
      <c r="S194">
        <v>8</v>
      </c>
      <c r="T194">
        <v>6</v>
      </c>
      <c r="U194" s="32">
        <f t="shared" si="24"/>
        <v>2</v>
      </c>
      <c r="V194">
        <v>8</v>
      </c>
      <c r="W194">
        <v>6</v>
      </c>
      <c r="X194" s="32">
        <f t="shared" si="25"/>
        <v>2</v>
      </c>
      <c r="Y194">
        <v>9</v>
      </c>
      <c r="Z194">
        <v>7</v>
      </c>
      <c r="AA194" s="32">
        <f t="shared" si="26"/>
        <v>2</v>
      </c>
    </row>
    <row r="195" spans="1:27" x14ac:dyDescent="0.45">
      <c r="A195">
        <v>7</v>
      </c>
      <c r="B195" s="36">
        <f>step3_combined_data!S267</f>
        <v>7</v>
      </c>
      <c r="C195" s="32">
        <f t="shared" ref="C195:C258" si="27">ABS(B195-A195)</f>
        <v>0</v>
      </c>
      <c r="D195">
        <v>7</v>
      </c>
      <c r="E195" s="36">
        <f>step3_combined_data!X344</f>
        <v>7</v>
      </c>
      <c r="F195" s="32">
        <f t="shared" ref="F195:F258" si="28">ABS(E195-D195)</f>
        <v>0</v>
      </c>
      <c r="G195">
        <v>8</v>
      </c>
      <c r="H195">
        <v>6</v>
      </c>
      <c r="I195" s="32">
        <f t="shared" ref="I195:I258" si="29">ABS(H195-G195)</f>
        <v>2</v>
      </c>
      <c r="J195">
        <v>9</v>
      </c>
      <c r="K195">
        <v>7</v>
      </c>
      <c r="L195" s="32">
        <f t="shared" ref="L195:L258" si="30">ABS(K195-J195)</f>
        <v>2</v>
      </c>
      <c r="M195">
        <v>8</v>
      </c>
      <c r="N195">
        <v>6</v>
      </c>
      <c r="O195" s="32">
        <f t="shared" ref="O195:O258" si="31">ABS(N195-M195)</f>
        <v>2</v>
      </c>
      <c r="P195">
        <v>9</v>
      </c>
      <c r="Q195">
        <v>7</v>
      </c>
      <c r="R195" s="32">
        <f t="shared" ref="R195:R258" si="32">ABS(Q195-P195)</f>
        <v>2</v>
      </c>
      <c r="S195">
        <v>8</v>
      </c>
      <c r="T195">
        <v>6</v>
      </c>
      <c r="U195" s="32">
        <f t="shared" ref="U195:U258" si="33">ABS(T195-S195)</f>
        <v>2</v>
      </c>
      <c r="V195">
        <v>8</v>
      </c>
      <c r="W195">
        <v>6</v>
      </c>
      <c r="X195" s="32">
        <f t="shared" ref="X195:X258" si="34">ABS(W195-V195)</f>
        <v>2</v>
      </c>
      <c r="Y195">
        <v>9</v>
      </c>
      <c r="Z195">
        <v>7</v>
      </c>
      <c r="AA195" s="32">
        <f t="shared" ref="AA195:AA258" si="35">ABS(Z195-Y195)</f>
        <v>2</v>
      </c>
    </row>
    <row r="196" spans="1:27" x14ac:dyDescent="0.45">
      <c r="A196">
        <v>7</v>
      </c>
      <c r="B196" s="36">
        <f>step3_combined_data!S269</f>
        <v>7</v>
      </c>
      <c r="C196" s="32">
        <f t="shared" si="27"/>
        <v>0</v>
      </c>
      <c r="D196">
        <v>7</v>
      </c>
      <c r="E196" s="36">
        <f>step3_combined_data!X345</f>
        <v>7</v>
      </c>
      <c r="F196" s="32">
        <f t="shared" si="28"/>
        <v>0</v>
      </c>
      <c r="G196">
        <v>8</v>
      </c>
      <c r="H196">
        <v>6</v>
      </c>
      <c r="I196" s="32">
        <f t="shared" si="29"/>
        <v>2</v>
      </c>
      <c r="J196">
        <v>9</v>
      </c>
      <c r="K196">
        <v>7</v>
      </c>
      <c r="L196" s="32">
        <f t="shared" si="30"/>
        <v>2</v>
      </c>
      <c r="M196">
        <v>8</v>
      </c>
      <c r="N196">
        <v>6</v>
      </c>
      <c r="O196" s="32">
        <f t="shared" si="31"/>
        <v>2</v>
      </c>
      <c r="P196">
        <v>9</v>
      </c>
      <c r="Q196">
        <v>7</v>
      </c>
      <c r="R196" s="32">
        <f t="shared" si="32"/>
        <v>2</v>
      </c>
      <c r="S196">
        <v>8</v>
      </c>
      <c r="T196">
        <v>6</v>
      </c>
      <c r="U196" s="32">
        <f t="shared" si="33"/>
        <v>2</v>
      </c>
      <c r="V196">
        <v>8</v>
      </c>
      <c r="W196">
        <v>6</v>
      </c>
      <c r="X196" s="32">
        <f t="shared" si="34"/>
        <v>2</v>
      </c>
      <c r="Y196">
        <v>9</v>
      </c>
      <c r="Z196">
        <v>7</v>
      </c>
      <c r="AA196" s="32">
        <f t="shared" si="35"/>
        <v>2</v>
      </c>
    </row>
    <row r="197" spans="1:27" x14ac:dyDescent="0.45">
      <c r="A197">
        <v>7</v>
      </c>
      <c r="B197" s="36">
        <f>step3_combined_data!S272</f>
        <v>7</v>
      </c>
      <c r="C197" s="32">
        <f t="shared" si="27"/>
        <v>0</v>
      </c>
      <c r="D197">
        <v>7</v>
      </c>
      <c r="E197" s="36">
        <f>step3_combined_data!X346</f>
        <v>7</v>
      </c>
      <c r="F197" s="32">
        <f t="shared" si="28"/>
        <v>0</v>
      </c>
      <c r="G197">
        <v>8</v>
      </c>
      <c r="H197">
        <v>6</v>
      </c>
      <c r="I197" s="32">
        <f t="shared" si="29"/>
        <v>2</v>
      </c>
      <c r="J197">
        <v>9</v>
      </c>
      <c r="K197">
        <v>7</v>
      </c>
      <c r="L197" s="32">
        <f t="shared" si="30"/>
        <v>2</v>
      </c>
      <c r="M197">
        <v>8</v>
      </c>
      <c r="N197">
        <v>6</v>
      </c>
      <c r="O197" s="32">
        <f t="shared" si="31"/>
        <v>2</v>
      </c>
      <c r="P197">
        <v>9</v>
      </c>
      <c r="Q197">
        <v>7</v>
      </c>
      <c r="R197" s="32">
        <f t="shared" si="32"/>
        <v>2</v>
      </c>
      <c r="S197">
        <v>8</v>
      </c>
      <c r="T197">
        <v>6</v>
      </c>
      <c r="U197" s="32">
        <f t="shared" si="33"/>
        <v>2</v>
      </c>
      <c r="V197">
        <v>8</v>
      </c>
      <c r="W197">
        <v>6</v>
      </c>
      <c r="X197" s="32">
        <f t="shared" si="34"/>
        <v>2</v>
      </c>
      <c r="Y197">
        <v>9</v>
      </c>
      <c r="Z197">
        <v>7</v>
      </c>
      <c r="AA197" s="32">
        <f t="shared" si="35"/>
        <v>2</v>
      </c>
    </row>
    <row r="198" spans="1:27" x14ac:dyDescent="0.45">
      <c r="A198">
        <v>7</v>
      </c>
      <c r="B198" s="36">
        <f>step3_combined_data!S273</f>
        <v>7</v>
      </c>
      <c r="C198" s="32">
        <f t="shared" si="27"/>
        <v>0</v>
      </c>
      <c r="D198">
        <v>7</v>
      </c>
      <c r="E198" s="36">
        <f>step3_combined_data!X351</f>
        <v>7</v>
      </c>
      <c r="F198" s="32">
        <f t="shared" si="28"/>
        <v>0</v>
      </c>
      <c r="G198">
        <v>8</v>
      </c>
      <c r="H198">
        <v>6</v>
      </c>
      <c r="I198" s="32">
        <f t="shared" si="29"/>
        <v>2</v>
      </c>
      <c r="J198">
        <v>9</v>
      </c>
      <c r="K198">
        <v>7</v>
      </c>
      <c r="L198" s="32">
        <f t="shared" si="30"/>
        <v>2</v>
      </c>
      <c r="M198">
        <v>8</v>
      </c>
      <c r="N198">
        <v>6</v>
      </c>
      <c r="O198" s="32">
        <f t="shared" si="31"/>
        <v>2</v>
      </c>
      <c r="P198">
        <v>9</v>
      </c>
      <c r="Q198">
        <v>7</v>
      </c>
      <c r="R198" s="32">
        <f t="shared" si="32"/>
        <v>2</v>
      </c>
      <c r="S198">
        <v>8</v>
      </c>
      <c r="T198">
        <v>6</v>
      </c>
      <c r="U198" s="32">
        <f t="shared" si="33"/>
        <v>2</v>
      </c>
      <c r="V198">
        <v>8</v>
      </c>
      <c r="W198">
        <v>6</v>
      </c>
      <c r="X198" s="32">
        <f t="shared" si="34"/>
        <v>2</v>
      </c>
      <c r="Y198">
        <v>9</v>
      </c>
      <c r="Z198">
        <v>7</v>
      </c>
      <c r="AA198" s="32">
        <f t="shared" si="35"/>
        <v>2</v>
      </c>
    </row>
    <row r="199" spans="1:27" x14ac:dyDescent="0.45">
      <c r="A199">
        <v>7</v>
      </c>
      <c r="B199" s="36">
        <f>step3_combined_data!S285</f>
        <v>7</v>
      </c>
      <c r="C199" s="32">
        <f t="shared" si="27"/>
        <v>0</v>
      </c>
      <c r="D199">
        <v>7</v>
      </c>
      <c r="E199" s="36">
        <f>step3_combined_data!X354</f>
        <v>7</v>
      </c>
      <c r="F199" s="32">
        <f t="shared" si="28"/>
        <v>0</v>
      </c>
      <c r="G199">
        <v>8</v>
      </c>
      <c r="H199">
        <v>6</v>
      </c>
      <c r="I199" s="32">
        <f t="shared" si="29"/>
        <v>2</v>
      </c>
      <c r="J199">
        <v>9</v>
      </c>
      <c r="K199">
        <v>7</v>
      </c>
      <c r="L199" s="32">
        <f t="shared" si="30"/>
        <v>2</v>
      </c>
      <c r="M199">
        <v>8</v>
      </c>
      <c r="N199">
        <v>6</v>
      </c>
      <c r="O199" s="32">
        <f t="shared" si="31"/>
        <v>2</v>
      </c>
      <c r="P199">
        <v>9</v>
      </c>
      <c r="Q199">
        <v>7</v>
      </c>
      <c r="R199" s="32">
        <f t="shared" si="32"/>
        <v>2</v>
      </c>
      <c r="S199">
        <v>8</v>
      </c>
      <c r="T199">
        <v>6</v>
      </c>
      <c r="U199" s="32">
        <f t="shared" si="33"/>
        <v>2</v>
      </c>
      <c r="V199">
        <v>8</v>
      </c>
      <c r="W199">
        <v>7</v>
      </c>
      <c r="X199" s="32">
        <f t="shared" si="34"/>
        <v>1</v>
      </c>
      <c r="Y199">
        <v>9</v>
      </c>
      <c r="Z199">
        <v>7</v>
      </c>
      <c r="AA199" s="32">
        <f t="shared" si="35"/>
        <v>2</v>
      </c>
    </row>
    <row r="200" spans="1:27" x14ac:dyDescent="0.45">
      <c r="A200">
        <v>7</v>
      </c>
      <c r="B200" s="36">
        <f>step3_combined_data!S286</f>
        <v>7</v>
      </c>
      <c r="C200" s="32">
        <f t="shared" si="27"/>
        <v>0</v>
      </c>
      <c r="D200">
        <v>7</v>
      </c>
      <c r="E200" s="36">
        <f>step3_combined_data!X357</f>
        <v>7</v>
      </c>
      <c r="F200" s="32">
        <f t="shared" si="28"/>
        <v>0</v>
      </c>
      <c r="G200">
        <v>8</v>
      </c>
      <c r="H200">
        <v>6</v>
      </c>
      <c r="I200" s="32">
        <f t="shared" si="29"/>
        <v>2</v>
      </c>
      <c r="J200">
        <v>9</v>
      </c>
      <c r="K200">
        <v>7</v>
      </c>
      <c r="L200" s="32">
        <f t="shared" si="30"/>
        <v>2</v>
      </c>
      <c r="M200">
        <v>8</v>
      </c>
      <c r="N200">
        <v>7</v>
      </c>
      <c r="O200" s="32">
        <f t="shared" si="31"/>
        <v>1</v>
      </c>
      <c r="P200">
        <v>9</v>
      </c>
      <c r="Q200">
        <v>7</v>
      </c>
      <c r="R200" s="32">
        <f t="shared" si="32"/>
        <v>2</v>
      </c>
      <c r="S200">
        <v>8</v>
      </c>
      <c r="T200">
        <v>6</v>
      </c>
      <c r="U200" s="32">
        <f t="shared" si="33"/>
        <v>2</v>
      </c>
      <c r="V200">
        <v>8</v>
      </c>
      <c r="W200">
        <v>7</v>
      </c>
      <c r="X200" s="32">
        <f t="shared" si="34"/>
        <v>1</v>
      </c>
      <c r="Y200">
        <v>9</v>
      </c>
      <c r="Z200">
        <v>7</v>
      </c>
      <c r="AA200" s="32">
        <f t="shared" si="35"/>
        <v>2</v>
      </c>
    </row>
    <row r="201" spans="1:27" x14ac:dyDescent="0.45">
      <c r="A201">
        <v>7</v>
      </c>
      <c r="B201" s="36">
        <f>step3_combined_data!S290</f>
        <v>7</v>
      </c>
      <c r="C201" s="32">
        <f t="shared" si="27"/>
        <v>0</v>
      </c>
      <c r="D201">
        <v>7</v>
      </c>
      <c r="E201" s="36">
        <f>step3_combined_data!X359</f>
        <v>7</v>
      </c>
      <c r="F201" s="32">
        <f t="shared" si="28"/>
        <v>0</v>
      </c>
      <c r="G201">
        <v>8</v>
      </c>
      <c r="H201">
        <v>6</v>
      </c>
      <c r="I201" s="32">
        <f t="shared" si="29"/>
        <v>2</v>
      </c>
      <c r="J201">
        <v>9</v>
      </c>
      <c r="K201">
        <v>7</v>
      </c>
      <c r="L201" s="32">
        <f t="shared" si="30"/>
        <v>2</v>
      </c>
      <c r="M201">
        <v>8</v>
      </c>
      <c r="N201">
        <v>7</v>
      </c>
      <c r="O201" s="32">
        <f t="shared" si="31"/>
        <v>1</v>
      </c>
      <c r="P201">
        <v>9</v>
      </c>
      <c r="Q201">
        <v>7</v>
      </c>
      <c r="R201" s="32">
        <f t="shared" si="32"/>
        <v>2</v>
      </c>
      <c r="S201">
        <v>8</v>
      </c>
      <c r="T201">
        <v>6</v>
      </c>
      <c r="U201" s="32">
        <f t="shared" si="33"/>
        <v>2</v>
      </c>
      <c r="V201">
        <v>8</v>
      </c>
      <c r="W201">
        <v>7</v>
      </c>
      <c r="X201" s="32">
        <f t="shared" si="34"/>
        <v>1</v>
      </c>
      <c r="Y201">
        <v>9</v>
      </c>
      <c r="Z201">
        <v>7</v>
      </c>
      <c r="AA201" s="32">
        <f t="shared" si="35"/>
        <v>2</v>
      </c>
    </row>
    <row r="202" spans="1:27" x14ac:dyDescent="0.45">
      <c r="A202">
        <v>7</v>
      </c>
      <c r="B202" s="36">
        <f>step3_combined_data!S297</f>
        <v>7</v>
      </c>
      <c r="C202" s="32">
        <f t="shared" si="27"/>
        <v>0</v>
      </c>
      <c r="D202">
        <v>7</v>
      </c>
      <c r="E202" s="36">
        <f>step3_combined_data!X362</f>
        <v>7</v>
      </c>
      <c r="F202" s="32">
        <f t="shared" si="28"/>
        <v>0</v>
      </c>
      <c r="G202">
        <v>9</v>
      </c>
      <c r="H202">
        <v>6</v>
      </c>
      <c r="I202" s="32">
        <f t="shared" si="29"/>
        <v>3</v>
      </c>
      <c r="J202">
        <v>9</v>
      </c>
      <c r="K202">
        <v>7</v>
      </c>
      <c r="L202" s="32">
        <f t="shared" si="30"/>
        <v>2</v>
      </c>
      <c r="M202">
        <v>8</v>
      </c>
      <c r="N202">
        <v>7</v>
      </c>
      <c r="O202" s="32">
        <f t="shared" si="31"/>
        <v>1</v>
      </c>
      <c r="P202">
        <v>9</v>
      </c>
      <c r="Q202">
        <v>7</v>
      </c>
      <c r="R202" s="32">
        <f t="shared" si="32"/>
        <v>2</v>
      </c>
      <c r="S202">
        <v>8</v>
      </c>
      <c r="T202">
        <v>6</v>
      </c>
      <c r="U202" s="32">
        <f t="shared" si="33"/>
        <v>2</v>
      </c>
      <c r="V202">
        <v>8</v>
      </c>
      <c r="W202">
        <v>7</v>
      </c>
      <c r="X202" s="32">
        <f t="shared" si="34"/>
        <v>1</v>
      </c>
      <c r="Y202">
        <v>9</v>
      </c>
      <c r="Z202">
        <v>7</v>
      </c>
      <c r="AA202" s="32">
        <f t="shared" si="35"/>
        <v>2</v>
      </c>
    </row>
    <row r="203" spans="1:27" x14ac:dyDescent="0.45">
      <c r="A203">
        <v>7</v>
      </c>
      <c r="B203" s="36">
        <f>step3_combined_data!S303</f>
        <v>7</v>
      </c>
      <c r="C203" s="32">
        <f t="shared" si="27"/>
        <v>0</v>
      </c>
      <c r="D203">
        <v>7</v>
      </c>
      <c r="E203" s="36">
        <f>step3_combined_data!X369</f>
        <v>7</v>
      </c>
      <c r="F203" s="32">
        <f t="shared" si="28"/>
        <v>0</v>
      </c>
      <c r="G203">
        <v>9</v>
      </c>
      <c r="H203">
        <v>6</v>
      </c>
      <c r="I203" s="32">
        <f t="shared" si="29"/>
        <v>3</v>
      </c>
      <c r="J203">
        <v>9</v>
      </c>
      <c r="K203">
        <v>7</v>
      </c>
      <c r="L203" s="32">
        <f t="shared" si="30"/>
        <v>2</v>
      </c>
      <c r="M203">
        <v>8</v>
      </c>
      <c r="N203">
        <v>7</v>
      </c>
      <c r="O203" s="32">
        <f t="shared" si="31"/>
        <v>1</v>
      </c>
      <c r="P203">
        <v>9</v>
      </c>
      <c r="Q203">
        <v>7</v>
      </c>
      <c r="R203" s="32">
        <f t="shared" si="32"/>
        <v>2</v>
      </c>
      <c r="S203">
        <v>8</v>
      </c>
      <c r="T203">
        <v>6</v>
      </c>
      <c r="U203" s="32">
        <f t="shared" si="33"/>
        <v>2</v>
      </c>
      <c r="V203">
        <v>8</v>
      </c>
      <c r="W203">
        <v>7</v>
      </c>
      <c r="X203" s="32">
        <f t="shared" si="34"/>
        <v>1</v>
      </c>
      <c r="Y203">
        <v>9</v>
      </c>
      <c r="Z203">
        <v>7</v>
      </c>
      <c r="AA203" s="32">
        <f t="shared" si="35"/>
        <v>2</v>
      </c>
    </row>
    <row r="204" spans="1:27" x14ac:dyDescent="0.45">
      <c r="A204">
        <v>7</v>
      </c>
      <c r="B204" s="36">
        <f>step3_combined_data!S306</f>
        <v>7</v>
      </c>
      <c r="C204" s="32">
        <f t="shared" si="27"/>
        <v>0</v>
      </c>
      <c r="D204">
        <v>7</v>
      </c>
      <c r="E204" s="36">
        <f>step3_combined_data!X371</f>
        <v>7</v>
      </c>
      <c r="F204" s="32">
        <f t="shared" si="28"/>
        <v>0</v>
      </c>
      <c r="G204">
        <v>9</v>
      </c>
      <c r="H204">
        <v>6</v>
      </c>
      <c r="I204" s="32">
        <f t="shared" si="29"/>
        <v>3</v>
      </c>
      <c r="J204">
        <v>9</v>
      </c>
      <c r="K204">
        <v>7</v>
      </c>
      <c r="L204" s="32">
        <f t="shared" si="30"/>
        <v>2</v>
      </c>
      <c r="M204">
        <v>8</v>
      </c>
      <c r="N204">
        <v>7</v>
      </c>
      <c r="O204" s="32">
        <f t="shared" si="31"/>
        <v>1</v>
      </c>
      <c r="P204">
        <v>9</v>
      </c>
      <c r="Q204">
        <v>7</v>
      </c>
      <c r="R204" s="32">
        <f t="shared" si="32"/>
        <v>2</v>
      </c>
      <c r="S204">
        <v>8</v>
      </c>
      <c r="T204">
        <v>6</v>
      </c>
      <c r="U204" s="32">
        <f t="shared" si="33"/>
        <v>2</v>
      </c>
      <c r="V204">
        <v>8</v>
      </c>
      <c r="W204">
        <v>7</v>
      </c>
      <c r="X204" s="32">
        <f t="shared" si="34"/>
        <v>1</v>
      </c>
      <c r="Y204">
        <v>9</v>
      </c>
      <c r="Z204">
        <v>7</v>
      </c>
      <c r="AA204" s="32">
        <f t="shared" si="35"/>
        <v>2</v>
      </c>
    </row>
    <row r="205" spans="1:27" x14ac:dyDescent="0.45">
      <c r="A205">
        <v>7</v>
      </c>
      <c r="B205" s="36">
        <f>step3_combined_data!S311</f>
        <v>7</v>
      </c>
      <c r="C205" s="32">
        <f t="shared" si="27"/>
        <v>0</v>
      </c>
      <c r="D205">
        <v>7</v>
      </c>
      <c r="E205" s="36">
        <f>step3_combined_data!X379</f>
        <v>7</v>
      </c>
      <c r="F205" s="32">
        <f t="shared" si="28"/>
        <v>0</v>
      </c>
      <c r="G205">
        <v>9</v>
      </c>
      <c r="H205">
        <v>6</v>
      </c>
      <c r="I205" s="32">
        <f t="shared" si="29"/>
        <v>3</v>
      </c>
      <c r="J205">
        <v>9</v>
      </c>
      <c r="K205">
        <v>7</v>
      </c>
      <c r="L205" s="32">
        <f t="shared" si="30"/>
        <v>2</v>
      </c>
      <c r="M205">
        <v>8</v>
      </c>
      <c r="N205">
        <v>7</v>
      </c>
      <c r="O205" s="32">
        <f t="shared" si="31"/>
        <v>1</v>
      </c>
      <c r="P205">
        <v>9</v>
      </c>
      <c r="Q205">
        <v>7</v>
      </c>
      <c r="R205" s="32">
        <f t="shared" si="32"/>
        <v>2</v>
      </c>
      <c r="S205">
        <v>8</v>
      </c>
      <c r="T205">
        <v>6</v>
      </c>
      <c r="U205" s="32">
        <f t="shared" si="33"/>
        <v>2</v>
      </c>
      <c r="V205">
        <v>8</v>
      </c>
      <c r="W205">
        <v>7</v>
      </c>
      <c r="X205" s="32">
        <f t="shared" si="34"/>
        <v>1</v>
      </c>
      <c r="Y205">
        <v>9</v>
      </c>
      <c r="Z205">
        <v>7</v>
      </c>
      <c r="AA205" s="32">
        <f t="shared" si="35"/>
        <v>2</v>
      </c>
    </row>
    <row r="206" spans="1:27" x14ac:dyDescent="0.45">
      <c r="A206">
        <v>7</v>
      </c>
      <c r="B206" s="36">
        <f>step3_combined_data!S315</f>
        <v>7</v>
      </c>
      <c r="C206" s="32">
        <f t="shared" si="27"/>
        <v>0</v>
      </c>
      <c r="D206">
        <v>7</v>
      </c>
      <c r="E206" s="36">
        <f>step3_combined_data!X385</f>
        <v>7</v>
      </c>
      <c r="F206" s="32">
        <f t="shared" si="28"/>
        <v>0</v>
      </c>
      <c r="G206">
        <v>9</v>
      </c>
      <c r="H206">
        <v>6</v>
      </c>
      <c r="I206" s="32">
        <f t="shared" si="29"/>
        <v>3</v>
      </c>
      <c r="J206">
        <v>9</v>
      </c>
      <c r="K206">
        <v>7</v>
      </c>
      <c r="L206" s="32">
        <f t="shared" si="30"/>
        <v>2</v>
      </c>
      <c r="M206">
        <v>8</v>
      </c>
      <c r="N206">
        <v>7</v>
      </c>
      <c r="O206" s="32">
        <f t="shared" si="31"/>
        <v>1</v>
      </c>
      <c r="P206">
        <v>9</v>
      </c>
      <c r="Q206">
        <v>7</v>
      </c>
      <c r="R206" s="32">
        <f t="shared" si="32"/>
        <v>2</v>
      </c>
      <c r="S206">
        <v>8</v>
      </c>
      <c r="T206">
        <v>6</v>
      </c>
      <c r="U206" s="32">
        <f t="shared" si="33"/>
        <v>2</v>
      </c>
      <c r="V206">
        <v>8</v>
      </c>
      <c r="W206">
        <v>7</v>
      </c>
      <c r="X206" s="32">
        <f t="shared" si="34"/>
        <v>1</v>
      </c>
      <c r="Y206">
        <v>9</v>
      </c>
      <c r="Z206">
        <v>7</v>
      </c>
      <c r="AA206" s="32">
        <f t="shared" si="35"/>
        <v>2</v>
      </c>
    </row>
    <row r="207" spans="1:27" x14ac:dyDescent="0.45">
      <c r="A207">
        <v>7</v>
      </c>
      <c r="B207" s="36">
        <f>step3_combined_data!S318</f>
        <v>7</v>
      </c>
      <c r="C207" s="32">
        <f t="shared" si="27"/>
        <v>0</v>
      </c>
      <c r="D207">
        <v>7</v>
      </c>
      <c r="E207" s="36">
        <f>step3_combined_data!X389</f>
        <v>7</v>
      </c>
      <c r="F207" s="32">
        <f t="shared" si="28"/>
        <v>0</v>
      </c>
      <c r="G207">
        <v>9</v>
      </c>
      <c r="H207">
        <v>6</v>
      </c>
      <c r="I207" s="32">
        <f t="shared" si="29"/>
        <v>3</v>
      </c>
      <c r="J207">
        <v>9</v>
      </c>
      <c r="K207">
        <v>7</v>
      </c>
      <c r="L207" s="32">
        <f t="shared" si="30"/>
        <v>2</v>
      </c>
      <c r="M207">
        <v>8</v>
      </c>
      <c r="N207">
        <v>7</v>
      </c>
      <c r="O207" s="32">
        <f t="shared" si="31"/>
        <v>1</v>
      </c>
      <c r="P207">
        <v>9</v>
      </c>
      <c r="Q207">
        <v>7</v>
      </c>
      <c r="R207" s="32">
        <f t="shared" si="32"/>
        <v>2</v>
      </c>
      <c r="S207">
        <v>8</v>
      </c>
      <c r="T207">
        <v>6</v>
      </c>
      <c r="U207" s="32">
        <f t="shared" si="33"/>
        <v>2</v>
      </c>
      <c r="V207">
        <v>8</v>
      </c>
      <c r="W207">
        <v>7</v>
      </c>
      <c r="X207" s="32">
        <f t="shared" si="34"/>
        <v>1</v>
      </c>
      <c r="Y207">
        <v>9</v>
      </c>
      <c r="Z207">
        <v>7</v>
      </c>
      <c r="AA207" s="32">
        <f t="shared" si="35"/>
        <v>2</v>
      </c>
    </row>
    <row r="208" spans="1:27" x14ac:dyDescent="0.45">
      <c r="A208">
        <v>7</v>
      </c>
      <c r="B208" s="36">
        <f>step3_combined_data!S324</f>
        <v>7</v>
      </c>
      <c r="C208" s="32">
        <f t="shared" si="27"/>
        <v>0</v>
      </c>
      <c r="D208">
        <v>7</v>
      </c>
      <c r="E208" s="36">
        <f>step3_combined_data!X394</f>
        <v>7</v>
      </c>
      <c r="F208" s="32">
        <f t="shared" si="28"/>
        <v>0</v>
      </c>
      <c r="G208">
        <v>9</v>
      </c>
      <c r="H208">
        <v>6</v>
      </c>
      <c r="I208" s="32">
        <f t="shared" si="29"/>
        <v>3</v>
      </c>
      <c r="J208">
        <v>9</v>
      </c>
      <c r="K208">
        <v>8</v>
      </c>
      <c r="L208" s="32">
        <f t="shared" si="30"/>
        <v>1</v>
      </c>
      <c r="M208">
        <v>8</v>
      </c>
      <c r="N208">
        <v>7</v>
      </c>
      <c r="O208" s="32">
        <f t="shared" si="31"/>
        <v>1</v>
      </c>
      <c r="P208">
        <v>9</v>
      </c>
      <c r="Q208">
        <v>7</v>
      </c>
      <c r="R208" s="32">
        <f t="shared" si="32"/>
        <v>2</v>
      </c>
      <c r="S208">
        <v>8</v>
      </c>
      <c r="T208">
        <v>6</v>
      </c>
      <c r="U208" s="32">
        <f t="shared" si="33"/>
        <v>2</v>
      </c>
      <c r="V208">
        <v>8</v>
      </c>
      <c r="W208">
        <v>7</v>
      </c>
      <c r="X208" s="32">
        <f t="shared" si="34"/>
        <v>1</v>
      </c>
      <c r="Y208">
        <v>9</v>
      </c>
      <c r="Z208">
        <v>7</v>
      </c>
      <c r="AA208" s="32">
        <f t="shared" si="35"/>
        <v>2</v>
      </c>
    </row>
    <row r="209" spans="1:27" x14ac:dyDescent="0.45">
      <c r="A209">
        <v>7</v>
      </c>
      <c r="B209" s="36">
        <f>step3_combined_data!S325</f>
        <v>7</v>
      </c>
      <c r="C209" s="32">
        <f t="shared" si="27"/>
        <v>0</v>
      </c>
      <c r="D209">
        <v>7</v>
      </c>
      <c r="E209" s="36">
        <f>step3_combined_data!X396</f>
        <v>7</v>
      </c>
      <c r="F209" s="32">
        <f t="shared" si="28"/>
        <v>0</v>
      </c>
      <c r="G209">
        <v>9</v>
      </c>
      <c r="H209">
        <v>7</v>
      </c>
      <c r="I209" s="32">
        <f t="shared" si="29"/>
        <v>2</v>
      </c>
      <c r="J209">
        <v>9</v>
      </c>
      <c r="K209">
        <v>8</v>
      </c>
      <c r="L209" s="32">
        <f t="shared" si="30"/>
        <v>1</v>
      </c>
      <c r="M209">
        <v>8</v>
      </c>
      <c r="N209">
        <v>7</v>
      </c>
      <c r="O209" s="32">
        <f t="shared" si="31"/>
        <v>1</v>
      </c>
      <c r="P209">
        <v>9</v>
      </c>
      <c r="Q209">
        <v>7</v>
      </c>
      <c r="R209" s="32">
        <f t="shared" si="32"/>
        <v>2</v>
      </c>
      <c r="S209">
        <v>8</v>
      </c>
      <c r="T209">
        <v>6</v>
      </c>
      <c r="U209" s="32">
        <f t="shared" si="33"/>
        <v>2</v>
      </c>
      <c r="V209">
        <v>8</v>
      </c>
      <c r="W209">
        <v>7</v>
      </c>
      <c r="X209" s="32">
        <f t="shared" si="34"/>
        <v>1</v>
      </c>
      <c r="Y209">
        <v>9</v>
      </c>
      <c r="Z209">
        <v>7</v>
      </c>
      <c r="AA209" s="32">
        <f t="shared" si="35"/>
        <v>2</v>
      </c>
    </row>
    <row r="210" spans="1:27" x14ac:dyDescent="0.45">
      <c r="A210">
        <v>7</v>
      </c>
      <c r="B210" s="36">
        <f>step3_combined_data!S328</f>
        <v>7</v>
      </c>
      <c r="C210" s="32">
        <f t="shared" si="27"/>
        <v>0</v>
      </c>
      <c r="D210">
        <v>7</v>
      </c>
      <c r="E210" s="36">
        <f>step3_combined_data!X400</f>
        <v>7</v>
      </c>
      <c r="F210" s="32">
        <f t="shared" si="28"/>
        <v>0</v>
      </c>
      <c r="G210">
        <v>9</v>
      </c>
      <c r="H210">
        <v>7</v>
      </c>
      <c r="I210" s="32">
        <f t="shared" si="29"/>
        <v>2</v>
      </c>
      <c r="J210">
        <v>9</v>
      </c>
      <c r="K210">
        <v>8</v>
      </c>
      <c r="L210" s="32">
        <f t="shared" si="30"/>
        <v>1</v>
      </c>
      <c r="M210">
        <v>8</v>
      </c>
      <c r="N210">
        <v>7</v>
      </c>
      <c r="O210" s="32">
        <f t="shared" si="31"/>
        <v>1</v>
      </c>
      <c r="P210">
        <v>9</v>
      </c>
      <c r="Q210">
        <v>7</v>
      </c>
      <c r="R210" s="32">
        <f t="shared" si="32"/>
        <v>2</v>
      </c>
      <c r="S210">
        <v>8</v>
      </c>
      <c r="T210">
        <v>6</v>
      </c>
      <c r="U210" s="32">
        <f t="shared" si="33"/>
        <v>2</v>
      </c>
      <c r="V210">
        <v>8</v>
      </c>
      <c r="W210">
        <v>7</v>
      </c>
      <c r="X210" s="32">
        <f t="shared" si="34"/>
        <v>1</v>
      </c>
      <c r="Y210">
        <v>9</v>
      </c>
      <c r="Z210">
        <v>7</v>
      </c>
      <c r="AA210" s="32">
        <f t="shared" si="35"/>
        <v>2</v>
      </c>
    </row>
    <row r="211" spans="1:27" x14ac:dyDescent="0.45">
      <c r="A211">
        <v>7</v>
      </c>
      <c r="B211" s="36">
        <f>step3_combined_data!S329</f>
        <v>7</v>
      </c>
      <c r="C211" s="32">
        <f t="shared" si="27"/>
        <v>0</v>
      </c>
      <c r="D211">
        <v>7</v>
      </c>
      <c r="E211" s="36">
        <f>step3_combined_data!X403</f>
        <v>7</v>
      </c>
      <c r="F211" s="32">
        <f t="shared" si="28"/>
        <v>0</v>
      </c>
      <c r="G211">
        <v>9</v>
      </c>
      <c r="H211">
        <v>7</v>
      </c>
      <c r="I211" s="32">
        <f t="shared" si="29"/>
        <v>2</v>
      </c>
      <c r="J211">
        <v>9</v>
      </c>
      <c r="K211">
        <v>8</v>
      </c>
      <c r="L211" s="32">
        <f t="shared" si="30"/>
        <v>1</v>
      </c>
      <c r="M211">
        <v>8</v>
      </c>
      <c r="N211">
        <v>7</v>
      </c>
      <c r="O211" s="32">
        <f t="shared" si="31"/>
        <v>1</v>
      </c>
      <c r="P211">
        <v>9</v>
      </c>
      <c r="Q211">
        <v>7</v>
      </c>
      <c r="R211" s="32">
        <f t="shared" si="32"/>
        <v>2</v>
      </c>
      <c r="S211">
        <v>8</v>
      </c>
      <c r="T211">
        <v>6</v>
      </c>
      <c r="U211" s="32">
        <f t="shared" si="33"/>
        <v>2</v>
      </c>
      <c r="V211">
        <v>8</v>
      </c>
      <c r="W211">
        <v>7</v>
      </c>
      <c r="X211" s="32">
        <f t="shared" si="34"/>
        <v>1</v>
      </c>
      <c r="Y211">
        <v>9</v>
      </c>
      <c r="Z211">
        <v>7</v>
      </c>
      <c r="AA211" s="32">
        <f t="shared" si="35"/>
        <v>2</v>
      </c>
    </row>
    <row r="212" spans="1:27" x14ac:dyDescent="0.45">
      <c r="A212">
        <v>7</v>
      </c>
      <c r="B212" s="36">
        <f>step3_combined_data!S330</f>
        <v>7</v>
      </c>
      <c r="C212" s="32">
        <f t="shared" si="27"/>
        <v>0</v>
      </c>
      <c r="D212">
        <v>7</v>
      </c>
      <c r="E212" s="36">
        <f>step3_combined_data!X404</f>
        <v>7</v>
      </c>
      <c r="F212" s="32">
        <f t="shared" si="28"/>
        <v>0</v>
      </c>
      <c r="G212">
        <v>9</v>
      </c>
      <c r="H212">
        <v>7</v>
      </c>
      <c r="I212" s="32">
        <f t="shared" si="29"/>
        <v>2</v>
      </c>
      <c r="J212">
        <v>9</v>
      </c>
      <c r="K212">
        <v>8</v>
      </c>
      <c r="L212" s="32">
        <f t="shared" si="30"/>
        <v>1</v>
      </c>
      <c r="M212">
        <v>8</v>
      </c>
      <c r="N212">
        <v>7</v>
      </c>
      <c r="O212" s="32">
        <f t="shared" si="31"/>
        <v>1</v>
      </c>
      <c r="P212">
        <v>9</v>
      </c>
      <c r="Q212">
        <v>7</v>
      </c>
      <c r="R212" s="32">
        <f t="shared" si="32"/>
        <v>2</v>
      </c>
      <c r="S212">
        <v>8</v>
      </c>
      <c r="T212">
        <v>6</v>
      </c>
      <c r="U212" s="32">
        <f t="shared" si="33"/>
        <v>2</v>
      </c>
      <c r="V212">
        <v>8</v>
      </c>
      <c r="W212">
        <v>7</v>
      </c>
      <c r="X212" s="32">
        <f t="shared" si="34"/>
        <v>1</v>
      </c>
      <c r="Y212">
        <v>9</v>
      </c>
      <c r="Z212">
        <v>7</v>
      </c>
      <c r="AA212" s="32">
        <f t="shared" si="35"/>
        <v>2</v>
      </c>
    </row>
    <row r="213" spans="1:27" x14ac:dyDescent="0.45">
      <c r="A213">
        <v>7</v>
      </c>
      <c r="B213" s="36">
        <f>step3_combined_data!S333</f>
        <v>7</v>
      </c>
      <c r="C213" s="32">
        <f t="shared" si="27"/>
        <v>0</v>
      </c>
      <c r="D213">
        <v>7</v>
      </c>
      <c r="E213" s="36">
        <f>step3_combined_data!X2</f>
        <v>8</v>
      </c>
      <c r="F213" s="32">
        <f t="shared" si="28"/>
        <v>1</v>
      </c>
      <c r="G213">
        <v>9</v>
      </c>
      <c r="H213">
        <v>7</v>
      </c>
      <c r="I213" s="32">
        <f t="shared" si="29"/>
        <v>2</v>
      </c>
      <c r="J213">
        <v>9</v>
      </c>
      <c r="K213">
        <v>8</v>
      </c>
      <c r="L213" s="32">
        <f t="shared" si="30"/>
        <v>1</v>
      </c>
      <c r="M213">
        <v>8</v>
      </c>
      <c r="N213">
        <v>7</v>
      </c>
      <c r="O213" s="32">
        <f t="shared" si="31"/>
        <v>1</v>
      </c>
      <c r="P213">
        <v>9</v>
      </c>
      <c r="Q213">
        <v>7</v>
      </c>
      <c r="R213" s="32">
        <f t="shared" si="32"/>
        <v>2</v>
      </c>
      <c r="S213">
        <v>8</v>
      </c>
      <c r="T213">
        <v>6</v>
      </c>
      <c r="U213" s="32">
        <f t="shared" si="33"/>
        <v>2</v>
      </c>
      <c r="V213">
        <v>8</v>
      </c>
      <c r="W213">
        <v>7</v>
      </c>
      <c r="X213" s="32">
        <f t="shared" si="34"/>
        <v>1</v>
      </c>
      <c r="Y213">
        <v>9</v>
      </c>
      <c r="Z213">
        <v>7</v>
      </c>
      <c r="AA213" s="32">
        <f t="shared" si="35"/>
        <v>2</v>
      </c>
    </row>
    <row r="214" spans="1:27" x14ac:dyDescent="0.45">
      <c r="A214">
        <v>7</v>
      </c>
      <c r="B214" s="36">
        <f>step3_combined_data!S336</f>
        <v>7</v>
      </c>
      <c r="C214" s="32">
        <f t="shared" si="27"/>
        <v>0</v>
      </c>
      <c r="D214">
        <v>7</v>
      </c>
      <c r="E214" s="36">
        <f>step3_combined_data!X3</f>
        <v>8</v>
      </c>
      <c r="F214" s="32">
        <f t="shared" si="28"/>
        <v>1</v>
      </c>
      <c r="G214">
        <v>9</v>
      </c>
      <c r="H214">
        <v>7</v>
      </c>
      <c r="I214" s="32">
        <f t="shared" si="29"/>
        <v>2</v>
      </c>
      <c r="J214">
        <v>9</v>
      </c>
      <c r="K214">
        <v>8</v>
      </c>
      <c r="L214" s="32">
        <f t="shared" si="30"/>
        <v>1</v>
      </c>
      <c r="M214">
        <v>8</v>
      </c>
      <c r="N214">
        <v>7</v>
      </c>
      <c r="O214" s="32">
        <f t="shared" si="31"/>
        <v>1</v>
      </c>
      <c r="P214">
        <v>9</v>
      </c>
      <c r="Q214">
        <v>7</v>
      </c>
      <c r="R214" s="32">
        <f t="shared" si="32"/>
        <v>2</v>
      </c>
      <c r="S214">
        <v>8</v>
      </c>
      <c r="T214">
        <v>6</v>
      </c>
      <c r="U214" s="32">
        <f t="shared" si="33"/>
        <v>2</v>
      </c>
      <c r="V214">
        <v>8</v>
      </c>
      <c r="W214">
        <v>7</v>
      </c>
      <c r="X214" s="32">
        <f t="shared" si="34"/>
        <v>1</v>
      </c>
      <c r="Y214">
        <v>9</v>
      </c>
      <c r="Z214">
        <v>7</v>
      </c>
      <c r="AA214" s="32">
        <f t="shared" si="35"/>
        <v>2</v>
      </c>
    </row>
    <row r="215" spans="1:27" x14ac:dyDescent="0.45">
      <c r="A215">
        <v>7</v>
      </c>
      <c r="B215" s="36">
        <f>step3_combined_data!S338</f>
        <v>7</v>
      </c>
      <c r="C215" s="32">
        <f t="shared" si="27"/>
        <v>0</v>
      </c>
      <c r="D215">
        <v>8</v>
      </c>
      <c r="E215" s="36">
        <f>step3_combined_data!X7</f>
        <v>8</v>
      </c>
      <c r="F215" s="32">
        <f t="shared" si="28"/>
        <v>0</v>
      </c>
      <c r="G215">
        <v>9</v>
      </c>
      <c r="H215">
        <v>7</v>
      </c>
      <c r="I215" s="32">
        <f t="shared" si="29"/>
        <v>2</v>
      </c>
      <c r="J215">
        <v>9</v>
      </c>
      <c r="K215">
        <v>8</v>
      </c>
      <c r="L215" s="32">
        <f t="shared" si="30"/>
        <v>1</v>
      </c>
      <c r="M215">
        <v>8</v>
      </c>
      <c r="N215">
        <v>7</v>
      </c>
      <c r="O215" s="32">
        <f t="shared" si="31"/>
        <v>1</v>
      </c>
      <c r="P215">
        <v>9</v>
      </c>
      <c r="Q215">
        <v>7</v>
      </c>
      <c r="R215" s="32">
        <f t="shared" si="32"/>
        <v>2</v>
      </c>
      <c r="S215">
        <v>8</v>
      </c>
      <c r="T215">
        <v>6</v>
      </c>
      <c r="U215" s="32">
        <f t="shared" si="33"/>
        <v>2</v>
      </c>
      <c r="V215">
        <v>8</v>
      </c>
      <c r="W215">
        <v>7</v>
      </c>
      <c r="X215" s="32">
        <f t="shared" si="34"/>
        <v>1</v>
      </c>
      <c r="Y215">
        <v>9</v>
      </c>
      <c r="Z215">
        <v>7</v>
      </c>
      <c r="AA215" s="32">
        <f t="shared" si="35"/>
        <v>2</v>
      </c>
    </row>
    <row r="216" spans="1:27" x14ac:dyDescent="0.45">
      <c r="A216">
        <v>7</v>
      </c>
      <c r="B216" s="36">
        <f>step3_combined_data!S340</f>
        <v>7</v>
      </c>
      <c r="C216" s="32">
        <f t="shared" si="27"/>
        <v>0</v>
      </c>
      <c r="D216">
        <v>8</v>
      </c>
      <c r="E216" s="36">
        <f>step3_combined_data!X13</f>
        <v>8</v>
      </c>
      <c r="F216" s="32">
        <f t="shared" si="28"/>
        <v>0</v>
      </c>
      <c r="G216">
        <v>9</v>
      </c>
      <c r="H216">
        <v>7</v>
      </c>
      <c r="I216" s="32">
        <f t="shared" si="29"/>
        <v>2</v>
      </c>
      <c r="J216">
        <v>9</v>
      </c>
      <c r="K216">
        <v>8</v>
      </c>
      <c r="L216" s="32">
        <f t="shared" si="30"/>
        <v>1</v>
      </c>
      <c r="M216">
        <v>8</v>
      </c>
      <c r="N216">
        <v>7</v>
      </c>
      <c r="O216" s="32">
        <f t="shared" si="31"/>
        <v>1</v>
      </c>
      <c r="P216">
        <v>9</v>
      </c>
      <c r="Q216">
        <v>7</v>
      </c>
      <c r="R216" s="32">
        <f t="shared" si="32"/>
        <v>2</v>
      </c>
      <c r="S216">
        <v>8</v>
      </c>
      <c r="T216">
        <v>6</v>
      </c>
      <c r="U216" s="32">
        <f t="shared" si="33"/>
        <v>2</v>
      </c>
      <c r="V216">
        <v>8</v>
      </c>
      <c r="W216">
        <v>7</v>
      </c>
      <c r="X216" s="32">
        <f t="shared" si="34"/>
        <v>1</v>
      </c>
      <c r="Y216">
        <v>9</v>
      </c>
      <c r="Z216">
        <v>7</v>
      </c>
      <c r="AA216" s="32">
        <f t="shared" si="35"/>
        <v>2</v>
      </c>
    </row>
    <row r="217" spans="1:27" x14ac:dyDescent="0.45">
      <c r="A217">
        <v>7</v>
      </c>
      <c r="B217" s="36">
        <f>step3_combined_data!S341</f>
        <v>7</v>
      </c>
      <c r="C217" s="32">
        <f t="shared" si="27"/>
        <v>0</v>
      </c>
      <c r="D217">
        <v>8</v>
      </c>
      <c r="E217" s="36">
        <f>step3_combined_data!X17</f>
        <v>8</v>
      </c>
      <c r="F217" s="32">
        <f t="shared" si="28"/>
        <v>0</v>
      </c>
      <c r="G217">
        <v>9</v>
      </c>
      <c r="H217">
        <v>7</v>
      </c>
      <c r="I217" s="32">
        <f t="shared" si="29"/>
        <v>2</v>
      </c>
      <c r="J217">
        <v>9</v>
      </c>
      <c r="K217">
        <v>8</v>
      </c>
      <c r="L217" s="32">
        <f t="shared" si="30"/>
        <v>1</v>
      </c>
      <c r="M217">
        <v>8</v>
      </c>
      <c r="N217">
        <v>7</v>
      </c>
      <c r="O217" s="32">
        <f t="shared" si="31"/>
        <v>1</v>
      </c>
      <c r="P217">
        <v>9</v>
      </c>
      <c r="Q217">
        <v>7</v>
      </c>
      <c r="R217" s="32">
        <f t="shared" si="32"/>
        <v>2</v>
      </c>
      <c r="S217">
        <v>8</v>
      </c>
      <c r="T217">
        <v>6</v>
      </c>
      <c r="U217" s="32">
        <f t="shared" si="33"/>
        <v>2</v>
      </c>
      <c r="V217">
        <v>8</v>
      </c>
      <c r="W217">
        <v>7</v>
      </c>
      <c r="X217" s="32">
        <f t="shared" si="34"/>
        <v>1</v>
      </c>
      <c r="Y217">
        <v>9</v>
      </c>
      <c r="Z217">
        <v>7</v>
      </c>
      <c r="AA217" s="32">
        <f t="shared" si="35"/>
        <v>2</v>
      </c>
    </row>
    <row r="218" spans="1:27" x14ac:dyDescent="0.45">
      <c r="A218">
        <v>7</v>
      </c>
      <c r="B218" s="36">
        <f>step3_combined_data!S344</f>
        <v>7</v>
      </c>
      <c r="C218" s="32">
        <f t="shared" si="27"/>
        <v>0</v>
      </c>
      <c r="D218">
        <v>8</v>
      </c>
      <c r="E218" s="36">
        <f>step3_combined_data!X19</f>
        <v>8</v>
      </c>
      <c r="F218" s="32">
        <f t="shared" si="28"/>
        <v>0</v>
      </c>
      <c r="G218">
        <v>9</v>
      </c>
      <c r="H218">
        <v>7</v>
      </c>
      <c r="I218" s="32">
        <f t="shared" si="29"/>
        <v>2</v>
      </c>
      <c r="J218">
        <v>9</v>
      </c>
      <c r="K218">
        <v>8</v>
      </c>
      <c r="L218" s="32">
        <f t="shared" si="30"/>
        <v>1</v>
      </c>
      <c r="M218">
        <v>8</v>
      </c>
      <c r="N218">
        <v>7</v>
      </c>
      <c r="O218" s="32">
        <f t="shared" si="31"/>
        <v>1</v>
      </c>
      <c r="P218">
        <v>9</v>
      </c>
      <c r="Q218">
        <v>7</v>
      </c>
      <c r="R218" s="32">
        <f t="shared" si="32"/>
        <v>2</v>
      </c>
      <c r="S218">
        <v>8</v>
      </c>
      <c r="T218">
        <v>6</v>
      </c>
      <c r="U218" s="32">
        <f t="shared" si="33"/>
        <v>2</v>
      </c>
      <c r="V218">
        <v>8</v>
      </c>
      <c r="W218">
        <v>7</v>
      </c>
      <c r="X218" s="32">
        <f t="shared" si="34"/>
        <v>1</v>
      </c>
      <c r="Y218">
        <v>9</v>
      </c>
      <c r="Z218">
        <v>7</v>
      </c>
      <c r="AA218" s="32">
        <f t="shared" si="35"/>
        <v>2</v>
      </c>
    </row>
    <row r="219" spans="1:27" x14ac:dyDescent="0.45">
      <c r="A219">
        <v>7</v>
      </c>
      <c r="B219" s="36">
        <f>step3_combined_data!S345</f>
        <v>7</v>
      </c>
      <c r="C219" s="32">
        <f t="shared" si="27"/>
        <v>0</v>
      </c>
      <c r="D219">
        <v>8</v>
      </c>
      <c r="E219" s="36">
        <f>step3_combined_data!X23</f>
        <v>8</v>
      </c>
      <c r="F219" s="32">
        <f t="shared" si="28"/>
        <v>0</v>
      </c>
      <c r="G219">
        <v>9</v>
      </c>
      <c r="H219">
        <v>7</v>
      </c>
      <c r="I219" s="32">
        <f t="shared" si="29"/>
        <v>2</v>
      </c>
      <c r="J219">
        <v>9</v>
      </c>
      <c r="K219">
        <v>8</v>
      </c>
      <c r="L219" s="32">
        <f t="shared" si="30"/>
        <v>1</v>
      </c>
      <c r="M219">
        <v>8</v>
      </c>
      <c r="N219">
        <v>7</v>
      </c>
      <c r="O219" s="32">
        <f t="shared" si="31"/>
        <v>1</v>
      </c>
      <c r="P219">
        <v>9</v>
      </c>
      <c r="Q219">
        <v>7</v>
      </c>
      <c r="R219" s="32">
        <f t="shared" si="32"/>
        <v>2</v>
      </c>
      <c r="S219">
        <v>8</v>
      </c>
      <c r="T219">
        <v>6</v>
      </c>
      <c r="U219" s="32">
        <f t="shared" si="33"/>
        <v>2</v>
      </c>
      <c r="V219">
        <v>8</v>
      </c>
      <c r="W219">
        <v>7</v>
      </c>
      <c r="X219" s="32">
        <f t="shared" si="34"/>
        <v>1</v>
      </c>
      <c r="Y219">
        <v>9</v>
      </c>
      <c r="Z219">
        <v>7</v>
      </c>
      <c r="AA219" s="32">
        <f t="shared" si="35"/>
        <v>2</v>
      </c>
    </row>
    <row r="220" spans="1:27" x14ac:dyDescent="0.45">
      <c r="A220">
        <v>7</v>
      </c>
      <c r="B220" s="36">
        <f>step3_combined_data!S346</f>
        <v>7</v>
      </c>
      <c r="C220" s="32">
        <f t="shared" si="27"/>
        <v>0</v>
      </c>
      <c r="D220">
        <v>8</v>
      </c>
      <c r="E220" s="36">
        <f>step3_combined_data!X25</f>
        <v>8</v>
      </c>
      <c r="F220" s="32">
        <f t="shared" si="28"/>
        <v>0</v>
      </c>
      <c r="G220">
        <v>9</v>
      </c>
      <c r="H220">
        <v>7</v>
      </c>
      <c r="I220" s="32">
        <f t="shared" si="29"/>
        <v>2</v>
      </c>
      <c r="J220">
        <v>9</v>
      </c>
      <c r="K220">
        <v>8</v>
      </c>
      <c r="L220" s="32">
        <f t="shared" si="30"/>
        <v>1</v>
      </c>
      <c r="M220">
        <v>8</v>
      </c>
      <c r="N220">
        <v>7</v>
      </c>
      <c r="O220" s="32">
        <f t="shared" si="31"/>
        <v>1</v>
      </c>
      <c r="P220">
        <v>9</v>
      </c>
      <c r="Q220">
        <v>7</v>
      </c>
      <c r="R220" s="32">
        <f t="shared" si="32"/>
        <v>2</v>
      </c>
      <c r="S220">
        <v>8</v>
      </c>
      <c r="T220">
        <v>6</v>
      </c>
      <c r="U220" s="32">
        <f t="shared" si="33"/>
        <v>2</v>
      </c>
      <c r="V220">
        <v>8</v>
      </c>
      <c r="W220">
        <v>7</v>
      </c>
      <c r="X220" s="32">
        <f t="shared" si="34"/>
        <v>1</v>
      </c>
      <c r="Y220">
        <v>9</v>
      </c>
      <c r="Z220">
        <v>7</v>
      </c>
      <c r="AA220" s="32">
        <f t="shared" si="35"/>
        <v>2</v>
      </c>
    </row>
    <row r="221" spans="1:27" x14ac:dyDescent="0.45">
      <c r="A221">
        <v>7</v>
      </c>
      <c r="B221" s="36">
        <f>step3_combined_data!S351</f>
        <v>7</v>
      </c>
      <c r="C221" s="32">
        <f t="shared" si="27"/>
        <v>0</v>
      </c>
      <c r="D221">
        <v>8</v>
      </c>
      <c r="E221" s="36">
        <f>step3_combined_data!X39</f>
        <v>8</v>
      </c>
      <c r="F221" s="32">
        <f t="shared" si="28"/>
        <v>0</v>
      </c>
      <c r="G221">
        <v>9</v>
      </c>
      <c r="H221">
        <v>7</v>
      </c>
      <c r="I221" s="32">
        <f t="shared" si="29"/>
        <v>2</v>
      </c>
      <c r="J221">
        <v>9</v>
      </c>
      <c r="K221">
        <v>8</v>
      </c>
      <c r="L221" s="32">
        <f t="shared" si="30"/>
        <v>1</v>
      </c>
      <c r="M221">
        <v>8</v>
      </c>
      <c r="N221">
        <v>7</v>
      </c>
      <c r="O221" s="32">
        <f t="shared" si="31"/>
        <v>1</v>
      </c>
      <c r="P221">
        <v>9</v>
      </c>
      <c r="Q221">
        <v>7</v>
      </c>
      <c r="R221" s="32">
        <f t="shared" si="32"/>
        <v>2</v>
      </c>
      <c r="S221">
        <v>8</v>
      </c>
      <c r="T221">
        <v>6</v>
      </c>
      <c r="U221" s="32">
        <f t="shared" si="33"/>
        <v>2</v>
      </c>
      <c r="V221">
        <v>8</v>
      </c>
      <c r="W221">
        <v>7</v>
      </c>
      <c r="X221" s="32">
        <f t="shared" si="34"/>
        <v>1</v>
      </c>
      <c r="Y221">
        <v>9</v>
      </c>
      <c r="Z221">
        <v>7</v>
      </c>
      <c r="AA221" s="32">
        <f t="shared" si="35"/>
        <v>2</v>
      </c>
    </row>
    <row r="222" spans="1:27" x14ac:dyDescent="0.45">
      <c r="A222">
        <v>7</v>
      </c>
      <c r="B222" s="36">
        <f>step3_combined_data!S354</f>
        <v>7</v>
      </c>
      <c r="C222" s="32">
        <f t="shared" si="27"/>
        <v>0</v>
      </c>
      <c r="D222">
        <v>8</v>
      </c>
      <c r="E222" s="36">
        <f>step3_combined_data!X41</f>
        <v>8</v>
      </c>
      <c r="F222" s="32">
        <f t="shared" si="28"/>
        <v>0</v>
      </c>
      <c r="G222">
        <v>9</v>
      </c>
      <c r="H222">
        <v>7</v>
      </c>
      <c r="I222" s="32">
        <f t="shared" si="29"/>
        <v>2</v>
      </c>
      <c r="J222">
        <v>9</v>
      </c>
      <c r="K222">
        <v>8</v>
      </c>
      <c r="L222" s="32">
        <f t="shared" si="30"/>
        <v>1</v>
      </c>
      <c r="M222">
        <v>8</v>
      </c>
      <c r="N222">
        <v>7</v>
      </c>
      <c r="O222" s="32">
        <f t="shared" si="31"/>
        <v>1</v>
      </c>
      <c r="P222">
        <v>9</v>
      </c>
      <c r="Q222">
        <v>7</v>
      </c>
      <c r="R222" s="32">
        <f t="shared" si="32"/>
        <v>2</v>
      </c>
      <c r="S222">
        <v>8</v>
      </c>
      <c r="T222">
        <v>6</v>
      </c>
      <c r="U222" s="32">
        <f t="shared" si="33"/>
        <v>2</v>
      </c>
      <c r="V222">
        <v>8</v>
      </c>
      <c r="W222">
        <v>7</v>
      </c>
      <c r="X222" s="32">
        <f t="shared" si="34"/>
        <v>1</v>
      </c>
      <c r="Y222">
        <v>9</v>
      </c>
      <c r="Z222">
        <v>7</v>
      </c>
      <c r="AA222" s="32">
        <f t="shared" si="35"/>
        <v>2</v>
      </c>
    </row>
    <row r="223" spans="1:27" x14ac:dyDescent="0.45">
      <c r="A223">
        <v>7</v>
      </c>
      <c r="B223" s="36">
        <f>step3_combined_data!S356</f>
        <v>7</v>
      </c>
      <c r="C223" s="32">
        <f t="shared" si="27"/>
        <v>0</v>
      </c>
      <c r="D223">
        <v>8</v>
      </c>
      <c r="E223" s="36">
        <f>step3_combined_data!X42</f>
        <v>8</v>
      </c>
      <c r="F223" s="32">
        <f t="shared" si="28"/>
        <v>0</v>
      </c>
      <c r="G223">
        <v>9</v>
      </c>
      <c r="H223">
        <v>7</v>
      </c>
      <c r="I223" s="32">
        <f t="shared" si="29"/>
        <v>2</v>
      </c>
      <c r="J223">
        <v>9</v>
      </c>
      <c r="K223">
        <v>8</v>
      </c>
      <c r="L223" s="32">
        <f t="shared" si="30"/>
        <v>1</v>
      </c>
      <c r="M223">
        <v>8</v>
      </c>
      <c r="N223">
        <v>7</v>
      </c>
      <c r="O223" s="32">
        <f t="shared" si="31"/>
        <v>1</v>
      </c>
      <c r="P223">
        <v>9</v>
      </c>
      <c r="Q223">
        <v>7</v>
      </c>
      <c r="R223" s="32">
        <f t="shared" si="32"/>
        <v>2</v>
      </c>
      <c r="S223">
        <v>8</v>
      </c>
      <c r="T223">
        <v>6</v>
      </c>
      <c r="U223" s="32">
        <f t="shared" si="33"/>
        <v>2</v>
      </c>
      <c r="V223">
        <v>8</v>
      </c>
      <c r="W223">
        <v>7</v>
      </c>
      <c r="X223" s="32">
        <f t="shared" si="34"/>
        <v>1</v>
      </c>
      <c r="Y223">
        <v>9</v>
      </c>
      <c r="Z223">
        <v>7</v>
      </c>
      <c r="AA223" s="32">
        <f t="shared" si="35"/>
        <v>2</v>
      </c>
    </row>
    <row r="224" spans="1:27" x14ac:dyDescent="0.45">
      <c r="A224">
        <v>7</v>
      </c>
      <c r="B224" s="36">
        <f>step3_combined_data!S357</f>
        <v>7</v>
      </c>
      <c r="C224" s="32">
        <f t="shared" si="27"/>
        <v>0</v>
      </c>
      <c r="D224">
        <v>8</v>
      </c>
      <c r="E224" s="36">
        <f>step3_combined_data!X45</f>
        <v>8</v>
      </c>
      <c r="F224" s="32">
        <f t="shared" si="28"/>
        <v>0</v>
      </c>
      <c r="G224">
        <v>9</v>
      </c>
      <c r="H224">
        <v>7</v>
      </c>
      <c r="I224" s="32">
        <f t="shared" si="29"/>
        <v>2</v>
      </c>
      <c r="J224">
        <v>9</v>
      </c>
      <c r="K224">
        <v>8</v>
      </c>
      <c r="L224" s="32">
        <f t="shared" si="30"/>
        <v>1</v>
      </c>
      <c r="M224">
        <v>8</v>
      </c>
      <c r="N224">
        <v>7</v>
      </c>
      <c r="O224" s="32">
        <f t="shared" si="31"/>
        <v>1</v>
      </c>
      <c r="P224">
        <v>9</v>
      </c>
      <c r="Q224">
        <v>7</v>
      </c>
      <c r="R224" s="32">
        <f t="shared" si="32"/>
        <v>2</v>
      </c>
      <c r="S224">
        <v>8</v>
      </c>
      <c r="T224">
        <v>6</v>
      </c>
      <c r="U224" s="32">
        <f t="shared" si="33"/>
        <v>2</v>
      </c>
      <c r="V224">
        <v>8</v>
      </c>
      <c r="W224">
        <v>7</v>
      </c>
      <c r="X224" s="32">
        <f t="shared" si="34"/>
        <v>1</v>
      </c>
      <c r="Y224">
        <v>9</v>
      </c>
      <c r="Z224">
        <v>7</v>
      </c>
      <c r="AA224" s="32">
        <f t="shared" si="35"/>
        <v>2</v>
      </c>
    </row>
    <row r="225" spans="1:27" x14ac:dyDescent="0.45">
      <c r="A225">
        <v>7</v>
      </c>
      <c r="B225" s="36">
        <f>step3_combined_data!S359</f>
        <v>7</v>
      </c>
      <c r="C225" s="32">
        <f t="shared" si="27"/>
        <v>0</v>
      </c>
      <c r="D225">
        <v>8</v>
      </c>
      <c r="E225" s="36">
        <f>step3_combined_data!X48</f>
        <v>8</v>
      </c>
      <c r="F225" s="32">
        <f t="shared" si="28"/>
        <v>0</v>
      </c>
      <c r="G225">
        <v>9</v>
      </c>
      <c r="H225">
        <v>7</v>
      </c>
      <c r="I225" s="32">
        <f t="shared" si="29"/>
        <v>2</v>
      </c>
      <c r="J225">
        <v>9</v>
      </c>
      <c r="K225">
        <v>8</v>
      </c>
      <c r="L225" s="32">
        <f t="shared" si="30"/>
        <v>1</v>
      </c>
      <c r="M225">
        <v>8</v>
      </c>
      <c r="N225">
        <v>7</v>
      </c>
      <c r="O225" s="32">
        <f t="shared" si="31"/>
        <v>1</v>
      </c>
      <c r="P225">
        <v>9</v>
      </c>
      <c r="Q225">
        <v>7</v>
      </c>
      <c r="R225" s="32">
        <f t="shared" si="32"/>
        <v>2</v>
      </c>
      <c r="S225">
        <v>8</v>
      </c>
      <c r="T225">
        <v>6</v>
      </c>
      <c r="U225" s="32">
        <f t="shared" si="33"/>
        <v>2</v>
      </c>
      <c r="V225">
        <v>8</v>
      </c>
      <c r="W225">
        <v>7</v>
      </c>
      <c r="X225" s="32">
        <f t="shared" si="34"/>
        <v>1</v>
      </c>
      <c r="Y225">
        <v>9</v>
      </c>
      <c r="Z225">
        <v>7</v>
      </c>
      <c r="AA225" s="32">
        <f t="shared" si="35"/>
        <v>2</v>
      </c>
    </row>
    <row r="226" spans="1:27" x14ac:dyDescent="0.45">
      <c r="A226">
        <v>7</v>
      </c>
      <c r="B226" s="36">
        <f>step3_combined_data!S362</f>
        <v>7</v>
      </c>
      <c r="C226" s="32">
        <f t="shared" si="27"/>
        <v>0</v>
      </c>
      <c r="D226">
        <v>8</v>
      </c>
      <c r="E226" s="36">
        <f>step3_combined_data!X50</f>
        <v>8</v>
      </c>
      <c r="F226" s="32">
        <f t="shared" si="28"/>
        <v>0</v>
      </c>
      <c r="G226">
        <v>9</v>
      </c>
      <c r="H226">
        <v>7</v>
      </c>
      <c r="I226" s="32">
        <f t="shared" si="29"/>
        <v>2</v>
      </c>
      <c r="J226">
        <v>9</v>
      </c>
      <c r="K226">
        <v>8</v>
      </c>
      <c r="L226" s="32">
        <f t="shared" si="30"/>
        <v>1</v>
      </c>
      <c r="M226">
        <v>8</v>
      </c>
      <c r="N226">
        <v>7</v>
      </c>
      <c r="O226" s="32">
        <f t="shared" si="31"/>
        <v>1</v>
      </c>
      <c r="P226">
        <v>9</v>
      </c>
      <c r="Q226">
        <v>7</v>
      </c>
      <c r="R226" s="32">
        <f t="shared" si="32"/>
        <v>2</v>
      </c>
      <c r="S226">
        <v>8</v>
      </c>
      <c r="T226">
        <v>6</v>
      </c>
      <c r="U226" s="32">
        <f t="shared" si="33"/>
        <v>2</v>
      </c>
      <c r="V226">
        <v>8</v>
      </c>
      <c r="W226">
        <v>7</v>
      </c>
      <c r="X226" s="32">
        <f t="shared" si="34"/>
        <v>1</v>
      </c>
      <c r="Y226">
        <v>9</v>
      </c>
      <c r="Z226">
        <v>7</v>
      </c>
      <c r="AA226" s="32">
        <f t="shared" si="35"/>
        <v>2</v>
      </c>
    </row>
    <row r="227" spans="1:27" x14ac:dyDescent="0.45">
      <c r="A227">
        <v>7</v>
      </c>
      <c r="B227" s="36">
        <f>step3_combined_data!S367</f>
        <v>7</v>
      </c>
      <c r="C227" s="32">
        <f t="shared" si="27"/>
        <v>0</v>
      </c>
      <c r="D227">
        <v>8</v>
      </c>
      <c r="E227" s="36">
        <f>step3_combined_data!X73</f>
        <v>8</v>
      </c>
      <c r="F227" s="32">
        <f t="shared" si="28"/>
        <v>0</v>
      </c>
      <c r="G227">
        <v>9</v>
      </c>
      <c r="H227">
        <v>7</v>
      </c>
      <c r="I227" s="32">
        <f t="shared" si="29"/>
        <v>2</v>
      </c>
      <c r="J227">
        <v>9</v>
      </c>
      <c r="K227">
        <v>8</v>
      </c>
      <c r="L227" s="32">
        <f t="shared" si="30"/>
        <v>1</v>
      </c>
      <c r="M227">
        <v>8</v>
      </c>
      <c r="N227">
        <v>7</v>
      </c>
      <c r="O227" s="32">
        <f t="shared" si="31"/>
        <v>1</v>
      </c>
      <c r="P227">
        <v>9</v>
      </c>
      <c r="Q227">
        <v>7</v>
      </c>
      <c r="R227" s="32">
        <f t="shared" si="32"/>
        <v>2</v>
      </c>
      <c r="S227">
        <v>8</v>
      </c>
      <c r="T227">
        <v>6</v>
      </c>
      <c r="U227" s="32">
        <f t="shared" si="33"/>
        <v>2</v>
      </c>
      <c r="V227">
        <v>8</v>
      </c>
      <c r="W227">
        <v>7</v>
      </c>
      <c r="X227" s="32">
        <f t="shared" si="34"/>
        <v>1</v>
      </c>
      <c r="Y227">
        <v>9</v>
      </c>
      <c r="Z227">
        <v>7</v>
      </c>
      <c r="AA227" s="32">
        <f t="shared" si="35"/>
        <v>2</v>
      </c>
    </row>
    <row r="228" spans="1:27" x14ac:dyDescent="0.45">
      <c r="A228">
        <v>7</v>
      </c>
      <c r="B228" s="36">
        <f>step3_combined_data!S369</f>
        <v>7</v>
      </c>
      <c r="C228" s="32">
        <f t="shared" si="27"/>
        <v>0</v>
      </c>
      <c r="D228">
        <v>8</v>
      </c>
      <c r="E228" s="36">
        <f>step3_combined_data!X78</f>
        <v>8</v>
      </c>
      <c r="F228" s="32">
        <f t="shared" si="28"/>
        <v>0</v>
      </c>
      <c r="G228">
        <v>9</v>
      </c>
      <c r="H228">
        <v>7</v>
      </c>
      <c r="I228" s="32">
        <f t="shared" si="29"/>
        <v>2</v>
      </c>
      <c r="J228">
        <v>9</v>
      </c>
      <c r="K228">
        <v>8</v>
      </c>
      <c r="L228" s="32">
        <f t="shared" si="30"/>
        <v>1</v>
      </c>
      <c r="M228">
        <v>8</v>
      </c>
      <c r="N228">
        <v>7</v>
      </c>
      <c r="O228" s="32">
        <f t="shared" si="31"/>
        <v>1</v>
      </c>
      <c r="P228">
        <v>9</v>
      </c>
      <c r="Q228">
        <v>7</v>
      </c>
      <c r="R228" s="32">
        <f t="shared" si="32"/>
        <v>2</v>
      </c>
      <c r="S228">
        <v>8</v>
      </c>
      <c r="T228">
        <v>6</v>
      </c>
      <c r="U228" s="32">
        <f t="shared" si="33"/>
        <v>2</v>
      </c>
      <c r="V228">
        <v>8</v>
      </c>
      <c r="W228">
        <v>7</v>
      </c>
      <c r="X228" s="32">
        <f t="shared" si="34"/>
        <v>1</v>
      </c>
      <c r="Y228">
        <v>9</v>
      </c>
      <c r="Z228">
        <v>7</v>
      </c>
      <c r="AA228" s="32">
        <f t="shared" si="35"/>
        <v>2</v>
      </c>
    </row>
    <row r="229" spans="1:27" x14ac:dyDescent="0.45">
      <c r="A229">
        <v>7</v>
      </c>
      <c r="B229" s="36">
        <f>step3_combined_data!S378</f>
        <v>7</v>
      </c>
      <c r="C229" s="32">
        <f t="shared" si="27"/>
        <v>0</v>
      </c>
      <c r="D229">
        <v>8</v>
      </c>
      <c r="E229" s="36">
        <f>step3_combined_data!X81</f>
        <v>8</v>
      </c>
      <c r="F229" s="32">
        <f t="shared" si="28"/>
        <v>0</v>
      </c>
      <c r="G229">
        <v>9</v>
      </c>
      <c r="H229">
        <v>7</v>
      </c>
      <c r="I229" s="32">
        <f t="shared" si="29"/>
        <v>2</v>
      </c>
      <c r="J229">
        <v>9</v>
      </c>
      <c r="K229">
        <v>8</v>
      </c>
      <c r="L229" s="32">
        <f t="shared" si="30"/>
        <v>1</v>
      </c>
      <c r="M229">
        <v>8</v>
      </c>
      <c r="N229">
        <v>7</v>
      </c>
      <c r="O229" s="32">
        <f t="shared" si="31"/>
        <v>1</v>
      </c>
      <c r="P229">
        <v>9</v>
      </c>
      <c r="Q229">
        <v>7</v>
      </c>
      <c r="R229" s="32">
        <f t="shared" si="32"/>
        <v>2</v>
      </c>
      <c r="S229">
        <v>8</v>
      </c>
      <c r="T229">
        <v>6</v>
      </c>
      <c r="U229" s="32">
        <f t="shared" si="33"/>
        <v>2</v>
      </c>
      <c r="V229">
        <v>8</v>
      </c>
      <c r="W229">
        <v>7</v>
      </c>
      <c r="X229" s="32">
        <f t="shared" si="34"/>
        <v>1</v>
      </c>
      <c r="Y229">
        <v>9</v>
      </c>
      <c r="Z229">
        <v>7</v>
      </c>
      <c r="AA229" s="32">
        <f t="shared" si="35"/>
        <v>2</v>
      </c>
    </row>
    <row r="230" spans="1:27" x14ac:dyDescent="0.45">
      <c r="A230">
        <v>7</v>
      </c>
      <c r="B230" s="36">
        <f>step3_combined_data!S385</f>
        <v>7</v>
      </c>
      <c r="C230" s="32">
        <f t="shared" si="27"/>
        <v>0</v>
      </c>
      <c r="D230">
        <v>8</v>
      </c>
      <c r="E230" s="36">
        <f>step3_combined_data!X84</f>
        <v>8</v>
      </c>
      <c r="F230" s="32">
        <f t="shared" si="28"/>
        <v>0</v>
      </c>
      <c r="G230">
        <v>9</v>
      </c>
      <c r="H230">
        <v>7</v>
      </c>
      <c r="I230" s="32">
        <f t="shared" si="29"/>
        <v>2</v>
      </c>
      <c r="J230">
        <v>9</v>
      </c>
      <c r="K230">
        <v>8</v>
      </c>
      <c r="L230" s="32">
        <f t="shared" si="30"/>
        <v>1</v>
      </c>
      <c r="M230">
        <v>8</v>
      </c>
      <c r="N230">
        <v>7</v>
      </c>
      <c r="O230" s="32">
        <f t="shared" si="31"/>
        <v>1</v>
      </c>
      <c r="P230">
        <v>9</v>
      </c>
      <c r="Q230">
        <v>7</v>
      </c>
      <c r="R230" s="32">
        <f t="shared" si="32"/>
        <v>2</v>
      </c>
      <c r="S230">
        <v>8</v>
      </c>
      <c r="T230">
        <v>6</v>
      </c>
      <c r="U230" s="32">
        <f t="shared" si="33"/>
        <v>2</v>
      </c>
      <c r="V230">
        <v>8</v>
      </c>
      <c r="W230">
        <v>7</v>
      </c>
      <c r="X230" s="32">
        <f t="shared" si="34"/>
        <v>1</v>
      </c>
      <c r="Y230">
        <v>9</v>
      </c>
      <c r="Z230">
        <v>7</v>
      </c>
      <c r="AA230" s="32">
        <f t="shared" si="35"/>
        <v>2</v>
      </c>
    </row>
    <row r="231" spans="1:27" x14ac:dyDescent="0.45">
      <c r="A231">
        <v>7</v>
      </c>
      <c r="B231" s="36">
        <f>step3_combined_data!S389</f>
        <v>7</v>
      </c>
      <c r="C231" s="32">
        <f t="shared" si="27"/>
        <v>0</v>
      </c>
      <c r="D231">
        <v>8</v>
      </c>
      <c r="E231" s="36">
        <f>step3_combined_data!X94</f>
        <v>8</v>
      </c>
      <c r="F231" s="32">
        <f t="shared" si="28"/>
        <v>0</v>
      </c>
      <c r="G231">
        <v>9</v>
      </c>
      <c r="H231">
        <v>7</v>
      </c>
      <c r="I231" s="32">
        <f t="shared" si="29"/>
        <v>2</v>
      </c>
      <c r="J231">
        <v>9</v>
      </c>
      <c r="K231">
        <v>8</v>
      </c>
      <c r="L231" s="32">
        <f t="shared" si="30"/>
        <v>1</v>
      </c>
      <c r="M231">
        <v>8</v>
      </c>
      <c r="N231">
        <v>7</v>
      </c>
      <c r="O231" s="32">
        <f t="shared" si="31"/>
        <v>1</v>
      </c>
      <c r="P231">
        <v>9</v>
      </c>
      <c r="Q231">
        <v>7</v>
      </c>
      <c r="R231" s="32">
        <f t="shared" si="32"/>
        <v>2</v>
      </c>
      <c r="S231">
        <v>8</v>
      </c>
      <c r="T231">
        <v>6</v>
      </c>
      <c r="U231" s="32">
        <f t="shared" si="33"/>
        <v>2</v>
      </c>
      <c r="V231">
        <v>8</v>
      </c>
      <c r="W231">
        <v>7</v>
      </c>
      <c r="X231" s="32">
        <f t="shared" si="34"/>
        <v>1</v>
      </c>
      <c r="Y231">
        <v>9</v>
      </c>
      <c r="Z231">
        <v>8</v>
      </c>
      <c r="AA231" s="32">
        <f t="shared" si="35"/>
        <v>1</v>
      </c>
    </row>
    <row r="232" spans="1:27" x14ac:dyDescent="0.45">
      <c r="A232">
        <v>7</v>
      </c>
      <c r="B232" s="36">
        <f>step3_combined_data!S394</f>
        <v>7</v>
      </c>
      <c r="C232" s="32">
        <f t="shared" si="27"/>
        <v>0</v>
      </c>
      <c r="D232">
        <v>8</v>
      </c>
      <c r="E232" s="36">
        <f>step3_combined_data!X99</f>
        <v>8</v>
      </c>
      <c r="F232" s="32">
        <f t="shared" si="28"/>
        <v>0</v>
      </c>
      <c r="G232">
        <v>9</v>
      </c>
      <c r="H232">
        <v>7</v>
      </c>
      <c r="I232" s="32">
        <f t="shared" si="29"/>
        <v>2</v>
      </c>
      <c r="J232">
        <v>9</v>
      </c>
      <c r="K232">
        <v>8</v>
      </c>
      <c r="L232" s="32">
        <f t="shared" si="30"/>
        <v>1</v>
      </c>
      <c r="M232">
        <v>8</v>
      </c>
      <c r="N232">
        <v>7</v>
      </c>
      <c r="O232" s="32">
        <f t="shared" si="31"/>
        <v>1</v>
      </c>
      <c r="P232">
        <v>9</v>
      </c>
      <c r="Q232">
        <v>7</v>
      </c>
      <c r="R232" s="32">
        <f t="shared" si="32"/>
        <v>2</v>
      </c>
      <c r="S232">
        <v>8</v>
      </c>
      <c r="T232">
        <v>6</v>
      </c>
      <c r="U232" s="32">
        <f t="shared" si="33"/>
        <v>2</v>
      </c>
      <c r="V232">
        <v>8</v>
      </c>
      <c r="W232">
        <v>7</v>
      </c>
      <c r="X232" s="32">
        <f t="shared" si="34"/>
        <v>1</v>
      </c>
      <c r="Y232">
        <v>9</v>
      </c>
      <c r="Z232">
        <v>8</v>
      </c>
      <c r="AA232" s="32">
        <f t="shared" si="35"/>
        <v>1</v>
      </c>
    </row>
    <row r="233" spans="1:27" x14ac:dyDescent="0.45">
      <c r="A233">
        <v>7</v>
      </c>
      <c r="B233" s="36">
        <f>step3_combined_data!S396</f>
        <v>7</v>
      </c>
      <c r="C233" s="32">
        <f t="shared" si="27"/>
        <v>0</v>
      </c>
      <c r="D233">
        <v>8</v>
      </c>
      <c r="E233" s="36">
        <f>step3_combined_data!X101</f>
        <v>8</v>
      </c>
      <c r="F233" s="32">
        <f t="shared" si="28"/>
        <v>0</v>
      </c>
      <c r="G233">
        <v>9</v>
      </c>
      <c r="H233">
        <v>7</v>
      </c>
      <c r="I233" s="32">
        <f t="shared" si="29"/>
        <v>2</v>
      </c>
      <c r="J233">
        <v>9</v>
      </c>
      <c r="K233">
        <v>8</v>
      </c>
      <c r="L233" s="32">
        <f t="shared" si="30"/>
        <v>1</v>
      </c>
      <c r="M233">
        <v>8</v>
      </c>
      <c r="N233">
        <v>7</v>
      </c>
      <c r="O233" s="32">
        <f t="shared" si="31"/>
        <v>1</v>
      </c>
      <c r="P233">
        <v>9</v>
      </c>
      <c r="Q233">
        <v>7</v>
      </c>
      <c r="R233" s="32">
        <f t="shared" si="32"/>
        <v>2</v>
      </c>
      <c r="S233">
        <v>8</v>
      </c>
      <c r="T233">
        <v>6</v>
      </c>
      <c r="U233" s="32">
        <f t="shared" si="33"/>
        <v>2</v>
      </c>
      <c r="V233">
        <v>8</v>
      </c>
      <c r="W233">
        <v>7</v>
      </c>
      <c r="X233" s="32">
        <f t="shared" si="34"/>
        <v>1</v>
      </c>
      <c r="Y233">
        <v>9</v>
      </c>
      <c r="Z233">
        <v>8</v>
      </c>
      <c r="AA233" s="32">
        <f t="shared" si="35"/>
        <v>1</v>
      </c>
    </row>
    <row r="234" spans="1:27" x14ac:dyDescent="0.45">
      <c r="A234">
        <v>7</v>
      </c>
      <c r="B234" s="36">
        <f>step3_combined_data!S400</f>
        <v>7</v>
      </c>
      <c r="C234" s="32">
        <f t="shared" si="27"/>
        <v>0</v>
      </c>
      <c r="D234">
        <v>8</v>
      </c>
      <c r="E234" s="36">
        <f>step3_combined_data!X102</f>
        <v>8</v>
      </c>
      <c r="F234" s="32">
        <f t="shared" si="28"/>
        <v>0</v>
      </c>
      <c r="G234">
        <v>9</v>
      </c>
      <c r="H234">
        <v>7</v>
      </c>
      <c r="I234" s="32">
        <f t="shared" si="29"/>
        <v>2</v>
      </c>
      <c r="J234">
        <v>9</v>
      </c>
      <c r="K234">
        <v>8</v>
      </c>
      <c r="L234" s="32">
        <f t="shared" si="30"/>
        <v>1</v>
      </c>
      <c r="M234">
        <v>8</v>
      </c>
      <c r="N234">
        <v>7</v>
      </c>
      <c r="O234" s="32">
        <f t="shared" si="31"/>
        <v>1</v>
      </c>
      <c r="P234">
        <v>9</v>
      </c>
      <c r="Q234">
        <v>7</v>
      </c>
      <c r="R234" s="32">
        <f t="shared" si="32"/>
        <v>2</v>
      </c>
      <c r="S234">
        <v>8</v>
      </c>
      <c r="T234">
        <v>6</v>
      </c>
      <c r="U234" s="32">
        <f t="shared" si="33"/>
        <v>2</v>
      </c>
      <c r="V234">
        <v>8</v>
      </c>
      <c r="W234">
        <v>7</v>
      </c>
      <c r="X234" s="32">
        <f t="shared" si="34"/>
        <v>1</v>
      </c>
      <c r="Y234">
        <v>9</v>
      </c>
      <c r="Z234">
        <v>8</v>
      </c>
      <c r="AA234" s="32">
        <f t="shared" si="35"/>
        <v>1</v>
      </c>
    </row>
    <row r="235" spans="1:27" x14ac:dyDescent="0.45">
      <c r="A235">
        <v>7</v>
      </c>
      <c r="B235" s="36">
        <f>step3_combined_data!S403</f>
        <v>7</v>
      </c>
      <c r="C235" s="32">
        <f t="shared" si="27"/>
        <v>0</v>
      </c>
      <c r="D235">
        <v>8</v>
      </c>
      <c r="E235" s="36">
        <f>step3_combined_data!X104</f>
        <v>8</v>
      </c>
      <c r="F235" s="32">
        <f t="shared" si="28"/>
        <v>0</v>
      </c>
      <c r="G235">
        <v>9</v>
      </c>
      <c r="H235">
        <v>7</v>
      </c>
      <c r="I235" s="32">
        <f t="shared" si="29"/>
        <v>2</v>
      </c>
      <c r="J235">
        <v>9</v>
      </c>
      <c r="K235">
        <v>8</v>
      </c>
      <c r="L235" s="32">
        <f t="shared" si="30"/>
        <v>1</v>
      </c>
      <c r="M235">
        <v>8</v>
      </c>
      <c r="N235">
        <v>7</v>
      </c>
      <c r="O235" s="32">
        <f t="shared" si="31"/>
        <v>1</v>
      </c>
      <c r="P235">
        <v>9</v>
      </c>
      <c r="Q235">
        <v>7</v>
      </c>
      <c r="R235" s="32">
        <f t="shared" si="32"/>
        <v>2</v>
      </c>
      <c r="S235">
        <v>8</v>
      </c>
      <c r="T235">
        <v>6</v>
      </c>
      <c r="U235" s="32">
        <f t="shared" si="33"/>
        <v>2</v>
      </c>
      <c r="V235">
        <v>8</v>
      </c>
      <c r="W235">
        <v>7</v>
      </c>
      <c r="X235" s="32">
        <f t="shared" si="34"/>
        <v>1</v>
      </c>
      <c r="Y235">
        <v>9</v>
      </c>
      <c r="Z235">
        <v>8</v>
      </c>
      <c r="AA235" s="32">
        <f t="shared" si="35"/>
        <v>1</v>
      </c>
    </row>
    <row r="236" spans="1:27" x14ac:dyDescent="0.45">
      <c r="A236">
        <v>7</v>
      </c>
      <c r="B236" s="36">
        <f>step3_combined_data!S404</f>
        <v>7</v>
      </c>
      <c r="C236" s="32">
        <f t="shared" si="27"/>
        <v>0</v>
      </c>
      <c r="D236">
        <v>8</v>
      </c>
      <c r="E236" s="36">
        <f>step3_combined_data!X112</f>
        <v>8</v>
      </c>
      <c r="F236" s="32">
        <f t="shared" si="28"/>
        <v>0</v>
      </c>
      <c r="G236">
        <v>9</v>
      </c>
      <c r="H236">
        <v>7</v>
      </c>
      <c r="I236" s="32">
        <f t="shared" si="29"/>
        <v>2</v>
      </c>
      <c r="J236">
        <v>9</v>
      </c>
      <c r="K236">
        <v>8</v>
      </c>
      <c r="L236" s="32">
        <f t="shared" si="30"/>
        <v>1</v>
      </c>
      <c r="M236">
        <v>8</v>
      </c>
      <c r="N236">
        <v>7</v>
      </c>
      <c r="O236" s="32">
        <f t="shared" si="31"/>
        <v>1</v>
      </c>
      <c r="P236">
        <v>9</v>
      </c>
      <c r="Q236">
        <v>7</v>
      </c>
      <c r="R236" s="32">
        <f t="shared" si="32"/>
        <v>2</v>
      </c>
      <c r="S236">
        <v>8</v>
      </c>
      <c r="T236">
        <v>6</v>
      </c>
      <c r="U236" s="32">
        <f t="shared" si="33"/>
        <v>2</v>
      </c>
      <c r="V236">
        <v>8</v>
      </c>
      <c r="W236">
        <v>7</v>
      </c>
      <c r="X236" s="32">
        <f t="shared" si="34"/>
        <v>1</v>
      </c>
      <c r="Y236">
        <v>9</v>
      </c>
      <c r="Z236">
        <v>8</v>
      </c>
      <c r="AA236" s="32">
        <f t="shared" si="35"/>
        <v>1</v>
      </c>
    </row>
    <row r="237" spans="1:27" x14ac:dyDescent="0.45">
      <c r="A237">
        <v>7</v>
      </c>
      <c r="B237" s="36">
        <f>step3_combined_data!S3</f>
        <v>8</v>
      </c>
      <c r="C237" s="32">
        <f t="shared" si="27"/>
        <v>1</v>
      </c>
      <c r="D237">
        <v>8</v>
      </c>
      <c r="E237" s="36">
        <f>step3_combined_data!X113</f>
        <v>8</v>
      </c>
      <c r="F237" s="32">
        <f t="shared" si="28"/>
        <v>0</v>
      </c>
      <c r="G237">
        <v>9</v>
      </c>
      <c r="H237">
        <v>7</v>
      </c>
      <c r="I237" s="32">
        <f t="shared" si="29"/>
        <v>2</v>
      </c>
      <c r="J237">
        <v>9</v>
      </c>
      <c r="K237">
        <v>8</v>
      </c>
      <c r="L237" s="32">
        <f t="shared" si="30"/>
        <v>1</v>
      </c>
      <c r="M237">
        <v>8</v>
      </c>
      <c r="N237">
        <v>7</v>
      </c>
      <c r="O237" s="32">
        <f t="shared" si="31"/>
        <v>1</v>
      </c>
      <c r="P237">
        <v>9</v>
      </c>
      <c r="Q237">
        <v>7</v>
      </c>
      <c r="R237" s="32">
        <f t="shared" si="32"/>
        <v>2</v>
      </c>
      <c r="S237">
        <v>8</v>
      </c>
      <c r="T237">
        <v>6</v>
      </c>
      <c r="U237" s="32">
        <f t="shared" si="33"/>
        <v>2</v>
      </c>
      <c r="V237">
        <v>8</v>
      </c>
      <c r="W237">
        <v>7</v>
      </c>
      <c r="X237" s="32">
        <f t="shared" si="34"/>
        <v>1</v>
      </c>
      <c r="Y237">
        <v>9</v>
      </c>
      <c r="Z237">
        <v>8</v>
      </c>
      <c r="AA237" s="32">
        <f t="shared" si="35"/>
        <v>1</v>
      </c>
    </row>
    <row r="238" spans="1:27" x14ac:dyDescent="0.45">
      <c r="A238">
        <v>7</v>
      </c>
      <c r="B238" s="36">
        <f>step3_combined_data!S7</f>
        <v>8</v>
      </c>
      <c r="C238" s="32">
        <f t="shared" si="27"/>
        <v>1</v>
      </c>
      <c r="D238">
        <v>8</v>
      </c>
      <c r="E238" s="36">
        <f>step3_combined_data!X120</f>
        <v>8</v>
      </c>
      <c r="F238" s="32">
        <f t="shared" si="28"/>
        <v>0</v>
      </c>
      <c r="G238">
        <v>9</v>
      </c>
      <c r="H238">
        <v>7</v>
      </c>
      <c r="I238" s="32">
        <f t="shared" si="29"/>
        <v>2</v>
      </c>
      <c r="J238">
        <v>9</v>
      </c>
      <c r="K238">
        <v>8</v>
      </c>
      <c r="L238" s="32">
        <f t="shared" si="30"/>
        <v>1</v>
      </c>
      <c r="M238">
        <v>8</v>
      </c>
      <c r="N238">
        <v>7</v>
      </c>
      <c r="O238" s="32">
        <f t="shared" si="31"/>
        <v>1</v>
      </c>
      <c r="P238">
        <v>9</v>
      </c>
      <c r="Q238">
        <v>7</v>
      </c>
      <c r="R238" s="32">
        <f t="shared" si="32"/>
        <v>2</v>
      </c>
      <c r="S238">
        <v>8</v>
      </c>
      <c r="T238">
        <v>7</v>
      </c>
      <c r="U238" s="32">
        <f t="shared" si="33"/>
        <v>1</v>
      </c>
      <c r="V238">
        <v>8</v>
      </c>
      <c r="W238">
        <v>7</v>
      </c>
      <c r="X238" s="32">
        <f t="shared" si="34"/>
        <v>1</v>
      </c>
      <c r="Y238">
        <v>9</v>
      </c>
      <c r="Z238">
        <v>8</v>
      </c>
      <c r="AA238" s="32">
        <f t="shared" si="35"/>
        <v>1</v>
      </c>
    </row>
    <row r="239" spans="1:27" x14ac:dyDescent="0.45">
      <c r="A239">
        <v>7</v>
      </c>
      <c r="B239" s="36">
        <f>step3_combined_data!S14</f>
        <v>8</v>
      </c>
      <c r="C239" s="32">
        <f t="shared" si="27"/>
        <v>1</v>
      </c>
      <c r="D239">
        <v>8</v>
      </c>
      <c r="E239" s="36">
        <f>step3_combined_data!X127</f>
        <v>8</v>
      </c>
      <c r="F239" s="32">
        <f t="shared" si="28"/>
        <v>0</v>
      </c>
      <c r="G239">
        <v>9</v>
      </c>
      <c r="H239">
        <v>7</v>
      </c>
      <c r="I239" s="32">
        <f t="shared" si="29"/>
        <v>2</v>
      </c>
      <c r="J239">
        <v>9</v>
      </c>
      <c r="K239">
        <v>8</v>
      </c>
      <c r="L239" s="32">
        <f t="shared" si="30"/>
        <v>1</v>
      </c>
      <c r="M239">
        <v>8</v>
      </c>
      <c r="N239">
        <v>7</v>
      </c>
      <c r="O239" s="32">
        <f t="shared" si="31"/>
        <v>1</v>
      </c>
      <c r="P239">
        <v>9</v>
      </c>
      <c r="Q239">
        <v>7</v>
      </c>
      <c r="R239" s="32">
        <f t="shared" si="32"/>
        <v>2</v>
      </c>
      <c r="S239">
        <v>8</v>
      </c>
      <c r="T239">
        <v>7</v>
      </c>
      <c r="U239" s="32">
        <f t="shared" si="33"/>
        <v>1</v>
      </c>
      <c r="V239">
        <v>8</v>
      </c>
      <c r="W239">
        <v>7</v>
      </c>
      <c r="X239" s="32">
        <f t="shared" si="34"/>
        <v>1</v>
      </c>
      <c r="Y239">
        <v>9</v>
      </c>
      <c r="Z239">
        <v>8</v>
      </c>
      <c r="AA239" s="32">
        <f t="shared" si="35"/>
        <v>1</v>
      </c>
    </row>
    <row r="240" spans="1:27" x14ac:dyDescent="0.45">
      <c r="A240">
        <v>7</v>
      </c>
      <c r="B240" s="36">
        <f>step3_combined_data!S17</f>
        <v>8</v>
      </c>
      <c r="C240" s="32">
        <f t="shared" si="27"/>
        <v>1</v>
      </c>
      <c r="D240">
        <v>8</v>
      </c>
      <c r="E240" s="36">
        <f>step3_combined_data!X137</f>
        <v>8</v>
      </c>
      <c r="F240" s="32">
        <f t="shared" si="28"/>
        <v>0</v>
      </c>
      <c r="G240">
        <v>9</v>
      </c>
      <c r="H240">
        <v>7</v>
      </c>
      <c r="I240" s="32">
        <f t="shared" si="29"/>
        <v>2</v>
      </c>
      <c r="J240">
        <v>9</v>
      </c>
      <c r="K240">
        <v>8</v>
      </c>
      <c r="L240" s="32">
        <f t="shared" si="30"/>
        <v>1</v>
      </c>
      <c r="M240">
        <v>8</v>
      </c>
      <c r="N240">
        <v>7</v>
      </c>
      <c r="O240" s="32">
        <f t="shared" si="31"/>
        <v>1</v>
      </c>
      <c r="P240">
        <v>9</v>
      </c>
      <c r="Q240">
        <v>7</v>
      </c>
      <c r="R240" s="32">
        <f t="shared" si="32"/>
        <v>2</v>
      </c>
      <c r="S240">
        <v>8</v>
      </c>
      <c r="T240">
        <v>7</v>
      </c>
      <c r="U240" s="32">
        <f t="shared" si="33"/>
        <v>1</v>
      </c>
      <c r="V240">
        <v>8</v>
      </c>
      <c r="W240">
        <v>7</v>
      </c>
      <c r="X240" s="32">
        <f t="shared" si="34"/>
        <v>1</v>
      </c>
      <c r="Y240">
        <v>9</v>
      </c>
      <c r="Z240">
        <v>8</v>
      </c>
      <c r="AA240" s="32">
        <f t="shared" si="35"/>
        <v>1</v>
      </c>
    </row>
    <row r="241" spans="1:27" x14ac:dyDescent="0.45">
      <c r="A241">
        <v>7</v>
      </c>
      <c r="B241" s="36">
        <f>step3_combined_data!S23</f>
        <v>8</v>
      </c>
      <c r="C241" s="32">
        <f t="shared" si="27"/>
        <v>1</v>
      </c>
      <c r="D241">
        <v>8</v>
      </c>
      <c r="E241" s="36">
        <f>step3_combined_data!X138</f>
        <v>8</v>
      </c>
      <c r="F241" s="32">
        <f t="shared" si="28"/>
        <v>0</v>
      </c>
      <c r="G241">
        <v>9</v>
      </c>
      <c r="H241">
        <v>7</v>
      </c>
      <c r="I241" s="32">
        <f t="shared" si="29"/>
        <v>2</v>
      </c>
      <c r="J241">
        <v>9</v>
      </c>
      <c r="K241">
        <v>8</v>
      </c>
      <c r="L241" s="32">
        <f t="shared" si="30"/>
        <v>1</v>
      </c>
      <c r="M241">
        <v>8</v>
      </c>
      <c r="N241">
        <v>7</v>
      </c>
      <c r="O241" s="32">
        <f t="shared" si="31"/>
        <v>1</v>
      </c>
      <c r="P241">
        <v>9</v>
      </c>
      <c r="Q241">
        <v>7</v>
      </c>
      <c r="R241" s="32">
        <f t="shared" si="32"/>
        <v>2</v>
      </c>
      <c r="S241">
        <v>8</v>
      </c>
      <c r="T241">
        <v>7</v>
      </c>
      <c r="U241" s="32">
        <f t="shared" si="33"/>
        <v>1</v>
      </c>
      <c r="V241">
        <v>8</v>
      </c>
      <c r="W241">
        <v>7</v>
      </c>
      <c r="X241" s="32">
        <f t="shared" si="34"/>
        <v>1</v>
      </c>
      <c r="Y241">
        <v>9</v>
      </c>
      <c r="Z241">
        <v>8</v>
      </c>
      <c r="AA241" s="32">
        <f t="shared" si="35"/>
        <v>1</v>
      </c>
    </row>
    <row r="242" spans="1:27" x14ac:dyDescent="0.45">
      <c r="A242">
        <v>7</v>
      </c>
      <c r="B242" s="36">
        <f>step3_combined_data!S34</f>
        <v>8</v>
      </c>
      <c r="C242" s="32">
        <f t="shared" si="27"/>
        <v>1</v>
      </c>
      <c r="D242">
        <v>8</v>
      </c>
      <c r="E242" s="36">
        <f>step3_combined_data!X147</f>
        <v>8</v>
      </c>
      <c r="F242" s="32">
        <f t="shared" si="28"/>
        <v>0</v>
      </c>
      <c r="G242">
        <v>9</v>
      </c>
      <c r="H242">
        <v>7</v>
      </c>
      <c r="I242" s="32">
        <f t="shared" si="29"/>
        <v>2</v>
      </c>
      <c r="J242">
        <v>9</v>
      </c>
      <c r="K242">
        <v>8</v>
      </c>
      <c r="L242" s="32">
        <f t="shared" si="30"/>
        <v>1</v>
      </c>
      <c r="M242">
        <v>8</v>
      </c>
      <c r="N242">
        <v>7</v>
      </c>
      <c r="O242" s="32">
        <f t="shared" si="31"/>
        <v>1</v>
      </c>
      <c r="P242">
        <v>9</v>
      </c>
      <c r="Q242">
        <v>7</v>
      </c>
      <c r="R242" s="32">
        <f t="shared" si="32"/>
        <v>2</v>
      </c>
      <c r="S242">
        <v>8</v>
      </c>
      <c r="T242">
        <v>7</v>
      </c>
      <c r="U242" s="32">
        <f t="shared" si="33"/>
        <v>1</v>
      </c>
      <c r="V242">
        <v>8</v>
      </c>
      <c r="W242">
        <v>7</v>
      </c>
      <c r="X242" s="32">
        <f t="shared" si="34"/>
        <v>1</v>
      </c>
      <c r="Y242">
        <v>9</v>
      </c>
      <c r="Z242">
        <v>8</v>
      </c>
      <c r="AA242" s="32">
        <f t="shared" si="35"/>
        <v>1</v>
      </c>
    </row>
    <row r="243" spans="1:27" x14ac:dyDescent="0.45">
      <c r="A243">
        <v>7</v>
      </c>
      <c r="B243" s="36">
        <f>step3_combined_data!S39</f>
        <v>8</v>
      </c>
      <c r="C243" s="32">
        <f t="shared" si="27"/>
        <v>1</v>
      </c>
      <c r="D243">
        <v>8</v>
      </c>
      <c r="E243" s="36">
        <f>step3_combined_data!X152</f>
        <v>8</v>
      </c>
      <c r="F243" s="32">
        <f t="shared" si="28"/>
        <v>0</v>
      </c>
      <c r="G243">
        <v>9</v>
      </c>
      <c r="H243">
        <v>7</v>
      </c>
      <c r="I243" s="32">
        <f t="shared" si="29"/>
        <v>2</v>
      </c>
      <c r="J243">
        <v>9</v>
      </c>
      <c r="K243">
        <v>8</v>
      </c>
      <c r="L243" s="32">
        <f t="shared" si="30"/>
        <v>1</v>
      </c>
      <c r="M243">
        <v>8</v>
      </c>
      <c r="N243">
        <v>7</v>
      </c>
      <c r="O243" s="32">
        <f t="shared" si="31"/>
        <v>1</v>
      </c>
      <c r="P243">
        <v>9</v>
      </c>
      <c r="Q243">
        <v>7</v>
      </c>
      <c r="R243" s="32">
        <f t="shared" si="32"/>
        <v>2</v>
      </c>
      <c r="S243">
        <v>8</v>
      </c>
      <c r="T243">
        <v>7</v>
      </c>
      <c r="U243" s="32">
        <f t="shared" si="33"/>
        <v>1</v>
      </c>
      <c r="V243">
        <v>8</v>
      </c>
      <c r="W243">
        <v>7</v>
      </c>
      <c r="X243" s="32">
        <f t="shared" si="34"/>
        <v>1</v>
      </c>
      <c r="Y243">
        <v>9</v>
      </c>
      <c r="Z243">
        <v>8</v>
      </c>
      <c r="AA243" s="32">
        <f t="shared" si="35"/>
        <v>1</v>
      </c>
    </row>
    <row r="244" spans="1:27" x14ac:dyDescent="0.45">
      <c r="A244">
        <v>7</v>
      </c>
      <c r="B244" s="36">
        <f>step3_combined_data!S41</f>
        <v>8</v>
      </c>
      <c r="C244" s="32">
        <f t="shared" si="27"/>
        <v>1</v>
      </c>
      <c r="D244">
        <v>8</v>
      </c>
      <c r="E244" s="36">
        <f>step3_combined_data!X155</f>
        <v>8</v>
      </c>
      <c r="F244" s="32">
        <f t="shared" si="28"/>
        <v>0</v>
      </c>
      <c r="G244">
        <v>9</v>
      </c>
      <c r="H244">
        <v>7</v>
      </c>
      <c r="I244" s="32">
        <f t="shared" si="29"/>
        <v>2</v>
      </c>
      <c r="J244">
        <v>9</v>
      </c>
      <c r="K244">
        <v>8</v>
      </c>
      <c r="L244" s="32">
        <f t="shared" si="30"/>
        <v>1</v>
      </c>
      <c r="M244">
        <v>8</v>
      </c>
      <c r="N244">
        <v>7</v>
      </c>
      <c r="O244" s="32">
        <f t="shared" si="31"/>
        <v>1</v>
      </c>
      <c r="P244">
        <v>9</v>
      </c>
      <c r="Q244">
        <v>7</v>
      </c>
      <c r="R244" s="32">
        <f t="shared" si="32"/>
        <v>2</v>
      </c>
      <c r="S244">
        <v>8</v>
      </c>
      <c r="T244">
        <v>7</v>
      </c>
      <c r="U244" s="32">
        <f t="shared" si="33"/>
        <v>1</v>
      </c>
      <c r="V244">
        <v>8</v>
      </c>
      <c r="W244">
        <v>7</v>
      </c>
      <c r="X244" s="32">
        <f t="shared" si="34"/>
        <v>1</v>
      </c>
      <c r="Y244">
        <v>9</v>
      </c>
      <c r="Z244">
        <v>8</v>
      </c>
      <c r="AA244" s="32">
        <f t="shared" si="35"/>
        <v>1</v>
      </c>
    </row>
    <row r="245" spans="1:27" x14ac:dyDescent="0.45">
      <c r="A245">
        <v>7</v>
      </c>
      <c r="B245" s="36">
        <f>step3_combined_data!S45</f>
        <v>8</v>
      </c>
      <c r="C245" s="32">
        <f t="shared" si="27"/>
        <v>1</v>
      </c>
      <c r="D245">
        <v>8</v>
      </c>
      <c r="E245" s="36">
        <f>step3_combined_data!X159</f>
        <v>8</v>
      </c>
      <c r="F245" s="32">
        <f t="shared" si="28"/>
        <v>0</v>
      </c>
      <c r="G245">
        <v>9</v>
      </c>
      <c r="H245">
        <v>7</v>
      </c>
      <c r="I245" s="32">
        <f t="shared" si="29"/>
        <v>2</v>
      </c>
      <c r="J245">
        <v>9</v>
      </c>
      <c r="K245">
        <v>8</v>
      </c>
      <c r="L245" s="32">
        <f t="shared" si="30"/>
        <v>1</v>
      </c>
      <c r="M245">
        <v>8</v>
      </c>
      <c r="N245">
        <v>7</v>
      </c>
      <c r="O245" s="32">
        <f t="shared" si="31"/>
        <v>1</v>
      </c>
      <c r="P245">
        <v>9</v>
      </c>
      <c r="Q245">
        <v>7</v>
      </c>
      <c r="R245" s="32">
        <f t="shared" si="32"/>
        <v>2</v>
      </c>
      <c r="S245">
        <v>8</v>
      </c>
      <c r="T245">
        <v>7</v>
      </c>
      <c r="U245" s="32">
        <f t="shared" si="33"/>
        <v>1</v>
      </c>
      <c r="V245">
        <v>8</v>
      </c>
      <c r="W245">
        <v>7</v>
      </c>
      <c r="X245" s="32">
        <f t="shared" si="34"/>
        <v>1</v>
      </c>
      <c r="Y245">
        <v>9</v>
      </c>
      <c r="Z245">
        <v>8</v>
      </c>
      <c r="AA245" s="32">
        <f t="shared" si="35"/>
        <v>1</v>
      </c>
    </row>
    <row r="246" spans="1:27" x14ac:dyDescent="0.45">
      <c r="A246">
        <v>7</v>
      </c>
      <c r="B246" s="36">
        <f>step3_combined_data!S48</f>
        <v>8</v>
      </c>
      <c r="C246" s="32">
        <f t="shared" si="27"/>
        <v>1</v>
      </c>
      <c r="D246">
        <v>8</v>
      </c>
      <c r="E246" s="36">
        <f>step3_combined_data!X163</f>
        <v>8</v>
      </c>
      <c r="F246" s="32">
        <f t="shared" si="28"/>
        <v>0</v>
      </c>
      <c r="G246">
        <v>9</v>
      </c>
      <c r="H246">
        <v>7</v>
      </c>
      <c r="I246" s="32">
        <f t="shared" si="29"/>
        <v>2</v>
      </c>
      <c r="J246">
        <v>9</v>
      </c>
      <c r="K246">
        <v>8</v>
      </c>
      <c r="L246" s="32">
        <f t="shared" si="30"/>
        <v>1</v>
      </c>
      <c r="M246">
        <v>8</v>
      </c>
      <c r="N246">
        <v>7</v>
      </c>
      <c r="O246" s="32">
        <f t="shared" si="31"/>
        <v>1</v>
      </c>
      <c r="P246">
        <v>9</v>
      </c>
      <c r="Q246">
        <v>7</v>
      </c>
      <c r="R246" s="32">
        <f t="shared" si="32"/>
        <v>2</v>
      </c>
      <c r="S246">
        <v>8</v>
      </c>
      <c r="T246">
        <v>7</v>
      </c>
      <c r="U246" s="32">
        <f t="shared" si="33"/>
        <v>1</v>
      </c>
      <c r="V246">
        <v>8</v>
      </c>
      <c r="W246">
        <v>7</v>
      </c>
      <c r="X246" s="32">
        <f t="shared" si="34"/>
        <v>1</v>
      </c>
      <c r="Y246">
        <v>9</v>
      </c>
      <c r="Z246">
        <v>8</v>
      </c>
      <c r="AA246" s="32">
        <f t="shared" si="35"/>
        <v>1</v>
      </c>
    </row>
    <row r="247" spans="1:27" x14ac:dyDescent="0.45">
      <c r="A247">
        <v>7</v>
      </c>
      <c r="B247" s="36">
        <f>step3_combined_data!S50</f>
        <v>8</v>
      </c>
      <c r="C247" s="32">
        <f t="shared" si="27"/>
        <v>1</v>
      </c>
      <c r="D247">
        <v>8</v>
      </c>
      <c r="E247" s="36">
        <f>step3_combined_data!X167</f>
        <v>8</v>
      </c>
      <c r="F247" s="32">
        <f t="shared" si="28"/>
        <v>0</v>
      </c>
      <c r="G247">
        <v>9</v>
      </c>
      <c r="H247">
        <v>7</v>
      </c>
      <c r="I247" s="32">
        <f t="shared" si="29"/>
        <v>2</v>
      </c>
      <c r="J247">
        <v>9</v>
      </c>
      <c r="K247">
        <v>8</v>
      </c>
      <c r="L247" s="32">
        <f t="shared" si="30"/>
        <v>1</v>
      </c>
      <c r="M247">
        <v>8</v>
      </c>
      <c r="N247">
        <v>7</v>
      </c>
      <c r="O247" s="32">
        <f t="shared" si="31"/>
        <v>1</v>
      </c>
      <c r="P247">
        <v>9</v>
      </c>
      <c r="Q247">
        <v>7</v>
      </c>
      <c r="R247" s="32">
        <f t="shared" si="32"/>
        <v>2</v>
      </c>
      <c r="S247">
        <v>8</v>
      </c>
      <c r="T247">
        <v>7</v>
      </c>
      <c r="U247" s="32">
        <f t="shared" si="33"/>
        <v>1</v>
      </c>
      <c r="V247">
        <v>8</v>
      </c>
      <c r="W247">
        <v>7</v>
      </c>
      <c r="X247" s="32">
        <f t="shared" si="34"/>
        <v>1</v>
      </c>
      <c r="Y247">
        <v>9</v>
      </c>
      <c r="Z247">
        <v>8</v>
      </c>
      <c r="AA247" s="32">
        <f t="shared" si="35"/>
        <v>1</v>
      </c>
    </row>
    <row r="248" spans="1:27" x14ac:dyDescent="0.45">
      <c r="A248">
        <v>7</v>
      </c>
      <c r="B248" s="36">
        <f>step3_combined_data!S55</f>
        <v>8</v>
      </c>
      <c r="C248" s="32">
        <f t="shared" si="27"/>
        <v>1</v>
      </c>
      <c r="D248">
        <v>8</v>
      </c>
      <c r="E248" s="36">
        <f>step3_combined_data!X168</f>
        <v>8</v>
      </c>
      <c r="F248" s="32">
        <f t="shared" si="28"/>
        <v>0</v>
      </c>
      <c r="G248">
        <v>9</v>
      </c>
      <c r="H248">
        <v>7</v>
      </c>
      <c r="I248" s="32">
        <f t="shared" si="29"/>
        <v>2</v>
      </c>
      <c r="J248">
        <v>9</v>
      </c>
      <c r="K248">
        <v>8</v>
      </c>
      <c r="L248" s="32">
        <f t="shared" si="30"/>
        <v>1</v>
      </c>
      <c r="M248">
        <v>8</v>
      </c>
      <c r="N248">
        <v>7</v>
      </c>
      <c r="O248" s="32">
        <f t="shared" si="31"/>
        <v>1</v>
      </c>
      <c r="P248">
        <v>9</v>
      </c>
      <c r="Q248">
        <v>7</v>
      </c>
      <c r="R248" s="32">
        <f t="shared" si="32"/>
        <v>2</v>
      </c>
      <c r="S248">
        <v>8</v>
      </c>
      <c r="T248">
        <v>7</v>
      </c>
      <c r="U248" s="32">
        <f t="shared" si="33"/>
        <v>1</v>
      </c>
      <c r="V248">
        <v>8</v>
      </c>
      <c r="W248">
        <v>7</v>
      </c>
      <c r="X248" s="32">
        <f t="shared" si="34"/>
        <v>1</v>
      </c>
      <c r="Y248">
        <v>9</v>
      </c>
      <c r="Z248">
        <v>8</v>
      </c>
      <c r="AA248" s="32">
        <f t="shared" si="35"/>
        <v>1</v>
      </c>
    </row>
    <row r="249" spans="1:27" x14ac:dyDescent="0.45">
      <c r="A249">
        <v>7</v>
      </c>
      <c r="B249" s="36">
        <f>step3_combined_data!S62</f>
        <v>8</v>
      </c>
      <c r="C249" s="32">
        <f t="shared" si="27"/>
        <v>1</v>
      </c>
      <c r="D249">
        <v>8</v>
      </c>
      <c r="E249" s="36">
        <f>step3_combined_data!X170</f>
        <v>8</v>
      </c>
      <c r="F249" s="32">
        <f t="shared" si="28"/>
        <v>0</v>
      </c>
      <c r="G249">
        <v>9</v>
      </c>
      <c r="H249">
        <v>7</v>
      </c>
      <c r="I249" s="32">
        <f t="shared" si="29"/>
        <v>2</v>
      </c>
      <c r="J249">
        <v>9</v>
      </c>
      <c r="K249">
        <v>8</v>
      </c>
      <c r="L249" s="32">
        <f t="shared" si="30"/>
        <v>1</v>
      </c>
      <c r="M249">
        <v>8</v>
      </c>
      <c r="N249">
        <v>7</v>
      </c>
      <c r="O249" s="32">
        <f t="shared" si="31"/>
        <v>1</v>
      </c>
      <c r="P249">
        <v>9</v>
      </c>
      <c r="Q249">
        <v>7</v>
      </c>
      <c r="R249" s="32">
        <f t="shared" si="32"/>
        <v>2</v>
      </c>
      <c r="S249">
        <v>8</v>
      </c>
      <c r="T249">
        <v>7</v>
      </c>
      <c r="U249" s="32">
        <f t="shared" si="33"/>
        <v>1</v>
      </c>
      <c r="V249">
        <v>8</v>
      </c>
      <c r="W249">
        <v>7</v>
      </c>
      <c r="X249" s="32">
        <f t="shared" si="34"/>
        <v>1</v>
      </c>
      <c r="Y249">
        <v>9</v>
      </c>
      <c r="Z249">
        <v>8</v>
      </c>
      <c r="AA249" s="32">
        <f t="shared" si="35"/>
        <v>1</v>
      </c>
    </row>
    <row r="250" spans="1:27" x14ac:dyDescent="0.45">
      <c r="A250">
        <v>7</v>
      </c>
      <c r="B250" s="36">
        <f>step3_combined_data!S73</f>
        <v>8</v>
      </c>
      <c r="C250" s="32">
        <f t="shared" si="27"/>
        <v>1</v>
      </c>
      <c r="D250">
        <v>8</v>
      </c>
      <c r="E250" s="36">
        <f>step3_combined_data!X171</f>
        <v>8</v>
      </c>
      <c r="F250" s="32">
        <f t="shared" si="28"/>
        <v>0</v>
      </c>
      <c r="G250">
        <v>9</v>
      </c>
      <c r="H250">
        <v>7</v>
      </c>
      <c r="I250" s="32">
        <f t="shared" si="29"/>
        <v>2</v>
      </c>
      <c r="J250">
        <v>9</v>
      </c>
      <c r="K250">
        <v>8</v>
      </c>
      <c r="L250" s="32">
        <f t="shared" si="30"/>
        <v>1</v>
      </c>
      <c r="M250">
        <v>8</v>
      </c>
      <c r="N250">
        <v>7</v>
      </c>
      <c r="O250" s="32">
        <f t="shared" si="31"/>
        <v>1</v>
      </c>
      <c r="P250">
        <v>9</v>
      </c>
      <c r="Q250">
        <v>8</v>
      </c>
      <c r="R250" s="32">
        <f t="shared" si="32"/>
        <v>1</v>
      </c>
      <c r="S250">
        <v>8</v>
      </c>
      <c r="T250">
        <v>7</v>
      </c>
      <c r="U250" s="32">
        <f t="shared" si="33"/>
        <v>1</v>
      </c>
      <c r="V250">
        <v>8</v>
      </c>
      <c r="W250">
        <v>7</v>
      </c>
      <c r="X250" s="32">
        <f t="shared" si="34"/>
        <v>1</v>
      </c>
      <c r="Y250">
        <v>9</v>
      </c>
      <c r="Z250">
        <v>8</v>
      </c>
      <c r="AA250" s="32">
        <f t="shared" si="35"/>
        <v>1</v>
      </c>
    </row>
    <row r="251" spans="1:27" x14ac:dyDescent="0.45">
      <c r="A251">
        <v>7</v>
      </c>
      <c r="B251" s="36">
        <f>step3_combined_data!S76</f>
        <v>8</v>
      </c>
      <c r="C251" s="32">
        <f t="shared" si="27"/>
        <v>1</v>
      </c>
      <c r="D251">
        <v>8</v>
      </c>
      <c r="E251" s="36">
        <f>step3_combined_data!X173</f>
        <v>8</v>
      </c>
      <c r="F251" s="32">
        <f t="shared" si="28"/>
        <v>0</v>
      </c>
      <c r="G251">
        <v>9</v>
      </c>
      <c r="H251">
        <v>7</v>
      </c>
      <c r="I251" s="32">
        <f t="shared" si="29"/>
        <v>2</v>
      </c>
      <c r="J251">
        <v>9</v>
      </c>
      <c r="K251">
        <v>8</v>
      </c>
      <c r="L251" s="32">
        <f t="shared" si="30"/>
        <v>1</v>
      </c>
      <c r="M251">
        <v>8</v>
      </c>
      <c r="N251">
        <v>7</v>
      </c>
      <c r="O251" s="32">
        <f t="shared" si="31"/>
        <v>1</v>
      </c>
      <c r="P251">
        <v>9</v>
      </c>
      <c r="Q251">
        <v>8</v>
      </c>
      <c r="R251" s="32">
        <f t="shared" si="32"/>
        <v>1</v>
      </c>
      <c r="S251">
        <v>8</v>
      </c>
      <c r="T251">
        <v>7</v>
      </c>
      <c r="U251" s="32">
        <f t="shared" si="33"/>
        <v>1</v>
      </c>
      <c r="V251">
        <v>8</v>
      </c>
      <c r="W251">
        <v>7</v>
      </c>
      <c r="X251" s="32">
        <f t="shared" si="34"/>
        <v>1</v>
      </c>
      <c r="Y251">
        <v>9</v>
      </c>
      <c r="Z251">
        <v>8</v>
      </c>
      <c r="AA251" s="32">
        <f t="shared" si="35"/>
        <v>1</v>
      </c>
    </row>
    <row r="252" spans="1:27" x14ac:dyDescent="0.45">
      <c r="A252">
        <v>7</v>
      </c>
      <c r="B252" s="36">
        <f>step3_combined_data!S78</f>
        <v>8</v>
      </c>
      <c r="C252" s="32">
        <f t="shared" si="27"/>
        <v>1</v>
      </c>
      <c r="D252">
        <v>8</v>
      </c>
      <c r="E252" s="36">
        <f>step3_combined_data!X183</f>
        <v>8</v>
      </c>
      <c r="F252" s="32">
        <f t="shared" si="28"/>
        <v>0</v>
      </c>
      <c r="G252">
        <v>9</v>
      </c>
      <c r="H252">
        <v>7</v>
      </c>
      <c r="I252" s="32">
        <f t="shared" si="29"/>
        <v>2</v>
      </c>
      <c r="J252">
        <v>9</v>
      </c>
      <c r="K252">
        <v>8</v>
      </c>
      <c r="L252" s="32">
        <f t="shared" si="30"/>
        <v>1</v>
      </c>
      <c r="M252">
        <v>8</v>
      </c>
      <c r="N252">
        <v>7</v>
      </c>
      <c r="O252" s="32">
        <f t="shared" si="31"/>
        <v>1</v>
      </c>
      <c r="P252">
        <v>9</v>
      </c>
      <c r="Q252">
        <v>8</v>
      </c>
      <c r="R252" s="32">
        <f t="shared" si="32"/>
        <v>1</v>
      </c>
      <c r="S252">
        <v>8</v>
      </c>
      <c r="T252">
        <v>7</v>
      </c>
      <c r="U252" s="32">
        <f t="shared" si="33"/>
        <v>1</v>
      </c>
      <c r="V252">
        <v>8</v>
      </c>
      <c r="W252">
        <v>7</v>
      </c>
      <c r="X252" s="32">
        <f t="shared" si="34"/>
        <v>1</v>
      </c>
      <c r="Y252">
        <v>9</v>
      </c>
      <c r="Z252">
        <v>8</v>
      </c>
      <c r="AA252" s="32">
        <f t="shared" si="35"/>
        <v>1</v>
      </c>
    </row>
    <row r="253" spans="1:27" x14ac:dyDescent="0.45">
      <c r="A253">
        <v>7</v>
      </c>
      <c r="B253" s="36">
        <f>step3_combined_data!S79</f>
        <v>8</v>
      </c>
      <c r="C253" s="32">
        <f t="shared" si="27"/>
        <v>1</v>
      </c>
      <c r="D253">
        <v>8</v>
      </c>
      <c r="E253" s="36">
        <f>step3_combined_data!X190</f>
        <v>8</v>
      </c>
      <c r="F253" s="32">
        <f t="shared" si="28"/>
        <v>0</v>
      </c>
      <c r="G253">
        <v>9</v>
      </c>
      <c r="H253">
        <v>7</v>
      </c>
      <c r="I253" s="32">
        <f t="shared" si="29"/>
        <v>2</v>
      </c>
      <c r="J253">
        <v>9</v>
      </c>
      <c r="K253">
        <v>8</v>
      </c>
      <c r="L253" s="32">
        <f t="shared" si="30"/>
        <v>1</v>
      </c>
      <c r="M253">
        <v>8</v>
      </c>
      <c r="N253">
        <v>7</v>
      </c>
      <c r="O253" s="32">
        <f t="shared" si="31"/>
        <v>1</v>
      </c>
      <c r="P253">
        <v>9</v>
      </c>
      <c r="Q253">
        <v>8</v>
      </c>
      <c r="R253" s="32">
        <f t="shared" si="32"/>
        <v>1</v>
      </c>
      <c r="S253">
        <v>8</v>
      </c>
      <c r="T253">
        <v>7</v>
      </c>
      <c r="U253" s="32">
        <f t="shared" si="33"/>
        <v>1</v>
      </c>
      <c r="V253">
        <v>8</v>
      </c>
      <c r="W253">
        <v>7</v>
      </c>
      <c r="X253" s="32">
        <f t="shared" si="34"/>
        <v>1</v>
      </c>
      <c r="Y253">
        <v>9</v>
      </c>
      <c r="Z253">
        <v>8</v>
      </c>
      <c r="AA253" s="32">
        <f t="shared" si="35"/>
        <v>1</v>
      </c>
    </row>
    <row r="254" spans="1:27" x14ac:dyDescent="0.45">
      <c r="A254">
        <v>7</v>
      </c>
      <c r="B254" s="36">
        <f>step3_combined_data!S81</f>
        <v>8</v>
      </c>
      <c r="C254" s="32">
        <f t="shared" si="27"/>
        <v>1</v>
      </c>
      <c r="D254">
        <v>8</v>
      </c>
      <c r="E254" s="36">
        <f>step3_combined_data!X193</f>
        <v>8</v>
      </c>
      <c r="F254" s="32">
        <f t="shared" si="28"/>
        <v>0</v>
      </c>
      <c r="G254">
        <v>9</v>
      </c>
      <c r="H254">
        <v>7</v>
      </c>
      <c r="I254" s="32">
        <f t="shared" si="29"/>
        <v>2</v>
      </c>
      <c r="J254">
        <v>9</v>
      </c>
      <c r="K254">
        <v>8</v>
      </c>
      <c r="L254" s="32">
        <f t="shared" si="30"/>
        <v>1</v>
      </c>
      <c r="M254">
        <v>8</v>
      </c>
      <c r="N254">
        <v>7</v>
      </c>
      <c r="O254" s="32">
        <f t="shared" si="31"/>
        <v>1</v>
      </c>
      <c r="P254">
        <v>9</v>
      </c>
      <c r="Q254">
        <v>8</v>
      </c>
      <c r="R254" s="32">
        <f t="shared" si="32"/>
        <v>1</v>
      </c>
      <c r="S254">
        <v>8</v>
      </c>
      <c r="T254">
        <v>7</v>
      </c>
      <c r="U254" s="32">
        <f t="shared" si="33"/>
        <v>1</v>
      </c>
      <c r="V254">
        <v>8</v>
      </c>
      <c r="W254">
        <v>7</v>
      </c>
      <c r="X254" s="32">
        <f t="shared" si="34"/>
        <v>1</v>
      </c>
      <c r="Y254">
        <v>9</v>
      </c>
      <c r="Z254">
        <v>8</v>
      </c>
      <c r="AA254" s="32">
        <f t="shared" si="35"/>
        <v>1</v>
      </c>
    </row>
    <row r="255" spans="1:27" x14ac:dyDescent="0.45">
      <c r="A255">
        <v>7</v>
      </c>
      <c r="B255" s="36">
        <f>step3_combined_data!S83</f>
        <v>8</v>
      </c>
      <c r="C255" s="32">
        <f t="shared" si="27"/>
        <v>1</v>
      </c>
      <c r="D255">
        <v>8</v>
      </c>
      <c r="E255" s="36">
        <f>step3_combined_data!X200</f>
        <v>8</v>
      </c>
      <c r="F255" s="32">
        <f t="shared" si="28"/>
        <v>0</v>
      </c>
      <c r="G255">
        <v>9</v>
      </c>
      <c r="H255">
        <v>7</v>
      </c>
      <c r="I255" s="32">
        <f t="shared" si="29"/>
        <v>2</v>
      </c>
      <c r="J255">
        <v>9</v>
      </c>
      <c r="K255">
        <v>8</v>
      </c>
      <c r="L255" s="32">
        <f t="shared" si="30"/>
        <v>1</v>
      </c>
      <c r="M255">
        <v>8</v>
      </c>
      <c r="N255">
        <v>7</v>
      </c>
      <c r="O255" s="32">
        <f t="shared" si="31"/>
        <v>1</v>
      </c>
      <c r="P255">
        <v>9</v>
      </c>
      <c r="Q255">
        <v>8</v>
      </c>
      <c r="R255" s="32">
        <f t="shared" si="32"/>
        <v>1</v>
      </c>
      <c r="S255">
        <v>8</v>
      </c>
      <c r="T255">
        <v>7</v>
      </c>
      <c r="U255" s="32">
        <f t="shared" si="33"/>
        <v>1</v>
      </c>
      <c r="V255">
        <v>8</v>
      </c>
      <c r="W255">
        <v>7</v>
      </c>
      <c r="X255" s="32">
        <f t="shared" si="34"/>
        <v>1</v>
      </c>
      <c r="Y255">
        <v>9</v>
      </c>
      <c r="Z255">
        <v>8</v>
      </c>
      <c r="AA255" s="32">
        <f t="shared" si="35"/>
        <v>1</v>
      </c>
    </row>
    <row r="256" spans="1:27" x14ac:dyDescent="0.45">
      <c r="A256">
        <v>7</v>
      </c>
      <c r="B256" s="36">
        <f>step3_combined_data!S97</f>
        <v>8</v>
      </c>
      <c r="C256" s="32">
        <f t="shared" si="27"/>
        <v>1</v>
      </c>
      <c r="D256">
        <v>8</v>
      </c>
      <c r="E256" s="36">
        <f>step3_combined_data!X203</f>
        <v>8</v>
      </c>
      <c r="F256" s="32">
        <f t="shared" si="28"/>
        <v>0</v>
      </c>
      <c r="G256">
        <v>9</v>
      </c>
      <c r="H256">
        <v>7</v>
      </c>
      <c r="I256" s="32">
        <f t="shared" si="29"/>
        <v>2</v>
      </c>
      <c r="J256">
        <v>9</v>
      </c>
      <c r="K256">
        <v>8</v>
      </c>
      <c r="L256" s="32">
        <f t="shared" si="30"/>
        <v>1</v>
      </c>
      <c r="M256">
        <v>8</v>
      </c>
      <c r="N256">
        <v>7</v>
      </c>
      <c r="O256" s="32">
        <f t="shared" si="31"/>
        <v>1</v>
      </c>
      <c r="P256">
        <v>9</v>
      </c>
      <c r="Q256">
        <v>8</v>
      </c>
      <c r="R256" s="32">
        <f t="shared" si="32"/>
        <v>1</v>
      </c>
      <c r="S256">
        <v>8</v>
      </c>
      <c r="T256">
        <v>7</v>
      </c>
      <c r="U256" s="32">
        <f t="shared" si="33"/>
        <v>1</v>
      </c>
      <c r="V256">
        <v>8</v>
      </c>
      <c r="W256">
        <v>7</v>
      </c>
      <c r="X256" s="32">
        <f t="shared" si="34"/>
        <v>1</v>
      </c>
      <c r="Y256">
        <v>9</v>
      </c>
      <c r="Z256">
        <v>8</v>
      </c>
      <c r="AA256" s="32">
        <f t="shared" si="35"/>
        <v>1</v>
      </c>
    </row>
    <row r="257" spans="1:27" x14ac:dyDescent="0.45">
      <c r="A257">
        <v>7</v>
      </c>
      <c r="B257" s="36">
        <f>step3_combined_data!S99</f>
        <v>8</v>
      </c>
      <c r="C257" s="32">
        <f t="shared" si="27"/>
        <v>1</v>
      </c>
      <c r="D257">
        <v>8</v>
      </c>
      <c r="E257" s="36">
        <f>step3_combined_data!X207</f>
        <v>8</v>
      </c>
      <c r="F257" s="32">
        <f t="shared" si="28"/>
        <v>0</v>
      </c>
      <c r="G257">
        <v>9</v>
      </c>
      <c r="H257">
        <v>7</v>
      </c>
      <c r="I257" s="32">
        <f t="shared" si="29"/>
        <v>2</v>
      </c>
      <c r="J257">
        <v>9</v>
      </c>
      <c r="K257">
        <v>8</v>
      </c>
      <c r="L257" s="32">
        <f t="shared" si="30"/>
        <v>1</v>
      </c>
      <c r="M257">
        <v>8</v>
      </c>
      <c r="N257">
        <v>7</v>
      </c>
      <c r="O257" s="32">
        <f t="shared" si="31"/>
        <v>1</v>
      </c>
      <c r="P257">
        <v>9</v>
      </c>
      <c r="Q257">
        <v>8</v>
      </c>
      <c r="R257" s="32">
        <f t="shared" si="32"/>
        <v>1</v>
      </c>
      <c r="S257">
        <v>8</v>
      </c>
      <c r="T257">
        <v>7</v>
      </c>
      <c r="U257" s="32">
        <f t="shared" si="33"/>
        <v>1</v>
      </c>
      <c r="V257">
        <v>8</v>
      </c>
      <c r="W257">
        <v>7</v>
      </c>
      <c r="X257" s="32">
        <f t="shared" si="34"/>
        <v>1</v>
      </c>
      <c r="Y257">
        <v>9</v>
      </c>
      <c r="Z257">
        <v>8</v>
      </c>
      <c r="AA257" s="32">
        <f t="shared" si="35"/>
        <v>1</v>
      </c>
    </row>
    <row r="258" spans="1:27" x14ac:dyDescent="0.45">
      <c r="A258">
        <v>7</v>
      </c>
      <c r="B258" s="36">
        <f>step3_combined_data!S101</f>
        <v>8</v>
      </c>
      <c r="C258" s="32">
        <f t="shared" si="27"/>
        <v>1</v>
      </c>
      <c r="D258">
        <v>8</v>
      </c>
      <c r="E258" s="36">
        <f>step3_combined_data!X209</f>
        <v>8</v>
      </c>
      <c r="F258" s="32">
        <f t="shared" si="28"/>
        <v>0</v>
      </c>
      <c r="G258">
        <v>9</v>
      </c>
      <c r="H258">
        <v>7</v>
      </c>
      <c r="I258" s="32">
        <f t="shared" si="29"/>
        <v>2</v>
      </c>
      <c r="J258">
        <v>9</v>
      </c>
      <c r="K258">
        <v>8</v>
      </c>
      <c r="L258" s="32">
        <f t="shared" si="30"/>
        <v>1</v>
      </c>
      <c r="M258">
        <v>8</v>
      </c>
      <c r="N258">
        <v>7</v>
      </c>
      <c r="O258" s="32">
        <f t="shared" si="31"/>
        <v>1</v>
      </c>
      <c r="P258">
        <v>9</v>
      </c>
      <c r="Q258">
        <v>8</v>
      </c>
      <c r="R258" s="32">
        <f t="shared" si="32"/>
        <v>1</v>
      </c>
      <c r="S258">
        <v>8</v>
      </c>
      <c r="T258">
        <v>7</v>
      </c>
      <c r="U258" s="32">
        <f t="shared" si="33"/>
        <v>1</v>
      </c>
      <c r="V258">
        <v>8</v>
      </c>
      <c r="W258">
        <v>7</v>
      </c>
      <c r="X258" s="32">
        <f t="shared" si="34"/>
        <v>1</v>
      </c>
      <c r="Y258">
        <v>9</v>
      </c>
      <c r="Z258">
        <v>8</v>
      </c>
      <c r="AA258" s="32">
        <f t="shared" si="35"/>
        <v>1</v>
      </c>
    </row>
    <row r="259" spans="1:27" x14ac:dyDescent="0.45">
      <c r="A259">
        <v>7</v>
      </c>
      <c r="B259" s="36">
        <f>step3_combined_data!S102</f>
        <v>8</v>
      </c>
      <c r="C259" s="32">
        <f t="shared" ref="C259:C322" si="36">ABS(B259-A259)</f>
        <v>1</v>
      </c>
      <c r="D259">
        <v>8</v>
      </c>
      <c r="E259" s="36">
        <f>step3_combined_data!X214</f>
        <v>8</v>
      </c>
      <c r="F259" s="32">
        <f t="shared" ref="F259:F322" si="37">ABS(E259-D259)</f>
        <v>0</v>
      </c>
      <c r="G259">
        <v>9</v>
      </c>
      <c r="H259">
        <v>7</v>
      </c>
      <c r="I259" s="32">
        <f t="shared" ref="I259:I322" si="38">ABS(H259-G259)</f>
        <v>2</v>
      </c>
      <c r="J259">
        <v>9</v>
      </c>
      <c r="K259">
        <v>8</v>
      </c>
      <c r="L259" s="32">
        <f t="shared" ref="L259:L322" si="39">ABS(K259-J259)</f>
        <v>1</v>
      </c>
      <c r="M259">
        <v>8</v>
      </c>
      <c r="N259">
        <v>7</v>
      </c>
      <c r="O259" s="32">
        <f t="shared" ref="O259:O322" si="40">ABS(N259-M259)</f>
        <v>1</v>
      </c>
      <c r="P259">
        <v>9</v>
      </c>
      <c r="Q259">
        <v>8</v>
      </c>
      <c r="R259" s="32">
        <f t="shared" ref="R259:R322" si="41">ABS(Q259-P259)</f>
        <v>1</v>
      </c>
      <c r="S259">
        <v>8</v>
      </c>
      <c r="T259">
        <v>7</v>
      </c>
      <c r="U259" s="32">
        <f t="shared" ref="U259:U322" si="42">ABS(T259-S259)</f>
        <v>1</v>
      </c>
      <c r="V259">
        <v>8</v>
      </c>
      <c r="W259">
        <v>7</v>
      </c>
      <c r="X259" s="32">
        <f t="shared" ref="X259:X322" si="43">ABS(W259-V259)</f>
        <v>1</v>
      </c>
      <c r="Y259">
        <v>9</v>
      </c>
      <c r="Z259">
        <v>8</v>
      </c>
      <c r="AA259" s="32">
        <f t="shared" ref="AA259:AA322" si="44">ABS(Z259-Y259)</f>
        <v>1</v>
      </c>
    </row>
    <row r="260" spans="1:27" x14ac:dyDescent="0.45">
      <c r="A260">
        <v>7</v>
      </c>
      <c r="B260" s="36">
        <f>step3_combined_data!S104</f>
        <v>8</v>
      </c>
      <c r="C260" s="32">
        <f t="shared" si="36"/>
        <v>1</v>
      </c>
      <c r="D260">
        <v>8</v>
      </c>
      <c r="E260" s="36">
        <f>step3_combined_data!X220</f>
        <v>8</v>
      </c>
      <c r="F260" s="32">
        <f t="shared" si="37"/>
        <v>0</v>
      </c>
      <c r="G260">
        <v>9</v>
      </c>
      <c r="H260">
        <v>7</v>
      </c>
      <c r="I260" s="32">
        <f t="shared" si="38"/>
        <v>2</v>
      </c>
      <c r="J260">
        <v>9</v>
      </c>
      <c r="K260">
        <v>8</v>
      </c>
      <c r="L260" s="32">
        <f t="shared" si="39"/>
        <v>1</v>
      </c>
      <c r="M260">
        <v>8</v>
      </c>
      <c r="N260">
        <v>7</v>
      </c>
      <c r="O260" s="32">
        <f t="shared" si="40"/>
        <v>1</v>
      </c>
      <c r="P260">
        <v>9</v>
      </c>
      <c r="Q260">
        <v>8</v>
      </c>
      <c r="R260" s="32">
        <f t="shared" si="41"/>
        <v>1</v>
      </c>
      <c r="S260">
        <v>8</v>
      </c>
      <c r="T260">
        <v>7</v>
      </c>
      <c r="U260" s="32">
        <f t="shared" si="42"/>
        <v>1</v>
      </c>
      <c r="V260">
        <v>8</v>
      </c>
      <c r="W260">
        <v>7</v>
      </c>
      <c r="X260" s="32">
        <f t="shared" si="43"/>
        <v>1</v>
      </c>
      <c r="Y260">
        <v>9</v>
      </c>
      <c r="Z260">
        <v>8</v>
      </c>
      <c r="AA260" s="32">
        <f t="shared" si="44"/>
        <v>1</v>
      </c>
    </row>
    <row r="261" spans="1:27" x14ac:dyDescent="0.45">
      <c r="A261">
        <v>7</v>
      </c>
      <c r="B261" s="36">
        <f>step3_combined_data!S112</f>
        <v>8</v>
      </c>
      <c r="C261" s="32">
        <f t="shared" si="36"/>
        <v>1</v>
      </c>
      <c r="D261">
        <v>8</v>
      </c>
      <c r="E261" s="36">
        <f>step3_combined_data!X232</f>
        <v>8</v>
      </c>
      <c r="F261" s="32">
        <f t="shared" si="37"/>
        <v>0</v>
      </c>
      <c r="G261">
        <v>9</v>
      </c>
      <c r="H261">
        <v>7</v>
      </c>
      <c r="I261" s="32">
        <f t="shared" si="38"/>
        <v>2</v>
      </c>
      <c r="J261">
        <v>9</v>
      </c>
      <c r="K261">
        <v>8</v>
      </c>
      <c r="L261" s="32">
        <f t="shared" si="39"/>
        <v>1</v>
      </c>
      <c r="M261">
        <v>8</v>
      </c>
      <c r="N261">
        <v>7</v>
      </c>
      <c r="O261" s="32">
        <f t="shared" si="40"/>
        <v>1</v>
      </c>
      <c r="P261">
        <v>9</v>
      </c>
      <c r="Q261">
        <v>8</v>
      </c>
      <c r="R261" s="32">
        <f t="shared" si="41"/>
        <v>1</v>
      </c>
      <c r="S261">
        <v>8</v>
      </c>
      <c r="T261">
        <v>7</v>
      </c>
      <c r="U261" s="32">
        <f t="shared" si="42"/>
        <v>1</v>
      </c>
      <c r="V261">
        <v>8</v>
      </c>
      <c r="W261">
        <v>7</v>
      </c>
      <c r="X261" s="32">
        <f t="shared" si="43"/>
        <v>1</v>
      </c>
      <c r="Y261">
        <v>9</v>
      </c>
      <c r="Z261">
        <v>8</v>
      </c>
      <c r="AA261" s="32">
        <f t="shared" si="44"/>
        <v>1</v>
      </c>
    </row>
    <row r="262" spans="1:27" x14ac:dyDescent="0.45">
      <c r="A262">
        <v>7</v>
      </c>
      <c r="B262" s="36">
        <f>step3_combined_data!S118</f>
        <v>8</v>
      </c>
      <c r="C262" s="32">
        <f t="shared" si="36"/>
        <v>1</v>
      </c>
      <c r="D262">
        <v>8</v>
      </c>
      <c r="E262" s="36">
        <f>step3_combined_data!X234</f>
        <v>8</v>
      </c>
      <c r="F262" s="32">
        <f t="shared" si="37"/>
        <v>0</v>
      </c>
      <c r="G262">
        <v>9</v>
      </c>
      <c r="H262">
        <v>8</v>
      </c>
      <c r="I262" s="32">
        <f t="shared" si="38"/>
        <v>1</v>
      </c>
      <c r="J262">
        <v>9</v>
      </c>
      <c r="K262">
        <v>8</v>
      </c>
      <c r="L262" s="32">
        <f t="shared" si="39"/>
        <v>1</v>
      </c>
      <c r="M262">
        <v>8</v>
      </c>
      <c r="N262">
        <v>7</v>
      </c>
      <c r="O262" s="32">
        <f t="shared" si="40"/>
        <v>1</v>
      </c>
      <c r="P262">
        <v>9</v>
      </c>
      <c r="Q262">
        <v>8</v>
      </c>
      <c r="R262" s="32">
        <f t="shared" si="41"/>
        <v>1</v>
      </c>
      <c r="S262">
        <v>8</v>
      </c>
      <c r="T262">
        <v>7</v>
      </c>
      <c r="U262" s="32">
        <f t="shared" si="42"/>
        <v>1</v>
      </c>
      <c r="V262">
        <v>8</v>
      </c>
      <c r="W262">
        <v>7</v>
      </c>
      <c r="X262" s="32">
        <f t="shared" si="43"/>
        <v>1</v>
      </c>
      <c r="Y262">
        <v>9</v>
      </c>
      <c r="Z262">
        <v>8</v>
      </c>
      <c r="AA262" s="32">
        <f t="shared" si="44"/>
        <v>1</v>
      </c>
    </row>
    <row r="263" spans="1:27" x14ac:dyDescent="0.45">
      <c r="A263">
        <v>7</v>
      </c>
      <c r="B263" s="36">
        <f>step3_combined_data!S120</f>
        <v>8</v>
      </c>
      <c r="C263" s="32">
        <f t="shared" si="36"/>
        <v>1</v>
      </c>
      <c r="D263">
        <v>8</v>
      </c>
      <c r="E263" s="36">
        <f>step3_combined_data!X241</f>
        <v>8</v>
      </c>
      <c r="F263" s="32">
        <f t="shared" si="37"/>
        <v>0</v>
      </c>
      <c r="G263">
        <v>9</v>
      </c>
      <c r="H263">
        <v>8</v>
      </c>
      <c r="I263" s="32">
        <f t="shared" si="38"/>
        <v>1</v>
      </c>
      <c r="J263">
        <v>9</v>
      </c>
      <c r="K263">
        <v>8</v>
      </c>
      <c r="L263" s="32">
        <f t="shared" si="39"/>
        <v>1</v>
      </c>
      <c r="M263">
        <v>8</v>
      </c>
      <c r="N263">
        <v>7</v>
      </c>
      <c r="O263" s="32">
        <f t="shared" si="40"/>
        <v>1</v>
      </c>
      <c r="P263">
        <v>9</v>
      </c>
      <c r="Q263">
        <v>8</v>
      </c>
      <c r="R263" s="32">
        <f t="shared" si="41"/>
        <v>1</v>
      </c>
      <c r="S263">
        <v>8</v>
      </c>
      <c r="T263">
        <v>7</v>
      </c>
      <c r="U263" s="32">
        <f t="shared" si="42"/>
        <v>1</v>
      </c>
      <c r="V263">
        <v>8</v>
      </c>
      <c r="W263">
        <v>7</v>
      </c>
      <c r="X263" s="32">
        <f t="shared" si="43"/>
        <v>1</v>
      </c>
      <c r="Y263">
        <v>9</v>
      </c>
      <c r="Z263">
        <v>8</v>
      </c>
      <c r="AA263" s="32">
        <f t="shared" si="44"/>
        <v>1</v>
      </c>
    </row>
    <row r="264" spans="1:27" x14ac:dyDescent="0.45">
      <c r="A264">
        <v>7</v>
      </c>
      <c r="B264" s="36">
        <f>step3_combined_data!S127</f>
        <v>8</v>
      </c>
      <c r="C264" s="32">
        <f t="shared" si="36"/>
        <v>1</v>
      </c>
      <c r="D264">
        <v>8</v>
      </c>
      <c r="E264" s="36">
        <f>step3_combined_data!X248</f>
        <v>8</v>
      </c>
      <c r="F264" s="32">
        <f t="shared" si="37"/>
        <v>0</v>
      </c>
      <c r="G264">
        <v>9</v>
      </c>
      <c r="H264">
        <v>8</v>
      </c>
      <c r="I264" s="32">
        <f t="shared" si="38"/>
        <v>1</v>
      </c>
      <c r="J264">
        <v>9</v>
      </c>
      <c r="K264">
        <v>8</v>
      </c>
      <c r="L264" s="32">
        <f t="shared" si="39"/>
        <v>1</v>
      </c>
      <c r="M264">
        <v>8</v>
      </c>
      <c r="N264">
        <v>7</v>
      </c>
      <c r="O264" s="32">
        <f t="shared" si="40"/>
        <v>1</v>
      </c>
      <c r="P264">
        <v>9</v>
      </c>
      <c r="Q264">
        <v>8</v>
      </c>
      <c r="R264" s="32">
        <f t="shared" si="41"/>
        <v>1</v>
      </c>
      <c r="S264">
        <v>8</v>
      </c>
      <c r="T264">
        <v>7</v>
      </c>
      <c r="U264" s="32">
        <f t="shared" si="42"/>
        <v>1</v>
      </c>
      <c r="V264">
        <v>8</v>
      </c>
      <c r="W264">
        <v>7</v>
      </c>
      <c r="X264" s="32">
        <f t="shared" si="43"/>
        <v>1</v>
      </c>
      <c r="Y264">
        <v>9</v>
      </c>
      <c r="Z264">
        <v>8</v>
      </c>
      <c r="AA264" s="32">
        <f t="shared" si="44"/>
        <v>1</v>
      </c>
    </row>
    <row r="265" spans="1:27" x14ac:dyDescent="0.45">
      <c r="A265">
        <v>7</v>
      </c>
      <c r="B265" s="36">
        <f>step3_combined_data!S132</f>
        <v>8</v>
      </c>
      <c r="C265" s="32">
        <f t="shared" si="36"/>
        <v>1</v>
      </c>
      <c r="D265">
        <v>8</v>
      </c>
      <c r="E265" s="36">
        <f>step3_combined_data!X252</f>
        <v>8</v>
      </c>
      <c r="F265" s="32">
        <f t="shared" si="37"/>
        <v>0</v>
      </c>
      <c r="G265">
        <v>9</v>
      </c>
      <c r="H265">
        <v>8</v>
      </c>
      <c r="I265" s="32">
        <f t="shared" si="38"/>
        <v>1</v>
      </c>
      <c r="J265">
        <v>9</v>
      </c>
      <c r="K265">
        <v>8</v>
      </c>
      <c r="L265" s="32">
        <f t="shared" si="39"/>
        <v>1</v>
      </c>
      <c r="M265">
        <v>8</v>
      </c>
      <c r="N265">
        <v>7</v>
      </c>
      <c r="O265" s="32">
        <f t="shared" si="40"/>
        <v>1</v>
      </c>
      <c r="P265">
        <v>9</v>
      </c>
      <c r="Q265">
        <v>8</v>
      </c>
      <c r="R265" s="32">
        <f t="shared" si="41"/>
        <v>1</v>
      </c>
      <c r="S265">
        <v>8</v>
      </c>
      <c r="T265">
        <v>7</v>
      </c>
      <c r="U265" s="32">
        <f t="shared" si="42"/>
        <v>1</v>
      </c>
      <c r="V265">
        <v>8</v>
      </c>
      <c r="W265">
        <v>7</v>
      </c>
      <c r="X265" s="32">
        <f t="shared" si="43"/>
        <v>1</v>
      </c>
      <c r="Y265">
        <v>9</v>
      </c>
      <c r="Z265">
        <v>8</v>
      </c>
      <c r="AA265" s="32">
        <f t="shared" si="44"/>
        <v>1</v>
      </c>
    </row>
    <row r="266" spans="1:27" x14ac:dyDescent="0.45">
      <c r="A266">
        <v>7</v>
      </c>
      <c r="B266" s="36">
        <f>step3_combined_data!S137</f>
        <v>8</v>
      </c>
      <c r="C266" s="32">
        <f t="shared" si="36"/>
        <v>1</v>
      </c>
      <c r="D266">
        <v>8</v>
      </c>
      <c r="E266" s="36">
        <f>step3_combined_data!X254</f>
        <v>8</v>
      </c>
      <c r="F266" s="32">
        <f t="shared" si="37"/>
        <v>0</v>
      </c>
      <c r="G266">
        <v>9</v>
      </c>
      <c r="H266">
        <v>8</v>
      </c>
      <c r="I266" s="32">
        <f t="shared" si="38"/>
        <v>1</v>
      </c>
      <c r="J266">
        <v>9</v>
      </c>
      <c r="K266">
        <v>8</v>
      </c>
      <c r="L266" s="32">
        <f t="shared" si="39"/>
        <v>1</v>
      </c>
      <c r="M266">
        <v>8</v>
      </c>
      <c r="N266">
        <v>7</v>
      </c>
      <c r="O266" s="32">
        <f t="shared" si="40"/>
        <v>1</v>
      </c>
      <c r="P266">
        <v>9</v>
      </c>
      <c r="Q266">
        <v>8</v>
      </c>
      <c r="R266" s="32">
        <f t="shared" si="41"/>
        <v>1</v>
      </c>
      <c r="S266">
        <v>8</v>
      </c>
      <c r="T266">
        <v>7</v>
      </c>
      <c r="U266" s="32">
        <f t="shared" si="42"/>
        <v>1</v>
      </c>
      <c r="V266">
        <v>8</v>
      </c>
      <c r="W266">
        <v>7</v>
      </c>
      <c r="X266" s="32">
        <f t="shared" si="43"/>
        <v>1</v>
      </c>
      <c r="Y266">
        <v>9</v>
      </c>
      <c r="Z266">
        <v>8</v>
      </c>
      <c r="AA266" s="32">
        <f t="shared" si="44"/>
        <v>1</v>
      </c>
    </row>
    <row r="267" spans="1:27" x14ac:dyDescent="0.45">
      <c r="A267">
        <v>7</v>
      </c>
      <c r="B267" s="36">
        <f>step3_combined_data!S138</f>
        <v>8</v>
      </c>
      <c r="C267" s="32">
        <f t="shared" si="36"/>
        <v>1</v>
      </c>
      <c r="D267">
        <v>8</v>
      </c>
      <c r="E267" s="36">
        <f>step3_combined_data!X257</f>
        <v>8</v>
      </c>
      <c r="F267" s="32">
        <f t="shared" si="37"/>
        <v>0</v>
      </c>
      <c r="G267">
        <v>9</v>
      </c>
      <c r="H267">
        <v>8</v>
      </c>
      <c r="I267" s="32">
        <f t="shared" si="38"/>
        <v>1</v>
      </c>
      <c r="J267">
        <v>9</v>
      </c>
      <c r="K267">
        <v>8</v>
      </c>
      <c r="L267" s="32">
        <f t="shared" si="39"/>
        <v>1</v>
      </c>
      <c r="M267">
        <v>8</v>
      </c>
      <c r="N267">
        <v>7</v>
      </c>
      <c r="O267" s="32">
        <f t="shared" si="40"/>
        <v>1</v>
      </c>
      <c r="P267">
        <v>9</v>
      </c>
      <c r="Q267">
        <v>8</v>
      </c>
      <c r="R267" s="32">
        <f t="shared" si="41"/>
        <v>1</v>
      </c>
      <c r="S267">
        <v>8</v>
      </c>
      <c r="T267">
        <v>7</v>
      </c>
      <c r="U267" s="32">
        <f t="shared" si="42"/>
        <v>1</v>
      </c>
      <c r="V267">
        <v>8</v>
      </c>
      <c r="W267">
        <v>7</v>
      </c>
      <c r="X267" s="32">
        <f t="shared" si="43"/>
        <v>1</v>
      </c>
      <c r="Y267">
        <v>9</v>
      </c>
      <c r="Z267">
        <v>8</v>
      </c>
      <c r="AA267" s="32">
        <f t="shared" si="44"/>
        <v>1</v>
      </c>
    </row>
    <row r="268" spans="1:27" x14ac:dyDescent="0.45">
      <c r="A268">
        <v>7</v>
      </c>
      <c r="B268" s="36">
        <f>step3_combined_data!S139</f>
        <v>8</v>
      </c>
      <c r="C268" s="32">
        <f t="shared" si="36"/>
        <v>1</v>
      </c>
      <c r="D268">
        <v>8</v>
      </c>
      <c r="E268" s="36">
        <f>step3_combined_data!X258</f>
        <v>8</v>
      </c>
      <c r="F268" s="32">
        <f t="shared" si="37"/>
        <v>0</v>
      </c>
      <c r="G268">
        <v>9</v>
      </c>
      <c r="H268">
        <v>8</v>
      </c>
      <c r="I268" s="32">
        <f t="shared" si="38"/>
        <v>1</v>
      </c>
      <c r="J268">
        <v>9</v>
      </c>
      <c r="K268">
        <v>8</v>
      </c>
      <c r="L268" s="32">
        <f t="shared" si="39"/>
        <v>1</v>
      </c>
      <c r="M268">
        <v>8</v>
      </c>
      <c r="N268">
        <v>7</v>
      </c>
      <c r="O268" s="32">
        <f t="shared" si="40"/>
        <v>1</v>
      </c>
      <c r="P268">
        <v>9</v>
      </c>
      <c r="Q268">
        <v>8</v>
      </c>
      <c r="R268" s="32">
        <f t="shared" si="41"/>
        <v>1</v>
      </c>
      <c r="S268">
        <v>8</v>
      </c>
      <c r="T268">
        <v>7</v>
      </c>
      <c r="U268" s="32">
        <f t="shared" si="42"/>
        <v>1</v>
      </c>
      <c r="V268">
        <v>8</v>
      </c>
      <c r="W268">
        <v>7</v>
      </c>
      <c r="X268" s="32">
        <f t="shared" si="43"/>
        <v>1</v>
      </c>
      <c r="Y268">
        <v>9</v>
      </c>
      <c r="Z268">
        <v>8</v>
      </c>
      <c r="AA268" s="32">
        <f t="shared" si="44"/>
        <v>1</v>
      </c>
    </row>
    <row r="269" spans="1:27" x14ac:dyDescent="0.45">
      <c r="A269">
        <v>7</v>
      </c>
      <c r="B269" s="36">
        <f>step3_combined_data!S142</f>
        <v>8</v>
      </c>
      <c r="C269" s="32">
        <f t="shared" si="36"/>
        <v>1</v>
      </c>
      <c r="D269">
        <v>8</v>
      </c>
      <c r="E269" s="36">
        <f>step3_combined_data!X264</f>
        <v>8</v>
      </c>
      <c r="F269" s="32">
        <f t="shared" si="37"/>
        <v>0</v>
      </c>
      <c r="G269">
        <v>9</v>
      </c>
      <c r="H269">
        <v>8</v>
      </c>
      <c r="I269" s="32">
        <f t="shared" si="38"/>
        <v>1</v>
      </c>
      <c r="J269">
        <v>9</v>
      </c>
      <c r="K269">
        <v>8</v>
      </c>
      <c r="L269" s="32">
        <f t="shared" si="39"/>
        <v>1</v>
      </c>
      <c r="M269">
        <v>8</v>
      </c>
      <c r="N269">
        <v>7</v>
      </c>
      <c r="O269" s="32">
        <f t="shared" si="40"/>
        <v>1</v>
      </c>
      <c r="P269">
        <v>9</v>
      </c>
      <c r="Q269">
        <v>8</v>
      </c>
      <c r="R269" s="32">
        <f t="shared" si="41"/>
        <v>1</v>
      </c>
      <c r="S269">
        <v>8</v>
      </c>
      <c r="T269">
        <v>7</v>
      </c>
      <c r="U269" s="32">
        <f t="shared" si="42"/>
        <v>1</v>
      </c>
      <c r="V269">
        <v>8</v>
      </c>
      <c r="W269">
        <v>7</v>
      </c>
      <c r="X269" s="32">
        <f t="shared" si="43"/>
        <v>1</v>
      </c>
      <c r="Y269">
        <v>9</v>
      </c>
      <c r="Z269">
        <v>8</v>
      </c>
      <c r="AA269" s="32">
        <f t="shared" si="44"/>
        <v>1</v>
      </c>
    </row>
    <row r="270" spans="1:27" x14ac:dyDescent="0.45">
      <c r="A270">
        <v>7</v>
      </c>
      <c r="B270" s="36">
        <f>step3_combined_data!S147</f>
        <v>8</v>
      </c>
      <c r="C270" s="32">
        <f t="shared" si="36"/>
        <v>1</v>
      </c>
      <c r="D270">
        <v>8</v>
      </c>
      <c r="E270" s="36">
        <f>step3_combined_data!X271</f>
        <v>8</v>
      </c>
      <c r="F270" s="32">
        <f t="shared" si="37"/>
        <v>0</v>
      </c>
      <c r="G270">
        <v>9</v>
      </c>
      <c r="H270">
        <v>8</v>
      </c>
      <c r="I270" s="32">
        <f t="shared" si="38"/>
        <v>1</v>
      </c>
      <c r="J270">
        <v>9</v>
      </c>
      <c r="K270">
        <v>8</v>
      </c>
      <c r="L270" s="32">
        <f t="shared" si="39"/>
        <v>1</v>
      </c>
      <c r="M270">
        <v>8</v>
      </c>
      <c r="N270">
        <v>7</v>
      </c>
      <c r="O270" s="32">
        <f t="shared" si="40"/>
        <v>1</v>
      </c>
      <c r="P270">
        <v>9</v>
      </c>
      <c r="Q270">
        <v>8</v>
      </c>
      <c r="R270" s="32">
        <f t="shared" si="41"/>
        <v>1</v>
      </c>
      <c r="S270">
        <v>8</v>
      </c>
      <c r="T270">
        <v>7</v>
      </c>
      <c r="U270" s="32">
        <f t="shared" si="42"/>
        <v>1</v>
      </c>
      <c r="V270">
        <v>8</v>
      </c>
      <c r="W270">
        <v>7</v>
      </c>
      <c r="X270" s="32">
        <f t="shared" si="43"/>
        <v>1</v>
      </c>
      <c r="Y270">
        <v>9</v>
      </c>
      <c r="Z270">
        <v>8</v>
      </c>
      <c r="AA270" s="32">
        <f t="shared" si="44"/>
        <v>1</v>
      </c>
    </row>
    <row r="271" spans="1:27" x14ac:dyDescent="0.45">
      <c r="A271">
        <v>7</v>
      </c>
      <c r="B271" s="36">
        <f>step3_combined_data!S152</f>
        <v>8</v>
      </c>
      <c r="C271" s="32">
        <f t="shared" si="36"/>
        <v>1</v>
      </c>
      <c r="D271">
        <v>8</v>
      </c>
      <c r="E271" s="36">
        <f>step3_combined_data!X273</f>
        <v>8</v>
      </c>
      <c r="F271" s="32">
        <f t="shared" si="37"/>
        <v>0</v>
      </c>
      <c r="G271">
        <v>9</v>
      </c>
      <c r="H271">
        <v>8</v>
      </c>
      <c r="I271" s="32">
        <f t="shared" si="38"/>
        <v>1</v>
      </c>
      <c r="J271">
        <v>9</v>
      </c>
      <c r="K271">
        <v>8</v>
      </c>
      <c r="L271" s="32">
        <f t="shared" si="39"/>
        <v>1</v>
      </c>
      <c r="M271">
        <v>8</v>
      </c>
      <c r="N271">
        <v>7</v>
      </c>
      <c r="O271" s="32">
        <f t="shared" si="40"/>
        <v>1</v>
      </c>
      <c r="P271">
        <v>9</v>
      </c>
      <c r="Q271">
        <v>8</v>
      </c>
      <c r="R271" s="32">
        <f t="shared" si="41"/>
        <v>1</v>
      </c>
      <c r="S271">
        <v>8</v>
      </c>
      <c r="T271">
        <v>7</v>
      </c>
      <c r="U271" s="32">
        <f t="shared" si="42"/>
        <v>1</v>
      </c>
      <c r="V271">
        <v>8</v>
      </c>
      <c r="W271">
        <v>7</v>
      </c>
      <c r="X271" s="32">
        <f t="shared" si="43"/>
        <v>1</v>
      </c>
      <c r="Y271">
        <v>9</v>
      </c>
      <c r="Z271">
        <v>8</v>
      </c>
      <c r="AA271" s="32">
        <f t="shared" si="44"/>
        <v>1</v>
      </c>
    </row>
    <row r="272" spans="1:27" x14ac:dyDescent="0.45">
      <c r="A272">
        <v>7</v>
      </c>
      <c r="B272" s="36">
        <f>step3_combined_data!S165</f>
        <v>8</v>
      </c>
      <c r="C272" s="32">
        <f t="shared" si="36"/>
        <v>1</v>
      </c>
      <c r="D272">
        <v>8</v>
      </c>
      <c r="E272" s="36">
        <f>step3_combined_data!X278</f>
        <v>8</v>
      </c>
      <c r="F272" s="32">
        <f t="shared" si="37"/>
        <v>0</v>
      </c>
      <c r="G272">
        <v>9</v>
      </c>
      <c r="H272">
        <v>8</v>
      </c>
      <c r="I272" s="32">
        <f t="shared" si="38"/>
        <v>1</v>
      </c>
      <c r="J272">
        <v>9</v>
      </c>
      <c r="K272">
        <v>8</v>
      </c>
      <c r="L272" s="32">
        <f t="shared" si="39"/>
        <v>1</v>
      </c>
      <c r="M272">
        <v>8</v>
      </c>
      <c r="N272">
        <v>7</v>
      </c>
      <c r="O272" s="32">
        <f t="shared" si="40"/>
        <v>1</v>
      </c>
      <c r="P272">
        <v>9</v>
      </c>
      <c r="Q272">
        <v>8</v>
      </c>
      <c r="R272" s="32">
        <f t="shared" si="41"/>
        <v>1</v>
      </c>
      <c r="S272">
        <v>8</v>
      </c>
      <c r="T272">
        <v>7</v>
      </c>
      <c r="U272" s="32">
        <f t="shared" si="42"/>
        <v>1</v>
      </c>
      <c r="V272">
        <v>8</v>
      </c>
      <c r="W272">
        <v>7</v>
      </c>
      <c r="X272" s="32">
        <f t="shared" si="43"/>
        <v>1</v>
      </c>
      <c r="Y272">
        <v>9</v>
      </c>
      <c r="Z272">
        <v>8</v>
      </c>
      <c r="AA272" s="32">
        <f t="shared" si="44"/>
        <v>1</v>
      </c>
    </row>
    <row r="273" spans="1:27" x14ac:dyDescent="0.45">
      <c r="A273">
        <v>7</v>
      </c>
      <c r="B273" s="36">
        <f>step3_combined_data!S170</f>
        <v>8</v>
      </c>
      <c r="C273" s="32">
        <f t="shared" si="36"/>
        <v>1</v>
      </c>
      <c r="D273">
        <v>8</v>
      </c>
      <c r="E273" s="36">
        <f>step3_combined_data!X283</f>
        <v>8</v>
      </c>
      <c r="F273" s="32">
        <f t="shared" si="37"/>
        <v>0</v>
      </c>
      <c r="G273">
        <v>9</v>
      </c>
      <c r="H273">
        <v>8</v>
      </c>
      <c r="I273" s="32">
        <f t="shared" si="38"/>
        <v>1</v>
      </c>
      <c r="J273">
        <v>9</v>
      </c>
      <c r="K273">
        <v>8</v>
      </c>
      <c r="L273" s="32">
        <f t="shared" si="39"/>
        <v>1</v>
      </c>
      <c r="M273">
        <v>8</v>
      </c>
      <c r="N273">
        <v>7</v>
      </c>
      <c r="O273" s="32">
        <f t="shared" si="40"/>
        <v>1</v>
      </c>
      <c r="P273">
        <v>9</v>
      </c>
      <c r="Q273">
        <v>8</v>
      </c>
      <c r="R273" s="32">
        <f t="shared" si="41"/>
        <v>1</v>
      </c>
      <c r="S273">
        <v>8</v>
      </c>
      <c r="T273">
        <v>7</v>
      </c>
      <c r="U273" s="32">
        <f t="shared" si="42"/>
        <v>1</v>
      </c>
      <c r="V273">
        <v>8</v>
      </c>
      <c r="W273">
        <v>7</v>
      </c>
      <c r="X273" s="32">
        <f t="shared" si="43"/>
        <v>1</v>
      </c>
      <c r="Y273">
        <v>9</v>
      </c>
      <c r="Z273">
        <v>8</v>
      </c>
      <c r="AA273" s="32">
        <f t="shared" si="44"/>
        <v>1</v>
      </c>
    </row>
    <row r="274" spans="1:27" x14ac:dyDescent="0.45">
      <c r="A274">
        <v>7</v>
      </c>
      <c r="B274" s="36">
        <f>step3_combined_data!S173</f>
        <v>8</v>
      </c>
      <c r="C274" s="32">
        <f t="shared" si="36"/>
        <v>1</v>
      </c>
      <c r="D274">
        <v>8</v>
      </c>
      <c r="E274" s="36">
        <f>step3_combined_data!X289</f>
        <v>8</v>
      </c>
      <c r="F274" s="32">
        <f t="shared" si="37"/>
        <v>0</v>
      </c>
      <c r="G274">
        <v>9</v>
      </c>
      <c r="H274">
        <v>8</v>
      </c>
      <c r="I274" s="32">
        <f t="shared" si="38"/>
        <v>1</v>
      </c>
      <c r="J274">
        <v>9</v>
      </c>
      <c r="K274">
        <v>8</v>
      </c>
      <c r="L274" s="32">
        <f t="shared" si="39"/>
        <v>1</v>
      </c>
      <c r="M274">
        <v>8</v>
      </c>
      <c r="N274">
        <v>7</v>
      </c>
      <c r="O274" s="32">
        <f t="shared" si="40"/>
        <v>1</v>
      </c>
      <c r="P274">
        <v>9</v>
      </c>
      <c r="Q274">
        <v>8</v>
      </c>
      <c r="R274" s="32">
        <f t="shared" si="41"/>
        <v>1</v>
      </c>
      <c r="S274">
        <v>8</v>
      </c>
      <c r="T274">
        <v>7</v>
      </c>
      <c r="U274" s="32">
        <f t="shared" si="42"/>
        <v>1</v>
      </c>
      <c r="V274">
        <v>8</v>
      </c>
      <c r="W274">
        <v>7</v>
      </c>
      <c r="X274" s="32">
        <f t="shared" si="43"/>
        <v>1</v>
      </c>
      <c r="Y274">
        <v>9</v>
      </c>
      <c r="Z274">
        <v>8</v>
      </c>
      <c r="AA274" s="32">
        <f t="shared" si="44"/>
        <v>1</v>
      </c>
    </row>
    <row r="275" spans="1:27" x14ac:dyDescent="0.45">
      <c r="A275">
        <v>7</v>
      </c>
      <c r="B275" s="36">
        <f>step3_combined_data!S183</f>
        <v>8</v>
      </c>
      <c r="C275" s="32">
        <f t="shared" si="36"/>
        <v>1</v>
      </c>
      <c r="D275">
        <v>8</v>
      </c>
      <c r="E275" s="36">
        <f>step3_combined_data!X291</f>
        <v>8</v>
      </c>
      <c r="F275" s="32">
        <f t="shared" si="37"/>
        <v>0</v>
      </c>
      <c r="G275">
        <v>9</v>
      </c>
      <c r="H275">
        <v>8</v>
      </c>
      <c r="I275" s="32">
        <f t="shared" si="38"/>
        <v>1</v>
      </c>
      <c r="J275">
        <v>9</v>
      </c>
      <c r="K275">
        <v>8</v>
      </c>
      <c r="L275" s="32">
        <f t="shared" si="39"/>
        <v>1</v>
      </c>
      <c r="M275">
        <v>8</v>
      </c>
      <c r="N275">
        <v>7</v>
      </c>
      <c r="O275" s="32">
        <f t="shared" si="40"/>
        <v>1</v>
      </c>
      <c r="P275">
        <v>9</v>
      </c>
      <c r="Q275">
        <v>8</v>
      </c>
      <c r="R275" s="32">
        <f t="shared" si="41"/>
        <v>1</v>
      </c>
      <c r="S275">
        <v>8</v>
      </c>
      <c r="T275">
        <v>7</v>
      </c>
      <c r="U275" s="32">
        <f t="shared" si="42"/>
        <v>1</v>
      </c>
      <c r="V275">
        <v>8</v>
      </c>
      <c r="W275">
        <v>7</v>
      </c>
      <c r="X275" s="32">
        <f t="shared" si="43"/>
        <v>1</v>
      </c>
      <c r="Y275">
        <v>9</v>
      </c>
      <c r="Z275">
        <v>8</v>
      </c>
      <c r="AA275" s="32">
        <f t="shared" si="44"/>
        <v>1</v>
      </c>
    </row>
    <row r="276" spans="1:27" x14ac:dyDescent="0.45">
      <c r="A276">
        <v>7</v>
      </c>
      <c r="B276" s="36">
        <f>step3_combined_data!S190</f>
        <v>8</v>
      </c>
      <c r="C276" s="32">
        <f t="shared" si="36"/>
        <v>1</v>
      </c>
      <c r="D276">
        <v>8</v>
      </c>
      <c r="E276" s="36">
        <f>step3_combined_data!X294</f>
        <v>8</v>
      </c>
      <c r="F276" s="32">
        <f t="shared" si="37"/>
        <v>0</v>
      </c>
      <c r="G276">
        <v>9</v>
      </c>
      <c r="H276">
        <v>8</v>
      </c>
      <c r="I276" s="32">
        <f t="shared" si="38"/>
        <v>1</v>
      </c>
      <c r="J276">
        <v>9</v>
      </c>
      <c r="K276">
        <v>8</v>
      </c>
      <c r="L276" s="32">
        <f t="shared" si="39"/>
        <v>1</v>
      </c>
      <c r="M276">
        <v>8</v>
      </c>
      <c r="N276">
        <v>7</v>
      </c>
      <c r="O276" s="32">
        <f t="shared" si="40"/>
        <v>1</v>
      </c>
      <c r="P276">
        <v>9</v>
      </c>
      <c r="Q276">
        <v>8</v>
      </c>
      <c r="R276" s="32">
        <f t="shared" si="41"/>
        <v>1</v>
      </c>
      <c r="S276">
        <v>8</v>
      </c>
      <c r="T276">
        <v>7</v>
      </c>
      <c r="U276" s="32">
        <f t="shared" si="42"/>
        <v>1</v>
      </c>
      <c r="V276">
        <v>8</v>
      </c>
      <c r="W276">
        <v>7</v>
      </c>
      <c r="X276" s="32">
        <f t="shared" si="43"/>
        <v>1</v>
      </c>
      <c r="Y276">
        <v>9</v>
      </c>
      <c r="Z276">
        <v>8</v>
      </c>
      <c r="AA276" s="32">
        <f t="shared" si="44"/>
        <v>1</v>
      </c>
    </row>
    <row r="277" spans="1:27" x14ac:dyDescent="0.45">
      <c r="A277">
        <v>7</v>
      </c>
      <c r="B277" s="36">
        <f>step3_combined_data!S193</f>
        <v>8</v>
      </c>
      <c r="C277" s="32">
        <f t="shared" si="36"/>
        <v>1</v>
      </c>
      <c r="D277">
        <v>8</v>
      </c>
      <c r="E277" s="36">
        <f>step3_combined_data!X307</f>
        <v>8</v>
      </c>
      <c r="F277" s="32">
        <f t="shared" si="37"/>
        <v>0</v>
      </c>
      <c r="G277">
        <v>9</v>
      </c>
      <c r="H277">
        <v>8</v>
      </c>
      <c r="I277" s="32">
        <f t="shared" si="38"/>
        <v>1</v>
      </c>
      <c r="J277">
        <v>9</v>
      </c>
      <c r="K277">
        <v>8</v>
      </c>
      <c r="L277" s="32">
        <f t="shared" si="39"/>
        <v>1</v>
      </c>
      <c r="M277">
        <v>8</v>
      </c>
      <c r="N277">
        <v>8</v>
      </c>
      <c r="O277" s="32">
        <f t="shared" si="40"/>
        <v>0</v>
      </c>
      <c r="P277">
        <v>9</v>
      </c>
      <c r="Q277">
        <v>8</v>
      </c>
      <c r="R277" s="32">
        <f t="shared" si="41"/>
        <v>1</v>
      </c>
      <c r="S277">
        <v>8</v>
      </c>
      <c r="T277">
        <v>7</v>
      </c>
      <c r="U277" s="32">
        <f t="shared" si="42"/>
        <v>1</v>
      </c>
      <c r="V277">
        <v>8</v>
      </c>
      <c r="W277">
        <v>7</v>
      </c>
      <c r="X277" s="32">
        <f t="shared" si="43"/>
        <v>1</v>
      </c>
      <c r="Y277">
        <v>9</v>
      </c>
      <c r="Z277">
        <v>8</v>
      </c>
      <c r="AA277" s="32">
        <f t="shared" si="44"/>
        <v>1</v>
      </c>
    </row>
    <row r="278" spans="1:27" x14ac:dyDescent="0.45">
      <c r="A278">
        <v>7</v>
      </c>
      <c r="B278" s="36">
        <f>step3_combined_data!S207</f>
        <v>8</v>
      </c>
      <c r="C278" s="32">
        <f t="shared" si="36"/>
        <v>1</v>
      </c>
      <c r="D278">
        <v>8</v>
      </c>
      <c r="E278" s="36">
        <f>step3_combined_data!X309</f>
        <v>8</v>
      </c>
      <c r="F278" s="32">
        <f t="shared" si="37"/>
        <v>0</v>
      </c>
      <c r="G278">
        <v>9</v>
      </c>
      <c r="H278">
        <v>8</v>
      </c>
      <c r="I278" s="32">
        <f t="shared" si="38"/>
        <v>1</v>
      </c>
      <c r="J278">
        <v>9</v>
      </c>
      <c r="K278">
        <v>8</v>
      </c>
      <c r="L278" s="32">
        <f t="shared" si="39"/>
        <v>1</v>
      </c>
      <c r="M278">
        <v>8</v>
      </c>
      <c r="N278">
        <v>8</v>
      </c>
      <c r="O278" s="32">
        <f t="shared" si="40"/>
        <v>0</v>
      </c>
      <c r="P278">
        <v>9</v>
      </c>
      <c r="Q278">
        <v>8</v>
      </c>
      <c r="R278" s="32">
        <f t="shared" si="41"/>
        <v>1</v>
      </c>
      <c r="S278">
        <v>8</v>
      </c>
      <c r="T278">
        <v>7</v>
      </c>
      <c r="U278" s="32">
        <f t="shared" si="42"/>
        <v>1</v>
      </c>
      <c r="V278">
        <v>8</v>
      </c>
      <c r="W278">
        <v>7</v>
      </c>
      <c r="X278" s="32">
        <f t="shared" si="43"/>
        <v>1</v>
      </c>
      <c r="Y278">
        <v>9</v>
      </c>
      <c r="Z278">
        <v>8</v>
      </c>
      <c r="AA278" s="32">
        <f t="shared" si="44"/>
        <v>1</v>
      </c>
    </row>
    <row r="279" spans="1:27" x14ac:dyDescent="0.45">
      <c r="A279">
        <v>7</v>
      </c>
      <c r="B279" s="36">
        <f>step3_combined_data!S229</f>
        <v>8</v>
      </c>
      <c r="C279" s="32">
        <f t="shared" si="36"/>
        <v>1</v>
      </c>
      <c r="D279">
        <v>8</v>
      </c>
      <c r="E279" s="36">
        <f>step3_combined_data!X315</f>
        <v>8</v>
      </c>
      <c r="F279" s="32">
        <f t="shared" si="37"/>
        <v>0</v>
      </c>
      <c r="G279">
        <v>9</v>
      </c>
      <c r="H279">
        <v>8</v>
      </c>
      <c r="I279" s="32">
        <f t="shared" si="38"/>
        <v>1</v>
      </c>
      <c r="J279">
        <v>9</v>
      </c>
      <c r="K279">
        <v>8</v>
      </c>
      <c r="L279" s="32">
        <f t="shared" si="39"/>
        <v>1</v>
      </c>
      <c r="M279">
        <v>8</v>
      </c>
      <c r="N279">
        <v>8</v>
      </c>
      <c r="O279" s="32">
        <f t="shared" si="40"/>
        <v>0</v>
      </c>
      <c r="P279">
        <v>9</v>
      </c>
      <c r="Q279">
        <v>8</v>
      </c>
      <c r="R279" s="32">
        <f t="shared" si="41"/>
        <v>1</v>
      </c>
      <c r="S279">
        <v>8</v>
      </c>
      <c r="T279">
        <v>7</v>
      </c>
      <c r="U279" s="32">
        <f t="shared" si="42"/>
        <v>1</v>
      </c>
      <c r="V279">
        <v>8</v>
      </c>
      <c r="W279">
        <v>7</v>
      </c>
      <c r="X279" s="32">
        <f t="shared" si="43"/>
        <v>1</v>
      </c>
      <c r="Y279">
        <v>9</v>
      </c>
      <c r="Z279">
        <v>8</v>
      </c>
      <c r="AA279" s="32">
        <f t="shared" si="44"/>
        <v>1</v>
      </c>
    </row>
    <row r="280" spans="1:27" x14ac:dyDescent="0.45">
      <c r="A280">
        <v>7</v>
      </c>
      <c r="B280" s="36">
        <f>step3_combined_data!S232</f>
        <v>8</v>
      </c>
      <c r="C280" s="32">
        <f t="shared" si="36"/>
        <v>1</v>
      </c>
      <c r="D280">
        <v>8</v>
      </c>
      <c r="E280" s="36">
        <f>step3_combined_data!X317</f>
        <v>8</v>
      </c>
      <c r="F280" s="32">
        <f t="shared" si="37"/>
        <v>0</v>
      </c>
      <c r="G280">
        <v>9</v>
      </c>
      <c r="H280">
        <v>8</v>
      </c>
      <c r="I280" s="32">
        <f t="shared" si="38"/>
        <v>1</v>
      </c>
      <c r="J280">
        <v>9</v>
      </c>
      <c r="K280">
        <v>8</v>
      </c>
      <c r="L280" s="32">
        <f t="shared" si="39"/>
        <v>1</v>
      </c>
      <c r="M280">
        <v>8</v>
      </c>
      <c r="N280">
        <v>8</v>
      </c>
      <c r="O280" s="32">
        <f t="shared" si="40"/>
        <v>0</v>
      </c>
      <c r="P280">
        <v>9</v>
      </c>
      <c r="Q280">
        <v>8</v>
      </c>
      <c r="R280" s="32">
        <f t="shared" si="41"/>
        <v>1</v>
      </c>
      <c r="S280">
        <v>8</v>
      </c>
      <c r="T280">
        <v>7</v>
      </c>
      <c r="U280" s="32">
        <f t="shared" si="42"/>
        <v>1</v>
      </c>
      <c r="V280">
        <v>8</v>
      </c>
      <c r="W280">
        <v>7</v>
      </c>
      <c r="X280" s="32">
        <f t="shared" si="43"/>
        <v>1</v>
      </c>
      <c r="Y280">
        <v>9</v>
      </c>
      <c r="Z280">
        <v>8</v>
      </c>
      <c r="AA280" s="32">
        <f t="shared" si="44"/>
        <v>1</v>
      </c>
    </row>
    <row r="281" spans="1:27" x14ac:dyDescent="0.45">
      <c r="A281">
        <v>7</v>
      </c>
      <c r="B281" s="36">
        <f>step3_combined_data!S234</f>
        <v>8</v>
      </c>
      <c r="C281" s="32">
        <f t="shared" si="36"/>
        <v>1</v>
      </c>
      <c r="D281">
        <v>8</v>
      </c>
      <c r="E281" s="36">
        <f>step3_combined_data!X320</f>
        <v>8</v>
      </c>
      <c r="F281" s="32">
        <f t="shared" si="37"/>
        <v>0</v>
      </c>
      <c r="G281">
        <v>9</v>
      </c>
      <c r="H281">
        <v>8</v>
      </c>
      <c r="I281" s="32">
        <f t="shared" si="38"/>
        <v>1</v>
      </c>
      <c r="J281">
        <v>9</v>
      </c>
      <c r="K281">
        <v>8</v>
      </c>
      <c r="L281" s="32">
        <f t="shared" si="39"/>
        <v>1</v>
      </c>
      <c r="M281">
        <v>8</v>
      </c>
      <c r="N281">
        <v>8</v>
      </c>
      <c r="O281" s="32">
        <f t="shared" si="40"/>
        <v>0</v>
      </c>
      <c r="P281">
        <v>9</v>
      </c>
      <c r="Q281">
        <v>8</v>
      </c>
      <c r="R281" s="32">
        <f t="shared" si="41"/>
        <v>1</v>
      </c>
      <c r="S281">
        <v>8</v>
      </c>
      <c r="T281">
        <v>7</v>
      </c>
      <c r="U281" s="32">
        <f t="shared" si="42"/>
        <v>1</v>
      </c>
      <c r="V281">
        <v>8</v>
      </c>
      <c r="W281">
        <v>7</v>
      </c>
      <c r="X281" s="32">
        <f t="shared" si="43"/>
        <v>1</v>
      </c>
      <c r="Y281">
        <v>9</v>
      </c>
      <c r="Z281">
        <v>8</v>
      </c>
      <c r="AA281" s="32">
        <f t="shared" si="44"/>
        <v>1</v>
      </c>
    </row>
    <row r="282" spans="1:27" x14ac:dyDescent="0.45">
      <c r="A282">
        <v>7</v>
      </c>
      <c r="B282" s="36">
        <f>step3_combined_data!S239</f>
        <v>8</v>
      </c>
      <c r="C282" s="32">
        <f t="shared" si="36"/>
        <v>1</v>
      </c>
      <c r="D282">
        <v>8</v>
      </c>
      <c r="E282" s="36">
        <f>step3_combined_data!X322</f>
        <v>8</v>
      </c>
      <c r="F282" s="32">
        <f t="shared" si="37"/>
        <v>0</v>
      </c>
      <c r="G282">
        <v>9</v>
      </c>
      <c r="H282">
        <v>8</v>
      </c>
      <c r="I282" s="32">
        <f t="shared" si="38"/>
        <v>1</v>
      </c>
      <c r="J282">
        <v>9</v>
      </c>
      <c r="K282">
        <v>8</v>
      </c>
      <c r="L282" s="32">
        <f t="shared" si="39"/>
        <v>1</v>
      </c>
      <c r="M282">
        <v>8</v>
      </c>
      <c r="N282">
        <v>8</v>
      </c>
      <c r="O282" s="32">
        <f t="shared" si="40"/>
        <v>0</v>
      </c>
      <c r="P282">
        <v>9</v>
      </c>
      <c r="Q282">
        <v>8</v>
      </c>
      <c r="R282" s="32">
        <f t="shared" si="41"/>
        <v>1</v>
      </c>
      <c r="S282">
        <v>8</v>
      </c>
      <c r="T282">
        <v>7</v>
      </c>
      <c r="U282" s="32">
        <f t="shared" si="42"/>
        <v>1</v>
      </c>
      <c r="V282">
        <v>8</v>
      </c>
      <c r="W282">
        <v>7</v>
      </c>
      <c r="X282" s="32">
        <f t="shared" si="43"/>
        <v>1</v>
      </c>
      <c r="Y282">
        <v>9</v>
      </c>
      <c r="Z282">
        <v>8</v>
      </c>
      <c r="AA282" s="32">
        <f t="shared" si="44"/>
        <v>1</v>
      </c>
    </row>
    <row r="283" spans="1:27" x14ac:dyDescent="0.45">
      <c r="A283">
        <v>8</v>
      </c>
      <c r="B283" s="36">
        <f>step3_combined_data!S241</f>
        <v>8</v>
      </c>
      <c r="C283" s="32">
        <f t="shared" si="36"/>
        <v>0</v>
      </c>
      <c r="D283">
        <v>8</v>
      </c>
      <c r="E283" s="36">
        <f>step3_combined_data!X329</f>
        <v>8</v>
      </c>
      <c r="F283" s="32">
        <f t="shared" si="37"/>
        <v>0</v>
      </c>
      <c r="G283">
        <v>9</v>
      </c>
      <c r="H283">
        <v>8</v>
      </c>
      <c r="I283" s="32">
        <f t="shared" si="38"/>
        <v>1</v>
      </c>
      <c r="J283">
        <v>9</v>
      </c>
      <c r="K283">
        <v>8</v>
      </c>
      <c r="L283" s="32">
        <f t="shared" si="39"/>
        <v>1</v>
      </c>
      <c r="M283">
        <v>8</v>
      </c>
      <c r="N283">
        <v>8</v>
      </c>
      <c r="O283" s="32">
        <f t="shared" si="40"/>
        <v>0</v>
      </c>
      <c r="P283">
        <v>9</v>
      </c>
      <c r="Q283">
        <v>8</v>
      </c>
      <c r="R283" s="32">
        <f t="shared" si="41"/>
        <v>1</v>
      </c>
      <c r="S283">
        <v>8</v>
      </c>
      <c r="T283">
        <v>7</v>
      </c>
      <c r="U283" s="32">
        <f t="shared" si="42"/>
        <v>1</v>
      </c>
      <c r="V283">
        <v>8</v>
      </c>
      <c r="W283">
        <v>8</v>
      </c>
      <c r="X283" s="32">
        <f t="shared" si="43"/>
        <v>0</v>
      </c>
      <c r="Y283">
        <v>9</v>
      </c>
      <c r="Z283">
        <v>8</v>
      </c>
      <c r="AA283" s="32">
        <f t="shared" si="44"/>
        <v>1</v>
      </c>
    </row>
    <row r="284" spans="1:27" x14ac:dyDescent="0.45">
      <c r="A284">
        <v>8</v>
      </c>
      <c r="B284" s="36">
        <f>step3_combined_data!S248</f>
        <v>8</v>
      </c>
      <c r="C284" s="32">
        <f t="shared" si="36"/>
        <v>0</v>
      </c>
      <c r="D284">
        <v>8</v>
      </c>
      <c r="E284" s="36">
        <f>step3_combined_data!X338</f>
        <v>8</v>
      </c>
      <c r="F284" s="32">
        <f t="shared" si="37"/>
        <v>0</v>
      </c>
      <c r="G284">
        <v>9</v>
      </c>
      <c r="H284">
        <v>8</v>
      </c>
      <c r="I284" s="32">
        <f t="shared" si="38"/>
        <v>1</v>
      </c>
      <c r="J284">
        <v>9</v>
      </c>
      <c r="K284">
        <v>8</v>
      </c>
      <c r="L284" s="32">
        <f t="shared" si="39"/>
        <v>1</v>
      </c>
      <c r="M284">
        <v>8</v>
      </c>
      <c r="N284">
        <v>8</v>
      </c>
      <c r="O284" s="32">
        <f t="shared" si="40"/>
        <v>0</v>
      </c>
      <c r="P284">
        <v>9</v>
      </c>
      <c r="Q284">
        <v>8</v>
      </c>
      <c r="R284" s="32">
        <f t="shared" si="41"/>
        <v>1</v>
      </c>
      <c r="S284">
        <v>8</v>
      </c>
      <c r="T284">
        <v>7</v>
      </c>
      <c r="U284" s="32">
        <f t="shared" si="42"/>
        <v>1</v>
      </c>
      <c r="V284">
        <v>8</v>
      </c>
      <c r="W284">
        <v>8</v>
      </c>
      <c r="X284" s="32">
        <f t="shared" si="43"/>
        <v>0</v>
      </c>
      <c r="Y284">
        <v>9</v>
      </c>
      <c r="Z284">
        <v>8</v>
      </c>
      <c r="AA284" s="32">
        <f t="shared" si="44"/>
        <v>1</v>
      </c>
    </row>
    <row r="285" spans="1:27" x14ac:dyDescent="0.45">
      <c r="A285">
        <v>8</v>
      </c>
      <c r="B285" s="36">
        <f>step3_combined_data!S252</f>
        <v>8</v>
      </c>
      <c r="C285" s="32">
        <f t="shared" si="36"/>
        <v>0</v>
      </c>
      <c r="D285">
        <v>8</v>
      </c>
      <c r="E285" s="36">
        <f>step3_combined_data!X339</f>
        <v>8</v>
      </c>
      <c r="F285" s="32">
        <f t="shared" si="37"/>
        <v>0</v>
      </c>
      <c r="G285">
        <v>9</v>
      </c>
      <c r="H285">
        <v>8</v>
      </c>
      <c r="I285" s="32">
        <f t="shared" si="38"/>
        <v>1</v>
      </c>
      <c r="J285">
        <v>9</v>
      </c>
      <c r="K285">
        <v>8</v>
      </c>
      <c r="L285" s="32">
        <f t="shared" si="39"/>
        <v>1</v>
      </c>
      <c r="M285">
        <v>8</v>
      </c>
      <c r="N285">
        <v>8</v>
      </c>
      <c r="O285" s="32">
        <f t="shared" si="40"/>
        <v>0</v>
      </c>
      <c r="P285">
        <v>9</v>
      </c>
      <c r="Q285">
        <v>8</v>
      </c>
      <c r="R285" s="32">
        <f t="shared" si="41"/>
        <v>1</v>
      </c>
      <c r="S285">
        <v>8</v>
      </c>
      <c r="T285">
        <v>7</v>
      </c>
      <c r="U285" s="32">
        <f t="shared" si="42"/>
        <v>1</v>
      </c>
      <c r="V285">
        <v>8</v>
      </c>
      <c r="W285">
        <v>8</v>
      </c>
      <c r="X285" s="32">
        <f t="shared" si="43"/>
        <v>0</v>
      </c>
      <c r="Y285">
        <v>9</v>
      </c>
      <c r="Z285">
        <v>8</v>
      </c>
      <c r="AA285" s="32">
        <f t="shared" si="44"/>
        <v>1</v>
      </c>
    </row>
    <row r="286" spans="1:27" x14ac:dyDescent="0.45">
      <c r="A286">
        <v>8</v>
      </c>
      <c r="B286" s="36">
        <f>step3_combined_data!S254</f>
        <v>8</v>
      </c>
      <c r="C286" s="32">
        <f t="shared" si="36"/>
        <v>0</v>
      </c>
      <c r="D286">
        <v>8</v>
      </c>
      <c r="E286" s="36">
        <f>step3_combined_data!X341</f>
        <v>8</v>
      </c>
      <c r="F286" s="32">
        <f t="shared" si="37"/>
        <v>0</v>
      </c>
      <c r="G286">
        <v>9</v>
      </c>
      <c r="H286">
        <v>8</v>
      </c>
      <c r="I286" s="32">
        <f t="shared" si="38"/>
        <v>1</v>
      </c>
      <c r="J286">
        <v>9</v>
      </c>
      <c r="K286">
        <v>8</v>
      </c>
      <c r="L286" s="32">
        <f t="shared" si="39"/>
        <v>1</v>
      </c>
      <c r="M286">
        <v>8</v>
      </c>
      <c r="N286">
        <v>8</v>
      </c>
      <c r="O286" s="32">
        <f t="shared" si="40"/>
        <v>0</v>
      </c>
      <c r="P286">
        <v>9</v>
      </c>
      <c r="Q286">
        <v>8</v>
      </c>
      <c r="R286" s="32">
        <f t="shared" si="41"/>
        <v>1</v>
      </c>
      <c r="S286">
        <v>8</v>
      </c>
      <c r="T286">
        <v>7</v>
      </c>
      <c r="U286" s="32">
        <f t="shared" si="42"/>
        <v>1</v>
      </c>
      <c r="V286">
        <v>8</v>
      </c>
      <c r="W286">
        <v>8</v>
      </c>
      <c r="X286" s="32">
        <f t="shared" si="43"/>
        <v>0</v>
      </c>
      <c r="Y286">
        <v>9</v>
      </c>
      <c r="Z286">
        <v>8</v>
      </c>
      <c r="AA286" s="32">
        <f t="shared" si="44"/>
        <v>1</v>
      </c>
    </row>
    <row r="287" spans="1:27" x14ac:dyDescent="0.45">
      <c r="A287">
        <v>8</v>
      </c>
      <c r="B287" s="36">
        <f>step3_combined_data!S257</f>
        <v>8</v>
      </c>
      <c r="C287" s="32">
        <f t="shared" si="36"/>
        <v>0</v>
      </c>
      <c r="D287">
        <v>8</v>
      </c>
      <c r="E287" s="36">
        <f>step3_combined_data!X342</f>
        <v>8</v>
      </c>
      <c r="F287" s="32">
        <f t="shared" si="37"/>
        <v>0</v>
      </c>
      <c r="G287">
        <v>9</v>
      </c>
      <c r="H287">
        <v>8</v>
      </c>
      <c r="I287" s="32">
        <f t="shared" si="38"/>
        <v>1</v>
      </c>
      <c r="J287">
        <v>9</v>
      </c>
      <c r="K287">
        <v>8</v>
      </c>
      <c r="L287" s="32">
        <f t="shared" si="39"/>
        <v>1</v>
      </c>
      <c r="M287">
        <v>8</v>
      </c>
      <c r="N287">
        <v>8</v>
      </c>
      <c r="O287" s="32">
        <f t="shared" si="40"/>
        <v>0</v>
      </c>
      <c r="P287">
        <v>9</v>
      </c>
      <c r="Q287">
        <v>8</v>
      </c>
      <c r="R287" s="32">
        <f t="shared" si="41"/>
        <v>1</v>
      </c>
      <c r="S287">
        <v>8</v>
      </c>
      <c r="T287">
        <v>7</v>
      </c>
      <c r="U287" s="32">
        <f t="shared" si="42"/>
        <v>1</v>
      </c>
      <c r="V287">
        <v>8</v>
      </c>
      <c r="W287">
        <v>8</v>
      </c>
      <c r="X287" s="32">
        <f t="shared" si="43"/>
        <v>0</v>
      </c>
      <c r="Y287">
        <v>9</v>
      </c>
      <c r="Z287">
        <v>8</v>
      </c>
      <c r="AA287" s="32">
        <f t="shared" si="44"/>
        <v>1</v>
      </c>
    </row>
    <row r="288" spans="1:27" x14ac:dyDescent="0.45">
      <c r="A288">
        <v>8</v>
      </c>
      <c r="B288" s="36">
        <f>step3_combined_data!S264</f>
        <v>8</v>
      </c>
      <c r="C288" s="32">
        <f t="shared" si="36"/>
        <v>0</v>
      </c>
      <c r="D288">
        <v>8</v>
      </c>
      <c r="E288" s="36">
        <f>step3_combined_data!X347</f>
        <v>8</v>
      </c>
      <c r="F288" s="32">
        <f t="shared" si="37"/>
        <v>0</v>
      </c>
      <c r="G288">
        <v>9</v>
      </c>
      <c r="H288">
        <v>8</v>
      </c>
      <c r="I288" s="32">
        <f t="shared" si="38"/>
        <v>1</v>
      </c>
      <c r="J288">
        <v>9</v>
      </c>
      <c r="K288">
        <v>8</v>
      </c>
      <c r="L288" s="32">
        <f t="shared" si="39"/>
        <v>1</v>
      </c>
      <c r="M288">
        <v>8</v>
      </c>
      <c r="N288">
        <v>8</v>
      </c>
      <c r="O288" s="32">
        <f t="shared" si="40"/>
        <v>0</v>
      </c>
      <c r="P288">
        <v>9</v>
      </c>
      <c r="Q288">
        <v>8</v>
      </c>
      <c r="R288" s="32">
        <f t="shared" si="41"/>
        <v>1</v>
      </c>
      <c r="S288">
        <v>8</v>
      </c>
      <c r="T288">
        <v>7</v>
      </c>
      <c r="U288" s="32">
        <f t="shared" si="42"/>
        <v>1</v>
      </c>
      <c r="V288">
        <v>8</v>
      </c>
      <c r="W288">
        <v>8</v>
      </c>
      <c r="X288" s="32">
        <f t="shared" si="43"/>
        <v>0</v>
      </c>
      <c r="Y288">
        <v>9</v>
      </c>
      <c r="Z288">
        <v>8</v>
      </c>
      <c r="AA288" s="32">
        <f t="shared" si="44"/>
        <v>1</v>
      </c>
    </row>
    <row r="289" spans="1:27" x14ac:dyDescent="0.45">
      <c r="A289">
        <v>8</v>
      </c>
      <c r="B289" s="36">
        <f>step3_combined_data!S271</f>
        <v>8</v>
      </c>
      <c r="C289" s="32">
        <f t="shared" si="36"/>
        <v>0</v>
      </c>
      <c r="D289">
        <v>8</v>
      </c>
      <c r="E289" s="36">
        <f>step3_combined_data!X348</f>
        <v>8</v>
      </c>
      <c r="F289" s="32">
        <f t="shared" si="37"/>
        <v>0</v>
      </c>
      <c r="G289">
        <v>9</v>
      </c>
      <c r="H289">
        <v>8</v>
      </c>
      <c r="I289" s="32">
        <f t="shared" si="38"/>
        <v>1</v>
      </c>
      <c r="J289">
        <v>9</v>
      </c>
      <c r="K289">
        <v>8</v>
      </c>
      <c r="L289" s="32">
        <f t="shared" si="39"/>
        <v>1</v>
      </c>
      <c r="M289">
        <v>8</v>
      </c>
      <c r="N289">
        <v>8</v>
      </c>
      <c r="O289" s="32">
        <f t="shared" si="40"/>
        <v>0</v>
      </c>
      <c r="P289">
        <v>9</v>
      </c>
      <c r="Q289">
        <v>8</v>
      </c>
      <c r="R289" s="32">
        <f t="shared" si="41"/>
        <v>1</v>
      </c>
      <c r="S289">
        <v>8</v>
      </c>
      <c r="T289">
        <v>7</v>
      </c>
      <c r="U289" s="32">
        <f t="shared" si="42"/>
        <v>1</v>
      </c>
      <c r="V289">
        <v>8</v>
      </c>
      <c r="W289">
        <v>8</v>
      </c>
      <c r="X289" s="32">
        <f t="shared" si="43"/>
        <v>0</v>
      </c>
      <c r="Y289">
        <v>9</v>
      </c>
      <c r="Z289">
        <v>8</v>
      </c>
      <c r="AA289" s="32">
        <f t="shared" si="44"/>
        <v>1</v>
      </c>
    </row>
    <row r="290" spans="1:27" x14ac:dyDescent="0.45">
      <c r="A290">
        <v>8</v>
      </c>
      <c r="B290" s="36">
        <f>step3_combined_data!S276</f>
        <v>8</v>
      </c>
      <c r="C290" s="32">
        <f t="shared" si="36"/>
        <v>0</v>
      </c>
      <c r="D290">
        <v>8</v>
      </c>
      <c r="E290" s="36">
        <f>step3_combined_data!X349</f>
        <v>8</v>
      </c>
      <c r="F290" s="32">
        <f t="shared" si="37"/>
        <v>0</v>
      </c>
      <c r="G290">
        <v>9</v>
      </c>
      <c r="H290">
        <v>8</v>
      </c>
      <c r="I290" s="32">
        <f t="shared" si="38"/>
        <v>1</v>
      </c>
      <c r="J290">
        <v>9</v>
      </c>
      <c r="K290">
        <v>8</v>
      </c>
      <c r="L290" s="32">
        <f t="shared" si="39"/>
        <v>1</v>
      </c>
      <c r="M290">
        <v>8</v>
      </c>
      <c r="N290">
        <v>8</v>
      </c>
      <c r="O290" s="32">
        <f t="shared" si="40"/>
        <v>0</v>
      </c>
      <c r="P290">
        <v>9</v>
      </c>
      <c r="Q290">
        <v>8</v>
      </c>
      <c r="R290" s="32">
        <f t="shared" si="41"/>
        <v>1</v>
      </c>
      <c r="S290">
        <v>8</v>
      </c>
      <c r="T290">
        <v>7</v>
      </c>
      <c r="U290" s="32">
        <f t="shared" si="42"/>
        <v>1</v>
      </c>
      <c r="V290">
        <v>8</v>
      </c>
      <c r="W290">
        <v>8</v>
      </c>
      <c r="X290" s="32">
        <f t="shared" si="43"/>
        <v>0</v>
      </c>
      <c r="Y290">
        <v>9</v>
      </c>
      <c r="Z290">
        <v>8</v>
      </c>
      <c r="AA290" s="32">
        <f t="shared" si="44"/>
        <v>1</v>
      </c>
    </row>
    <row r="291" spans="1:27" x14ac:dyDescent="0.45">
      <c r="A291">
        <v>8</v>
      </c>
      <c r="B291" s="36">
        <f>step3_combined_data!S278</f>
        <v>8</v>
      </c>
      <c r="C291" s="32">
        <f t="shared" si="36"/>
        <v>0</v>
      </c>
      <c r="D291">
        <v>8</v>
      </c>
      <c r="E291" s="36">
        <f>step3_combined_data!X352</f>
        <v>8</v>
      </c>
      <c r="F291" s="32">
        <f t="shared" si="37"/>
        <v>0</v>
      </c>
      <c r="G291">
        <v>9</v>
      </c>
      <c r="H291">
        <v>8</v>
      </c>
      <c r="I291" s="32">
        <f t="shared" si="38"/>
        <v>1</v>
      </c>
      <c r="J291">
        <v>9</v>
      </c>
      <c r="K291">
        <v>8</v>
      </c>
      <c r="L291" s="32">
        <f t="shared" si="39"/>
        <v>1</v>
      </c>
      <c r="M291">
        <v>8</v>
      </c>
      <c r="N291">
        <v>8</v>
      </c>
      <c r="O291" s="32">
        <f t="shared" si="40"/>
        <v>0</v>
      </c>
      <c r="P291">
        <v>9</v>
      </c>
      <c r="Q291">
        <v>8</v>
      </c>
      <c r="R291" s="32">
        <f t="shared" si="41"/>
        <v>1</v>
      </c>
      <c r="S291">
        <v>8</v>
      </c>
      <c r="T291">
        <v>8</v>
      </c>
      <c r="U291" s="32">
        <f t="shared" si="42"/>
        <v>0</v>
      </c>
      <c r="V291">
        <v>8</v>
      </c>
      <c r="W291">
        <v>8</v>
      </c>
      <c r="X291" s="32">
        <f t="shared" si="43"/>
        <v>0</v>
      </c>
      <c r="Y291">
        <v>9</v>
      </c>
      <c r="Z291">
        <v>8</v>
      </c>
      <c r="AA291" s="32">
        <f t="shared" si="44"/>
        <v>1</v>
      </c>
    </row>
    <row r="292" spans="1:27" x14ac:dyDescent="0.45">
      <c r="A292">
        <v>8</v>
      </c>
      <c r="B292" s="36">
        <f>step3_combined_data!S283</f>
        <v>8</v>
      </c>
      <c r="C292" s="32">
        <f t="shared" si="36"/>
        <v>0</v>
      </c>
      <c r="D292">
        <v>8</v>
      </c>
      <c r="E292" s="36">
        <f>step3_combined_data!X356</f>
        <v>8</v>
      </c>
      <c r="F292" s="32">
        <f t="shared" si="37"/>
        <v>0</v>
      </c>
      <c r="G292">
        <v>9</v>
      </c>
      <c r="H292">
        <v>8</v>
      </c>
      <c r="I292" s="32">
        <f t="shared" si="38"/>
        <v>1</v>
      </c>
      <c r="J292">
        <v>9</v>
      </c>
      <c r="K292">
        <v>8</v>
      </c>
      <c r="L292" s="32">
        <f t="shared" si="39"/>
        <v>1</v>
      </c>
      <c r="M292">
        <v>8</v>
      </c>
      <c r="N292">
        <v>8</v>
      </c>
      <c r="O292" s="32">
        <f t="shared" si="40"/>
        <v>0</v>
      </c>
      <c r="P292">
        <v>9</v>
      </c>
      <c r="Q292">
        <v>8</v>
      </c>
      <c r="R292" s="32">
        <f t="shared" si="41"/>
        <v>1</v>
      </c>
      <c r="S292">
        <v>8</v>
      </c>
      <c r="T292">
        <v>8</v>
      </c>
      <c r="U292" s="32">
        <f t="shared" si="42"/>
        <v>0</v>
      </c>
      <c r="V292">
        <v>8</v>
      </c>
      <c r="W292">
        <v>8</v>
      </c>
      <c r="X292" s="32">
        <f t="shared" si="43"/>
        <v>0</v>
      </c>
      <c r="Y292">
        <v>9</v>
      </c>
      <c r="Z292">
        <v>8</v>
      </c>
      <c r="AA292" s="32">
        <f t="shared" si="44"/>
        <v>1</v>
      </c>
    </row>
    <row r="293" spans="1:27" x14ac:dyDescent="0.45">
      <c r="A293">
        <v>8</v>
      </c>
      <c r="B293" s="36">
        <f>step3_combined_data!S289</f>
        <v>8</v>
      </c>
      <c r="C293" s="32">
        <f t="shared" si="36"/>
        <v>0</v>
      </c>
      <c r="D293">
        <v>8</v>
      </c>
      <c r="E293" s="36">
        <f>step3_combined_data!X361</f>
        <v>8</v>
      </c>
      <c r="F293" s="32">
        <f t="shared" si="37"/>
        <v>0</v>
      </c>
      <c r="G293">
        <v>9</v>
      </c>
      <c r="H293">
        <v>8</v>
      </c>
      <c r="I293" s="32">
        <f t="shared" si="38"/>
        <v>1</v>
      </c>
      <c r="J293">
        <v>9</v>
      </c>
      <c r="K293">
        <v>8</v>
      </c>
      <c r="L293" s="32">
        <f t="shared" si="39"/>
        <v>1</v>
      </c>
      <c r="M293">
        <v>8</v>
      </c>
      <c r="N293">
        <v>8</v>
      </c>
      <c r="O293" s="32">
        <f t="shared" si="40"/>
        <v>0</v>
      </c>
      <c r="P293">
        <v>9</v>
      </c>
      <c r="Q293">
        <v>8</v>
      </c>
      <c r="R293" s="32">
        <f t="shared" si="41"/>
        <v>1</v>
      </c>
      <c r="S293">
        <v>8</v>
      </c>
      <c r="T293">
        <v>8</v>
      </c>
      <c r="U293" s="32">
        <f t="shared" si="42"/>
        <v>0</v>
      </c>
      <c r="V293">
        <v>8</v>
      </c>
      <c r="W293">
        <v>8</v>
      </c>
      <c r="X293" s="32">
        <f t="shared" si="43"/>
        <v>0</v>
      </c>
      <c r="Y293">
        <v>9</v>
      </c>
      <c r="Z293">
        <v>8</v>
      </c>
      <c r="AA293" s="32">
        <f t="shared" si="44"/>
        <v>1</v>
      </c>
    </row>
    <row r="294" spans="1:27" x14ac:dyDescent="0.45">
      <c r="A294">
        <v>8</v>
      </c>
      <c r="B294" s="36">
        <f>step3_combined_data!S291</f>
        <v>8</v>
      </c>
      <c r="C294" s="32">
        <f t="shared" si="36"/>
        <v>0</v>
      </c>
      <c r="D294">
        <v>8</v>
      </c>
      <c r="E294" s="36">
        <f>step3_combined_data!X364</f>
        <v>8</v>
      </c>
      <c r="F294" s="32">
        <f t="shared" si="37"/>
        <v>0</v>
      </c>
      <c r="G294">
        <v>9</v>
      </c>
      <c r="H294">
        <v>8</v>
      </c>
      <c r="I294" s="32">
        <f t="shared" si="38"/>
        <v>1</v>
      </c>
      <c r="J294">
        <v>9</v>
      </c>
      <c r="K294">
        <v>8</v>
      </c>
      <c r="L294" s="32">
        <f t="shared" si="39"/>
        <v>1</v>
      </c>
      <c r="M294">
        <v>8</v>
      </c>
      <c r="N294">
        <v>8</v>
      </c>
      <c r="O294" s="32">
        <f t="shared" si="40"/>
        <v>0</v>
      </c>
      <c r="P294">
        <v>9</v>
      </c>
      <c r="Q294">
        <v>8</v>
      </c>
      <c r="R294" s="32">
        <f t="shared" si="41"/>
        <v>1</v>
      </c>
      <c r="S294">
        <v>8</v>
      </c>
      <c r="T294">
        <v>8</v>
      </c>
      <c r="U294" s="32">
        <f t="shared" si="42"/>
        <v>0</v>
      </c>
      <c r="V294">
        <v>8</v>
      </c>
      <c r="W294">
        <v>8</v>
      </c>
      <c r="X294" s="32">
        <f t="shared" si="43"/>
        <v>0</v>
      </c>
      <c r="Y294">
        <v>9</v>
      </c>
      <c r="Z294">
        <v>8</v>
      </c>
      <c r="AA294" s="32">
        <f t="shared" si="44"/>
        <v>1</v>
      </c>
    </row>
    <row r="295" spans="1:27" x14ac:dyDescent="0.45">
      <c r="A295">
        <v>8</v>
      </c>
      <c r="B295" s="36">
        <f>step3_combined_data!S294</f>
        <v>8</v>
      </c>
      <c r="C295" s="32">
        <f t="shared" si="36"/>
        <v>0</v>
      </c>
      <c r="D295">
        <v>8</v>
      </c>
      <c r="E295" s="36">
        <f>step3_combined_data!X367</f>
        <v>8</v>
      </c>
      <c r="F295" s="32">
        <f t="shared" si="37"/>
        <v>0</v>
      </c>
      <c r="G295">
        <v>9</v>
      </c>
      <c r="H295">
        <v>8</v>
      </c>
      <c r="I295" s="32">
        <f t="shared" si="38"/>
        <v>1</v>
      </c>
      <c r="J295">
        <v>9</v>
      </c>
      <c r="K295">
        <v>8</v>
      </c>
      <c r="L295" s="32">
        <f t="shared" si="39"/>
        <v>1</v>
      </c>
      <c r="M295">
        <v>8</v>
      </c>
      <c r="N295">
        <v>8</v>
      </c>
      <c r="O295" s="32">
        <f t="shared" si="40"/>
        <v>0</v>
      </c>
      <c r="P295">
        <v>9</v>
      </c>
      <c r="Q295">
        <v>8</v>
      </c>
      <c r="R295" s="32">
        <f t="shared" si="41"/>
        <v>1</v>
      </c>
      <c r="S295">
        <v>8</v>
      </c>
      <c r="T295">
        <v>8</v>
      </c>
      <c r="U295" s="32">
        <f t="shared" si="42"/>
        <v>0</v>
      </c>
      <c r="V295">
        <v>8</v>
      </c>
      <c r="W295">
        <v>8</v>
      </c>
      <c r="X295" s="32">
        <f t="shared" si="43"/>
        <v>0</v>
      </c>
      <c r="Y295">
        <v>9</v>
      </c>
      <c r="Z295">
        <v>8</v>
      </c>
      <c r="AA295" s="32">
        <f t="shared" si="44"/>
        <v>1</v>
      </c>
    </row>
    <row r="296" spans="1:27" x14ac:dyDescent="0.45">
      <c r="A296">
        <v>8</v>
      </c>
      <c r="B296" s="36">
        <f>step3_combined_data!S296</f>
        <v>8</v>
      </c>
      <c r="C296" s="32">
        <f t="shared" si="36"/>
        <v>0</v>
      </c>
      <c r="D296">
        <v>8</v>
      </c>
      <c r="E296" s="36">
        <f>step3_combined_data!X374</f>
        <v>8</v>
      </c>
      <c r="F296" s="32">
        <f t="shared" si="37"/>
        <v>0</v>
      </c>
      <c r="G296">
        <v>9</v>
      </c>
      <c r="H296">
        <v>8</v>
      </c>
      <c r="I296" s="32">
        <f t="shared" si="38"/>
        <v>1</v>
      </c>
      <c r="J296">
        <v>9</v>
      </c>
      <c r="K296">
        <v>8</v>
      </c>
      <c r="L296" s="32">
        <f t="shared" si="39"/>
        <v>1</v>
      </c>
      <c r="M296">
        <v>8</v>
      </c>
      <c r="N296">
        <v>8</v>
      </c>
      <c r="O296" s="32">
        <f t="shared" si="40"/>
        <v>0</v>
      </c>
      <c r="P296">
        <v>9</v>
      </c>
      <c r="Q296">
        <v>8</v>
      </c>
      <c r="R296" s="32">
        <f t="shared" si="41"/>
        <v>1</v>
      </c>
      <c r="S296">
        <v>8</v>
      </c>
      <c r="T296">
        <v>8</v>
      </c>
      <c r="U296" s="32">
        <f t="shared" si="42"/>
        <v>0</v>
      </c>
      <c r="V296">
        <v>8</v>
      </c>
      <c r="W296">
        <v>8</v>
      </c>
      <c r="X296" s="32">
        <f t="shared" si="43"/>
        <v>0</v>
      </c>
      <c r="Y296">
        <v>9</v>
      </c>
      <c r="Z296">
        <v>8</v>
      </c>
      <c r="AA296" s="32">
        <f t="shared" si="44"/>
        <v>1</v>
      </c>
    </row>
    <row r="297" spans="1:27" x14ac:dyDescent="0.45">
      <c r="A297">
        <v>8</v>
      </c>
      <c r="B297" s="36">
        <f>step3_combined_data!S302</f>
        <v>8</v>
      </c>
      <c r="C297" s="32">
        <f t="shared" si="36"/>
        <v>0</v>
      </c>
      <c r="D297">
        <v>8</v>
      </c>
      <c r="E297" s="36">
        <f>step3_combined_data!X376</f>
        <v>8</v>
      </c>
      <c r="F297" s="32">
        <f t="shared" si="37"/>
        <v>0</v>
      </c>
      <c r="G297">
        <v>9</v>
      </c>
      <c r="H297">
        <v>8</v>
      </c>
      <c r="I297" s="32">
        <f t="shared" si="38"/>
        <v>1</v>
      </c>
      <c r="J297">
        <v>9</v>
      </c>
      <c r="K297">
        <v>8</v>
      </c>
      <c r="L297" s="32">
        <f t="shared" si="39"/>
        <v>1</v>
      </c>
      <c r="M297">
        <v>8</v>
      </c>
      <c r="N297">
        <v>8</v>
      </c>
      <c r="O297" s="32">
        <f t="shared" si="40"/>
        <v>0</v>
      </c>
      <c r="P297">
        <v>9</v>
      </c>
      <c r="Q297">
        <v>8</v>
      </c>
      <c r="R297" s="32">
        <f t="shared" si="41"/>
        <v>1</v>
      </c>
      <c r="S297">
        <v>8</v>
      </c>
      <c r="T297">
        <v>8</v>
      </c>
      <c r="U297" s="32">
        <f t="shared" si="42"/>
        <v>0</v>
      </c>
      <c r="V297">
        <v>8</v>
      </c>
      <c r="W297">
        <v>8</v>
      </c>
      <c r="X297" s="32">
        <f t="shared" si="43"/>
        <v>0</v>
      </c>
      <c r="Y297">
        <v>9</v>
      </c>
      <c r="Z297">
        <v>8</v>
      </c>
      <c r="AA297" s="32">
        <f t="shared" si="44"/>
        <v>1</v>
      </c>
    </row>
    <row r="298" spans="1:27" x14ac:dyDescent="0.45">
      <c r="A298">
        <v>8</v>
      </c>
      <c r="B298" s="36">
        <f>step3_combined_data!S313</f>
        <v>8</v>
      </c>
      <c r="C298" s="32">
        <f t="shared" si="36"/>
        <v>0</v>
      </c>
      <c r="D298">
        <v>8</v>
      </c>
      <c r="E298" s="36">
        <f>step3_combined_data!X378</f>
        <v>8</v>
      </c>
      <c r="F298" s="32">
        <f t="shared" si="37"/>
        <v>0</v>
      </c>
      <c r="G298">
        <v>9</v>
      </c>
      <c r="H298">
        <v>8</v>
      </c>
      <c r="I298" s="32">
        <f t="shared" si="38"/>
        <v>1</v>
      </c>
      <c r="J298">
        <v>9</v>
      </c>
      <c r="K298">
        <v>8</v>
      </c>
      <c r="L298" s="32">
        <f t="shared" si="39"/>
        <v>1</v>
      </c>
      <c r="M298">
        <v>8</v>
      </c>
      <c r="N298">
        <v>8</v>
      </c>
      <c r="O298" s="32">
        <f t="shared" si="40"/>
        <v>0</v>
      </c>
      <c r="P298">
        <v>9</v>
      </c>
      <c r="Q298">
        <v>8</v>
      </c>
      <c r="R298" s="32">
        <f t="shared" si="41"/>
        <v>1</v>
      </c>
      <c r="S298">
        <v>8</v>
      </c>
      <c r="T298">
        <v>8</v>
      </c>
      <c r="U298" s="32">
        <f t="shared" si="42"/>
        <v>0</v>
      </c>
      <c r="V298">
        <v>8</v>
      </c>
      <c r="W298">
        <v>8</v>
      </c>
      <c r="X298" s="32">
        <f t="shared" si="43"/>
        <v>0</v>
      </c>
      <c r="Y298">
        <v>9</v>
      </c>
      <c r="Z298">
        <v>8</v>
      </c>
      <c r="AA298" s="32">
        <f t="shared" si="44"/>
        <v>1</v>
      </c>
    </row>
    <row r="299" spans="1:27" x14ac:dyDescent="0.45">
      <c r="A299">
        <v>8</v>
      </c>
      <c r="B299" s="36">
        <f>step3_combined_data!S320</f>
        <v>8</v>
      </c>
      <c r="C299" s="32">
        <f t="shared" si="36"/>
        <v>0</v>
      </c>
      <c r="D299">
        <v>8</v>
      </c>
      <c r="E299" s="36">
        <f>step3_combined_data!X380</f>
        <v>8</v>
      </c>
      <c r="F299" s="32">
        <f t="shared" si="37"/>
        <v>0</v>
      </c>
      <c r="G299">
        <v>9</v>
      </c>
      <c r="H299">
        <v>8</v>
      </c>
      <c r="I299" s="32">
        <f t="shared" si="38"/>
        <v>1</v>
      </c>
      <c r="J299">
        <v>9</v>
      </c>
      <c r="K299">
        <v>8</v>
      </c>
      <c r="L299" s="32">
        <f t="shared" si="39"/>
        <v>1</v>
      </c>
      <c r="M299">
        <v>8</v>
      </c>
      <c r="N299">
        <v>8</v>
      </c>
      <c r="O299" s="32">
        <f t="shared" si="40"/>
        <v>0</v>
      </c>
      <c r="P299">
        <v>9</v>
      </c>
      <c r="Q299">
        <v>8</v>
      </c>
      <c r="R299" s="32">
        <f t="shared" si="41"/>
        <v>1</v>
      </c>
      <c r="S299">
        <v>8</v>
      </c>
      <c r="T299">
        <v>8</v>
      </c>
      <c r="U299" s="32">
        <f t="shared" si="42"/>
        <v>0</v>
      </c>
      <c r="V299">
        <v>8</v>
      </c>
      <c r="W299">
        <v>8</v>
      </c>
      <c r="X299" s="32">
        <f t="shared" si="43"/>
        <v>0</v>
      </c>
      <c r="Y299">
        <v>9</v>
      </c>
      <c r="Z299">
        <v>8</v>
      </c>
      <c r="AA299" s="32">
        <f t="shared" si="44"/>
        <v>1</v>
      </c>
    </row>
    <row r="300" spans="1:27" x14ac:dyDescent="0.45">
      <c r="A300">
        <v>8</v>
      </c>
      <c r="B300" s="36">
        <f>step3_combined_data!S322</f>
        <v>8</v>
      </c>
      <c r="C300" s="32">
        <f t="shared" si="36"/>
        <v>0</v>
      </c>
      <c r="D300">
        <v>8</v>
      </c>
      <c r="E300" s="36">
        <f>step3_combined_data!X381</f>
        <v>8</v>
      </c>
      <c r="F300" s="32">
        <f t="shared" si="37"/>
        <v>0</v>
      </c>
      <c r="G300">
        <v>9</v>
      </c>
      <c r="H300">
        <v>8</v>
      </c>
      <c r="I300" s="32">
        <f t="shared" si="38"/>
        <v>1</v>
      </c>
      <c r="J300">
        <v>9</v>
      </c>
      <c r="K300">
        <v>8</v>
      </c>
      <c r="L300" s="32">
        <f t="shared" si="39"/>
        <v>1</v>
      </c>
      <c r="M300">
        <v>8</v>
      </c>
      <c r="N300">
        <v>8</v>
      </c>
      <c r="O300" s="32">
        <f t="shared" si="40"/>
        <v>0</v>
      </c>
      <c r="P300">
        <v>9</v>
      </c>
      <c r="Q300">
        <v>8</v>
      </c>
      <c r="R300" s="32">
        <f t="shared" si="41"/>
        <v>1</v>
      </c>
      <c r="S300">
        <v>8</v>
      </c>
      <c r="T300">
        <v>8</v>
      </c>
      <c r="U300" s="32">
        <f t="shared" si="42"/>
        <v>0</v>
      </c>
      <c r="V300">
        <v>8</v>
      </c>
      <c r="W300">
        <v>8</v>
      </c>
      <c r="X300" s="32">
        <f t="shared" si="43"/>
        <v>0</v>
      </c>
      <c r="Y300">
        <v>9</v>
      </c>
      <c r="Z300">
        <v>8</v>
      </c>
      <c r="AA300" s="32">
        <f t="shared" si="44"/>
        <v>1</v>
      </c>
    </row>
    <row r="301" spans="1:27" x14ac:dyDescent="0.45">
      <c r="A301">
        <v>8</v>
      </c>
      <c r="B301" s="36">
        <f>step3_combined_data!S327</f>
        <v>8</v>
      </c>
      <c r="C301" s="32">
        <f t="shared" si="36"/>
        <v>0</v>
      </c>
      <c r="D301">
        <v>8</v>
      </c>
      <c r="E301" s="36">
        <f>step3_combined_data!X387</f>
        <v>8</v>
      </c>
      <c r="F301" s="32">
        <f t="shared" si="37"/>
        <v>0</v>
      </c>
      <c r="G301">
        <v>9</v>
      </c>
      <c r="H301">
        <v>8</v>
      </c>
      <c r="I301" s="32">
        <f t="shared" si="38"/>
        <v>1</v>
      </c>
      <c r="J301">
        <v>9</v>
      </c>
      <c r="K301">
        <v>8</v>
      </c>
      <c r="L301" s="32">
        <f t="shared" si="39"/>
        <v>1</v>
      </c>
      <c r="M301">
        <v>8</v>
      </c>
      <c r="N301">
        <v>8</v>
      </c>
      <c r="O301" s="32">
        <f t="shared" si="40"/>
        <v>0</v>
      </c>
      <c r="P301">
        <v>9</v>
      </c>
      <c r="Q301">
        <v>8</v>
      </c>
      <c r="R301" s="32">
        <f t="shared" si="41"/>
        <v>1</v>
      </c>
      <c r="S301">
        <v>8</v>
      </c>
      <c r="T301">
        <v>8</v>
      </c>
      <c r="U301" s="32">
        <f t="shared" si="42"/>
        <v>0</v>
      </c>
      <c r="V301">
        <v>8</v>
      </c>
      <c r="W301">
        <v>8</v>
      </c>
      <c r="X301" s="32">
        <f t="shared" si="43"/>
        <v>0</v>
      </c>
      <c r="Y301">
        <v>9</v>
      </c>
      <c r="Z301">
        <v>8</v>
      </c>
      <c r="AA301" s="32">
        <f t="shared" si="44"/>
        <v>1</v>
      </c>
    </row>
    <row r="302" spans="1:27" x14ac:dyDescent="0.45">
      <c r="A302">
        <v>8</v>
      </c>
      <c r="B302" s="36">
        <f>step3_combined_data!S339</f>
        <v>8</v>
      </c>
      <c r="C302" s="32">
        <f t="shared" si="36"/>
        <v>0</v>
      </c>
      <c r="D302">
        <v>8</v>
      </c>
      <c r="E302" s="36">
        <f>step3_combined_data!X390</f>
        <v>8</v>
      </c>
      <c r="F302" s="32">
        <f t="shared" si="37"/>
        <v>0</v>
      </c>
      <c r="G302">
        <v>9</v>
      </c>
      <c r="H302">
        <v>8</v>
      </c>
      <c r="I302" s="32">
        <f t="shared" si="38"/>
        <v>1</v>
      </c>
      <c r="J302">
        <v>9</v>
      </c>
      <c r="K302">
        <v>8</v>
      </c>
      <c r="L302" s="32">
        <f t="shared" si="39"/>
        <v>1</v>
      </c>
      <c r="M302">
        <v>8</v>
      </c>
      <c r="N302">
        <v>8</v>
      </c>
      <c r="O302" s="32">
        <f t="shared" si="40"/>
        <v>0</v>
      </c>
      <c r="P302">
        <v>9</v>
      </c>
      <c r="Q302">
        <v>8</v>
      </c>
      <c r="R302" s="32">
        <f t="shared" si="41"/>
        <v>1</v>
      </c>
      <c r="S302">
        <v>8</v>
      </c>
      <c r="T302">
        <v>8</v>
      </c>
      <c r="U302" s="32">
        <f t="shared" si="42"/>
        <v>0</v>
      </c>
      <c r="V302">
        <v>8</v>
      </c>
      <c r="W302">
        <v>8</v>
      </c>
      <c r="X302" s="32">
        <f t="shared" si="43"/>
        <v>0</v>
      </c>
      <c r="Y302">
        <v>9</v>
      </c>
      <c r="Z302">
        <v>8</v>
      </c>
      <c r="AA302" s="32">
        <f t="shared" si="44"/>
        <v>1</v>
      </c>
    </row>
    <row r="303" spans="1:27" x14ac:dyDescent="0.45">
      <c r="A303">
        <v>8</v>
      </c>
      <c r="B303" s="36">
        <f>step3_combined_data!S342</f>
        <v>8</v>
      </c>
      <c r="C303" s="32">
        <f t="shared" si="36"/>
        <v>0</v>
      </c>
      <c r="D303">
        <v>8</v>
      </c>
      <c r="E303" s="36">
        <f>step3_combined_data!X398</f>
        <v>8</v>
      </c>
      <c r="F303" s="32">
        <f t="shared" si="37"/>
        <v>0</v>
      </c>
      <c r="G303">
        <v>9</v>
      </c>
      <c r="H303">
        <v>8</v>
      </c>
      <c r="I303" s="32">
        <f t="shared" si="38"/>
        <v>1</v>
      </c>
      <c r="J303">
        <v>9</v>
      </c>
      <c r="K303">
        <v>9</v>
      </c>
      <c r="L303" s="32">
        <f t="shared" si="39"/>
        <v>0</v>
      </c>
      <c r="M303">
        <v>8</v>
      </c>
      <c r="N303">
        <v>8</v>
      </c>
      <c r="O303" s="32">
        <f t="shared" si="40"/>
        <v>0</v>
      </c>
      <c r="P303">
        <v>9</v>
      </c>
      <c r="Q303">
        <v>8</v>
      </c>
      <c r="R303" s="32">
        <f t="shared" si="41"/>
        <v>1</v>
      </c>
      <c r="S303">
        <v>8</v>
      </c>
      <c r="T303">
        <v>8</v>
      </c>
      <c r="U303" s="32">
        <f t="shared" si="42"/>
        <v>0</v>
      </c>
      <c r="V303">
        <v>8</v>
      </c>
      <c r="W303">
        <v>8</v>
      </c>
      <c r="X303" s="32">
        <f t="shared" si="43"/>
        <v>0</v>
      </c>
      <c r="Y303">
        <v>9</v>
      </c>
      <c r="Z303">
        <v>8</v>
      </c>
      <c r="AA303" s="32">
        <f t="shared" si="44"/>
        <v>1</v>
      </c>
    </row>
    <row r="304" spans="1:27" x14ac:dyDescent="0.45">
      <c r="A304">
        <v>8</v>
      </c>
      <c r="B304" s="36">
        <f>step3_combined_data!S348</f>
        <v>8</v>
      </c>
      <c r="C304" s="32">
        <f t="shared" si="36"/>
        <v>0</v>
      </c>
      <c r="D304">
        <v>8</v>
      </c>
      <c r="E304" s="36">
        <f>step3_combined_data!X6</f>
        <v>9</v>
      </c>
      <c r="F304" s="32">
        <f t="shared" si="37"/>
        <v>1</v>
      </c>
      <c r="G304">
        <v>9</v>
      </c>
      <c r="H304">
        <v>8</v>
      </c>
      <c r="I304" s="32">
        <f t="shared" si="38"/>
        <v>1</v>
      </c>
      <c r="J304">
        <v>9</v>
      </c>
      <c r="K304">
        <v>9</v>
      </c>
      <c r="L304" s="32">
        <f t="shared" si="39"/>
        <v>0</v>
      </c>
      <c r="M304">
        <v>8</v>
      </c>
      <c r="N304">
        <v>8</v>
      </c>
      <c r="O304" s="32">
        <f t="shared" si="40"/>
        <v>0</v>
      </c>
      <c r="P304">
        <v>9</v>
      </c>
      <c r="Q304">
        <v>8</v>
      </c>
      <c r="R304" s="32">
        <f t="shared" si="41"/>
        <v>1</v>
      </c>
      <c r="S304">
        <v>8</v>
      </c>
      <c r="T304">
        <v>8</v>
      </c>
      <c r="U304" s="32">
        <f t="shared" si="42"/>
        <v>0</v>
      </c>
      <c r="V304">
        <v>8</v>
      </c>
      <c r="W304">
        <v>8</v>
      </c>
      <c r="X304" s="32">
        <f t="shared" si="43"/>
        <v>0</v>
      </c>
      <c r="Y304">
        <v>9</v>
      </c>
      <c r="Z304">
        <v>8</v>
      </c>
      <c r="AA304" s="32">
        <f t="shared" si="44"/>
        <v>1</v>
      </c>
    </row>
    <row r="305" spans="1:27" x14ac:dyDescent="0.45">
      <c r="A305">
        <v>8</v>
      </c>
      <c r="B305" s="36">
        <f>step3_combined_data!S349</f>
        <v>8</v>
      </c>
      <c r="C305" s="32">
        <f t="shared" si="36"/>
        <v>0</v>
      </c>
      <c r="D305">
        <v>8</v>
      </c>
      <c r="E305" s="36">
        <f>step3_combined_data!X16</f>
        <v>9</v>
      </c>
      <c r="F305" s="32">
        <f t="shared" si="37"/>
        <v>1</v>
      </c>
      <c r="G305">
        <v>9</v>
      </c>
      <c r="H305">
        <v>8</v>
      </c>
      <c r="I305" s="32">
        <f t="shared" si="38"/>
        <v>1</v>
      </c>
      <c r="J305">
        <v>9</v>
      </c>
      <c r="K305">
        <v>9</v>
      </c>
      <c r="L305" s="32">
        <f t="shared" si="39"/>
        <v>0</v>
      </c>
      <c r="M305">
        <v>8</v>
      </c>
      <c r="N305">
        <v>8</v>
      </c>
      <c r="O305" s="32">
        <f t="shared" si="40"/>
        <v>0</v>
      </c>
      <c r="P305">
        <v>9</v>
      </c>
      <c r="Q305">
        <v>8</v>
      </c>
      <c r="R305" s="32">
        <f t="shared" si="41"/>
        <v>1</v>
      </c>
      <c r="S305">
        <v>8</v>
      </c>
      <c r="T305">
        <v>8</v>
      </c>
      <c r="U305" s="32">
        <f t="shared" si="42"/>
        <v>0</v>
      </c>
      <c r="V305">
        <v>8</v>
      </c>
      <c r="W305">
        <v>8</v>
      </c>
      <c r="X305" s="32">
        <f t="shared" si="43"/>
        <v>0</v>
      </c>
      <c r="Y305">
        <v>9</v>
      </c>
      <c r="Z305">
        <v>8</v>
      </c>
      <c r="AA305" s="32">
        <f t="shared" si="44"/>
        <v>1</v>
      </c>
    </row>
    <row r="306" spans="1:27" x14ac:dyDescent="0.45">
      <c r="A306">
        <v>8</v>
      </c>
      <c r="B306" s="36">
        <f>step3_combined_data!S352</f>
        <v>8</v>
      </c>
      <c r="C306" s="32">
        <f t="shared" si="36"/>
        <v>0</v>
      </c>
      <c r="D306">
        <v>8</v>
      </c>
      <c r="E306" s="36">
        <f>step3_combined_data!X21</f>
        <v>9</v>
      </c>
      <c r="F306" s="32">
        <f t="shared" si="37"/>
        <v>1</v>
      </c>
      <c r="G306">
        <v>9</v>
      </c>
      <c r="H306">
        <v>8</v>
      </c>
      <c r="I306" s="32">
        <f t="shared" si="38"/>
        <v>1</v>
      </c>
      <c r="J306">
        <v>9</v>
      </c>
      <c r="K306">
        <v>9</v>
      </c>
      <c r="L306" s="32">
        <f t="shared" si="39"/>
        <v>0</v>
      </c>
      <c r="M306">
        <v>9</v>
      </c>
      <c r="N306">
        <v>8</v>
      </c>
      <c r="O306" s="32">
        <f t="shared" si="40"/>
        <v>1</v>
      </c>
      <c r="P306">
        <v>9</v>
      </c>
      <c r="Q306">
        <v>8</v>
      </c>
      <c r="R306" s="32">
        <f t="shared" si="41"/>
        <v>1</v>
      </c>
      <c r="S306">
        <v>8</v>
      </c>
      <c r="T306">
        <v>8</v>
      </c>
      <c r="U306" s="32">
        <f t="shared" si="42"/>
        <v>0</v>
      </c>
      <c r="V306">
        <v>8</v>
      </c>
      <c r="W306">
        <v>8</v>
      </c>
      <c r="X306" s="32">
        <f t="shared" si="43"/>
        <v>0</v>
      </c>
      <c r="Y306">
        <v>9</v>
      </c>
      <c r="Z306">
        <v>8</v>
      </c>
      <c r="AA306" s="32">
        <f t="shared" si="44"/>
        <v>1</v>
      </c>
    </row>
    <row r="307" spans="1:27" x14ac:dyDescent="0.45">
      <c r="A307">
        <v>8</v>
      </c>
      <c r="B307" s="36">
        <f>step3_combined_data!S364</f>
        <v>8</v>
      </c>
      <c r="C307" s="32">
        <f t="shared" si="36"/>
        <v>0</v>
      </c>
      <c r="D307">
        <v>8</v>
      </c>
      <c r="E307" s="36">
        <f>step3_combined_data!X34</f>
        <v>9</v>
      </c>
      <c r="F307" s="32">
        <f t="shared" si="37"/>
        <v>1</v>
      </c>
      <c r="G307">
        <v>9</v>
      </c>
      <c r="H307">
        <v>8</v>
      </c>
      <c r="I307" s="32">
        <f t="shared" si="38"/>
        <v>1</v>
      </c>
      <c r="J307">
        <v>9</v>
      </c>
      <c r="K307">
        <v>9</v>
      </c>
      <c r="L307" s="32">
        <f t="shared" si="39"/>
        <v>0</v>
      </c>
      <c r="M307">
        <v>9</v>
      </c>
      <c r="N307">
        <v>8</v>
      </c>
      <c r="O307" s="32">
        <f t="shared" si="40"/>
        <v>1</v>
      </c>
      <c r="P307">
        <v>9</v>
      </c>
      <c r="Q307">
        <v>8</v>
      </c>
      <c r="R307" s="32">
        <f t="shared" si="41"/>
        <v>1</v>
      </c>
      <c r="S307">
        <v>8</v>
      </c>
      <c r="T307">
        <v>8</v>
      </c>
      <c r="U307" s="32">
        <f t="shared" si="42"/>
        <v>0</v>
      </c>
      <c r="V307">
        <v>8</v>
      </c>
      <c r="W307">
        <v>8</v>
      </c>
      <c r="X307" s="32">
        <f t="shared" si="43"/>
        <v>0</v>
      </c>
      <c r="Y307">
        <v>9</v>
      </c>
      <c r="Z307">
        <v>8</v>
      </c>
      <c r="AA307" s="32">
        <f t="shared" si="44"/>
        <v>1</v>
      </c>
    </row>
    <row r="308" spans="1:27" x14ac:dyDescent="0.45">
      <c r="A308">
        <v>8</v>
      </c>
      <c r="B308" s="36">
        <f>step3_combined_data!S368</f>
        <v>8</v>
      </c>
      <c r="C308" s="32">
        <f t="shared" si="36"/>
        <v>0</v>
      </c>
      <c r="D308">
        <v>8</v>
      </c>
      <c r="E308" s="36">
        <f>step3_combined_data!X37</f>
        <v>9</v>
      </c>
      <c r="F308" s="32">
        <f t="shared" si="37"/>
        <v>1</v>
      </c>
      <c r="G308">
        <v>9</v>
      </c>
      <c r="H308">
        <v>8</v>
      </c>
      <c r="I308" s="32">
        <f t="shared" si="38"/>
        <v>1</v>
      </c>
      <c r="J308">
        <v>9</v>
      </c>
      <c r="K308">
        <v>9</v>
      </c>
      <c r="L308" s="32">
        <f t="shared" si="39"/>
        <v>0</v>
      </c>
      <c r="M308">
        <v>9</v>
      </c>
      <c r="N308">
        <v>8</v>
      </c>
      <c r="O308" s="32">
        <f t="shared" si="40"/>
        <v>1</v>
      </c>
      <c r="P308">
        <v>9</v>
      </c>
      <c r="Q308">
        <v>8</v>
      </c>
      <c r="R308" s="32">
        <f t="shared" si="41"/>
        <v>1</v>
      </c>
      <c r="S308">
        <v>8</v>
      </c>
      <c r="T308">
        <v>8</v>
      </c>
      <c r="U308" s="32">
        <f t="shared" si="42"/>
        <v>0</v>
      </c>
      <c r="V308">
        <v>8</v>
      </c>
      <c r="W308">
        <v>8</v>
      </c>
      <c r="X308" s="32">
        <f t="shared" si="43"/>
        <v>0</v>
      </c>
      <c r="Y308">
        <v>9</v>
      </c>
      <c r="Z308">
        <v>8</v>
      </c>
      <c r="AA308" s="32">
        <f t="shared" si="44"/>
        <v>1</v>
      </c>
    </row>
    <row r="309" spans="1:27" x14ac:dyDescent="0.45">
      <c r="A309">
        <v>8</v>
      </c>
      <c r="B309" s="36">
        <f>step3_combined_data!S374</f>
        <v>8</v>
      </c>
      <c r="C309" s="32">
        <f t="shared" si="36"/>
        <v>0</v>
      </c>
      <c r="D309">
        <v>8</v>
      </c>
      <c r="E309" s="36">
        <f>step3_combined_data!X56</f>
        <v>9</v>
      </c>
      <c r="F309" s="32">
        <f t="shared" si="37"/>
        <v>1</v>
      </c>
      <c r="G309">
        <v>9</v>
      </c>
      <c r="H309">
        <v>8</v>
      </c>
      <c r="I309" s="32">
        <f t="shared" si="38"/>
        <v>1</v>
      </c>
      <c r="J309">
        <v>9</v>
      </c>
      <c r="K309">
        <v>9</v>
      </c>
      <c r="L309" s="32">
        <f t="shared" si="39"/>
        <v>0</v>
      </c>
      <c r="M309">
        <v>9</v>
      </c>
      <c r="N309">
        <v>8</v>
      </c>
      <c r="O309" s="32">
        <f t="shared" si="40"/>
        <v>1</v>
      </c>
      <c r="P309">
        <v>9</v>
      </c>
      <c r="Q309">
        <v>8</v>
      </c>
      <c r="R309" s="32">
        <f t="shared" si="41"/>
        <v>1</v>
      </c>
      <c r="S309">
        <v>8</v>
      </c>
      <c r="T309">
        <v>8</v>
      </c>
      <c r="U309" s="32">
        <f t="shared" si="42"/>
        <v>0</v>
      </c>
      <c r="V309">
        <v>8</v>
      </c>
      <c r="W309">
        <v>8</v>
      </c>
      <c r="X309" s="32">
        <f t="shared" si="43"/>
        <v>0</v>
      </c>
      <c r="Y309">
        <v>9</v>
      </c>
      <c r="Z309">
        <v>8</v>
      </c>
      <c r="AA309" s="32">
        <f t="shared" si="44"/>
        <v>1</v>
      </c>
    </row>
    <row r="310" spans="1:27" x14ac:dyDescent="0.45">
      <c r="A310">
        <v>8</v>
      </c>
      <c r="B310" s="36">
        <f>step3_combined_data!S376</f>
        <v>8</v>
      </c>
      <c r="C310" s="32">
        <f t="shared" si="36"/>
        <v>0</v>
      </c>
      <c r="D310">
        <v>8</v>
      </c>
      <c r="E310" s="36">
        <f>step3_combined_data!X60</f>
        <v>9</v>
      </c>
      <c r="F310" s="32">
        <f t="shared" si="37"/>
        <v>1</v>
      </c>
      <c r="G310">
        <v>9</v>
      </c>
      <c r="H310">
        <v>8</v>
      </c>
      <c r="I310" s="32">
        <f t="shared" si="38"/>
        <v>1</v>
      </c>
      <c r="J310">
        <v>9</v>
      </c>
      <c r="K310">
        <v>9</v>
      </c>
      <c r="L310" s="32">
        <f t="shared" si="39"/>
        <v>0</v>
      </c>
      <c r="M310">
        <v>9</v>
      </c>
      <c r="N310">
        <v>8</v>
      </c>
      <c r="O310" s="32">
        <f t="shared" si="40"/>
        <v>1</v>
      </c>
      <c r="P310">
        <v>9</v>
      </c>
      <c r="Q310">
        <v>8</v>
      </c>
      <c r="R310" s="32">
        <f t="shared" si="41"/>
        <v>1</v>
      </c>
      <c r="S310">
        <v>8</v>
      </c>
      <c r="T310">
        <v>8</v>
      </c>
      <c r="U310" s="32">
        <f t="shared" si="42"/>
        <v>0</v>
      </c>
      <c r="V310">
        <v>8</v>
      </c>
      <c r="W310">
        <v>8</v>
      </c>
      <c r="X310" s="32">
        <f t="shared" si="43"/>
        <v>0</v>
      </c>
      <c r="Y310">
        <v>9</v>
      </c>
      <c r="Z310">
        <v>8</v>
      </c>
      <c r="AA310" s="32">
        <f t="shared" si="44"/>
        <v>1</v>
      </c>
    </row>
    <row r="311" spans="1:27" x14ac:dyDescent="0.45">
      <c r="A311">
        <v>8</v>
      </c>
      <c r="B311" s="36">
        <f>step3_combined_data!S380</f>
        <v>8</v>
      </c>
      <c r="C311" s="32">
        <f t="shared" si="36"/>
        <v>0</v>
      </c>
      <c r="D311">
        <v>8</v>
      </c>
      <c r="E311" s="36">
        <f>step3_combined_data!X62</f>
        <v>9</v>
      </c>
      <c r="F311" s="32">
        <f t="shared" si="37"/>
        <v>1</v>
      </c>
      <c r="G311">
        <v>9</v>
      </c>
      <c r="H311">
        <v>8</v>
      </c>
      <c r="I311" s="32">
        <f t="shared" si="38"/>
        <v>1</v>
      </c>
      <c r="J311">
        <v>9</v>
      </c>
      <c r="K311">
        <v>9</v>
      </c>
      <c r="L311" s="32">
        <f t="shared" si="39"/>
        <v>0</v>
      </c>
      <c r="M311">
        <v>9</v>
      </c>
      <c r="N311">
        <v>8</v>
      </c>
      <c r="O311" s="32">
        <f t="shared" si="40"/>
        <v>1</v>
      </c>
      <c r="P311">
        <v>9</v>
      </c>
      <c r="Q311">
        <v>8</v>
      </c>
      <c r="R311" s="32">
        <f t="shared" si="41"/>
        <v>1</v>
      </c>
      <c r="S311">
        <v>8</v>
      </c>
      <c r="T311">
        <v>8</v>
      </c>
      <c r="U311" s="32">
        <f t="shared" si="42"/>
        <v>0</v>
      </c>
      <c r="V311">
        <v>8</v>
      </c>
      <c r="W311">
        <v>8</v>
      </c>
      <c r="X311" s="32">
        <f t="shared" si="43"/>
        <v>0</v>
      </c>
      <c r="Y311">
        <v>9</v>
      </c>
      <c r="Z311">
        <v>8</v>
      </c>
      <c r="AA311" s="32">
        <f t="shared" si="44"/>
        <v>1</v>
      </c>
    </row>
    <row r="312" spans="1:27" x14ac:dyDescent="0.45">
      <c r="A312">
        <v>8</v>
      </c>
      <c r="B312" s="36">
        <f>step3_combined_data!S381</f>
        <v>8</v>
      </c>
      <c r="C312" s="32">
        <f t="shared" si="36"/>
        <v>0</v>
      </c>
      <c r="D312">
        <v>8</v>
      </c>
      <c r="E312" s="36">
        <f>step3_combined_data!X63</f>
        <v>9</v>
      </c>
      <c r="F312" s="32">
        <f t="shared" si="37"/>
        <v>1</v>
      </c>
      <c r="G312">
        <v>9</v>
      </c>
      <c r="H312">
        <v>8</v>
      </c>
      <c r="I312" s="32">
        <f t="shared" si="38"/>
        <v>1</v>
      </c>
      <c r="J312">
        <v>9</v>
      </c>
      <c r="K312">
        <v>9</v>
      </c>
      <c r="L312" s="32">
        <f t="shared" si="39"/>
        <v>0</v>
      </c>
      <c r="M312">
        <v>9</v>
      </c>
      <c r="N312">
        <v>8</v>
      </c>
      <c r="O312" s="32">
        <f t="shared" si="40"/>
        <v>1</v>
      </c>
      <c r="P312">
        <v>9</v>
      </c>
      <c r="Q312">
        <v>8</v>
      </c>
      <c r="R312" s="32">
        <f t="shared" si="41"/>
        <v>1</v>
      </c>
      <c r="S312">
        <v>8</v>
      </c>
      <c r="T312">
        <v>8</v>
      </c>
      <c r="U312" s="32">
        <f t="shared" si="42"/>
        <v>0</v>
      </c>
      <c r="V312">
        <v>8</v>
      </c>
      <c r="W312">
        <v>8</v>
      </c>
      <c r="X312" s="32">
        <f t="shared" si="43"/>
        <v>0</v>
      </c>
      <c r="Y312">
        <v>9</v>
      </c>
      <c r="Z312">
        <v>8</v>
      </c>
      <c r="AA312" s="32">
        <f t="shared" si="44"/>
        <v>1</v>
      </c>
    </row>
    <row r="313" spans="1:27" x14ac:dyDescent="0.45">
      <c r="A313">
        <v>8</v>
      </c>
      <c r="B313" s="36">
        <f>step3_combined_data!S387</f>
        <v>8</v>
      </c>
      <c r="C313" s="32">
        <f t="shared" si="36"/>
        <v>0</v>
      </c>
      <c r="D313">
        <v>8</v>
      </c>
      <c r="E313" s="36">
        <f>step3_combined_data!X64</f>
        <v>9</v>
      </c>
      <c r="F313" s="32">
        <f t="shared" si="37"/>
        <v>1</v>
      </c>
      <c r="G313">
        <v>9</v>
      </c>
      <c r="H313">
        <v>8</v>
      </c>
      <c r="I313" s="32">
        <f t="shared" si="38"/>
        <v>1</v>
      </c>
      <c r="J313">
        <v>9</v>
      </c>
      <c r="K313">
        <v>9</v>
      </c>
      <c r="L313" s="32">
        <f t="shared" si="39"/>
        <v>0</v>
      </c>
      <c r="M313">
        <v>9</v>
      </c>
      <c r="N313">
        <v>8</v>
      </c>
      <c r="O313" s="32">
        <f t="shared" si="40"/>
        <v>1</v>
      </c>
      <c r="P313">
        <v>9</v>
      </c>
      <c r="Q313">
        <v>8</v>
      </c>
      <c r="R313" s="32">
        <f t="shared" si="41"/>
        <v>1</v>
      </c>
      <c r="S313">
        <v>8</v>
      </c>
      <c r="T313">
        <v>8</v>
      </c>
      <c r="U313" s="32">
        <f t="shared" si="42"/>
        <v>0</v>
      </c>
      <c r="V313">
        <v>8</v>
      </c>
      <c r="W313">
        <v>8</v>
      </c>
      <c r="X313" s="32">
        <f t="shared" si="43"/>
        <v>0</v>
      </c>
      <c r="Y313">
        <v>9</v>
      </c>
      <c r="Z313">
        <v>8</v>
      </c>
      <c r="AA313" s="32">
        <f t="shared" si="44"/>
        <v>1</v>
      </c>
    </row>
    <row r="314" spans="1:27" x14ac:dyDescent="0.45">
      <c r="A314">
        <v>8</v>
      </c>
      <c r="B314" s="36">
        <f>step3_combined_data!S398</f>
        <v>8</v>
      </c>
      <c r="C314" s="32">
        <f t="shared" si="36"/>
        <v>0</v>
      </c>
      <c r="D314">
        <v>8</v>
      </c>
      <c r="E314" s="36">
        <f>step3_combined_data!X76</f>
        <v>9</v>
      </c>
      <c r="F314" s="32">
        <f t="shared" si="37"/>
        <v>1</v>
      </c>
      <c r="G314">
        <v>9</v>
      </c>
      <c r="H314">
        <v>8</v>
      </c>
      <c r="I314" s="32">
        <f t="shared" si="38"/>
        <v>1</v>
      </c>
      <c r="J314">
        <v>9</v>
      </c>
      <c r="K314">
        <v>9</v>
      </c>
      <c r="L314" s="32">
        <f t="shared" si="39"/>
        <v>0</v>
      </c>
      <c r="M314">
        <v>9</v>
      </c>
      <c r="N314">
        <v>8</v>
      </c>
      <c r="O314" s="32">
        <f t="shared" si="40"/>
        <v>1</v>
      </c>
      <c r="P314">
        <v>9</v>
      </c>
      <c r="Q314">
        <v>8</v>
      </c>
      <c r="R314" s="32">
        <f t="shared" si="41"/>
        <v>1</v>
      </c>
      <c r="S314">
        <v>8</v>
      </c>
      <c r="T314">
        <v>8</v>
      </c>
      <c r="U314" s="32">
        <f t="shared" si="42"/>
        <v>0</v>
      </c>
      <c r="V314">
        <v>8</v>
      </c>
      <c r="W314">
        <v>8</v>
      </c>
      <c r="X314" s="32">
        <f t="shared" si="43"/>
        <v>0</v>
      </c>
      <c r="Y314">
        <v>9</v>
      </c>
      <c r="Z314">
        <v>8</v>
      </c>
      <c r="AA314" s="32">
        <f t="shared" si="44"/>
        <v>1</v>
      </c>
    </row>
    <row r="315" spans="1:27" x14ac:dyDescent="0.45">
      <c r="A315">
        <v>8</v>
      </c>
      <c r="B315" s="36">
        <f>step3_combined_data!S401</f>
        <v>8</v>
      </c>
      <c r="C315" s="32">
        <f t="shared" si="36"/>
        <v>0</v>
      </c>
      <c r="D315">
        <v>8</v>
      </c>
      <c r="E315" s="36">
        <f>step3_combined_data!X83</f>
        <v>9</v>
      </c>
      <c r="F315" s="32">
        <f t="shared" si="37"/>
        <v>1</v>
      </c>
      <c r="G315">
        <v>9</v>
      </c>
      <c r="H315">
        <v>8</v>
      </c>
      <c r="I315" s="32">
        <f t="shared" si="38"/>
        <v>1</v>
      </c>
      <c r="J315">
        <v>9</v>
      </c>
      <c r="K315">
        <v>9</v>
      </c>
      <c r="L315" s="32">
        <f t="shared" si="39"/>
        <v>0</v>
      </c>
      <c r="M315">
        <v>9</v>
      </c>
      <c r="N315">
        <v>8</v>
      </c>
      <c r="O315" s="32">
        <f t="shared" si="40"/>
        <v>1</v>
      </c>
      <c r="P315">
        <v>9</v>
      </c>
      <c r="Q315">
        <v>8</v>
      </c>
      <c r="R315" s="32">
        <f t="shared" si="41"/>
        <v>1</v>
      </c>
      <c r="S315">
        <v>8</v>
      </c>
      <c r="T315">
        <v>8</v>
      </c>
      <c r="U315" s="32">
        <f t="shared" si="42"/>
        <v>0</v>
      </c>
      <c r="V315">
        <v>8</v>
      </c>
      <c r="W315">
        <v>8</v>
      </c>
      <c r="X315" s="32">
        <f t="shared" si="43"/>
        <v>0</v>
      </c>
      <c r="Y315">
        <v>9</v>
      </c>
      <c r="Z315">
        <v>8</v>
      </c>
      <c r="AA315" s="32">
        <f t="shared" si="44"/>
        <v>1</v>
      </c>
    </row>
    <row r="316" spans="1:27" x14ac:dyDescent="0.45">
      <c r="A316">
        <v>8</v>
      </c>
      <c r="B316" s="36">
        <f>step3_combined_data!S6</f>
        <v>9</v>
      </c>
      <c r="C316" s="32">
        <f t="shared" si="36"/>
        <v>1</v>
      </c>
      <c r="D316">
        <v>8</v>
      </c>
      <c r="E316" s="36">
        <f>step3_combined_data!X86</f>
        <v>9</v>
      </c>
      <c r="F316" s="32">
        <f t="shared" si="37"/>
        <v>1</v>
      </c>
      <c r="G316">
        <v>9</v>
      </c>
      <c r="H316">
        <v>8</v>
      </c>
      <c r="I316" s="32">
        <f t="shared" si="38"/>
        <v>1</v>
      </c>
      <c r="J316">
        <v>9</v>
      </c>
      <c r="K316">
        <v>9</v>
      </c>
      <c r="L316" s="32">
        <f t="shared" si="39"/>
        <v>0</v>
      </c>
      <c r="M316">
        <v>9</v>
      </c>
      <c r="N316">
        <v>8</v>
      </c>
      <c r="O316" s="32">
        <f t="shared" si="40"/>
        <v>1</v>
      </c>
      <c r="P316">
        <v>9</v>
      </c>
      <c r="Q316">
        <v>8</v>
      </c>
      <c r="R316" s="32">
        <f t="shared" si="41"/>
        <v>1</v>
      </c>
      <c r="S316">
        <v>8</v>
      </c>
      <c r="T316">
        <v>8</v>
      </c>
      <c r="U316" s="32">
        <f t="shared" si="42"/>
        <v>0</v>
      </c>
      <c r="V316">
        <v>8</v>
      </c>
      <c r="W316">
        <v>8</v>
      </c>
      <c r="X316" s="32">
        <f t="shared" si="43"/>
        <v>0</v>
      </c>
      <c r="Y316">
        <v>9</v>
      </c>
      <c r="Z316">
        <v>8</v>
      </c>
      <c r="AA316" s="32">
        <f t="shared" si="44"/>
        <v>1</v>
      </c>
    </row>
    <row r="317" spans="1:27" x14ac:dyDescent="0.45">
      <c r="A317">
        <v>8</v>
      </c>
      <c r="B317" s="36">
        <f>step3_combined_data!S21</f>
        <v>9</v>
      </c>
      <c r="C317" s="32">
        <f t="shared" si="36"/>
        <v>1</v>
      </c>
      <c r="D317">
        <v>8</v>
      </c>
      <c r="E317" s="36">
        <f>step3_combined_data!X88</f>
        <v>9</v>
      </c>
      <c r="F317" s="32">
        <f t="shared" si="37"/>
        <v>1</v>
      </c>
      <c r="G317">
        <v>9</v>
      </c>
      <c r="H317">
        <v>8</v>
      </c>
      <c r="I317" s="32">
        <f t="shared" si="38"/>
        <v>1</v>
      </c>
      <c r="J317">
        <v>9</v>
      </c>
      <c r="K317">
        <v>9</v>
      </c>
      <c r="L317" s="32">
        <f t="shared" si="39"/>
        <v>0</v>
      </c>
      <c r="M317">
        <v>9</v>
      </c>
      <c r="N317">
        <v>8</v>
      </c>
      <c r="O317" s="32">
        <f t="shared" si="40"/>
        <v>1</v>
      </c>
      <c r="P317">
        <v>9</v>
      </c>
      <c r="Q317">
        <v>8</v>
      </c>
      <c r="R317" s="32">
        <f t="shared" si="41"/>
        <v>1</v>
      </c>
      <c r="S317">
        <v>9</v>
      </c>
      <c r="T317">
        <v>8</v>
      </c>
      <c r="U317" s="32">
        <f t="shared" si="42"/>
        <v>1</v>
      </c>
      <c r="V317">
        <v>8</v>
      </c>
      <c r="W317">
        <v>8</v>
      </c>
      <c r="X317" s="32">
        <f t="shared" si="43"/>
        <v>0</v>
      </c>
      <c r="Y317">
        <v>9</v>
      </c>
      <c r="Z317">
        <v>8</v>
      </c>
      <c r="AA317" s="32">
        <f t="shared" si="44"/>
        <v>1</v>
      </c>
    </row>
    <row r="318" spans="1:27" x14ac:dyDescent="0.45">
      <c r="A318">
        <v>8</v>
      </c>
      <c r="B318" s="36">
        <f>step3_combined_data!S25</f>
        <v>9</v>
      </c>
      <c r="C318" s="32">
        <f t="shared" si="36"/>
        <v>1</v>
      </c>
      <c r="D318">
        <v>8</v>
      </c>
      <c r="E318" s="36">
        <f>step3_combined_data!X90</f>
        <v>9</v>
      </c>
      <c r="F318" s="32">
        <f t="shared" si="37"/>
        <v>1</v>
      </c>
      <c r="G318">
        <v>9</v>
      </c>
      <c r="H318">
        <v>8</v>
      </c>
      <c r="I318" s="32">
        <f t="shared" si="38"/>
        <v>1</v>
      </c>
      <c r="J318">
        <v>9</v>
      </c>
      <c r="K318">
        <v>9</v>
      </c>
      <c r="L318" s="32">
        <f t="shared" si="39"/>
        <v>0</v>
      </c>
      <c r="M318">
        <v>9</v>
      </c>
      <c r="N318">
        <v>8</v>
      </c>
      <c r="O318" s="32">
        <f t="shared" si="40"/>
        <v>1</v>
      </c>
      <c r="P318">
        <v>9</v>
      </c>
      <c r="Q318">
        <v>8</v>
      </c>
      <c r="R318" s="32">
        <f t="shared" si="41"/>
        <v>1</v>
      </c>
      <c r="S318">
        <v>9</v>
      </c>
      <c r="T318">
        <v>8</v>
      </c>
      <c r="U318" s="32">
        <f t="shared" si="42"/>
        <v>1</v>
      </c>
      <c r="V318">
        <v>8</v>
      </c>
      <c r="W318">
        <v>8</v>
      </c>
      <c r="X318" s="32">
        <f t="shared" si="43"/>
        <v>0</v>
      </c>
      <c r="Y318">
        <v>9</v>
      </c>
      <c r="Z318">
        <v>8</v>
      </c>
      <c r="AA318" s="32">
        <f t="shared" si="44"/>
        <v>1</v>
      </c>
    </row>
    <row r="319" spans="1:27" x14ac:dyDescent="0.45">
      <c r="A319">
        <v>8</v>
      </c>
      <c r="B319" s="36">
        <f>step3_combined_data!S42</f>
        <v>9</v>
      </c>
      <c r="C319" s="32">
        <f t="shared" si="36"/>
        <v>1</v>
      </c>
      <c r="D319">
        <v>8</v>
      </c>
      <c r="E319" s="36">
        <f>step3_combined_data!X92</f>
        <v>9</v>
      </c>
      <c r="F319" s="32">
        <f t="shared" si="37"/>
        <v>1</v>
      </c>
      <c r="G319">
        <v>9</v>
      </c>
      <c r="H319">
        <v>8</v>
      </c>
      <c r="I319" s="32">
        <f t="shared" si="38"/>
        <v>1</v>
      </c>
      <c r="J319">
        <v>9</v>
      </c>
      <c r="K319">
        <v>9</v>
      </c>
      <c r="L319" s="32">
        <f t="shared" si="39"/>
        <v>0</v>
      </c>
      <c r="M319">
        <v>9</v>
      </c>
      <c r="N319">
        <v>8</v>
      </c>
      <c r="O319" s="32">
        <f t="shared" si="40"/>
        <v>1</v>
      </c>
      <c r="P319">
        <v>9</v>
      </c>
      <c r="Q319">
        <v>8</v>
      </c>
      <c r="R319" s="32">
        <f t="shared" si="41"/>
        <v>1</v>
      </c>
      <c r="S319">
        <v>9</v>
      </c>
      <c r="T319">
        <v>8</v>
      </c>
      <c r="U319" s="32">
        <f t="shared" si="42"/>
        <v>1</v>
      </c>
      <c r="V319">
        <v>8</v>
      </c>
      <c r="W319">
        <v>8</v>
      </c>
      <c r="X319" s="32">
        <f t="shared" si="43"/>
        <v>0</v>
      </c>
      <c r="Y319">
        <v>9</v>
      </c>
      <c r="Z319">
        <v>9</v>
      </c>
      <c r="AA319" s="32">
        <f t="shared" si="44"/>
        <v>0</v>
      </c>
    </row>
    <row r="320" spans="1:27" x14ac:dyDescent="0.45">
      <c r="A320">
        <v>8</v>
      </c>
      <c r="B320" s="36">
        <f>step3_combined_data!S60</f>
        <v>9</v>
      </c>
      <c r="C320" s="32">
        <f t="shared" si="36"/>
        <v>1</v>
      </c>
      <c r="D320">
        <v>8</v>
      </c>
      <c r="E320" s="36">
        <f>step3_combined_data!X117</f>
        <v>9</v>
      </c>
      <c r="F320" s="32">
        <f t="shared" si="37"/>
        <v>1</v>
      </c>
      <c r="G320">
        <v>9</v>
      </c>
      <c r="H320">
        <v>8</v>
      </c>
      <c r="I320" s="32">
        <f t="shared" si="38"/>
        <v>1</v>
      </c>
      <c r="J320">
        <v>9</v>
      </c>
      <c r="K320">
        <v>9</v>
      </c>
      <c r="L320" s="32">
        <f t="shared" si="39"/>
        <v>0</v>
      </c>
      <c r="M320">
        <v>9</v>
      </c>
      <c r="N320">
        <v>8</v>
      </c>
      <c r="O320" s="32">
        <f t="shared" si="40"/>
        <v>1</v>
      </c>
      <c r="P320">
        <v>9</v>
      </c>
      <c r="Q320">
        <v>9</v>
      </c>
      <c r="R320" s="32">
        <f t="shared" si="41"/>
        <v>0</v>
      </c>
      <c r="S320">
        <v>9</v>
      </c>
      <c r="T320">
        <v>8</v>
      </c>
      <c r="U320" s="32">
        <f t="shared" si="42"/>
        <v>1</v>
      </c>
      <c r="V320">
        <v>8</v>
      </c>
      <c r="W320">
        <v>8</v>
      </c>
      <c r="X320" s="32">
        <f t="shared" si="43"/>
        <v>0</v>
      </c>
      <c r="Y320">
        <v>9</v>
      </c>
      <c r="Z320">
        <v>9</v>
      </c>
      <c r="AA320" s="32">
        <f t="shared" si="44"/>
        <v>0</v>
      </c>
    </row>
    <row r="321" spans="1:27" x14ac:dyDescent="0.45">
      <c r="A321">
        <v>8</v>
      </c>
      <c r="B321" s="36">
        <f>step3_combined_data!S63</f>
        <v>9</v>
      </c>
      <c r="C321" s="32">
        <f t="shared" si="36"/>
        <v>1</v>
      </c>
      <c r="D321">
        <v>8</v>
      </c>
      <c r="E321" s="36">
        <f>step3_combined_data!X118</f>
        <v>9</v>
      </c>
      <c r="F321" s="32">
        <f t="shared" si="37"/>
        <v>1</v>
      </c>
      <c r="G321">
        <v>9</v>
      </c>
      <c r="H321">
        <v>8</v>
      </c>
      <c r="I321" s="32">
        <f t="shared" si="38"/>
        <v>1</v>
      </c>
      <c r="J321">
        <v>9</v>
      </c>
      <c r="K321">
        <v>9</v>
      </c>
      <c r="L321" s="32">
        <f t="shared" si="39"/>
        <v>0</v>
      </c>
      <c r="M321">
        <v>9</v>
      </c>
      <c r="N321">
        <v>8</v>
      </c>
      <c r="O321" s="32">
        <f t="shared" si="40"/>
        <v>1</v>
      </c>
      <c r="P321">
        <v>9</v>
      </c>
      <c r="Q321">
        <v>9</v>
      </c>
      <c r="R321" s="32">
        <f t="shared" si="41"/>
        <v>0</v>
      </c>
      <c r="S321">
        <v>9</v>
      </c>
      <c r="T321">
        <v>8</v>
      </c>
      <c r="U321" s="32">
        <f t="shared" si="42"/>
        <v>1</v>
      </c>
      <c r="V321">
        <v>8</v>
      </c>
      <c r="W321">
        <v>8</v>
      </c>
      <c r="X321" s="32">
        <f t="shared" si="43"/>
        <v>0</v>
      </c>
      <c r="Y321">
        <v>9</v>
      </c>
      <c r="Z321">
        <v>9</v>
      </c>
      <c r="AA321" s="32">
        <f t="shared" si="44"/>
        <v>0</v>
      </c>
    </row>
    <row r="322" spans="1:27" x14ac:dyDescent="0.45">
      <c r="A322">
        <v>8</v>
      </c>
      <c r="B322" s="36">
        <f>step3_combined_data!S64</f>
        <v>9</v>
      </c>
      <c r="C322" s="32">
        <f t="shared" si="36"/>
        <v>1</v>
      </c>
      <c r="D322">
        <v>8</v>
      </c>
      <c r="E322" s="36">
        <f>step3_combined_data!X125</f>
        <v>9</v>
      </c>
      <c r="F322" s="32">
        <f t="shared" si="37"/>
        <v>1</v>
      </c>
      <c r="G322">
        <v>9</v>
      </c>
      <c r="H322">
        <v>8</v>
      </c>
      <c r="I322" s="32">
        <f t="shared" si="38"/>
        <v>1</v>
      </c>
      <c r="J322">
        <v>9</v>
      </c>
      <c r="K322">
        <v>9</v>
      </c>
      <c r="L322" s="32">
        <f t="shared" si="39"/>
        <v>0</v>
      </c>
      <c r="M322">
        <v>9</v>
      </c>
      <c r="N322">
        <v>8</v>
      </c>
      <c r="O322" s="32">
        <f t="shared" si="40"/>
        <v>1</v>
      </c>
      <c r="P322">
        <v>9</v>
      </c>
      <c r="Q322">
        <v>9</v>
      </c>
      <c r="R322" s="32">
        <f t="shared" si="41"/>
        <v>0</v>
      </c>
      <c r="S322">
        <v>9</v>
      </c>
      <c r="T322">
        <v>8</v>
      </c>
      <c r="U322" s="32">
        <f t="shared" si="42"/>
        <v>1</v>
      </c>
      <c r="V322">
        <v>8</v>
      </c>
      <c r="W322">
        <v>8</v>
      </c>
      <c r="X322" s="32">
        <f t="shared" si="43"/>
        <v>0</v>
      </c>
      <c r="Y322">
        <v>9</v>
      </c>
      <c r="Z322">
        <v>9</v>
      </c>
      <c r="AA322" s="32">
        <f t="shared" si="44"/>
        <v>0</v>
      </c>
    </row>
    <row r="323" spans="1:27" x14ac:dyDescent="0.45">
      <c r="A323">
        <v>8</v>
      </c>
      <c r="B323" s="36">
        <f>step3_combined_data!S65</f>
        <v>9</v>
      </c>
      <c r="C323" s="32">
        <f t="shared" ref="C323:C386" si="45">ABS(B323-A323)</f>
        <v>1</v>
      </c>
      <c r="D323">
        <v>8</v>
      </c>
      <c r="E323" s="36">
        <f>step3_combined_data!X132</f>
        <v>9</v>
      </c>
      <c r="F323" s="32">
        <f t="shared" ref="F323:F386" si="46">ABS(E323-D323)</f>
        <v>1</v>
      </c>
      <c r="G323">
        <v>9</v>
      </c>
      <c r="H323">
        <v>8</v>
      </c>
      <c r="I323" s="32">
        <f t="shared" ref="I323:I386" si="47">ABS(H323-G323)</f>
        <v>1</v>
      </c>
      <c r="J323">
        <v>9</v>
      </c>
      <c r="K323">
        <v>9</v>
      </c>
      <c r="L323" s="32">
        <f t="shared" ref="L323:L386" si="48">ABS(K323-J323)</f>
        <v>0</v>
      </c>
      <c r="M323">
        <v>9</v>
      </c>
      <c r="N323">
        <v>8</v>
      </c>
      <c r="O323" s="32">
        <f t="shared" ref="O323:O386" si="49">ABS(N323-M323)</f>
        <v>1</v>
      </c>
      <c r="P323">
        <v>9</v>
      </c>
      <c r="Q323">
        <v>9</v>
      </c>
      <c r="R323" s="32">
        <f t="shared" ref="R323:R386" si="50">ABS(Q323-P323)</f>
        <v>0</v>
      </c>
      <c r="S323">
        <v>9</v>
      </c>
      <c r="T323">
        <v>8</v>
      </c>
      <c r="U323" s="32">
        <f t="shared" ref="U323:U386" si="51">ABS(T323-S323)</f>
        <v>1</v>
      </c>
      <c r="V323">
        <v>8</v>
      </c>
      <c r="W323">
        <v>8</v>
      </c>
      <c r="X323" s="32">
        <f t="shared" ref="X323:X386" si="52">ABS(W323-V323)</f>
        <v>0</v>
      </c>
      <c r="Y323">
        <v>9</v>
      </c>
      <c r="Z323">
        <v>9</v>
      </c>
      <c r="AA323" s="32">
        <f t="shared" ref="AA323:AA386" si="53">ABS(Z323-Y323)</f>
        <v>0</v>
      </c>
    </row>
    <row r="324" spans="1:27" x14ac:dyDescent="0.45">
      <c r="A324">
        <v>8</v>
      </c>
      <c r="B324" s="36">
        <f>step3_combined_data!S86</f>
        <v>9</v>
      </c>
      <c r="C324" s="32">
        <f t="shared" si="45"/>
        <v>1</v>
      </c>
      <c r="D324">
        <v>8</v>
      </c>
      <c r="E324" s="36">
        <f>step3_combined_data!X133</f>
        <v>9</v>
      </c>
      <c r="F324" s="32">
        <f t="shared" si="46"/>
        <v>1</v>
      </c>
      <c r="G324">
        <v>9</v>
      </c>
      <c r="H324">
        <v>8</v>
      </c>
      <c r="I324" s="32">
        <f t="shared" si="47"/>
        <v>1</v>
      </c>
      <c r="J324">
        <v>9</v>
      </c>
      <c r="K324">
        <v>9</v>
      </c>
      <c r="L324" s="32">
        <f t="shared" si="48"/>
        <v>0</v>
      </c>
      <c r="M324">
        <v>9</v>
      </c>
      <c r="N324">
        <v>8</v>
      </c>
      <c r="O324" s="32">
        <f t="shared" si="49"/>
        <v>1</v>
      </c>
      <c r="P324">
        <v>9</v>
      </c>
      <c r="Q324">
        <v>9</v>
      </c>
      <c r="R324" s="32">
        <f t="shared" si="50"/>
        <v>0</v>
      </c>
      <c r="S324">
        <v>9</v>
      </c>
      <c r="T324">
        <v>8</v>
      </c>
      <c r="U324" s="32">
        <f t="shared" si="51"/>
        <v>1</v>
      </c>
      <c r="V324">
        <v>8</v>
      </c>
      <c r="W324">
        <v>8</v>
      </c>
      <c r="X324" s="32">
        <f t="shared" si="52"/>
        <v>0</v>
      </c>
      <c r="Y324">
        <v>9</v>
      </c>
      <c r="Z324">
        <v>9</v>
      </c>
      <c r="AA324" s="32">
        <f t="shared" si="53"/>
        <v>0</v>
      </c>
    </row>
    <row r="325" spans="1:27" x14ac:dyDescent="0.45">
      <c r="A325">
        <v>8</v>
      </c>
      <c r="B325" s="36">
        <f>step3_combined_data!S95</f>
        <v>9</v>
      </c>
      <c r="C325" s="32">
        <f t="shared" si="45"/>
        <v>1</v>
      </c>
      <c r="D325">
        <v>8</v>
      </c>
      <c r="E325" s="36">
        <f>step3_combined_data!X135</f>
        <v>9</v>
      </c>
      <c r="F325" s="32">
        <f t="shared" si="46"/>
        <v>1</v>
      </c>
      <c r="G325">
        <v>9</v>
      </c>
      <c r="H325">
        <v>8</v>
      </c>
      <c r="I325" s="32">
        <f t="shared" si="47"/>
        <v>1</v>
      </c>
      <c r="J325">
        <v>9</v>
      </c>
      <c r="K325">
        <v>9</v>
      </c>
      <c r="L325" s="32">
        <f t="shared" si="48"/>
        <v>0</v>
      </c>
      <c r="M325">
        <v>9</v>
      </c>
      <c r="N325">
        <v>8</v>
      </c>
      <c r="O325" s="32">
        <f t="shared" si="49"/>
        <v>1</v>
      </c>
      <c r="P325">
        <v>9</v>
      </c>
      <c r="Q325">
        <v>9</v>
      </c>
      <c r="R325" s="32">
        <f t="shared" si="50"/>
        <v>0</v>
      </c>
      <c r="S325">
        <v>9</v>
      </c>
      <c r="T325">
        <v>8</v>
      </c>
      <c r="U325" s="32">
        <f t="shared" si="51"/>
        <v>1</v>
      </c>
      <c r="V325">
        <v>8</v>
      </c>
      <c r="W325">
        <v>8</v>
      </c>
      <c r="X325" s="32">
        <f t="shared" si="52"/>
        <v>0</v>
      </c>
      <c r="Y325">
        <v>9</v>
      </c>
      <c r="Z325">
        <v>9</v>
      </c>
      <c r="AA325" s="32">
        <f t="shared" si="53"/>
        <v>0</v>
      </c>
    </row>
    <row r="326" spans="1:27" x14ac:dyDescent="0.45">
      <c r="A326">
        <v>8</v>
      </c>
      <c r="B326" s="36">
        <f>step3_combined_data!S106</f>
        <v>9</v>
      </c>
      <c r="C326" s="32">
        <f t="shared" si="45"/>
        <v>1</v>
      </c>
      <c r="D326">
        <v>8</v>
      </c>
      <c r="E326" s="36">
        <f>step3_combined_data!X139</f>
        <v>9</v>
      </c>
      <c r="F326" s="32">
        <f t="shared" si="46"/>
        <v>1</v>
      </c>
      <c r="G326">
        <v>9</v>
      </c>
      <c r="H326">
        <v>8</v>
      </c>
      <c r="I326" s="32">
        <f t="shared" si="47"/>
        <v>1</v>
      </c>
      <c r="J326">
        <v>9</v>
      </c>
      <c r="K326">
        <v>9</v>
      </c>
      <c r="L326" s="32">
        <f t="shared" si="48"/>
        <v>0</v>
      </c>
      <c r="M326">
        <v>9</v>
      </c>
      <c r="N326">
        <v>8</v>
      </c>
      <c r="O326" s="32">
        <f t="shared" si="49"/>
        <v>1</v>
      </c>
      <c r="P326">
        <v>9</v>
      </c>
      <c r="Q326">
        <v>9</v>
      </c>
      <c r="R326" s="32">
        <f t="shared" si="50"/>
        <v>0</v>
      </c>
      <c r="S326">
        <v>9</v>
      </c>
      <c r="T326">
        <v>8</v>
      </c>
      <c r="U326" s="32">
        <f t="shared" si="51"/>
        <v>1</v>
      </c>
      <c r="V326">
        <v>8</v>
      </c>
      <c r="W326">
        <v>8</v>
      </c>
      <c r="X326" s="32">
        <f t="shared" si="52"/>
        <v>0</v>
      </c>
      <c r="Y326">
        <v>9</v>
      </c>
      <c r="Z326">
        <v>9</v>
      </c>
      <c r="AA326" s="32">
        <f t="shared" si="53"/>
        <v>0</v>
      </c>
    </row>
    <row r="327" spans="1:27" x14ac:dyDescent="0.45">
      <c r="A327">
        <v>8</v>
      </c>
      <c r="B327" s="36">
        <f>step3_combined_data!S117</f>
        <v>9</v>
      </c>
      <c r="C327" s="32">
        <f t="shared" si="45"/>
        <v>1</v>
      </c>
      <c r="D327">
        <v>8</v>
      </c>
      <c r="E327" s="36">
        <f>step3_combined_data!X141</f>
        <v>9</v>
      </c>
      <c r="F327" s="32">
        <f t="shared" si="46"/>
        <v>1</v>
      </c>
      <c r="G327">
        <v>9</v>
      </c>
      <c r="H327">
        <v>8</v>
      </c>
      <c r="I327" s="32">
        <f t="shared" si="47"/>
        <v>1</v>
      </c>
      <c r="J327">
        <v>9</v>
      </c>
      <c r="K327">
        <v>9</v>
      </c>
      <c r="L327" s="32">
        <f t="shared" si="48"/>
        <v>0</v>
      </c>
      <c r="M327">
        <v>9</v>
      </c>
      <c r="N327">
        <v>8</v>
      </c>
      <c r="O327" s="32">
        <f t="shared" si="49"/>
        <v>1</v>
      </c>
      <c r="P327">
        <v>9</v>
      </c>
      <c r="Q327">
        <v>9</v>
      </c>
      <c r="R327" s="32">
        <f t="shared" si="50"/>
        <v>0</v>
      </c>
      <c r="S327">
        <v>9</v>
      </c>
      <c r="T327">
        <v>8</v>
      </c>
      <c r="U327" s="32">
        <f t="shared" si="51"/>
        <v>1</v>
      </c>
      <c r="V327">
        <v>9</v>
      </c>
      <c r="W327">
        <v>8</v>
      </c>
      <c r="X327" s="32">
        <f t="shared" si="52"/>
        <v>1</v>
      </c>
      <c r="Y327">
        <v>9</v>
      </c>
      <c r="Z327">
        <v>9</v>
      </c>
      <c r="AA327" s="32">
        <f t="shared" si="53"/>
        <v>0</v>
      </c>
    </row>
    <row r="328" spans="1:27" x14ac:dyDescent="0.45">
      <c r="A328">
        <v>8</v>
      </c>
      <c r="B328" s="36">
        <f>step3_combined_data!S133</f>
        <v>9</v>
      </c>
      <c r="C328" s="32">
        <f t="shared" si="45"/>
        <v>1</v>
      </c>
      <c r="D328">
        <v>8</v>
      </c>
      <c r="E328" s="36">
        <f>step3_combined_data!X145</f>
        <v>9</v>
      </c>
      <c r="F328" s="32">
        <f t="shared" si="46"/>
        <v>1</v>
      </c>
      <c r="G328">
        <v>9</v>
      </c>
      <c r="H328">
        <v>8</v>
      </c>
      <c r="I328" s="32">
        <f t="shared" si="47"/>
        <v>1</v>
      </c>
      <c r="J328">
        <v>9</v>
      </c>
      <c r="K328">
        <v>9</v>
      </c>
      <c r="L328" s="32">
        <f t="shared" si="48"/>
        <v>0</v>
      </c>
      <c r="M328">
        <v>9</v>
      </c>
      <c r="N328">
        <v>8</v>
      </c>
      <c r="O328" s="32">
        <f t="shared" si="49"/>
        <v>1</v>
      </c>
      <c r="P328">
        <v>9</v>
      </c>
      <c r="Q328">
        <v>9</v>
      </c>
      <c r="R328" s="32">
        <f t="shared" si="50"/>
        <v>0</v>
      </c>
      <c r="S328">
        <v>9</v>
      </c>
      <c r="T328">
        <v>8</v>
      </c>
      <c r="U328" s="32">
        <f t="shared" si="51"/>
        <v>1</v>
      </c>
      <c r="V328">
        <v>9</v>
      </c>
      <c r="W328">
        <v>8</v>
      </c>
      <c r="X328" s="32">
        <f t="shared" si="52"/>
        <v>1</v>
      </c>
      <c r="Y328">
        <v>9</v>
      </c>
      <c r="Z328">
        <v>9</v>
      </c>
      <c r="AA328" s="32">
        <f t="shared" si="53"/>
        <v>0</v>
      </c>
    </row>
    <row r="329" spans="1:27" x14ac:dyDescent="0.45">
      <c r="A329">
        <v>8</v>
      </c>
      <c r="B329" s="36">
        <f>step3_combined_data!S135</f>
        <v>9</v>
      </c>
      <c r="C329" s="32">
        <f t="shared" si="45"/>
        <v>1</v>
      </c>
      <c r="D329">
        <v>8</v>
      </c>
      <c r="E329" s="36">
        <f>step3_combined_data!X161</f>
        <v>9</v>
      </c>
      <c r="F329" s="32">
        <f t="shared" si="46"/>
        <v>1</v>
      </c>
      <c r="G329">
        <v>9</v>
      </c>
      <c r="H329">
        <v>8</v>
      </c>
      <c r="I329" s="32">
        <f t="shared" si="47"/>
        <v>1</v>
      </c>
      <c r="J329">
        <v>9</v>
      </c>
      <c r="K329">
        <v>9</v>
      </c>
      <c r="L329" s="32">
        <f t="shared" si="48"/>
        <v>0</v>
      </c>
      <c r="M329">
        <v>9</v>
      </c>
      <c r="N329">
        <v>8</v>
      </c>
      <c r="O329" s="32">
        <f t="shared" si="49"/>
        <v>1</v>
      </c>
      <c r="P329">
        <v>9</v>
      </c>
      <c r="Q329">
        <v>9</v>
      </c>
      <c r="R329" s="32">
        <f t="shared" si="50"/>
        <v>0</v>
      </c>
      <c r="S329">
        <v>9</v>
      </c>
      <c r="T329">
        <v>8</v>
      </c>
      <c r="U329" s="32">
        <f t="shared" si="51"/>
        <v>1</v>
      </c>
      <c r="V329">
        <v>9</v>
      </c>
      <c r="W329">
        <v>8</v>
      </c>
      <c r="X329" s="32">
        <f t="shared" si="52"/>
        <v>1</v>
      </c>
      <c r="Y329">
        <v>9</v>
      </c>
      <c r="Z329">
        <v>9</v>
      </c>
      <c r="AA329" s="32">
        <f t="shared" si="53"/>
        <v>0</v>
      </c>
    </row>
    <row r="330" spans="1:27" x14ac:dyDescent="0.45">
      <c r="A330">
        <v>8</v>
      </c>
      <c r="B330" s="36">
        <f>step3_combined_data!S145</f>
        <v>9</v>
      </c>
      <c r="C330" s="32">
        <f t="shared" si="45"/>
        <v>1</v>
      </c>
      <c r="D330">
        <v>8</v>
      </c>
      <c r="E330" s="36">
        <f>step3_combined_data!X165</f>
        <v>9</v>
      </c>
      <c r="F330" s="32">
        <f t="shared" si="46"/>
        <v>1</v>
      </c>
      <c r="G330">
        <v>9</v>
      </c>
      <c r="H330">
        <v>8</v>
      </c>
      <c r="I330" s="32">
        <f t="shared" si="47"/>
        <v>1</v>
      </c>
      <c r="J330">
        <v>9</v>
      </c>
      <c r="K330">
        <v>9</v>
      </c>
      <c r="L330" s="32">
        <f t="shared" si="48"/>
        <v>0</v>
      </c>
      <c r="M330">
        <v>9</v>
      </c>
      <c r="N330">
        <v>8</v>
      </c>
      <c r="O330" s="32">
        <f t="shared" si="49"/>
        <v>1</v>
      </c>
      <c r="P330">
        <v>9</v>
      </c>
      <c r="Q330">
        <v>9</v>
      </c>
      <c r="R330" s="32">
        <f t="shared" si="50"/>
        <v>0</v>
      </c>
      <c r="S330">
        <v>9</v>
      </c>
      <c r="T330">
        <v>8</v>
      </c>
      <c r="U330" s="32">
        <f t="shared" si="51"/>
        <v>1</v>
      </c>
      <c r="V330">
        <v>9</v>
      </c>
      <c r="W330">
        <v>8</v>
      </c>
      <c r="X330" s="32">
        <f t="shared" si="52"/>
        <v>1</v>
      </c>
      <c r="Y330">
        <v>9</v>
      </c>
      <c r="Z330">
        <v>9</v>
      </c>
      <c r="AA330" s="32">
        <f t="shared" si="53"/>
        <v>0</v>
      </c>
    </row>
    <row r="331" spans="1:27" x14ac:dyDescent="0.45">
      <c r="A331">
        <v>8</v>
      </c>
      <c r="B331" s="36">
        <f>step3_combined_data!S161</f>
        <v>9</v>
      </c>
      <c r="C331" s="32">
        <f t="shared" si="45"/>
        <v>1</v>
      </c>
      <c r="D331">
        <v>8</v>
      </c>
      <c r="E331" s="36">
        <f>step3_combined_data!X196</f>
        <v>9</v>
      </c>
      <c r="F331" s="32">
        <f t="shared" si="46"/>
        <v>1</v>
      </c>
      <c r="G331">
        <v>9</v>
      </c>
      <c r="H331">
        <v>8</v>
      </c>
      <c r="I331" s="32">
        <f t="shared" si="47"/>
        <v>1</v>
      </c>
      <c r="J331">
        <v>9</v>
      </c>
      <c r="K331">
        <v>9</v>
      </c>
      <c r="L331" s="32">
        <f t="shared" si="48"/>
        <v>0</v>
      </c>
      <c r="M331">
        <v>9</v>
      </c>
      <c r="N331">
        <v>8</v>
      </c>
      <c r="O331" s="32">
        <f t="shared" si="49"/>
        <v>1</v>
      </c>
      <c r="P331">
        <v>9</v>
      </c>
      <c r="Q331">
        <v>9</v>
      </c>
      <c r="R331" s="32">
        <f t="shared" si="50"/>
        <v>0</v>
      </c>
      <c r="S331">
        <v>9</v>
      </c>
      <c r="T331">
        <v>8</v>
      </c>
      <c r="U331" s="32">
        <f t="shared" si="51"/>
        <v>1</v>
      </c>
      <c r="V331">
        <v>9</v>
      </c>
      <c r="W331">
        <v>8</v>
      </c>
      <c r="X331" s="32">
        <f t="shared" si="52"/>
        <v>1</v>
      </c>
      <c r="Y331">
        <v>9</v>
      </c>
      <c r="Z331">
        <v>9</v>
      </c>
      <c r="AA331" s="32">
        <f t="shared" si="53"/>
        <v>0</v>
      </c>
    </row>
    <row r="332" spans="1:27" x14ac:dyDescent="0.45">
      <c r="A332">
        <v>8</v>
      </c>
      <c r="B332" s="36">
        <f>step3_combined_data!S196</f>
        <v>9</v>
      </c>
      <c r="C332" s="32">
        <f t="shared" si="45"/>
        <v>1</v>
      </c>
      <c r="D332">
        <v>8</v>
      </c>
      <c r="E332" s="36">
        <f>step3_combined_data!X197</f>
        <v>9</v>
      </c>
      <c r="F332" s="32">
        <f t="shared" si="46"/>
        <v>1</v>
      </c>
      <c r="G332">
        <v>9</v>
      </c>
      <c r="H332">
        <v>8</v>
      </c>
      <c r="I332" s="32">
        <f t="shared" si="47"/>
        <v>1</v>
      </c>
      <c r="J332">
        <v>9</v>
      </c>
      <c r="K332">
        <v>9</v>
      </c>
      <c r="L332" s="32">
        <f t="shared" si="48"/>
        <v>0</v>
      </c>
      <c r="M332">
        <v>9</v>
      </c>
      <c r="N332">
        <v>8</v>
      </c>
      <c r="O332" s="32">
        <f t="shared" si="49"/>
        <v>1</v>
      </c>
      <c r="P332">
        <v>9</v>
      </c>
      <c r="Q332">
        <v>9</v>
      </c>
      <c r="R332" s="32">
        <f t="shared" si="50"/>
        <v>0</v>
      </c>
      <c r="S332">
        <v>9</v>
      </c>
      <c r="T332">
        <v>8</v>
      </c>
      <c r="U332" s="32">
        <f t="shared" si="51"/>
        <v>1</v>
      </c>
      <c r="V332">
        <v>9</v>
      </c>
      <c r="W332">
        <v>8</v>
      </c>
      <c r="X332" s="32">
        <f t="shared" si="52"/>
        <v>1</v>
      </c>
      <c r="Y332">
        <v>9</v>
      </c>
      <c r="Z332">
        <v>9</v>
      </c>
      <c r="AA332" s="32">
        <f t="shared" si="53"/>
        <v>0</v>
      </c>
    </row>
    <row r="333" spans="1:27" x14ac:dyDescent="0.45">
      <c r="A333">
        <v>8</v>
      </c>
      <c r="B333" s="36">
        <f>step3_combined_data!S197</f>
        <v>9</v>
      </c>
      <c r="C333" s="32">
        <f t="shared" si="45"/>
        <v>1</v>
      </c>
      <c r="D333">
        <v>8</v>
      </c>
      <c r="E333" s="36">
        <f>step3_combined_data!X215</f>
        <v>9</v>
      </c>
      <c r="F333" s="32">
        <f t="shared" si="46"/>
        <v>1</v>
      </c>
      <c r="G333">
        <v>9</v>
      </c>
      <c r="H333">
        <v>9</v>
      </c>
      <c r="I333" s="32">
        <f t="shared" si="47"/>
        <v>0</v>
      </c>
      <c r="J333">
        <v>9</v>
      </c>
      <c r="K333">
        <v>9</v>
      </c>
      <c r="L333" s="32">
        <f t="shared" si="48"/>
        <v>0</v>
      </c>
      <c r="M333">
        <v>9</v>
      </c>
      <c r="N333">
        <v>9</v>
      </c>
      <c r="O333" s="32">
        <f t="shared" si="49"/>
        <v>0</v>
      </c>
      <c r="P333">
        <v>9</v>
      </c>
      <c r="Q333">
        <v>9</v>
      </c>
      <c r="R333" s="32">
        <f t="shared" si="50"/>
        <v>0</v>
      </c>
      <c r="S333">
        <v>9</v>
      </c>
      <c r="T333">
        <v>8</v>
      </c>
      <c r="U333" s="32">
        <f t="shared" si="51"/>
        <v>1</v>
      </c>
      <c r="V333">
        <v>9</v>
      </c>
      <c r="W333">
        <v>8</v>
      </c>
      <c r="X333" s="32">
        <f t="shared" si="52"/>
        <v>1</v>
      </c>
      <c r="Y333">
        <v>9</v>
      </c>
      <c r="Z333">
        <v>9</v>
      </c>
      <c r="AA333" s="32">
        <f t="shared" si="53"/>
        <v>0</v>
      </c>
    </row>
    <row r="334" spans="1:27" x14ac:dyDescent="0.45">
      <c r="A334">
        <v>8</v>
      </c>
      <c r="B334" s="36">
        <f>step3_combined_data!S198</f>
        <v>9</v>
      </c>
      <c r="C334" s="32">
        <f t="shared" si="45"/>
        <v>1</v>
      </c>
      <c r="D334">
        <v>8</v>
      </c>
      <c r="E334" s="36">
        <f>step3_combined_data!X229</f>
        <v>9</v>
      </c>
      <c r="F334" s="32">
        <f t="shared" si="46"/>
        <v>1</v>
      </c>
      <c r="G334">
        <v>9</v>
      </c>
      <c r="H334">
        <v>9</v>
      </c>
      <c r="I334" s="32">
        <f t="shared" si="47"/>
        <v>0</v>
      </c>
      <c r="J334">
        <v>9</v>
      </c>
      <c r="K334">
        <v>9</v>
      </c>
      <c r="L334" s="32">
        <f t="shared" si="48"/>
        <v>0</v>
      </c>
      <c r="M334">
        <v>9</v>
      </c>
      <c r="N334">
        <v>9</v>
      </c>
      <c r="O334" s="32">
        <f t="shared" si="49"/>
        <v>0</v>
      </c>
      <c r="P334">
        <v>9</v>
      </c>
      <c r="Q334">
        <v>9</v>
      </c>
      <c r="R334" s="32">
        <f t="shared" si="50"/>
        <v>0</v>
      </c>
      <c r="S334">
        <v>9</v>
      </c>
      <c r="T334">
        <v>8</v>
      </c>
      <c r="U334" s="32">
        <f t="shared" si="51"/>
        <v>1</v>
      </c>
      <c r="V334">
        <v>9</v>
      </c>
      <c r="W334">
        <v>8</v>
      </c>
      <c r="X334" s="32">
        <f t="shared" si="52"/>
        <v>1</v>
      </c>
      <c r="Y334">
        <v>9</v>
      </c>
      <c r="Z334">
        <v>9</v>
      </c>
      <c r="AA334" s="32">
        <f t="shared" si="53"/>
        <v>0</v>
      </c>
    </row>
    <row r="335" spans="1:27" x14ac:dyDescent="0.45">
      <c r="A335">
        <v>8</v>
      </c>
      <c r="B335" s="36">
        <f>step3_combined_data!S200</f>
        <v>9</v>
      </c>
      <c r="C335" s="32">
        <f t="shared" si="45"/>
        <v>1</v>
      </c>
      <c r="D335">
        <v>8</v>
      </c>
      <c r="E335" s="36">
        <f>step3_combined_data!X250</f>
        <v>9</v>
      </c>
      <c r="F335" s="32">
        <f t="shared" si="46"/>
        <v>1</v>
      </c>
      <c r="G335">
        <v>9</v>
      </c>
      <c r="H335">
        <v>9</v>
      </c>
      <c r="I335" s="32">
        <f t="shared" si="47"/>
        <v>0</v>
      </c>
      <c r="J335">
        <v>9</v>
      </c>
      <c r="K335">
        <v>9</v>
      </c>
      <c r="L335" s="32">
        <f t="shared" si="48"/>
        <v>0</v>
      </c>
      <c r="M335">
        <v>9</v>
      </c>
      <c r="N335">
        <v>9</v>
      </c>
      <c r="O335" s="32">
        <f t="shared" si="49"/>
        <v>0</v>
      </c>
      <c r="P335">
        <v>9</v>
      </c>
      <c r="Q335">
        <v>9</v>
      </c>
      <c r="R335" s="32">
        <f t="shared" si="50"/>
        <v>0</v>
      </c>
      <c r="S335">
        <v>9</v>
      </c>
      <c r="T335">
        <v>8</v>
      </c>
      <c r="U335" s="32">
        <f t="shared" si="51"/>
        <v>1</v>
      </c>
      <c r="V335">
        <v>9</v>
      </c>
      <c r="W335">
        <v>8</v>
      </c>
      <c r="X335" s="32">
        <f t="shared" si="52"/>
        <v>1</v>
      </c>
      <c r="Y335">
        <v>9</v>
      </c>
      <c r="Z335">
        <v>9</v>
      </c>
      <c r="AA335" s="32">
        <f t="shared" si="53"/>
        <v>0</v>
      </c>
    </row>
    <row r="336" spans="1:27" x14ac:dyDescent="0.45">
      <c r="A336">
        <v>8</v>
      </c>
      <c r="B336" s="36">
        <f>step3_combined_data!S215</f>
        <v>9</v>
      </c>
      <c r="C336" s="32">
        <f t="shared" si="45"/>
        <v>1</v>
      </c>
      <c r="D336">
        <v>8</v>
      </c>
      <c r="E336" s="36">
        <f>step3_combined_data!X263</f>
        <v>9</v>
      </c>
      <c r="F336" s="32">
        <f t="shared" si="46"/>
        <v>1</v>
      </c>
      <c r="G336">
        <v>9</v>
      </c>
      <c r="H336">
        <v>9</v>
      </c>
      <c r="I336" s="32">
        <f t="shared" si="47"/>
        <v>0</v>
      </c>
      <c r="J336">
        <v>9</v>
      </c>
      <c r="K336">
        <v>9</v>
      </c>
      <c r="L336" s="32">
        <f t="shared" si="48"/>
        <v>0</v>
      </c>
      <c r="M336">
        <v>9</v>
      </c>
      <c r="N336">
        <v>9</v>
      </c>
      <c r="O336" s="32">
        <f t="shared" si="49"/>
        <v>0</v>
      </c>
      <c r="P336">
        <v>9</v>
      </c>
      <c r="Q336">
        <v>9</v>
      </c>
      <c r="R336" s="32">
        <f t="shared" si="50"/>
        <v>0</v>
      </c>
      <c r="S336">
        <v>9</v>
      </c>
      <c r="T336">
        <v>8</v>
      </c>
      <c r="U336" s="32">
        <f t="shared" si="51"/>
        <v>1</v>
      </c>
      <c r="V336">
        <v>9</v>
      </c>
      <c r="W336">
        <v>8</v>
      </c>
      <c r="X336" s="32">
        <f t="shared" si="52"/>
        <v>1</v>
      </c>
      <c r="Y336">
        <v>9</v>
      </c>
      <c r="Z336">
        <v>9</v>
      </c>
      <c r="AA336" s="32">
        <f t="shared" si="53"/>
        <v>0</v>
      </c>
    </row>
    <row r="337" spans="1:27" x14ac:dyDescent="0.45">
      <c r="A337">
        <v>8</v>
      </c>
      <c r="B337" s="36">
        <f>step3_combined_data!S250</f>
        <v>9</v>
      </c>
      <c r="C337" s="32">
        <f t="shared" si="45"/>
        <v>1</v>
      </c>
      <c r="D337">
        <v>8</v>
      </c>
      <c r="E337" s="36">
        <f>step3_combined_data!X276</f>
        <v>9</v>
      </c>
      <c r="F337" s="32">
        <f t="shared" si="46"/>
        <v>1</v>
      </c>
      <c r="G337">
        <v>9</v>
      </c>
      <c r="H337">
        <v>9</v>
      </c>
      <c r="I337" s="32">
        <f t="shared" si="47"/>
        <v>0</v>
      </c>
      <c r="J337">
        <v>9</v>
      </c>
      <c r="K337">
        <v>9</v>
      </c>
      <c r="L337" s="32">
        <f t="shared" si="48"/>
        <v>0</v>
      </c>
      <c r="M337">
        <v>9</v>
      </c>
      <c r="N337">
        <v>9</v>
      </c>
      <c r="O337" s="32">
        <f t="shared" si="49"/>
        <v>0</v>
      </c>
      <c r="P337">
        <v>9</v>
      </c>
      <c r="Q337">
        <v>9</v>
      </c>
      <c r="R337" s="32">
        <f t="shared" si="50"/>
        <v>0</v>
      </c>
      <c r="S337">
        <v>9</v>
      </c>
      <c r="T337">
        <v>8</v>
      </c>
      <c r="U337" s="32">
        <f t="shared" si="51"/>
        <v>1</v>
      </c>
      <c r="V337">
        <v>9</v>
      </c>
      <c r="W337">
        <v>8</v>
      </c>
      <c r="X337" s="32">
        <f t="shared" si="52"/>
        <v>1</v>
      </c>
      <c r="Y337">
        <v>9</v>
      </c>
      <c r="Z337">
        <v>9</v>
      </c>
      <c r="AA337" s="32">
        <f t="shared" si="53"/>
        <v>0</v>
      </c>
    </row>
    <row r="338" spans="1:27" x14ac:dyDescent="0.45">
      <c r="A338">
        <v>8</v>
      </c>
      <c r="B338" s="36">
        <f>step3_combined_data!S263</f>
        <v>9</v>
      </c>
      <c r="C338" s="32">
        <f t="shared" si="45"/>
        <v>1</v>
      </c>
      <c r="D338">
        <v>8</v>
      </c>
      <c r="E338" s="36">
        <f>step3_combined_data!X292</f>
        <v>9</v>
      </c>
      <c r="F338" s="32">
        <f t="shared" si="46"/>
        <v>1</v>
      </c>
      <c r="G338">
        <v>9</v>
      </c>
      <c r="H338">
        <v>9</v>
      </c>
      <c r="I338" s="32">
        <f t="shared" si="47"/>
        <v>0</v>
      </c>
      <c r="J338">
        <v>9</v>
      </c>
      <c r="K338">
        <v>9</v>
      </c>
      <c r="L338" s="32">
        <f t="shared" si="48"/>
        <v>0</v>
      </c>
      <c r="M338">
        <v>9</v>
      </c>
      <c r="N338">
        <v>9</v>
      </c>
      <c r="O338" s="32">
        <f t="shared" si="49"/>
        <v>0</v>
      </c>
      <c r="P338">
        <v>9</v>
      </c>
      <c r="Q338">
        <v>9</v>
      </c>
      <c r="R338" s="32">
        <f t="shared" si="50"/>
        <v>0</v>
      </c>
      <c r="S338">
        <v>9</v>
      </c>
      <c r="T338">
        <v>8</v>
      </c>
      <c r="U338" s="32">
        <f t="shared" si="51"/>
        <v>1</v>
      </c>
      <c r="V338">
        <v>9</v>
      </c>
      <c r="W338">
        <v>8</v>
      </c>
      <c r="X338" s="32">
        <f t="shared" si="52"/>
        <v>1</v>
      </c>
      <c r="Y338">
        <v>9</v>
      </c>
      <c r="Z338">
        <v>9</v>
      </c>
      <c r="AA338" s="32">
        <f t="shared" si="53"/>
        <v>0</v>
      </c>
    </row>
    <row r="339" spans="1:27" x14ac:dyDescent="0.45">
      <c r="A339">
        <v>8</v>
      </c>
      <c r="B339" s="36">
        <f>step3_combined_data!S292</f>
        <v>9</v>
      </c>
      <c r="C339" s="32">
        <f t="shared" si="45"/>
        <v>1</v>
      </c>
      <c r="D339">
        <v>8</v>
      </c>
      <c r="E339" s="36">
        <f>step3_combined_data!X296</f>
        <v>9</v>
      </c>
      <c r="F339" s="32">
        <f t="shared" si="46"/>
        <v>1</v>
      </c>
      <c r="G339">
        <v>9</v>
      </c>
      <c r="H339">
        <v>9</v>
      </c>
      <c r="I339" s="32">
        <f t="shared" si="47"/>
        <v>0</v>
      </c>
      <c r="J339">
        <v>9</v>
      </c>
      <c r="K339">
        <v>9</v>
      </c>
      <c r="L339" s="32">
        <f t="shared" si="48"/>
        <v>0</v>
      </c>
      <c r="M339">
        <v>9</v>
      </c>
      <c r="N339">
        <v>9</v>
      </c>
      <c r="O339" s="32">
        <f t="shared" si="49"/>
        <v>0</v>
      </c>
      <c r="P339">
        <v>9</v>
      </c>
      <c r="Q339">
        <v>9</v>
      </c>
      <c r="R339" s="32">
        <f t="shared" si="50"/>
        <v>0</v>
      </c>
      <c r="S339">
        <v>9</v>
      </c>
      <c r="T339">
        <v>8</v>
      </c>
      <c r="U339" s="32">
        <f t="shared" si="51"/>
        <v>1</v>
      </c>
      <c r="V339">
        <v>9</v>
      </c>
      <c r="W339">
        <v>8</v>
      </c>
      <c r="X339" s="32">
        <f t="shared" si="52"/>
        <v>1</v>
      </c>
      <c r="Y339">
        <v>9</v>
      </c>
      <c r="Z339">
        <v>9</v>
      </c>
      <c r="AA339" s="32">
        <f t="shared" si="53"/>
        <v>0</v>
      </c>
    </row>
    <row r="340" spans="1:27" x14ac:dyDescent="0.45">
      <c r="A340">
        <v>8</v>
      </c>
      <c r="B340" s="36">
        <f>step3_combined_data!S301</f>
        <v>9</v>
      </c>
      <c r="C340" s="32">
        <f t="shared" si="45"/>
        <v>1</v>
      </c>
      <c r="D340">
        <v>8</v>
      </c>
      <c r="E340" s="36">
        <f>step3_combined_data!X301</f>
        <v>9</v>
      </c>
      <c r="F340" s="32">
        <f t="shared" si="46"/>
        <v>1</v>
      </c>
      <c r="G340">
        <v>9</v>
      </c>
      <c r="H340">
        <v>9</v>
      </c>
      <c r="I340" s="32">
        <f t="shared" si="47"/>
        <v>0</v>
      </c>
      <c r="J340">
        <v>9</v>
      </c>
      <c r="K340">
        <v>9</v>
      </c>
      <c r="L340" s="32">
        <f t="shared" si="48"/>
        <v>0</v>
      </c>
      <c r="M340">
        <v>9</v>
      </c>
      <c r="N340">
        <v>9</v>
      </c>
      <c r="O340" s="32">
        <f t="shared" si="49"/>
        <v>0</v>
      </c>
      <c r="P340">
        <v>9</v>
      </c>
      <c r="Q340">
        <v>9</v>
      </c>
      <c r="R340" s="32">
        <f t="shared" si="50"/>
        <v>0</v>
      </c>
      <c r="S340">
        <v>9</v>
      </c>
      <c r="T340">
        <v>8</v>
      </c>
      <c r="U340" s="32">
        <f t="shared" si="51"/>
        <v>1</v>
      </c>
      <c r="V340">
        <v>9</v>
      </c>
      <c r="W340">
        <v>8</v>
      </c>
      <c r="X340" s="32">
        <f t="shared" si="52"/>
        <v>1</v>
      </c>
      <c r="Y340">
        <v>9</v>
      </c>
      <c r="Z340">
        <v>9</v>
      </c>
      <c r="AA340" s="32">
        <f t="shared" si="53"/>
        <v>0</v>
      </c>
    </row>
    <row r="341" spans="1:27" x14ac:dyDescent="0.45">
      <c r="A341">
        <v>8</v>
      </c>
      <c r="B341" s="36">
        <f>step3_combined_data!S347</f>
        <v>9</v>
      </c>
      <c r="C341" s="32">
        <f t="shared" si="45"/>
        <v>1</v>
      </c>
      <c r="D341">
        <v>8</v>
      </c>
      <c r="E341" s="36">
        <f>step3_combined_data!X306</f>
        <v>9</v>
      </c>
      <c r="F341" s="32">
        <f t="shared" si="46"/>
        <v>1</v>
      </c>
      <c r="G341">
        <v>9</v>
      </c>
      <c r="H341">
        <v>9</v>
      </c>
      <c r="I341" s="32">
        <f t="shared" si="47"/>
        <v>0</v>
      </c>
      <c r="J341">
        <v>9</v>
      </c>
      <c r="K341">
        <v>9</v>
      </c>
      <c r="L341" s="32">
        <f t="shared" si="48"/>
        <v>0</v>
      </c>
      <c r="M341">
        <v>9</v>
      </c>
      <c r="N341">
        <v>9</v>
      </c>
      <c r="O341" s="32">
        <f t="shared" si="49"/>
        <v>0</v>
      </c>
      <c r="P341">
        <v>9</v>
      </c>
      <c r="Q341">
        <v>9</v>
      </c>
      <c r="R341" s="32">
        <f t="shared" si="50"/>
        <v>0</v>
      </c>
      <c r="S341">
        <v>9</v>
      </c>
      <c r="T341">
        <v>9</v>
      </c>
      <c r="U341" s="32">
        <f t="shared" si="51"/>
        <v>0</v>
      </c>
      <c r="V341">
        <v>9</v>
      </c>
      <c r="W341">
        <v>8</v>
      </c>
      <c r="X341" s="32">
        <f t="shared" si="52"/>
        <v>1</v>
      </c>
      <c r="Y341">
        <v>9</v>
      </c>
      <c r="Z341">
        <v>9</v>
      </c>
      <c r="AA341" s="32">
        <f t="shared" si="53"/>
        <v>0</v>
      </c>
    </row>
    <row r="342" spans="1:27" x14ac:dyDescent="0.45">
      <c r="A342">
        <v>8</v>
      </c>
      <c r="B342" s="36">
        <f>step3_combined_data!S355</f>
        <v>9</v>
      </c>
      <c r="C342" s="32">
        <f t="shared" si="45"/>
        <v>1</v>
      </c>
      <c r="D342">
        <v>8</v>
      </c>
      <c r="E342" s="36">
        <f>step3_combined_data!X313</f>
        <v>9</v>
      </c>
      <c r="F342" s="32">
        <f t="shared" si="46"/>
        <v>1</v>
      </c>
      <c r="G342">
        <v>9</v>
      </c>
      <c r="H342">
        <v>9</v>
      </c>
      <c r="I342" s="32">
        <f t="shared" si="47"/>
        <v>0</v>
      </c>
      <c r="J342">
        <v>9</v>
      </c>
      <c r="K342">
        <v>9</v>
      </c>
      <c r="L342" s="32">
        <f t="shared" si="48"/>
        <v>0</v>
      </c>
      <c r="M342">
        <v>9</v>
      </c>
      <c r="N342">
        <v>9</v>
      </c>
      <c r="O342" s="32">
        <f t="shared" si="49"/>
        <v>0</v>
      </c>
      <c r="P342">
        <v>9</v>
      </c>
      <c r="Q342">
        <v>9</v>
      </c>
      <c r="R342" s="32">
        <f t="shared" si="50"/>
        <v>0</v>
      </c>
      <c r="S342">
        <v>9</v>
      </c>
      <c r="T342">
        <v>9</v>
      </c>
      <c r="U342" s="32">
        <f t="shared" si="51"/>
        <v>0</v>
      </c>
      <c r="V342">
        <v>9</v>
      </c>
      <c r="W342">
        <v>8</v>
      </c>
      <c r="X342" s="32">
        <f t="shared" si="52"/>
        <v>1</v>
      </c>
      <c r="Y342">
        <v>9</v>
      </c>
      <c r="Z342">
        <v>9</v>
      </c>
      <c r="AA342" s="32">
        <f t="shared" si="53"/>
        <v>0</v>
      </c>
    </row>
    <row r="343" spans="1:27" x14ac:dyDescent="0.45">
      <c r="A343">
        <v>8</v>
      </c>
      <c r="B343" s="36">
        <f>step3_combined_data!S358</f>
        <v>9</v>
      </c>
      <c r="C343" s="32">
        <f t="shared" si="45"/>
        <v>1</v>
      </c>
      <c r="D343">
        <v>8</v>
      </c>
      <c r="E343" s="36">
        <f>step3_combined_data!X327</f>
        <v>9</v>
      </c>
      <c r="F343" s="32">
        <f t="shared" si="46"/>
        <v>1</v>
      </c>
      <c r="G343">
        <v>9</v>
      </c>
      <c r="H343">
        <v>9</v>
      </c>
      <c r="I343" s="32">
        <f t="shared" si="47"/>
        <v>0</v>
      </c>
      <c r="J343">
        <v>9</v>
      </c>
      <c r="K343">
        <v>9</v>
      </c>
      <c r="L343" s="32">
        <f t="shared" si="48"/>
        <v>0</v>
      </c>
      <c r="M343">
        <v>9</v>
      </c>
      <c r="N343">
        <v>9</v>
      </c>
      <c r="O343" s="32">
        <f t="shared" si="49"/>
        <v>0</v>
      </c>
      <c r="P343">
        <v>9</v>
      </c>
      <c r="Q343">
        <v>9</v>
      </c>
      <c r="R343" s="32">
        <f t="shared" si="50"/>
        <v>0</v>
      </c>
      <c r="S343">
        <v>9</v>
      </c>
      <c r="T343">
        <v>9</v>
      </c>
      <c r="U343" s="32">
        <f t="shared" si="51"/>
        <v>0</v>
      </c>
      <c r="V343">
        <v>9</v>
      </c>
      <c r="W343">
        <v>8</v>
      </c>
      <c r="X343" s="32">
        <f t="shared" si="52"/>
        <v>1</v>
      </c>
      <c r="Y343">
        <v>9</v>
      </c>
      <c r="Z343">
        <v>9</v>
      </c>
      <c r="AA343" s="32">
        <f t="shared" si="53"/>
        <v>0</v>
      </c>
    </row>
    <row r="344" spans="1:27" x14ac:dyDescent="0.45">
      <c r="A344">
        <v>8</v>
      </c>
      <c r="B344" s="36">
        <f>step3_combined_data!S361</f>
        <v>9</v>
      </c>
      <c r="C344" s="32">
        <f t="shared" si="45"/>
        <v>1</v>
      </c>
      <c r="D344">
        <v>8</v>
      </c>
      <c r="E344" s="36">
        <f>step3_combined_data!X355</f>
        <v>9</v>
      </c>
      <c r="F344" s="32">
        <f t="shared" si="46"/>
        <v>1</v>
      </c>
      <c r="G344">
        <v>9</v>
      </c>
      <c r="H344">
        <v>9</v>
      </c>
      <c r="I344" s="32">
        <f t="shared" si="47"/>
        <v>0</v>
      </c>
      <c r="J344">
        <v>9</v>
      </c>
      <c r="K344">
        <v>9</v>
      </c>
      <c r="L344" s="32">
        <f t="shared" si="48"/>
        <v>0</v>
      </c>
      <c r="M344">
        <v>9</v>
      </c>
      <c r="N344">
        <v>9</v>
      </c>
      <c r="O344" s="32">
        <f t="shared" si="49"/>
        <v>0</v>
      </c>
      <c r="P344">
        <v>9</v>
      </c>
      <c r="Q344">
        <v>9</v>
      </c>
      <c r="R344" s="32">
        <f t="shared" si="50"/>
        <v>0</v>
      </c>
      <c r="S344">
        <v>9</v>
      </c>
      <c r="T344">
        <v>9</v>
      </c>
      <c r="U344" s="32">
        <f t="shared" si="51"/>
        <v>0</v>
      </c>
      <c r="V344">
        <v>9</v>
      </c>
      <c r="W344">
        <v>8</v>
      </c>
      <c r="X344" s="32">
        <f t="shared" si="52"/>
        <v>1</v>
      </c>
      <c r="Y344">
        <v>9</v>
      </c>
      <c r="Z344">
        <v>9</v>
      </c>
      <c r="AA344" s="32">
        <f t="shared" si="53"/>
        <v>0</v>
      </c>
    </row>
    <row r="345" spans="1:27" x14ac:dyDescent="0.45">
      <c r="A345">
        <v>8</v>
      </c>
      <c r="B345" s="36">
        <f>step3_combined_data!S366</f>
        <v>9</v>
      </c>
      <c r="C345" s="32">
        <f t="shared" si="45"/>
        <v>1</v>
      </c>
      <c r="D345">
        <v>8</v>
      </c>
      <c r="E345" s="36">
        <f>step3_combined_data!X358</f>
        <v>9</v>
      </c>
      <c r="F345" s="32">
        <f t="shared" si="46"/>
        <v>1</v>
      </c>
      <c r="G345">
        <v>9</v>
      </c>
      <c r="H345">
        <v>9</v>
      </c>
      <c r="I345" s="32">
        <f t="shared" si="47"/>
        <v>0</v>
      </c>
      <c r="J345">
        <v>9</v>
      </c>
      <c r="K345">
        <v>9</v>
      </c>
      <c r="L345" s="32">
        <f t="shared" si="48"/>
        <v>0</v>
      </c>
      <c r="M345">
        <v>9</v>
      </c>
      <c r="N345">
        <v>9</v>
      </c>
      <c r="O345" s="32">
        <f t="shared" si="49"/>
        <v>0</v>
      </c>
      <c r="P345">
        <v>9</v>
      </c>
      <c r="Q345">
        <v>9</v>
      </c>
      <c r="R345" s="32">
        <f t="shared" si="50"/>
        <v>0</v>
      </c>
      <c r="S345">
        <v>9</v>
      </c>
      <c r="T345">
        <v>9</v>
      </c>
      <c r="U345" s="32">
        <f t="shared" si="51"/>
        <v>0</v>
      </c>
      <c r="V345">
        <v>9</v>
      </c>
      <c r="W345">
        <v>9</v>
      </c>
      <c r="X345" s="32">
        <f t="shared" si="52"/>
        <v>0</v>
      </c>
      <c r="Y345">
        <v>9</v>
      </c>
      <c r="Z345">
        <v>9</v>
      </c>
      <c r="AA345" s="32">
        <f t="shared" si="53"/>
        <v>0</v>
      </c>
    </row>
    <row r="346" spans="1:27" x14ac:dyDescent="0.45">
      <c r="A346">
        <v>8</v>
      </c>
      <c r="B346" s="36">
        <f>step3_combined_data!S382</f>
        <v>9</v>
      </c>
      <c r="C346" s="32">
        <f t="shared" si="45"/>
        <v>1</v>
      </c>
      <c r="D346">
        <v>8</v>
      </c>
      <c r="E346" s="36">
        <f>step3_combined_data!X366</f>
        <v>9</v>
      </c>
      <c r="F346" s="32">
        <f t="shared" si="46"/>
        <v>1</v>
      </c>
      <c r="G346">
        <v>9</v>
      </c>
      <c r="H346">
        <v>9</v>
      </c>
      <c r="I346" s="32">
        <f t="shared" si="47"/>
        <v>0</v>
      </c>
      <c r="J346">
        <v>9</v>
      </c>
      <c r="K346">
        <v>9</v>
      </c>
      <c r="L346" s="32">
        <f t="shared" si="48"/>
        <v>0</v>
      </c>
      <c r="M346">
        <v>9</v>
      </c>
      <c r="N346">
        <v>9</v>
      </c>
      <c r="O346" s="32">
        <f t="shared" si="49"/>
        <v>0</v>
      </c>
      <c r="P346">
        <v>9</v>
      </c>
      <c r="Q346">
        <v>9</v>
      </c>
      <c r="R346" s="32">
        <f t="shared" si="50"/>
        <v>0</v>
      </c>
      <c r="S346">
        <v>9</v>
      </c>
      <c r="T346">
        <v>9</v>
      </c>
      <c r="U346" s="32">
        <f t="shared" si="51"/>
        <v>0</v>
      </c>
      <c r="V346">
        <v>9</v>
      </c>
      <c r="W346">
        <v>9</v>
      </c>
      <c r="X346" s="32">
        <f t="shared" si="52"/>
        <v>0</v>
      </c>
      <c r="Y346">
        <v>9</v>
      </c>
      <c r="Z346">
        <v>10</v>
      </c>
      <c r="AA346" s="32">
        <f t="shared" si="53"/>
        <v>1</v>
      </c>
    </row>
    <row r="347" spans="1:27" x14ac:dyDescent="0.45">
      <c r="A347">
        <v>8</v>
      </c>
      <c r="B347" s="36">
        <f>step3_combined_data!S395</f>
        <v>9</v>
      </c>
      <c r="C347" s="32">
        <f t="shared" si="45"/>
        <v>1</v>
      </c>
      <c r="D347">
        <v>8</v>
      </c>
      <c r="E347" s="36">
        <f>step3_combined_data!X368</f>
        <v>9</v>
      </c>
      <c r="F347" s="32">
        <f t="shared" si="46"/>
        <v>1</v>
      </c>
      <c r="G347">
        <v>9</v>
      </c>
      <c r="H347">
        <v>9</v>
      </c>
      <c r="I347" s="32">
        <f t="shared" si="47"/>
        <v>0</v>
      </c>
      <c r="J347">
        <v>9</v>
      </c>
      <c r="K347">
        <v>9</v>
      </c>
      <c r="L347" s="32">
        <f t="shared" si="48"/>
        <v>0</v>
      </c>
      <c r="M347">
        <v>9</v>
      </c>
      <c r="N347">
        <v>9</v>
      </c>
      <c r="O347" s="32">
        <f t="shared" si="49"/>
        <v>0</v>
      </c>
      <c r="P347">
        <v>9</v>
      </c>
      <c r="Q347">
        <v>9</v>
      </c>
      <c r="R347" s="32">
        <f t="shared" si="50"/>
        <v>0</v>
      </c>
      <c r="S347">
        <v>9</v>
      </c>
      <c r="T347">
        <v>9</v>
      </c>
      <c r="U347" s="32">
        <f t="shared" si="51"/>
        <v>0</v>
      </c>
      <c r="V347">
        <v>9</v>
      </c>
      <c r="W347">
        <v>9</v>
      </c>
      <c r="X347" s="32">
        <f t="shared" si="52"/>
        <v>0</v>
      </c>
      <c r="Y347">
        <v>9</v>
      </c>
      <c r="Z347">
        <v>10</v>
      </c>
      <c r="AA347" s="32">
        <f t="shared" si="53"/>
        <v>1</v>
      </c>
    </row>
    <row r="348" spans="1:27" x14ac:dyDescent="0.45">
      <c r="A348">
        <v>8</v>
      </c>
      <c r="B348" s="36">
        <f>step3_combined_data!S399</f>
        <v>9</v>
      </c>
      <c r="C348" s="32">
        <f t="shared" si="45"/>
        <v>1</v>
      </c>
      <c r="D348">
        <v>8</v>
      </c>
      <c r="E348" s="36">
        <f>step3_combined_data!X382</f>
        <v>9</v>
      </c>
      <c r="F348" s="32">
        <f t="shared" si="46"/>
        <v>1</v>
      </c>
      <c r="G348">
        <v>9</v>
      </c>
      <c r="H348">
        <v>9</v>
      </c>
      <c r="I348" s="32">
        <f t="shared" si="47"/>
        <v>0</v>
      </c>
      <c r="J348">
        <v>9</v>
      </c>
      <c r="K348">
        <v>9</v>
      </c>
      <c r="L348" s="32">
        <f t="shared" si="48"/>
        <v>0</v>
      </c>
      <c r="M348">
        <v>9</v>
      </c>
      <c r="N348">
        <v>9</v>
      </c>
      <c r="O348" s="32">
        <f t="shared" si="49"/>
        <v>0</v>
      </c>
      <c r="P348">
        <v>9</v>
      </c>
      <c r="Q348">
        <v>9</v>
      </c>
      <c r="R348" s="32">
        <f t="shared" si="50"/>
        <v>0</v>
      </c>
      <c r="S348">
        <v>9</v>
      </c>
      <c r="T348">
        <v>9</v>
      </c>
      <c r="U348" s="32">
        <f t="shared" si="51"/>
        <v>0</v>
      </c>
      <c r="V348">
        <v>9</v>
      </c>
      <c r="W348">
        <v>9</v>
      </c>
      <c r="X348" s="32">
        <f t="shared" si="52"/>
        <v>0</v>
      </c>
      <c r="Y348">
        <v>9</v>
      </c>
      <c r="Z348">
        <v>10</v>
      </c>
      <c r="AA348" s="32">
        <f t="shared" si="53"/>
        <v>1</v>
      </c>
    </row>
    <row r="349" spans="1:27" x14ac:dyDescent="0.45">
      <c r="A349">
        <v>8</v>
      </c>
      <c r="B349" s="36">
        <f>step3_combined_data!S2</f>
        <v>10</v>
      </c>
      <c r="C349" s="32">
        <f t="shared" si="45"/>
        <v>2</v>
      </c>
      <c r="D349">
        <v>8</v>
      </c>
      <c r="E349" s="36">
        <f>step3_combined_data!X395</f>
        <v>9</v>
      </c>
      <c r="F349" s="32">
        <f t="shared" si="46"/>
        <v>1</v>
      </c>
      <c r="G349">
        <v>9</v>
      </c>
      <c r="H349">
        <v>9</v>
      </c>
      <c r="I349" s="32">
        <f t="shared" si="47"/>
        <v>0</v>
      </c>
      <c r="J349">
        <v>9</v>
      </c>
      <c r="K349">
        <v>9</v>
      </c>
      <c r="L349" s="32">
        <f t="shared" si="48"/>
        <v>0</v>
      </c>
      <c r="M349">
        <v>9</v>
      </c>
      <c r="N349">
        <v>9</v>
      </c>
      <c r="O349" s="32">
        <f t="shared" si="49"/>
        <v>0</v>
      </c>
      <c r="P349">
        <v>9</v>
      </c>
      <c r="Q349">
        <v>9</v>
      </c>
      <c r="R349" s="32">
        <f t="shared" si="50"/>
        <v>0</v>
      </c>
      <c r="S349">
        <v>9</v>
      </c>
      <c r="T349">
        <v>9</v>
      </c>
      <c r="U349" s="32">
        <f t="shared" si="51"/>
        <v>0</v>
      </c>
      <c r="V349">
        <v>9</v>
      </c>
      <c r="W349">
        <v>9</v>
      </c>
      <c r="X349" s="32">
        <f t="shared" si="52"/>
        <v>0</v>
      </c>
      <c r="Y349">
        <v>9</v>
      </c>
      <c r="Z349">
        <v>10</v>
      </c>
      <c r="AA349" s="32">
        <f t="shared" si="53"/>
        <v>1</v>
      </c>
    </row>
    <row r="350" spans="1:27" x14ac:dyDescent="0.45">
      <c r="A350">
        <v>8</v>
      </c>
      <c r="B350" s="36">
        <f>step3_combined_data!S5</f>
        <v>10</v>
      </c>
      <c r="C350" s="32">
        <f t="shared" si="45"/>
        <v>2</v>
      </c>
      <c r="D350">
        <v>8</v>
      </c>
      <c r="E350" s="36">
        <f>step3_combined_data!X399</f>
        <v>9</v>
      </c>
      <c r="F350" s="32">
        <f t="shared" si="46"/>
        <v>1</v>
      </c>
      <c r="G350">
        <v>9</v>
      </c>
      <c r="H350">
        <v>9</v>
      </c>
      <c r="I350" s="32">
        <f t="shared" si="47"/>
        <v>0</v>
      </c>
      <c r="J350">
        <v>9</v>
      </c>
      <c r="K350">
        <v>9</v>
      </c>
      <c r="L350" s="32">
        <f t="shared" si="48"/>
        <v>0</v>
      </c>
      <c r="M350">
        <v>9</v>
      </c>
      <c r="N350">
        <v>9</v>
      </c>
      <c r="O350" s="32">
        <f t="shared" si="49"/>
        <v>0</v>
      </c>
      <c r="P350">
        <v>9</v>
      </c>
      <c r="Q350">
        <v>9</v>
      </c>
      <c r="R350" s="32">
        <f t="shared" si="50"/>
        <v>0</v>
      </c>
      <c r="S350">
        <v>9</v>
      </c>
      <c r="T350">
        <v>9</v>
      </c>
      <c r="U350" s="32">
        <f t="shared" si="51"/>
        <v>0</v>
      </c>
      <c r="V350">
        <v>9</v>
      </c>
      <c r="W350">
        <v>9</v>
      </c>
      <c r="X350" s="32">
        <f t="shared" si="52"/>
        <v>0</v>
      </c>
      <c r="Y350">
        <v>9</v>
      </c>
      <c r="Z350">
        <v>10</v>
      </c>
      <c r="AA350" s="32">
        <f t="shared" si="53"/>
        <v>1</v>
      </c>
    </row>
    <row r="351" spans="1:27" x14ac:dyDescent="0.45">
      <c r="A351">
        <v>8</v>
      </c>
      <c r="B351" s="36">
        <f>step3_combined_data!S10</f>
        <v>10</v>
      </c>
      <c r="C351" s="32">
        <f t="shared" si="45"/>
        <v>2</v>
      </c>
      <c r="D351">
        <v>8</v>
      </c>
      <c r="E351" s="36">
        <f>step3_combined_data!X401</f>
        <v>9</v>
      </c>
      <c r="F351" s="32">
        <f t="shared" si="46"/>
        <v>1</v>
      </c>
      <c r="G351">
        <v>9</v>
      </c>
      <c r="H351">
        <v>9</v>
      </c>
      <c r="I351" s="32">
        <f t="shared" si="47"/>
        <v>0</v>
      </c>
      <c r="J351">
        <v>9</v>
      </c>
      <c r="K351">
        <v>9</v>
      </c>
      <c r="L351" s="32">
        <f t="shared" si="48"/>
        <v>0</v>
      </c>
      <c r="M351">
        <v>9</v>
      </c>
      <c r="N351">
        <v>9</v>
      </c>
      <c r="O351" s="32">
        <f t="shared" si="49"/>
        <v>0</v>
      </c>
      <c r="P351">
        <v>9</v>
      </c>
      <c r="Q351">
        <v>9</v>
      </c>
      <c r="R351" s="32">
        <f t="shared" si="50"/>
        <v>0</v>
      </c>
      <c r="S351">
        <v>9</v>
      </c>
      <c r="T351">
        <v>9</v>
      </c>
      <c r="U351" s="32">
        <f t="shared" si="51"/>
        <v>0</v>
      </c>
      <c r="V351">
        <v>9</v>
      </c>
      <c r="W351">
        <v>9</v>
      </c>
      <c r="X351" s="32">
        <f t="shared" si="52"/>
        <v>0</v>
      </c>
      <c r="Y351">
        <v>9</v>
      </c>
      <c r="Z351">
        <v>10</v>
      </c>
      <c r="AA351" s="32">
        <f t="shared" si="53"/>
        <v>1</v>
      </c>
    </row>
    <row r="352" spans="1:27" x14ac:dyDescent="0.45">
      <c r="A352">
        <v>8</v>
      </c>
      <c r="B352" s="36">
        <f>step3_combined_data!S12</f>
        <v>10</v>
      </c>
      <c r="C352" s="32">
        <f t="shared" si="45"/>
        <v>2</v>
      </c>
      <c r="D352">
        <v>8</v>
      </c>
      <c r="E352" s="36">
        <f>step3_combined_data!X5</f>
        <v>10</v>
      </c>
      <c r="F352" s="32">
        <f t="shared" si="46"/>
        <v>2</v>
      </c>
      <c r="G352">
        <v>9</v>
      </c>
      <c r="H352">
        <v>9</v>
      </c>
      <c r="I352" s="32">
        <f t="shared" si="47"/>
        <v>0</v>
      </c>
      <c r="J352">
        <v>9</v>
      </c>
      <c r="K352">
        <v>9</v>
      </c>
      <c r="L352" s="32">
        <f t="shared" si="48"/>
        <v>0</v>
      </c>
      <c r="M352">
        <v>9</v>
      </c>
      <c r="N352">
        <v>9</v>
      </c>
      <c r="O352" s="32">
        <f t="shared" si="49"/>
        <v>0</v>
      </c>
      <c r="P352">
        <v>9</v>
      </c>
      <c r="Q352">
        <v>9</v>
      </c>
      <c r="R352" s="32">
        <f t="shared" si="50"/>
        <v>0</v>
      </c>
      <c r="S352">
        <v>9</v>
      </c>
      <c r="T352">
        <v>9</v>
      </c>
      <c r="U352" s="32">
        <f t="shared" si="51"/>
        <v>0</v>
      </c>
      <c r="V352">
        <v>9</v>
      </c>
      <c r="W352">
        <v>9</v>
      </c>
      <c r="X352" s="32">
        <f t="shared" si="52"/>
        <v>0</v>
      </c>
      <c r="Y352">
        <v>9</v>
      </c>
      <c r="Z352">
        <v>10</v>
      </c>
      <c r="AA352" s="32">
        <f t="shared" si="53"/>
        <v>1</v>
      </c>
    </row>
    <row r="353" spans="1:27" x14ac:dyDescent="0.45">
      <c r="A353">
        <v>8</v>
      </c>
      <c r="B353" s="36">
        <f>step3_combined_data!S15</f>
        <v>10</v>
      </c>
      <c r="C353" s="32">
        <f t="shared" si="45"/>
        <v>2</v>
      </c>
      <c r="D353">
        <v>8</v>
      </c>
      <c r="E353" s="36">
        <f>step3_combined_data!X10</f>
        <v>10</v>
      </c>
      <c r="F353" s="32">
        <f t="shared" si="46"/>
        <v>2</v>
      </c>
      <c r="G353">
        <v>9</v>
      </c>
      <c r="H353">
        <v>9</v>
      </c>
      <c r="I353" s="32">
        <f t="shared" si="47"/>
        <v>0</v>
      </c>
      <c r="J353">
        <v>9</v>
      </c>
      <c r="K353">
        <v>9</v>
      </c>
      <c r="L353" s="32">
        <f t="shared" si="48"/>
        <v>0</v>
      </c>
      <c r="M353">
        <v>9</v>
      </c>
      <c r="N353">
        <v>9</v>
      </c>
      <c r="O353" s="32">
        <f t="shared" si="49"/>
        <v>0</v>
      </c>
      <c r="P353">
        <v>9</v>
      </c>
      <c r="Q353">
        <v>9</v>
      </c>
      <c r="R353" s="32">
        <f t="shared" si="50"/>
        <v>0</v>
      </c>
      <c r="S353">
        <v>9</v>
      </c>
      <c r="T353">
        <v>9</v>
      </c>
      <c r="U353" s="32">
        <f t="shared" si="51"/>
        <v>0</v>
      </c>
      <c r="V353">
        <v>9</v>
      </c>
      <c r="W353">
        <v>9</v>
      </c>
      <c r="X353" s="32">
        <f t="shared" si="52"/>
        <v>0</v>
      </c>
      <c r="Y353">
        <v>9</v>
      </c>
      <c r="Z353">
        <v>10</v>
      </c>
      <c r="AA353" s="32">
        <f t="shared" si="53"/>
        <v>1</v>
      </c>
    </row>
    <row r="354" spans="1:27" x14ac:dyDescent="0.45">
      <c r="A354">
        <v>8</v>
      </c>
      <c r="B354" s="36">
        <f>step3_combined_data!S20</f>
        <v>10</v>
      </c>
      <c r="C354" s="32">
        <f t="shared" si="45"/>
        <v>2</v>
      </c>
      <c r="D354">
        <v>8</v>
      </c>
      <c r="E354" s="36">
        <f>step3_combined_data!X11</f>
        <v>10</v>
      </c>
      <c r="F354" s="32">
        <f t="shared" si="46"/>
        <v>2</v>
      </c>
      <c r="G354">
        <v>9</v>
      </c>
      <c r="H354">
        <v>9</v>
      </c>
      <c r="I354" s="32">
        <f t="shared" si="47"/>
        <v>0</v>
      </c>
      <c r="J354">
        <v>9</v>
      </c>
      <c r="K354">
        <v>9</v>
      </c>
      <c r="L354" s="32">
        <f t="shared" si="48"/>
        <v>0</v>
      </c>
      <c r="M354">
        <v>9</v>
      </c>
      <c r="N354">
        <v>9</v>
      </c>
      <c r="O354" s="32">
        <f t="shared" si="49"/>
        <v>0</v>
      </c>
      <c r="P354">
        <v>9</v>
      </c>
      <c r="Q354">
        <v>9</v>
      </c>
      <c r="R354" s="32">
        <f t="shared" si="50"/>
        <v>0</v>
      </c>
      <c r="S354">
        <v>9</v>
      </c>
      <c r="T354">
        <v>9</v>
      </c>
      <c r="U354" s="32">
        <f t="shared" si="51"/>
        <v>0</v>
      </c>
      <c r="V354">
        <v>9</v>
      </c>
      <c r="W354">
        <v>9</v>
      </c>
      <c r="X354" s="32">
        <f t="shared" si="52"/>
        <v>0</v>
      </c>
      <c r="Y354">
        <v>9</v>
      </c>
      <c r="Z354">
        <v>10</v>
      </c>
      <c r="AA354" s="32">
        <f t="shared" si="53"/>
        <v>1</v>
      </c>
    </row>
    <row r="355" spans="1:27" x14ac:dyDescent="0.45">
      <c r="A355">
        <v>8</v>
      </c>
      <c r="B355" s="36">
        <f>step3_combined_data!S22</f>
        <v>10</v>
      </c>
      <c r="C355" s="32">
        <f t="shared" si="45"/>
        <v>2</v>
      </c>
      <c r="D355">
        <v>8</v>
      </c>
      <c r="E355" s="36">
        <f>step3_combined_data!X15</f>
        <v>10</v>
      </c>
      <c r="F355" s="32">
        <f t="shared" si="46"/>
        <v>2</v>
      </c>
      <c r="G355">
        <v>9</v>
      </c>
      <c r="H355">
        <v>9</v>
      </c>
      <c r="I355" s="32">
        <f t="shared" si="47"/>
        <v>0</v>
      </c>
      <c r="J355">
        <v>9</v>
      </c>
      <c r="K355">
        <v>9</v>
      </c>
      <c r="L355" s="32">
        <f t="shared" si="48"/>
        <v>0</v>
      </c>
      <c r="M355">
        <v>9</v>
      </c>
      <c r="N355">
        <v>9</v>
      </c>
      <c r="O355" s="32">
        <f t="shared" si="49"/>
        <v>0</v>
      </c>
      <c r="P355">
        <v>9</v>
      </c>
      <c r="Q355">
        <v>9</v>
      </c>
      <c r="R355" s="32">
        <f t="shared" si="50"/>
        <v>0</v>
      </c>
      <c r="S355">
        <v>9</v>
      </c>
      <c r="T355">
        <v>9</v>
      </c>
      <c r="U355" s="32">
        <f t="shared" si="51"/>
        <v>0</v>
      </c>
      <c r="V355">
        <v>9</v>
      </c>
      <c r="W355">
        <v>9</v>
      </c>
      <c r="X355" s="32">
        <f t="shared" si="52"/>
        <v>0</v>
      </c>
      <c r="Y355">
        <v>9</v>
      </c>
      <c r="Z355">
        <v>10</v>
      </c>
      <c r="AA355" s="32">
        <f t="shared" si="53"/>
        <v>1</v>
      </c>
    </row>
    <row r="356" spans="1:27" x14ac:dyDescent="0.45">
      <c r="A356">
        <v>8</v>
      </c>
      <c r="B356" s="36">
        <f>step3_combined_data!S27</f>
        <v>10</v>
      </c>
      <c r="C356" s="32">
        <f t="shared" si="45"/>
        <v>2</v>
      </c>
      <c r="D356">
        <v>8</v>
      </c>
      <c r="E356" s="36">
        <f>step3_combined_data!X20</f>
        <v>10</v>
      </c>
      <c r="F356" s="32">
        <f t="shared" si="46"/>
        <v>2</v>
      </c>
      <c r="G356">
        <v>9</v>
      </c>
      <c r="H356">
        <v>9</v>
      </c>
      <c r="I356" s="32">
        <f t="shared" si="47"/>
        <v>0</v>
      </c>
      <c r="J356">
        <v>9</v>
      </c>
      <c r="K356">
        <v>9</v>
      </c>
      <c r="L356" s="32">
        <f t="shared" si="48"/>
        <v>0</v>
      </c>
      <c r="M356">
        <v>9</v>
      </c>
      <c r="N356">
        <v>9</v>
      </c>
      <c r="O356" s="32">
        <f t="shared" si="49"/>
        <v>0</v>
      </c>
      <c r="P356">
        <v>9</v>
      </c>
      <c r="Q356">
        <v>9</v>
      </c>
      <c r="R356" s="32">
        <f t="shared" si="50"/>
        <v>0</v>
      </c>
      <c r="S356">
        <v>9</v>
      </c>
      <c r="T356">
        <v>9</v>
      </c>
      <c r="U356" s="32">
        <f t="shared" si="51"/>
        <v>0</v>
      </c>
      <c r="V356">
        <v>9</v>
      </c>
      <c r="W356">
        <v>9</v>
      </c>
      <c r="X356" s="32">
        <f t="shared" si="52"/>
        <v>0</v>
      </c>
      <c r="Y356">
        <v>9</v>
      </c>
      <c r="Z356">
        <v>10</v>
      </c>
      <c r="AA356" s="32">
        <f t="shared" si="53"/>
        <v>1</v>
      </c>
    </row>
    <row r="357" spans="1:27" x14ac:dyDescent="0.45">
      <c r="A357">
        <v>8</v>
      </c>
      <c r="B357" s="36">
        <f>step3_combined_data!S30</f>
        <v>10</v>
      </c>
      <c r="C357" s="32">
        <f t="shared" si="45"/>
        <v>2</v>
      </c>
      <c r="D357">
        <v>8</v>
      </c>
      <c r="E357" s="36">
        <f>step3_combined_data!X22</f>
        <v>10</v>
      </c>
      <c r="F357" s="32">
        <f t="shared" si="46"/>
        <v>2</v>
      </c>
      <c r="G357">
        <v>9</v>
      </c>
      <c r="H357">
        <v>9</v>
      </c>
      <c r="I357" s="32">
        <f t="shared" si="47"/>
        <v>0</v>
      </c>
      <c r="J357">
        <v>9</v>
      </c>
      <c r="K357">
        <v>9</v>
      </c>
      <c r="L357" s="32">
        <f t="shared" si="48"/>
        <v>0</v>
      </c>
      <c r="M357">
        <v>9</v>
      </c>
      <c r="N357">
        <v>9</v>
      </c>
      <c r="O357" s="32">
        <f t="shared" si="49"/>
        <v>0</v>
      </c>
      <c r="P357">
        <v>9</v>
      </c>
      <c r="Q357">
        <v>10</v>
      </c>
      <c r="R357" s="32">
        <f t="shared" si="50"/>
        <v>1</v>
      </c>
      <c r="S357">
        <v>9</v>
      </c>
      <c r="T357">
        <v>9</v>
      </c>
      <c r="U357" s="32">
        <f t="shared" si="51"/>
        <v>0</v>
      </c>
      <c r="V357">
        <v>9</v>
      </c>
      <c r="W357">
        <v>9</v>
      </c>
      <c r="X357" s="32">
        <f t="shared" si="52"/>
        <v>0</v>
      </c>
      <c r="Y357">
        <v>9</v>
      </c>
      <c r="Z357">
        <v>10</v>
      </c>
      <c r="AA357" s="32">
        <f t="shared" si="53"/>
        <v>1</v>
      </c>
    </row>
    <row r="358" spans="1:27" x14ac:dyDescent="0.45">
      <c r="A358">
        <v>8</v>
      </c>
      <c r="B358" s="36">
        <f>step3_combined_data!S31</f>
        <v>10</v>
      </c>
      <c r="C358" s="32">
        <f t="shared" si="45"/>
        <v>2</v>
      </c>
      <c r="D358">
        <v>8</v>
      </c>
      <c r="E358" s="36">
        <f>step3_combined_data!X27</f>
        <v>10</v>
      </c>
      <c r="F358" s="32">
        <f t="shared" si="46"/>
        <v>2</v>
      </c>
      <c r="G358">
        <v>9</v>
      </c>
      <c r="H358">
        <v>9</v>
      </c>
      <c r="I358" s="32">
        <f t="shared" si="47"/>
        <v>0</v>
      </c>
      <c r="J358">
        <v>9</v>
      </c>
      <c r="K358">
        <v>9</v>
      </c>
      <c r="L358" s="32">
        <f t="shared" si="48"/>
        <v>0</v>
      </c>
      <c r="M358">
        <v>9</v>
      </c>
      <c r="N358">
        <v>9</v>
      </c>
      <c r="O358" s="32">
        <f t="shared" si="49"/>
        <v>0</v>
      </c>
      <c r="P358">
        <v>9</v>
      </c>
      <c r="Q358">
        <v>10</v>
      </c>
      <c r="R358" s="32">
        <f t="shared" si="50"/>
        <v>1</v>
      </c>
      <c r="S358">
        <v>9</v>
      </c>
      <c r="T358">
        <v>9</v>
      </c>
      <c r="U358" s="32">
        <f t="shared" si="51"/>
        <v>0</v>
      </c>
      <c r="V358">
        <v>9</v>
      </c>
      <c r="W358">
        <v>9</v>
      </c>
      <c r="X358" s="32">
        <f t="shared" si="52"/>
        <v>0</v>
      </c>
      <c r="Y358">
        <v>9</v>
      </c>
      <c r="Z358">
        <v>10</v>
      </c>
      <c r="AA358" s="32">
        <f t="shared" si="53"/>
        <v>1</v>
      </c>
    </row>
    <row r="359" spans="1:27" x14ac:dyDescent="0.45">
      <c r="A359">
        <v>8</v>
      </c>
      <c r="B359" s="36">
        <f>step3_combined_data!S32</f>
        <v>10</v>
      </c>
      <c r="C359" s="32">
        <f t="shared" si="45"/>
        <v>2</v>
      </c>
      <c r="D359">
        <v>9</v>
      </c>
      <c r="E359" s="36">
        <f>step3_combined_data!X30</f>
        <v>10</v>
      </c>
      <c r="F359" s="32">
        <f t="shared" si="46"/>
        <v>1</v>
      </c>
      <c r="G359">
        <v>9</v>
      </c>
      <c r="H359">
        <v>9</v>
      </c>
      <c r="I359" s="32">
        <f t="shared" si="47"/>
        <v>0</v>
      </c>
      <c r="J359">
        <v>9</v>
      </c>
      <c r="K359">
        <v>9</v>
      </c>
      <c r="L359" s="32">
        <f t="shared" si="48"/>
        <v>0</v>
      </c>
      <c r="M359">
        <v>9</v>
      </c>
      <c r="N359">
        <v>9</v>
      </c>
      <c r="O359" s="32">
        <f t="shared" si="49"/>
        <v>0</v>
      </c>
      <c r="P359">
        <v>9</v>
      </c>
      <c r="Q359">
        <v>10</v>
      </c>
      <c r="R359" s="32">
        <f t="shared" si="50"/>
        <v>1</v>
      </c>
      <c r="S359">
        <v>9</v>
      </c>
      <c r="T359">
        <v>9</v>
      </c>
      <c r="U359" s="32">
        <f t="shared" si="51"/>
        <v>0</v>
      </c>
      <c r="V359">
        <v>9</v>
      </c>
      <c r="W359">
        <v>9</v>
      </c>
      <c r="X359" s="32">
        <f t="shared" si="52"/>
        <v>0</v>
      </c>
      <c r="Y359">
        <v>9</v>
      </c>
      <c r="Z359">
        <v>10</v>
      </c>
      <c r="AA359" s="32">
        <f t="shared" si="53"/>
        <v>1</v>
      </c>
    </row>
    <row r="360" spans="1:27" x14ac:dyDescent="0.45">
      <c r="A360">
        <v>8</v>
      </c>
      <c r="B360" s="36">
        <f>step3_combined_data!S35</f>
        <v>10</v>
      </c>
      <c r="C360" s="32">
        <f t="shared" si="45"/>
        <v>2</v>
      </c>
      <c r="D360">
        <v>9</v>
      </c>
      <c r="E360" s="36">
        <f>step3_combined_data!X31</f>
        <v>10</v>
      </c>
      <c r="F360" s="32">
        <f t="shared" si="46"/>
        <v>1</v>
      </c>
      <c r="G360">
        <v>9</v>
      </c>
      <c r="H360">
        <v>9</v>
      </c>
      <c r="I360" s="32">
        <f t="shared" si="47"/>
        <v>0</v>
      </c>
      <c r="J360">
        <v>9</v>
      </c>
      <c r="K360">
        <v>9</v>
      </c>
      <c r="L360" s="32">
        <f t="shared" si="48"/>
        <v>0</v>
      </c>
      <c r="M360">
        <v>9</v>
      </c>
      <c r="N360">
        <v>9</v>
      </c>
      <c r="O360" s="32">
        <f t="shared" si="49"/>
        <v>0</v>
      </c>
      <c r="P360">
        <v>9</v>
      </c>
      <c r="Q360">
        <v>10</v>
      </c>
      <c r="R360" s="32">
        <f t="shared" si="50"/>
        <v>1</v>
      </c>
      <c r="S360">
        <v>9</v>
      </c>
      <c r="T360">
        <v>9</v>
      </c>
      <c r="U360" s="32">
        <f t="shared" si="51"/>
        <v>0</v>
      </c>
      <c r="V360">
        <v>9</v>
      </c>
      <c r="W360">
        <v>9</v>
      </c>
      <c r="X360" s="32">
        <f t="shared" si="52"/>
        <v>0</v>
      </c>
      <c r="Y360">
        <v>9</v>
      </c>
      <c r="Z360">
        <v>10</v>
      </c>
      <c r="AA360" s="32">
        <f t="shared" si="53"/>
        <v>1</v>
      </c>
    </row>
    <row r="361" spans="1:27" x14ac:dyDescent="0.45">
      <c r="A361">
        <v>8</v>
      </c>
      <c r="B361" s="36">
        <f>step3_combined_data!S36</f>
        <v>10</v>
      </c>
      <c r="C361" s="32">
        <f t="shared" si="45"/>
        <v>2</v>
      </c>
      <c r="D361">
        <v>9</v>
      </c>
      <c r="E361" s="36">
        <f>step3_combined_data!X35</f>
        <v>10</v>
      </c>
      <c r="F361" s="32">
        <f t="shared" si="46"/>
        <v>1</v>
      </c>
      <c r="G361">
        <v>9</v>
      </c>
      <c r="H361">
        <v>9</v>
      </c>
      <c r="I361" s="32">
        <f t="shared" si="47"/>
        <v>0</v>
      </c>
      <c r="J361">
        <v>9</v>
      </c>
      <c r="K361">
        <v>9</v>
      </c>
      <c r="L361" s="32">
        <f t="shared" si="48"/>
        <v>0</v>
      </c>
      <c r="M361">
        <v>9</v>
      </c>
      <c r="N361">
        <v>9</v>
      </c>
      <c r="O361" s="32">
        <f t="shared" si="49"/>
        <v>0</v>
      </c>
      <c r="P361">
        <v>9</v>
      </c>
      <c r="Q361">
        <v>10</v>
      </c>
      <c r="R361" s="32">
        <f t="shared" si="50"/>
        <v>1</v>
      </c>
      <c r="S361">
        <v>9</v>
      </c>
      <c r="T361">
        <v>9</v>
      </c>
      <c r="U361" s="32">
        <f t="shared" si="51"/>
        <v>0</v>
      </c>
      <c r="V361">
        <v>9</v>
      </c>
      <c r="W361">
        <v>9</v>
      </c>
      <c r="X361" s="32">
        <f t="shared" si="52"/>
        <v>0</v>
      </c>
      <c r="Y361">
        <v>9</v>
      </c>
      <c r="Z361">
        <v>10</v>
      </c>
      <c r="AA361" s="32">
        <f t="shared" si="53"/>
        <v>1</v>
      </c>
    </row>
    <row r="362" spans="1:27" x14ac:dyDescent="0.45">
      <c r="A362">
        <v>8</v>
      </c>
      <c r="B362" s="36">
        <f>step3_combined_data!S37</f>
        <v>10</v>
      </c>
      <c r="C362" s="32">
        <f t="shared" si="45"/>
        <v>2</v>
      </c>
      <c r="D362">
        <v>9</v>
      </c>
      <c r="E362" s="36">
        <f>step3_combined_data!X36</f>
        <v>10</v>
      </c>
      <c r="F362" s="32">
        <f t="shared" si="46"/>
        <v>1</v>
      </c>
      <c r="G362">
        <v>9</v>
      </c>
      <c r="H362">
        <v>9</v>
      </c>
      <c r="I362" s="32">
        <f t="shared" si="47"/>
        <v>0</v>
      </c>
      <c r="J362">
        <v>9</v>
      </c>
      <c r="K362">
        <v>9</v>
      </c>
      <c r="L362" s="32">
        <f t="shared" si="48"/>
        <v>0</v>
      </c>
      <c r="M362">
        <v>9</v>
      </c>
      <c r="N362">
        <v>9</v>
      </c>
      <c r="O362" s="32">
        <f t="shared" si="49"/>
        <v>0</v>
      </c>
      <c r="P362">
        <v>9</v>
      </c>
      <c r="Q362">
        <v>10</v>
      </c>
      <c r="R362" s="32">
        <f t="shared" si="50"/>
        <v>1</v>
      </c>
      <c r="S362">
        <v>9</v>
      </c>
      <c r="T362">
        <v>9</v>
      </c>
      <c r="U362" s="32">
        <f t="shared" si="51"/>
        <v>0</v>
      </c>
      <c r="V362">
        <v>9</v>
      </c>
      <c r="W362">
        <v>9</v>
      </c>
      <c r="X362" s="32">
        <f t="shared" si="52"/>
        <v>0</v>
      </c>
      <c r="Y362">
        <v>9</v>
      </c>
      <c r="Z362">
        <v>10</v>
      </c>
      <c r="AA362" s="32">
        <f t="shared" si="53"/>
        <v>1</v>
      </c>
    </row>
    <row r="363" spans="1:27" x14ac:dyDescent="0.45">
      <c r="A363">
        <v>8</v>
      </c>
      <c r="B363" s="36">
        <f>step3_combined_data!S38</f>
        <v>10</v>
      </c>
      <c r="C363" s="32">
        <f t="shared" si="45"/>
        <v>2</v>
      </c>
      <c r="D363">
        <v>9</v>
      </c>
      <c r="E363" s="36">
        <f>step3_combined_data!X38</f>
        <v>10</v>
      </c>
      <c r="F363" s="32">
        <f t="shared" si="46"/>
        <v>1</v>
      </c>
      <c r="G363">
        <v>9</v>
      </c>
      <c r="H363">
        <v>9</v>
      </c>
      <c r="I363" s="32">
        <f t="shared" si="47"/>
        <v>0</v>
      </c>
      <c r="J363">
        <v>9</v>
      </c>
      <c r="K363">
        <v>9</v>
      </c>
      <c r="L363" s="32">
        <f t="shared" si="48"/>
        <v>0</v>
      </c>
      <c r="M363">
        <v>9</v>
      </c>
      <c r="N363">
        <v>9</v>
      </c>
      <c r="O363" s="32">
        <f t="shared" si="49"/>
        <v>0</v>
      </c>
      <c r="P363">
        <v>9</v>
      </c>
      <c r="Q363">
        <v>10</v>
      </c>
      <c r="R363" s="32">
        <f t="shared" si="50"/>
        <v>1</v>
      </c>
      <c r="S363">
        <v>9</v>
      </c>
      <c r="T363">
        <v>9</v>
      </c>
      <c r="U363" s="32">
        <f t="shared" si="51"/>
        <v>0</v>
      </c>
      <c r="V363">
        <v>9</v>
      </c>
      <c r="W363">
        <v>9</v>
      </c>
      <c r="X363" s="32">
        <f t="shared" si="52"/>
        <v>0</v>
      </c>
      <c r="Y363">
        <v>9</v>
      </c>
      <c r="Z363">
        <v>10</v>
      </c>
      <c r="AA363" s="32">
        <f t="shared" si="53"/>
        <v>1</v>
      </c>
    </row>
    <row r="364" spans="1:27" x14ac:dyDescent="0.45">
      <c r="A364">
        <v>8</v>
      </c>
      <c r="B364" s="36">
        <f>step3_combined_data!S40</f>
        <v>10</v>
      </c>
      <c r="C364" s="32">
        <f t="shared" si="45"/>
        <v>2</v>
      </c>
      <c r="D364">
        <v>9</v>
      </c>
      <c r="E364" s="36">
        <f>step3_combined_data!X40</f>
        <v>10</v>
      </c>
      <c r="F364" s="32">
        <f t="shared" si="46"/>
        <v>1</v>
      </c>
      <c r="G364">
        <v>9</v>
      </c>
      <c r="H364">
        <v>9</v>
      </c>
      <c r="I364" s="32">
        <f t="shared" si="47"/>
        <v>0</v>
      </c>
      <c r="J364">
        <v>9</v>
      </c>
      <c r="K364">
        <v>10</v>
      </c>
      <c r="L364" s="32">
        <f t="shared" si="48"/>
        <v>1</v>
      </c>
      <c r="M364">
        <v>9</v>
      </c>
      <c r="N364">
        <v>10</v>
      </c>
      <c r="O364" s="32">
        <f t="shared" si="49"/>
        <v>1</v>
      </c>
      <c r="P364">
        <v>9</v>
      </c>
      <c r="Q364">
        <v>10</v>
      </c>
      <c r="R364" s="32">
        <f t="shared" si="50"/>
        <v>1</v>
      </c>
      <c r="S364">
        <v>9</v>
      </c>
      <c r="T364">
        <v>9</v>
      </c>
      <c r="U364" s="32">
        <f t="shared" si="51"/>
        <v>0</v>
      </c>
      <c r="V364">
        <v>9</v>
      </c>
      <c r="W364">
        <v>9</v>
      </c>
      <c r="X364" s="32">
        <f t="shared" si="52"/>
        <v>0</v>
      </c>
      <c r="Y364">
        <v>9</v>
      </c>
      <c r="Z364">
        <v>10</v>
      </c>
      <c r="AA364" s="32">
        <f t="shared" si="53"/>
        <v>1</v>
      </c>
    </row>
    <row r="365" spans="1:27" x14ac:dyDescent="0.45">
      <c r="A365">
        <v>8</v>
      </c>
      <c r="B365" s="36">
        <f>step3_combined_data!S43</f>
        <v>10</v>
      </c>
      <c r="C365" s="32">
        <f t="shared" si="45"/>
        <v>2</v>
      </c>
      <c r="D365">
        <v>9</v>
      </c>
      <c r="E365" s="36">
        <f>step3_combined_data!X43</f>
        <v>10</v>
      </c>
      <c r="F365" s="32">
        <f t="shared" si="46"/>
        <v>1</v>
      </c>
      <c r="G365">
        <v>9</v>
      </c>
      <c r="H365">
        <v>9</v>
      </c>
      <c r="I365" s="32">
        <f t="shared" si="47"/>
        <v>0</v>
      </c>
      <c r="J365">
        <v>9</v>
      </c>
      <c r="K365">
        <v>10</v>
      </c>
      <c r="L365" s="32">
        <f t="shared" si="48"/>
        <v>1</v>
      </c>
      <c r="M365">
        <v>9</v>
      </c>
      <c r="N365">
        <v>10</v>
      </c>
      <c r="O365" s="32">
        <f t="shared" si="49"/>
        <v>1</v>
      </c>
      <c r="P365">
        <v>9</v>
      </c>
      <c r="Q365">
        <v>10</v>
      </c>
      <c r="R365" s="32">
        <f t="shared" si="50"/>
        <v>1</v>
      </c>
      <c r="S365">
        <v>9</v>
      </c>
      <c r="T365">
        <v>9</v>
      </c>
      <c r="U365" s="32">
        <f t="shared" si="51"/>
        <v>0</v>
      </c>
      <c r="V365">
        <v>9</v>
      </c>
      <c r="W365">
        <v>9</v>
      </c>
      <c r="X365" s="32">
        <f t="shared" si="52"/>
        <v>0</v>
      </c>
      <c r="Y365">
        <v>9</v>
      </c>
      <c r="Z365">
        <v>10</v>
      </c>
      <c r="AA365" s="32">
        <f t="shared" si="53"/>
        <v>1</v>
      </c>
    </row>
    <row r="366" spans="1:27" x14ac:dyDescent="0.45">
      <c r="A366">
        <v>9</v>
      </c>
      <c r="B366" s="36">
        <f>step3_combined_data!S46</f>
        <v>10</v>
      </c>
      <c r="C366" s="32">
        <f t="shared" si="45"/>
        <v>1</v>
      </c>
      <c r="D366">
        <v>9</v>
      </c>
      <c r="E366" s="36">
        <f>step3_combined_data!X46</f>
        <v>10</v>
      </c>
      <c r="F366" s="32">
        <f t="shared" si="46"/>
        <v>1</v>
      </c>
      <c r="G366">
        <v>9</v>
      </c>
      <c r="H366">
        <v>9</v>
      </c>
      <c r="I366" s="32">
        <f t="shared" si="47"/>
        <v>0</v>
      </c>
      <c r="J366">
        <v>9</v>
      </c>
      <c r="K366">
        <v>10</v>
      </c>
      <c r="L366" s="32">
        <f t="shared" si="48"/>
        <v>1</v>
      </c>
      <c r="M366">
        <v>9</v>
      </c>
      <c r="N366">
        <v>10</v>
      </c>
      <c r="O366" s="32">
        <f t="shared" si="49"/>
        <v>1</v>
      </c>
      <c r="P366">
        <v>9</v>
      </c>
      <c r="Q366">
        <v>10</v>
      </c>
      <c r="R366" s="32">
        <f t="shared" si="50"/>
        <v>1</v>
      </c>
      <c r="S366">
        <v>9</v>
      </c>
      <c r="T366">
        <v>9</v>
      </c>
      <c r="U366" s="32">
        <f t="shared" si="51"/>
        <v>0</v>
      </c>
      <c r="V366">
        <v>9</v>
      </c>
      <c r="W366">
        <v>9</v>
      </c>
      <c r="X366" s="32">
        <f t="shared" si="52"/>
        <v>0</v>
      </c>
      <c r="Y366">
        <v>9</v>
      </c>
      <c r="Z366">
        <v>10</v>
      </c>
      <c r="AA366" s="32">
        <f t="shared" si="53"/>
        <v>1</v>
      </c>
    </row>
    <row r="367" spans="1:27" x14ac:dyDescent="0.45">
      <c r="A367">
        <v>9</v>
      </c>
      <c r="B367" s="36">
        <f>step3_combined_data!S49</f>
        <v>10</v>
      </c>
      <c r="C367" s="32">
        <f t="shared" si="45"/>
        <v>1</v>
      </c>
      <c r="D367">
        <v>9</v>
      </c>
      <c r="E367" s="36">
        <f>step3_combined_data!X49</f>
        <v>10</v>
      </c>
      <c r="F367" s="32">
        <f t="shared" si="46"/>
        <v>1</v>
      </c>
      <c r="G367">
        <v>9</v>
      </c>
      <c r="H367">
        <v>9</v>
      </c>
      <c r="I367" s="32">
        <f t="shared" si="47"/>
        <v>0</v>
      </c>
      <c r="J367">
        <v>9</v>
      </c>
      <c r="K367">
        <v>10</v>
      </c>
      <c r="L367" s="32">
        <f t="shared" si="48"/>
        <v>1</v>
      </c>
      <c r="M367">
        <v>9</v>
      </c>
      <c r="N367">
        <v>10</v>
      </c>
      <c r="O367" s="32">
        <f t="shared" si="49"/>
        <v>1</v>
      </c>
      <c r="P367">
        <v>9</v>
      </c>
      <c r="Q367">
        <v>10</v>
      </c>
      <c r="R367" s="32">
        <f t="shared" si="50"/>
        <v>1</v>
      </c>
      <c r="S367">
        <v>9</v>
      </c>
      <c r="T367">
        <v>10</v>
      </c>
      <c r="U367" s="32">
        <f t="shared" si="51"/>
        <v>1</v>
      </c>
      <c r="V367">
        <v>9</v>
      </c>
      <c r="W367">
        <v>9</v>
      </c>
      <c r="X367" s="32">
        <f t="shared" si="52"/>
        <v>0</v>
      </c>
      <c r="Y367">
        <v>9</v>
      </c>
      <c r="Z367">
        <v>10</v>
      </c>
      <c r="AA367" s="32">
        <f t="shared" si="53"/>
        <v>1</v>
      </c>
    </row>
    <row r="368" spans="1:27" x14ac:dyDescent="0.45">
      <c r="A368">
        <v>9</v>
      </c>
      <c r="B368" s="36">
        <f>step3_combined_data!S51</f>
        <v>10</v>
      </c>
      <c r="C368" s="32">
        <f t="shared" si="45"/>
        <v>1</v>
      </c>
      <c r="D368">
        <v>9</v>
      </c>
      <c r="E368" s="36">
        <f>step3_combined_data!X51</f>
        <v>10</v>
      </c>
      <c r="F368" s="32">
        <f t="shared" si="46"/>
        <v>1</v>
      </c>
      <c r="G368">
        <v>9</v>
      </c>
      <c r="H368">
        <v>9</v>
      </c>
      <c r="I368" s="32">
        <f t="shared" si="47"/>
        <v>0</v>
      </c>
      <c r="J368">
        <v>9</v>
      </c>
      <c r="K368">
        <v>10</v>
      </c>
      <c r="L368" s="32">
        <f t="shared" si="48"/>
        <v>1</v>
      </c>
      <c r="M368">
        <v>9</v>
      </c>
      <c r="N368">
        <v>10</v>
      </c>
      <c r="O368" s="32">
        <f t="shared" si="49"/>
        <v>1</v>
      </c>
      <c r="P368">
        <v>9</v>
      </c>
      <c r="Q368">
        <v>10</v>
      </c>
      <c r="R368" s="32">
        <f t="shared" si="50"/>
        <v>1</v>
      </c>
      <c r="S368">
        <v>9</v>
      </c>
      <c r="T368">
        <v>10</v>
      </c>
      <c r="U368" s="32">
        <f t="shared" si="51"/>
        <v>1</v>
      </c>
      <c r="V368">
        <v>9</v>
      </c>
      <c r="W368">
        <v>9</v>
      </c>
      <c r="X368" s="32">
        <f t="shared" si="52"/>
        <v>0</v>
      </c>
      <c r="Y368">
        <v>9</v>
      </c>
      <c r="Z368">
        <v>10</v>
      </c>
      <c r="AA368" s="32">
        <f t="shared" si="53"/>
        <v>1</v>
      </c>
    </row>
    <row r="369" spans="1:27" x14ac:dyDescent="0.45">
      <c r="A369">
        <v>9</v>
      </c>
      <c r="B369" s="36">
        <f>step3_combined_data!S52</f>
        <v>10</v>
      </c>
      <c r="C369" s="32">
        <f t="shared" si="45"/>
        <v>1</v>
      </c>
      <c r="D369">
        <v>9</v>
      </c>
      <c r="E369" s="36">
        <f>step3_combined_data!X52</f>
        <v>10</v>
      </c>
      <c r="F369" s="32">
        <f t="shared" si="46"/>
        <v>1</v>
      </c>
      <c r="G369">
        <v>9</v>
      </c>
      <c r="H369">
        <v>10</v>
      </c>
      <c r="I369" s="32">
        <f t="shared" si="47"/>
        <v>1</v>
      </c>
      <c r="J369">
        <v>9</v>
      </c>
      <c r="K369">
        <v>10</v>
      </c>
      <c r="L369" s="32">
        <f t="shared" si="48"/>
        <v>1</v>
      </c>
      <c r="M369">
        <v>9</v>
      </c>
      <c r="N369">
        <v>10</v>
      </c>
      <c r="O369" s="32">
        <f t="shared" si="49"/>
        <v>1</v>
      </c>
      <c r="P369">
        <v>9</v>
      </c>
      <c r="Q369">
        <v>10</v>
      </c>
      <c r="R369" s="32">
        <f t="shared" si="50"/>
        <v>1</v>
      </c>
      <c r="S369">
        <v>9</v>
      </c>
      <c r="T369">
        <v>10</v>
      </c>
      <c r="U369" s="32">
        <f t="shared" si="51"/>
        <v>1</v>
      </c>
      <c r="V369">
        <v>9</v>
      </c>
      <c r="W369">
        <v>9</v>
      </c>
      <c r="X369" s="32">
        <f t="shared" si="52"/>
        <v>0</v>
      </c>
      <c r="Y369">
        <v>9</v>
      </c>
      <c r="Z369">
        <v>10</v>
      </c>
      <c r="AA369" s="32">
        <f t="shared" si="53"/>
        <v>1</v>
      </c>
    </row>
    <row r="370" spans="1:27" x14ac:dyDescent="0.45">
      <c r="A370">
        <v>9</v>
      </c>
      <c r="B370" s="36">
        <f>step3_combined_data!S53</f>
        <v>10</v>
      </c>
      <c r="C370" s="32">
        <f t="shared" si="45"/>
        <v>1</v>
      </c>
      <c r="D370">
        <v>9</v>
      </c>
      <c r="E370" s="36">
        <f>step3_combined_data!X53</f>
        <v>10</v>
      </c>
      <c r="F370" s="32">
        <f t="shared" si="46"/>
        <v>1</v>
      </c>
      <c r="G370">
        <v>9</v>
      </c>
      <c r="H370">
        <v>10</v>
      </c>
      <c r="I370" s="32">
        <f t="shared" si="47"/>
        <v>1</v>
      </c>
      <c r="J370">
        <v>9</v>
      </c>
      <c r="K370">
        <v>10</v>
      </c>
      <c r="L370" s="32">
        <f t="shared" si="48"/>
        <v>1</v>
      </c>
      <c r="M370">
        <v>9</v>
      </c>
      <c r="N370">
        <v>10</v>
      </c>
      <c r="O370" s="32">
        <f t="shared" si="49"/>
        <v>1</v>
      </c>
      <c r="P370">
        <v>9</v>
      </c>
      <c r="Q370">
        <v>10</v>
      </c>
      <c r="R370" s="32">
        <f t="shared" si="50"/>
        <v>1</v>
      </c>
      <c r="S370">
        <v>9</v>
      </c>
      <c r="T370">
        <v>10</v>
      </c>
      <c r="U370" s="32">
        <f t="shared" si="51"/>
        <v>1</v>
      </c>
      <c r="V370">
        <v>9</v>
      </c>
      <c r="W370">
        <v>10</v>
      </c>
      <c r="X370" s="32">
        <f t="shared" si="52"/>
        <v>1</v>
      </c>
      <c r="Y370">
        <v>9</v>
      </c>
      <c r="Z370">
        <v>10</v>
      </c>
      <c r="AA370" s="32">
        <f t="shared" si="53"/>
        <v>1</v>
      </c>
    </row>
    <row r="371" spans="1:27" x14ac:dyDescent="0.45">
      <c r="A371">
        <v>9</v>
      </c>
      <c r="B371" s="36">
        <f>step3_combined_data!S54</f>
        <v>10</v>
      </c>
      <c r="C371" s="32">
        <f t="shared" si="45"/>
        <v>1</v>
      </c>
      <c r="D371">
        <v>9</v>
      </c>
      <c r="E371" s="36">
        <f>step3_combined_data!X54</f>
        <v>10</v>
      </c>
      <c r="F371" s="32">
        <f t="shared" si="46"/>
        <v>1</v>
      </c>
      <c r="G371">
        <v>9</v>
      </c>
      <c r="H371">
        <v>10</v>
      </c>
      <c r="I371" s="32">
        <f t="shared" si="47"/>
        <v>1</v>
      </c>
      <c r="J371">
        <v>9</v>
      </c>
      <c r="K371">
        <v>10</v>
      </c>
      <c r="L371" s="32">
        <f t="shared" si="48"/>
        <v>1</v>
      </c>
      <c r="M371">
        <v>9</v>
      </c>
      <c r="N371">
        <v>10</v>
      </c>
      <c r="O371" s="32">
        <f t="shared" si="49"/>
        <v>1</v>
      </c>
      <c r="P371">
        <v>9</v>
      </c>
      <c r="Q371">
        <v>10</v>
      </c>
      <c r="R371" s="32">
        <f t="shared" si="50"/>
        <v>1</v>
      </c>
      <c r="S371">
        <v>9</v>
      </c>
      <c r="T371">
        <v>10</v>
      </c>
      <c r="U371" s="32">
        <f t="shared" si="51"/>
        <v>1</v>
      </c>
      <c r="V371">
        <v>9</v>
      </c>
      <c r="W371">
        <v>10</v>
      </c>
      <c r="X371" s="32">
        <f t="shared" si="52"/>
        <v>1</v>
      </c>
      <c r="Y371">
        <v>9</v>
      </c>
      <c r="Z371">
        <v>10</v>
      </c>
      <c r="AA371" s="32">
        <f t="shared" si="53"/>
        <v>1</v>
      </c>
    </row>
    <row r="372" spans="1:27" x14ac:dyDescent="0.45">
      <c r="A372">
        <v>9</v>
      </c>
      <c r="B372" s="36">
        <f>step3_combined_data!S56</f>
        <v>10</v>
      </c>
      <c r="C372" s="32">
        <f t="shared" si="45"/>
        <v>1</v>
      </c>
      <c r="D372">
        <v>9</v>
      </c>
      <c r="E372" s="36">
        <f>step3_combined_data!X57</f>
        <v>10</v>
      </c>
      <c r="F372" s="32">
        <f t="shared" si="46"/>
        <v>1</v>
      </c>
      <c r="G372">
        <v>9</v>
      </c>
      <c r="H372">
        <v>10</v>
      </c>
      <c r="I372" s="32">
        <f t="shared" si="47"/>
        <v>1</v>
      </c>
      <c r="J372">
        <v>9</v>
      </c>
      <c r="K372">
        <v>10</v>
      </c>
      <c r="L372" s="32">
        <f t="shared" si="48"/>
        <v>1</v>
      </c>
      <c r="M372">
        <v>9</v>
      </c>
      <c r="N372">
        <v>10</v>
      </c>
      <c r="O372" s="32">
        <f t="shared" si="49"/>
        <v>1</v>
      </c>
      <c r="P372">
        <v>9</v>
      </c>
      <c r="Q372">
        <v>10</v>
      </c>
      <c r="R372" s="32">
        <f t="shared" si="50"/>
        <v>1</v>
      </c>
      <c r="S372">
        <v>9</v>
      </c>
      <c r="T372">
        <v>10</v>
      </c>
      <c r="U372" s="32">
        <f t="shared" si="51"/>
        <v>1</v>
      </c>
      <c r="V372">
        <v>9</v>
      </c>
      <c r="W372">
        <v>10</v>
      </c>
      <c r="X372" s="32">
        <f t="shared" si="52"/>
        <v>1</v>
      </c>
      <c r="Y372">
        <v>9</v>
      </c>
      <c r="Z372">
        <v>10</v>
      </c>
      <c r="AA372" s="32">
        <f t="shared" si="53"/>
        <v>1</v>
      </c>
    </row>
    <row r="373" spans="1:27" x14ac:dyDescent="0.45">
      <c r="A373">
        <v>9</v>
      </c>
      <c r="B373" s="36">
        <f>step3_combined_data!S57</f>
        <v>10</v>
      </c>
      <c r="C373" s="32">
        <f t="shared" si="45"/>
        <v>1</v>
      </c>
      <c r="D373">
        <v>9</v>
      </c>
      <c r="E373" s="36">
        <f>step3_combined_data!X58</f>
        <v>10</v>
      </c>
      <c r="F373" s="32">
        <f t="shared" si="46"/>
        <v>1</v>
      </c>
      <c r="G373">
        <v>9</v>
      </c>
      <c r="H373">
        <v>10</v>
      </c>
      <c r="I373" s="32">
        <f t="shared" si="47"/>
        <v>1</v>
      </c>
      <c r="J373">
        <v>9</v>
      </c>
      <c r="K373">
        <v>10</v>
      </c>
      <c r="L373" s="32">
        <f t="shared" si="48"/>
        <v>1</v>
      </c>
      <c r="M373">
        <v>9</v>
      </c>
      <c r="N373">
        <v>10</v>
      </c>
      <c r="O373" s="32">
        <f t="shared" si="49"/>
        <v>1</v>
      </c>
      <c r="P373">
        <v>9</v>
      </c>
      <c r="Q373">
        <v>10</v>
      </c>
      <c r="R373" s="32">
        <f t="shared" si="50"/>
        <v>1</v>
      </c>
      <c r="S373">
        <v>9</v>
      </c>
      <c r="T373">
        <v>10</v>
      </c>
      <c r="U373" s="32">
        <f t="shared" si="51"/>
        <v>1</v>
      </c>
      <c r="V373">
        <v>9</v>
      </c>
      <c r="W373">
        <v>10</v>
      </c>
      <c r="X373" s="32">
        <f t="shared" si="52"/>
        <v>1</v>
      </c>
      <c r="Y373">
        <v>9</v>
      </c>
      <c r="Z373">
        <v>10</v>
      </c>
      <c r="AA373" s="32">
        <f t="shared" si="53"/>
        <v>1</v>
      </c>
    </row>
    <row r="374" spans="1:27" x14ac:dyDescent="0.45">
      <c r="A374">
        <v>9</v>
      </c>
      <c r="B374" s="36">
        <f>step3_combined_data!S58</f>
        <v>10</v>
      </c>
      <c r="C374" s="32">
        <f t="shared" si="45"/>
        <v>1</v>
      </c>
      <c r="D374">
        <v>9</v>
      </c>
      <c r="E374" s="36">
        <f>step3_combined_data!X65</f>
        <v>10</v>
      </c>
      <c r="F374" s="32">
        <f t="shared" si="46"/>
        <v>1</v>
      </c>
      <c r="G374">
        <v>9</v>
      </c>
      <c r="H374">
        <v>10</v>
      </c>
      <c r="I374" s="32">
        <f t="shared" si="47"/>
        <v>1</v>
      </c>
      <c r="J374">
        <v>9</v>
      </c>
      <c r="K374">
        <v>10</v>
      </c>
      <c r="L374" s="32">
        <f t="shared" si="48"/>
        <v>1</v>
      </c>
      <c r="M374">
        <v>9</v>
      </c>
      <c r="N374">
        <v>10</v>
      </c>
      <c r="O374" s="32">
        <f t="shared" si="49"/>
        <v>1</v>
      </c>
      <c r="P374">
        <v>9</v>
      </c>
      <c r="Q374">
        <v>10</v>
      </c>
      <c r="R374" s="32">
        <f t="shared" si="50"/>
        <v>1</v>
      </c>
      <c r="S374">
        <v>9</v>
      </c>
      <c r="T374">
        <v>10</v>
      </c>
      <c r="U374" s="32">
        <f t="shared" si="51"/>
        <v>1</v>
      </c>
      <c r="V374">
        <v>9</v>
      </c>
      <c r="W374">
        <v>10</v>
      </c>
      <c r="X374" s="32">
        <f t="shared" si="52"/>
        <v>1</v>
      </c>
      <c r="Y374">
        <v>9</v>
      </c>
      <c r="Z374">
        <v>10</v>
      </c>
      <c r="AA374" s="32">
        <f t="shared" si="53"/>
        <v>1</v>
      </c>
    </row>
    <row r="375" spans="1:27" x14ac:dyDescent="0.45">
      <c r="A375">
        <v>9</v>
      </c>
      <c r="B375" s="36">
        <f>step3_combined_data!S66</f>
        <v>10</v>
      </c>
      <c r="C375" s="32">
        <f t="shared" si="45"/>
        <v>1</v>
      </c>
      <c r="D375">
        <v>9</v>
      </c>
      <c r="E375" s="36">
        <f>step3_combined_data!X66</f>
        <v>10</v>
      </c>
      <c r="F375" s="32">
        <f t="shared" si="46"/>
        <v>1</v>
      </c>
      <c r="G375">
        <v>9</v>
      </c>
      <c r="H375">
        <v>10</v>
      </c>
      <c r="I375" s="32">
        <f t="shared" si="47"/>
        <v>1</v>
      </c>
      <c r="J375">
        <v>9</v>
      </c>
      <c r="K375">
        <v>10</v>
      </c>
      <c r="L375" s="32">
        <f t="shared" si="48"/>
        <v>1</v>
      </c>
      <c r="M375">
        <v>9</v>
      </c>
      <c r="N375">
        <v>10</v>
      </c>
      <c r="O375" s="32">
        <f t="shared" si="49"/>
        <v>1</v>
      </c>
      <c r="P375">
        <v>9</v>
      </c>
      <c r="Q375">
        <v>10</v>
      </c>
      <c r="R375" s="32">
        <f t="shared" si="50"/>
        <v>1</v>
      </c>
      <c r="S375">
        <v>9</v>
      </c>
      <c r="T375">
        <v>10</v>
      </c>
      <c r="U375" s="32">
        <f t="shared" si="51"/>
        <v>1</v>
      </c>
      <c r="V375">
        <v>9</v>
      </c>
      <c r="W375">
        <v>10</v>
      </c>
      <c r="X375" s="32">
        <f t="shared" si="52"/>
        <v>1</v>
      </c>
      <c r="Y375">
        <v>9</v>
      </c>
      <c r="Z375">
        <v>10</v>
      </c>
      <c r="AA375" s="32">
        <f t="shared" si="53"/>
        <v>1</v>
      </c>
    </row>
    <row r="376" spans="1:27" x14ac:dyDescent="0.45">
      <c r="A376">
        <v>9</v>
      </c>
      <c r="B376" s="36">
        <f>step3_combined_data!S84</f>
        <v>10</v>
      </c>
      <c r="C376" s="32">
        <f t="shared" si="45"/>
        <v>1</v>
      </c>
      <c r="D376">
        <v>9</v>
      </c>
      <c r="E376" s="36">
        <f>step3_combined_data!X75</f>
        <v>10</v>
      </c>
      <c r="F376" s="32">
        <f t="shared" si="46"/>
        <v>1</v>
      </c>
      <c r="G376">
        <v>9</v>
      </c>
      <c r="H376">
        <v>10</v>
      </c>
      <c r="I376" s="32">
        <f t="shared" si="47"/>
        <v>1</v>
      </c>
      <c r="J376">
        <v>9</v>
      </c>
      <c r="K376">
        <v>10</v>
      </c>
      <c r="L376" s="32">
        <f t="shared" si="48"/>
        <v>1</v>
      </c>
      <c r="M376">
        <v>9</v>
      </c>
      <c r="N376">
        <v>10</v>
      </c>
      <c r="O376" s="32">
        <f t="shared" si="49"/>
        <v>1</v>
      </c>
      <c r="P376">
        <v>9</v>
      </c>
      <c r="Q376">
        <v>10</v>
      </c>
      <c r="R376" s="32">
        <f t="shared" si="50"/>
        <v>1</v>
      </c>
      <c r="S376">
        <v>9</v>
      </c>
      <c r="T376">
        <v>10</v>
      </c>
      <c r="U376" s="32">
        <f t="shared" si="51"/>
        <v>1</v>
      </c>
      <c r="V376">
        <v>9</v>
      </c>
      <c r="W376">
        <v>10</v>
      </c>
      <c r="X376" s="32">
        <f t="shared" si="52"/>
        <v>1</v>
      </c>
      <c r="Y376">
        <v>9</v>
      </c>
      <c r="Z376">
        <v>10</v>
      </c>
      <c r="AA376" s="32">
        <f t="shared" si="53"/>
        <v>1</v>
      </c>
    </row>
    <row r="377" spans="1:27" x14ac:dyDescent="0.45">
      <c r="A377">
        <v>9</v>
      </c>
      <c r="B377" s="36">
        <f>step3_combined_data!S88</f>
        <v>10</v>
      </c>
      <c r="C377" s="32">
        <f t="shared" si="45"/>
        <v>1</v>
      </c>
      <c r="D377">
        <v>9</v>
      </c>
      <c r="E377" s="36">
        <f>step3_combined_data!X89</f>
        <v>10</v>
      </c>
      <c r="F377" s="32">
        <f t="shared" si="46"/>
        <v>1</v>
      </c>
      <c r="G377">
        <v>9</v>
      </c>
      <c r="H377">
        <v>10</v>
      </c>
      <c r="I377" s="32">
        <f t="shared" si="47"/>
        <v>1</v>
      </c>
      <c r="J377">
        <v>10</v>
      </c>
      <c r="K377">
        <v>10</v>
      </c>
      <c r="L377" s="32">
        <f t="shared" si="48"/>
        <v>0</v>
      </c>
      <c r="M377">
        <v>9</v>
      </c>
      <c r="N377">
        <v>10</v>
      </c>
      <c r="O377" s="32">
        <f t="shared" si="49"/>
        <v>1</v>
      </c>
      <c r="P377">
        <v>9</v>
      </c>
      <c r="Q377">
        <v>10</v>
      </c>
      <c r="R377" s="32">
        <f t="shared" si="50"/>
        <v>1</v>
      </c>
      <c r="S377">
        <v>9</v>
      </c>
      <c r="T377">
        <v>10</v>
      </c>
      <c r="U377" s="32">
        <f t="shared" si="51"/>
        <v>1</v>
      </c>
      <c r="V377">
        <v>9</v>
      </c>
      <c r="W377">
        <v>10</v>
      </c>
      <c r="X377" s="32">
        <f t="shared" si="52"/>
        <v>1</v>
      </c>
      <c r="Y377">
        <v>9</v>
      </c>
      <c r="Z377">
        <v>10</v>
      </c>
      <c r="AA377" s="32">
        <f t="shared" si="53"/>
        <v>1</v>
      </c>
    </row>
    <row r="378" spans="1:27" x14ac:dyDescent="0.45">
      <c r="A378">
        <v>9</v>
      </c>
      <c r="B378" s="36">
        <f>step3_combined_data!S89</f>
        <v>10</v>
      </c>
      <c r="C378" s="32">
        <f t="shared" si="45"/>
        <v>1</v>
      </c>
      <c r="D378">
        <v>9</v>
      </c>
      <c r="E378" s="36">
        <f>step3_combined_data!X91</f>
        <v>10</v>
      </c>
      <c r="F378" s="32">
        <f t="shared" si="46"/>
        <v>1</v>
      </c>
      <c r="G378">
        <v>9</v>
      </c>
      <c r="H378">
        <v>10</v>
      </c>
      <c r="I378" s="32">
        <f t="shared" si="47"/>
        <v>1</v>
      </c>
      <c r="J378">
        <v>10</v>
      </c>
      <c r="K378">
        <v>10</v>
      </c>
      <c r="L378" s="32">
        <f t="shared" si="48"/>
        <v>0</v>
      </c>
      <c r="M378">
        <v>9</v>
      </c>
      <c r="N378">
        <v>10</v>
      </c>
      <c r="O378" s="32">
        <f t="shared" si="49"/>
        <v>1</v>
      </c>
      <c r="P378">
        <v>9</v>
      </c>
      <c r="Q378">
        <v>10</v>
      </c>
      <c r="R378" s="32">
        <f t="shared" si="50"/>
        <v>1</v>
      </c>
      <c r="S378">
        <v>9</v>
      </c>
      <c r="T378">
        <v>10</v>
      </c>
      <c r="U378" s="32">
        <f t="shared" si="51"/>
        <v>1</v>
      </c>
      <c r="V378">
        <v>9</v>
      </c>
      <c r="W378">
        <v>10</v>
      </c>
      <c r="X378" s="32">
        <f t="shared" si="52"/>
        <v>1</v>
      </c>
      <c r="Y378">
        <v>9</v>
      </c>
      <c r="Z378">
        <v>10</v>
      </c>
      <c r="AA378" s="32">
        <f t="shared" si="53"/>
        <v>1</v>
      </c>
    </row>
    <row r="379" spans="1:27" x14ac:dyDescent="0.45">
      <c r="A379">
        <v>9</v>
      </c>
      <c r="B379" s="36">
        <f>step3_combined_data!S90</f>
        <v>10</v>
      </c>
      <c r="C379" s="32">
        <f t="shared" si="45"/>
        <v>1</v>
      </c>
      <c r="D379">
        <v>9</v>
      </c>
      <c r="E379" s="36">
        <f>step3_combined_data!X93</f>
        <v>10</v>
      </c>
      <c r="F379" s="32">
        <f t="shared" si="46"/>
        <v>1</v>
      </c>
      <c r="G379">
        <v>9</v>
      </c>
      <c r="H379">
        <v>10</v>
      </c>
      <c r="I379" s="32">
        <f t="shared" si="47"/>
        <v>1</v>
      </c>
      <c r="J379">
        <v>10</v>
      </c>
      <c r="K379">
        <v>10</v>
      </c>
      <c r="L379" s="32">
        <f t="shared" si="48"/>
        <v>0</v>
      </c>
      <c r="M379">
        <v>9</v>
      </c>
      <c r="N379">
        <v>10</v>
      </c>
      <c r="O379" s="32">
        <f t="shared" si="49"/>
        <v>1</v>
      </c>
      <c r="P379">
        <v>9</v>
      </c>
      <c r="Q379">
        <v>10</v>
      </c>
      <c r="R379" s="32">
        <f t="shared" si="50"/>
        <v>1</v>
      </c>
      <c r="S379">
        <v>9</v>
      </c>
      <c r="T379">
        <v>10</v>
      </c>
      <c r="U379" s="32">
        <f t="shared" si="51"/>
        <v>1</v>
      </c>
      <c r="V379">
        <v>9</v>
      </c>
      <c r="W379">
        <v>10</v>
      </c>
      <c r="X379" s="32">
        <f t="shared" si="52"/>
        <v>1</v>
      </c>
      <c r="Y379">
        <v>9</v>
      </c>
      <c r="Z379">
        <v>10</v>
      </c>
      <c r="AA379" s="32">
        <f t="shared" si="53"/>
        <v>1</v>
      </c>
    </row>
    <row r="380" spans="1:27" x14ac:dyDescent="0.45">
      <c r="A380">
        <v>9</v>
      </c>
      <c r="B380" s="36">
        <f>step3_combined_data!S92</f>
        <v>10</v>
      </c>
      <c r="C380" s="32">
        <f t="shared" si="45"/>
        <v>1</v>
      </c>
      <c r="D380">
        <v>9</v>
      </c>
      <c r="E380" s="36">
        <f>step3_combined_data!X106</f>
        <v>10</v>
      </c>
      <c r="F380" s="32">
        <f t="shared" si="46"/>
        <v>1</v>
      </c>
      <c r="G380">
        <v>9</v>
      </c>
      <c r="H380">
        <v>10</v>
      </c>
      <c r="I380" s="32">
        <f t="shared" si="47"/>
        <v>1</v>
      </c>
      <c r="J380">
        <v>10</v>
      </c>
      <c r="K380">
        <v>10</v>
      </c>
      <c r="L380" s="32">
        <f t="shared" si="48"/>
        <v>0</v>
      </c>
      <c r="M380">
        <v>9</v>
      </c>
      <c r="N380">
        <v>10</v>
      </c>
      <c r="O380" s="32">
        <f t="shared" si="49"/>
        <v>1</v>
      </c>
      <c r="P380">
        <v>9</v>
      </c>
      <c r="Q380">
        <v>10</v>
      </c>
      <c r="R380" s="32">
        <f t="shared" si="50"/>
        <v>1</v>
      </c>
      <c r="S380">
        <v>9</v>
      </c>
      <c r="T380">
        <v>10</v>
      </c>
      <c r="U380" s="32">
        <f t="shared" si="51"/>
        <v>1</v>
      </c>
      <c r="V380">
        <v>9</v>
      </c>
      <c r="W380">
        <v>10</v>
      </c>
      <c r="X380" s="32">
        <f t="shared" si="52"/>
        <v>1</v>
      </c>
      <c r="Y380">
        <v>9</v>
      </c>
      <c r="Z380">
        <v>10</v>
      </c>
      <c r="AA380" s="32">
        <f t="shared" si="53"/>
        <v>1</v>
      </c>
    </row>
    <row r="381" spans="1:27" x14ac:dyDescent="0.45">
      <c r="A381">
        <v>9</v>
      </c>
      <c r="B381" s="36">
        <f>step3_combined_data!S93</f>
        <v>10</v>
      </c>
      <c r="C381" s="32">
        <f t="shared" si="45"/>
        <v>1</v>
      </c>
      <c r="D381">
        <v>9</v>
      </c>
      <c r="E381" s="36">
        <f>step3_combined_data!X109</f>
        <v>10</v>
      </c>
      <c r="F381" s="32">
        <f t="shared" si="46"/>
        <v>1</v>
      </c>
      <c r="G381">
        <v>9</v>
      </c>
      <c r="H381">
        <v>10</v>
      </c>
      <c r="I381" s="32">
        <f t="shared" si="47"/>
        <v>1</v>
      </c>
      <c r="J381">
        <v>10</v>
      </c>
      <c r="K381">
        <v>10</v>
      </c>
      <c r="L381" s="32">
        <f t="shared" si="48"/>
        <v>0</v>
      </c>
      <c r="M381">
        <v>9</v>
      </c>
      <c r="N381">
        <v>10</v>
      </c>
      <c r="O381" s="32">
        <f t="shared" si="49"/>
        <v>1</v>
      </c>
      <c r="P381">
        <v>9</v>
      </c>
      <c r="Q381">
        <v>10</v>
      </c>
      <c r="R381" s="32">
        <f t="shared" si="50"/>
        <v>1</v>
      </c>
      <c r="S381">
        <v>9</v>
      </c>
      <c r="T381">
        <v>10</v>
      </c>
      <c r="U381" s="32">
        <f t="shared" si="51"/>
        <v>1</v>
      </c>
      <c r="V381">
        <v>9</v>
      </c>
      <c r="W381">
        <v>10</v>
      </c>
      <c r="X381" s="32">
        <f t="shared" si="52"/>
        <v>1</v>
      </c>
      <c r="Y381">
        <v>9</v>
      </c>
      <c r="Z381">
        <v>10</v>
      </c>
      <c r="AA381" s="32">
        <f t="shared" si="53"/>
        <v>1</v>
      </c>
    </row>
    <row r="382" spans="1:27" x14ac:dyDescent="0.45">
      <c r="A382">
        <v>9</v>
      </c>
      <c r="B382" s="36">
        <f>step3_combined_data!S107</f>
        <v>10</v>
      </c>
      <c r="C382" s="32">
        <f t="shared" si="45"/>
        <v>1</v>
      </c>
      <c r="D382">
        <v>9</v>
      </c>
      <c r="E382" s="36">
        <f>step3_combined_data!X110</f>
        <v>10</v>
      </c>
      <c r="F382" s="32">
        <f t="shared" si="46"/>
        <v>1</v>
      </c>
      <c r="G382">
        <v>9</v>
      </c>
      <c r="H382">
        <v>10</v>
      </c>
      <c r="I382" s="32">
        <f t="shared" si="47"/>
        <v>1</v>
      </c>
      <c r="J382">
        <v>10</v>
      </c>
      <c r="K382">
        <v>10</v>
      </c>
      <c r="L382" s="32">
        <f t="shared" si="48"/>
        <v>0</v>
      </c>
      <c r="M382">
        <v>9</v>
      </c>
      <c r="N382">
        <v>10</v>
      </c>
      <c r="O382" s="32">
        <f t="shared" si="49"/>
        <v>1</v>
      </c>
      <c r="P382">
        <v>9</v>
      </c>
      <c r="Q382">
        <v>10</v>
      </c>
      <c r="R382" s="32">
        <f t="shared" si="50"/>
        <v>1</v>
      </c>
      <c r="S382">
        <v>9</v>
      </c>
      <c r="T382">
        <v>10</v>
      </c>
      <c r="U382" s="32">
        <f t="shared" si="51"/>
        <v>1</v>
      </c>
      <c r="V382">
        <v>9</v>
      </c>
      <c r="W382">
        <v>10</v>
      </c>
      <c r="X382" s="32">
        <f t="shared" si="52"/>
        <v>1</v>
      </c>
      <c r="Y382">
        <v>9</v>
      </c>
      <c r="Z382">
        <v>10</v>
      </c>
      <c r="AA382" s="32">
        <f t="shared" si="53"/>
        <v>1</v>
      </c>
    </row>
    <row r="383" spans="1:27" x14ac:dyDescent="0.45">
      <c r="A383">
        <v>9</v>
      </c>
      <c r="B383" s="36">
        <f>step3_combined_data!S110</f>
        <v>10</v>
      </c>
      <c r="C383" s="32">
        <f t="shared" si="45"/>
        <v>1</v>
      </c>
      <c r="D383">
        <v>9</v>
      </c>
      <c r="E383" s="36">
        <f>step3_combined_data!X115</f>
        <v>10</v>
      </c>
      <c r="F383" s="32">
        <f t="shared" si="46"/>
        <v>1</v>
      </c>
      <c r="G383">
        <v>9</v>
      </c>
      <c r="H383">
        <v>10</v>
      </c>
      <c r="I383" s="32">
        <f t="shared" si="47"/>
        <v>1</v>
      </c>
      <c r="J383">
        <v>10</v>
      </c>
      <c r="K383">
        <v>10</v>
      </c>
      <c r="L383" s="32">
        <f t="shared" si="48"/>
        <v>0</v>
      </c>
      <c r="M383">
        <v>9</v>
      </c>
      <c r="N383">
        <v>10</v>
      </c>
      <c r="O383" s="32">
        <f t="shared" si="49"/>
        <v>1</v>
      </c>
      <c r="P383">
        <v>9</v>
      </c>
      <c r="Q383">
        <v>10</v>
      </c>
      <c r="R383" s="32">
        <f t="shared" si="50"/>
        <v>1</v>
      </c>
      <c r="S383">
        <v>9</v>
      </c>
      <c r="T383">
        <v>10</v>
      </c>
      <c r="U383" s="32">
        <f t="shared" si="51"/>
        <v>1</v>
      </c>
      <c r="V383">
        <v>9</v>
      </c>
      <c r="W383">
        <v>10</v>
      </c>
      <c r="X383" s="32">
        <f t="shared" si="52"/>
        <v>1</v>
      </c>
      <c r="Y383">
        <v>9</v>
      </c>
      <c r="Z383">
        <v>10</v>
      </c>
      <c r="AA383" s="32">
        <f t="shared" si="53"/>
        <v>1</v>
      </c>
    </row>
    <row r="384" spans="1:27" x14ac:dyDescent="0.45">
      <c r="A384">
        <v>9</v>
      </c>
      <c r="B384" s="36">
        <f>step3_combined_data!S115</f>
        <v>10</v>
      </c>
      <c r="C384" s="32">
        <f t="shared" si="45"/>
        <v>1</v>
      </c>
      <c r="D384">
        <v>9</v>
      </c>
      <c r="E384" s="36">
        <f>step3_combined_data!X126</f>
        <v>10</v>
      </c>
      <c r="F384" s="32">
        <f t="shared" si="46"/>
        <v>1</v>
      </c>
      <c r="G384">
        <v>9</v>
      </c>
      <c r="H384">
        <v>10</v>
      </c>
      <c r="I384" s="32">
        <f t="shared" si="47"/>
        <v>1</v>
      </c>
      <c r="J384">
        <v>10</v>
      </c>
      <c r="K384">
        <v>10</v>
      </c>
      <c r="L384" s="32">
        <f t="shared" si="48"/>
        <v>0</v>
      </c>
      <c r="M384">
        <v>9</v>
      </c>
      <c r="N384">
        <v>10</v>
      </c>
      <c r="O384" s="32">
        <f t="shared" si="49"/>
        <v>1</v>
      </c>
      <c r="P384">
        <v>9</v>
      </c>
      <c r="Q384">
        <v>10</v>
      </c>
      <c r="R384" s="32">
        <f t="shared" si="50"/>
        <v>1</v>
      </c>
      <c r="S384">
        <v>9</v>
      </c>
      <c r="T384">
        <v>10</v>
      </c>
      <c r="U384" s="32">
        <f t="shared" si="51"/>
        <v>1</v>
      </c>
      <c r="V384">
        <v>9</v>
      </c>
      <c r="W384">
        <v>10</v>
      </c>
      <c r="X384" s="32">
        <f t="shared" si="52"/>
        <v>1</v>
      </c>
      <c r="Y384">
        <v>9</v>
      </c>
      <c r="Z384">
        <v>10</v>
      </c>
      <c r="AA384" s="32">
        <f t="shared" si="53"/>
        <v>1</v>
      </c>
    </row>
    <row r="385" spans="1:27" x14ac:dyDescent="0.45">
      <c r="A385">
        <v>9</v>
      </c>
      <c r="B385" s="36">
        <f>step3_combined_data!S125</f>
        <v>10</v>
      </c>
      <c r="C385" s="32">
        <f t="shared" si="45"/>
        <v>1</v>
      </c>
      <c r="D385">
        <v>9</v>
      </c>
      <c r="E385" s="36">
        <f>step3_combined_data!X146</f>
        <v>10</v>
      </c>
      <c r="F385" s="32">
        <f t="shared" si="46"/>
        <v>1</v>
      </c>
      <c r="G385">
        <v>9</v>
      </c>
      <c r="H385">
        <v>10</v>
      </c>
      <c r="I385" s="32">
        <f t="shared" si="47"/>
        <v>1</v>
      </c>
      <c r="J385">
        <v>10</v>
      </c>
      <c r="K385">
        <v>10</v>
      </c>
      <c r="L385" s="32">
        <f t="shared" si="48"/>
        <v>0</v>
      </c>
      <c r="M385">
        <v>9</v>
      </c>
      <c r="N385">
        <v>10</v>
      </c>
      <c r="O385" s="32">
        <f t="shared" si="49"/>
        <v>1</v>
      </c>
      <c r="P385">
        <v>9</v>
      </c>
      <c r="Q385">
        <v>10</v>
      </c>
      <c r="R385" s="32">
        <f t="shared" si="50"/>
        <v>1</v>
      </c>
      <c r="S385">
        <v>9</v>
      </c>
      <c r="T385">
        <v>10</v>
      </c>
      <c r="U385" s="32">
        <f t="shared" si="51"/>
        <v>1</v>
      </c>
      <c r="V385">
        <v>9</v>
      </c>
      <c r="W385">
        <v>10</v>
      </c>
      <c r="X385" s="32">
        <f t="shared" si="52"/>
        <v>1</v>
      </c>
      <c r="Y385">
        <v>10</v>
      </c>
      <c r="Z385">
        <v>10</v>
      </c>
      <c r="AA385" s="32">
        <f t="shared" si="53"/>
        <v>0</v>
      </c>
    </row>
    <row r="386" spans="1:27" x14ac:dyDescent="0.45">
      <c r="A386">
        <v>9</v>
      </c>
      <c r="B386" s="36">
        <f>step3_combined_data!S126</f>
        <v>10</v>
      </c>
      <c r="C386" s="32">
        <f t="shared" si="45"/>
        <v>1</v>
      </c>
      <c r="D386">
        <v>9</v>
      </c>
      <c r="E386" s="36">
        <f>step3_combined_data!X150</f>
        <v>10</v>
      </c>
      <c r="F386" s="32">
        <f t="shared" si="46"/>
        <v>1</v>
      </c>
      <c r="G386">
        <v>9</v>
      </c>
      <c r="H386">
        <v>10</v>
      </c>
      <c r="I386" s="32">
        <f t="shared" si="47"/>
        <v>1</v>
      </c>
      <c r="J386">
        <v>10</v>
      </c>
      <c r="K386">
        <v>10</v>
      </c>
      <c r="L386" s="32">
        <f t="shared" si="48"/>
        <v>0</v>
      </c>
      <c r="M386">
        <v>9</v>
      </c>
      <c r="N386">
        <v>10</v>
      </c>
      <c r="O386" s="32">
        <f t="shared" si="49"/>
        <v>1</v>
      </c>
      <c r="P386">
        <v>9</v>
      </c>
      <c r="Q386">
        <v>10</v>
      </c>
      <c r="R386" s="32">
        <f t="shared" si="50"/>
        <v>1</v>
      </c>
      <c r="S386">
        <v>9</v>
      </c>
      <c r="T386">
        <v>10</v>
      </c>
      <c r="U386" s="32">
        <f t="shared" si="51"/>
        <v>1</v>
      </c>
      <c r="V386">
        <v>9</v>
      </c>
      <c r="W386">
        <v>10</v>
      </c>
      <c r="X386" s="32">
        <f t="shared" si="52"/>
        <v>1</v>
      </c>
      <c r="Y386">
        <v>10</v>
      </c>
      <c r="Z386">
        <v>10</v>
      </c>
      <c r="AA386" s="32">
        <f t="shared" si="53"/>
        <v>0</v>
      </c>
    </row>
    <row r="387" spans="1:27" x14ac:dyDescent="0.45">
      <c r="A387">
        <v>9</v>
      </c>
      <c r="B387" s="36">
        <f>step3_combined_data!S141</f>
        <v>10</v>
      </c>
      <c r="C387" s="32">
        <f t="shared" ref="C387:C404" si="54">ABS(B387-A387)</f>
        <v>1</v>
      </c>
      <c r="D387">
        <v>9</v>
      </c>
      <c r="E387" s="36">
        <f>step3_combined_data!X151</f>
        <v>10</v>
      </c>
      <c r="F387" s="32">
        <f t="shared" ref="F387:F404" si="55">ABS(E387-D387)</f>
        <v>1</v>
      </c>
      <c r="G387">
        <v>9</v>
      </c>
      <c r="H387">
        <v>10</v>
      </c>
      <c r="I387" s="32">
        <f t="shared" ref="I387:I404" si="56">ABS(H387-G387)</f>
        <v>1</v>
      </c>
      <c r="J387">
        <v>10</v>
      </c>
      <c r="K387">
        <v>10</v>
      </c>
      <c r="L387" s="32">
        <f t="shared" ref="L387:L404" si="57">ABS(K387-J387)</f>
        <v>0</v>
      </c>
      <c r="M387">
        <v>9</v>
      </c>
      <c r="N387">
        <v>10</v>
      </c>
      <c r="O387" s="32">
        <f t="shared" ref="O387:O404" si="58">ABS(N387-M387)</f>
        <v>1</v>
      </c>
      <c r="P387">
        <v>9</v>
      </c>
      <c r="Q387">
        <v>10</v>
      </c>
      <c r="R387" s="32">
        <f t="shared" ref="R387:R404" si="59">ABS(Q387-P387)</f>
        <v>1</v>
      </c>
      <c r="S387">
        <v>9</v>
      </c>
      <c r="T387">
        <v>10</v>
      </c>
      <c r="U387" s="32">
        <f t="shared" ref="U387:U404" si="60">ABS(T387-S387)</f>
        <v>1</v>
      </c>
      <c r="V387">
        <v>9</v>
      </c>
      <c r="W387">
        <v>10</v>
      </c>
      <c r="X387" s="32">
        <f t="shared" ref="X387:X404" si="61">ABS(W387-V387)</f>
        <v>1</v>
      </c>
      <c r="Y387">
        <v>10</v>
      </c>
      <c r="Z387">
        <v>10</v>
      </c>
      <c r="AA387" s="32">
        <f t="shared" ref="AA387:AA404" si="62">ABS(Z387-Y387)</f>
        <v>0</v>
      </c>
    </row>
    <row r="388" spans="1:27" x14ac:dyDescent="0.45">
      <c r="A388">
        <v>9</v>
      </c>
      <c r="B388" s="36">
        <f>step3_combined_data!S146</f>
        <v>10</v>
      </c>
      <c r="C388" s="32">
        <f t="shared" si="54"/>
        <v>1</v>
      </c>
      <c r="D388">
        <v>9</v>
      </c>
      <c r="E388" s="36">
        <f>step3_combined_data!X153</f>
        <v>10</v>
      </c>
      <c r="F388" s="32">
        <f t="shared" si="55"/>
        <v>1</v>
      </c>
      <c r="G388">
        <v>9</v>
      </c>
      <c r="H388">
        <v>10</v>
      </c>
      <c r="I388" s="32">
        <f t="shared" si="56"/>
        <v>1</v>
      </c>
      <c r="J388">
        <v>10</v>
      </c>
      <c r="K388">
        <v>10</v>
      </c>
      <c r="L388" s="32">
        <f t="shared" si="57"/>
        <v>0</v>
      </c>
      <c r="M388">
        <v>9</v>
      </c>
      <c r="N388">
        <v>10</v>
      </c>
      <c r="O388" s="32">
        <f t="shared" si="58"/>
        <v>1</v>
      </c>
      <c r="P388">
        <v>9</v>
      </c>
      <c r="Q388">
        <v>10</v>
      </c>
      <c r="R388" s="32">
        <f t="shared" si="59"/>
        <v>1</v>
      </c>
      <c r="S388">
        <v>9</v>
      </c>
      <c r="T388">
        <v>10</v>
      </c>
      <c r="U388" s="32">
        <f t="shared" si="60"/>
        <v>1</v>
      </c>
      <c r="V388">
        <v>9</v>
      </c>
      <c r="W388">
        <v>10</v>
      </c>
      <c r="X388" s="32">
        <f t="shared" si="61"/>
        <v>1</v>
      </c>
      <c r="Y388">
        <v>10</v>
      </c>
      <c r="Z388">
        <v>10</v>
      </c>
      <c r="AA388" s="32">
        <f t="shared" si="62"/>
        <v>0</v>
      </c>
    </row>
    <row r="389" spans="1:27" x14ac:dyDescent="0.45">
      <c r="A389">
        <v>9</v>
      </c>
      <c r="B389" s="36">
        <f>step3_combined_data!S150</f>
        <v>10</v>
      </c>
      <c r="C389" s="32">
        <f t="shared" si="54"/>
        <v>1</v>
      </c>
      <c r="D389">
        <v>9</v>
      </c>
      <c r="E389" s="36">
        <f>step3_combined_data!X156</f>
        <v>10</v>
      </c>
      <c r="F389" s="32">
        <f t="shared" si="55"/>
        <v>1</v>
      </c>
      <c r="G389">
        <v>9</v>
      </c>
      <c r="H389">
        <v>10</v>
      </c>
      <c r="I389" s="32">
        <f t="shared" si="56"/>
        <v>1</v>
      </c>
      <c r="J389">
        <v>10</v>
      </c>
      <c r="K389">
        <v>10</v>
      </c>
      <c r="L389" s="32">
        <f t="shared" si="57"/>
        <v>0</v>
      </c>
      <c r="M389">
        <v>9</v>
      </c>
      <c r="N389">
        <v>10</v>
      </c>
      <c r="O389" s="32">
        <f t="shared" si="58"/>
        <v>1</v>
      </c>
      <c r="P389">
        <v>9</v>
      </c>
      <c r="Q389">
        <v>10</v>
      </c>
      <c r="R389" s="32">
        <f t="shared" si="59"/>
        <v>1</v>
      </c>
      <c r="S389">
        <v>9</v>
      </c>
      <c r="T389">
        <v>10</v>
      </c>
      <c r="U389" s="32">
        <f t="shared" si="60"/>
        <v>1</v>
      </c>
      <c r="V389">
        <v>9</v>
      </c>
      <c r="W389">
        <v>10</v>
      </c>
      <c r="X389" s="32">
        <f t="shared" si="61"/>
        <v>1</v>
      </c>
      <c r="Y389">
        <v>10</v>
      </c>
      <c r="Z389">
        <v>10</v>
      </c>
      <c r="AA389" s="32">
        <f t="shared" si="62"/>
        <v>0</v>
      </c>
    </row>
    <row r="390" spans="1:27" x14ac:dyDescent="0.45">
      <c r="A390">
        <v>9</v>
      </c>
      <c r="B390" s="36">
        <f>step3_combined_data!S153</f>
        <v>10</v>
      </c>
      <c r="C390" s="32">
        <f t="shared" si="54"/>
        <v>1</v>
      </c>
      <c r="D390">
        <v>9</v>
      </c>
      <c r="E390" s="36">
        <f>step3_combined_data!X157</f>
        <v>10</v>
      </c>
      <c r="F390" s="32">
        <f t="shared" si="55"/>
        <v>1</v>
      </c>
      <c r="G390">
        <v>9</v>
      </c>
      <c r="H390">
        <v>10</v>
      </c>
      <c r="I390" s="32">
        <f t="shared" si="56"/>
        <v>1</v>
      </c>
      <c r="J390">
        <v>10</v>
      </c>
      <c r="K390">
        <v>10</v>
      </c>
      <c r="L390" s="32">
        <f t="shared" si="57"/>
        <v>0</v>
      </c>
      <c r="M390">
        <v>9</v>
      </c>
      <c r="N390">
        <v>10</v>
      </c>
      <c r="O390" s="32">
        <f t="shared" si="58"/>
        <v>1</v>
      </c>
      <c r="P390">
        <v>9</v>
      </c>
      <c r="Q390">
        <v>10</v>
      </c>
      <c r="R390" s="32">
        <f t="shared" si="59"/>
        <v>1</v>
      </c>
      <c r="S390">
        <v>9</v>
      </c>
      <c r="T390">
        <v>10</v>
      </c>
      <c r="U390" s="32">
        <f t="shared" si="60"/>
        <v>1</v>
      </c>
      <c r="V390">
        <v>9</v>
      </c>
      <c r="W390">
        <v>10</v>
      </c>
      <c r="X390" s="32">
        <f t="shared" si="61"/>
        <v>1</v>
      </c>
      <c r="Y390">
        <v>10</v>
      </c>
      <c r="Z390">
        <v>10</v>
      </c>
      <c r="AA390" s="32">
        <f t="shared" si="62"/>
        <v>0</v>
      </c>
    </row>
    <row r="391" spans="1:27" x14ac:dyDescent="0.45">
      <c r="A391">
        <v>9</v>
      </c>
      <c r="B391" s="36">
        <f>step3_combined_data!S156</f>
        <v>10</v>
      </c>
      <c r="C391" s="32">
        <f t="shared" si="54"/>
        <v>1</v>
      </c>
      <c r="D391">
        <v>9</v>
      </c>
      <c r="E391" s="36">
        <f>step3_combined_data!X158</f>
        <v>10</v>
      </c>
      <c r="F391" s="32">
        <f t="shared" si="55"/>
        <v>1</v>
      </c>
      <c r="G391">
        <v>9</v>
      </c>
      <c r="H391">
        <v>10</v>
      </c>
      <c r="I391" s="32">
        <f t="shared" si="56"/>
        <v>1</v>
      </c>
      <c r="J391">
        <v>10</v>
      </c>
      <c r="K391">
        <v>10</v>
      </c>
      <c r="L391" s="32">
        <f t="shared" si="57"/>
        <v>0</v>
      </c>
      <c r="M391">
        <v>9</v>
      </c>
      <c r="N391">
        <v>10</v>
      </c>
      <c r="O391" s="32">
        <f t="shared" si="58"/>
        <v>1</v>
      </c>
      <c r="P391">
        <v>9</v>
      </c>
      <c r="Q391">
        <v>10</v>
      </c>
      <c r="R391" s="32">
        <f t="shared" si="59"/>
        <v>1</v>
      </c>
      <c r="S391">
        <v>9</v>
      </c>
      <c r="T391">
        <v>10</v>
      </c>
      <c r="U391" s="32">
        <f t="shared" si="60"/>
        <v>1</v>
      </c>
      <c r="V391">
        <v>9</v>
      </c>
      <c r="W391">
        <v>10</v>
      </c>
      <c r="X391" s="32">
        <f t="shared" si="61"/>
        <v>1</v>
      </c>
      <c r="Y391">
        <v>10</v>
      </c>
      <c r="Z391">
        <v>10</v>
      </c>
      <c r="AA391" s="32">
        <f t="shared" si="62"/>
        <v>0</v>
      </c>
    </row>
    <row r="392" spans="1:27" x14ac:dyDescent="0.45">
      <c r="A392">
        <v>9</v>
      </c>
      <c r="B392" s="36">
        <f>step3_combined_data!S157</f>
        <v>10</v>
      </c>
      <c r="C392" s="32">
        <f t="shared" si="54"/>
        <v>1</v>
      </c>
      <c r="D392">
        <v>9</v>
      </c>
      <c r="E392" s="36">
        <f>step3_combined_data!X164</f>
        <v>10</v>
      </c>
      <c r="F392" s="32">
        <f t="shared" si="55"/>
        <v>1</v>
      </c>
      <c r="G392">
        <v>9</v>
      </c>
      <c r="H392">
        <v>10</v>
      </c>
      <c r="I392" s="32">
        <f t="shared" si="56"/>
        <v>1</v>
      </c>
      <c r="J392">
        <v>10</v>
      </c>
      <c r="K392">
        <v>10</v>
      </c>
      <c r="L392" s="32">
        <f t="shared" si="57"/>
        <v>0</v>
      </c>
      <c r="M392">
        <v>9</v>
      </c>
      <c r="N392">
        <v>10</v>
      </c>
      <c r="O392" s="32">
        <f t="shared" si="58"/>
        <v>1</v>
      </c>
      <c r="P392">
        <v>9</v>
      </c>
      <c r="Q392">
        <v>10</v>
      </c>
      <c r="R392" s="32">
        <f t="shared" si="59"/>
        <v>1</v>
      </c>
      <c r="S392">
        <v>9</v>
      </c>
      <c r="T392">
        <v>10</v>
      </c>
      <c r="U392" s="32">
        <f t="shared" si="60"/>
        <v>1</v>
      </c>
      <c r="V392">
        <v>9</v>
      </c>
      <c r="W392">
        <v>10</v>
      </c>
      <c r="X392" s="32">
        <f t="shared" si="61"/>
        <v>1</v>
      </c>
      <c r="Y392">
        <v>10</v>
      </c>
      <c r="Z392">
        <v>10</v>
      </c>
      <c r="AA392" s="32">
        <f t="shared" si="62"/>
        <v>0</v>
      </c>
    </row>
    <row r="393" spans="1:27" x14ac:dyDescent="0.45">
      <c r="A393">
        <v>9</v>
      </c>
      <c r="B393" s="36">
        <f>step3_combined_data!S158</f>
        <v>10</v>
      </c>
      <c r="C393" s="32">
        <f t="shared" si="54"/>
        <v>1</v>
      </c>
      <c r="D393">
        <v>9</v>
      </c>
      <c r="E393" s="36">
        <f>step3_combined_data!X195</f>
        <v>10</v>
      </c>
      <c r="F393" s="32">
        <f t="shared" si="55"/>
        <v>1</v>
      </c>
      <c r="G393">
        <v>9</v>
      </c>
      <c r="H393">
        <v>10</v>
      </c>
      <c r="I393" s="32">
        <f t="shared" si="56"/>
        <v>1</v>
      </c>
      <c r="J393">
        <v>10</v>
      </c>
      <c r="K393">
        <v>10</v>
      </c>
      <c r="L393" s="32">
        <f t="shared" si="57"/>
        <v>0</v>
      </c>
      <c r="M393">
        <v>9</v>
      </c>
      <c r="N393">
        <v>10</v>
      </c>
      <c r="O393" s="32">
        <f t="shared" si="58"/>
        <v>1</v>
      </c>
      <c r="P393">
        <v>9</v>
      </c>
      <c r="Q393">
        <v>10</v>
      </c>
      <c r="R393" s="32">
        <f t="shared" si="59"/>
        <v>1</v>
      </c>
      <c r="S393">
        <v>9</v>
      </c>
      <c r="T393">
        <v>10</v>
      </c>
      <c r="U393" s="32">
        <f t="shared" si="60"/>
        <v>1</v>
      </c>
      <c r="V393">
        <v>9</v>
      </c>
      <c r="W393">
        <v>10</v>
      </c>
      <c r="X393" s="32">
        <f t="shared" si="61"/>
        <v>1</v>
      </c>
      <c r="Y393">
        <v>10</v>
      </c>
      <c r="Z393">
        <v>10</v>
      </c>
      <c r="AA393" s="32">
        <f t="shared" si="62"/>
        <v>0</v>
      </c>
    </row>
    <row r="394" spans="1:27" x14ac:dyDescent="0.45">
      <c r="A394">
        <v>9</v>
      </c>
      <c r="B394" s="36">
        <f>step3_combined_data!S164</f>
        <v>10</v>
      </c>
      <c r="C394" s="32">
        <f t="shared" si="54"/>
        <v>1</v>
      </c>
      <c r="D394">
        <v>9</v>
      </c>
      <c r="E394" s="36">
        <f>step3_combined_data!X198</f>
        <v>10</v>
      </c>
      <c r="F394" s="32">
        <f t="shared" si="55"/>
        <v>1</v>
      </c>
      <c r="G394">
        <v>9</v>
      </c>
      <c r="H394">
        <v>10</v>
      </c>
      <c r="I394" s="32">
        <f t="shared" si="56"/>
        <v>1</v>
      </c>
      <c r="J394">
        <v>10</v>
      </c>
      <c r="K394">
        <v>10</v>
      </c>
      <c r="L394" s="32">
        <f t="shared" si="57"/>
        <v>0</v>
      </c>
      <c r="M394">
        <v>9</v>
      </c>
      <c r="N394">
        <v>10</v>
      </c>
      <c r="O394" s="32">
        <f t="shared" si="58"/>
        <v>1</v>
      </c>
      <c r="P394">
        <v>9</v>
      </c>
      <c r="Q394">
        <v>10</v>
      </c>
      <c r="R394" s="32">
        <f t="shared" si="59"/>
        <v>1</v>
      </c>
      <c r="S394">
        <v>9</v>
      </c>
      <c r="T394">
        <v>10</v>
      </c>
      <c r="U394" s="32">
        <f t="shared" si="60"/>
        <v>1</v>
      </c>
      <c r="V394">
        <v>9</v>
      </c>
      <c r="W394">
        <v>10</v>
      </c>
      <c r="X394" s="32">
        <f t="shared" si="61"/>
        <v>1</v>
      </c>
      <c r="Y394">
        <v>10</v>
      </c>
      <c r="Z394">
        <v>10</v>
      </c>
      <c r="AA394" s="32">
        <f t="shared" si="62"/>
        <v>0</v>
      </c>
    </row>
    <row r="395" spans="1:27" x14ac:dyDescent="0.45">
      <c r="A395">
        <v>9</v>
      </c>
      <c r="B395" s="36">
        <f>step3_combined_data!S167</f>
        <v>10</v>
      </c>
      <c r="C395" s="32">
        <f t="shared" si="54"/>
        <v>1</v>
      </c>
      <c r="D395">
        <v>9</v>
      </c>
      <c r="E395" s="36">
        <f>step3_combined_data!X221</f>
        <v>10</v>
      </c>
      <c r="F395" s="32">
        <f t="shared" si="55"/>
        <v>1</v>
      </c>
      <c r="G395">
        <v>9</v>
      </c>
      <c r="H395">
        <v>10</v>
      </c>
      <c r="I395" s="32">
        <f t="shared" si="56"/>
        <v>1</v>
      </c>
      <c r="J395">
        <v>10</v>
      </c>
      <c r="K395">
        <v>10</v>
      </c>
      <c r="L395" s="32">
        <f t="shared" si="57"/>
        <v>0</v>
      </c>
      <c r="M395">
        <v>9</v>
      </c>
      <c r="N395">
        <v>10</v>
      </c>
      <c r="O395" s="32">
        <f t="shared" si="58"/>
        <v>1</v>
      </c>
      <c r="P395">
        <v>9</v>
      </c>
      <c r="Q395">
        <v>10</v>
      </c>
      <c r="R395" s="32">
        <f t="shared" si="59"/>
        <v>1</v>
      </c>
      <c r="S395">
        <v>9</v>
      </c>
      <c r="T395">
        <v>10</v>
      </c>
      <c r="U395" s="32">
        <f t="shared" si="60"/>
        <v>1</v>
      </c>
      <c r="V395">
        <v>9</v>
      </c>
      <c r="W395">
        <v>10</v>
      </c>
      <c r="X395" s="32">
        <f t="shared" si="61"/>
        <v>1</v>
      </c>
      <c r="Y395">
        <v>10</v>
      </c>
      <c r="Z395">
        <v>10</v>
      </c>
      <c r="AA395" s="32">
        <f t="shared" si="62"/>
        <v>0</v>
      </c>
    </row>
    <row r="396" spans="1:27" x14ac:dyDescent="0.45">
      <c r="A396">
        <v>9</v>
      </c>
      <c r="B396" s="36">
        <f>step3_combined_data!S195</f>
        <v>10</v>
      </c>
      <c r="C396" s="32">
        <f t="shared" si="54"/>
        <v>1</v>
      </c>
      <c r="D396">
        <v>9</v>
      </c>
      <c r="E396" s="36">
        <f>step3_combined_data!X238</f>
        <v>10</v>
      </c>
      <c r="F396" s="32">
        <f t="shared" si="55"/>
        <v>1</v>
      </c>
      <c r="G396">
        <v>9</v>
      </c>
      <c r="H396">
        <v>10</v>
      </c>
      <c r="I396" s="32">
        <f t="shared" si="56"/>
        <v>1</v>
      </c>
      <c r="J396">
        <v>10</v>
      </c>
      <c r="K396">
        <v>10</v>
      </c>
      <c r="L396" s="32">
        <f t="shared" si="57"/>
        <v>0</v>
      </c>
      <c r="M396">
        <v>9</v>
      </c>
      <c r="N396">
        <v>10</v>
      </c>
      <c r="O396" s="32">
        <f t="shared" si="58"/>
        <v>1</v>
      </c>
      <c r="P396">
        <v>9</v>
      </c>
      <c r="Q396">
        <v>10</v>
      </c>
      <c r="R396" s="32">
        <f t="shared" si="59"/>
        <v>1</v>
      </c>
      <c r="S396">
        <v>9</v>
      </c>
      <c r="T396">
        <v>10</v>
      </c>
      <c r="U396" s="32">
        <f t="shared" si="60"/>
        <v>1</v>
      </c>
      <c r="V396">
        <v>9</v>
      </c>
      <c r="W396">
        <v>10</v>
      </c>
      <c r="X396" s="32">
        <f t="shared" si="61"/>
        <v>1</v>
      </c>
      <c r="Y396">
        <v>10</v>
      </c>
      <c r="Z396">
        <v>10</v>
      </c>
      <c r="AA396" s="32">
        <f t="shared" si="62"/>
        <v>0</v>
      </c>
    </row>
    <row r="397" spans="1:27" x14ac:dyDescent="0.45">
      <c r="A397">
        <v>9</v>
      </c>
      <c r="B397" s="36">
        <f>step3_combined_data!S221</f>
        <v>10</v>
      </c>
      <c r="C397" s="32">
        <f t="shared" si="54"/>
        <v>1</v>
      </c>
      <c r="D397">
        <v>9</v>
      </c>
      <c r="E397" s="36">
        <f>step3_combined_data!X239</f>
        <v>10</v>
      </c>
      <c r="F397" s="32">
        <f t="shared" si="55"/>
        <v>1</v>
      </c>
      <c r="G397">
        <v>9</v>
      </c>
      <c r="H397">
        <v>10</v>
      </c>
      <c r="I397" s="32">
        <f t="shared" si="56"/>
        <v>1</v>
      </c>
      <c r="J397">
        <v>10</v>
      </c>
      <c r="K397">
        <v>10</v>
      </c>
      <c r="L397" s="32">
        <f t="shared" si="57"/>
        <v>0</v>
      </c>
      <c r="M397">
        <v>9</v>
      </c>
      <c r="N397">
        <v>10</v>
      </c>
      <c r="O397" s="32">
        <f t="shared" si="58"/>
        <v>1</v>
      </c>
      <c r="P397">
        <v>9</v>
      </c>
      <c r="Q397">
        <v>10</v>
      </c>
      <c r="R397" s="32">
        <f t="shared" si="59"/>
        <v>1</v>
      </c>
      <c r="S397">
        <v>9</v>
      </c>
      <c r="T397">
        <v>10</v>
      </c>
      <c r="U397" s="32">
        <f t="shared" si="60"/>
        <v>1</v>
      </c>
      <c r="V397">
        <v>9</v>
      </c>
      <c r="W397">
        <v>10</v>
      </c>
      <c r="X397" s="32">
        <f t="shared" si="61"/>
        <v>1</v>
      </c>
      <c r="Y397">
        <v>10</v>
      </c>
      <c r="Z397">
        <v>10</v>
      </c>
      <c r="AA397" s="32">
        <f t="shared" si="62"/>
        <v>0</v>
      </c>
    </row>
    <row r="398" spans="1:27" x14ac:dyDescent="0.45">
      <c r="A398">
        <v>9</v>
      </c>
      <c r="B398" s="36">
        <f>step3_combined_data!S238</f>
        <v>10</v>
      </c>
      <c r="C398" s="32">
        <f t="shared" si="54"/>
        <v>1</v>
      </c>
      <c r="D398">
        <v>9</v>
      </c>
      <c r="E398" s="36">
        <f>step3_combined_data!X288</f>
        <v>10</v>
      </c>
      <c r="F398" s="32">
        <f t="shared" si="55"/>
        <v>1</v>
      </c>
      <c r="G398">
        <v>9</v>
      </c>
      <c r="H398">
        <v>10</v>
      </c>
      <c r="I398" s="32">
        <f t="shared" si="56"/>
        <v>1</v>
      </c>
      <c r="J398">
        <v>10</v>
      </c>
      <c r="K398">
        <v>10</v>
      </c>
      <c r="L398" s="32">
        <f t="shared" si="57"/>
        <v>0</v>
      </c>
      <c r="M398">
        <v>9</v>
      </c>
      <c r="N398">
        <v>10</v>
      </c>
      <c r="O398" s="32">
        <f t="shared" si="58"/>
        <v>1</v>
      </c>
      <c r="P398">
        <v>9</v>
      </c>
      <c r="Q398">
        <v>10</v>
      </c>
      <c r="R398" s="32">
        <f t="shared" si="59"/>
        <v>1</v>
      </c>
      <c r="S398">
        <v>9</v>
      </c>
      <c r="T398">
        <v>10</v>
      </c>
      <c r="U398" s="32">
        <f t="shared" si="60"/>
        <v>1</v>
      </c>
      <c r="V398">
        <v>9</v>
      </c>
      <c r="W398">
        <v>10</v>
      </c>
      <c r="X398" s="32">
        <f t="shared" si="61"/>
        <v>1</v>
      </c>
      <c r="Y398">
        <v>10</v>
      </c>
      <c r="Z398">
        <v>10</v>
      </c>
      <c r="AA398" s="32">
        <f t="shared" si="62"/>
        <v>0</v>
      </c>
    </row>
    <row r="399" spans="1:27" x14ac:dyDescent="0.45">
      <c r="A399">
        <v>9</v>
      </c>
      <c r="B399" s="36">
        <f>step3_combined_data!S288</f>
        <v>10</v>
      </c>
      <c r="C399" s="32">
        <f t="shared" si="54"/>
        <v>1</v>
      </c>
      <c r="D399">
        <v>9</v>
      </c>
      <c r="E399" s="36">
        <f>step3_combined_data!X298</f>
        <v>10</v>
      </c>
      <c r="F399" s="32">
        <f t="shared" si="55"/>
        <v>1</v>
      </c>
      <c r="G399">
        <v>9</v>
      </c>
      <c r="H399">
        <v>10</v>
      </c>
      <c r="I399" s="32">
        <f t="shared" si="56"/>
        <v>1</v>
      </c>
      <c r="J399">
        <v>10</v>
      </c>
      <c r="K399">
        <v>10</v>
      </c>
      <c r="L399" s="32">
        <f t="shared" si="57"/>
        <v>0</v>
      </c>
      <c r="M399">
        <v>9</v>
      </c>
      <c r="N399">
        <v>10</v>
      </c>
      <c r="O399" s="32">
        <f t="shared" si="58"/>
        <v>1</v>
      </c>
      <c r="P399">
        <v>9</v>
      </c>
      <c r="Q399">
        <v>10</v>
      </c>
      <c r="R399" s="32">
        <f t="shared" si="59"/>
        <v>1</v>
      </c>
      <c r="S399">
        <v>9</v>
      </c>
      <c r="T399">
        <v>10</v>
      </c>
      <c r="U399" s="32">
        <f t="shared" si="60"/>
        <v>1</v>
      </c>
      <c r="V399">
        <v>9</v>
      </c>
      <c r="W399">
        <v>10</v>
      </c>
      <c r="X399" s="32">
        <f t="shared" si="61"/>
        <v>1</v>
      </c>
      <c r="Y399">
        <v>10</v>
      </c>
      <c r="Z399">
        <v>10</v>
      </c>
      <c r="AA399" s="32">
        <f t="shared" si="62"/>
        <v>0</v>
      </c>
    </row>
    <row r="400" spans="1:27" x14ac:dyDescent="0.45">
      <c r="A400">
        <v>9</v>
      </c>
      <c r="B400" s="36">
        <f>step3_combined_data!S300</f>
        <v>10</v>
      </c>
      <c r="C400" s="32">
        <f t="shared" si="54"/>
        <v>1</v>
      </c>
      <c r="D400">
        <v>9</v>
      </c>
      <c r="E400" s="36">
        <f>step3_combined_data!X300</f>
        <v>10</v>
      </c>
      <c r="F400" s="32">
        <f t="shared" si="55"/>
        <v>1</v>
      </c>
      <c r="G400">
        <v>9</v>
      </c>
      <c r="H400">
        <v>10</v>
      </c>
      <c r="I400" s="32">
        <f t="shared" si="56"/>
        <v>1</v>
      </c>
      <c r="J400">
        <v>10</v>
      </c>
      <c r="K400">
        <v>10</v>
      </c>
      <c r="L400" s="32">
        <f t="shared" si="57"/>
        <v>0</v>
      </c>
      <c r="M400">
        <v>9</v>
      </c>
      <c r="N400">
        <v>10</v>
      </c>
      <c r="O400" s="32">
        <f t="shared" si="58"/>
        <v>1</v>
      </c>
      <c r="P400">
        <v>9</v>
      </c>
      <c r="Q400">
        <v>10</v>
      </c>
      <c r="R400" s="32">
        <f t="shared" si="59"/>
        <v>1</v>
      </c>
      <c r="S400">
        <v>9</v>
      </c>
      <c r="T400">
        <v>10</v>
      </c>
      <c r="U400" s="32">
        <f t="shared" si="60"/>
        <v>1</v>
      </c>
      <c r="V400">
        <v>9</v>
      </c>
      <c r="W400">
        <v>10</v>
      </c>
      <c r="X400" s="32">
        <f t="shared" si="61"/>
        <v>1</v>
      </c>
      <c r="Y400">
        <v>10</v>
      </c>
      <c r="Z400">
        <v>10</v>
      </c>
      <c r="AA400" s="32">
        <f t="shared" si="62"/>
        <v>0</v>
      </c>
    </row>
    <row r="401" spans="1:27" x14ac:dyDescent="0.45">
      <c r="A401">
        <v>9</v>
      </c>
      <c r="B401" s="36">
        <f>step3_combined_data!S305</f>
        <v>10</v>
      </c>
      <c r="C401" s="32">
        <f t="shared" si="54"/>
        <v>1</v>
      </c>
      <c r="D401">
        <v>9</v>
      </c>
      <c r="E401" s="36">
        <f>step3_combined_data!X304</f>
        <v>10</v>
      </c>
      <c r="F401" s="32">
        <f t="shared" si="55"/>
        <v>1</v>
      </c>
      <c r="G401">
        <v>9</v>
      </c>
      <c r="H401">
        <v>10</v>
      </c>
      <c r="I401" s="32">
        <f t="shared" si="56"/>
        <v>1</v>
      </c>
      <c r="J401">
        <v>10</v>
      </c>
      <c r="K401">
        <v>10</v>
      </c>
      <c r="L401" s="32">
        <f t="shared" si="57"/>
        <v>0</v>
      </c>
      <c r="M401">
        <v>9</v>
      </c>
      <c r="N401">
        <v>10</v>
      </c>
      <c r="O401" s="32">
        <f t="shared" si="58"/>
        <v>1</v>
      </c>
      <c r="P401">
        <v>10</v>
      </c>
      <c r="Q401">
        <v>10</v>
      </c>
      <c r="R401" s="32">
        <f t="shared" si="59"/>
        <v>0</v>
      </c>
      <c r="S401">
        <v>9</v>
      </c>
      <c r="T401">
        <v>10</v>
      </c>
      <c r="U401" s="32">
        <f t="shared" si="60"/>
        <v>1</v>
      </c>
      <c r="V401">
        <v>9</v>
      </c>
      <c r="W401">
        <v>10</v>
      </c>
      <c r="X401" s="32">
        <f t="shared" si="61"/>
        <v>1</v>
      </c>
      <c r="Y401">
        <v>10</v>
      </c>
      <c r="Z401">
        <v>10</v>
      </c>
      <c r="AA401" s="32">
        <f t="shared" si="62"/>
        <v>0</v>
      </c>
    </row>
    <row r="402" spans="1:27" x14ac:dyDescent="0.45">
      <c r="A402">
        <v>9</v>
      </c>
      <c r="B402" s="36">
        <f>step3_combined_data!S309</f>
        <v>10</v>
      </c>
      <c r="C402" s="32">
        <f t="shared" si="54"/>
        <v>1</v>
      </c>
      <c r="D402">
        <v>9</v>
      </c>
      <c r="E402" s="36">
        <f>step3_combined_data!X305</f>
        <v>10</v>
      </c>
      <c r="F402" s="32">
        <f t="shared" si="55"/>
        <v>1</v>
      </c>
      <c r="G402">
        <v>9</v>
      </c>
      <c r="H402">
        <v>10</v>
      </c>
      <c r="I402" s="32">
        <f t="shared" si="56"/>
        <v>1</v>
      </c>
      <c r="J402">
        <v>10</v>
      </c>
      <c r="K402">
        <v>10</v>
      </c>
      <c r="L402" s="32">
        <f t="shared" si="57"/>
        <v>0</v>
      </c>
      <c r="M402">
        <v>9</v>
      </c>
      <c r="N402">
        <v>10</v>
      </c>
      <c r="O402" s="32">
        <f t="shared" si="58"/>
        <v>1</v>
      </c>
      <c r="P402">
        <v>10</v>
      </c>
      <c r="Q402">
        <v>10</v>
      </c>
      <c r="R402" s="32">
        <f t="shared" si="59"/>
        <v>0</v>
      </c>
      <c r="S402">
        <v>9</v>
      </c>
      <c r="T402">
        <v>10</v>
      </c>
      <c r="U402" s="32">
        <f t="shared" si="60"/>
        <v>1</v>
      </c>
      <c r="V402">
        <v>9</v>
      </c>
      <c r="W402">
        <v>10</v>
      </c>
      <c r="X402" s="32">
        <f t="shared" si="61"/>
        <v>1</v>
      </c>
      <c r="Y402">
        <v>10</v>
      </c>
      <c r="Z402">
        <v>10</v>
      </c>
      <c r="AA402" s="32">
        <f t="shared" si="62"/>
        <v>0</v>
      </c>
    </row>
    <row r="403" spans="1:27" x14ac:dyDescent="0.45">
      <c r="A403">
        <v>9</v>
      </c>
      <c r="B403" s="36">
        <f>step3_combined_data!S310</f>
        <v>10</v>
      </c>
      <c r="C403" s="32">
        <f t="shared" si="54"/>
        <v>1</v>
      </c>
      <c r="D403">
        <v>9</v>
      </c>
      <c r="E403" s="36">
        <f>step3_combined_data!X310</f>
        <v>10</v>
      </c>
      <c r="F403" s="32">
        <f t="shared" si="55"/>
        <v>1</v>
      </c>
      <c r="G403">
        <v>9</v>
      </c>
      <c r="H403">
        <v>10</v>
      </c>
      <c r="I403" s="32">
        <f t="shared" si="56"/>
        <v>1</v>
      </c>
      <c r="J403">
        <v>10</v>
      </c>
      <c r="K403">
        <v>10</v>
      </c>
      <c r="L403" s="32">
        <f t="shared" si="57"/>
        <v>0</v>
      </c>
      <c r="M403">
        <v>10</v>
      </c>
      <c r="N403">
        <v>10</v>
      </c>
      <c r="O403" s="32">
        <f t="shared" si="58"/>
        <v>0</v>
      </c>
      <c r="P403">
        <v>10</v>
      </c>
      <c r="Q403">
        <v>10</v>
      </c>
      <c r="R403" s="32">
        <f t="shared" si="59"/>
        <v>0</v>
      </c>
      <c r="S403">
        <v>10</v>
      </c>
      <c r="T403">
        <v>10</v>
      </c>
      <c r="U403" s="32">
        <f t="shared" si="60"/>
        <v>0</v>
      </c>
      <c r="V403">
        <v>9</v>
      </c>
      <c r="W403">
        <v>10</v>
      </c>
      <c r="X403" s="32">
        <f t="shared" si="61"/>
        <v>1</v>
      </c>
      <c r="Y403">
        <v>10</v>
      </c>
      <c r="Z403">
        <v>10</v>
      </c>
      <c r="AA403" s="32">
        <f t="shared" si="62"/>
        <v>0</v>
      </c>
    </row>
    <row r="404" spans="1:27" x14ac:dyDescent="0.45">
      <c r="A404">
        <v>10</v>
      </c>
      <c r="B404" s="36">
        <f>step3_combined_data!S391</f>
        <v>10</v>
      </c>
      <c r="C404" s="32">
        <f t="shared" si="54"/>
        <v>0</v>
      </c>
      <c r="D404">
        <v>9</v>
      </c>
      <c r="E404" s="36">
        <f>step3_combined_data!X391</f>
        <v>10</v>
      </c>
      <c r="F404" s="32">
        <f t="shared" si="55"/>
        <v>1</v>
      </c>
      <c r="G404">
        <v>10</v>
      </c>
      <c r="H404">
        <v>10</v>
      </c>
      <c r="I404" s="32">
        <f t="shared" si="56"/>
        <v>0</v>
      </c>
      <c r="J404">
        <v>10</v>
      </c>
      <c r="K404">
        <v>10</v>
      </c>
      <c r="L404" s="32">
        <f t="shared" si="57"/>
        <v>0</v>
      </c>
      <c r="M404">
        <v>10</v>
      </c>
      <c r="N404">
        <v>10</v>
      </c>
      <c r="O404" s="32">
        <f t="shared" si="58"/>
        <v>0</v>
      </c>
      <c r="P404">
        <v>10</v>
      </c>
      <c r="Q404">
        <v>10</v>
      </c>
      <c r="R404" s="32">
        <f t="shared" si="59"/>
        <v>0</v>
      </c>
      <c r="S404">
        <v>10</v>
      </c>
      <c r="T404">
        <v>10</v>
      </c>
      <c r="U404" s="32">
        <f t="shared" si="60"/>
        <v>0</v>
      </c>
      <c r="V404">
        <v>10</v>
      </c>
      <c r="W404">
        <v>10</v>
      </c>
      <c r="X404" s="32">
        <f t="shared" si="61"/>
        <v>0</v>
      </c>
      <c r="Y404">
        <v>10</v>
      </c>
      <c r="Z404">
        <v>10</v>
      </c>
      <c r="AA404" s="32">
        <f t="shared" si="62"/>
        <v>0</v>
      </c>
    </row>
    <row r="405" spans="1:27" x14ac:dyDescent="0.45">
      <c r="C405">
        <f>AVERAGE(C2:C404)</f>
        <v>0.92059553349875933</v>
      </c>
      <c r="F405">
        <f>AVERAGE(F2:F404)</f>
        <v>0.71464019851116622</v>
      </c>
      <c r="I405">
        <f>AVERAGE(I2:I404)</f>
        <v>2.1910669975186106</v>
      </c>
      <c r="L405">
        <f>AVERAGE(L2:L404)</f>
        <v>1.5086848635235732</v>
      </c>
      <c r="O405">
        <f>AVERAGE(O2:O404)</f>
        <v>1.4565756823821341</v>
      </c>
      <c r="R405">
        <f>AVERAGE(R2:R404)</f>
        <v>2.1736972704714641</v>
      </c>
      <c r="U405">
        <f>AVERAGE(U2:U404)</f>
        <v>1.903225806451613</v>
      </c>
      <c r="X405">
        <f>AVERAGE(X2:X404)</f>
        <v>1.2630272952853598</v>
      </c>
      <c r="AA405">
        <f>AVERAGE(AA2:AA404)</f>
        <v>1.9702233250620347</v>
      </c>
    </row>
  </sheetData>
  <sortState xmlns:xlrd2="http://schemas.microsoft.com/office/spreadsheetml/2017/richdata2" ref="E2:E404">
    <sortCondition ref="E2:E40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8"/>
  <sheetViews>
    <sheetView workbookViewId="0">
      <selection activeCell="D7" sqref="D7"/>
    </sheetView>
  </sheetViews>
  <sheetFormatPr defaultRowHeight="14.25" x14ac:dyDescent="0.45"/>
  <cols>
    <col min="1" max="1" width="8.9296875" bestFit="1" customWidth="1"/>
    <col min="2" max="2" width="10" customWidth="1"/>
    <col min="3" max="3" width="12.53125" customWidth="1"/>
    <col min="4" max="4" width="17.19921875" customWidth="1"/>
    <col min="5" max="5" width="13.33203125" bestFit="1" customWidth="1"/>
    <col min="6" max="6" width="15.06640625" customWidth="1"/>
    <col min="7" max="7" width="17.06640625" bestFit="1" customWidth="1"/>
    <col min="8" max="8" width="16.73046875" bestFit="1" customWidth="1"/>
    <col min="9" max="9" width="17.265625" bestFit="1" customWidth="1"/>
    <col min="10" max="10" width="12.86328125" bestFit="1" customWidth="1"/>
    <col min="11" max="11" width="12.53125" bestFit="1" customWidth="1"/>
    <col min="12" max="12" width="13.06640625" bestFit="1" customWidth="1"/>
  </cols>
  <sheetData>
    <row r="1" spans="1:13" x14ac:dyDescent="0.45">
      <c r="A1" s="1" t="s">
        <v>4</v>
      </c>
      <c r="B1" s="1" t="s">
        <v>5</v>
      </c>
      <c r="C1" s="1" t="s">
        <v>6</v>
      </c>
      <c r="D1" s="5" t="s">
        <v>35</v>
      </c>
      <c r="E1" s="5" t="s">
        <v>204</v>
      </c>
      <c r="F1" s="5" t="s">
        <v>203</v>
      </c>
      <c r="G1" s="1" t="s">
        <v>7</v>
      </c>
      <c r="H1" s="1" t="s">
        <v>8</v>
      </c>
      <c r="I1" s="1" t="s">
        <v>9</v>
      </c>
      <c r="J1" s="1" t="s">
        <v>10</v>
      </c>
      <c r="K1" s="1" t="s">
        <v>11</v>
      </c>
      <c r="L1" s="1" t="s">
        <v>12</v>
      </c>
    </row>
    <row r="2" spans="1:13" x14ac:dyDescent="0.45">
      <c r="A2" s="4" t="s">
        <v>13</v>
      </c>
      <c r="B2" s="33">
        <f>step3_combined_data!U405</f>
        <v>1.8585607940446651</v>
      </c>
      <c r="C2" s="15">
        <f>CM_REPORT!E7</f>
        <v>0.4640198511166253</v>
      </c>
      <c r="D2" s="24">
        <f>CM_REPORT!E8</f>
        <v>5.3237789086219262E-2</v>
      </c>
      <c r="E2" s="34">
        <f>(ABS(J2-G2)+ABS(K2-H2)+ABS(L2-I2))/2</f>
        <v>0.27047146401985112</v>
      </c>
      <c r="F2" s="37">
        <f>EMD!C405</f>
        <v>0.92059553349875933</v>
      </c>
      <c r="G2" s="15">
        <f>step3_combined_data!T406/step3_combined_data!T409</f>
        <v>0.13647642679900746</v>
      </c>
      <c r="H2" s="15">
        <f>step3_combined_data!T407/step3_combined_data!T409</f>
        <v>0.4466501240694789</v>
      </c>
      <c r="I2" s="15">
        <f>step3_combined_data!T408/step3_combined_data!T409</f>
        <v>0.41687344913151364</v>
      </c>
      <c r="J2" s="15">
        <f>step3_combined_data!R406/step3_combined_data!R409</f>
        <v>2.4813895781637717E-3</v>
      </c>
      <c r="K2" s="15">
        <f>step3_combined_data!R407/step3_combined_data!R409</f>
        <v>0.71712158808933002</v>
      </c>
      <c r="L2" s="15">
        <f>step3_combined_data!R408/step3_combined_data!R409</f>
        <v>0.28039702233250619</v>
      </c>
      <c r="M2" s="25">
        <f>J2+K2+L2</f>
        <v>1</v>
      </c>
    </row>
    <row r="3" spans="1:13" x14ac:dyDescent="0.45">
      <c r="A3" s="4" t="s">
        <v>14</v>
      </c>
      <c r="B3" s="33">
        <f>step3_combined_data!Z405</f>
        <v>1.8883374689826302</v>
      </c>
      <c r="C3" s="15">
        <f>CM_REPORT!E16</f>
        <v>0.43920595533498757</v>
      </c>
      <c r="D3" s="24">
        <f>CM_REPORT!E17</f>
        <v>-2.7901254286529942E-3</v>
      </c>
      <c r="E3" s="34">
        <f t="shared" ref="E3:E10" si="0">(ABS(J3-G3)+ABS(K3-H3)+ABS(L3-I3))/2</f>
        <v>0.10421836228287842</v>
      </c>
      <c r="F3" s="37">
        <f>EMD!F405</f>
        <v>0.71464019851116622</v>
      </c>
      <c r="G3" s="15">
        <f>step3_combined_data!Y406/step3_combined_data!Y409</f>
        <v>0.11166253101736973</v>
      </c>
      <c r="H3" s="15">
        <f>step3_combined_data!Y407/step3_combined_data!Y409</f>
        <v>0.41191066997518611</v>
      </c>
      <c r="I3" s="15">
        <f>step3_combined_data!Y408/step3_combined_data!Y409</f>
        <v>0.47642679900744417</v>
      </c>
      <c r="J3" s="15">
        <f>step3_combined_data!W406/step3_combined_data!W409</f>
        <v>7.4441687344913151E-3</v>
      </c>
      <c r="K3" s="15">
        <f>step3_combined_data!W407/step3_combined_data!W409</f>
        <v>0.51116625310173702</v>
      </c>
      <c r="L3" s="15">
        <f>step3_combined_data!W408/step3_combined_data!W409</f>
        <v>0.4813895781637717</v>
      </c>
      <c r="M3" s="25">
        <f t="shared" ref="M3:M10" si="1">J3+K3+L3</f>
        <v>1</v>
      </c>
    </row>
    <row r="4" spans="1:13" x14ac:dyDescent="0.45">
      <c r="A4" s="4" t="s">
        <v>15</v>
      </c>
      <c r="B4" s="33">
        <f>step3_combined_data!AE405</f>
        <v>2.5732009925558312</v>
      </c>
      <c r="C4" s="15">
        <f>CM_REPORT!E26</f>
        <v>0.38461538461538464</v>
      </c>
      <c r="D4" s="24">
        <f>CM_REPORT!E27</f>
        <v>2.1125567073383918E-2</v>
      </c>
      <c r="E4" s="34">
        <f t="shared" si="0"/>
        <v>0.41191066997518611</v>
      </c>
      <c r="F4" s="37">
        <f>EMD!I405</f>
        <v>2.1910669975186106</v>
      </c>
      <c r="G4" s="15">
        <f>step3_combined_data!AD406/step3_combined_data!AD409</f>
        <v>0.20595533498759305</v>
      </c>
      <c r="H4" s="15">
        <f>step3_combined_data!AD407/step3_combined_data!AD409</f>
        <v>0.43920595533498757</v>
      </c>
      <c r="I4" s="15">
        <f>step3_combined_data!AD408/step3_combined_data!AD409</f>
        <v>0.35483870967741937</v>
      </c>
      <c r="J4" s="15">
        <f>step3_combined_data!AB406/step3_combined_data!AB409</f>
        <v>0</v>
      </c>
      <c r="K4" s="15">
        <f>step3_combined_data!AB407/step3_combined_data!AB409</f>
        <v>0.23325062034739455</v>
      </c>
      <c r="L4" s="15">
        <f>step3_combined_data!AB408/step3_combined_data!AB409</f>
        <v>0.76674937965260548</v>
      </c>
      <c r="M4" s="25">
        <f t="shared" si="1"/>
        <v>1</v>
      </c>
    </row>
    <row r="5" spans="1:13" x14ac:dyDescent="0.45">
      <c r="A5" s="4" t="s">
        <v>16</v>
      </c>
      <c r="B5" s="33">
        <f>step3_combined_data!AJ405</f>
        <v>1.9131513647642679</v>
      </c>
      <c r="C5" s="15">
        <f>CM_REPORT!E36</f>
        <v>0.48883374689826303</v>
      </c>
      <c r="D5" s="24">
        <f>CM_REPORT!E37</f>
        <v>5.7854459953361028E-3</v>
      </c>
      <c r="E5" s="34">
        <f t="shared" si="0"/>
        <v>0.47146401985111663</v>
      </c>
      <c r="F5" s="37">
        <f>EMD!L405</f>
        <v>1.5086848635235732</v>
      </c>
      <c r="G5" s="15">
        <f>step3_combined_data!AI406/step3_combined_data!AI409</f>
        <v>5.2109181141439205E-2</v>
      </c>
      <c r="H5" s="15">
        <f>step3_combined_data!AI407/step3_combined_data!AI409</f>
        <v>0.45905707196029777</v>
      </c>
      <c r="I5" s="15">
        <f>step3_combined_data!AI408/step3_combined_data!AI409</f>
        <v>0.48883374689826303</v>
      </c>
      <c r="J5" s="15">
        <f>step3_combined_data!AG406/step3_combined_data!AG409</f>
        <v>0</v>
      </c>
      <c r="K5" s="15">
        <f>step3_combined_data!AG407/step3_combined_data!AG409</f>
        <v>3.9702233250620347E-2</v>
      </c>
      <c r="L5" s="15">
        <f>step3_combined_data!AG408/step3_combined_data!AG409</f>
        <v>0.96029776674937961</v>
      </c>
      <c r="M5" s="25">
        <f t="shared" si="1"/>
        <v>1</v>
      </c>
    </row>
    <row r="6" spans="1:13" x14ac:dyDescent="0.45">
      <c r="A6" s="4" t="s">
        <v>17</v>
      </c>
      <c r="B6" s="33">
        <f>step3_combined_data!AO405</f>
        <v>2.0024813895781639</v>
      </c>
      <c r="C6" s="15">
        <f>CM_REPORT!E46</f>
        <v>0.43890274314214461</v>
      </c>
      <c r="D6" s="24">
        <f>CM_REPORT!E47</f>
        <v>1.5352541778144001E-2</v>
      </c>
      <c r="E6" s="34">
        <f t="shared" si="0"/>
        <v>0.17614772002994991</v>
      </c>
      <c r="F6" s="37">
        <f>EMD!O405</f>
        <v>1.4565756823821341</v>
      </c>
      <c r="G6" s="15">
        <f>step3_combined_data!AN406/step3_combined_data!AN409</f>
        <v>0.14143920595533499</v>
      </c>
      <c r="H6" s="15">
        <f>step3_combined_data!AN407/step3_combined_data!AN409</f>
        <v>0.54094292803970223</v>
      </c>
      <c r="I6" s="15">
        <f>step3_combined_data!AN408/step3_combined_data!AN409</f>
        <v>0.31761786600496278</v>
      </c>
      <c r="J6" s="15">
        <f>step3_combined_data!AL406/step3_combined_data!AL409</f>
        <v>2.4937655860349127E-3</v>
      </c>
      <c r="K6" s="15">
        <f>step3_combined_data!AL407/step3_combined_data!AL409</f>
        <v>0.50374064837905241</v>
      </c>
      <c r="L6" s="15">
        <f>step3_combined_data!AL408/step3_combined_data!AL409</f>
        <v>0.49376558603491272</v>
      </c>
      <c r="M6" s="25">
        <f t="shared" si="1"/>
        <v>1</v>
      </c>
    </row>
    <row r="7" spans="1:13" x14ac:dyDescent="0.45">
      <c r="A7" s="4" t="s">
        <v>18</v>
      </c>
      <c r="B7" s="33">
        <f>step3_combined_data!AT405</f>
        <v>2.4739454094292803</v>
      </c>
      <c r="C7" s="15">
        <f>CM_REPORT!E56</f>
        <v>0.37406483790523692</v>
      </c>
      <c r="D7" s="24">
        <f>CM_REPORT!E57</f>
        <v>-5.2597953764656577E-2</v>
      </c>
      <c r="E7" s="34">
        <f t="shared" si="0"/>
        <v>0.56301553807788229</v>
      </c>
      <c r="F7" s="37">
        <f>EMD!R405</f>
        <v>2.1736972704714641</v>
      </c>
      <c r="G7" s="15">
        <f>step3_combined_data!AS406/step3_combined_data!AS409</f>
        <v>0.17369727047146402</v>
      </c>
      <c r="H7" s="15">
        <f>step3_combined_data!AS407/step3_combined_data!AS409</f>
        <v>0.44168734491315137</v>
      </c>
      <c r="I7" s="15">
        <f>step3_combined_data!AS408/step3_combined_data!AS409</f>
        <v>0.38461538461538464</v>
      </c>
      <c r="J7" s="15">
        <f>step3_combined_data!AQ406/step3_combined_data!AQ409</f>
        <v>0</v>
      </c>
      <c r="K7" s="15">
        <f>step3_combined_data!AQ407/step3_combined_data!AQ409</f>
        <v>5.2369077306733167E-2</v>
      </c>
      <c r="L7" s="15">
        <f>step3_combined_data!AQ408/step3_combined_data!AQ409</f>
        <v>0.94763092269326688</v>
      </c>
      <c r="M7" s="25">
        <f t="shared" si="1"/>
        <v>1</v>
      </c>
    </row>
    <row r="8" spans="1:13" x14ac:dyDescent="0.45">
      <c r="A8" s="4" t="s">
        <v>19</v>
      </c>
      <c r="B8" s="33">
        <f>step3_combined_data!AY405</f>
        <v>2.4069478908188584</v>
      </c>
      <c r="C8" s="15">
        <f>CM_REPORT!E66</f>
        <v>0.37905236907730672</v>
      </c>
      <c r="D8" s="24">
        <f>CM_REPORT!E67</f>
        <v>-2.9957471925947478E-2</v>
      </c>
      <c r="E8" s="34">
        <f t="shared" si="0"/>
        <v>0.28071261053322027</v>
      </c>
      <c r="F8" s="37">
        <f>EMD!U405</f>
        <v>1.903225806451613</v>
      </c>
      <c r="G8" s="15">
        <f>step3_combined_data!AX406/step3_combined_data!AX409</f>
        <v>0.17866004962779156</v>
      </c>
      <c r="H8" s="15">
        <f>step3_combined_data!AX407/step3_combined_data!AX409</f>
        <v>0.53846153846153844</v>
      </c>
      <c r="I8" s="15">
        <f>step3_combined_data!AX408/step3_combined_data!AX409</f>
        <v>0.28287841191066998</v>
      </c>
      <c r="J8" s="15">
        <f>step3_combined_data!AV406/step3_combined_data!AV409</f>
        <v>0</v>
      </c>
      <c r="K8" s="15">
        <f>step3_combined_data!AV407/step3_combined_data!AV409</f>
        <v>0.43640897755610975</v>
      </c>
      <c r="L8" s="15">
        <f>step3_combined_data!AV408/step3_combined_data!AV409</f>
        <v>0.56359102244389025</v>
      </c>
      <c r="M8" s="25">
        <f t="shared" si="1"/>
        <v>1</v>
      </c>
    </row>
    <row r="9" spans="1:13" x14ac:dyDescent="0.45">
      <c r="A9" s="4" t="s">
        <v>20</v>
      </c>
      <c r="B9" s="33">
        <f>step3_combined_data!BD405</f>
        <v>1.9875930521091811</v>
      </c>
      <c r="C9" s="15">
        <f>CM_REPORT!E75</f>
        <v>0.4314214463840399</v>
      </c>
      <c r="D9" s="24">
        <f>CM_REPORT!E76</f>
        <v>-2.843779790704893E-2</v>
      </c>
      <c r="E9" s="34">
        <f t="shared" si="0"/>
        <v>0.18854229191289762</v>
      </c>
      <c r="F9" s="37">
        <f>EMD!X405</f>
        <v>1.2630272952853598</v>
      </c>
      <c r="G9" s="15">
        <f>step3_combined_data!BC406/step3_combined_data!BC409</f>
        <v>0.11414392059553349</v>
      </c>
      <c r="H9" s="15">
        <f>step3_combined_data!BC407/step3_combined_data!BC409</f>
        <v>0.5831265508684863</v>
      </c>
      <c r="I9" s="15">
        <f>step3_combined_data!BC408/step3_combined_data!BC409</f>
        <v>0.30272952853598017</v>
      </c>
      <c r="J9" s="15">
        <f>step3_combined_data!BA406/step3_combined_data!BA409</f>
        <v>0</v>
      </c>
      <c r="K9" s="15">
        <f>step3_combined_data!BA407/step3_combined_data!BA409</f>
        <v>0.50872817955112215</v>
      </c>
      <c r="L9" s="15">
        <f>step3_combined_data!BA408/step3_combined_data!BA409</f>
        <v>0.49127182044887779</v>
      </c>
      <c r="M9" s="25">
        <f t="shared" si="1"/>
        <v>1</v>
      </c>
    </row>
    <row r="10" spans="1:13" x14ac:dyDescent="0.45">
      <c r="A10" s="4" t="s">
        <v>21</v>
      </c>
      <c r="B10" s="33">
        <f>step3_combined_data!BI405</f>
        <v>2.2059553349875931</v>
      </c>
      <c r="C10" s="15">
        <f>CM_REPORT!E85</f>
        <v>0.43890274314214461</v>
      </c>
      <c r="D10" s="24">
        <f>CM_REPORT!E86</f>
        <v>2.4020844643995076E-2</v>
      </c>
      <c r="E10" s="34">
        <f t="shared" si="0"/>
        <v>0.51586913609277052</v>
      </c>
      <c r="F10" s="37">
        <f>EMD!AA405</f>
        <v>1.9702233250620347</v>
      </c>
      <c r="G10" s="15">
        <f>step3_combined_data!BH406/step3_combined_data!BH409</f>
        <v>8.6848635235732011E-2</v>
      </c>
      <c r="H10" s="15">
        <f>step3_combined_data!BH407/step3_combined_data!BH409</f>
        <v>0.4813895781637717</v>
      </c>
      <c r="I10" s="15">
        <f>step3_combined_data!BH408/step3_combined_data!BH409</f>
        <v>0.4317617866004963</v>
      </c>
      <c r="J10" s="15">
        <f>step3_combined_data!BF406/step3_combined_data!BF409</f>
        <v>2.4937655860349127E-3</v>
      </c>
      <c r="K10" s="15">
        <f>step3_combined_data!BF407/step3_combined_data!BF409</f>
        <v>4.9875311720698257E-2</v>
      </c>
      <c r="L10" s="15">
        <f>step3_combined_data!BF408/step3_combined_data!BF409</f>
        <v>0.94763092269326688</v>
      </c>
      <c r="M10" s="25">
        <f t="shared" si="1"/>
        <v>1</v>
      </c>
    </row>
    <row r="13" spans="1:13" x14ac:dyDescent="0.45">
      <c r="C13" s="29"/>
      <c r="E13" s="27" t="s">
        <v>38</v>
      </c>
      <c r="F13" t="s">
        <v>168</v>
      </c>
      <c r="G13" s="29" t="s">
        <v>169</v>
      </c>
    </row>
    <row r="14" spans="1:13" x14ac:dyDescent="0.45">
      <c r="C14" s="25"/>
      <c r="E14" s="28" t="s">
        <v>166</v>
      </c>
      <c r="F14">
        <v>159</v>
      </c>
      <c r="G14" s="25">
        <f>GETPIVOTDATA("Giới tính của bạn:",$E$13,"Giới tính của bạn:","Male")/GETPIVOTDATA("Giới tính của bạn:",$E$13)</f>
        <v>0.39454094292803971</v>
      </c>
    </row>
    <row r="15" spans="1:13" x14ac:dyDescent="0.45">
      <c r="C15" s="25"/>
      <c r="E15" s="28" t="s">
        <v>167</v>
      </c>
      <c r="F15">
        <v>244</v>
      </c>
      <c r="G15" s="25">
        <f>GETPIVOTDATA("Giới tính của bạn:",$E$13,"Giới tính của bạn:","Female")/GETPIVOTDATA("Giới tính của bạn:",$E$13)</f>
        <v>0.60545905707196035</v>
      </c>
    </row>
    <row r="16" spans="1:13" x14ac:dyDescent="0.45">
      <c r="C16" s="25"/>
      <c r="E16" s="28" t="s">
        <v>34</v>
      </c>
      <c r="F16">
        <v>403</v>
      </c>
      <c r="G16" s="25">
        <f>G14+G15</f>
        <v>1</v>
      </c>
    </row>
    <row r="19" spans="3:7" x14ac:dyDescent="0.45">
      <c r="C19" s="29"/>
      <c r="E19" s="27" t="s">
        <v>39</v>
      </c>
      <c r="F19" t="s">
        <v>214</v>
      </c>
    </row>
    <row r="20" spans="3:7" x14ac:dyDescent="0.45">
      <c r="C20" s="25"/>
      <c r="E20" s="28" t="s">
        <v>189</v>
      </c>
      <c r="F20">
        <v>55</v>
      </c>
      <c r="G20" s="38">
        <f>GETPIVOTDATA("Độ tuổi của bạn:",$E$19,"Độ tuổi của bạn:","18 - 24")/GETPIVOTDATA("Độ tuổi của bạn:",$E$19)</f>
        <v>0.13647642679900746</v>
      </c>
    </row>
    <row r="21" spans="3:7" x14ac:dyDescent="0.45">
      <c r="C21" s="25"/>
      <c r="E21" s="28" t="s">
        <v>81</v>
      </c>
      <c r="F21">
        <v>79</v>
      </c>
      <c r="G21" s="38">
        <f>GETPIVOTDATA("Độ tuổi của bạn:",$E$19,"Độ tuổi của bạn:","25 - 29")/GETPIVOTDATA("Độ tuổi của bạn:",$E$19)</f>
        <v>0.19602977667493796</v>
      </c>
    </row>
    <row r="22" spans="3:7" x14ac:dyDescent="0.45">
      <c r="C22" s="25"/>
      <c r="E22" s="28" t="s">
        <v>73</v>
      </c>
      <c r="F22">
        <v>132</v>
      </c>
      <c r="G22" s="38">
        <f>GETPIVOTDATA("Độ tuổi của bạn:",$E$19,"Độ tuổi của bạn:","30 - 39")/GETPIVOTDATA("Độ tuổi của bạn:",$E$19)</f>
        <v>0.32754342431761785</v>
      </c>
    </row>
    <row r="23" spans="3:7" x14ac:dyDescent="0.45">
      <c r="E23" s="28" t="s">
        <v>79</v>
      </c>
      <c r="F23">
        <v>79</v>
      </c>
      <c r="G23" s="38">
        <f>GETPIVOTDATA("Độ tuổi của bạn:",$E$19,"Độ tuổi của bạn:","40 - 49")/GETPIVOTDATA("Độ tuổi của bạn:",$E$19)</f>
        <v>0.19602977667493796</v>
      </c>
    </row>
    <row r="24" spans="3:7" x14ac:dyDescent="0.45">
      <c r="E24" s="28" t="s">
        <v>192</v>
      </c>
      <c r="F24">
        <v>31</v>
      </c>
      <c r="G24" s="38">
        <f>GETPIVOTDATA("Độ tuổi của bạn:",$E$19,"Độ tuổi của bạn:","50 - 54")/GETPIVOTDATA("Độ tuổi của bạn:",$E$19)</f>
        <v>7.6923076923076927E-2</v>
      </c>
    </row>
    <row r="25" spans="3:7" x14ac:dyDescent="0.45">
      <c r="C25" s="29"/>
      <c r="E25" s="28" t="s">
        <v>194</v>
      </c>
      <c r="F25">
        <v>27</v>
      </c>
      <c r="G25" s="38">
        <f>GETPIVOTDATA("Độ tuổi của bạn:",$E$19,"Độ tuổi của bạn:","55 - 64")/GETPIVOTDATA("Độ tuổi của bạn:",$E$19)</f>
        <v>6.699751861042183E-2</v>
      </c>
    </row>
    <row r="26" spans="3:7" x14ac:dyDescent="0.45">
      <c r="C26" s="25"/>
      <c r="E26" s="28" t="s">
        <v>34</v>
      </c>
      <c r="F26">
        <v>403</v>
      </c>
      <c r="G26" s="38">
        <f>SUM(G20:G25)</f>
        <v>0.99999999999999989</v>
      </c>
    </row>
    <row r="27" spans="3:7" x14ac:dyDescent="0.45">
      <c r="C27" s="25"/>
    </row>
    <row r="28" spans="3:7" x14ac:dyDescent="0.45">
      <c r="C28" s="25"/>
    </row>
    <row r="29" spans="3:7" x14ac:dyDescent="0.45">
      <c r="E29" s="27" t="s">
        <v>40</v>
      </c>
      <c r="F29" t="s">
        <v>215</v>
      </c>
      <c r="G29" s="29" t="s">
        <v>169</v>
      </c>
    </row>
    <row r="30" spans="3:7" x14ac:dyDescent="0.45">
      <c r="E30" s="28" t="s">
        <v>80</v>
      </c>
      <c r="F30">
        <v>14</v>
      </c>
      <c r="G30" s="38">
        <f>GETPIVOTDATA("Khu vực bạn đang sinh sống:",$E$29,"Khu vực bạn đang sinh sống:","Nông thôn")/GETPIVOTDATA("Khu vực bạn đang sinh sống:",$E$29)</f>
        <v>3.4739454094292806E-2</v>
      </c>
    </row>
    <row r="31" spans="3:7" x14ac:dyDescent="0.45">
      <c r="C31" s="29"/>
      <c r="E31" s="28" t="s">
        <v>74</v>
      </c>
      <c r="F31">
        <v>389</v>
      </c>
      <c r="G31" s="38">
        <f>GETPIVOTDATA("Khu vực bạn đang sinh sống:",$E$29,"Khu vực bạn đang sinh sống:","Thành thị")/GETPIVOTDATA("Khu vực bạn đang sinh sống:",$E$29)</f>
        <v>0.9652605459057072</v>
      </c>
    </row>
    <row r="32" spans="3:7" x14ac:dyDescent="0.45">
      <c r="C32" s="25"/>
      <c r="E32" s="28" t="s">
        <v>34</v>
      </c>
      <c r="F32">
        <v>403</v>
      </c>
      <c r="G32" s="25">
        <f>G30+G31</f>
        <v>1</v>
      </c>
    </row>
    <row r="33" spans="3:7" x14ac:dyDescent="0.45">
      <c r="C33" s="25"/>
    </row>
    <row r="34" spans="3:7" x14ac:dyDescent="0.45">
      <c r="C34" s="25"/>
    </row>
    <row r="35" spans="3:7" x14ac:dyDescent="0.45">
      <c r="C35" s="25"/>
      <c r="E35" s="27" t="s">
        <v>41</v>
      </c>
      <c r="F35" t="s">
        <v>216</v>
      </c>
    </row>
    <row r="36" spans="3:7" x14ac:dyDescent="0.45">
      <c r="C36" s="25"/>
      <c r="E36" s="28" t="s">
        <v>191</v>
      </c>
      <c r="F36">
        <v>8</v>
      </c>
      <c r="G36" s="38">
        <f>GETPIVOTDATA("Trình độ học vấn cao nhất:",$E$35,"Trình độ học vấn cao nhất:","Cao đẳng")/GETPIVOTDATA("Trình độ học vấn cao nhất:",$E$35)</f>
        <v>1.9851116625310174E-2</v>
      </c>
    </row>
    <row r="37" spans="3:7" x14ac:dyDescent="0.45">
      <c r="C37" s="25"/>
      <c r="E37" s="28" t="s">
        <v>77</v>
      </c>
      <c r="F37">
        <v>274</v>
      </c>
      <c r="G37" s="38">
        <f>GETPIVOTDATA("Trình độ học vấn cao nhất:",$E$35,"Trình độ học vấn cao nhất:","Đại học")/GETPIVOTDATA("Trình độ học vấn cao nhất:",$E$35)</f>
        <v>0.67990074441687343</v>
      </c>
    </row>
    <row r="38" spans="3:7" x14ac:dyDescent="0.45">
      <c r="C38" s="25"/>
      <c r="E38" s="28" t="s">
        <v>75</v>
      </c>
      <c r="F38">
        <v>117</v>
      </c>
      <c r="G38" s="38">
        <f>GETPIVOTDATA("Trình độ học vấn cao nhất:",$E$35,"Trình độ học vấn cao nhất:","Sau Đại học")/GETPIVOTDATA("Trình độ học vấn cao nhất:",$E$35)</f>
        <v>0.29032258064516131</v>
      </c>
    </row>
    <row r="39" spans="3:7" x14ac:dyDescent="0.45">
      <c r="E39" s="28" t="s">
        <v>193</v>
      </c>
      <c r="F39">
        <v>4</v>
      </c>
      <c r="G39" s="38">
        <f>GETPIVOTDATA("Trình độ học vấn cao nhất:",$E$35,"Trình độ học vấn cao nhất:","Trung học phổ thông")/GETPIVOTDATA("Trình độ học vấn cao nhất:",$E$35)</f>
        <v>9.9255583126550868E-3</v>
      </c>
    </row>
    <row r="40" spans="3:7" x14ac:dyDescent="0.45">
      <c r="E40" s="28" t="s">
        <v>34</v>
      </c>
      <c r="F40">
        <v>403</v>
      </c>
      <c r="G40" s="25">
        <f>SUM(G36:G39)</f>
        <v>0.99999999999999989</v>
      </c>
    </row>
    <row r="41" spans="3:7" x14ac:dyDescent="0.45">
      <c r="C41" s="29"/>
    </row>
    <row r="42" spans="3:7" x14ac:dyDescent="0.45">
      <c r="C42" s="25"/>
    </row>
    <row r="43" spans="3:7" x14ac:dyDescent="0.45">
      <c r="C43" s="25"/>
      <c r="E43" s="27" t="s">
        <v>42</v>
      </c>
      <c r="F43" t="s">
        <v>217</v>
      </c>
    </row>
    <row r="44" spans="3:7" x14ac:dyDescent="0.45">
      <c r="C44" s="25"/>
      <c r="E44" s="28" t="s">
        <v>198</v>
      </c>
      <c r="F44">
        <v>9</v>
      </c>
      <c r="G44" s="38">
        <f>GETPIVOTDATA("Tình trạng việc làm chính:",$E$43,"Tình trạng việc làm chính:","Khác (Về hưu, nội trợ, sinh viên)")/GETPIVOTDATA("Tình trạng việc làm chính:",$E$43)</f>
        <v>2.2332506203473945E-2</v>
      </c>
    </row>
    <row r="45" spans="3:7" x14ac:dyDescent="0.45">
      <c r="C45" s="25"/>
      <c r="E45" s="28" t="s">
        <v>100</v>
      </c>
      <c r="F45">
        <v>377</v>
      </c>
      <c r="G45" s="38">
        <f>GETPIVOTDATA("Tình trạng việc làm chính:",$E$43,"Tình trạng việc làm chính:","Khu vực chính thức (Có Hợp đồng lao động, đóng BHXH)")/GETPIVOTDATA("Tình trạng việc làm chính:",$E$43)</f>
        <v>0.93548387096774188</v>
      </c>
    </row>
    <row r="46" spans="3:7" x14ac:dyDescent="0.45">
      <c r="C46" s="25"/>
      <c r="E46" s="28" t="s">
        <v>103</v>
      </c>
      <c r="F46">
        <v>17</v>
      </c>
      <c r="G46" s="38">
        <f>GETPIVOTDATA("Tình trạng việc làm chính:",$E$43,"Tình trạng việc làm chính:","Khu vực phi chính thức (Lao động tự do, không có HĐLĐ)")/GETPIVOTDATA("Tình trạng việc làm chính:",$E$43)</f>
        <v>4.2183622828784122E-2</v>
      </c>
    </row>
    <row r="47" spans="3:7" x14ac:dyDescent="0.45">
      <c r="E47" s="28" t="s">
        <v>34</v>
      </c>
      <c r="F47">
        <v>403</v>
      </c>
      <c r="G47" s="38">
        <f>SUM(G44:G46)</f>
        <v>0.99999999999999989</v>
      </c>
    </row>
    <row r="50" spans="5:7" x14ac:dyDescent="0.45">
      <c r="E50" s="27" t="s">
        <v>219</v>
      </c>
      <c r="F50" t="s">
        <v>218</v>
      </c>
    </row>
    <row r="51" spans="5:7" x14ac:dyDescent="0.45">
      <c r="E51" s="28" t="s">
        <v>195</v>
      </c>
      <c r="F51">
        <v>41</v>
      </c>
      <c r="G51"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TNCN)","Dưới 12 triệu VNĐ")/GETPIVOTDATA("Thu nhập bình quân tháng theo Hợp đồng lao động của bạn là bao nhiêu? (Vui lòng điền tổng thu nhập trước khi khấu trừ các loại Bảo hiểm (BHXH, BHYT, BHTN) và Thuế TNCN)",$E$50)</f>
        <v>0.10173697270471464</v>
      </c>
    </row>
    <row r="52" spans="5:7" x14ac:dyDescent="0.45">
      <c r="E52" s="28" t="s">
        <v>108</v>
      </c>
      <c r="F52">
        <v>35</v>
      </c>
      <c r="G52"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TNCN)","Trên 102 triệu VNĐ")/GETPIVOTDATA("Thu nhập bình quân tháng theo Hợp đồng lao động của bạn là bao nhiêu? (Vui lòng điền tổng thu nhập trước khi khấu trừ các loại Bảo hiểm (BHXH, BHYT, BHTN) và Thuế TNCN)",$E$50)</f>
        <v>8.6848635235732011E-2</v>
      </c>
    </row>
    <row r="53" spans="5:7" x14ac:dyDescent="0.45">
      <c r="E53" s="28" t="s">
        <v>104</v>
      </c>
      <c r="F53">
        <v>79</v>
      </c>
      <c r="G53"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12 - 18 triệu VNĐ")/GETPIVOTDATA("Thu nhập bình quân tháng theo Hợp đồng lao động của bạn là bao nhiêu? (Vui lòng điền tổng thu nhập trước khi khấu trừ các loại Bảo hiểm (BHXH, BHYT, BHTN) và Thuế TNCN)",$E$50)</f>
        <v>0.19602977667493796</v>
      </c>
    </row>
    <row r="54" spans="5:7" x14ac:dyDescent="0.45">
      <c r="E54" s="28" t="s">
        <v>197</v>
      </c>
      <c r="F54">
        <v>41</v>
      </c>
      <c r="G54"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18 - 23 triệu VNĐ")/GETPIVOTDATA("Thu nhập bình quân tháng theo Hợp đồng lao động của bạn là bao nhiêu? (Vui lòng điền tổng thu nhập trước khi khấu trừ các loại Bảo hiểm (BHXH, BHYT, BHTN) và Thuế TNCN)",$E$50)</f>
        <v>0.10173697270471464</v>
      </c>
    </row>
    <row r="55" spans="5:7" x14ac:dyDescent="0.45">
      <c r="E55" s="28" t="s">
        <v>101</v>
      </c>
      <c r="F55">
        <v>53</v>
      </c>
      <c r="G55"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23 - 32 triệu VNĐ")/GETPIVOTDATA("Thu nhập bình quân tháng theo Hợp đồng lao động của bạn là bao nhiêu? (Vui lòng điền tổng thu nhập trước khi khấu trừ các loại Bảo hiểm (BHXH, BHYT, BHTN) và Thuế TNCN)",$E$50)</f>
        <v>0.13151364764267989</v>
      </c>
    </row>
    <row r="56" spans="5:7" x14ac:dyDescent="0.45">
      <c r="E56" s="28" t="s">
        <v>109</v>
      </c>
      <c r="F56">
        <v>53</v>
      </c>
      <c r="G56"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32 - 48 triệu VNĐ")/GETPIVOTDATA("Thu nhập bình quân tháng theo Hợp đồng lao động của bạn là bao nhiêu? (Vui lòng điền tổng thu nhập trước khi khấu trừ các loại Bảo hiểm (BHXH, BHYT, BHTN) và Thuế TNCN)",$E$50)</f>
        <v>0.13151364764267989</v>
      </c>
    </row>
    <row r="57" spans="5:7" x14ac:dyDescent="0.45">
      <c r="E57" s="28" t="s">
        <v>111</v>
      </c>
      <c r="F57">
        <v>62</v>
      </c>
      <c r="G57"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48 - 70 triệu VNĐ")/GETPIVOTDATA("Thu nhập bình quân tháng theo Hợp đồng lao động của bạn là bao nhiêu? (Vui lòng điền tổng thu nhập trước khi khấu trừ các loại Bảo hiểm (BHXH, BHYT, BHTN) và Thuế TNCN)",$E$50)</f>
        <v>0.15384615384615385</v>
      </c>
    </row>
    <row r="58" spans="5:7" x14ac:dyDescent="0.45">
      <c r="E58" s="28" t="s">
        <v>107</v>
      </c>
      <c r="F58">
        <v>39</v>
      </c>
      <c r="G58"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70 - 102 triệu VNĐ")/GETPIVOTDATA("Thu nhập bình quân tháng theo Hợp đồng lao động của bạn là bao nhiêu? (Vui lòng điền tổng thu nhập trước khi khấu trừ các loại Bảo hiểm (BHXH, BHYT, BHTN) và Thuế TNCN)",$E$50)</f>
        <v>9.6774193548387094E-2</v>
      </c>
    </row>
    <row r="59" spans="5:7" x14ac:dyDescent="0.45">
      <c r="E59" s="28" t="s">
        <v>34</v>
      </c>
      <c r="F59">
        <v>403</v>
      </c>
      <c r="G59" s="38">
        <f>SUM(G51:G58)</f>
        <v>1</v>
      </c>
    </row>
    <row r="62" spans="5:7" x14ac:dyDescent="0.45">
      <c r="E62" s="27" t="s">
        <v>42</v>
      </c>
      <c r="F62" t="s">
        <v>220</v>
      </c>
    </row>
    <row r="63" spans="5:7" x14ac:dyDescent="0.45">
      <c r="E63" s="28" t="s">
        <v>110</v>
      </c>
      <c r="F63">
        <v>153</v>
      </c>
      <c r="G63" s="38">
        <f>GETPIVOTDATA("Số người phụ thuộc (con nhỏ, cha mẹ già...) đủ điều kiện giảm trừ gia cảnh:",$E$62,"Số người phụ thuộc (con nhỏ, cha mẹ già...) đủ điều kiện giảm trừ gia cảnh:","0 người")/GETPIVOTDATA("Số người phụ thuộc (con nhỏ, cha mẹ già...) đủ điều kiện giảm trừ gia cảnh:",$E$62)</f>
        <v>0.37965260545905705</v>
      </c>
    </row>
    <row r="64" spans="5:7" x14ac:dyDescent="0.45">
      <c r="E64" s="28" t="s">
        <v>102</v>
      </c>
      <c r="F64">
        <v>79</v>
      </c>
      <c r="G64" s="38">
        <f>GETPIVOTDATA("Số người phụ thuộc (con nhỏ, cha mẹ già...) đủ điều kiện giảm trừ gia cảnh:",$E$62,"Số người phụ thuộc (con nhỏ, cha mẹ già...) đủ điều kiện giảm trừ gia cảnh:","1 người")/GETPIVOTDATA("Số người phụ thuộc (con nhỏ, cha mẹ già...) đủ điều kiện giảm trừ gia cảnh:",$E$62)</f>
        <v>0.19602977667493796</v>
      </c>
    </row>
    <row r="65" spans="5:7" x14ac:dyDescent="0.45">
      <c r="E65" s="28" t="s">
        <v>105</v>
      </c>
      <c r="F65">
        <v>88</v>
      </c>
      <c r="G65" s="38">
        <f>GETPIVOTDATA("Số người phụ thuộc (con nhỏ, cha mẹ già...) đủ điều kiện giảm trừ gia cảnh:",$E$62,"Số người phụ thuộc (con nhỏ, cha mẹ già...) đủ điều kiện giảm trừ gia cảnh:","2 người")/GETPIVOTDATA("Số người phụ thuộc (con nhỏ, cha mẹ già...) đủ điều kiện giảm trừ gia cảnh:",$E$62)</f>
        <v>0.21836228287841192</v>
      </c>
    </row>
    <row r="66" spans="5:7" x14ac:dyDescent="0.45">
      <c r="E66" s="28" t="s">
        <v>106</v>
      </c>
      <c r="F66">
        <v>45</v>
      </c>
      <c r="G66" s="38">
        <f>GETPIVOTDATA("Số người phụ thuộc (con nhỏ, cha mẹ già...) đủ điều kiện giảm trừ gia cảnh:",$E$62,"Số người phụ thuộc (con nhỏ, cha mẹ già...) đủ điều kiện giảm trừ gia cảnh:","3 người")/GETPIVOTDATA("Số người phụ thuộc (con nhỏ, cha mẹ già...) đủ điều kiện giảm trừ gia cảnh:",$E$62)</f>
        <v>0.11166253101736973</v>
      </c>
    </row>
    <row r="67" spans="5:7" x14ac:dyDescent="0.45">
      <c r="E67" s="28" t="s">
        <v>196</v>
      </c>
      <c r="F67">
        <v>38</v>
      </c>
      <c r="G67" s="38">
        <f>GETPIVOTDATA("Số người phụ thuộc (con nhỏ, cha mẹ già...) đủ điều kiện giảm trừ gia cảnh:",$E$62,"Số người phụ thuộc (con nhỏ, cha mẹ già...) đủ điều kiện giảm trừ gia cảnh:","4 người trở lên")/GETPIVOTDATA("Số người phụ thuộc (con nhỏ, cha mẹ già...) đủ điều kiện giảm trừ gia cảnh:",$E$62)</f>
        <v>9.4292803970223327E-2</v>
      </c>
    </row>
    <row r="68" spans="5:7" x14ac:dyDescent="0.45">
      <c r="E68" s="28" t="s">
        <v>34</v>
      </c>
      <c r="F68">
        <v>403</v>
      </c>
      <c r="G68" s="38">
        <f>SUM(G63:G67)</f>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E655-95C4-471B-9EC9-F76FA853AAF6}">
  <dimension ref="A1:K86"/>
  <sheetViews>
    <sheetView topLeftCell="A70" workbookViewId="0">
      <selection activeCell="H8" sqref="H8"/>
    </sheetView>
  </sheetViews>
  <sheetFormatPr defaultRowHeight="14.25" x14ac:dyDescent="0.45"/>
  <cols>
    <col min="2" max="2" width="16.73046875" bestFit="1" customWidth="1"/>
  </cols>
  <sheetData>
    <row r="1" spans="1:11" x14ac:dyDescent="0.45">
      <c r="A1" s="40" t="s">
        <v>22</v>
      </c>
      <c r="B1" s="40"/>
      <c r="C1" s="39" t="s">
        <v>23</v>
      </c>
      <c r="D1" s="39"/>
      <c r="E1" s="39"/>
      <c r="F1" s="1" t="s">
        <v>34</v>
      </c>
    </row>
    <row r="2" spans="1:11" x14ac:dyDescent="0.45">
      <c r="A2" s="40"/>
      <c r="B2" s="40"/>
      <c r="C2" s="1" t="s">
        <v>1</v>
      </c>
      <c r="D2" s="1" t="s">
        <v>2</v>
      </c>
      <c r="E2" s="1" t="s">
        <v>3</v>
      </c>
      <c r="F2" s="4"/>
    </row>
    <row r="3" spans="1:11" x14ac:dyDescent="0.45">
      <c r="A3" s="39" t="s">
        <v>24</v>
      </c>
      <c r="B3" s="1" t="s">
        <v>1</v>
      </c>
      <c r="C3" s="3">
        <f>CM_ENF1!B2</f>
        <v>0</v>
      </c>
      <c r="D3" s="4">
        <f>CM_ENF1!C2</f>
        <v>0</v>
      </c>
      <c r="E3" s="4">
        <f>CM_ENF1!D2</f>
        <v>1</v>
      </c>
      <c r="F3" s="6">
        <f>SUM(C3:E3)</f>
        <v>1</v>
      </c>
    </row>
    <row r="4" spans="1:11" x14ac:dyDescent="0.45">
      <c r="A4" s="39"/>
      <c r="B4" s="1" t="s">
        <v>2</v>
      </c>
      <c r="C4" s="4">
        <f>CM_ENF1!B3</f>
        <v>39</v>
      </c>
      <c r="D4" s="3">
        <f>CM_ENF1!C3</f>
        <v>135</v>
      </c>
      <c r="E4" s="4">
        <f>CM_ENF1!D3</f>
        <v>115</v>
      </c>
      <c r="F4" s="6">
        <f t="shared" ref="F4:F5" si="0">SUM(C4:E4)</f>
        <v>289</v>
      </c>
    </row>
    <row r="5" spans="1:11" x14ac:dyDescent="0.45">
      <c r="A5" s="39"/>
      <c r="B5" s="1" t="s">
        <v>3</v>
      </c>
      <c r="C5" s="4">
        <f>CM_ENF1!B4</f>
        <v>16</v>
      </c>
      <c r="D5" s="4">
        <f>CM_ENF1!C4</f>
        <v>45</v>
      </c>
      <c r="E5" s="3">
        <f>CM_ENF1!D4</f>
        <v>52</v>
      </c>
      <c r="F5" s="6">
        <f t="shared" si="0"/>
        <v>113</v>
      </c>
      <c r="G5" s="26" t="s">
        <v>36</v>
      </c>
      <c r="H5" s="26" t="s">
        <v>165</v>
      </c>
      <c r="I5" s="26" t="s">
        <v>163</v>
      </c>
      <c r="J5" s="26" t="s">
        <v>164</v>
      </c>
    </row>
    <row r="6" spans="1:11" x14ac:dyDescent="0.45">
      <c r="A6" s="2"/>
      <c r="B6" s="1" t="s">
        <v>34</v>
      </c>
      <c r="C6" s="6">
        <f>SUM(C3:C5)</f>
        <v>55</v>
      </c>
      <c r="D6" s="6">
        <f>SUM(D3:D5)</f>
        <v>180</v>
      </c>
      <c r="E6" s="6">
        <f>SUM(E3:E5)</f>
        <v>168</v>
      </c>
      <c r="F6" s="6">
        <f>SUM(C6:E6)</f>
        <v>403</v>
      </c>
      <c r="G6" s="8">
        <f>C3+D4+E5</f>
        <v>187</v>
      </c>
      <c r="H6" s="8">
        <f>(C6*F3)+(D6*F4)+(E6*F5)</f>
        <v>71059</v>
      </c>
      <c r="I6" s="8">
        <f>(C6^2)+(D6^2)+(E6^2)</f>
        <v>63649</v>
      </c>
      <c r="J6" s="8">
        <f>(F3^2)+(F4^2)+(F5^2)</f>
        <v>96291</v>
      </c>
      <c r="K6" s="10"/>
    </row>
    <row r="7" spans="1:11" x14ac:dyDescent="0.45">
      <c r="A7" s="4"/>
      <c r="B7" s="5" t="s">
        <v>25</v>
      </c>
      <c r="C7" s="6"/>
      <c r="D7" s="6"/>
      <c r="E7" s="16">
        <f>(C3+D4+E5)/F6</f>
        <v>0.4640198511166253</v>
      </c>
      <c r="F7" s="4"/>
    </row>
    <row r="8" spans="1:11" x14ac:dyDescent="0.45">
      <c r="A8" s="4"/>
      <c r="B8" s="5" t="s">
        <v>35</v>
      </c>
      <c r="C8" s="4"/>
      <c r="D8" s="4"/>
      <c r="E8" s="9">
        <f>(G6*F6-H6)/SQRT((F6^2-I6)*(F6^2-J6))</f>
        <v>5.3237789086219262E-2</v>
      </c>
      <c r="F8" s="4"/>
    </row>
    <row r="10" spans="1:11" x14ac:dyDescent="0.45">
      <c r="A10" s="40" t="s">
        <v>26</v>
      </c>
      <c r="B10" s="40"/>
      <c r="C10" s="39" t="s">
        <v>23</v>
      </c>
      <c r="D10" s="39"/>
      <c r="E10" s="39"/>
      <c r="F10" s="1" t="s">
        <v>34</v>
      </c>
    </row>
    <row r="11" spans="1:11" x14ac:dyDescent="0.45">
      <c r="A11" s="40"/>
      <c r="B11" s="40"/>
      <c r="C11" s="1" t="s">
        <v>1</v>
      </c>
      <c r="D11" s="1" t="s">
        <v>2</v>
      </c>
      <c r="E11" s="1" t="s">
        <v>3</v>
      </c>
      <c r="F11" s="4"/>
    </row>
    <row r="12" spans="1:11" x14ac:dyDescent="0.45">
      <c r="A12" s="39" t="s">
        <v>24</v>
      </c>
      <c r="B12" s="1" t="s">
        <v>1</v>
      </c>
      <c r="C12" s="3">
        <f>CM_ENF2!B2</f>
        <v>1</v>
      </c>
      <c r="D12" s="4">
        <f>CM_ENF2!C2</f>
        <v>0</v>
      </c>
      <c r="E12" s="4">
        <f>CM_ENF2!D2</f>
        <v>2</v>
      </c>
      <c r="F12" s="6">
        <f>SUM(C12:E12)</f>
        <v>3</v>
      </c>
    </row>
    <row r="13" spans="1:11" x14ac:dyDescent="0.45">
      <c r="A13" s="39"/>
      <c r="B13" s="1" t="s">
        <v>2</v>
      </c>
      <c r="C13" s="4">
        <f>CM_ENF2!B3</f>
        <v>20</v>
      </c>
      <c r="D13" s="3">
        <f>CM_ENF2!C3</f>
        <v>86</v>
      </c>
      <c r="E13" s="4">
        <f>CM_ENF2!D3</f>
        <v>100</v>
      </c>
      <c r="F13" s="6">
        <f t="shared" ref="F13:F14" si="1">SUM(C13:E13)</f>
        <v>206</v>
      </c>
    </row>
    <row r="14" spans="1:11" x14ac:dyDescent="0.45">
      <c r="A14" s="39"/>
      <c r="B14" s="1" t="s">
        <v>3</v>
      </c>
      <c r="C14" s="4">
        <f>CM_ENF2!B4</f>
        <v>24</v>
      </c>
      <c r="D14" s="4">
        <f>CM_ENF2!C4</f>
        <v>80</v>
      </c>
      <c r="E14" s="3">
        <f>CM_ENF2!D4</f>
        <v>90</v>
      </c>
      <c r="F14" s="6">
        <f t="shared" si="1"/>
        <v>194</v>
      </c>
      <c r="G14" s="26" t="s">
        <v>36</v>
      </c>
      <c r="H14" s="26" t="s">
        <v>165</v>
      </c>
      <c r="I14" s="26" t="s">
        <v>163</v>
      </c>
      <c r="J14" s="26" t="s">
        <v>164</v>
      </c>
    </row>
    <row r="15" spans="1:11" x14ac:dyDescent="0.45">
      <c r="A15" s="2"/>
      <c r="B15" s="1" t="s">
        <v>34</v>
      </c>
      <c r="C15" s="6">
        <f>SUM(C12:C14)</f>
        <v>45</v>
      </c>
      <c r="D15" s="6">
        <f>SUM(D12:D14)</f>
        <v>166</v>
      </c>
      <c r="E15" s="6">
        <f>SUM(E12:E14)</f>
        <v>192</v>
      </c>
      <c r="F15" s="6">
        <f>SUM(C15:E15)</f>
        <v>403</v>
      </c>
      <c r="G15" s="8">
        <f>C12+D13+E14</f>
        <v>177</v>
      </c>
      <c r="H15" s="8">
        <f>(C15*F12)+(D15*F13)+(E15*F14)</f>
        <v>71579</v>
      </c>
      <c r="I15" s="8">
        <f>(C15^2)+(D15^2)+(E15^2)</f>
        <v>66445</v>
      </c>
      <c r="J15" s="8">
        <f>(F12^2)+(F13^2)+(F14^2)</f>
        <v>80081</v>
      </c>
      <c r="K15" s="10"/>
    </row>
    <row r="16" spans="1:11" x14ac:dyDescent="0.45">
      <c r="A16" s="4"/>
      <c r="B16" s="5" t="s">
        <v>25</v>
      </c>
      <c r="C16" s="6"/>
      <c r="D16" s="6"/>
      <c r="E16" s="16">
        <f>(C12+D13+E14)/F15</f>
        <v>0.43920595533498757</v>
      </c>
      <c r="F16" s="4"/>
    </row>
    <row r="17" spans="1:11" x14ac:dyDescent="0.45">
      <c r="A17" s="4"/>
      <c r="B17" s="5" t="s">
        <v>35</v>
      </c>
      <c r="C17" s="4"/>
      <c r="D17" s="4"/>
      <c r="E17" s="9">
        <f>(G15*F15-H15)/SQRT((F15^2-I15)*(F15^2-J15))</f>
        <v>-2.7901254286529942E-3</v>
      </c>
      <c r="F17" s="4"/>
    </row>
    <row r="20" spans="1:11" x14ac:dyDescent="0.45">
      <c r="A20" s="40" t="s">
        <v>27</v>
      </c>
      <c r="B20" s="40"/>
      <c r="C20" s="39" t="s">
        <v>23</v>
      </c>
      <c r="D20" s="39"/>
      <c r="E20" s="39"/>
      <c r="F20" s="1" t="s">
        <v>34</v>
      </c>
    </row>
    <row r="21" spans="1:11" x14ac:dyDescent="0.45">
      <c r="A21" s="40"/>
      <c r="B21" s="40"/>
      <c r="C21" s="1" t="s">
        <v>1</v>
      </c>
      <c r="D21" s="1" t="s">
        <v>2</v>
      </c>
      <c r="E21" s="1" t="s">
        <v>3</v>
      </c>
      <c r="F21" s="4"/>
    </row>
    <row r="22" spans="1:11" x14ac:dyDescent="0.45">
      <c r="A22" s="39" t="s">
        <v>24</v>
      </c>
      <c r="B22" s="1" t="s">
        <v>1</v>
      </c>
      <c r="C22" s="3">
        <f>CM_FAC1!B2</f>
        <v>0</v>
      </c>
      <c r="D22" s="4">
        <f>CM_FAC1!C2</f>
        <v>0</v>
      </c>
      <c r="E22" s="4">
        <f>CM_FAC1!D2</f>
        <v>0</v>
      </c>
      <c r="F22" s="6">
        <f>SUM(C22:E22)</f>
        <v>0</v>
      </c>
    </row>
    <row r="23" spans="1:11" x14ac:dyDescent="0.45">
      <c r="A23" s="39"/>
      <c r="B23" s="1" t="s">
        <v>2</v>
      </c>
      <c r="C23" s="4">
        <f>CM_FAC1!B3</f>
        <v>24</v>
      </c>
      <c r="D23" s="3">
        <f>CM_FAC1!C3</f>
        <v>41</v>
      </c>
      <c r="E23" s="4">
        <f>CM_FAC1!D3</f>
        <v>29</v>
      </c>
      <c r="F23" s="6">
        <f t="shared" ref="F23:F24" si="2">SUM(C23:E23)</f>
        <v>94</v>
      </c>
    </row>
    <row r="24" spans="1:11" x14ac:dyDescent="0.45">
      <c r="A24" s="39"/>
      <c r="B24" s="1" t="s">
        <v>3</v>
      </c>
      <c r="C24" s="4">
        <f>CM_FAC1!B4</f>
        <v>59</v>
      </c>
      <c r="D24" s="4">
        <f>CM_FAC1!C4</f>
        <v>136</v>
      </c>
      <c r="E24" s="3">
        <f>CM_FAC1!D4</f>
        <v>114</v>
      </c>
      <c r="F24" s="6">
        <f t="shared" si="2"/>
        <v>309</v>
      </c>
      <c r="G24" s="26" t="s">
        <v>36</v>
      </c>
      <c r="H24" s="26" t="s">
        <v>165</v>
      </c>
      <c r="I24" s="26" t="s">
        <v>163</v>
      </c>
      <c r="J24" s="26" t="s">
        <v>164</v>
      </c>
    </row>
    <row r="25" spans="1:11" x14ac:dyDescent="0.45">
      <c r="A25" s="2"/>
      <c r="B25" s="1" t="s">
        <v>34</v>
      </c>
      <c r="C25" s="6">
        <f>SUM(C22:C24)</f>
        <v>83</v>
      </c>
      <c r="D25" s="6">
        <f>SUM(D22:D24)</f>
        <v>177</v>
      </c>
      <c r="E25" s="6">
        <f>SUM(E22:E24)</f>
        <v>143</v>
      </c>
      <c r="F25" s="6">
        <f>SUM(C25:E25)</f>
        <v>403</v>
      </c>
      <c r="G25" s="8">
        <f>C22+D23+E24</f>
        <v>155</v>
      </c>
      <c r="H25" s="8">
        <f>(C25*F22)+(D25*F23)+(E25*F24)</f>
        <v>60825</v>
      </c>
      <c r="I25" s="8">
        <f>(C25^2)+(D25^2)+(E25^2)</f>
        <v>58667</v>
      </c>
      <c r="J25" s="8">
        <f>(F22^2)+(F23^2)+(F24^2)</f>
        <v>104317</v>
      </c>
      <c r="K25" s="10"/>
    </row>
    <row r="26" spans="1:11" x14ac:dyDescent="0.45">
      <c r="A26" s="4"/>
      <c r="B26" s="5" t="s">
        <v>25</v>
      </c>
      <c r="C26" s="6"/>
      <c r="D26" s="6"/>
      <c r="E26" s="16">
        <f>(C22+D23+E24)/F25</f>
        <v>0.38461538461538464</v>
      </c>
      <c r="F26" s="4"/>
    </row>
    <row r="27" spans="1:11" x14ac:dyDescent="0.45">
      <c r="A27" s="4"/>
      <c r="B27" s="5" t="s">
        <v>35</v>
      </c>
      <c r="C27" s="4"/>
      <c r="D27" s="4"/>
      <c r="E27" s="9">
        <f>(G25*F25-H25)/SQRT((F25^2-I25)*(F25^2-J25))</f>
        <v>2.1125567073383918E-2</v>
      </c>
      <c r="F27" s="4"/>
    </row>
    <row r="30" spans="1:11" x14ac:dyDescent="0.45">
      <c r="A30" s="40" t="s">
        <v>28</v>
      </c>
      <c r="B30" s="40"/>
      <c r="C30" s="39" t="s">
        <v>23</v>
      </c>
      <c r="D30" s="39"/>
      <c r="E30" s="39"/>
      <c r="F30" s="1" t="s">
        <v>34</v>
      </c>
    </row>
    <row r="31" spans="1:11" x14ac:dyDescent="0.45">
      <c r="A31" s="40"/>
      <c r="B31" s="40"/>
      <c r="C31" s="1" t="s">
        <v>1</v>
      </c>
      <c r="D31" s="1" t="s">
        <v>2</v>
      </c>
      <c r="E31" s="1" t="s">
        <v>3</v>
      </c>
      <c r="F31" s="4"/>
    </row>
    <row r="32" spans="1:11" x14ac:dyDescent="0.45">
      <c r="A32" s="39" t="s">
        <v>24</v>
      </c>
      <c r="B32" s="1" t="s">
        <v>1</v>
      </c>
      <c r="C32" s="3">
        <f>CM_FAC2!B2</f>
        <v>0</v>
      </c>
      <c r="D32" s="4">
        <f>CM_FAC2!C2</f>
        <v>0</v>
      </c>
      <c r="E32" s="4">
        <f>CM_FAC2!D2</f>
        <v>0</v>
      </c>
      <c r="F32" s="6">
        <f>SUM(C32:E32)</f>
        <v>0</v>
      </c>
    </row>
    <row r="33" spans="1:11" x14ac:dyDescent="0.45">
      <c r="A33" s="39"/>
      <c r="B33" s="1" t="s">
        <v>2</v>
      </c>
      <c r="C33" s="4">
        <f>CM_FAC2!B3</f>
        <v>2</v>
      </c>
      <c r="D33" s="3">
        <f>CM_FAC2!C3</f>
        <v>7</v>
      </c>
      <c r="E33" s="4">
        <f>CM_FAC2!D3</f>
        <v>7</v>
      </c>
      <c r="F33" s="6">
        <f t="shared" ref="F33:F34" si="3">SUM(C33:E33)</f>
        <v>16</v>
      </c>
    </row>
    <row r="34" spans="1:11" x14ac:dyDescent="0.45">
      <c r="A34" s="39"/>
      <c r="B34" s="1" t="s">
        <v>3</v>
      </c>
      <c r="C34" s="4">
        <f>CM_FAC2!B4</f>
        <v>19</v>
      </c>
      <c r="D34" s="4">
        <f>CM_FAC2!C4</f>
        <v>178</v>
      </c>
      <c r="E34" s="3">
        <f>CM_FAC2!D4</f>
        <v>190</v>
      </c>
      <c r="F34" s="6">
        <f t="shared" si="3"/>
        <v>387</v>
      </c>
      <c r="G34" s="26" t="s">
        <v>36</v>
      </c>
      <c r="H34" s="26" t="s">
        <v>165</v>
      </c>
      <c r="I34" s="26" t="s">
        <v>163</v>
      </c>
      <c r="J34" s="26" t="s">
        <v>164</v>
      </c>
    </row>
    <row r="35" spans="1:11" x14ac:dyDescent="0.45">
      <c r="A35" s="2"/>
      <c r="B35" s="1" t="s">
        <v>34</v>
      </c>
      <c r="C35" s="6">
        <f>SUM(C32:C34)</f>
        <v>21</v>
      </c>
      <c r="D35" s="6">
        <f>SUM(D32:D34)</f>
        <v>185</v>
      </c>
      <c r="E35" s="6">
        <f>SUM(E32:E34)</f>
        <v>197</v>
      </c>
      <c r="F35" s="6">
        <f>SUM(C35:E35)</f>
        <v>403</v>
      </c>
      <c r="G35" s="8">
        <f>C32+D33+E34</f>
        <v>197</v>
      </c>
      <c r="H35" s="8">
        <f>(C35*F32)+(D35*F33)+(E35*F34)</f>
        <v>79199</v>
      </c>
      <c r="I35" s="8">
        <f>(C35^2)+(D35^2)+(E35^2)</f>
        <v>73475</v>
      </c>
      <c r="J35" s="8">
        <f>(F32^2)+(F33^2)+(F34^2)</f>
        <v>150025</v>
      </c>
      <c r="K35" s="10"/>
    </row>
    <row r="36" spans="1:11" x14ac:dyDescent="0.45">
      <c r="A36" s="4"/>
      <c r="B36" s="5" t="s">
        <v>25</v>
      </c>
      <c r="C36" s="6"/>
      <c r="D36" s="6"/>
      <c r="E36" s="16">
        <f>(C32+D33+E34)/F35</f>
        <v>0.48883374689826303</v>
      </c>
      <c r="F36" s="4"/>
    </row>
    <row r="37" spans="1:11" x14ac:dyDescent="0.45">
      <c r="A37" s="4"/>
      <c r="B37" s="5" t="s">
        <v>35</v>
      </c>
      <c r="C37" s="4"/>
      <c r="D37" s="4"/>
      <c r="E37" s="9">
        <f>(G35*F35-H35)/SQRT((F35^2-I35)*(F35^2-J35))</f>
        <v>5.7854459953361028E-3</v>
      </c>
      <c r="F37" s="4"/>
    </row>
    <row r="40" spans="1:11" x14ac:dyDescent="0.45">
      <c r="A40" s="40" t="s">
        <v>29</v>
      </c>
      <c r="B40" s="40"/>
      <c r="C40" s="39" t="s">
        <v>23</v>
      </c>
      <c r="D40" s="39"/>
      <c r="E40" s="39"/>
      <c r="F40" s="1" t="s">
        <v>34</v>
      </c>
    </row>
    <row r="41" spans="1:11" x14ac:dyDescent="0.45">
      <c r="A41" s="40"/>
      <c r="B41" s="40"/>
      <c r="C41" s="1" t="s">
        <v>1</v>
      </c>
      <c r="D41" s="1" t="s">
        <v>2</v>
      </c>
      <c r="E41" s="1" t="s">
        <v>3</v>
      </c>
      <c r="F41" s="4"/>
    </row>
    <row r="42" spans="1:11" x14ac:dyDescent="0.45">
      <c r="A42" s="39" t="s">
        <v>24</v>
      </c>
      <c r="B42" s="1" t="s">
        <v>1</v>
      </c>
      <c r="C42" s="3">
        <f>CM_TRU1!B2</f>
        <v>0</v>
      </c>
      <c r="D42" s="4">
        <f>CM_TRU1!C2</f>
        <v>1</v>
      </c>
      <c r="E42" s="4">
        <f>CM_TRU1!D2</f>
        <v>0</v>
      </c>
      <c r="F42" s="6">
        <f>SUM(C42:E42)</f>
        <v>1</v>
      </c>
    </row>
    <row r="43" spans="1:11" x14ac:dyDescent="0.45">
      <c r="A43" s="39"/>
      <c r="B43" s="1" t="s">
        <v>2</v>
      </c>
      <c r="C43" s="4">
        <f>CM_TRU1!B3</f>
        <v>37</v>
      </c>
      <c r="D43" s="3">
        <f>CM_TRU1!C3</f>
        <v>107</v>
      </c>
      <c r="E43" s="4">
        <f>CM_TRU1!D3</f>
        <v>58</v>
      </c>
      <c r="F43" s="6">
        <f t="shared" ref="F43:F44" si="4">SUM(C43:E43)</f>
        <v>202</v>
      </c>
    </row>
    <row r="44" spans="1:11" x14ac:dyDescent="0.45">
      <c r="A44" s="39"/>
      <c r="B44" s="1" t="s">
        <v>3</v>
      </c>
      <c r="C44" s="4">
        <f>CM_TRU1!B4</f>
        <v>19</v>
      </c>
      <c r="D44" s="4">
        <f>CM_TRU1!C4</f>
        <v>110</v>
      </c>
      <c r="E44" s="3">
        <f>CM_TRU1!D4</f>
        <v>69</v>
      </c>
      <c r="F44" s="6">
        <f t="shared" si="4"/>
        <v>198</v>
      </c>
      <c r="G44" s="26" t="s">
        <v>36</v>
      </c>
      <c r="H44" s="26" t="s">
        <v>165</v>
      </c>
      <c r="I44" s="26" t="s">
        <v>163</v>
      </c>
      <c r="J44" s="26" t="s">
        <v>164</v>
      </c>
    </row>
    <row r="45" spans="1:11" x14ac:dyDescent="0.45">
      <c r="A45" s="2"/>
      <c r="B45" s="1" t="s">
        <v>34</v>
      </c>
      <c r="C45" s="6">
        <f>SUM(C42:C44)</f>
        <v>56</v>
      </c>
      <c r="D45" s="6">
        <f>SUM(D42:D44)</f>
        <v>218</v>
      </c>
      <c r="E45" s="6">
        <f>SUM(E42:E44)</f>
        <v>127</v>
      </c>
      <c r="F45" s="6">
        <f>SUM(C45:E45)</f>
        <v>401</v>
      </c>
      <c r="G45" s="8">
        <f>C42+D43+E44</f>
        <v>176</v>
      </c>
      <c r="H45" s="8">
        <f>(C45*F42)+(D45*F43)+(E45*F44)</f>
        <v>69238</v>
      </c>
      <c r="I45" s="8">
        <f>(C45^2)+(D45^2)+(E45^2)</f>
        <v>66789</v>
      </c>
      <c r="J45" s="8">
        <f>(F42^2)+(F43^2)+(F44^2)</f>
        <v>80009</v>
      </c>
      <c r="K45" s="10"/>
    </row>
    <row r="46" spans="1:11" x14ac:dyDescent="0.45">
      <c r="A46" s="4"/>
      <c r="B46" s="5" t="s">
        <v>25</v>
      </c>
      <c r="C46" s="6"/>
      <c r="D46" s="6"/>
      <c r="E46" s="16">
        <f>(C42+D43+E44)/F45</f>
        <v>0.43890274314214461</v>
      </c>
      <c r="F46" s="4"/>
    </row>
    <row r="47" spans="1:11" x14ac:dyDescent="0.45">
      <c r="A47" s="4"/>
      <c r="B47" s="5" t="s">
        <v>35</v>
      </c>
      <c r="C47" s="4"/>
      <c r="D47" s="4"/>
      <c r="E47" s="9">
        <f>(G45*F45-H45)/SQRT((F45^2-I45)*(F45^2-J45))</f>
        <v>1.5352541778144001E-2</v>
      </c>
      <c r="F47" s="4"/>
    </row>
    <row r="50" spans="1:11" x14ac:dyDescent="0.45">
      <c r="A50" s="40" t="s">
        <v>30</v>
      </c>
      <c r="B50" s="40"/>
      <c r="C50" s="39" t="s">
        <v>23</v>
      </c>
      <c r="D50" s="39"/>
      <c r="E50" s="39"/>
      <c r="F50" s="1" t="s">
        <v>34</v>
      </c>
    </row>
    <row r="51" spans="1:11" x14ac:dyDescent="0.45">
      <c r="A51" s="40"/>
      <c r="B51" s="40"/>
      <c r="C51" s="1" t="s">
        <v>1</v>
      </c>
      <c r="D51" s="1" t="s">
        <v>2</v>
      </c>
      <c r="E51" s="1" t="s">
        <v>3</v>
      </c>
      <c r="F51" s="4"/>
    </row>
    <row r="52" spans="1:11" x14ac:dyDescent="0.45">
      <c r="A52" s="39" t="s">
        <v>24</v>
      </c>
      <c r="B52" s="1" t="s">
        <v>1</v>
      </c>
      <c r="C52" s="3">
        <f>CM_TRU2!B2</f>
        <v>0</v>
      </c>
      <c r="D52" s="4">
        <f>CM_TRU2!C2</f>
        <v>0</v>
      </c>
      <c r="E52" s="4">
        <f>CM_TRU2!D2</f>
        <v>0</v>
      </c>
      <c r="F52" s="6">
        <f>SUM(C52:E52)</f>
        <v>0</v>
      </c>
    </row>
    <row r="53" spans="1:11" x14ac:dyDescent="0.45">
      <c r="A53" s="39"/>
      <c r="B53" s="1" t="s">
        <v>2</v>
      </c>
      <c r="C53" s="4">
        <f>CM_TRU2!B3</f>
        <v>3</v>
      </c>
      <c r="D53" s="3">
        <f>CM_TRU2!C3</f>
        <v>7</v>
      </c>
      <c r="E53" s="4">
        <f>CM_TRU2!D3</f>
        <v>11</v>
      </c>
      <c r="F53" s="6">
        <f t="shared" ref="F53:F54" si="5">SUM(C53:E53)</f>
        <v>21</v>
      </c>
    </row>
    <row r="54" spans="1:11" x14ac:dyDescent="0.45">
      <c r="A54" s="39"/>
      <c r="B54" s="1" t="s">
        <v>3</v>
      </c>
      <c r="C54" s="4">
        <f>CM_TRU2!B4</f>
        <v>66</v>
      </c>
      <c r="D54" s="4">
        <f>CM_TRU2!C4</f>
        <v>171</v>
      </c>
      <c r="E54" s="3">
        <f>CM_TRU2!D4</f>
        <v>143</v>
      </c>
      <c r="F54" s="6">
        <f t="shared" si="5"/>
        <v>380</v>
      </c>
      <c r="G54" s="26" t="s">
        <v>36</v>
      </c>
      <c r="H54" s="26" t="s">
        <v>165</v>
      </c>
      <c r="I54" s="26" t="s">
        <v>163</v>
      </c>
      <c r="J54" s="26" t="s">
        <v>164</v>
      </c>
    </row>
    <row r="55" spans="1:11" x14ac:dyDescent="0.45">
      <c r="A55" s="2"/>
      <c r="B55" s="1" t="s">
        <v>34</v>
      </c>
      <c r="C55" s="6">
        <f>SUM(C52:C54)</f>
        <v>69</v>
      </c>
      <c r="D55" s="6">
        <f>SUM(D52:D54)</f>
        <v>178</v>
      </c>
      <c r="E55" s="6">
        <f>SUM(E52:E54)</f>
        <v>154</v>
      </c>
      <c r="F55" s="6">
        <f>SUM(C55:E55)</f>
        <v>401</v>
      </c>
      <c r="G55" s="8">
        <f>C52+D53+E54</f>
        <v>150</v>
      </c>
      <c r="H55" s="8">
        <f>(C55*F52)+(D55*F53)+(E55*F54)</f>
        <v>62258</v>
      </c>
      <c r="I55" s="8">
        <f>(C55^2)+(D55^2)+(E55^2)</f>
        <v>60161</v>
      </c>
      <c r="J55" s="8">
        <f>(F52^2)+(F53^2)+(F54^2)</f>
        <v>144841</v>
      </c>
      <c r="K55" s="10"/>
    </row>
    <row r="56" spans="1:11" x14ac:dyDescent="0.45">
      <c r="A56" s="4"/>
      <c r="B56" s="5" t="s">
        <v>25</v>
      </c>
      <c r="C56" s="6"/>
      <c r="D56" s="6"/>
      <c r="E56" s="16">
        <f>(C52+D53+E54)/F55</f>
        <v>0.37406483790523692</v>
      </c>
      <c r="F56" s="4"/>
    </row>
    <row r="57" spans="1:11" x14ac:dyDescent="0.45">
      <c r="A57" s="4"/>
      <c r="B57" s="5" t="s">
        <v>35</v>
      </c>
      <c r="C57" s="4"/>
      <c r="D57" s="4"/>
      <c r="E57" s="9">
        <f>(G55*F55-H55)/SQRT((F55^2-I55)*(F55^2-J55))</f>
        <v>-5.2597953764656577E-2</v>
      </c>
      <c r="F57" s="4"/>
    </row>
    <row r="60" spans="1:11" x14ac:dyDescent="0.45">
      <c r="A60" s="40" t="s">
        <v>31</v>
      </c>
      <c r="B60" s="40"/>
      <c r="C60" s="39" t="s">
        <v>23</v>
      </c>
      <c r="D60" s="39"/>
      <c r="E60" s="39"/>
      <c r="F60" s="1" t="s">
        <v>34</v>
      </c>
    </row>
    <row r="61" spans="1:11" x14ac:dyDescent="0.45">
      <c r="A61" s="40"/>
      <c r="B61" s="40"/>
      <c r="C61" s="13" t="s">
        <v>1</v>
      </c>
      <c r="D61" s="1" t="s">
        <v>2</v>
      </c>
      <c r="E61" s="1" t="s">
        <v>3</v>
      </c>
      <c r="F61" s="4"/>
    </row>
    <row r="62" spans="1:11" x14ac:dyDescent="0.45">
      <c r="A62" s="39" t="s">
        <v>24</v>
      </c>
      <c r="B62" s="11" t="s">
        <v>1</v>
      </c>
      <c r="C62" s="3">
        <f>CM_TRU3!B2</f>
        <v>0</v>
      </c>
      <c r="D62">
        <f>CM_TRU3!C2</f>
        <v>0</v>
      </c>
      <c r="E62">
        <f>CM_TRU3!D2</f>
        <v>0</v>
      </c>
      <c r="F62" s="6">
        <f>SUM(C62:E62)</f>
        <v>0</v>
      </c>
    </row>
    <row r="63" spans="1:11" x14ac:dyDescent="0.45">
      <c r="A63" s="39"/>
      <c r="B63" s="1" t="s">
        <v>2</v>
      </c>
      <c r="C63">
        <f>CM_TRU3!B3</f>
        <v>33</v>
      </c>
      <c r="D63" s="3">
        <f>CM_TRU3!C3</f>
        <v>90</v>
      </c>
      <c r="E63">
        <f>CM_TRU3!D3</f>
        <v>52</v>
      </c>
      <c r="F63" s="6">
        <f t="shared" ref="F63:F64" si="6">SUM(C63:E63)</f>
        <v>175</v>
      </c>
    </row>
    <row r="64" spans="1:11" x14ac:dyDescent="0.45">
      <c r="A64" s="39"/>
      <c r="B64" s="1" t="s">
        <v>3</v>
      </c>
      <c r="C64">
        <f>CM_TRU3!B4</f>
        <v>38</v>
      </c>
      <c r="D64">
        <f>CM_TRU3!C4</f>
        <v>126</v>
      </c>
      <c r="E64" s="3">
        <f>CM_TRU3!D4</f>
        <v>62</v>
      </c>
      <c r="F64" s="12">
        <f t="shared" si="6"/>
        <v>226</v>
      </c>
      <c r="G64" s="26" t="s">
        <v>36</v>
      </c>
      <c r="H64" s="26" t="s">
        <v>165</v>
      </c>
      <c r="I64" s="26" t="s">
        <v>163</v>
      </c>
      <c r="J64" s="26" t="s">
        <v>164</v>
      </c>
    </row>
    <row r="65" spans="1:11" x14ac:dyDescent="0.45">
      <c r="A65" s="2"/>
      <c r="B65" s="1" t="s">
        <v>34</v>
      </c>
      <c r="C65" s="6">
        <f>SUM(C62:C64)</f>
        <v>71</v>
      </c>
      <c r="D65" s="6">
        <f>SUM(D62:D64)</f>
        <v>216</v>
      </c>
      <c r="E65" s="14">
        <f>SUM(E62:E64)</f>
        <v>114</v>
      </c>
      <c r="F65" s="6">
        <f>SUM(C65:E65)</f>
        <v>401</v>
      </c>
      <c r="G65" s="8">
        <f>C62+D63+E64</f>
        <v>152</v>
      </c>
      <c r="H65" s="8">
        <f>(C65*F62)+(D65*F63)+(E65*F64)</f>
        <v>63564</v>
      </c>
      <c r="I65" s="8">
        <f>(C65^2)+(D65^2)+(E65^2)</f>
        <v>64693</v>
      </c>
      <c r="J65" s="8">
        <f>(F62^2)+(F63^2)+(F64^2)</f>
        <v>81701</v>
      </c>
      <c r="K65" s="10"/>
    </row>
    <row r="66" spans="1:11" x14ac:dyDescent="0.45">
      <c r="A66" s="4"/>
      <c r="B66" s="5" t="s">
        <v>25</v>
      </c>
      <c r="C66" s="6"/>
      <c r="D66" s="6"/>
      <c r="E66" s="16">
        <f>(C62+D63+E64)/F65</f>
        <v>0.37905236907730672</v>
      </c>
      <c r="F66" s="4"/>
    </row>
    <row r="67" spans="1:11" x14ac:dyDescent="0.45">
      <c r="A67" s="4"/>
      <c r="B67" s="5" t="s">
        <v>35</v>
      </c>
      <c r="C67" s="4"/>
      <c r="D67" s="4"/>
      <c r="E67" s="9">
        <f>(G65*F65-H65)/SQRT((F65^2-I65)*(F65^2-J65))</f>
        <v>-2.9957471925947478E-2</v>
      </c>
      <c r="F67" s="4"/>
    </row>
    <row r="69" spans="1:11" x14ac:dyDescent="0.45">
      <c r="A69" s="40" t="s">
        <v>32</v>
      </c>
      <c r="B69" s="40"/>
      <c r="C69" s="39" t="s">
        <v>23</v>
      </c>
      <c r="D69" s="39"/>
      <c r="E69" s="39"/>
      <c r="F69" s="1" t="s">
        <v>34</v>
      </c>
    </row>
    <row r="70" spans="1:11" x14ac:dyDescent="0.45">
      <c r="A70" s="40"/>
      <c r="B70" s="40"/>
      <c r="C70" s="1" t="s">
        <v>1</v>
      </c>
      <c r="D70" s="1" t="s">
        <v>2</v>
      </c>
      <c r="E70" s="1" t="s">
        <v>3</v>
      </c>
      <c r="F70" s="4"/>
    </row>
    <row r="71" spans="1:11" x14ac:dyDescent="0.45">
      <c r="A71" s="39" t="s">
        <v>24</v>
      </c>
      <c r="B71" s="1" t="s">
        <v>1</v>
      </c>
      <c r="C71" s="3">
        <f>CM_TRU4!B2</f>
        <v>0</v>
      </c>
      <c r="D71" s="4">
        <f>CM_TRU4!C2</f>
        <v>28</v>
      </c>
      <c r="E71" s="4">
        <f>CM_TRU4!D2</f>
        <v>17</v>
      </c>
      <c r="F71" s="6">
        <f>SUM(C71:E71)</f>
        <v>45</v>
      </c>
    </row>
    <row r="72" spans="1:11" x14ac:dyDescent="0.45">
      <c r="A72" s="39"/>
      <c r="B72" s="1" t="s">
        <v>2</v>
      </c>
      <c r="C72" s="4">
        <f>CM_TRU4!B3</f>
        <v>0</v>
      </c>
      <c r="D72" s="3">
        <f>CM_TRU4!C3</f>
        <v>114</v>
      </c>
      <c r="E72" s="4">
        <f>CM_TRU4!D3</f>
        <v>121</v>
      </c>
      <c r="F72" s="6">
        <f t="shared" ref="F72:F73" si="7">SUM(C72:E72)</f>
        <v>235</v>
      </c>
    </row>
    <row r="73" spans="1:11" x14ac:dyDescent="0.45">
      <c r="A73" s="39"/>
      <c r="B73" s="1" t="s">
        <v>3</v>
      </c>
      <c r="C73" s="4">
        <f>CM_TRU4!B4</f>
        <v>0</v>
      </c>
      <c r="D73" s="4">
        <f>CM_TRU4!C4</f>
        <v>62</v>
      </c>
      <c r="E73" s="3">
        <f>CM_TRU4!D4</f>
        <v>59</v>
      </c>
      <c r="F73" s="6">
        <f t="shared" si="7"/>
        <v>121</v>
      </c>
      <c r="G73" s="26" t="s">
        <v>36</v>
      </c>
      <c r="H73" s="26" t="s">
        <v>165</v>
      </c>
      <c r="I73" s="26" t="s">
        <v>163</v>
      </c>
      <c r="J73" s="26" t="s">
        <v>164</v>
      </c>
    </row>
    <row r="74" spans="1:11" x14ac:dyDescent="0.45">
      <c r="A74" s="2"/>
      <c r="B74" s="1" t="s">
        <v>34</v>
      </c>
      <c r="C74" s="6">
        <f>SUM(C71:C73)</f>
        <v>0</v>
      </c>
      <c r="D74" s="6">
        <f>SUM(D71:D73)</f>
        <v>204</v>
      </c>
      <c r="E74" s="6">
        <f>SUM(E71:E73)</f>
        <v>197</v>
      </c>
      <c r="F74" s="6">
        <f>SUM(C74:E74)</f>
        <v>401</v>
      </c>
      <c r="G74" s="8">
        <f>C71+D72+E73</f>
        <v>173</v>
      </c>
      <c r="H74" s="8">
        <f>(C74*F71)+(D74*F72)+(E74*F73)</f>
        <v>71777</v>
      </c>
      <c r="I74" s="8">
        <f>(C74^2)+(D74^2)+(E74^2)</f>
        <v>80425</v>
      </c>
      <c r="J74" s="8">
        <f>(F71^2)+(F72^2)+(F73^2)</f>
        <v>71891</v>
      </c>
      <c r="K74" s="10"/>
    </row>
    <row r="75" spans="1:11" x14ac:dyDescent="0.45">
      <c r="A75" s="4"/>
      <c r="B75" s="5" t="s">
        <v>25</v>
      </c>
      <c r="C75" s="6"/>
      <c r="D75" s="6"/>
      <c r="E75" s="16">
        <f>(C71+D72+E73)/F74</f>
        <v>0.4314214463840399</v>
      </c>
      <c r="F75" s="4"/>
    </row>
    <row r="76" spans="1:11" x14ac:dyDescent="0.45">
      <c r="A76" s="4"/>
      <c r="B76" s="5" t="s">
        <v>35</v>
      </c>
      <c r="C76" s="4"/>
      <c r="D76" s="4"/>
      <c r="E76" s="9">
        <f>(G74*F74-H74)/SQRT((F74^2-I74)*(F74^2-J74))</f>
        <v>-2.843779790704893E-2</v>
      </c>
      <c r="F76" s="4"/>
    </row>
    <row r="79" spans="1:11" x14ac:dyDescent="0.45">
      <c r="A79" s="40" t="s">
        <v>33</v>
      </c>
      <c r="B79" s="40"/>
      <c r="C79" s="39" t="s">
        <v>23</v>
      </c>
      <c r="D79" s="39"/>
      <c r="E79" s="39"/>
      <c r="F79" s="1" t="s">
        <v>34</v>
      </c>
    </row>
    <row r="80" spans="1:11" x14ac:dyDescent="0.45">
      <c r="A80" s="40"/>
      <c r="B80" s="40"/>
      <c r="C80" s="1" t="s">
        <v>1</v>
      </c>
      <c r="D80" s="1" t="s">
        <v>2</v>
      </c>
      <c r="E80" s="1" t="s">
        <v>3</v>
      </c>
      <c r="F80" s="4"/>
    </row>
    <row r="81" spans="1:11" x14ac:dyDescent="0.45">
      <c r="A81" s="39" t="s">
        <v>24</v>
      </c>
      <c r="B81" s="1" t="s">
        <v>1</v>
      </c>
      <c r="C81" s="7">
        <f>CM_OUT1!B2</f>
        <v>0</v>
      </c>
      <c r="D81">
        <f>CM_OUT1!C2</f>
        <v>1</v>
      </c>
      <c r="E81">
        <f>CM_OUT1!D2</f>
        <v>0</v>
      </c>
      <c r="F81" s="6">
        <f>SUM(C81:E81)</f>
        <v>1</v>
      </c>
    </row>
    <row r="82" spans="1:11" x14ac:dyDescent="0.45">
      <c r="A82" s="39"/>
      <c r="B82" s="1" t="s">
        <v>2</v>
      </c>
      <c r="C82">
        <f>CM_OUT1!B3</f>
        <v>1</v>
      </c>
      <c r="D82" s="7">
        <f>CM_OUT1!C3</f>
        <v>11</v>
      </c>
      <c r="E82">
        <f>CM_OUT1!D3</f>
        <v>8</v>
      </c>
      <c r="F82" s="6">
        <f t="shared" ref="F82:F83" si="8">SUM(C82:E82)</f>
        <v>20</v>
      </c>
    </row>
    <row r="83" spans="1:11" x14ac:dyDescent="0.45">
      <c r="A83" s="39"/>
      <c r="B83" s="1" t="s">
        <v>3</v>
      </c>
      <c r="C83">
        <f>CM_OUT1!B4</f>
        <v>33</v>
      </c>
      <c r="D83">
        <f>CM_OUT1!C4</f>
        <v>182</v>
      </c>
      <c r="E83" s="7">
        <f>CM_OUT1!D4</f>
        <v>165</v>
      </c>
      <c r="F83" s="6">
        <f t="shared" si="8"/>
        <v>380</v>
      </c>
      <c r="G83" s="26" t="s">
        <v>36</v>
      </c>
      <c r="H83" s="26" t="s">
        <v>165</v>
      </c>
      <c r="I83" s="26" t="s">
        <v>163</v>
      </c>
      <c r="J83" s="26" t="s">
        <v>164</v>
      </c>
    </row>
    <row r="84" spans="1:11" x14ac:dyDescent="0.45">
      <c r="A84" s="2"/>
      <c r="B84" s="1" t="s">
        <v>34</v>
      </c>
      <c r="C84" s="6">
        <f>SUM(C81:C83)</f>
        <v>34</v>
      </c>
      <c r="D84" s="6">
        <f>SUM(D81:D83)</f>
        <v>194</v>
      </c>
      <c r="E84" s="6">
        <f>SUM(E81:E83)</f>
        <v>173</v>
      </c>
      <c r="F84" s="6">
        <f>SUM(C84:E84)</f>
        <v>401</v>
      </c>
      <c r="G84" s="8">
        <f>C81+D82+E83</f>
        <v>176</v>
      </c>
      <c r="H84" s="8">
        <f>(C84*F81)+(D84*F82)+(E84*F83)</f>
        <v>69654</v>
      </c>
      <c r="I84" s="8">
        <f>(C84^2)+(D84^2)+(E84^2)</f>
        <v>68721</v>
      </c>
      <c r="J84" s="8">
        <f>(F81^2)+(F82^2)+(F83^2)</f>
        <v>144801</v>
      </c>
      <c r="K84" s="10"/>
    </row>
    <row r="85" spans="1:11" x14ac:dyDescent="0.45">
      <c r="A85" s="4"/>
      <c r="B85" s="5" t="s">
        <v>25</v>
      </c>
      <c r="C85" s="6"/>
      <c r="D85" s="6"/>
      <c r="E85" s="16">
        <f>(C81+D82+E83)/F84</f>
        <v>0.43890274314214461</v>
      </c>
      <c r="F85" s="4"/>
    </row>
    <row r="86" spans="1:11" x14ac:dyDescent="0.45">
      <c r="A86" s="4"/>
      <c r="B86" s="5" t="s">
        <v>35</v>
      </c>
      <c r="C86" s="4"/>
      <c r="D86" s="4"/>
      <c r="E86" s="9">
        <f>(G84*F84-H84)/SQRT((F84^2-I84)*(F84^2-J84))</f>
        <v>2.4020844643995076E-2</v>
      </c>
      <c r="F86" s="4"/>
    </row>
  </sheetData>
  <mergeCells count="27">
    <mergeCell ref="A52:A54"/>
    <mergeCell ref="A60:B61"/>
    <mergeCell ref="C60:E60"/>
    <mergeCell ref="A62:A64"/>
    <mergeCell ref="A69:B70"/>
    <mergeCell ref="C69:E69"/>
    <mergeCell ref="A1:B2"/>
    <mergeCell ref="C1:E1"/>
    <mergeCell ref="A3:A5"/>
    <mergeCell ref="A10:B11"/>
    <mergeCell ref="C10:E10"/>
    <mergeCell ref="A71:A73"/>
    <mergeCell ref="A79:B80"/>
    <mergeCell ref="C79:E79"/>
    <mergeCell ref="A81:A83"/>
    <mergeCell ref="A12:A14"/>
    <mergeCell ref="A20:B21"/>
    <mergeCell ref="C20:E20"/>
    <mergeCell ref="A22:A24"/>
    <mergeCell ref="A30:B31"/>
    <mergeCell ref="C30:E30"/>
    <mergeCell ref="A32:A34"/>
    <mergeCell ref="A40:B41"/>
    <mergeCell ref="C40:E40"/>
    <mergeCell ref="A42:A44"/>
    <mergeCell ref="A50:B51"/>
    <mergeCell ref="C50:E5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D5" sqref="D5"/>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COUNTIFS(step3_combined_data!$T$2:$T$404,"Oppose", step3_combined_data!$R$2:$R$404,"Oppose")</f>
        <v>0</v>
      </c>
      <c r="C2" s="4">
        <f>COUNTIFS(step3_combined_data!$T$2:$T$404,"Neutral", step3_combined_data!$R$2:$R$404,"Oppose")</f>
        <v>0</v>
      </c>
      <c r="D2" s="4">
        <f>COUNTIFS(step3_combined_data!$T$2:$T$404,"Support", step3_combined_data!$R$2:$R$404,"Oppose")</f>
        <v>1</v>
      </c>
    </row>
    <row r="3" spans="1:4" x14ac:dyDescent="0.45">
      <c r="A3" s="1" t="s">
        <v>2</v>
      </c>
      <c r="B3" s="4">
        <f>COUNTIFS(step3_combined_data!$T$2:$T$404,"Oppose", step3_combined_data!$R$2:$R$404,"Neutral")</f>
        <v>39</v>
      </c>
      <c r="C3" s="4">
        <f>COUNTIFS(step3_combined_data!$T$2:$T$404,"Neutral", step3_combined_data!$R$2:$R$404,"Neutral")</f>
        <v>135</v>
      </c>
      <c r="D3" s="4">
        <f>COUNTIFS(step3_combined_data!$T$2:$T$404,"Support", step3_combined_data!$R$2:$R$404,"Neutral")</f>
        <v>115</v>
      </c>
    </row>
    <row r="4" spans="1:4" x14ac:dyDescent="0.45">
      <c r="A4" s="1" t="s">
        <v>3</v>
      </c>
      <c r="B4" s="4">
        <f>COUNTIFS(step3_combined_data!$T$2:$T$404,"Oppose", step3_combined_data!$R$2:$R$404,"Support")</f>
        <v>16</v>
      </c>
      <c r="C4" s="4">
        <f>COUNTIFS(step3_combined_data!$T$2:$T$404,"Neutral", step3_combined_data!$R$2:$R$404,"Support")</f>
        <v>45</v>
      </c>
      <c r="D4" s="4">
        <f>COUNTIFS(step3_combined_data!$T$2:$T$404,"Support", step3_combined_data!$R$2:$R$404,"Support")</f>
        <v>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E2" sqref="E2"/>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COUNTIFS(step3_combined_data!$Y$2:$Y$404,"Oppose", step3_combined_data!$W$2:$W$404,"Oppose")</f>
        <v>1</v>
      </c>
      <c r="C2" s="4">
        <f>COUNTIFS(step3_combined_data!$Y$2:$Y$404,"Neutral", step3_combined_data!$W$2:$W$404,"Oppose")</f>
        <v>0</v>
      </c>
      <c r="D2" s="4">
        <f>COUNTIFS(step3_combined_data!$Y$2:$Y$404,"Support", step3_combined_data!$W$2:$W$404,"Oppose")</f>
        <v>2</v>
      </c>
    </row>
    <row r="3" spans="1:4" x14ac:dyDescent="0.45">
      <c r="A3" s="1" t="s">
        <v>2</v>
      </c>
      <c r="B3" s="4">
        <f>COUNTIFS(step3_combined_data!$Y$2:$Y$404,"Oppose", step3_combined_data!$W$2:$W$404,"Neutral")</f>
        <v>20</v>
      </c>
      <c r="C3" s="4">
        <f>COUNTIFS(step3_combined_data!$Y$2:$Y$404,"Neutral", step3_combined_data!$W$2:$W$404,"Neutral")</f>
        <v>86</v>
      </c>
      <c r="D3" s="4">
        <f>COUNTIFS(step3_combined_data!$Y$2:$Y$404,"Support", step3_combined_data!$W$2:$W$404,"Neutral")</f>
        <v>100</v>
      </c>
    </row>
    <row r="4" spans="1:4" x14ac:dyDescent="0.45">
      <c r="A4" s="1" t="s">
        <v>3</v>
      </c>
      <c r="B4" s="4">
        <f>COUNTIFS(step3_combined_data!$Y$2:$Y$404,"Oppose", step3_combined_data!$W$2:$W$404,"Support")</f>
        <v>24</v>
      </c>
      <c r="C4" s="4">
        <f>COUNTIFS(step3_combined_data!$Y$2:$Y$404,"Neutral", step3_combined_data!$W$2:$W$404,"Support")</f>
        <v>80</v>
      </c>
      <c r="D4" s="4">
        <f>COUNTIFS(step3_combined_data!$Y$2:$Y$404,"Support", step3_combined_data!$W$2:$W$404,"Support")</f>
        <v>90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COUNTIFS(step3_combined_data!$AD$2:$AD$404,"Oppose", step3_combined_data!$AB$2:$AB$404,"Oppose")</f>
        <v>0</v>
      </c>
      <c r="C2" s="4">
        <f>COUNTIFS(step3_combined_data!$AD$2:$AD$404,"Neutral", step3_combined_data!$AB$2:$AB$404,"Oppose")</f>
        <v>0</v>
      </c>
      <c r="D2" s="4">
        <f>COUNTIFS(step3_combined_data!$AD$2:$AD$404,"Support", step3_combined_data!$AB$2:$AB$404,"Oppose")</f>
        <v>0</v>
      </c>
    </row>
    <row r="3" spans="1:4" x14ac:dyDescent="0.45">
      <c r="A3" s="1" t="s">
        <v>2</v>
      </c>
      <c r="B3" s="4">
        <f>COUNTIFS(step3_combined_data!$AD$2:$AD$404,"Oppose", step3_combined_data!$AB$2:$AB$404,"Neutral")</f>
        <v>24</v>
      </c>
      <c r="C3" s="4">
        <f>COUNTIFS(step3_combined_data!$AD$2:$AD$404,"Neutral", step3_combined_data!$AB$2:$AB$404,"Neutral")</f>
        <v>41</v>
      </c>
      <c r="D3" s="4">
        <f>COUNTIFS(step3_combined_data!$AD$2:$AD$404,"Support", step3_combined_data!$AB$2:$AB$404,"Neutral")</f>
        <v>29</v>
      </c>
    </row>
    <row r="4" spans="1:4" x14ac:dyDescent="0.45">
      <c r="A4" s="1" t="s">
        <v>3</v>
      </c>
      <c r="B4" s="4">
        <f>COUNTIFS(step3_combined_data!$AD$2:$AD$404,"Oppose", step3_combined_data!$AB$2:$AB$404,"Support")</f>
        <v>59</v>
      </c>
      <c r="C4" s="4">
        <f>COUNTIFS(step3_combined_data!$AD$2:$AD$404,"Neutral", step3_combined_data!$AB$2:$AB$404,"Support")</f>
        <v>136</v>
      </c>
      <c r="D4" s="4">
        <f>COUNTIFS(step3_combined_data!$AD$2:$AD$404,"Support", step3_combined_data!$AB$2:$AB$404,"Support")</f>
        <v>114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COUNTIFS(step3_combined_data!$AI$2:$AI$404,"Oppose", step3_combined_data!$AG$2:$AG$404,"Oppose")</f>
        <v>0</v>
      </c>
      <c r="C2" s="4">
        <f>COUNTIFS(step3_combined_data!$AI$2:$AI$404,"Neutral", step3_combined_data!$AG$2:$AG$404,"Oppose")</f>
        <v>0</v>
      </c>
      <c r="D2" s="4">
        <f>COUNTIFS(step3_combined_data!$AI$2:$AI$404,"Support", step3_combined_data!$AG$2:$AG$404,"Oppose")</f>
        <v>0</v>
      </c>
    </row>
    <row r="3" spans="1:4" x14ac:dyDescent="0.45">
      <c r="A3" s="1" t="s">
        <v>2</v>
      </c>
      <c r="B3" s="4">
        <f>COUNTIFS(step3_combined_data!$AI$2:$AI$404,"Oppose", step3_combined_data!$AG$2:$AG$404,"Neutral")</f>
        <v>2</v>
      </c>
      <c r="C3" s="4">
        <f>COUNTIFS(step3_combined_data!$AI$2:$AI$404,"Neutral", step3_combined_data!$AG$2:$AG$404,"Neutral")</f>
        <v>7</v>
      </c>
      <c r="D3" s="4">
        <f>COUNTIFS(step3_combined_data!$AI$2:$AI$404,"Support", step3_combined_data!$AG$2:$AG$404,"Neutral")</f>
        <v>7</v>
      </c>
    </row>
    <row r="4" spans="1:4" x14ac:dyDescent="0.45">
      <c r="A4" s="1" t="s">
        <v>3</v>
      </c>
      <c r="B4" s="4">
        <f>COUNTIFS(step3_combined_data!$AI$2:$AI$404,"Oppose", step3_combined_data!$AG$2:$AG$404,"Support")</f>
        <v>19</v>
      </c>
      <c r="C4" s="4">
        <f>COUNTIFS(step3_combined_data!$AI$2:$AI$404,"Neutral", step3_combined_data!$AG$2:$AG$404,"Support")</f>
        <v>178</v>
      </c>
      <c r="D4" s="4">
        <f>COUNTIFS(step3_combined_data!$AI$2:$AI$404,"Support", step3_combined_data!$AG$2:$AG$404,"Support")</f>
        <v>190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COUNTIFS(step3_combined_data!$AN$2:$AN$404,"Oppose", step3_combined_data!$AL$2:$AL$404,"Oppose")</f>
        <v>0</v>
      </c>
      <c r="C2" s="4">
        <f>COUNTIFS(step3_combined_data!$AN$2:$AN$404,"Neutral", step3_combined_data!$AL$2:$AL$404,"Oppose")</f>
        <v>1</v>
      </c>
      <c r="D2" s="4">
        <f>COUNTIFS(step3_combined_data!$AN$2:$AN$404,"Support", step3_combined_data!$AL$2:$AL$404,"Oppose")</f>
        <v>0</v>
      </c>
    </row>
    <row r="3" spans="1:4" x14ac:dyDescent="0.45">
      <c r="A3" s="1" t="s">
        <v>2</v>
      </c>
      <c r="B3" s="4">
        <f>COUNTIFS(step3_combined_data!$AN$2:$AN$404,"Oppose", step3_combined_data!$AL$2:$AL$404,"Neutral")</f>
        <v>37</v>
      </c>
      <c r="C3" s="4">
        <f>COUNTIFS(step3_combined_data!$AN$2:$AN$404,"Neutral", step3_combined_data!$AL$2:$AL$404,"Neutral")</f>
        <v>107</v>
      </c>
      <c r="D3" s="4">
        <f>COUNTIFS(step3_combined_data!$AN$2:$AN$404,"Support", step3_combined_data!$AL$2:$AL$404,"Neutral")</f>
        <v>58</v>
      </c>
    </row>
    <row r="4" spans="1:4" x14ac:dyDescent="0.45">
      <c r="A4" s="1" t="s">
        <v>3</v>
      </c>
      <c r="B4" s="4">
        <f>COUNTIFS(step3_combined_data!$AN$2:$AN$404,"Oppose", step3_combined_data!$AL$2:$AL$404,"Support")</f>
        <v>19</v>
      </c>
      <c r="C4" s="4">
        <f>COUNTIFS(step3_combined_data!$AN$2:$AN$404,"Neutral", step3_combined_data!$AL$2:$AL$404,"Support")</f>
        <v>110</v>
      </c>
      <c r="D4" s="4">
        <f>COUNTIFS(step3_combined_data!$AN$2:$AN$404,"Support", step3_combined_data!$AL$2:$AL$404,"Support")</f>
        <v>69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COUNTIFS(step3_combined_data!$AS$2:$AS$404,"Oppose", step3_combined_data!$AQ$2:$AQ$404,"Oppose")</f>
        <v>0</v>
      </c>
      <c r="C2" s="4">
        <f>COUNTIFS(step3_combined_data!$AS$2:$AS$404,"Neutral", step3_combined_data!$AQ$2:$AQ$404,"Oppose")</f>
        <v>0</v>
      </c>
      <c r="D2" s="4">
        <f>COUNTIFS(step3_combined_data!$AS$2:$AS$404,"Support", step3_combined_data!$AQ$2:$AQ$404,"Oppose")</f>
        <v>0</v>
      </c>
    </row>
    <row r="3" spans="1:4" x14ac:dyDescent="0.45">
      <c r="A3" s="1" t="s">
        <v>2</v>
      </c>
      <c r="B3" s="4">
        <f>COUNTIFS(step3_combined_data!$AS$2:$AS$404,"Oppose", step3_combined_data!$AQ$2:$AQ$404,"Neutral")</f>
        <v>3</v>
      </c>
      <c r="C3" s="4">
        <f>COUNTIFS(step3_combined_data!$AS$2:$AS$404,"Neutral", step3_combined_data!$AQ$2:$AQ$404,"Neutral")</f>
        <v>7</v>
      </c>
      <c r="D3" s="4">
        <f>COUNTIFS(step3_combined_data!$AS$2:$AS$404,"Support", step3_combined_data!$AQ$2:$AQ$404,"Neutral")</f>
        <v>11</v>
      </c>
    </row>
    <row r="4" spans="1:4" x14ac:dyDescent="0.45">
      <c r="A4" s="1" t="s">
        <v>3</v>
      </c>
      <c r="B4" s="4">
        <f>COUNTIFS(step3_combined_data!$AS$2:$AS$404,"Oppose", step3_combined_data!$AQ$2:$AQ$404,"Support")</f>
        <v>66</v>
      </c>
      <c r="C4" s="4">
        <f>COUNTIFS(step3_combined_data!$AS$2:$AS$404,"Neutral", step3_combined_data!$AQ$2:$AQ$404,"Support")</f>
        <v>171</v>
      </c>
      <c r="D4" s="4">
        <f>COUNTIFS(step3_combined_data!$AS$2:$AS$404,"Support", step3_combined_data!$AQ$2:$AQ$404,"Support")</f>
        <v>143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COUNTIFS(step3_combined_data!$AX$2:$AX$404,"Oppose", step3_combined_data!$AV$2:$AV$404,"Oppose")</f>
        <v>0</v>
      </c>
      <c r="C2" s="4">
        <f>COUNTIFS(step3_combined_data!$AX$2:$AX$404,"Neutral", step3_combined_data!$AV$2:$AV$404,"Oppose")</f>
        <v>0</v>
      </c>
      <c r="D2" s="4">
        <f>COUNTIFS(step3_combined_data!$AX$2:$AX$404,"Support", step3_combined_data!$AV$2:$AV$404,"Oppose")</f>
        <v>0</v>
      </c>
    </row>
    <row r="3" spans="1:4" x14ac:dyDescent="0.45">
      <c r="A3" s="1" t="s">
        <v>2</v>
      </c>
      <c r="B3" s="4">
        <f>COUNTIFS(step3_combined_data!$AX$2:$AX$404,"Oppose", step3_combined_data!$AV$2:$AV$404,"Neutral")</f>
        <v>33</v>
      </c>
      <c r="C3" s="4">
        <f>COUNTIFS(step3_combined_data!$AX$2:$AX$404,"Neutral", step3_combined_data!$AV$2:$AV$404,"Neutral")</f>
        <v>90</v>
      </c>
      <c r="D3" s="4">
        <f>COUNTIFS(step3_combined_data!$AX$2:$AX$404,"Support", step3_combined_data!$AV$2:$AV$404,"Neutral")</f>
        <v>52</v>
      </c>
    </row>
    <row r="4" spans="1:4" x14ac:dyDescent="0.45">
      <c r="A4" s="1" t="s">
        <v>3</v>
      </c>
      <c r="B4" s="4">
        <f>COUNTIFS(step3_combined_data!$AX$2:$AX$404,"Oppose", step3_combined_data!$AV$2:$AV$404,"Support")</f>
        <v>38</v>
      </c>
      <c r="C4" s="4">
        <f>COUNTIFS(step3_combined_data!$AX$2:$AX$404,"Neutral", step3_combined_data!$AV$2:$AV$404,"Support")</f>
        <v>126</v>
      </c>
      <c r="D4" s="4">
        <f>COUNTIFS(step3_combined_data!$AX$2:$AX$404,"Support", step3_combined_data!$AV$2:$AV$404,"Support")</f>
        <v>62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election activeCell="B2" sqref="B2"/>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COUNTIFS(step3_combined_data!$BA$2:$BA$404,"Oppose", step3_combined_data!$BC$2:$BC$404,"Oppose")</f>
        <v>0</v>
      </c>
      <c r="C2" s="4">
        <f>COUNTIFS(step3_combined_data!$BA$2:$BA$404,"Neutral", step3_combined_data!$BC$2:$BC$404,"Oppose")</f>
        <v>28</v>
      </c>
      <c r="D2" s="4">
        <f>COUNTIFS(step3_combined_data!$BA$2:$BA$404,"Support", step3_combined_data!$BC$2:$BC$404,"Oppose")</f>
        <v>17</v>
      </c>
    </row>
    <row r="3" spans="1:4" x14ac:dyDescent="0.45">
      <c r="A3" s="1" t="s">
        <v>2</v>
      </c>
      <c r="B3" s="4">
        <f>COUNTIFS(step3_combined_data!$BA$2:$BA$404,"Oppose", step3_combined_data!$BC$2:$BC$404,"Neutral")</f>
        <v>0</v>
      </c>
      <c r="C3" s="4">
        <f>COUNTIFS(step3_combined_data!$BA$2:$BA$404,"Neutral", step3_combined_data!$BC$2:$BC$404,"Neutral")</f>
        <v>114</v>
      </c>
      <c r="D3" s="4">
        <f>COUNTIFS(step3_combined_data!$BA$2:$BA$404,"Support", step3_combined_data!$BC$2:$BC$404,"Neutral")</f>
        <v>121</v>
      </c>
    </row>
    <row r="4" spans="1:4" x14ac:dyDescent="0.45">
      <c r="A4" s="1" t="s">
        <v>3</v>
      </c>
      <c r="B4" s="4">
        <f>COUNTIFS(step3_combined_data!$BA$2:$BA$404,"Oppose", step3_combined_data!$BC$2:$BC$404,"Support")</f>
        <v>0</v>
      </c>
      <c r="C4" s="4">
        <f>COUNTIFS(step3_combined_data!$BA$2:$BA$404,"Neutral", step3_combined_data!$BC$2:$BC$404,"Support")</f>
        <v>62</v>
      </c>
      <c r="D4" s="4">
        <f>COUNTIFS(step3_combined_data!$BA$2:$BA$404,"Support", step3_combined_data!$BC$2:$BC$404,"Support")</f>
        <v>59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COUNTIFS(step3_combined_data!$BH$2:$BH$404,"Oppose", step3_combined_data!$BF$2:$BF$404,"Oppose")</f>
        <v>0</v>
      </c>
      <c r="C2" s="4">
        <f>COUNTIFS(step3_combined_data!$BH$2:$BH$404,"Neutral", step3_combined_data!$BF$2:$BF$404,"Oppose")</f>
        <v>1</v>
      </c>
      <c r="D2" s="4">
        <f>COUNTIFS(step3_combined_data!$BH$2:$BH$404,"Support", step3_combined_data!$BF$2:$BF$404,"Oppose")</f>
        <v>0</v>
      </c>
    </row>
    <row r="3" spans="1:4" x14ac:dyDescent="0.45">
      <c r="A3" s="1" t="s">
        <v>2</v>
      </c>
      <c r="B3" s="4">
        <f>COUNTIFS(step3_combined_data!$BH$2:$BH$404,"Oppose", step3_combined_data!$BF$2:$BF$404,"Neutral")</f>
        <v>1</v>
      </c>
      <c r="C3" s="4">
        <f>COUNTIFS(step3_combined_data!$BH$2:$BH$404,"Neutral", step3_combined_data!$BF$2:$BF$404,"Neutral")</f>
        <v>11</v>
      </c>
      <c r="D3" s="4">
        <f>COUNTIFS(step3_combined_data!$BH$2:$BH$404,"Support", step3_combined_data!$BF$2:$BF$404,"Neutral")</f>
        <v>8</v>
      </c>
    </row>
    <row r="4" spans="1:4" x14ac:dyDescent="0.45">
      <c r="A4" s="1" t="s">
        <v>3</v>
      </c>
      <c r="B4" s="4">
        <f>COUNTIFS(step3_combined_data!$BH$2:$BH$404,"Oppose", step3_combined_data!$BF$2:$BF$404,"Support")</f>
        <v>33</v>
      </c>
      <c r="C4" s="4">
        <f>COUNTIFS(step3_combined_data!$BH$2:$BH$404,"Neutral", step3_combined_data!$BF$2:$BF$404,"Support")</f>
        <v>182</v>
      </c>
      <c r="D4" s="4">
        <f>COUNTIFS(step3_combined_data!$BH$2:$BH$404,"Support", step3_combined_data!$BF$2:$BF$404,"Support")</f>
        <v>165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81ACCC-8CB7-4DA7-B1DC-559BBAE466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step3_validation</vt:lpstr>
      <vt:lpstr>survey_responses</vt:lpstr>
      <vt:lpstr>step3_combined_data</vt:lpstr>
      <vt:lpstr>AIx</vt:lpstr>
      <vt:lpstr>Insights</vt:lpstr>
      <vt:lpstr>EMD</vt:lpstr>
      <vt:lpstr>SUMMARY_REPORT</vt:lpstr>
      <vt:lpstr>CM_REPORT</vt:lpstr>
      <vt:lpstr>CM_ENF1</vt:lpstr>
      <vt:lpstr>CM_ENF2</vt:lpstr>
      <vt:lpstr>CM_FAC1</vt:lpstr>
      <vt:lpstr>CM_FAC2</vt:lpstr>
      <vt:lpstr>CM_TRU1</vt:lpstr>
      <vt:lpstr>CM_TRU2</vt:lpstr>
      <vt:lpstr>CM_TRU3</vt:lpstr>
      <vt:lpstr>CM_TRU4</vt:lpstr>
      <vt:lpstr>CM_OUT1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MPP26-170LM Pham Binh Phuong Duy</cp:lastModifiedBy>
  <dcterms:created xsi:type="dcterms:W3CDTF">2026-01-02T17:02:25Z</dcterms:created>
  <dcterms:modified xsi:type="dcterms:W3CDTF">2026-02-03T08:02:21Z</dcterms:modified>
</cp:coreProperties>
</file>